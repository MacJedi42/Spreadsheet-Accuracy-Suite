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35.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0.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Default Extension="bin" ContentType="application/vnd.openxmlformats-officedocument.spreadsheetml.printerSettings"/>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75" yWindow="-165" windowWidth="8550" windowHeight="7770" tabRatio="896" activeTab="1"/>
  </bookViews>
  <sheets>
    <sheet name="Use and Discl " sheetId="65" r:id="rId1"/>
    <sheet name="DID - Kansas " sheetId="49" r:id="rId2"/>
    <sheet name="DID - Missouri" sheetId="8" r:id="rId3"/>
    <sheet name="DOD &amp; Analog - Kansas" sheetId="50" r:id="rId4"/>
    <sheet name="DOD &amp; Analog Trunk - Missouri" sheetId="9" r:id="rId5"/>
    <sheet name="Business Lines - Kansas" sheetId="51" r:id="rId6"/>
    <sheet name="Business Lines - Missouri" sheetId="70" r:id="rId7"/>
    <sheet name="Private Line - Kansas " sheetId="53" r:id="rId8"/>
    <sheet name="Private Line - Missouri" sheetId="3" r:id="rId9"/>
    <sheet name="ISDN BRI - Kansas" sheetId="54" r:id="rId10"/>
    <sheet name="ISDN BRI - Missouri" sheetId="5" r:id="rId11"/>
    <sheet name="ISDN PRI - Kansas" sheetId="55" r:id="rId12"/>
    <sheet name="ISDN PRI - Missouri" sheetId="7" r:id="rId13"/>
    <sheet name="Centrex - Kansas " sheetId="56" r:id="rId14"/>
    <sheet name="Centrex - Missouri" sheetId="15" r:id="rId15"/>
    <sheet name="Tie-OPX - Kansas" sheetId="57" r:id="rId16"/>
    <sheet name="Tie - OPX - Missouri" sheetId="4" r:id="rId17"/>
    <sheet name="TSP - Kansas" sheetId="58" r:id="rId18"/>
    <sheet name="TSP - Missouri" sheetId="12" r:id="rId19"/>
    <sheet name="DSL &amp; Cable Modem - KS-MO " sheetId="61" r:id="rId20"/>
    <sheet name="IP Services - KS, MO, NE, IA" sheetId="47" r:id="rId21"/>
    <sheet name="Managed Internet Service" sheetId="60" r:id="rId22"/>
    <sheet name="AT&amp;T Connect - KS, MO, NE, IA" sheetId="48" r:id="rId23"/>
    <sheet name="Super Trunk - Kansas" sheetId="59" r:id="rId24"/>
    <sheet name="Super Trunk - Missouri" sheetId="6" r:id="rId25"/>
    <sheet name="Other - Kansas " sheetId="62" r:id="rId26"/>
    <sheet name="Other - Missouri " sheetId="63" r:id="rId27"/>
    <sheet name="Ethernet - Kansas" sheetId="40" r:id="rId28"/>
    <sheet name="Ethernet - Missouri" sheetId="23" r:id="rId29"/>
    <sheet name="SONET Ring - Kansas" sheetId="41" r:id="rId30"/>
    <sheet name="SONET RING - Missouri" sheetId="13" r:id="rId31"/>
    <sheet name="Aastra EKL Sets" sheetId="64" r:id="rId32"/>
    <sheet name="Tone Commander ISDN Sets" sheetId="44" r:id="rId33"/>
    <sheet name="Lucent CO Compatible Sets" sheetId="45" r:id="rId34"/>
    <sheet name="Plantronics Gear" sheetId="46" r:id="rId35"/>
    <sheet name="Polycom Soundstation " sheetId="69" r:id="rId36"/>
    <sheet name="Analog Centrex Bundle Kansas" sheetId="71" r:id="rId37"/>
    <sheet name="Analog Centrex Bundle Missouri" sheetId="72" r:id="rId38"/>
    <sheet name="ISDN Centrex Bundle Kansas " sheetId="73" r:id="rId39"/>
    <sheet name="ISDN Centrex Bundle Missouri " sheetId="74" r:id="rId40"/>
    <sheet name="KS - LSA Elements Page" sheetId="75" r:id="rId41"/>
    <sheet name="MO - LSA Elements Page" sheetId="76" r:id="rId42"/>
    <sheet name="Sheet3" sheetId="77" r:id="rId43"/>
  </sheets>
  <externalReferences>
    <externalReference r:id="rId44"/>
  </externalReferences>
  <definedNames>
    <definedName name="_Key1" localSheetId="6" hidden="1">#REF!</definedName>
    <definedName name="_Key1" localSheetId="35" hidden="1">#REF!</definedName>
    <definedName name="_Key1" hidden="1">#REF!</definedName>
    <definedName name="_Order1" hidden="1">255</definedName>
    <definedName name="_Parse_Out" localSheetId="6" hidden="1">#REF!</definedName>
    <definedName name="_Parse_Out" localSheetId="35" hidden="1">#REF!</definedName>
    <definedName name="_Parse_Out" hidden="1">#REF!</definedName>
    <definedName name="_Sort" localSheetId="6" hidden="1">#REF!</definedName>
    <definedName name="_Sort" localSheetId="35" hidden="1">#REF!</definedName>
    <definedName name="_Sort" hidden="1">#REF!</definedName>
    <definedName name="ATT" localSheetId="6">#REF!</definedName>
    <definedName name="ATT" localSheetId="35">#REF!</definedName>
    <definedName name="ATT">#REF!</definedName>
    <definedName name="BidorActual" localSheetId="6">#REF!</definedName>
    <definedName name="BidorActual" localSheetId="35">#REF!</definedName>
    <definedName name="BidorActual">#REF!</definedName>
    <definedName name="CAs" localSheetId="6">#REF!</definedName>
    <definedName name="CAs" localSheetId="35">#REF!</definedName>
    <definedName name="CAs">#REF!</definedName>
    <definedName name="CMs" localSheetId="6">#REF!</definedName>
    <definedName name="CMs" localSheetId="35">#REF!</definedName>
    <definedName name="CMs">#REF!</definedName>
    <definedName name="CUST" localSheetId="6">#REF!</definedName>
    <definedName name="CUST" localSheetId="35">#REF!</definedName>
    <definedName name="CUST">#REF!</definedName>
    <definedName name="DETAIL" localSheetId="6">#REF!</definedName>
    <definedName name="DETAIL" localSheetId="35">#REF!</definedName>
    <definedName name="DETAIL">#REF!</definedName>
    <definedName name="dol" localSheetId="6">#REF!</definedName>
    <definedName name="dol" localSheetId="35">#REF!</definedName>
    <definedName name="dol">#REF!</definedName>
    <definedName name="LIST" localSheetId="6">#REF!</definedName>
    <definedName name="LIST" localSheetId="35">#REF!</definedName>
    <definedName name="LIST">#REF!</definedName>
    <definedName name="NAMES">'[1]BID RATES'!$A$6:$M$1676</definedName>
    <definedName name="noaa" localSheetId="6">#REF!</definedName>
    <definedName name="noaa" localSheetId="35">#REF!</definedName>
    <definedName name="noaa">#REF!</definedName>
    <definedName name="PasteHere" localSheetId="6">#REF!</definedName>
    <definedName name="PasteHere" localSheetId="35">#REF!</definedName>
    <definedName name="PasteHere">#REF!</definedName>
    <definedName name="PHONE" localSheetId="6">#REF!</definedName>
    <definedName name="PHONE" localSheetId="35">#REF!</definedName>
    <definedName name="PHONE">#REF!</definedName>
    <definedName name="POOL" localSheetId="6">#REF!</definedName>
    <definedName name="POOL" localSheetId="35">#REF!</definedName>
    <definedName name="POOL">#REF!</definedName>
    <definedName name="POOL2" localSheetId="6">#REF!</definedName>
    <definedName name="POOL2" localSheetId="35">#REF!</definedName>
    <definedName name="POOL2">#REF!</definedName>
    <definedName name="POOL3" localSheetId="6">#REF!</definedName>
    <definedName name="POOL3" localSheetId="35">#REF!</definedName>
    <definedName name="POOL3">#REF!</definedName>
    <definedName name="POOL4" localSheetId="6">#REF!</definedName>
    <definedName name="POOL4" localSheetId="35">#REF!</definedName>
    <definedName name="POOL4">#REF!</definedName>
    <definedName name="POOL5" localSheetId="6">#REF!</definedName>
    <definedName name="POOL5" localSheetId="35">#REF!</definedName>
    <definedName name="POOL5">#REF!</definedName>
    <definedName name="POOLA" localSheetId="6">#REF!</definedName>
    <definedName name="POOLA" localSheetId="35">#REF!</definedName>
    <definedName name="POOLA">#REF!</definedName>
    <definedName name="POOLB" localSheetId="6">#REF!</definedName>
    <definedName name="POOLB" localSheetId="35">#REF!</definedName>
    <definedName name="POOLB">#REF!</definedName>
    <definedName name="POOLC" localSheetId="6">#REF!</definedName>
    <definedName name="POOLC" localSheetId="35">#REF!</definedName>
    <definedName name="POOLC">#REF!</definedName>
    <definedName name="POOLD" localSheetId="6">#REF!</definedName>
    <definedName name="POOLD" localSheetId="35">#REF!</definedName>
    <definedName name="POOLD">#REF!</definedName>
    <definedName name="POOLE" localSheetId="6">#REF!</definedName>
    <definedName name="POOLE" localSheetId="35">#REF!</definedName>
    <definedName name="POOLE">#REF!</definedName>
    <definedName name="POOLG" localSheetId="6">#REF!</definedName>
    <definedName name="POOLG" localSheetId="35">#REF!</definedName>
    <definedName name="POOLG">#REF!</definedName>
    <definedName name="POOLH" localSheetId="6">#REF!</definedName>
    <definedName name="POOLH" localSheetId="35">#REF!</definedName>
    <definedName name="POOLH">#REF!</definedName>
    <definedName name="POOLI" localSheetId="6">#REF!</definedName>
    <definedName name="POOLI" localSheetId="35">#REF!</definedName>
    <definedName name="POOLI">#REF!</definedName>
    <definedName name="POOLJ" localSheetId="6">#REF!</definedName>
    <definedName name="POOLJ" localSheetId="35">#REF!</definedName>
    <definedName name="POOLJ">#REF!</definedName>
    <definedName name="POOLK" localSheetId="6">#REF!</definedName>
    <definedName name="POOLK" localSheetId="35">#REF!</definedName>
    <definedName name="POOLK">#REF!</definedName>
    <definedName name="_xlnm.Print_Area" localSheetId="31">'Aastra EKL Sets'!$A$1:$J$19</definedName>
    <definedName name="_xlnm.Print_Area" localSheetId="5">'Business Lines - Kansas'!$A$1:$J$102</definedName>
    <definedName name="_xlnm.Print_Area" localSheetId="6">'Business Lines - Missouri'!$A$1:$J$108</definedName>
    <definedName name="_xlnm.Print_Area" localSheetId="14">'Centrex - Missouri'!$A$1:$J$104</definedName>
    <definedName name="_xlnm.Print_Area" localSheetId="2">'DID - Missouri'!$A$1:$J$32</definedName>
    <definedName name="_xlnm.Print_Area" localSheetId="4">'DOD &amp; Analog Trunk - Missouri'!$A$1:$J$35</definedName>
    <definedName name="_xlnm.Print_Area" localSheetId="19">'DSL &amp; Cable Modem - KS-MO '!$A$2:$J$101</definedName>
    <definedName name="_xlnm.Print_Area" localSheetId="10">'ISDN BRI - Missouri'!$A$1:$J$80</definedName>
    <definedName name="_xlnm.Print_Area" localSheetId="11">'ISDN PRI - Kansas'!$A$1:$J$43</definedName>
    <definedName name="_xlnm.Print_Area" localSheetId="12">'ISDN PRI - Missouri'!$A$1:$J$46</definedName>
    <definedName name="_xlnm.Print_Area" localSheetId="33">'Lucent CO Compatible Sets'!$A$1:$I$23</definedName>
    <definedName name="_xlnm.Print_Area" localSheetId="25">'Other - Kansas '!$A$1:$I$61</definedName>
    <definedName name="_xlnm.Print_Area" localSheetId="26">'Other - Missouri '!$A$1:$I$59</definedName>
    <definedName name="_xlnm.Print_Area" localSheetId="35">'Polycom Soundstation '!$A$1:$J$23</definedName>
    <definedName name="_xlnm.Print_Area" localSheetId="8">'Private Line - Missouri'!$A$1:$J$46</definedName>
    <definedName name="_xlnm.Print_Area" localSheetId="30">'SONET RING - Missouri'!$A$1:$J$37</definedName>
    <definedName name="_xlnm.Print_Area" localSheetId="24">'Super Trunk - Missouri'!$A$1:$K$26</definedName>
    <definedName name="_xlnm.Print_Area" localSheetId="16">'Tie - OPX - Missouri'!$A$1:$J$65</definedName>
    <definedName name="_xlnm.Print_Area" localSheetId="32">'Tone Commander ISDN Sets'!$A$1:$J$19</definedName>
    <definedName name="_xlnm.Print_Area" localSheetId="18">'TSP - Missouri'!$A$1:$J$24</definedName>
    <definedName name="_xlnm.Print_Titles" localSheetId="5">'Business Lines - Kansas'!$1:$9</definedName>
    <definedName name="_xlnm.Print_Titles" localSheetId="6">'Business Lines - Missouri'!$1:$9</definedName>
    <definedName name="_xlnm.Print_Titles" localSheetId="13">'Centrex - Kansas '!$1:$8</definedName>
    <definedName name="_xlnm.Print_Titles" localSheetId="14">'Centrex - Missouri'!$1:$9</definedName>
    <definedName name="_xlnm.Print_Titles" localSheetId="2">'DID - Missouri'!$1:$9</definedName>
    <definedName name="_xlnm.Print_Titles" localSheetId="3">'DOD &amp; Analog - Kansas'!$1:$9</definedName>
    <definedName name="_xlnm.Print_Titles" localSheetId="4">'DOD &amp; Analog Trunk - Missouri'!$1:$9</definedName>
    <definedName name="_xlnm.Print_Titles" localSheetId="19">'DSL &amp; Cable Modem - KS-MO '!$1:$9</definedName>
    <definedName name="_xlnm.Print_Titles" localSheetId="27">'Ethernet - Kansas'!$1:$8</definedName>
    <definedName name="_xlnm.Print_Titles" localSheetId="28">'Ethernet - Missouri'!$1:$9</definedName>
    <definedName name="_xlnm.Print_Titles" localSheetId="20">'IP Services - KS, MO, NE, IA'!$1:$9</definedName>
    <definedName name="_xlnm.Print_Titles" localSheetId="9">'ISDN BRI - Kansas'!$1:$9</definedName>
    <definedName name="_xlnm.Print_Titles" localSheetId="10">'ISDN BRI - Missouri'!$1:$9</definedName>
    <definedName name="_xlnm.Print_Titles" localSheetId="11">'ISDN PRI - Kansas'!$1:$9</definedName>
    <definedName name="_xlnm.Print_Titles" localSheetId="12">'ISDN PRI - Missouri'!$1:$9</definedName>
    <definedName name="_xlnm.Print_Titles" localSheetId="33">'Lucent CO Compatible Sets'!$1:$9</definedName>
    <definedName name="_xlnm.Print_Titles" localSheetId="26">'Other - Missouri '!$1:$9</definedName>
    <definedName name="_xlnm.Print_Titles" localSheetId="35">'Polycom Soundstation '!$1:$9</definedName>
    <definedName name="_xlnm.Print_Titles" localSheetId="7">'Private Line - Kansas '!$1:$9</definedName>
    <definedName name="_xlnm.Print_Titles" localSheetId="8">'Private Line - Missouri'!$1:$9</definedName>
    <definedName name="_xlnm.Print_Titles" localSheetId="30">'SONET RING - Missouri'!$1:$9</definedName>
    <definedName name="_xlnm.Print_Titles" localSheetId="24">'Super Trunk - Missouri'!$1:$9</definedName>
    <definedName name="_xlnm.Print_Titles" localSheetId="16">'Tie - OPX - Missouri'!$1:$8</definedName>
    <definedName name="Q_BidRate_Ucot" localSheetId="6">#REF!</definedName>
    <definedName name="Q_BidRate_Ucot" localSheetId="35">#REF!</definedName>
    <definedName name="Q_BidRate_Ucot">#REF!</definedName>
    <definedName name="Q_BIDRATE6" localSheetId="6">#REF!</definedName>
    <definedName name="Q_BIDRATE6" localSheetId="35">#REF!</definedName>
    <definedName name="Q_BIDRATE6">#REF!</definedName>
    <definedName name="Q_GSI_BIDRATE_MS4" localSheetId="6">#REF!</definedName>
    <definedName name="Q_GSI_BIDRATE_MS4" localSheetId="35">#REF!</definedName>
    <definedName name="Q_GSI_BIDRATE_MS4">#REF!</definedName>
    <definedName name="Q_GSI_BIDRATE7_MS" localSheetId="6">#REF!</definedName>
    <definedName name="Q_GSI_BIDRATE7_MS" localSheetId="35">#REF!</definedName>
    <definedName name="Q_GSI_BIDRATE7_MS">#REF!</definedName>
    <definedName name="RatesMarch2007" localSheetId="6">#REF!</definedName>
    <definedName name="RatesMarch2007" localSheetId="35">#REF!</definedName>
    <definedName name="RatesMarch2007">#REF!</definedName>
    <definedName name="TABLE" localSheetId="6">#REF!</definedName>
    <definedName name="TABLE" localSheetId="35">#REF!</definedName>
    <definedName name="TABLE">#REF!</definedName>
    <definedName name="TranslationName" localSheetId="6">#REF!</definedName>
    <definedName name="TranslationName" localSheetId="35">#REF!</definedName>
    <definedName name="TranslationName">#REF!</definedName>
    <definedName name="UCOT" localSheetId="6">#REF!</definedName>
    <definedName name="UCOT" localSheetId="35">#REF!</definedName>
    <definedName name="UCOT">#REF!</definedName>
    <definedName name="VARIANCE" localSheetId="6">#REF!</definedName>
    <definedName name="VARIANCE" localSheetId="35">#REF!</definedName>
    <definedName name="VARIANCE">#REF!</definedName>
    <definedName name="XJOBRANGE" localSheetId="6">#REF!</definedName>
    <definedName name="XJOBRANGE" localSheetId="35">#REF!</definedName>
    <definedName name="XJOBRANGE">#REF!</definedName>
  </definedNames>
  <calcPr calcId="125725"/>
</workbook>
</file>

<file path=xl/calcChain.xml><?xml version="1.0" encoding="utf-8"?>
<calcChain xmlns="http://schemas.openxmlformats.org/spreadsheetml/2006/main">
  <c r="E70" i="51"/>
  <c r="F48"/>
  <c r="F24"/>
  <c r="E78"/>
  <c r="E16" i="70"/>
  <c r="F58"/>
  <c r="E86" i="4"/>
  <c r="E85"/>
  <c r="E84"/>
  <c r="E83"/>
  <c r="E82"/>
  <c r="E81"/>
  <c r="E80"/>
  <c r="E79"/>
  <c r="E78"/>
  <c r="E77"/>
  <c r="F76"/>
  <c r="E76"/>
  <c r="E73"/>
  <c r="E72"/>
  <c r="E71"/>
  <c r="E70"/>
  <c r="E69"/>
  <c r="E68"/>
  <c r="E67"/>
  <c r="E66"/>
  <c r="E65"/>
  <c r="E64"/>
  <c r="F63"/>
  <c r="E63"/>
  <c r="F62"/>
  <c r="E62"/>
  <c r="E58" i="57"/>
  <c r="E57"/>
  <c r="E56"/>
  <c r="E55"/>
  <c r="E54"/>
  <c r="E53"/>
  <c r="E52"/>
  <c r="E51"/>
  <c r="E50"/>
  <c r="E49"/>
  <c r="F48"/>
  <c r="E48"/>
  <c r="E45"/>
  <c r="E44"/>
  <c r="E43"/>
  <c r="E42"/>
  <c r="E41"/>
  <c r="E40"/>
  <c r="E39"/>
  <c r="E38"/>
  <c r="E37"/>
  <c r="E36"/>
  <c r="F35"/>
  <c r="E35"/>
  <c r="F34"/>
  <c r="E34"/>
  <c r="L11" i="74" l="1"/>
  <c r="J11" s="1"/>
  <c r="L105"/>
  <c r="I105"/>
  <c r="J105" s="1"/>
  <c r="H105"/>
  <c r="F105"/>
  <c r="L104"/>
  <c r="I104"/>
  <c r="J104" s="1"/>
  <c r="H104"/>
  <c r="F104"/>
  <c r="L103"/>
  <c r="J103"/>
  <c r="I103"/>
  <c r="H103"/>
  <c r="F103"/>
  <c r="L102"/>
  <c r="J102"/>
  <c r="G102"/>
  <c r="H102" s="1"/>
  <c r="F102"/>
  <c r="L101"/>
  <c r="J101"/>
  <c r="H101"/>
  <c r="F101"/>
  <c r="L100"/>
  <c r="J100"/>
  <c r="H100"/>
  <c r="F100"/>
  <c r="L99"/>
  <c r="J99"/>
  <c r="H99"/>
  <c r="F99"/>
  <c r="L98"/>
  <c r="J98"/>
  <c r="H98"/>
  <c r="F98"/>
  <c r="L97"/>
  <c r="J97"/>
  <c r="H97"/>
  <c r="F97"/>
  <c r="L96"/>
  <c r="J96"/>
  <c r="H96"/>
  <c r="F96"/>
  <c r="L95"/>
  <c r="J95"/>
  <c r="H95"/>
  <c r="F95"/>
  <c r="L94"/>
  <c r="J94"/>
  <c r="H94"/>
  <c r="F94"/>
  <c r="L93"/>
  <c r="J93"/>
  <c r="H93"/>
  <c r="F93"/>
  <c r="L92"/>
  <c r="J92"/>
  <c r="H92"/>
  <c r="F92"/>
  <c r="L91"/>
  <c r="J91"/>
  <c r="H91"/>
  <c r="F91"/>
  <c r="L90"/>
  <c r="J90"/>
  <c r="H90"/>
  <c r="F90"/>
  <c r="L89"/>
  <c r="J89"/>
  <c r="H89"/>
  <c r="F89"/>
  <c r="L88"/>
  <c r="J88"/>
  <c r="H88"/>
  <c r="F88"/>
  <c r="L87"/>
  <c r="J87"/>
  <c r="G87"/>
  <c r="H87" s="1"/>
  <c r="H106" s="1"/>
  <c r="F87"/>
  <c r="F106" s="1"/>
  <c r="G86"/>
  <c r="H86" s="1"/>
  <c r="F86"/>
  <c r="L85"/>
  <c r="J85"/>
  <c r="G85"/>
  <c r="H85" s="1"/>
  <c r="F85"/>
  <c r="L80"/>
  <c r="I80"/>
  <c r="J80" s="1"/>
  <c r="H80"/>
  <c r="F80"/>
  <c r="L79"/>
  <c r="I79"/>
  <c r="J79" s="1"/>
  <c r="H79"/>
  <c r="F79"/>
  <c r="L78"/>
  <c r="I78"/>
  <c r="J78" s="1"/>
  <c r="H78"/>
  <c r="F78"/>
  <c r="L77"/>
  <c r="G77"/>
  <c r="H77" s="1"/>
  <c r="F77"/>
  <c r="L76"/>
  <c r="J76"/>
  <c r="H76"/>
  <c r="F76"/>
  <c r="L75"/>
  <c r="J75"/>
  <c r="H75"/>
  <c r="F75"/>
  <c r="L74"/>
  <c r="J74"/>
  <c r="H74"/>
  <c r="F74"/>
  <c r="L73"/>
  <c r="J73"/>
  <c r="H73"/>
  <c r="F73"/>
  <c r="L72"/>
  <c r="J72"/>
  <c r="H72"/>
  <c r="F72"/>
  <c r="L71"/>
  <c r="J71"/>
  <c r="H71"/>
  <c r="F71"/>
  <c r="L70"/>
  <c r="J70"/>
  <c r="H70"/>
  <c r="F70"/>
  <c r="L69"/>
  <c r="J69"/>
  <c r="H69"/>
  <c r="F69"/>
  <c r="L68"/>
  <c r="J68"/>
  <c r="H68"/>
  <c r="F68"/>
  <c r="L67"/>
  <c r="J67"/>
  <c r="H67"/>
  <c r="F67"/>
  <c r="L66"/>
  <c r="J66"/>
  <c r="H66"/>
  <c r="F66"/>
  <c r="L65"/>
  <c r="J65"/>
  <c r="H65"/>
  <c r="F65"/>
  <c r="L64"/>
  <c r="J64"/>
  <c r="H64"/>
  <c r="F64"/>
  <c r="L63"/>
  <c r="J63"/>
  <c r="H63"/>
  <c r="F63"/>
  <c r="L62"/>
  <c r="J62"/>
  <c r="J61" s="1"/>
  <c r="G62"/>
  <c r="H62" s="1"/>
  <c r="H81" s="1"/>
  <c r="F62"/>
  <c r="F81" s="1"/>
  <c r="G61"/>
  <c r="H61" s="1"/>
  <c r="F61"/>
  <c r="L60"/>
  <c r="G60"/>
  <c r="H60" s="1"/>
  <c r="F60"/>
  <c r="L55"/>
  <c r="I55"/>
  <c r="J55" s="1"/>
  <c r="H55"/>
  <c r="F55"/>
  <c r="L54"/>
  <c r="I54"/>
  <c r="J54" s="1"/>
  <c r="H54"/>
  <c r="F54"/>
  <c r="L53"/>
  <c r="I53"/>
  <c r="J53" s="1"/>
  <c r="H53"/>
  <c r="F53"/>
  <c r="L52"/>
  <c r="J52"/>
  <c r="H52"/>
  <c r="G52"/>
  <c r="F52"/>
  <c r="L51"/>
  <c r="J51"/>
  <c r="H51"/>
  <c r="F51"/>
  <c r="L50"/>
  <c r="J50"/>
  <c r="H50"/>
  <c r="F50"/>
  <c r="L49"/>
  <c r="J49"/>
  <c r="H49"/>
  <c r="F49"/>
  <c r="L48"/>
  <c r="J48"/>
  <c r="H48"/>
  <c r="F48"/>
  <c r="L47"/>
  <c r="J47"/>
  <c r="H47"/>
  <c r="F47"/>
  <c r="L46"/>
  <c r="J46"/>
  <c r="H46"/>
  <c r="F46"/>
  <c r="L45"/>
  <c r="J45"/>
  <c r="H45"/>
  <c r="F45"/>
  <c r="L44"/>
  <c r="J44"/>
  <c r="H44"/>
  <c r="F44"/>
  <c r="L43"/>
  <c r="J43"/>
  <c r="H43"/>
  <c r="F43"/>
  <c r="L42"/>
  <c r="J42"/>
  <c r="H42"/>
  <c r="F42"/>
  <c r="L41"/>
  <c r="J41"/>
  <c r="H41"/>
  <c r="F41"/>
  <c r="L40"/>
  <c r="J40"/>
  <c r="H40"/>
  <c r="F40"/>
  <c r="L39"/>
  <c r="J39"/>
  <c r="H39"/>
  <c r="F39"/>
  <c r="L38"/>
  <c r="J38"/>
  <c r="H38"/>
  <c r="F38"/>
  <c r="L37"/>
  <c r="J37"/>
  <c r="G37"/>
  <c r="H37" s="1"/>
  <c r="H56" s="1"/>
  <c r="F37"/>
  <c r="F56" s="1"/>
  <c r="J36"/>
  <c r="G36"/>
  <c r="H36" s="1"/>
  <c r="F36"/>
  <c r="L35"/>
  <c r="L57" s="1"/>
  <c r="J35"/>
  <c r="H35"/>
  <c r="G35"/>
  <c r="F35"/>
  <c r="I30"/>
  <c r="D30"/>
  <c r="L30" s="1"/>
  <c r="L29"/>
  <c r="I29"/>
  <c r="J29" s="1"/>
  <c r="H29"/>
  <c r="F29"/>
  <c r="L28"/>
  <c r="I28"/>
  <c r="J28" s="1"/>
  <c r="H28"/>
  <c r="F28"/>
  <c r="L27"/>
  <c r="H27"/>
  <c r="G27"/>
  <c r="F27"/>
  <c r="L26"/>
  <c r="J26"/>
  <c r="H26"/>
  <c r="F26"/>
  <c r="L25"/>
  <c r="J25"/>
  <c r="H25"/>
  <c r="F25"/>
  <c r="L24"/>
  <c r="J24"/>
  <c r="H24"/>
  <c r="F24"/>
  <c r="L23"/>
  <c r="J23"/>
  <c r="H23"/>
  <c r="F23"/>
  <c r="L22"/>
  <c r="J22"/>
  <c r="H22"/>
  <c r="F22"/>
  <c r="L21"/>
  <c r="J21"/>
  <c r="H21"/>
  <c r="F21"/>
  <c r="L20"/>
  <c r="J20"/>
  <c r="H20"/>
  <c r="F20"/>
  <c r="L19"/>
  <c r="J19"/>
  <c r="H19"/>
  <c r="F19"/>
  <c r="L18"/>
  <c r="J18"/>
  <c r="H18"/>
  <c r="F18"/>
  <c r="L17"/>
  <c r="J17"/>
  <c r="H17"/>
  <c r="F17"/>
  <c r="L16"/>
  <c r="J16"/>
  <c r="H16"/>
  <c r="F16"/>
  <c r="L15"/>
  <c r="J15"/>
  <c r="H15"/>
  <c r="F15"/>
  <c r="L14"/>
  <c r="J14"/>
  <c r="H14"/>
  <c r="F14"/>
  <c r="L13"/>
  <c r="J13"/>
  <c r="H13"/>
  <c r="F13"/>
  <c r="L12"/>
  <c r="J12"/>
  <c r="G12"/>
  <c r="H12" s="1"/>
  <c r="H31" s="1"/>
  <c r="F12"/>
  <c r="F31" s="1"/>
  <c r="G11"/>
  <c r="H11" s="1"/>
  <c r="F11"/>
  <c r="L10"/>
  <c r="G10"/>
  <c r="H10" s="1"/>
  <c r="F10"/>
  <c r="H82" i="73"/>
  <c r="L81"/>
  <c r="I81"/>
  <c r="J81" s="1"/>
  <c r="F81"/>
  <c r="L80"/>
  <c r="I80"/>
  <c r="J80" s="1"/>
  <c r="F80"/>
  <c r="L79"/>
  <c r="I79"/>
  <c r="J79" s="1"/>
  <c r="F79"/>
  <c r="L78"/>
  <c r="I78"/>
  <c r="J78" s="1"/>
  <c r="G78"/>
  <c r="H78" s="1"/>
  <c r="F78"/>
  <c r="L77"/>
  <c r="J77"/>
  <c r="F77"/>
  <c r="L76"/>
  <c r="J76"/>
  <c r="F76"/>
  <c r="L75"/>
  <c r="J75"/>
  <c r="F75"/>
  <c r="L74"/>
  <c r="J74"/>
  <c r="F74"/>
  <c r="L73"/>
  <c r="J73"/>
  <c r="F73"/>
  <c r="L72"/>
  <c r="J72"/>
  <c r="F72"/>
  <c r="L71"/>
  <c r="J71"/>
  <c r="F71"/>
  <c r="L70"/>
  <c r="J70"/>
  <c r="F70"/>
  <c r="L69"/>
  <c r="J69"/>
  <c r="F69"/>
  <c r="F82" s="1"/>
  <c r="L68"/>
  <c r="J68"/>
  <c r="H68"/>
  <c r="F68"/>
  <c r="L67"/>
  <c r="I67"/>
  <c r="J67" s="1"/>
  <c r="G67"/>
  <c r="H67" s="1"/>
  <c r="F67"/>
  <c r="L62"/>
  <c r="I62"/>
  <c r="J62" s="1"/>
  <c r="H62"/>
  <c r="F62"/>
  <c r="L61"/>
  <c r="I61"/>
  <c r="J61" s="1"/>
  <c r="H61"/>
  <c r="F61"/>
  <c r="L60"/>
  <c r="I60"/>
  <c r="J60" s="1"/>
  <c r="H60"/>
  <c r="F60"/>
  <c r="L59"/>
  <c r="J59"/>
  <c r="G59"/>
  <c r="H59" s="1"/>
  <c r="F59"/>
  <c r="L58"/>
  <c r="J58"/>
  <c r="H58"/>
  <c r="F58"/>
  <c r="L57"/>
  <c r="J57"/>
  <c r="H57"/>
  <c r="F57"/>
  <c r="L56"/>
  <c r="J56"/>
  <c r="H56"/>
  <c r="F56"/>
  <c r="L55"/>
  <c r="J55"/>
  <c r="H55"/>
  <c r="F55"/>
  <c r="L54"/>
  <c r="J54"/>
  <c r="H54"/>
  <c r="F54"/>
  <c r="L53"/>
  <c r="J53"/>
  <c r="H53"/>
  <c r="F53"/>
  <c r="L52"/>
  <c r="J52"/>
  <c r="H52"/>
  <c r="F52"/>
  <c r="L51"/>
  <c r="J51"/>
  <c r="H51"/>
  <c r="F51"/>
  <c r="L50"/>
  <c r="J50"/>
  <c r="G50"/>
  <c r="H50" s="1"/>
  <c r="H63" s="1"/>
  <c r="F50"/>
  <c r="F63" s="1"/>
  <c r="L49"/>
  <c r="J49"/>
  <c r="G49"/>
  <c r="H49" s="1"/>
  <c r="F49"/>
  <c r="L48"/>
  <c r="L64" s="1"/>
  <c r="I48"/>
  <c r="J48" s="1"/>
  <c r="G48"/>
  <c r="H48" s="1"/>
  <c r="F48"/>
  <c r="L43"/>
  <c r="I43"/>
  <c r="J43" s="1"/>
  <c r="H43"/>
  <c r="F43"/>
  <c r="L42"/>
  <c r="I42"/>
  <c r="J42" s="1"/>
  <c r="H42"/>
  <c r="F42"/>
  <c r="L41"/>
  <c r="I41"/>
  <c r="J41" s="1"/>
  <c r="H41"/>
  <c r="F41"/>
  <c r="L40"/>
  <c r="I40"/>
  <c r="J40" s="1"/>
  <c r="G40"/>
  <c r="H40" s="1"/>
  <c r="F40"/>
  <c r="L39"/>
  <c r="J39"/>
  <c r="H39"/>
  <c r="F39"/>
  <c r="L38"/>
  <c r="J38"/>
  <c r="H38"/>
  <c r="F38"/>
  <c r="L37"/>
  <c r="J37"/>
  <c r="H37"/>
  <c r="F37"/>
  <c r="L36"/>
  <c r="J36"/>
  <c r="H36"/>
  <c r="F36"/>
  <c r="L35"/>
  <c r="J35"/>
  <c r="H35"/>
  <c r="F35"/>
  <c r="L34"/>
  <c r="J34"/>
  <c r="H34"/>
  <c r="F34"/>
  <c r="L33"/>
  <c r="J33"/>
  <c r="H33"/>
  <c r="F33"/>
  <c r="L32"/>
  <c r="J32"/>
  <c r="H32"/>
  <c r="F32"/>
  <c r="L31"/>
  <c r="J31"/>
  <c r="H31"/>
  <c r="H44" s="1"/>
  <c r="F31"/>
  <c r="F44" s="1"/>
  <c r="L30"/>
  <c r="J30"/>
  <c r="H30"/>
  <c r="F30"/>
  <c r="L29"/>
  <c r="L45" s="1"/>
  <c r="I29"/>
  <c r="J29" s="1"/>
  <c r="G29"/>
  <c r="H29" s="1"/>
  <c r="F29"/>
  <c r="I24"/>
  <c r="H24"/>
  <c r="D24"/>
  <c r="L24" s="1"/>
  <c r="L23"/>
  <c r="I23"/>
  <c r="J23" s="1"/>
  <c r="H23"/>
  <c r="F23"/>
  <c r="L22"/>
  <c r="I22"/>
  <c r="J22" s="1"/>
  <c r="H22"/>
  <c r="F22"/>
  <c r="L21"/>
  <c r="J21"/>
  <c r="G21"/>
  <c r="H21" s="1"/>
  <c r="F21"/>
  <c r="L20"/>
  <c r="J20"/>
  <c r="H20"/>
  <c r="F20"/>
  <c r="L19"/>
  <c r="J19"/>
  <c r="H19"/>
  <c r="F19"/>
  <c r="L18"/>
  <c r="J18"/>
  <c r="H18"/>
  <c r="F18"/>
  <c r="L17"/>
  <c r="J17"/>
  <c r="H17"/>
  <c r="F17"/>
  <c r="L16"/>
  <c r="J16"/>
  <c r="H16"/>
  <c r="F16"/>
  <c r="L15"/>
  <c r="J15"/>
  <c r="H15"/>
  <c r="F15"/>
  <c r="L14"/>
  <c r="J14"/>
  <c r="H14"/>
  <c r="F14"/>
  <c r="L13"/>
  <c r="J13"/>
  <c r="H13"/>
  <c r="F13"/>
  <c r="L12"/>
  <c r="J12"/>
  <c r="G12"/>
  <c r="H12" s="1"/>
  <c r="H25" s="1"/>
  <c r="F12"/>
  <c r="F25" s="1"/>
  <c r="L11"/>
  <c r="J11"/>
  <c r="G11"/>
  <c r="H11" s="1"/>
  <c r="F11"/>
  <c r="L10"/>
  <c r="I10"/>
  <c r="J10" s="1"/>
  <c r="G10"/>
  <c r="H10" s="1"/>
  <c r="F10"/>
  <c r="L68" i="72"/>
  <c r="I68"/>
  <c r="J68" s="1"/>
  <c r="H68"/>
  <c r="F68"/>
  <c r="L67"/>
  <c r="I67"/>
  <c r="J67" s="1"/>
  <c r="G67"/>
  <c r="H67" s="1"/>
  <c r="F67"/>
  <c r="L62"/>
  <c r="J62"/>
  <c r="H62"/>
  <c r="F62"/>
  <c r="L61"/>
  <c r="J61"/>
  <c r="H61"/>
  <c r="F61"/>
  <c r="L60"/>
  <c r="G60"/>
  <c r="H60" s="1"/>
  <c r="F60"/>
  <c r="L59"/>
  <c r="J59"/>
  <c r="H59"/>
  <c r="F59"/>
  <c r="L58"/>
  <c r="J58"/>
  <c r="H58"/>
  <c r="F58"/>
  <c r="L57"/>
  <c r="J57"/>
  <c r="H57"/>
  <c r="F57"/>
  <c r="L56"/>
  <c r="J56"/>
  <c r="H56"/>
  <c r="F56"/>
  <c r="L55"/>
  <c r="J55"/>
  <c r="H55"/>
  <c r="F55"/>
  <c r="L54"/>
  <c r="J54"/>
  <c r="H54"/>
  <c r="F54"/>
  <c r="L53"/>
  <c r="J53"/>
  <c r="H53"/>
  <c r="F53"/>
  <c r="L52"/>
  <c r="J52"/>
  <c r="H52"/>
  <c r="F52"/>
  <c r="L51"/>
  <c r="J51"/>
  <c r="H51"/>
  <c r="F51"/>
  <c r="L50"/>
  <c r="J50"/>
  <c r="H50"/>
  <c r="F50"/>
  <c r="L49"/>
  <c r="J49"/>
  <c r="G49"/>
  <c r="H49" s="1"/>
  <c r="H63" s="1"/>
  <c r="F49"/>
  <c r="F63" s="1"/>
  <c r="L48"/>
  <c r="J48"/>
  <c r="G48"/>
  <c r="H48" s="1"/>
  <c r="F48"/>
  <c r="L43"/>
  <c r="I43"/>
  <c r="J43" s="1"/>
  <c r="H43"/>
  <c r="F43"/>
  <c r="L42"/>
  <c r="I42"/>
  <c r="J42" s="1"/>
  <c r="H42"/>
  <c r="F42"/>
  <c r="L41"/>
  <c r="G41"/>
  <c r="H41" s="1"/>
  <c r="F41"/>
  <c r="L40"/>
  <c r="J40"/>
  <c r="H40"/>
  <c r="F40"/>
  <c r="L39"/>
  <c r="J39"/>
  <c r="H39"/>
  <c r="F39"/>
  <c r="L38"/>
  <c r="J38"/>
  <c r="H38"/>
  <c r="F38"/>
  <c r="L37"/>
  <c r="J37"/>
  <c r="H37"/>
  <c r="F37"/>
  <c r="L36"/>
  <c r="J36"/>
  <c r="H36"/>
  <c r="F36"/>
  <c r="L35"/>
  <c r="J35"/>
  <c r="H35"/>
  <c r="F35"/>
  <c r="L34"/>
  <c r="J34"/>
  <c r="H34"/>
  <c r="F34"/>
  <c r="L33"/>
  <c r="J33"/>
  <c r="H33"/>
  <c r="F33"/>
  <c r="L32"/>
  <c r="J32"/>
  <c r="H32"/>
  <c r="F32"/>
  <c r="L31"/>
  <c r="J31"/>
  <c r="H31"/>
  <c r="F31"/>
  <c r="L30"/>
  <c r="J30"/>
  <c r="G30"/>
  <c r="H30" s="1"/>
  <c r="H44" s="1"/>
  <c r="F30"/>
  <c r="F44" s="1"/>
  <c r="L29"/>
  <c r="I29"/>
  <c r="J29" s="1"/>
  <c r="G29"/>
  <c r="H29" s="1"/>
  <c r="F29"/>
  <c r="L24"/>
  <c r="I24"/>
  <c r="J24" s="1"/>
  <c r="H24"/>
  <c r="F24"/>
  <c r="L23"/>
  <c r="I23"/>
  <c r="J23" s="1"/>
  <c r="H23"/>
  <c r="F23"/>
  <c r="L22"/>
  <c r="G22"/>
  <c r="H22" s="1"/>
  <c r="F22"/>
  <c r="L21"/>
  <c r="J21"/>
  <c r="H21"/>
  <c r="F21"/>
  <c r="L20"/>
  <c r="J20"/>
  <c r="H20"/>
  <c r="F20"/>
  <c r="L19"/>
  <c r="J19"/>
  <c r="H19"/>
  <c r="F19"/>
  <c r="L18"/>
  <c r="J18"/>
  <c r="H18"/>
  <c r="F18"/>
  <c r="L17"/>
  <c r="J17"/>
  <c r="H17"/>
  <c r="F17"/>
  <c r="L16"/>
  <c r="J16"/>
  <c r="H16"/>
  <c r="F16"/>
  <c r="L15"/>
  <c r="J15"/>
  <c r="H15"/>
  <c r="F15"/>
  <c r="L14"/>
  <c r="J14"/>
  <c r="H14"/>
  <c r="F14"/>
  <c r="L13"/>
  <c r="J13"/>
  <c r="H13"/>
  <c r="F13"/>
  <c r="L12"/>
  <c r="J12"/>
  <c r="H12"/>
  <c r="F12"/>
  <c r="L11"/>
  <c r="J11"/>
  <c r="G11"/>
  <c r="H11" s="1"/>
  <c r="H25" s="1"/>
  <c r="F11"/>
  <c r="F25" s="1"/>
  <c r="L10"/>
  <c r="G10"/>
  <c r="H10" s="1"/>
  <c r="F10"/>
  <c r="L54" i="71"/>
  <c r="I54"/>
  <c r="J54" s="1"/>
  <c r="H54"/>
  <c r="F54"/>
  <c r="L53"/>
  <c r="L55" s="1"/>
  <c r="I53"/>
  <c r="J53" s="1"/>
  <c r="J55" s="1"/>
  <c r="G53"/>
  <c r="H53" s="1"/>
  <c r="F53"/>
  <c r="F56" s="1"/>
  <c r="L48"/>
  <c r="J48"/>
  <c r="I48"/>
  <c r="H48"/>
  <c r="F48"/>
  <c r="L47"/>
  <c r="J47"/>
  <c r="H47"/>
  <c r="F47"/>
  <c r="L46"/>
  <c r="J46"/>
  <c r="G46"/>
  <c r="H46" s="1"/>
  <c r="F46"/>
  <c r="L45"/>
  <c r="J45"/>
  <c r="H45"/>
  <c r="F45"/>
  <c r="L44"/>
  <c r="J44"/>
  <c r="H44"/>
  <c r="F44"/>
  <c r="L43"/>
  <c r="J43"/>
  <c r="H43"/>
  <c r="F43"/>
  <c r="L42"/>
  <c r="J42"/>
  <c r="H42"/>
  <c r="F42"/>
  <c r="L41"/>
  <c r="J41"/>
  <c r="H41"/>
  <c r="F41"/>
  <c r="L40"/>
  <c r="J40"/>
  <c r="G40"/>
  <c r="H40" s="1"/>
  <c r="H49" s="1"/>
  <c r="F40"/>
  <c r="F49" s="1"/>
  <c r="L39"/>
  <c r="I39"/>
  <c r="J39" s="1"/>
  <c r="J49" s="1"/>
  <c r="J50" s="1"/>
  <c r="H39"/>
  <c r="G39"/>
  <c r="F39"/>
  <c r="L34"/>
  <c r="J34"/>
  <c r="H34"/>
  <c r="F34"/>
  <c r="L33"/>
  <c r="J33"/>
  <c r="I33"/>
  <c r="H33"/>
  <c r="F33"/>
  <c r="L32"/>
  <c r="J32"/>
  <c r="G32"/>
  <c r="H32" s="1"/>
  <c r="F32"/>
  <c r="L31"/>
  <c r="J31"/>
  <c r="H31"/>
  <c r="F31"/>
  <c r="L30"/>
  <c r="J30"/>
  <c r="H30"/>
  <c r="F30"/>
  <c r="L29"/>
  <c r="J29"/>
  <c r="H29"/>
  <c r="F29"/>
  <c r="L28"/>
  <c r="J28"/>
  <c r="H28"/>
  <c r="F28"/>
  <c r="L27"/>
  <c r="J27"/>
  <c r="H27"/>
  <c r="F27"/>
  <c r="L26"/>
  <c r="J26"/>
  <c r="G26"/>
  <c r="H26" s="1"/>
  <c r="H35" s="1"/>
  <c r="F26"/>
  <c r="F35" s="1"/>
  <c r="L25"/>
  <c r="I25"/>
  <c r="J25" s="1"/>
  <c r="G25"/>
  <c r="H25" s="1"/>
  <c r="F25"/>
  <c r="L19"/>
  <c r="J19"/>
  <c r="H19"/>
  <c r="F19"/>
  <c r="L18"/>
  <c r="J18"/>
  <c r="H18"/>
  <c r="F18"/>
  <c r="L17"/>
  <c r="J17"/>
  <c r="G17"/>
  <c r="H17" s="1"/>
  <c r="F17"/>
  <c r="L16"/>
  <c r="J16"/>
  <c r="H16"/>
  <c r="F16"/>
  <c r="L15"/>
  <c r="J15"/>
  <c r="H15"/>
  <c r="F15"/>
  <c r="L14"/>
  <c r="J14"/>
  <c r="H14"/>
  <c r="F14"/>
  <c r="L13"/>
  <c r="J13"/>
  <c r="H13"/>
  <c r="F13"/>
  <c r="L12"/>
  <c r="J12"/>
  <c r="H12"/>
  <c r="F12"/>
  <c r="L11"/>
  <c r="J11"/>
  <c r="G11"/>
  <c r="H11" s="1"/>
  <c r="H20" s="1"/>
  <c r="F11"/>
  <c r="F20" s="1"/>
  <c r="L10"/>
  <c r="I10"/>
  <c r="J10" s="1"/>
  <c r="J20" s="1"/>
  <c r="J21" s="1"/>
  <c r="G10"/>
  <c r="H10" s="1"/>
  <c r="F10"/>
  <c r="F106" i="70"/>
  <c r="F105"/>
  <c r="E105"/>
  <c r="F104"/>
  <c r="E104"/>
  <c r="F103"/>
  <c r="E103"/>
  <c r="F102"/>
  <c r="E102"/>
  <c r="F101"/>
  <c r="E101"/>
  <c r="F100"/>
  <c r="F99"/>
  <c r="E99"/>
  <c r="F98"/>
  <c r="E98"/>
  <c r="F95"/>
  <c r="E95"/>
  <c r="F94"/>
  <c r="E94"/>
  <c r="F93"/>
  <c r="E93"/>
  <c r="F92"/>
  <c r="E92"/>
  <c r="F91"/>
  <c r="E91"/>
  <c r="F90"/>
  <c r="E90"/>
  <c r="F89"/>
  <c r="E89"/>
  <c r="F88"/>
  <c r="E88"/>
  <c r="F87"/>
  <c r="E87"/>
  <c r="F86"/>
  <c r="E86"/>
  <c r="E83"/>
  <c r="E81"/>
  <c r="G79"/>
  <c r="G78"/>
  <c r="G77"/>
  <c r="G76"/>
  <c r="E76"/>
  <c r="G75"/>
  <c r="E75"/>
  <c r="G74"/>
  <c r="E74"/>
  <c r="G73"/>
  <c r="E73"/>
  <c r="G72"/>
  <c r="E72"/>
  <c r="G71"/>
  <c r="E71"/>
  <c r="G70"/>
  <c r="E70"/>
  <c r="E69"/>
  <c r="E67"/>
  <c r="E66"/>
  <c r="E65"/>
  <c r="E64"/>
  <c r="E63"/>
  <c r="E57"/>
  <c r="G56"/>
  <c r="E56"/>
  <c r="G55"/>
  <c r="E55"/>
  <c r="F53"/>
  <c r="F52"/>
  <c r="E52"/>
  <c r="F51"/>
  <c r="F50"/>
  <c r="G49"/>
  <c r="G46"/>
  <c r="E46"/>
  <c r="G42"/>
  <c r="E42"/>
  <c r="G41"/>
  <c r="E41"/>
  <c r="G40"/>
  <c r="E40"/>
  <c r="G39"/>
  <c r="E39"/>
  <c r="G38"/>
  <c r="E38"/>
  <c r="G36"/>
  <c r="E36"/>
  <c r="F35"/>
  <c r="E35"/>
  <c r="F34"/>
  <c r="G31"/>
  <c r="E31"/>
  <c r="G30"/>
  <c r="E30"/>
  <c r="G29"/>
  <c r="E29"/>
  <c r="G28"/>
  <c r="E28"/>
  <c r="G27"/>
  <c r="E27"/>
  <c r="G26"/>
  <c r="E26"/>
  <c r="F24"/>
  <c r="E24"/>
  <c r="G22"/>
  <c r="E22"/>
  <c r="G21"/>
  <c r="E21"/>
  <c r="G20"/>
  <c r="E20"/>
  <c r="G19"/>
  <c r="E19"/>
  <c r="G13"/>
  <c r="E13"/>
  <c r="G11"/>
  <c r="E11"/>
  <c r="L32" i="74" l="1"/>
  <c r="F107"/>
  <c r="L82"/>
  <c r="L107"/>
  <c r="F57"/>
  <c r="J82"/>
  <c r="J107"/>
  <c r="F82"/>
  <c r="J24" i="73"/>
  <c r="J83"/>
  <c r="H45"/>
  <c r="F83"/>
  <c r="F45"/>
  <c r="J64"/>
  <c r="L83"/>
  <c r="L25"/>
  <c r="L26" s="1"/>
  <c r="F64"/>
  <c r="F64" i="72"/>
  <c r="H70"/>
  <c r="H45"/>
  <c r="J44"/>
  <c r="J45" s="1"/>
  <c r="L25"/>
  <c r="L26" s="1"/>
  <c r="F70"/>
  <c r="H64"/>
  <c r="L63"/>
  <c r="L64" s="1"/>
  <c r="H26"/>
  <c r="F45"/>
  <c r="F26"/>
  <c r="L44"/>
  <c r="L45" s="1"/>
  <c r="J63"/>
  <c r="J64" s="1"/>
  <c r="L35" i="71"/>
  <c r="L36" s="1"/>
  <c r="F36"/>
  <c r="F50"/>
  <c r="F21"/>
  <c r="L56"/>
  <c r="J56"/>
  <c r="L20"/>
  <c r="L21" s="1"/>
  <c r="H36"/>
  <c r="L49"/>
  <c r="L50" s="1"/>
  <c r="H56"/>
  <c r="J35"/>
  <c r="J36" s="1"/>
  <c r="H50"/>
  <c r="J57" i="74"/>
  <c r="H57"/>
  <c r="H107"/>
  <c r="H82"/>
  <c r="H30"/>
  <c r="H32" s="1"/>
  <c r="J30"/>
  <c r="J32" s="1"/>
  <c r="F30"/>
  <c r="F32" s="1"/>
  <c r="H64" i="73"/>
  <c r="H26"/>
  <c r="J45"/>
  <c r="H83"/>
  <c r="J25"/>
  <c r="J26" s="1"/>
  <c r="F24"/>
  <c r="F26" s="1"/>
  <c r="L69" i="72"/>
  <c r="J69"/>
  <c r="H21" i="71"/>
  <c r="F100" i="51"/>
  <c r="F99"/>
  <c r="E99"/>
  <c r="F93"/>
  <c r="E93"/>
  <c r="F90"/>
  <c r="E90"/>
  <c r="F89"/>
  <c r="E89"/>
  <c r="F88"/>
  <c r="E88"/>
  <c r="F87"/>
  <c r="E87"/>
  <c r="F86"/>
  <c r="E86"/>
  <c r="F85"/>
  <c r="E85"/>
  <c r="F84"/>
  <c r="E84"/>
  <c r="E94"/>
  <c r="F94"/>
  <c r="E95"/>
  <c r="F95"/>
  <c r="E96"/>
  <c r="F96"/>
  <c r="E97"/>
  <c r="F97"/>
  <c r="E98"/>
  <c r="F98"/>
  <c r="E80"/>
  <c r="E83"/>
  <c r="F83"/>
  <c r="F20" i="53"/>
  <c r="F17" i="69" l="1"/>
  <c r="F16"/>
  <c r="F15"/>
  <c r="F12"/>
  <c r="F11"/>
  <c r="F10"/>
  <c r="G10" i="7" l="1"/>
  <c r="G24" i="9"/>
  <c r="E77" i="5"/>
  <c r="E76"/>
  <c r="E77" i="54"/>
  <c r="E76"/>
  <c r="E48" i="3"/>
  <c r="E47"/>
  <c r="F46"/>
  <c r="E46"/>
  <c r="E48" i="53"/>
  <c r="E47"/>
  <c r="F46"/>
  <c r="E46"/>
  <c r="G21" i="6" l="1"/>
  <c r="G20"/>
  <c r="G19"/>
  <c r="G18"/>
  <c r="G17"/>
  <c r="G16"/>
  <c r="G15"/>
  <c r="G13"/>
  <c r="G10"/>
  <c r="G59" i="4"/>
  <c r="G50"/>
  <c r="G47"/>
  <c r="G46"/>
  <c r="G41"/>
  <c r="G38"/>
  <c r="G32"/>
  <c r="G29"/>
  <c r="G28"/>
  <c r="G23"/>
  <c r="G20"/>
  <c r="G15"/>
  <c r="G97" i="15"/>
  <c r="G96"/>
  <c r="G95"/>
  <c r="G94"/>
  <c r="G93"/>
  <c r="G92"/>
  <c r="G91"/>
  <c r="G90"/>
  <c r="G89"/>
  <c r="G68"/>
  <c r="G63"/>
  <c r="G53"/>
  <c r="G49"/>
  <c r="G48"/>
  <c r="G47"/>
  <c r="G46"/>
  <c r="G36"/>
  <c r="G33"/>
  <c r="G32"/>
  <c r="G29"/>
  <c r="G28"/>
  <c r="G24"/>
  <c r="G21"/>
  <c r="G20"/>
  <c r="G16"/>
  <c r="G13"/>
  <c r="G12"/>
  <c r="G11"/>
  <c r="G10"/>
  <c r="G46" i="7"/>
  <c r="G45"/>
  <c r="G44"/>
  <c r="G43"/>
  <c r="G42"/>
  <c r="G41"/>
  <c r="G40"/>
  <c r="G39"/>
  <c r="G38"/>
  <c r="G34"/>
  <c r="G31"/>
  <c r="G20"/>
  <c r="G19"/>
  <c r="G15"/>
  <c r="G14"/>
  <c r="G13"/>
  <c r="G75" i="5"/>
  <c r="G74"/>
  <c r="G73"/>
  <c r="G72"/>
  <c r="G71"/>
  <c r="G70"/>
  <c r="G69"/>
  <c r="G68"/>
  <c r="G67"/>
  <c r="G51"/>
  <c r="G48"/>
  <c r="G27"/>
  <c r="G21"/>
  <c r="G20"/>
  <c r="G19"/>
  <c r="G10"/>
  <c r="G20" i="3"/>
  <c r="G24" i="8"/>
  <c r="G23"/>
  <c r="G22"/>
  <c r="G21"/>
  <c r="G20"/>
  <c r="G18"/>
  <c r="G17"/>
  <c r="G16"/>
  <c r="G15"/>
  <c r="G13"/>
  <c r="G12"/>
  <c r="G11"/>
  <c r="G23" i="9"/>
  <c r="G22"/>
  <c r="G21"/>
  <c r="G20"/>
  <c r="G19"/>
  <c r="G18"/>
  <c r="G17"/>
  <c r="G16"/>
  <c r="G15"/>
  <c r="G14"/>
  <c r="G11"/>
  <c r="E10" i="15" l="1"/>
  <c r="E73" i="54"/>
  <c r="E638" i="47"/>
  <c r="E369"/>
  <c r="E370"/>
  <c r="E371"/>
  <c r="E372"/>
  <c r="E373"/>
  <c r="E374"/>
  <c r="E368"/>
  <c r="F82" i="61" l="1"/>
  <c r="F81"/>
  <c r="F47"/>
  <c r="F46"/>
  <c r="E75"/>
  <c r="E71"/>
  <c r="E67"/>
  <c r="E62"/>
  <c r="E58"/>
  <c r="E54"/>
  <c r="E50"/>
  <c r="E40"/>
  <c r="E36"/>
  <c r="E32"/>
  <c r="E28"/>
  <c r="E15"/>
  <c r="E19"/>
  <c r="E23"/>
  <c r="E11"/>
  <c r="E11" i="57"/>
  <c r="E12"/>
  <c r="E10"/>
  <c r="F71" i="23"/>
  <c r="F19"/>
  <c r="F71" i="40"/>
  <c r="F19"/>
  <c r="F25" i="53"/>
  <c r="F25" i="3"/>
  <c r="F31" i="53"/>
  <c r="F31" i="3"/>
  <c r="F14" i="15"/>
  <c r="F11" i="56"/>
  <c r="F10"/>
  <c r="F9"/>
  <c r="F11" i="54"/>
  <c r="F11" i="59"/>
  <c r="F10"/>
  <c r="F254" i="47"/>
  <c r="E255"/>
  <c r="F257"/>
  <c r="E258"/>
  <c r="F259"/>
  <c r="E260"/>
  <c r="F262"/>
  <c r="E263"/>
  <c r="F264"/>
  <c r="E265"/>
  <c r="F267"/>
  <c r="E268"/>
  <c r="F269"/>
  <c r="E270"/>
  <c r="F272"/>
  <c r="F19" i="64"/>
  <c r="F18"/>
  <c r="F17"/>
  <c r="F16"/>
  <c r="F15"/>
  <c r="F14"/>
  <c r="F13"/>
  <c r="F12"/>
  <c r="F11"/>
  <c r="F10"/>
  <c r="E66" i="51" l="1"/>
  <c r="E65"/>
  <c r="E64"/>
  <c r="E63"/>
  <c r="E62"/>
  <c r="E66" i="54"/>
  <c r="E65"/>
  <c r="E64"/>
  <c r="E63"/>
  <c r="E62"/>
  <c r="E66" i="5"/>
  <c r="E65"/>
  <c r="E64"/>
  <c r="E63"/>
  <c r="E62"/>
  <c r="E86" i="15"/>
  <c r="E85"/>
  <c r="E84"/>
  <c r="E83"/>
  <c r="E82"/>
  <c r="F53" i="63"/>
  <c r="F52"/>
  <c r="F51"/>
  <c r="F50"/>
  <c r="F49"/>
  <c r="F48"/>
  <c r="F47"/>
  <c r="F46"/>
  <c r="F45"/>
  <c r="F44"/>
  <c r="F43"/>
  <c r="F42"/>
  <c r="F40"/>
  <c r="F39"/>
  <c r="F38"/>
  <c r="F37"/>
  <c r="F36"/>
  <c r="F35"/>
  <c r="F34"/>
  <c r="F33"/>
  <c r="F32"/>
  <c r="F31"/>
  <c r="F30"/>
  <c r="F29"/>
  <c r="F28"/>
  <c r="F27"/>
  <c r="F26"/>
  <c r="F25"/>
  <c r="F24"/>
  <c r="F23"/>
  <c r="F22"/>
  <c r="F21"/>
  <c r="F20"/>
  <c r="F19"/>
  <c r="F18"/>
  <c r="F17"/>
  <c r="F16"/>
  <c r="F15"/>
  <c r="F14"/>
  <c r="F13"/>
  <c r="F12"/>
  <c r="F11"/>
  <c r="F10"/>
  <c r="F53" i="62"/>
  <c r="F52"/>
  <c r="F51"/>
  <c r="F50"/>
  <c r="F49"/>
  <c r="F48"/>
  <c r="F47"/>
  <c r="F46"/>
  <c r="F45"/>
  <c r="F44"/>
  <c r="F43"/>
  <c r="F42"/>
  <c r="F40"/>
  <c r="F39"/>
  <c r="F38"/>
  <c r="F37"/>
  <c r="F36"/>
  <c r="F35"/>
  <c r="F34"/>
  <c r="F33"/>
  <c r="F32"/>
  <c r="F31"/>
  <c r="F30"/>
  <c r="F29"/>
  <c r="F28"/>
  <c r="F27"/>
  <c r="F26"/>
  <c r="F25"/>
  <c r="F24"/>
  <c r="F23"/>
  <c r="F22"/>
  <c r="F21"/>
  <c r="F20"/>
  <c r="F19"/>
  <c r="F18"/>
  <c r="F17"/>
  <c r="F16"/>
  <c r="F15"/>
  <c r="F14"/>
  <c r="F13"/>
  <c r="F12"/>
  <c r="F11"/>
  <c r="F10"/>
  <c r="F12" i="60" l="1"/>
  <c r="F13"/>
  <c r="F14"/>
  <c r="F15"/>
  <c r="F16"/>
  <c r="F17"/>
  <c r="F18"/>
  <c r="F19"/>
  <c r="F20"/>
  <c r="F21"/>
  <c r="F22"/>
  <c r="F23"/>
  <c r="F24"/>
  <c r="F25"/>
  <c r="F26"/>
  <c r="F27"/>
  <c r="F28"/>
  <c r="F29"/>
  <c r="F30"/>
  <c r="F31"/>
  <c r="F32"/>
  <c r="F33"/>
  <c r="F34"/>
  <c r="F35"/>
  <c r="F36"/>
  <c r="F37"/>
  <c r="F38"/>
  <c r="F39"/>
  <c r="F40"/>
  <c r="F41"/>
  <c r="F42"/>
  <c r="F43"/>
  <c r="F44"/>
  <c r="F45"/>
  <c r="F46"/>
  <c r="F47"/>
  <c r="F48"/>
  <c r="F49"/>
  <c r="F50"/>
  <c r="F11"/>
  <c r="E12" i="15"/>
  <c r="E11" i="56" l="1"/>
  <c r="E11" i="15"/>
  <c r="E10" i="56"/>
  <c r="E9"/>
  <c r="E15" i="6"/>
  <c r="E20" i="48"/>
  <c r="E18"/>
  <c r="E12"/>
  <c r="E13"/>
  <c r="E14"/>
  <c r="E15"/>
  <c r="E16"/>
  <c r="E11"/>
  <c r="F366" i="47"/>
  <c r="F363"/>
  <c r="F361"/>
  <c r="F358"/>
  <c r="F356"/>
  <c r="F353"/>
  <c r="F351"/>
  <c r="F348"/>
  <c r="F346"/>
  <c r="F343"/>
  <c r="F341"/>
  <c r="F338"/>
  <c r="F337"/>
  <c r="F336"/>
  <c r="F334"/>
  <c r="F331"/>
  <c r="F330"/>
  <c r="F327"/>
  <c r="F326"/>
  <c r="F323"/>
  <c r="F322"/>
  <c r="F319"/>
  <c r="F317"/>
  <c r="F314"/>
  <c r="F312"/>
  <c r="F309"/>
  <c r="F308"/>
  <c r="F305"/>
  <c r="F304"/>
  <c r="F301"/>
  <c r="F299"/>
  <c r="F296"/>
  <c r="F295"/>
  <c r="F292"/>
  <c r="F290"/>
  <c r="F287"/>
  <c r="F285"/>
  <c r="F282"/>
  <c r="F281"/>
  <c r="F278"/>
  <c r="F276"/>
  <c r="F273"/>
  <c r="F252"/>
  <c r="F249"/>
  <c r="F247"/>
  <c r="F244"/>
  <c r="F243"/>
  <c r="F240"/>
  <c r="F239"/>
  <c r="F236"/>
  <c r="F234"/>
  <c r="F231"/>
  <c r="F229"/>
  <c r="F226"/>
  <c r="F224"/>
  <c r="F221"/>
  <c r="F218"/>
  <c r="F217"/>
  <c r="F216"/>
  <c r="F213"/>
  <c r="F212"/>
  <c r="F209"/>
  <c r="F208"/>
  <c r="F207"/>
  <c r="F206"/>
  <c r="F205"/>
  <c r="F204"/>
  <c r="F201"/>
  <c r="F200"/>
  <c r="F197"/>
  <c r="F196"/>
  <c r="F195"/>
  <c r="F194"/>
  <c r="F172"/>
  <c r="F168"/>
  <c r="F167"/>
  <c r="F166"/>
  <c r="F165"/>
  <c r="F164"/>
  <c r="F163"/>
  <c r="F162"/>
  <c r="F161"/>
  <c r="F160"/>
  <c r="F159"/>
  <c r="F158"/>
  <c r="F157"/>
  <c r="F156"/>
  <c r="F155"/>
  <c r="F154"/>
  <c r="F153"/>
  <c r="F150"/>
  <c r="F149"/>
  <c r="F148"/>
  <c r="F147"/>
  <c r="F146"/>
  <c r="F145"/>
  <c r="F144"/>
  <c r="F143"/>
  <c r="F89"/>
  <c r="F90"/>
  <c r="F91"/>
  <c r="F92"/>
  <c r="F93"/>
  <c r="F94"/>
  <c r="F95"/>
  <c r="F96"/>
  <c r="F97"/>
  <c r="F98"/>
  <c r="F99"/>
  <c r="F100"/>
  <c r="F101"/>
  <c r="F88"/>
  <c r="E642"/>
  <c r="E641"/>
  <c r="E640"/>
  <c r="E639"/>
  <c r="E637"/>
  <c r="E632"/>
  <c r="E631"/>
  <c r="E630"/>
  <c r="E629"/>
  <c r="E628"/>
  <c r="E627"/>
  <c r="E626"/>
  <c r="E625"/>
  <c r="E624"/>
  <c r="E623"/>
  <c r="E622"/>
  <c r="E621"/>
  <c r="E620"/>
  <c r="E619"/>
  <c r="E618"/>
  <c r="E617"/>
  <c r="E616"/>
  <c r="E615"/>
  <c r="E614"/>
  <c r="E613"/>
  <c r="E612"/>
  <c r="E611"/>
  <c r="E610"/>
  <c r="E609"/>
  <c r="E608"/>
  <c r="E607"/>
  <c r="E606"/>
  <c r="E605"/>
  <c r="E604"/>
  <c r="E603"/>
  <c r="E602"/>
  <c r="E601"/>
  <c r="E600"/>
  <c r="E599"/>
  <c r="E598"/>
  <c r="E597"/>
  <c r="E596"/>
  <c r="E595"/>
  <c r="E594"/>
  <c r="E593"/>
  <c r="E592"/>
  <c r="E591"/>
  <c r="E590"/>
  <c r="E589"/>
  <c r="E588"/>
  <c r="E587"/>
  <c r="E586"/>
  <c r="E585"/>
  <c r="E584"/>
  <c r="E583"/>
  <c r="E582"/>
  <c r="E581"/>
  <c r="E580"/>
  <c r="E579"/>
  <c r="E578"/>
  <c r="E577"/>
  <c r="E576"/>
  <c r="E575"/>
  <c r="E574"/>
  <c r="E573"/>
  <c r="E572"/>
  <c r="E571"/>
  <c r="E570"/>
  <c r="E569"/>
  <c r="E568"/>
  <c r="E567"/>
  <c r="E566"/>
  <c r="E565"/>
  <c r="E564"/>
  <c r="E563"/>
  <c r="E562"/>
  <c r="E561"/>
  <c r="E560"/>
  <c r="E559"/>
  <c r="E558"/>
  <c r="E557"/>
  <c r="E556"/>
  <c r="E555"/>
  <c r="E554"/>
  <c r="E553"/>
  <c r="E552"/>
  <c r="E551"/>
  <c r="E550"/>
  <c r="E549"/>
  <c r="E548"/>
  <c r="E547"/>
  <c r="E546"/>
  <c r="E545"/>
  <c r="E544"/>
  <c r="E543"/>
  <c r="E542"/>
  <c r="E541"/>
  <c r="E540"/>
  <c r="E539"/>
  <c r="E538"/>
  <c r="E537"/>
  <c r="E536"/>
  <c r="E535"/>
  <c r="E534"/>
  <c r="E533"/>
  <c r="E532"/>
  <c r="E531"/>
  <c r="E530"/>
  <c r="E529"/>
  <c r="E528"/>
  <c r="E527"/>
  <c r="E526"/>
  <c r="E525"/>
  <c r="E524"/>
  <c r="E523"/>
  <c r="E522"/>
  <c r="E521"/>
  <c r="E520"/>
  <c r="E519"/>
  <c r="E518"/>
  <c r="E517"/>
  <c r="E516"/>
  <c r="E515"/>
  <c r="E514"/>
  <c r="E513"/>
  <c r="E512"/>
  <c r="E511"/>
  <c r="E510"/>
  <c r="E509"/>
  <c r="E508"/>
  <c r="E507"/>
  <c r="E506"/>
  <c r="E505"/>
  <c r="E504"/>
  <c r="E503"/>
  <c r="E502"/>
  <c r="E501"/>
  <c r="E500"/>
  <c r="E499"/>
  <c r="E498"/>
  <c r="E497"/>
  <c r="E496"/>
  <c r="E495"/>
  <c r="E494"/>
  <c r="E493"/>
  <c r="E492"/>
  <c r="E491"/>
  <c r="E490"/>
  <c r="E489"/>
  <c r="E488"/>
  <c r="E487"/>
  <c r="E486"/>
  <c r="E485"/>
  <c r="E484"/>
  <c r="E483"/>
  <c r="E482"/>
  <c r="E481"/>
  <c r="E480"/>
  <c r="E479"/>
  <c r="E478"/>
  <c r="E477"/>
  <c r="E476"/>
  <c r="E475"/>
  <c r="E474"/>
  <c r="E473"/>
  <c r="E472"/>
  <c r="E471"/>
  <c r="E470"/>
  <c r="E469"/>
  <c r="E468"/>
  <c r="E467"/>
  <c r="E466"/>
  <c r="E465"/>
  <c r="E464"/>
  <c r="E463"/>
  <c r="E462"/>
  <c r="E461"/>
  <c r="E460"/>
  <c r="E459"/>
  <c r="E458"/>
  <c r="E457"/>
  <c r="E456"/>
  <c r="E455"/>
  <c r="E454"/>
  <c r="E453"/>
  <c r="E452"/>
  <c r="E451"/>
  <c r="E450"/>
  <c r="E449"/>
  <c r="E448"/>
  <c r="E447"/>
  <c r="E446"/>
  <c r="E445"/>
  <c r="E444"/>
  <c r="E443"/>
  <c r="E442"/>
  <c r="E441"/>
  <c r="E440"/>
  <c r="E439"/>
  <c r="E438"/>
  <c r="E437"/>
  <c r="E436"/>
  <c r="E435"/>
  <c r="E434"/>
  <c r="E433"/>
  <c r="E432"/>
  <c r="E431"/>
  <c r="E430"/>
  <c r="E429"/>
  <c r="E428"/>
  <c r="E427"/>
  <c r="E426"/>
  <c r="E425"/>
  <c r="E424"/>
  <c r="E423"/>
  <c r="E422"/>
  <c r="E421"/>
  <c r="E420"/>
  <c r="E419"/>
  <c r="E418"/>
  <c r="E417"/>
  <c r="E416"/>
  <c r="E415"/>
  <c r="E414"/>
  <c r="E413"/>
  <c r="E412"/>
  <c r="E411"/>
  <c r="E410"/>
  <c r="E409"/>
  <c r="E408"/>
  <c r="E407"/>
  <c r="E406"/>
  <c r="E405"/>
  <c r="E404"/>
  <c r="E403"/>
  <c r="E402"/>
  <c r="E401"/>
  <c r="E400"/>
  <c r="E399"/>
  <c r="E398"/>
  <c r="E397"/>
  <c r="E396"/>
  <c r="E395"/>
  <c r="E394"/>
  <c r="E393"/>
  <c r="E392"/>
  <c r="E389"/>
  <c r="E388"/>
  <c r="E387"/>
  <c r="E386"/>
  <c r="E385"/>
  <c r="E384"/>
  <c r="E383"/>
  <c r="E367"/>
  <c r="E364"/>
  <c r="E362"/>
  <c r="E359"/>
  <c r="E357"/>
  <c r="E354"/>
  <c r="E352"/>
  <c r="E349"/>
  <c r="E347"/>
  <c r="E344"/>
  <c r="E342"/>
  <c r="E339"/>
  <c r="E335"/>
  <c r="E332"/>
  <c r="E328"/>
  <c r="E324"/>
  <c r="E320"/>
  <c r="E318"/>
  <c r="E315"/>
  <c r="E313"/>
  <c r="E310"/>
  <c r="E306"/>
  <c r="E302"/>
  <c r="E297"/>
  <c r="E293"/>
  <c r="E291"/>
  <c r="E288"/>
  <c r="E286"/>
  <c r="E283"/>
  <c r="E279"/>
  <c r="E277"/>
  <c r="E274"/>
  <c r="E191"/>
  <c r="E190"/>
  <c r="E189"/>
  <c r="E188"/>
  <c r="E187"/>
  <c r="E186"/>
  <c r="E185"/>
  <c r="E184"/>
  <c r="E183"/>
  <c r="E182"/>
  <c r="E181"/>
  <c r="E180"/>
  <c r="E179"/>
  <c r="E178"/>
  <c r="E177"/>
  <c r="E171"/>
  <c r="E140"/>
  <c r="E139"/>
  <c r="E138"/>
  <c r="E137"/>
  <c r="E131"/>
  <c r="E130"/>
  <c r="E129"/>
  <c r="E113"/>
  <c r="E112"/>
  <c r="E111"/>
  <c r="E110"/>
  <c r="E109"/>
  <c r="E108"/>
  <c r="E107"/>
  <c r="E106"/>
  <c r="E105"/>
  <c r="E101"/>
  <c r="E100"/>
  <c r="E99"/>
  <c r="E98"/>
  <c r="E97"/>
  <c r="E96"/>
  <c r="E95"/>
  <c r="E94"/>
  <c r="E93"/>
  <c r="E92"/>
  <c r="E91"/>
  <c r="E90"/>
  <c r="E89"/>
  <c r="E88"/>
  <c r="E83"/>
  <c r="E81"/>
  <c r="E80"/>
  <c r="E79"/>
  <c r="E78"/>
  <c r="E77"/>
  <c r="E76"/>
  <c r="E75"/>
  <c r="E74"/>
  <c r="E73"/>
  <c r="E72"/>
  <c r="E71"/>
  <c r="E70"/>
  <c r="E69"/>
  <c r="E68"/>
  <c r="E12"/>
  <c r="E13"/>
  <c r="E14"/>
  <c r="E15"/>
  <c r="E16"/>
  <c r="E17"/>
  <c r="E18"/>
  <c r="E19"/>
  <c r="E20"/>
  <c r="E21"/>
  <c r="E22"/>
  <c r="E23"/>
  <c r="E24"/>
  <c r="E25"/>
  <c r="E26"/>
  <c r="E27"/>
  <c r="E28"/>
  <c r="E29"/>
  <c r="E30"/>
  <c r="E31"/>
  <c r="E32"/>
  <c r="E33"/>
  <c r="E34"/>
  <c r="E35"/>
  <c r="E36"/>
  <c r="E37"/>
  <c r="E38"/>
  <c r="E39"/>
  <c r="E40"/>
  <c r="E41"/>
  <c r="E42"/>
  <c r="E43"/>
  <c r="E44"/>
  <c r="E45"/>
  <c r="E46"/>
  <c r="E47"/>
  <c r="E48"/>
  <c r="E49"/>
  <c r="E50"/>
  <c r="E51"/>
  <c r="E52"/>
  <c r="E53"/>
  <c r="E54"/>
  <c r="E55"/>
  <c r="E56"/>
  <c r="E57"/>
  <c r="E58"/>
  <c r="E59"/>
  <c r="E60"/>
  <c r="E61"/>
  <c r="E62"/>
  <c r="E63"/>
  <c r="E64"/>
  <c r="E11"/>
  <c r="F65" i="56"/>
  <c r="F73" i="15"/>
  <c r="F74"/>
  <c r="F75"/>
  <c r="E56" i="51"/>
  <c r="F45"/>
  <c r="E33" i="13" l="1"/>
  <c r="E32"/>
  <c r="E31"/>
  <c r="E30"/>
  <c r="E29"/>
  <c r="E28"/>
  <c r="E27"/>
  <c r="E26"/>
  <c r="E23"/>
  <c r="E22"/>
  <c r="E21"/>
  <c r="E20"/>
  <c r="E19"/>
  <c r="E18"/>
  <c r="E12"/>
  <c r="E13"/>
  <c r="E14"/>
  <c r="E15"/>
  <c r="E11"/>
  <c r="E33" i="41"/>
  <c r="E32"/>
  <c r="E31"/>
  <c r="E30"/>
  <c r="E29"/>
  <c r="E28"/>
  <c r="E27"/>
  <c r="E26"/>
  <c r="E23"/>
  <c r="E22"/>
  <c r="E21"/>
  <c r="E20"/>
  <c r="E19"/>
  <c r="E18"/>
  <c r="E12"/>
  <c r="E13"/>
  <c r="E14"/>
  <c r="E15"/>
  <c r="E11"/>
  <c r="F128" i="23"/>
  <c r="E128"/>
  <c r="E127"/>
  <c r="F126"/>
  <c r="E126"/>
  <c r="F125"/>
  <c r="E125"/>
  <c r="F124"/>
  <c r="E124"/>
  <c r="E123"/>
  <c r="E122"/>
  <c r="E121"/>
  <c r="E120"/>
  <c r="E119"/>
  <c r="E118"/>
  <c r="E117"/>
  <c r="F114"/>
  <c r="F113"/>
  <c r="E113"/>
  <c r="E107"/>
  <c r="E106"/>
  <c r="E105"/>
  <c r="E104"/>
  <c r="E103"/>
  <c r="E102"/>
  <c r="E101"/>
  <c r="E100"/>
  <c r="E99"/>
  <c r="E98"/>
  <c r="E97"/>
  <c r="E96"/>
  <c r="E95"/>
  <c r="E94"/>
  <c r="E93"/>
  <c r="E92"/>
  <c r="E91"/>
  <c r="E90"/>
  <c r="E89"/>
  <c r="E88"/>
  <c r="E87"/>
  <c r="E85"/>
  <c r="E84"/>
  <c r="E83"/>
  <c r="E82"/>
  <c r="E81"/>
  <c r="E80"/>
  <c r="E79"/>
  <c r="E78"/>
  <c r="E77"/>
  <c r="E76"/>
  <c r="E75"/>
  <c r="E74"/>
  <c r="E73"/>
  <c r="E71"/>
  <c r="E69"/>
  <c r="E68"/>
  <c r="E67"/>
  <c r="E66"/>
  <c r="F62"/>
  <c r="F61"/>
  <c r="E61"/>
  <c r="E55"/>
  <c r="E54"/>
  <c r="E53"/>
  <c r="E52"/>
  <c r="E51"/>
  <c r="E50"/>
  <c r="E49"/>
  <c r="E48"/>
  <c r="E47"/>
  <c r="E46"/>
  <c r="E45"/>
  <c r="E44"/>
  <c r="E43"/>
  <c r="E42"/>
  <c r="E41"/>
  <c r="E40"/>
  <c r="E39"/>
  <c r="E38"/>
  <c r="E37"/>
  <c r="E36"/>
  <c r="E35"/>
  <c r="E33"/>
  <c r="E32"/>
  <c r="E31"/>
  <c r="E30"/>
  <c r="E29"/>
  <c r="E28"/>
  <c r="E27"/>
  <c r="E26"/>
  <c r="E25"/>
  <c r="E24"/>
  <c r="E23"/>
  <c r="E22"/>
  <c r="E21"/>
  <c r="E19"/>
  <c r="E17"/>
  <c r="E16"/>
  <c r="E15"/>
  <c r="E14"/>
  <c r="F128" i="40"/>
  <c r="E128"/>
  <c r="E127"/>
  <c r="F126"/>
  <c r="E126"/>
  <c r="F125"/>
  <c r="E125"/>
  <c r="F124"/>
  <c r="E124"/>
  <c r="E123"/>
  <c r="E122"/>
  <c r="E121"/>
  <c r="E120"/>
  <c r="E119"/>
  <c r="E118"/>
  <c r="E117"/>
  <c r="F114"/>
  <c r="F113"/>
  <c r="E113"/>
  <c r="E107"/>
  <c r="E106"/>
  <c r="E105"/>
  <c r="E104"/>
  <c r="E103"/>
  <c r="E102"/>
  <c r="E101"/>
  <c r="E100"/>
  <c r="E99"/>
  <c r="E98"/>
  <c r="E97"/>
  <c r="E96"/>
  <c r="E95"/>
  <c r="E94"/>
  <c r="E93"/>
  <c r="E92"/>
  <c r="E91"/>
  <c r="E90"/>
  <c r="E89"/>
  <c r="E88"/>
  <c r="E87"/>
  <c r="E85"/>
  <c r="E84"/>
  <c r="E83"/>
  <c r="E82"/>
  <c r="E81"/>
  <c r="E80"/>
  <c r="E79"/>
  <c r="E78"/>
  <c r="E77"/>
  <c r="E76"/>
  <c r="E75"/>
  <c r="E74"/>
  <c r="E73"/>
  <c r="E71"/>
  <c r="E69"/>
  <c r="E68"/>
  <c r="E67"/>
  <c r="E66"/>
  <c r="F62"/>
  <c r="F61"/>
  <c r="E61"/>
  <c r="E55"/>
  <c r="E54"/>
  <c r="E53"/>
  <c r="E52"/>
  <c r="E51"/>
  <c r="E50"/>
  <c r="E49"/>
  <c r="E48"/>
  <c r="E47"/>
  <c r="E46"/>
  <c r="E45"/>
  <c r="E44"/>
  <c r="E43"/>
  <c r="E42"/>
  <c r="E41"/>
  <c r="E40"/>
  <c r="E39"/>
  <c r="E38"/>
  <c r="E37"/>
  <c r="E36"/>
  <c r="E35"/>
  <c r="E33"/>
  <c r="E32"/>
  <c r="E31"/>
  <c r="E30"/>
  <c r="E29"/>
  <c r="E28"/>
  <c r="E27"/>
  <c r="E26"/>
  <c r="E25"/>
  <c r="E24"/>
  <c r="E23"/>
  <c r="E22"/>
  <c r="E21"/>
  <c r="E19"/>
  <c r="E17"/>
  <c r="E16"/>
  <c r="E15"/>
  <c r="E14"/>
  <c r="E76" i="15"/>
  <c r="E75"/>
  <c r="E74"/>
  <c r="E73"/>
  <c r="F58"/>
  <c r="E21"/>
  <c r="F44" i="56"/>
  <c r="F23" i="45" l="1"/>
  <c r="F22"/>
  <c r="F21"/>
  <c r="F20"/>
  <c r="F19"/>
  <c r="F18"/>
  <c r="F17"/>
  <c r="F16"/>
  <c r="F15"/>
  <c r="F14"/>
  <c r="F13"/>
  <c r="F12"/>
  <c r="F11"/>
  <c r="F17" i="44"/>
  <c r="F16"/>
  <c r="F15"/>
  <c r="F14"/>
  <c r="F13"/>
  <c r="F12"/>
  <c r="F11"/>
  <c r="F23" i="6"/>
  <c r="F22"/>
  <c r="E21"/>
  <c r="E20"/>
  <c r="E19"/>
  <c r="E18"/>
  <c r="E17"/>
  <c r="E16"/>
  <c r="E14"/>
  <c r="E13"/>
  <c r="E12"/>
  <c r="E11"/>
  <c r="F23" i="59"/>
  <c r="F22"/>
  <c r="F21"/>
  <c r="E21"/>
  <c r="F20"/>
  <c r="E20"/>
  <c r="F19"/>
  <c r="E19"/>
  <c r="F18"/>
  <c r="E18"/>
  <c r="F17"/>
  <c r="E17"/>
  <c r="F16"/>
  <c r="E16"/>
  <c r="F15"/>
  <c r="E15"/>
  <c r="E14"/>
  <c r="F13"/>
  <c r="E13"/>
  <c r="E12"/>
  <c r="E11"/>
  <c r="E13" i="12"/>
  <c r="F12"/>
  <c r="F11"/>
  <c r="F12" i="58"/>
  <c r="E12"/>
  <c r="F11"/>
  <c r="F10" i="46"/>
  <c r="F10" i="45"/>
  <c r="F10" i="44"/>
  <c r="E10" i="59"/>
  <c r="E10" i="6"/>
  <c r="F10" i="12"/>
  <c r="F10" i="58"/>
  <c r="E59" i="4"/>
  <c r="E58"/>
  <c r="E57"/>
  <c r="E56"/>
  <c r="E55"/>
  <c r="F54"/>
  <c r="E54"/>
  <c r="E53"/>
  <c r="E52"/>
  <c r="E51"/>
  <c r="E50"/>
  <c r="E47"/>
  <c r="E46"/>
  <c r="E45"/>
  <c r="E44"/>
  <c r="E43"/>
  <c r="E42"/>
  <c r="E41"/>
  <c r="E40"/>
  <c r="E39"/>
  <c r="E38"/>
  <c r="E35"/>
  <c r="E34"/>
  <c r="E33"/>
  <c r="E32"/>
  <c r="E29"/>
  <c r="E28"/>
  <c r="E27"/>
  <c r="E26"/>
  <c r="E25"/>
  <c r="E24"/>
  <c r="E23"/>
  <c r="E22"/>
  <c r="E21"/>
  <c r="E20"/>
  <c r="E17"/>
  <c r="E16"/>
  <c r="E15"/>
  <c r="E12"/>
  <c r="E11"/>
  <c r="E10"/>
  <c r="E31" i="57"/>
  <c r="E30"/>
  <c r="F29"/>
  <c r="E29"/>
  <c r="E26"/>
  <c r="E25"/>
  <c r="F24"/>
  <c r="E24"/>
  <c r="E21"/>
  <c r="E20"/>
  <c r="F19"/>
  <c r="E19"/>
  <c r="E16"/>
  <c r="E15"/>
  <c r="F14"/>
  <c r="E14"/>
  <c r="E95" i="15"/>
  <c r="E94"/>
  <c r="E93"/>
  <c r="E92"/>
  <c r="E91"/>
  <c r="E90"/>
  <c r="E89"/>
  <c r="E88"/>
  <c r="F77"/>
  <c r="E77"/>
  <c r="F70"/>
  <c r="E69"/>
  <c r="E68"/>
  <c r="F66"/>
  <c r="F65"/>
  <c r="F64"/>
  <c r="E52"/>
  <c r="E46"/>
  <c r="F44"/>
  <c r="F43"/>
  <c r="E43"/>
  <c r="E35"/>
  <c r="F34"/>
  <c r="E33"/>
  <c r="F31"/>
  <c r="E31"/>
  <c r="F30"/>
  <c r="E29"/>
  <c r="E27"/>
  <c r="E23"/>
  <c r="E20"/>
  <c r="F15"/>
  <c r="E13"/>
  <c r="F34" i="55"/>
  <c r="F31"/>
  <c r="F32"/>
  <c r="F30"/>
  <c r="F15" i="3" l="1"/>
  <c r="E43"/>
  <c r="E42"/>
  <c r="E41"/>
  <c r="E38"/>
  <c r="E37"/>
  <c r="E36"/>
  <c r="E33"/>
  <c r="E32"/>
  <c r="E31"/>
  <c r="E28"/>
  <c r="E27"/>
  <c r="E26"/>
  <c r="E25"/>
  <c r="E22"/>
  <c r="E21"/>
  <c r="E20"/>
  <c r="E17"/>
  <c r="E16"/>
  <c r="E15"/>
  <c r="E12"/>
  <c r="E13"/>
  <c r="F11"/>
  <c r="E11"/>
  <c r="E43" i="53"/>
  <c r="E42"/>
  <c r="E41"/>
  <c r="E38"/>
  <c r="E37"/>
  <c r="E36"/>
  <c r="E33"/>
  <c r="E32"/>
  <c r="E31"/>
  <c r="E28"/>
  <c r="E27"/>
  <c r="E26"/>
  <c r="E25"/>
  <c r="E22"/>
  <c r="E21"/>
  <c r="E20"/>
  <c r="F15"/>
  <c r="E17"/>
  <c r="E16"/>
  <c r="E15"/>
  <c r="F11"/>
  <c r="E12"/>
  <c r="E13"/>
  <c r="E11"/>
  <c r="F92" i="56"/>
  <c r="F91"/>
  <c r="F90"/>
  <c r="E90"/>
  <c r="F89"/>
  <c r="E89"/>
  <c r="F88"/>
  <c r="E88"/>
  <c r="F87"/>
  <c r="E87"/>
  <c r="F86"/>
  <c r="E86"/>
  <c r="F85"/>
  <c r="E85"/>
  <c r="F84"/>
  <c r="E84"/>
  <c r="E83"/>
  <c r="E82"/>
  <c r="E81"/>
  <c r="E80"/>
  <c r="E79"/>
  <c r="E78"/>
  <c r="E73"/>
  <c r="F72"/>
  <c r="E72"/>
  <c r="F71"/>
  <c r="E71"/>
  <c r="F70"/>
  <c r="E70"/>
  <c r="F69"/>
  <c r="E69"/>
  <c r="F66"/>
  <c r="E65"/>
  <c r="F64"/>
  <c r="E64"/>
  <c r="F62"/>
  <c r="F61"/>
  <c r="F60"/>
  <c r="F54"/>
  <c r="F49"/>
  <c r="E48"/>
  <c r="F45"/>
  <c r="F43"/>
  <c r="F42"/>
  <c r="E42"/>
  <c r="F34"/>
  <c r="F33"/>
  <c r="E33"/>
  <c r="F32"/>
  <c r="F31"/>
  <c r="E31"/>
  <c r="F30"/>
  <c r="F29"/>
  <c r="E29"/>
  <c r="F28"/>
  <c r="F27"/>
  <c r="E27"/>
  <c r="F26"/>
  <c r="F25"/>
  <c r="E25"/>
  <c r="F22"/>
  <c r="F21"/>
  <c r="E21"/>
  <c r="F20"/>
  <c r="E20"/>
  <c r="F19"/>
  <c r="E19"/>
  <c r="F15"/>
  <c r="F14"/>
  <c r="F13"/>
  <c r="E12"/>
  <c r="F33" i="7"/>
  <c r="F32"/>
  <c r="F29"/>
  <c r="F28"/>
  <c r="F27"/>
  <c r="F26"/>
  <c r="E44"/>
  <c r="E43"/>
  <c r="E42"/>
  <c r="E41"/>
  <c r="E40"/>
  <c r="E39"/>
  <c r="E38"/>
  <c r="E37"/>
  <c r="E28"/>
  <c r="E27"/>
  <c r="E20"/>
  <c r="E19"/>
  <c r="E15"/>
  <c r="E14"/>
  <c r="E13"/>
  <c r="E11"/>
  <c r="E10"/>
  <c r="F15" i="55"/>
  <c r="F14"/>
  <c r="F13"/>
  <c r="F10"/>
  <c r="F43"/>
  <c r="F42"/>
  <c r="F41"/>
  <c r="F40"/>
  <c r="F39"/>
  <c r="F38"/>
  <c r="F37"/>
  <c r="F36"/>
  <c r="F35"/>
  <c r="F27"/>
  <c r="F26"/>
  <c r="F20"/>
  <c r="F19"/>
  <c r="E41"/>
  <c r="E40"/>
  <c r="E39"/>
  <c r="E38"/>
  <c r="E37"/>
  <c r="E36"/>
  <c r="E35"/>
  <c r="E27"/>
  <c r="E26"/>
  <c r="E20"/>
  <c r="E19"/>
  <c r="E15"/>
  <c r="E14"/>
  <c r="E13"/>
  <c r="E11"/>
  <c r="E10"/>
  <c r="E73" i="5"/>
  <c r="E72"/>
  <c r="E71"/>
  <c r="E70"/>
  <c r="E69"/>
  <c r="E68"/>
  <c r="E67"/>
  <c r="E57"/>
  <c r="E56"/>
  <c r="E55"/>
  <c r="E54"/>
  <c r="E46"/>
  <c r="E42"/>
  <c r="E38"/>
  <c r="E37"/>
  <c r="E36"/>
  <c r="E35"/>
  <c r="E33"/>
  <c r="E32"/>
  <c r="E30"/>
  <c r="E29"/>
  <c r="E28"/>
  <c r="E27"/>
  <c r="F50"/>
  <c r="F49"/>
  <c r="F41"/>
  <c r="F38"/>
  <c r="F35"/>
  <c r="F23"/>
  <c r="E23"/>
  <c r="E21"/>
  <c r="E20"/>
  <c r="E19"/>
  <c r="E13"/>
  <c r="E12"/>
  <c r="E11"/>
  <c r="E10"/>
  <c r="F75" i="54"/>
  <c r="F74"/>
  <c r="F73"/>
  <c r="F72"/>
  <c r="F71"/>
  <c r="F70"/>
  <c r="F69"/>
  <c r="F68"/>
  <c r="F67"/>
  <c r="F51"/>
  <c r="F50"/>
  <c r="F49"/>
  <c r="F48"/>
  <c r="F41"/>
  <c r="F21"/>
  <c r="F20"/>
  <c r="F19"/>
  <c r="E72"/>
  <c r="E71"/>
  <c r="E70"/>
  <c r="E69"/>
  <c r="E68"/>
  <c r="E67"/>
  <c r="E57"/>
  <c r="E56"/>
  <c r="E55"/>
  <c r="E54"/>
  <c r="E45"/>
  <c r="E42"/>
  <c r="E38"/>
  <c r="E37"/>
  <c r="E36"/>
  <c r="E35"/>
  <c r="E33"/>
  <c r="E32"/>
  <c r="E30"/>
  <c r="E29"/>
  <c r="E28"/>
  <c r="E27"/>
  <c r="E23"/>
  <c r="E21"/>
  <c r="E20"/>
  <c r="E19"/>
  <c r="E13"/>
  <c r="E12"/>
  <c r="E11"/>
  <c r="E10"/>
  <c r="F77" i="51"/>
  <c r="F76"/>
  <c r="F75"/>
  <c r="F74"/>
  <c r="F73"/>
  <c r="F72"/>
  <c r="F71"/>
  <c r="F70"/>
  <c r="F69"/>
  <c r="F68"/>
  <c r="F55"/>
  <c r="F54"/>
  <c r="F52"/>
  <c r="F51"/>
  <c r="F50"/>
  <c r="F49"/>
  <c r="F41"/>
  <c r="F40"/>
  <c r="F39"/>
  <c r="F38"/>
  <c r="F37"/>
  <c r="F36"/>
  <c r="F35"/>
  <c r="F34"/>
  <c r="F33"/>
  <c r="F32"/>
  <c r="F31"/>
  <c r="F30"/>
  <c r="F29"/>
  <c r="F28"/>
  <c r="F27"/>
  <c r="F26"/>
  <c r="F25"/>
  <c r="F21"/>
  <c r="F20"/>
  <c r="F19"/>
  <c r="F18"/>
  <c r="E74"/>
  <c r="E73"/>
  <c r="E72"/>
  <c r="E71"/>
  <c r="E69"/>
  <c r="E68"/>
  <c r="E67"/>
  <c r="E55"/>
  <c r="E54"/>
  <c r="E51"/>
  <c r="E41"/>
  <c r="E40"/>
  <c r="E39"/>
  <c r="F44" s="1"/>
  <c r="E38"/>
  <c r="E37"/>
  <c r="E35"/>
  <c r="E34"/>
  <c r="E33"/>
  <c r="E32"/>
  <c r="E31"/>
  <c r="E30"/>
  <c r="E29"/>
  <c r="E28"/>
  <c r="E27"/>
  <c r="E26"/>
  <c r="E25"/>
  <c r="E24"/>
  <c r="E21"/>
  <c r="E20"/>
  <c r="E19"/>
  <c r="E18"/>
  <c r="E13"/>
  <c r="E11"/>
  <c r="F12" i="9"/>
  <c r="E12"/>
  <c r="E14"/>
  <c r="E15"/>
  <c r="E16"/>
  <c r="E17"/>
  <c r="E18"/>
  <c r="E19"/>
  <c r="E20"/>
  <c r="E21"/>
  <c r="E11"/>
  <c r="F12" i="50"/>
  <c r="F14"/>
  <c r="F15"/>
  <c r="F16"/>
  <c r="F17"/>
  <c r="F18"/>
  <c r="F19"/>
  <c r="F20"/>
  <c r="F21"/>
  <c r="F22"/>
  <c r="F11"/>
  <c r="E12"/>
  <c r="E13"/>
  <c r="E14"/>
  <c r="E15"/>
  <c r="E16"/>
  <c r="E17"/>
  <c r="E18"/>
  <c r="E19"/>
  <c r="E20"/>
  <c r="E11"/>
  <c r="E24" i="8"/>
  <c r="E23"/>
  <c r="E22"/>
  <c r="E21"/>
  <c r="E20"/>
  <c r="E18"/>
  <c r="E17"/>
  <c r="E16"/>
  <c r="E15"/>
  <c r="E12"/>
  <c r="E13"/>
  <c r="E11"/>
  <c r="F24" i="49"/>
  <c r="F23"/>
  <c r="F22"/>
  <c r="F21"/>
  <c r="F20"/>
  <c r="E24"/>
  <c r="E23"/>
  <c r="E22"/>
  <c r="E21"/>
  <c r="E20"/>
  <c r="F18"/>
  <c r="F17"/>
  <c r="F16"/>
  <c r="F15"/>
  <c r="E18"/>
  <c r="E17"/>
  <c r="E16"/>
  <c r="E15"/>
  <c r="F12"/>
  <c r="F13"/>
  <c r="F11"/>
  <c r="E12"/>
  <c r="E13"/>
  <c r="E11"/>
  <c r="E24" i="60"/>
  <c r="E48"/>
  <c r="E42"/>
  <c r="E38"/>
  <c r="E34"/>
  <c r="E30"/>
  <c r="E26"/>
  <c r="E22"/>
  <c r="E18"/>
  <c r="E16"/>
  <c r="E12"/>
  <c r="E49"/>
  <c r="E47"/>
  <c r="E45"/>
  <c r="E43"/>
  <c r="E41"/>
  <c r="E39"/>
  <c r="E37"/>
  <c r="E35"/>
  <c r="E33"/>
  <c r="E31"/>
  <c r="E29"/>
  <c r="E27"/>
  <c r="E25"/>
  <c r="E23"/>
  <c r="E21"/>
  <c r="E19"/>
  <c r="E17"/>
  <c r="E15"/>
  <c r="E13"/>
  <c r="E11"/>
  <c r="E50"/>
  <c r="E46"/>
  <c r="E44"/>
  <c r="E40"/>
  <c r="E36"/>
  <c r="E32"/>
  <c r="E28"/>
  <c r="E20"/>
  <c r="E14"/>
  <c r="F76" i="15"/>
</calcChain>
</file>

<file path=xl/sharedStrings.xml><?xml version="1.0" encoding="utf-8"?>
<sst xmlns="http://schemas.openxmlformats.org/spreadsheetml/2006/main" count="13636" uniqueCount="3074">
  <si>
    <t>This charge is applicable per 001D &amp; 001E Plexar Line.</t>
  </si>
  <si>
    <t>BRI Interface (USOC-Z22, Z23)</t>
  </si>
  <si>
    <t>Allows for a business line to ring a predetermined telephone number upon going off-hook.</t>
  </si>
  <si>
    <t>Cisco 7960G SIP Phone - Device</t>
  </si>
  <si>
    <t>Cisco and 3PCC SIP and MGCP License for Single 7960 IP Phone</t>
  </si>
  <si>
    <t>Expansion Module (Side Car), for 7960</t>
  </si>
  <si>
    <t>Cisco 7940G IP Phone - Device</t>
  </si>
  <si>
    <t>CISCO3845-V3PN/K9 - Device</t>
  </si>
  <si>
    <t>Cisco 2801-V/K9 - Device</t>
  </si>
  <si>
    <t>CISCO 2821 - Device</t>
  </si>
  <si>
    <t>CISCO 3845 - Device</t>
  </si>
  <si>
    <t>Polycom Soundpoint IP 650 - Device</t>
  </si>
  <si>
    <t>Expansion Module for IP 650 - Device</t>
  </si>
  <si>
    <t>Polycom Soundstation IP 4000 - Device</t>
  </si>
  <si>
    <t>Extended Microphone for Soundstation 4000 (2 mics) - Device</t>
  </si>
  <si>
    <t>LG/Nortel 11-Line appearance SIP phone - Device</t>
  </si>
  <si>
    <t>LG/Nortel 24-Line appearance SIP phone - Device</t>
  </si>
  <si>
    <t>Per Tier I firewall</t>
  </si>
  <si>
    <t>CONUS</t>
  </si>
  <si>
    <t>Am Samoa</t>
  </si>
  <si>
    <t>Alaska</t>
  </si>
  <si>
    <t>USVI</t>
  </si>
  <si>
    <t>Puerto Rico</t>
  </si>
  <si>
    <t>Hawaii</t>
  </si>
  <si>
    <t>Guam</t>
  </si>
  <si>
    <t>CNMI</t>
  </si>
  <si>
    <t>AFGHANISTAN</t>
  </si>
  <si>
    <t>ALBANIA</t>
  </si>
  <si>
    <t>ALGERIA</t>
  </si>
  <si>
    <t>ANDORRA</t>
  </si>
  <si>
    <t>ANGOLA</t>
  </si>
  <si>
    <t>ANGUILLA</t>
  </si>
  <si>
    <t>ANTARTICA (CASEY)</t>
  </si>
  <si>
    <t>ANTIGUA &amp; BARBUDA</t>
  </si>
  <si>
    <t>ARGENTINA</t>
  </si>
  <si>
    <t>ARMENIA</t>
  </si>
  <si>
    <t>ARUBA</t>
  </si>
  <si>
    <t>ASCENSION ISLAND</t>
  </si>
  <si>
    <t>AUSTRALIA</t>
  </si>
  <si>
    <t>Australian External Territory</t>
  </si>
  <si>
    <t>AUSTRIA</t>
  </si>
  <si>
    <t>AZERBAIJAN</t>
  </si>
  <si>
    <t>Azores</t>
  </si>
  <si>
    <t>BAHAMAS</t>
  </si>
  <si>
    <t>BAHRAIN</t>
  </si>
  <si>
    <t>BANGLADESH</t>
  </si>
  <si>
    <t>BARBADOS</t>
  </si>
  <si>
    <t>BELARUS</t>
  </si>
  <si>
    <t>BELGIUM</t>
  </si>
  <si>
    <t>BELIZE</t>
  </si>
  <si>
    <t>BENIN</t>
  </si>
  <si>
    <t>BERMUDA</t>
  </si>
  <si>
    <t>BHUTAN</t>
  </si>
  <si>
    <t>BOLIVIA</t>
  </si>
  <si>
    <t>BOSNIA &amp; HERZEGOVINA</t>
  </si>
  <si>
    <t>BOTSWANA</t>
  </si>
  <si>
    <t>Brazil</t>
  </si>
  <si>
    <t>British Indian Ocean Territory</t>
  </si>
  <si>
    <t>BRITISH VIRGIN ISLANDS</t>
  </si>
  <si>
    <t>BRUNEI</t>
  </si>
  <si>
    <t>BULGARIA</t>
  </si>
  <si>
    <t>BURKINA FASO</t>
  </si>
  <si>
    <t>BURUNDI</t>
  </si>
  <si>
    <t>CAMBODIA</t>
  </si>
  <si>
    <t>CAMEROON</t>
  </si>
  <si>
    <t>CANADA</t>
  </si>
  <si>
    <t>CAPE VERDE ISLANDS</t>
  </si>
  <si>
    <t>CAYMAN ISLANDS</t>
  </si>
  <si>
    <t>CENTRAL AFRICAN REPUBLIC</t>
  </si>
  <si>
    <t>CHAD REPUBLIC</t>
  </si>
  <si>
    <t>CHILE</t>
  </si>
  <si>
    <t>CHINA</t>
  </si>
  <si>
    <t>CHRISTMAS ISLAND</t>
  </si>
  <si>
    <t>Cocos Island</t>
  </si>
  <si>
    <t>COLOMBIA</t>
  </si>
  <si>
    <t>COMOROS</t>
  </si>
  <si>
    <t>CONGO REPUBLIC</t>
  </si>
  <si>
    <t>COOK ISLANDS</t>
  </si>
  <si>
    <t>COSTA RICA</t>
  </si>
  <si>
    <t>CROATIA</t>
  </si>
  <si>
    <t>CUBA</t>
  </si>
  <si>
    <t>Cyprus - North</t>
  </si>
  <si>
    <t>CYPRUS - South</t>
  </si>
  <si>
    <t>CZECH REPUBLIC</t>
  </si>
  <si>
    <t xml:space="preserve">Congo, Dem Republic of (formerly ZAIRE ) </t>
  </si>
  <si>
    <t>DENMARK</t>
  </si>
  <si>
    <t>DIEGO GARCIA</t>
  </si>
  <si>
    <t>DJIBOUTI REPUBLIC</t>
  </si>
  <si>
    <t>DOMINICA</t>
  </si>
  <si>
    <t>DOMINICAN REPUBLIC</t>
  </si>
  <si>
    <t>EAST TIMOR</t>
  </si>
  <si>
    <t>Easter Island</t>
  </si>
  <si>
    <t>ECUADOR</t>
  </si>
  <si>
    <t>EGYPT</t>
  </si>
  <si>
    <t>EL SALVADOR</t>
  </si>
  <si>
    <t>EQUATORIAL GUINEA</t>
  </si>
  <si>
    <t>ERITREA</t>
  </si>
  <si>
    <t>ESTONIA</t>
  </si>
  <si>
    <t>ETHIOPIA</t>
  </si>
  <si>
    <t>FAEROE ISLANDS</t>
  </si>
  <si>
    <t>FALKLAND ISLANDS</t>
  </si>
  <si>
    <t>FIJI</t>
  </si>
  <si>
    <t>FINLAND</t>
  </si>
  <si>
    <t>FRANCE</t>
  </si>
  <si>
    <t xml:space="preserve">French Antilles </t>
  </si>
  <si>
    <t>FRENCH GUIANA</t>
  </si>
  <si>
    <t>FRENCH POLYNESIA</t>
  </si>
  <si>
    <t>GABON REPUBLIC</t>
  </si>
  <si>
    <t>GAMBIA</t>
  </si>
  <si>
    <t>GEORGIA</t>
  </si>
  <si>
    <t>GERMANY</t>
  </si>
  <si>
    <t>GHANA</t>
  </si>
  <si>
    <t>GIBRALTAR</t>
  </si>
  <si>
    <t>GREECE</t>
  </si>
  <si>
    <t>GREENLAND</t>
  </si>
  <si>
    <t>GRENADA</t>
  </si>
  <si>
    <t>GUADALOUPE</t>
  </si>
  <si>
    <t>GUANTANAMO BAY (CUBA)</t>
  </si>
  <si>
    <t>GUATEMALA</t>
  </si>
  <si>
    <t>GUINEA</t>
  </si>
  <si>
    <t>GUINEA BISSAU</t>
  </si>
  <si>
    <t>GUYANA</t>
  </si>
  <si>
    <t>HAITI</t>
  </si>
  <si>
    <t>HONDURAS</t>
  </si>
  <si>
    <t>HONG KONG</t>
  </si>
  <si>
    <t>HUNGARY</t>
  </si>
  <si>
    <t>ICELAND</t>
  </si>
  <si>
    <t>INDIA</t>
  </si>
  <si>
    <t>INDONESIA</t>
  </si>
  <si>
    <t>IRAN</t>
  </si>
  <si>
    <t>IRAQ</t>
  </si>
  <si>
    <t>IRELAND</t>
  </si>
  <si>
    <t>ISRAEL</t>
  </si>
  <si>
    <t>ITALY</t>
  </si>
  <si>
    <t>IVORY COAST</t>
  </si>
  <si>
    <t xml:space="preserve">JAMAICA </t>
  </si>
  <si>
    <t>Japan</t>
  </si>
  <si>
    <t>JORDAN</t>
  </si>
  <si>
    <t>KAZAKHSTAN</t>
  </si>
  <si>
    <t>KENYA</t>
  </si>
  <si>
    <t>KIRIBATI</t>
  </si>
  <si>
    <t>KOREA (NORTH)</t>
  </si>
  <si>
    <t>KOREA (SOUTH)</t>
  </si>
  <si>
    <t>Kosovo</t>
  </si>
  <si>
    <t>KUWAIT</t>
  </si>
  <si>
    <t>KYRGYZSTAN</t>
  </si>
  <si>
    <t>LAOS</t>
  </si>
  <si>
    <t>LATVIA</t>
  </si>
  <si>
    <t>LEBANON</t>
  </si>
  <si>
    <t>LESOTHO</t>
  </si>
  <si>
    <t>LIBERIA</t>
  </si>
  <si>
    <t>LIBYA</t>
  </si>
  <si>
    <t>LIECHTENSTEIN</t>
  </si>
  <si>
    <t>LITHUANIA</t>
  </si>
  <si>
    <t>LUXEMBOURG</t>
  </si>
  <si>
    <t>MACAU</t>
  </si>
  <si>
    <t>MACEDONIA</t>
  </si>
  <si>
    <t>MADAGASCAR</t>
  </si>
  <si>
    <t>MALAWI</t>
  </si>
  <si>
    <t xml:space="preserve">MALAYSIA </t>
  </si>
  <si>
    <t>MALDIVES</t>
  </si>
  <si>
    <t>MALI</t>
  </si>
  <si>
    <t>MALTA</t>
  </si>
  <si>
    <t>MARSHALL ISLAND</t>
  </si>
  <si>
    <t>Martinique</t>
  </si>
  <si>
    <t>MAURITANIA</t>
  </si>
  <si>
    <t>MAURITIUS</t>
  </si>
  <si>
    <t>MAYOTTE</t>
  </si>
  <si>
    <t>MEXICO</t>
  </si>
  <si>
    <t>MICRONESIA</t>
  </si>
  <si>
    <t>MOLDOVA</t>
  </si>
  <si>
    <t>MONACO</t>
  </si>
  <si>
    <t>MONGOLIA</t>
  </si>
  <si>
    <t>MONTSERRAT</t>
  </si>
  <si>
    <t>MOROCCO</t>
  </si>
  <si>
    <t>MOZAMBIQUE</t>
  </si>
  <si>
    <t>MYANMAR (Burma)</t>
  </si>
  <si>
    <t>NAMIBIA</t>
  </si>
  <si>
    <t>NAURU</t>
  </si>
  <si>
    <t>NEPAL</t>
  </si>
  <si>
    <t>NETHERLANDS</t>
  </si>
  <si>
    <t>NETHERLANDS ANTILLES</t>
  </si>
  <si>
    <t>Nevis</t>
  </si>
  <si>
    <t>NEW CALEDONIA</t>
  </si>
  <si>
    <t xml:space="preserve">NEW ZEALAND </t>
  </si>
  <si>
    <t>NICARAGUA</t>
  </si>
  <si>
    <t>NIGER REPUBLIC</t>
  </si>
  <si>
    <t>NIGERIA</t>
  </si>
  <si>
    <t>NIUE ISLANDS</t>
  </si>
  <si>
    <t>NORFOLK ISLAND</t>
  </si>
  <si>
    <t>NORWAY</t>
  </si>
  <si>
    <t>OMAN</t>
  </si>
  <si>
    <t>PAKISTAN</t>
  </si>
  <si>
    <t>PALAU REPUBLIC</t>
  </si>
  <si>
    <t>Palestinian Authority</t>
  </si>
  <si>
    <t>PANAMA</t>
  </si>
  <si>
    <t>PAPUA NEW GUINEA</t>
  </si>
  <si>
    <t>PARAGUAY</t>
  </si>
  <si>
    <t>PERU</t>
  </si>
  <si>
    <t>PHILIPPINES</t>
  </si>
  <si>
    <t>POLAND</t>
  </si>
  <si>
    <t>PORTUGAL</t>
  </si>
  <si>
    <t>QATAR</t>
  </si>
  <si>
    <t>REUNION ISLAND</t>
  </si>
  <si>
    <t>ROMANIA</t>
  </si>
  <si>
    <t xml:space="preserve">RUSSIA </t>
  </si>
  <si>
    <t>RWANDA</t>
  </si>
  <si>
    <t>SAN MARINO</t>
  </si>
  <si>
    <t>SAO TOME</t>
  </si>
  <si>
    <t>SAUDI ARABIA</t>
  </si>
  <si>
    <t>SENEGAL</t>
  </si>
  <si>
    <t>SEYCHELLES ISLAND</t>
  </si>
  <si>
    <t>SIERRA LEONE</t>
  </si>
  <si>
    <t>SINGAPORE</t>
  </si>
  <si>
    <t>SLOVAKIA</t>
  </si>
  <si>
    <t>SLOVENIA</t>
  </si>
  <si>
    <t>SOLOMON ISLANDS</t>
  </si>
  <si>
    <t xml:space="preserve">SOMALIA </t>
  </si>
  <si>
    <t>SOUTH AFRICA</t>
  </si>
  <si>
    <t>SPAIN</t>
  </si>
  <si>
    <t>SRI LANKA</t>
  </si>
  <si>
    <t>ST. HELENA</t>
  </si>
  <si>
    <t>ST. KITTS</t>
  </si>
  <si>
    <t>ST. LUCIA</t>
  </si>
  <si>
    <t>ST. PIERRE &amp; MIQUELON</t>
  </si>
  <si>
    <t>ST. VINCENT &amp; THE GRENADINES</t>
  </si>
  <si>
    <t xml:space="preserve">SUDAN </t>
  </si>
  <si>
    <t>SURINAME</t>
  </si>
  <si>
    <t>SWAZILAND</t>
  </si>
  <si>
    <t>SWEDEN</t>
  </si>
  <si>
    <t>SWITZERLAND</t>
  </si>
  <si>
    <t>SYRIA</t>
  </si>
  <si>
    <t>TAIWAN</t>
  </si>
  <si>
    <t>TAJISKISTAN</t>
  </si>
  <si>
    <t>TANZANIA</t>
  </si>
  <si>
    <t>THAILAND</t>
  </si>
  <si>
    <t>TOGO</t>
  </si>
  <si>
    <t>TONGA ISLANDS</t>
  </si>
  <si>
    <t>TRINIDAD &amp; TOBAGO</t>
  </si>
  <si>
    <t>TUNISIA</t>
  </si>
  <si>
    <t>TURKEY</t>
  </si>
  <si>
    <t>TURKMENISTAN</t>
  </si>
  <si>
    <t>TURKS &amp; CAICOS ISLANDS</t>
  </si>
  <si>
    <t>TUVALU</t>
  </si>
  <si>
    <t>UGANDA</t>
  </si>
  <si>
    <t>UKRAINE</t>
  </si>
  <si>
    <t>UNITED ARAB EMIRATES</t>
  </si>
  <si>
    <t xml:space="preserve">UNITED KINGDOM </t>
  </si>
  <si>
    <t>URUGUAY</t>
  </si>
  <si>
    <t>UZBEKISTAN</t>
  </si>
  <si>
    <t>VANUATU</t>
  </si>
  <si>
    <t>VENEZUELA</t>
  </si>
  <si>
    <t>VIETNAM</t>
  </si>
  <si>
    <t>Wallis Island</t>
  </si>
  <si>
    <t>WESTERN SAMOA</t>
  </si>
  <si>
    <t xml:space="preserve">YEMEN REPUBLIC </t>
  </si>
  <si>
    <t>YUGOSLAVIA (Serbia &amp; Montenegro)</t>
  </si>
  <si>
    <t>ZAMBIA</t>
  </si>
  <si>
    <t>ZIMBABWE</t>
  </si>
  <si>
    <t xml:space="preserve">Materials (MISC,) </t>
  </si>
  <si>
    <t>Per Foot</t>
  </si>
  <si>
    <t>24-port Cat 5e patch Panel</t>
  </si>
  <si>
    <t>Each</t>
  </si>
  <si>
    <t>24-portCat 6 Patch Panel</t>
  </si>
  <si>
    <t>1st Flat Rate Jack POTS (JJK1C)</t>
  </si>
  <si>
    <t>Additional Flat Rate Jack POTS (JJA1C)</t>
  </si>
  <si>
    <t>1st Flat Rate Jack Special Services Non-POTS (DWK)</t>
  </si>
  <si>
    <t>Additional Flat Rate Jack Special Services Non-POTS (DWKAJ)</t>
  </si>
  <si>
    <t>Jack Rewire (RWC)</t>
  </si>
  <si>
    <t>Tie-Down &amp; Cross-Connect at Network Interface (NW1/NW1TD) (RWC2X)</t>
  </si>
  <si>
    <t>Customer requests old plastic cover protector be replaced with new customer accessible SNI (NW1/NW1TD) (4)</t>
  </si>
  <si>
    <t>Important: The use of RWC2X does not cover rewires, jack repairs, or toning out jacks on the inside of the customers premise from the Network Interface to the physical jack. RWC2X should only be used on the initial order for installation of the associated access line(s). Refer to flat-rate jack charges or Time Sensitive Wiring for inside premise work.  Important: The use of RWC2X does not cover rewires, jack repairs, or toning out jacks on the inside of the customers premise from the Network Interface to the physical jack. RWC2X should only be used on the initial order for installation of the associated access line(s). Refer to flat-rate jack charges or Time Sensitive Wiring for inside premise work. RWC2X applies per request for 1 to 10 line orders. Ap date, due date and premise location must be the same. RWC2X will be added to the lead order number. Cross related orders (including system billed-ons) will be included for the flat charge billed on this USOC. Network will be trained to work the group of orders together, connecting the Inside wiring on all lines at the Network Interface.  BEASE will have product displayed as "TIE-DOWN/XCONN AT NW1"  Note: If the customer mentions a specific jack by USOC it can be included and shown as a des entry on the order. (e.g. I    JJK1C    /DES RJ14C)  The customer should be advised that some jacks are not standard and that an additional part (materials) charge may be billed. The technician will quote additional material charges at the time the work is performed.</t>
  </si>
  <si>
    <t>Business office would initiate this type of order.  Order would have access, remarks and inward action of NW1/NW1TD.  Customers should not be referred to repair.  If the technician determines the customer did have an up-to-date SNI, time sensitive charges would be billed for the truck roll.  Refer to Maintenance of Service Charges rates for rates billed via repair calls.</t>
  </si>
  <si>
    <t xml:space="preserve">Other (MISC,) </t>
  </si>
  <si>
    <t>Business Lines</t>
  </si>
  <si>
    <t>Analog Trunks</t>
  </si>
  <si>
    <t>DID Information</t>
  </si>
  <si>
    <t>N/A</t>
  </si>
  <si>
    <t>Audio Conferencing</t>
  </si>
  <si>
    <t>Call Distribution Module</t>
  </si>
  <si>
    <t>Note 3</t>
  </si>
  <si>
    <t xml:space="preserve">Access to 911 Service.  Customer organizations shall be able to access emergency service/assistance by dialing (prefix, if appropriate) 911 </t>
  </si>
  <si>
    <t>Access to a pre-subscribed interexchange carrier (PIC)</t>
  </si>
  <si>
    <t>no charge for PIC when service established</t>
  </si>
  <si>
    <t>Per Listing</t>
  </si>
  <si>
    <t>Per Month</t>
  </si>
  <si>
    <t xml:space="preserve">Per Number </t>
  </si>
  <si>
    <t>Attendant Multi-line Hunt Group</t>
  </si>
  <si>
    <t>Per Line</t>
  </si>
  <si>
    <t>Per Line or Station</t>
  </si>
  <si>
    <t>Per System</t>
  </si>
  <si>
    <t>Automatic Number Identification (ANI) for outgoing calls</t>
  </si>
  <si>
    <t>Blocking Dialed Carrier Identification Code</t>
  </si>
  <si>
    <t>Bridging Service</t>
  </si>
  <si>
    <t>Call Hunting</t>
  </si>
  <si>
    <t>Call Restriction</t>
  </si>
  <si>
    <t xml:space="preserve">Call Transfer </t>
  </si>
  <si>
    <t>Standard Feature on Plexar Service</t>
  </si>
  <si>
    <t xml:space="preserve">Call Waiting </t>
  </si>
  <si>
    <t xml:space="preserve">Class of Service </t>
  </si>
  <si>
    <t>Customized Intercept and Recorded Announcement</t>
  </si>
  <si>
    <t>Directed Call Pickup</t>
  </si>
  <si>
    <t>Directory Assistance</t>
  </si>
  <si>
    <t>Per Call</t>
  </si>
  <si>
    <t>Dual Service</t>
  </si>
  <si>
    <t>Per Number</t>
  </si>
  <si>
    <t>Intercom Dial</t>
  </si>
  <si>
    <t>Extended Area Service</t>
  </si>
  <si>
    <t>Extended Area Service is an arrangement whereby customers in one exchange or zone can call customers in contiguous exchanges. There is an extended area service additive that applies, per exchange or zone, in addition to the applicable local exchange rates.</t>
  </si>
  <si>
    <t>Per Line, Per Month</t>
  </si>
  <si>
    <t>Per Simulated Facility Access Line</t>
  </si>
  <si>
    <t>Per Trunk, Per month</t>
  </si>
  <si>
    <t>Inter-Exchange –  Local Channel (USOC-1LMKY)</t>
  </si>
  <si>
    <t>Inter-Exchange – Interoffice Channel (USOC-1LMFS)</t>
  </si>
  <si>
    <t>Local Channel (USOC-1LMGY)</t>
  </si>
  <si>
    <t>Interoffice Channel Terminal (USOC-PMNFX)</t>
  </si>
  <si>
    <t>Inter-Exchange –  Local Channel (USOC-1LMGY)</t>
  </si>
  <si>
    <t>Interoffice Channel Terminal  (USOC-PMNFL)</t>
  </si>
  <si>
    <t>Inter-Exchange – Interoffice Channel Terminal (USOC-P1NV1)</t>
  </si>
  <si>
    <t>Inter-Exchange – Interoffice Channel Mileage (USOC-1LMFS)</t>
  </si>
  <si>
    <t>Interoffice Channel Mileage (USOC-1LMFS)</t>
  </si>
  <si>
    <t>Inter-Exchange – Interoffice Channel  (USOC-PMNSS)</t>
  </si>
  <si>
    <t>Inter-Exchange – Interexchange Channel Mileage (USOC-1LHU4)</t>
  </si>
  <si>
    <t>Inter-Exchange – Interoffice Channel (USOC-PMNSS)</t>
  </si>
  <si>
    <t>Interexchange Channel Mileage (USOC-1LHU4)</t>
  </si>
  <si>
    <t>Inter-Exchange – Interoffice Channel Terminal (USOC-P1NS1)</t>
  </si>
  <si>
    <t>Private Line 425 Type Circuit</t>
  </si>
  <si>
    <t>Private Line 423 Type Circuit</t>
  </si>
  <si>
    <t>Local Channel (USOC-1LMJY)</t>
  </si>
  <si>
    <t>Interoffice Channel Terminal  (USOC-PMNHL)</t>
  </si>
  <si>
    <t>Inter-Exchange –  Local Channel (USOC-1LMJY)</t>
  </si>
  <si>
    <t>Inter-Exchange – Interoffice Channel Terminal (USOC-P1NU1)</t>
  </si>
  <si>
    <t>Local Channel (USOC-1LPAY)</t>
  </si>
  <si>
    <t>Interoffice Channel Terminal  (USOC-PMNII)</t>
  </si>
  <si>
    <t>Interoffice Channel Mileage (USOC-1LPJS)</t>
  </si>
  <si>
    <t>Metropolitan Calling -2 Way Plan - Outward Direct Dialed -Flat Toll Plan</t>
  </si>
  <si>
    <t>MCA service is an optional service which provides the subscriber with an optional local calling area which includes the respective Metropolitan Exchange.</t>
  </si>
  <si>
    <t>Group of Telephone Numbers Equipped, Per Group</t>
  </si>
  <si>
    <t>This charge is applicable with the original DRS order. It applies per account and per location.</t>
  </si>
  <si>
    <t>Per Account, Per Location</t>
  </si>
  <si>
    <t xml:space="preserve"> Per Rearrangement</t>
  </si>
  <si>
    <t>Per Group,  Per Month</t>
  </si>
  <si>
    <t>Per Goup</t>
  </si>
  <si>
    <t>Per Account</t>
  </si>
  <si>
    <t>Per Rearrangement</t>
  </si>
  <si>
    <t>Per Telephone Number, Per Month</t>
  </si>
  <si>
    <t>Rearrangement Charges, per Rearrangement Establishment Charge</t>
  </si>
  <si>
    <t>Data Channel Conditioning - Type C2 (USOC P3HC2)</t>
  </si>
  <si>
    <t>Two point not arranged for switching, per service point</t>
  </si>
  <si>
    <t>DID Numbers (NON-ISDN)</t>
  </si>
  <si>
    <t xml:space="preserve">Flat Rate Jack charges are applied providing the following conditions are met: Exposed jack and wire can be installed. (e.g. run along the baseboard) Outlet location can be surfaced mounted and has been already prewired.                                                                            The installation requires simple POTS 4-wire (2 pair) wiring. If the work to be performed does not meet these conditions the technician will determine if Time Sensitive Installation charges would apply. </t>
  </si>
  <si>
    <t>Jack Rewire charges are applied providing the following conditions are met: No new materials are required.                                                                                                                                 Wiring repair is not required. A pre existing jack is in place.   Order must contain other field work.  If no other field work is on the order and RWC is the only inward action the order will not be dispatched to a technician.  Re-negotiate the order and issue with Flat Rate Jack USOC and quote appropriate charges.  Premise remarks "Owned Wiring" identifies the property is controlled by a vendor. The technician cannot perform jack installation or jack rewiring. The service order should not contain jack or rewire USOC's. </t>
  </si>
  <si>
    <t>"B" Channnel</t>
  </si>
  <si>
    <t>Forwarded Telephone Number, Per Telephone Number Equipped Option 1</t>
  </si>
  <si>
    <t>Individual DID Number (USOC-ZTN) ***</t>
  </si>
  <si>
    <t>Ethernet Service</t>
  </si>
  <si>
    <t>Administrative &amp; Design &amp; CO Connection Charges</t>
  </si>
  <si>
    <t>Multi-Appearance Preselection and Preference (SDP6)</t>
  </si>
  <si>
    <t>Multiple Appearance Directory Numbers</t>
  </si>
  <si>
    <t>Operator Assistance-Busy Line Verification</t>
  </si>
  <si>
    <t>Directory Assistance - Listings per call = 2</t>
  </si>
  <si>
    <t>Operator Assistance-Busy Line Verification with Interrupt</t>
  </si>
  <si>
    <t>Pre-subscribed Interexchange Carrier Change</t>
  </si>
  <si>
    <t>Primary Directory Listings</t>
  </si>
  <si>
    <t>Privacy</t>
  </si>
  <si>
    <t>Per Station</t>
  </si>
  <si>
    <t>Per CRS Database</t>
  </si>
  <si>
    <t xml:space="preserve">Three-Way Conference Calling </t>
  </si>
  <si>
    <t>Per Mailbox</t>
  </si>
  <si>
    <t>Basic Callnotes Only, other Callnotes Available</t>
  </si>
  <si>
    <t>AT&amp;T</t>
  </si>
  <si>
    <t>Note 4</t>
  </si>
  <si>
    <t>Option 1 - Disaster Routing Service - Forwarded Telephone Numbers Per Telephone Number 501 - 1000 Numbers</t>
  </si>
  <si>
    <t xml:space="preserve">Call forwarding busy/no answer </t>
  </si>
  <si>
    <t>Per Call or Per Line</t>
  </si>
  <si>
    <t>Basic 911 service provided with services - Private Switch 911 or Inform 911 can be provided for additional charge</t>
  </si>
  <si>
    <t>Rates for Local AT&amp;T Directory only</t>
  </si>
  <si>
    <t>Only available on Business Lines, all others with Calling Line ID will get anonymous displayed</t>
  </si>
  <si>
    <t>Will be provided at the contractors discretion where facilities exist</t>
  </si>
  <si>
    <t>aka - Automatic Recall - allows user to automatically redial the last Outgoing call by dialing an Access Code. Applies per B-channel on ISDN services</t>
  </si>
  <si>
    <t xml:space="preserve">ANI is sent from the main number on PRI or Analog Trunks * </t>
  </si>
  <si>
    <t>A Basic EKTS and Cache EKTS feature that allows user to join an active call - available on ISDN services only</t>
  </si>
  <si>
    <t>Call forwarding busy, no answer, outside system required with voice mail</t>
  </si>
  <si>
    <t>Call forwarding busy, no answer outside system required with voice mail</t>
  </si>
  <si>
    <t>Rate per B channel on ISDN Services</t>
  </si>
  <si>
    <t>Rate per B channel on ISDN Bus Line</t>
  </si>
  <si>
    <t>Redials last incoming call, rate applies per B channel on ISDN services</t>
  </si>
  <si>
    <t>Standard Feature on Plexar Service, rate applies per B-channel on ISDN services.</t>
  </si>
  <si>
    <t xml:space="preserve">Rate per B channel on ISDN Services, * see ISDN PRI service tab </t>
  </si>
  <si>
    <t>*67 blocks the outgoing Caller ID number from being displayed to called party, must be activated per call - available on a per Line basis for Fed Gov</t>
  </si>
  <si>
    <t>Only available on ISDN Bus Lines - this service provides for distinctive ring for up to 6 specific incoming call numbers</t>
  </si>
  <si>
    <t>Dual Service is dependent on location, type of service, etc</t>
  </si>
  <si>
    <t>Installation applies to new systems or growth on existing systems.</t>
  </si>
  <si>
    <t>Interoffice Channel Term(USOC-PMNFX)</t>
  </si>
  <si>
    <t>Software Reconfiguration by Customer Is included in the basic rate for Analog-Off Premise Service (Centrex/Plexar)</t>
  </si>
  <si>
    <t>Business Lines Features</t>
  </si>
  <si>
    <t>Digital ISDN BRI Features</t>
  </si>
  <si>
    <t>ISDN PRI Features</t>
  </si>
  <si>
    <t>Plexar Features</t>
  </si>
  <si>
    <t>STATIC PLANS</t>
  </si>
  <si>
    <t>Basic Intercept Service for 30 days.  On Business Lines contractor will make every effort to provide Inercept until end of the current directory, due to number exhaustion, this may not always be available, but will not be less than 30 days.  Longer time available for Plexar and DID consecutive numbers - * for block of consecutive numbers</t>
  </si>
  <si>
    <t>Basic</t>
  </si>
  <si>
    <t>Express</t>
  </si>
  <si>
    <t>Pro</t>
  </si>
  <si>
    <t>Elite</t>
  </si>
  <si>
    <t>DYNAMIC PLAN EQUIPMENT</t>
  </si>
  <si>
    <t>DYNAMIC PLANS</t>
  </si>
  <si>
    <t>Express-S</t>
  </si>
  <si>
    <t>Pro-S</t>
  </si>
  <si>
    <t>Elite-S</t>
  </si>
  <si>
    <t>Symmetric-S</t>
  </si>
  <si>
    <t>STATIC PLAN EQUIPMENT</t>
  </si>
  <si>
    <t>No Charge /PROX would be added to line, station or trunk</t>
  </si>
  <si>
    <t>aka Selective Call Rejection, this service allows user to reject up to 6 numbers established on a preselected list</t>
  </si>
  <si>
    <t>Standard Feature on Plexar Service, for ISDN Business Line, this allows a CACH EKTS user to call other terminals in a CACH EKTS group.</t>
  </si>
  <si>
    <t>Multiple Call Appearance of Directory Number per set - Electronic Key Telephone Set (EKTS) required</t>
  </si>
  <si>
    <t>Multiple Appearance of Directory Number on multiple sets - Electronic Key Telephone Set (EKTS) required</t>
  </si>
  <si>
    <t xml:space="preserve">Charter Numberallows customer to retain their number when change location or change service to another wire center - within the Same Rate Center </t>
  </si>
  <si>
    <t>Personalized Ring on Business Lines establishes up to 3 numbers on the same line and distinguish calls to each number by a distinctive ring</t>
  </si>
  <si>
    <t>Supplemental Change (additional numbers, same billing number, same due date .26 per change, can change Plexar group PIC change @ 3.05, rates per B channel on ISDN services</t>
  </si>
  <si>
    <t>Allows user to set up a conference call for up to 6 parties</t>
  </si>
  <si>
    <t>Only available for Analog Off Premise Service - per CRS database, Per Plexar system</t>
  </si>
  <si>
    <t>Speed Call 10 Standard Feature on Analog/ISDN Off Premise service, Speed Call Short List for ISDN Bus Line 6-10 numbers, depending on Serving Office</t>
  </si>
  <si>
    <t>Allows user to set up a call with up to 3 parties</t>
  </si>
  <si>
    <t>Vendor Information</t>
  </si>
  <si>
    <t xml:space="preserve">Vendor name:   </t>
  </si>
  <si>
    <t xml:space="preserve"> </t>
  </si>
  <si>
    <t>Date Submitted</t>
  </si>
  <si>
    <t>Services Offered</t>
  </si>
  <si>
    <t>Geographic Area Served</t>
  </si>
  <si>
    <t>One-Time Installation Price</t>
  </si>
  <si>
    <t>Service Pricing Notes</t>
  </si>
  <si>
    <t>Month To Month</t>
  </si>
  <si>
    <t>Individual Business Line-Flat Rate (USOC=1FL)</t>
  </si>
  <si>
    <t>Multi-Line Business Line-Flat Rate (USOC=1BH)</t>
  </si>
  <si>
    <t>Analog Trunk Two Way, DID &amp; Combo (USOCs-TFB03, TFB02, TFC)</t>
  </si>
  <si>
    <t>1st 100 DID (USOC-NEB)</t>
  </si>
  <si>
    <t xml:space="preserve">Additional 100 DID (USOC-NEC) </t>
  </si>
  <si>
    <t>1st 10 DID (USOC-NDZ)</t>
  </si>
  <si>
    <t xml:space="preserve">Additional 10 DID (USOC-NDA) </t>
  </si>
  <si>
    <t>DID Numbers (ISDN)</t>
  </si>
  <si>
    <t>1st 100 DID (USOC-ZT8)</t>
  </si>
  <si>
    <t xml:space="preserve">Additional 100 DID (USOC-ZT9) </t>
  </si>
  <si>
    <t>1st 10 DID (USOC-ZT5)</t>
  </si>
  <si>
    <t xml:space="preserve">Additional 10 DID (USOC-ZT6) </t>
  </si>
  <si>
    <t>ISDN PRI Service</t>
  </si>
  <si>
    <t>Business Trunk Equivalent-B Channels (USOCs T15CX, T151X, T150X)</t>
  </si>
  <si>
    <t>ISDN PRI Options</t>
  </si>
  <si>
    <t xml:space="preserve">Calling ID (USOC-NXN) </t>
  </si>
  <si>
    <t>Loop Protection (USOC-L8P)</t>
  </si>
  <si>
    <t>Back Up D Channel (USOC-ZPBXD)</t>
  </si>
  <si>
    <t>Per PRI Interface</t>
  </si>
  <si>
    <t>SuperTrunk Service</t>
  </si>
  <si>
    <t>Digital transmission Loop Span (USOC-DLS)</t>
  </si>
  <si>
    <t>SuperTrunk Port (USOC-N2Y1X)</t>
  </si>
  <si>
    <t>Switch Use Trunk with or without DID (USOCs-TF7CX, T2PCX)</t>
  </si>
  <si>
    <t>Loop Protection (USOC-SB31X)</t>
  </si>
  <si>
    <t>Optional feature on Super Trunk service</t>
  </si>
  <si>
    <t>Per B Channel, 2 required</t>
  </si>
  <si>
    <t>Depending on location, Link extension may apply</t>
  </si>
  <si>
    <t>Link Extension Equipment (USOC-NC1)</t>
  </si>
  <si>
    <t>Local Channel (USOC-1LMHY)</t>
  </si>
  <si>
    <t>Interoffice Channel(USOC-1LMFS)</t>
  </si>
  <si>
    <t>Interexchange Channel (USOC-1LHU4)</t>
  </si>
  <si>
    <t>Per termination on a Prem</t>
  </si>
  <si>
    <t>Each V-H mile or fraction thereof, per channel</t>
  </si>
  <si>
    <t>Per Terminal (2 required per interoffice channel)</t>
  </si>
  <si>
    <t>Each V-H mile or fraction thereof</t>
  </si>
  <si>
    <t>Tie Line 424 Circuit</t>
  </si>
  <si>
    <t>OPX 428 Circuit</t>
  </si>
  <si>
    <t>Interoffice Channel (USOC-1LMFS)</t>
  </si>
  <si>
    <t>Per termination on a premise</t>
  </si>
  <si>
    <t>Private Line Services</t>
  </si>
  <si>
    <t>DSO- 56k circuit</t>
  </si>
  <si>
    <t>Channel termination (USOC-T6ECS)</t>
  </si>
  <si>
    <t>Fixed Mileage (USOC-1L5XX)</t>
  </si>
  <si>
    <t>Channel Mileage (USOC-1L5XX)</t>
  </si>
  <si>
    <t>DSO- 64k circuit</t>
  </si>
  <si>
    <t>Channel termination (USOC-TMECS)</t>
  </si>
  <si>
    <t>DS3/T3 Circuit</t>
  </si>
  <si>
    <t>DS1/T1 Circuit</t>
  </si>
  <si>
    <t>Local distribution Channel (USOC-TZUP1)</t>
  </si>
  <si>
    <t>Fixed Mileage (USOC-CZ4X1)</t>
  </si>
  <si>
    <t>Per Mile (USOC-1YZX1)</t>
  </si>
  <si>
    <t>Central Office Multiplexing DS3 to DS1 (USOC-QM3X1)</t>
  </si>
  <si>
    <t>Optional feature, if required</t>
  </si>
  <si>
    <t>OC3 Circuit</t>
  </si>
  <si>
    <t>Channel termination (USOC-TCXBX)</t>
  </si>
  <si>
    <t>Fixed Mileage (USOC-1HYBS)</t>
  </si>
  <si>
    <t>Channel Mileage (USOC-1HYBS)</t>
  </si>
  <si>
    <t>OC12 Circuit</t>
  </si>
  <si>
    <t>OC48 Circuit</t>
  </si>
  <si>
    <t>Dedicated Sonet Ring Service</t>
  </si>
  <si>
    <t>MILEAGE 1YAZX</t>
  </si>
  <si>
    <t>Dedicated Sonet Ring OC3</t>
  </si>
  <si>
    <t>DS1 at OC3 Node (USOC-SPRAX)</t>
  </si>
  <si>
    <t>DS3 at OC3 Node (USOC-SPRBX)</t>
  </si>
  <si>
    <t>Dedicated Sonet Ring OC12</t>
  </si>
  <si>
    <t>OC3 Customer Prem Node (USOC-FP5CX)</t>
  </si>
  <si>
    <t>OC3 Central Office Node (USOC-FC5CX)</t>
  </si>
  <si>
    <t>OC12 Customer Prem Node (USOC-FPDCX)</t>
  </si>
  <si>
    <t>OC12 Central Office Node (USOC-FC5DX)</t>
  </si>
  <si>
    <t>DS3 at OC12 Node (USOC-SPRCX)</t>
  </si>
  <si>
    <t>OC3  at OC12 Node (USOC-SPREX)</t>
  </si>
  <si>
    <t>Mileage (USOC-1YAZX)</t>
  </si>
  <si>
    <t>Dedicated Sonet Ring OC48</t>
  </si>
  <si>
    <t>OC48 Customer Prem Node (USOC-FPDEX)</t>
  </si>
  <si>
    <t>DS1 at OC12 Node (USOC-SPRGX)</t>
  </si>
  <si>
    <t>OC48 Central Office Node (USOC-FC5EX)</t>
  </si>
  <si>
    <t>OC12 at OC48 Node (USOC-SPRHX)</t>
  </si>
  <si>
    <t>OC3  at OC48 Node (USOC-SPRJX)</t>
  </si>
  <si>
    <t>Tie Trunk (T1)</t>
  </si>
  <si>
    <t>DS3 at OC48 Node (USOC-SPRKX)</t>
  </si>
  <si>
    <t>Optical to Electrical add/drop mux (USOC-MXJDX)</t>
  </si>
  <si>
    <t>DS1 at OC48 Node (USOC-SPRLX)</t>
  </si>
  <si>
    <t>Telecommunications Service Priority (TSP)</t>
  </si>
  <si>
    <t>Mileage 1YAZX</t>
  </si>
  <si>
    <t>DSL Services</t>
  </si>
  <si>
    <t>Cable Modem Services</t>
  </si>
  <si>
    <t>Not available for Business customers at this time.</t>
  </si>
  <si>
    <t>Telecommunications Technician (NBD)</t>
  </si>
  <si>
    <t>Telecommunications Technician (ONBD)</t>
  </si>
  <si>
    <t>Cable Installer (NBD)</t>
  </si>
  <si>
    <t>Cable Installer (ONBD)</t>
  </si>
  <si>
    <t>Cable Splicer (NBD)</t>
  </si>
  <si>
    <t>Cable Splicer (ONBD)</t>
  </si>
  <si>
    <t>Training Specialist (NBD)</t>
  </si>
  <si>
    <t>Training Specialist (ONBD)</t>
  </si>
  <si>
    <t>LAN/WAN Integrator</t>
  </si>
  <si>
    <t>Voice Communications Specialist</t>
  </si>
  <si>
    <t>Systems Engineer</t>
  </si>
  <si>
    <t>Data Communications Specialist</t>
  </si>
  <si>
    <t>Data Entry Operator</t>
  </si>
  <si>
    <t>Program Manager</t>
  </si>
  <si>
    <t>Project Manager</t>
  </si>
  <si>
    <t>Documentation Specialist</t>
  </si>
  <si>
    <t>Per Hour</t>
  </si>
  <si>
    <t>Priced per interoffice channel mile billed in 1 mile increments</t>
  </si>
  <si>
    <t>n/a</t>
  </si>
  <si>
    <t>ICB</t>
  </si>
  <si>
    <t>Special Constructoin May Apply.  Price includes quantity of 2 Local Distrubution Channels</t>
  </si>
  <si>
    <t>Price includes quantity of 2 Local Distribution Channels</t>
  </si>
  <si>
    <t>Per node</t>
  </si>
  <si>
    <t>Per port</t>
  </si>
  <si>
    <t>Per mile</t>
  </si>
  <si>
    <t>Local Channel (USOC-1LMKY)</t>
  </si>
  <si>
    <t>*</t>
  </si>
  <si>
    <t>Bronze Service—supports data applications with time-varying traffic and/or those applications that are lower in priority. This Grade of Service is the appropriate selection for LAN traffic since it tolerates bursty and time-varying traffic. The service parameters associated with the bronze service are Packet Delivery Rate (PDR) and latency. The PDR guarantee is 99.5% of total traffic, and the latency guarantee is less than 27 milliseconds one way, end-to-end (70 milliseconds roundtrip).</t>
  </si>
  <si>
    <t>Silver Service—supports applications that require minimal loss and low latency variation (jitter), such as VoIP. Silver service is a priority queue for delay sensitive traffic. The service parameters associated with it are Packet Delivery Rate (PDR), latency, and jitter. The PDR guarantee for silver service is 99.9% of total traffic. The latency guarantee is less than 18 milliseconds one way, end-to-end (50 milliseconds roundtrip), and the jitter guarantee is 12 milliseconds one way, end-to-end.</t>
  </si>
  <si>
    <t>Basic 100Mbps</t>
  </si>
  <si>
    <t>Basic 1Gbps</t>
  </si>
  <si>
    <t>Basic Plus 100Mbps</t>
  </si>
  <si>
    <t>Basic Plus 1Gbps</t>
  </si>
  <si>
    <t>Connection</t>
  </si>
  <si>
    <t xml:space="preserve">Repeater </t>
  </si>
  <si>
    <t xml:space="preserve"> When needed</t>
  </si>
  <si>
    <t>2Mbps</t>
  </si>
  <si>
    <t>4Mbps</t>
  </si>
  <si>
    <t>5Mbps</t>
  </si>
  <si>
    <t>8Mbps</t>
  </si>
  <si>
    <t>10Mbps</t>
  </si>
  <si>
    <t>20Mbps</t>
  </si>
  <si>
    <t>50Mbps</t>
  </si>
  <si>
    <t>100Mbps</t>
  </si>
  <si>
    <t>150Mbps</t>
  </si>
  <si>
    <t>250Mbps</t>
  </si>
  <si>
    <t>500Mbps</t>
  </si>
  <si>
    <t>600Mbps</t>
  </si>
  <si>
    <t>1000Mbps</t>
  </si>
  <si>
    <t>CIR</t>
  </si>
  <si>
    <t>Basic Port plus CIR</t>
  </si>
  <si>
    <t>10/100M Port with 2Mbps CIR</t>
  </si>
  <si>
    <t>10/100M Port with 4Mbps CIR</t>
  </si>
  <si>
    <t>10/100M Port with 5Mbps CIR</t>
  </si>
  <si>
    <t>10/100M Port with 8Mbps CIR</t>
  </si>
  <si>
    <t>10/100M Port with 10Mbps CIR</t>
  </si>
  <si>
    <t>100M Port with 20Mbps CIR</t>
  </si>
  <si>
    <t>100M Port with 50Mbps CIR</t>
  </si>
  <si>
    <t>100M Port with 100Mbps CIR</t>
  </si>
  <si>
    <t>1G Port with 2Mbps CIR</t>
  </si>
  <si>
    <t>1G Port with 4Mbps CIR</t>
  </si>
  <si>
    <t>1G Port with 5Mbps CIR</t>
  </si>
  <si>
    <t>1G Port with 8Mbps CIR</t>
  </si>
  <si>
    <t>1G Port with 10Mbps CIR</t>
  </si>
  <si>
    <t>1G Port with 20Mbps CIR</t>
  </si>
  <si>
    <t>1G Port with 50Mbps CIR</t>
  </si>
  <si>
    <t>1G Port with 100Mbps CIR</t>
  </si>
  <si>
    <t>1G Port with 150Mbps CIR</t>
  </si>
  <si>
    <t>1G Port with 250Mbps CIR</t>
  </si>
  <si>
    <t>1G Port with 500Mbps CIR</t>
  </si>
  <si>
    <t>1G Port with 600Mbps CIR</t>
  </si>
  <si>
    <t>1G Port with 1000Mbps CIR</t>
  </si>
  <si>
    <t>5-100 Mbps</t>
  </si>
  <si>
    <t>101-500 Mbps</t>
  </si>
  <si>
    <t>501-1000 Mbps</t>
  </si>
  <si>
    <t>EVC ( CIR Rates)</t>
  </si>
  <si>
    <t>50 Additional MAC Addresses</t>
  </si>
  <si>
    <t>Admin Charge per Order</t>
  </si>
  <si>
    <t>Other</t>
  </si>
  <si>
    <t>Local Exchange</t>
  </si>
  <si>
    <t>Per Telephone Number (TN)</t>
  </si>
  <si>
    <t>CONUS &amp; OCONUS On-Net LD per TN</t>
  </si>
  <si>
    <t>CONUS &amp; OCONUS Off-Net LD &lt; 7500 minutes per month per TN</t>
  </si>
  <si>
    <t>CONUS &amp; OCONUS Off-Net LD &gt; 7500 minutes per month per TN</t>
  </si>
  <si>
    <t>Non-Domestic LD per TN</t>
  </si>
  <si>
    <t>Per Administrator</t>
  </si>
  <si>
    <t>Voice Mail Box</t>
  </si>
  <si>
    <t>Auto Attendant (4 simultaneous call minimum)</t>
  </si>
  <si>
    <t>GigaMAN</t>
  </si>
  <si>
    <t>OPT-E-MAN</t>
  </si>
  <si>
    <t xml:space="preserve">Intercept and Recorded Announcement.  </t>
  </si>
  <si>
    <t>Data Signaling - Without Interoffice Channel (USOC J1AWO)</t>
  </si>
  <si>
    <t>Signaling Option per Point of Termination (1 required per point of termination)</t>
  </si>
  <si>
    <t>Call Pickup Feature</t>
  </si>
  <si>
    <t xml:space="preserve">Standard Feature on Plexar that requires a USOC to order but generates no monthly or NRC charge. </t>
  </si>
  <si>
    <t xml:space="preserve">Call Hold </t>
  </si>
  <si>
    <t>Signaling - Without Interoffice Channel (USOC J1AWO)</t>
  </si>
  <si>
    <t>900 Call Restriction - Single Payment Option</t>
  </si>
  <si>
    <t>This charge is applicable per Business Line.</t>
  </si>
  <si>
    <t>Plexar/Centrex DSN Access</t>
  </si>
  <si>
    <t>MINUS 10%   Month To Month</t>
  </si>
  <si>
    <t>MINUS 10% One-Time Installation Price</t>
  </si>
  <si>
    <t>Address: 12851 Manchester Road, St. Louis, MO 63131</t>
  </si>
  <si>
    <t>Contact Name: Brenda Pohl</t>
  </si>
  <si>
    <t>Fax number:  NA</t>
  </si>
  <si>
    <t>Email: brenda.pohl@att.com</t>
  </si>
  <si>
    <r>
      <t xml:space="preserve">Phone number:                         </t>
    </r>
    <r>
      <rPr>
        <b/>
        <sz val="9"/>
        <rFont val="Tahoma"/>
        <family val="2"/>
      </rPr>
      <t>314-505-2524</t>
    </r>
  </si>
  <si>
    <t>Tariff</t>
  </si>
  <si>
    <t>Missouri</t>
  </si>
  <si>
    <t>Note 1</t>
  </si>
  <si>
    <t>Kansas</t>
  </si>
  <si>
    <t>GSA Region 6 LSA         Solicitation # 6QTC-11-SH-001</t>
  </si>
  <si>
    <t>Note 1:</t>
  </si>
  <si>
    <r>
      <t xml:space="preserve">Phone number:         </t>
    </r>
    <r>
      <rPr>
        <b/>
        <sz val="9"/>
        <rFont val="Tahoma"/>
        <family val="2"/>
      </rPr>
      <t>314-505-2524</t>
    </r>
  </si>
  <si>
    <t>Note  2</t>
  </si>
  <si>
    <t>Download Speed  384Kbps - 768Kbps</t>
  </si>
  <si>
    <t>Upload Speed 128Kbps - 384Kbps</t>
  </si>
  <si>
    <t>Protocol 1 Dynamic IP Address</t>
  </si>
  <si>
    <t>Download Speed 384Kbps - 1.5 Mbps</t>
  </si>
  <si>
    <t>Upload Speed 128Kbps - 384Kpbs</t>
  </si>
  <si>
    <t>Download Speed 1.5Mbps - 3.0Mbps</t>
  </si>
  <si>
    <t>Upload Speed 384Kpbs  - 512Kpbs</t>
  </si>
  <si>
    <t>Download Speed 3.0Mbps - 6.0Mbps</t>
  </si>
  <si>
    <t>Upload Speed 512Kbps - 768Kbps</t>
  </si>
  <si>
    <t>Package 6 DSL Modem</t>
  </si>
  <si>
    <t>Package 11 AT&amp;T Wireless Gateway</t>
  </si>
  <si>
    <t>Download Speed 384Kbps - 1.5Mbps</t>
  </si>
  <si>
    <t>Protocol 5 Static IP Addresses</t>
  </si>
  <si>
    <t>Upload Speed 384Kbps - 512Kbps</t>
  </si>
  <si>
    <t>Download Speed 384Kbps - 408Kbps</t>
  </si>
  <si>
    <t>Upload Speed 384Kbps - 408Kbps</t>
  </si>
  <si>
    <t>Package 7 DSL Router</t>
  </si>
  <si>
    <t>Missouri &amp; Kansas</t>
  </si>
  <si>
    <t>CLIN</t>
  </si>
  <si>
    <t xml:space="preserve">Kansas </t>
  </si>
  <si>
    <t>GE-SECT 16</t>
  </si>
  <si>
    <t>GE - SECT 46</t>
  </si>
  <si>
    <t>Integ Svcs - Sect 5</t>
  </si>
  <si>
    <t>Integ Svcs - Sect 1</t>
  </si>
  <si>
    <t>ACCESS SVCS - SEC 10</t>
  </si>
  <si>
    <t>FCC 73 - SEC 10</t>
  </si>
  <si>
    <t>Integ Svcs - Sect 4</t>
  </si>
  <si>
    <t xml:space="preserve">Charter Number allows customer to retain their number when change location or change service to another wire center - within the Same Rate Center </t>
  </si>
  <si>
    <t>GE - SECT 16</t>
  </si>
  <si>
    <t>GE - SECT 7 ** CANNOT ICB LSTGS*</t>
  </si>
  <si>
    <t>GE - SECT 13</t>
  </si>
  <si>
    <t>Additional Directory Listings-(CLT)</t>
  </si>
  <si>
    <t>Alternate Call Directory Listings-(FNA) (NSH)</t>
  </si>
  <si>
    <t>Calling Number Suppression -NBJ</t>
  </si>
  <si>
    <t>GENERAL EXCHANGE SECT. 6 19TH REVISED SHEET 15</t>
  </si>
  <si>
    <t>LOCAL EXCHANGE TARRIF - 4th Revised Sheet 41.1</t>
  </si>
  <si>
    <t>General Exchange Tariff -Section 501st Revised Sheet 5 -</t>
  </si>
  <si>
    <t>General Exchange Tariff -Section 50 1st Revised Sheet 5 -</t>
  </si>
  <si>
    <t>INTEGRATED SERVICES TARIFF, SECT 2, 17TH REVISED SHEET 7</t>
  </si>
  <si>
    <t>INTEGRATED SERVICES TARIFF, SECT 2, 6TH REVISED SHEET 7.2</t>
  </si>
  <si>
    <t>GENERAL EXCHANGE TARIFF - SECTION 6, 16TH REVISED SHEET 6</t>
  </si>
  <si>
    <t>GENERAL EXCHANGE TARIFF- SECT 6, 13TH REVISED SHEET 7</t>
  </si>
  <si>
    <t>GENERAL EXCHANGE TARIFF, SECTION 6, 13TH REVISED SHEET 7</t>
  </si>
  <si>
    <t>GENERAL EXCHANGE TARIFF - SECTION 6, 17TH REVISED SHEET 6</t>
  </si>
  <si>
    <t>GENERAL EXCHANGE TARIFF, SECTION 47, 17TH REVISED SHEET 14.1</t>
  </si>
  <si>
    <t>LOCAL EXCHANGE TARIFF- 2ND REVISED SHEET 5.13</t>
  </si>
  <si>
    <t>GENERAL EXCHANGE TARIFF - SECTION 47, 30TH REVISED SHEET 14</t>
  </si>
  <si>
    <t>LOCAL EXCHANGE, 36TH REVISED SHEET 2.1</t>
  </si>
  <si>
    <t xml:space="preserve">  </t>
  </si>
  <si>
    <t>LOCAL EXCHANGE TARIFF - 48TH REVISED SHEET 2</t>
  </si>
  <si>
    <t>INTEGRATED SERVICES TARIFF- SECT 3-16TH REVISED SHEET 15</t>
  </si>
  <si>
    <t>INTEGRATED SERVICES TARIFF-SECTION 3, 6TH REVISED SHEET 17</t>
  </si>
  <si>
    <t>INTEGRATED SERVICES TARIFF-SECTION 3, 4TH REVISED SHEET 17.01</t>
  </si>
  <si>
    <t>INTEGRATED SERVICES TARIFF-SECTION 3, 8TH REVISED SHEET 16</t>
  </si>
  <si>
    <t>INTEGRATED SERVICES TARIFF, SECTION 3, 4TH REVISED SHEET 17.01</t>
  </si>
  <si>
    <r>
      <t>I</t>
    </r>
    <r>
      <rPr>
        <sz val="8"/>
        <rFont val="Tahoma"/>
        <family val="2"/>
      </rPr>
      <t>NTEGRATED SERVICES TARIFF-SECTION 3-8TH REVISED SHEET 16</t>
    </r>
  </si>
  <si>
    <t>GENERAL EXCHANGE TARIFF, Section 57, ORGINAL SHEET 2</t>
  </si>
  <si>
    <t>GENERAL EXCHANGE TARIFF-SECTION 50, 1ST REVISED SHEET 5</t>
  </si>
  <si>
    <t>GENERAL EXCHANGE TARIFF, SECTION 50, 1ST REVISED SHEET 5</t>
  </si>
  <si>
    <t>Call Forward - Busy - Outside System -(USOC-FBJ)</t>
  </si>
  <si>
    <t>Call Forward - Don’t Answer - Outside System- (USOC-FDJ)</t>
  </si>
  <si>
    <t>Call Forward Busy/Don't Answer - Outside System- (USOC-FVJ)</t>
  </si>
  <si>
    <t>GENERAL EXCHANGE TARIFF, SECTION 45, 1ST REVISED SHEET 41</t>
  </si>
  <si>
    <t>Auto Redial -(USOC-NX9)</t>
  </si>
  <si>
    <t>GENERAL EXCHANGE TARIFF, SECTION 45, 1ST REVISED SHEET 41.01</t>
  </si>
  <si>
    <t>Auto Redial -(USOC-NX9PS)</t>
  </si>
  <si>
    <t xml:space="preserve">Call blocking -(USOC-NX5) </t>
  </si>
  <si>
    <t xml:space="preserve">Call blocking -(USOC-NX5PS) </t>
  </si>
  <si>
    <t>Call Return, Auto Callback- (USOC-NX8)</t>
  </si>
  <si>
    <t>Call Return, Auto Callback- (USOC-NX8PS)</t>
  </si>
  <si>
    <t>Call Trace- (USOC-N6TPS)</t>
  </si>
  <si>
    <t>Caller ID Name &amp; Number-(USOC-NXM)</t>
  </si>
  <si>
    <t>Caller ID Name &amp; Number- (USOC-NXMPS)</t>
  </si>
  <si>
    <t>Calling Number Suppression- (USOC-NBJ)</t>
  </si>
  <si>
    <t>Six-Way Conference Calling- (USOC-EAA)</t>
  </si>
  <si>
    <t>GENERAL EXCHANGE TARIFF, SECTION 45, ORGINAL SHEET 43</t>
  </si>
  <si>
    <t>Software Reconfiguration by Customer- (USOC-DWD)</t>
  </si>
  <si>
    <t>Software Reconfiguration by Customer- (USOC-1CRCR)</t>
  </si>
  <si>
    <t>GENERAL EXCHANGE TARIFF, SECTION 45, 4TH REVISED SHEET 46</t>
  </si>
  <si>
    <t>GENERAL EXCHANE EXCHANGE TARIFF SECTION 45, ORIGINAL SHEET 48.01</t>
  </si>
  <si>
    <t>Number Portability- (USOC-PTLCN)</t>
  </si>
  <si>
    <t>GENERAL EXCHANGE TARIFF, SECTION 57, ORGINAL SHEET 2</t>
  </si>
  <si>
    <t>Additional Directory Listings- (USOC-CLT)</t>
  </si>
  <si>
    <t>GENERAL EXCHANGE TARIFF, SECTION 6, 16TH REVISED SHEET 6</t>
  </si>
  <si>
    <t>#Centrex/Plexar Subsequent Station/System Change Charge (USOC-SG9PA)</t>
  </si>
  <si>
    <t>GENERAL EXCHANGE TARIFF, SECTION 45, 4TH REVISED SHEET 35.01</t>
  </si>
  <si>
    <t>GENERAL EXCHANGE TARIFF, SECTION 45, 6TH REVISED SHEET 71</t>
  </si>
  <si>
    <t>LOCAL EXCHANGE TARIFF, 6TH REVISED SHEET 5.10</t>
  </si>
  <si>
    <t>LOCAL EXCHANCE TARIFF-36 REVISEC SHEET 2.1</t>
  </si>
  <si>
    <t>GENERAL EXCHANGE TARIFF-SECTION 13, 1ST REVISED SHEET 104.1</t>
  </si>
  <si>
    <t xml:space="preserve">LOCAL EXCHANGE TARIFF, 4TH REVISED SHEET 41 &amp; 41.1 </t>
  </si>
  <si>
    <t>Fixed Channel Mileage</t>
  </si>
  <si>
    <t>ACCESS SERVICES TARIFF, SECTION 7</t>
  </si>
  <si>
    <t>PRIVATE LINE SERVICE TARIFF, SECTION 2, 24TH REVISED SHEET 25</t>
  </si>
  <si>
    <t>Each V-H mile or fraction thereof for 0 to 250 miles, each additional mil is .50 per mile or fraction of</t>
  </si>
  <si>
    <t>PRIVATE LINE SERVICE TARIFF, SECTION 2, 13th REVISED SHEET 33</t>
  </si>
  <si>
    <r>
      <t xml:space="preserve">Dial Pulse (DP) Signalling </t>
    </r>
    <r>
      <rPr>
        <sz val="8"/>
        <rFont val="Tahoma"/>
        <family val="2"/>
      </rPr>
      <t>(USOC-NDT)</t>
    </r>
  </si>
  <si>
    <r>
      <t xml:space="preserve">Multi-Frequency (MF) Signalling </t>
    </r>
    <r>
      <rPr>
        <sz val="8"/>
        <rFont val="Tahoma"/>
        <family val="2"/>
      </rPr>
      <t>(USOC-NTP)</t>
    </r>
  </si>
  <si>
    <r>
      <t xml:space="preserve">Dual Tone Multi-Frequency (DTMF) Signalling </t>
    </r>
    <r>
      <rPr>
        <sz val="8"/>
        <rFont val="Tahoma"/>
        <family val="2"/>
      </rPr>
      <t>(USOC-NMD)</t>
    </r>
  </si>
  <si>
    <t>PRIVATE LINE SERVICE TARIFF, SECTION 2, 13 TH REVISED SHEET 33</t>
  </si>
  <si>
    <t>PRIVATE LINE SERVICE TARIFF, SECTION, 2 13TH REVISED SHEET 33</t>
  </si>
  <si>
    <t>Each V-H mile or fraction thereof for 0 to 250 miles and .50 for over 250 miles.</t>
  </si>
  <si>
    <t>PRIVATE LINE SERVICE TARIFF, SECTION 2, 23TH REVISED SHEET 32</t>
  </si>
  <si>
    <t>PRIVATE LINE SERVICE TARIFF, SECTION 2, 13Th REVISED SHEET 33</t>
  </si>
  <si>
    <t>PRIVATE LINE SERVICE TARIFF, SECTION 2, 20Th REVISED SHEET 27</t>
  </si>
  <si>
    <t>PRIVATE LINE SERVICE TARIFF, SECTION 2, 20TH REVISED SHEET 27</t>
  </si>
  <si>
    <t>PRIVATE LINE SERVICE TARIFF, SECTION2, 13TH REVISED SHEET 33</t>
  </si>
  <si>
    <t>PRIVATE LINE SERVICE TARIFF, SECTION 2, 23RD REVISED SHEET 32</t>
  </si>
  <si>
    <t>PRIVATE LINE SERVICE TARIFF, SECTION2, 7 REVISED SHEET15</t>
  </si>
  <si>
    <t>PRIVATE LINE SERVICE TARIFF, SECTION 2, 7TH REVISED SHEET 15</t>
  </si>
  <si>
    <t>PRIVATE LINE SERVICE TARIFF, SECTION 2, 13TH REVISED SHEET 33</t>
  </si>
  <si>
    <t>PRIVATE LINE SERVICE TARIFF, SECTION 2, 7 REVISED SHEET15</t>
  </si>
  <si>
    <t>PRIVATE LINE SERVICE TARIFF, SECTION 2, 12TH REVISED SHEET 33.01</t>
  </si>
  <si>
    <t>PRIVATE LINE SERVICE TARIFF, SECTION, 2 12TH REVISED SHEET 33.01</t>
  </si>
  <si>
    <t>PRIVATE LINE SERVICE TARIFF, SECTION 2, 4TH REVISED SHEET 92</t>
  </si>
  <si>
    <t>PRIVATE LINE SERVICE TARIFF, SECTION, 2 23TH REVISED SHEET 32</t>
  </si>
  <si>
    <t>PRIVATE LINE SERVICE TARIFF, SECTION 2, 5TH REVISED SHEET 89</t>
  </si>
  <si>
    <t>PRIVATE LINE SERVICE TARIFF,SECTION 2, 4TH REVISED SHEET 92</t>
  </si>
  <si>
    <t>PRIVATE LINE SERVICE TARIFF, SECTION, 4TH REVISED SHEET 92</t>
  </si>
  <si>
    <r>
      <t xml:space="preserve">Disaster Routing Service - Group of Telephone Numbers Equipped, Per Group </t>
    </r>
    <r>
      <rPr>
        <b/>
        <sz val="8"/>
        <rFont val="Tahoma"/>
        <family val="2"/>
      </rPr>
      <t>(R7NPG)</t>
    </r>
  </si>
  <si>
    <r>
      <t xml:space="preserve">Option 1 - Disaster Routing Service - Forwarded Telephone Numbers Per Telephone Number 1 - 20 Numbers </t>
    </r>
    <r>
      <rPr>
        <b/>
        <sz val="8"/>
        <rFont val="Tahoma"/>
        <family val="2"/>
      </rPr>
      <t>(R7UFX)</t>
    </r>
  </si>
  <si>
    <r>
      <t xml:space="preserve">Option 1 - Disaster Routing Service - Forwarded Telephone Numbers Per Telephone Number 21 - 100 Numbers </t>
    </r>
    <r>
      <rPr>
        <b/>
        <sz val="8"/>
        <rFont val="Tahoma"/>
        <family val="2"/>
      </rPr>
      <t>(R7UFX)</t>
    </r>
  </si>
  <si>
    <r>
      <t xml:space="preserve">Option 1 - Disaster Routing Service - Forwarded Telephone Numbers Per Telephone Number 101 - 250 Numbers </t>
    </r>
    <r>
      <rPr>
        <b/>
        <sz val="8"/>
        <rFont val="Tahoma"/>
        <family val="2"/>
      </rPr>
      <t>(R7UFX)</t>
    </r>
  </si>
  <si>
    <r>
      <t xml:space="preserve">Option 1 - Disaster Routing Service - Forwarded Telephone Numbers Per Telephone Number 251 - 500 Numbers </t>
    </r>
    <r>
      <rPr>
        <b/>
        <sz val="8"/>
        <rFont val="Tahoma"/>
        <family val="2"/>
      </rPr>
      <t>(R7UFX)</t>
    </r>
  </si>
  <si>
    <r>
      <t xml:space="preserve">Option 1 - Disaster Routing Service - Forwarded Telephone Numbers Per Telephone Number - 1000 Numbers or More </t>
    </r>
    <r>
      <rPr>
        <b/>
        <sz val="8"/>
        <rFont val="Tahoma"/>
        <family val="2"/>
      </rPr>
      <t>(R7UFX)</t>
    </r>
  </si>
  <si>
    <r>
      <t xml:space="preserve">Disaster Routing Service - Rearrangment Charges, per Rearrangement Establishment Charge </t>
    </r>
    <r>
      <rPr>
        <b/>
        <sz val="8"/>
        <rFont val="Tahoma"/>
        <family val="2"/>
      </rPr>
      <t>(RCHAX)</t>
    </r>
  </si>
  <si>
    <r>
      <t xml:space="preserve">Disaster Routing Service - Service Establishment Charge </t>
    </r>
    <r>
      <rPr>
        <b/>
        <sz val="8"/>
        <rFont val="Tahoma"/>
        <family val="2"/>
      </rPr>
      <t>(SEPRE)</t>
    </r>
  </si>
  <si>
    <t>GENERAL EXCHANGE TARIFF, SECTION 38, 12TH REVISED SHEET 4</t>
  </si>
  <si>
    <t>GENERAL EXCHANGE TARIFF, SECTION 38, 6TH REVISED SHEET 13.1</t>
  </si>
  <si>
    <t>GENERAL EXCHANGE TARIFF, SECTION 38, 8TY REVISED SHEET 13</t>
  </si>
  <si>
    <t>GENERAL EXCHANGE, SECTION 13, 4TH REVISED SHEET 114</t>
  </si>
  <si>
    <t xml:space="preserve">LOCAL EXCHANGE TARIFF, 26TH REVISED SHEET 11 </t>
  </si>
  <si>
    <t>Per number</t>
  </si>
  <si>
    <t>GENERAL EXCHANGE TARIFF, SECT 57, ORIGINAL SHEET 2</t>
  </si>
  <si>
    <t>General Exchange Tariff-Section 45, Original Sheet 41.03</t>
  </si>
  <si>
    <t>Call Park- (USOC-C5Z)</t>
  </si>
  <si>
    <t>Call Park - (USOC-1CRCP)</t>
  </si>
  <si>
    <t>GENERAL EXCHANGE TARIFF, SECTION 45, 2ND REVISED SHEET 69</t>
  </si>
  <si>
    <t>ACCESS Services Tariff, Section 7, Original Sheet 96.01</t>
  </si>
  <si>
    <t>ACCESS Services Tariff, Section 7, Original Sheet 96.02</t>
  </si>
  <si>
    <t>ACCESS Services Tariff, Section 7, 8th revised sheet 95</t>
  </si>
  <si>
    <t>ACCESS Services Tariff, Section 7, 6th revised sheet 93</t>
  </si>
  <si>
    <t>iNTEGRATED SERVICES TARIFF, 9th Revised Sheet 1</t>
  </si>
  <si>
    <t>Speeding 30 allow to business customer. Speeding calling 8 only available to existing customers</t>
  </si>
  <si>
    <t>General Exchange Tariff.</t>
  </si>
  <si>
    <t>Additional Directory Number, i.e., SPID-(USOC-CLT)</t>
  </si>
  <si>
    <t>Alternate Call Directory Listings- (USOC-FNA)</t>
  </si>
  <si>
    <t>GENERAL EXCHANGE TARIFF, SECTION 13 1 SHEET 7</t>
  </si>
  <si>
    <t>N/C</t>
  </si>
  <si>
    <t>will be established when configure group is setup.</t>
  </si>
  <si>
    <t>n</t>
  </si>
  <si>
    <t>Available with customer provided messaging service</t>
  </si>
  <si>
    <t>Supplemental Change (additional numbers, same billing number, same due date .49 per change, can change Plexar group PIC change @ 3.05, rates per B channel on ISDN services</t>
  </si>
  <si>
    <t>Link Extension Facility (USOC-OTVXX)</t>
  </si>
  <si>
    <t>Number Portability-(USOC-PTLCN)</t>
  </si>
  <si>
    <t>GENERAL EXCHANGE TARIFF, SECTION 45, 4TH REVISED SHEET 34</t>
  </si>
  <si>
    <t>NC</t>
  </si>
  <si>
    <t>Call Hunting -Basic or Circular</t>
  </si>
  <si>
    <t>Available on Plexar Services Only_ Only available to existing customers</t>
  </si>
  <si>
    <t>REQUIRES LCC</t>
  </si>
  <si>
    <t xml:space="preserve">Speed Calling-  </t>
  </si>
  <si>
    <t>Metropolitan Calling -2 Way Plan - Outward Direct Dialed -Flat Toll Plan-(USOC-SC22F)</t>
  </si>
  <si>
    <t>LOCAL EXCHANGE TARIFF, 19TH REVISED SHEET 24</t>
  </si>
  <si>
    <t xml:space="preserve">Per point of termination. </t>
  </si>
  <si>
    <t>n/c</t>
  </si>
  <si>
    <t>Call Forward Remote Access- (USOC-FRCPS)</t>
  </si>
  <si>
    <t xml:space="preserve">Call Forward Remote Access- (USOC-FRC) </t>
  </si>
  <si>
    <t xml:space="preserve">GENERAL EXCHANGE TARIFF, SECTION 45, 1ST REVISED SHEET 41 </t>
  </si>
  <si>
    <t>Call Forward - Busy - Outside System -System charge -(USOC-1CRCF)`</t>
  </si>
  <si>
    <t>Call Forward - Busy /Don't Answer Outside System -System charge -(USOC-1CRCH)`</t>
  </si>
  <si>
    <t>Call Forward - Don't Answer Outside System -System charge -(USOC-1CRCG)`</t>
  </si>
  <si>
    <t>FCC 73 - SEC 10-13</t>
  </si>
  <si>
    <t>Priority Level Change-(USOC-PR8PX)</t>
  </si>
  <si>
    <t>Priority Installation (enrollment)-(USOC-P1APX)</t>
  </si>
  <si>
    <t>Priority Restoration-(USOC-PR5PX)</t>
  </si>
  <si>
    <t>Per Circuit, Line or trunk</t>
  </si>
  <si>
    <t>Administration &amp; Maintenance of Priority Restoration- (PR9PX)</t>
  </si>
  <si>
    <t>DID Trunk Termination for Analog DID Trunks (USOC-NDT, NTP, NMD)</t>
  </si>
  <si>
    <t>LOCAL EXCHANGE</t>
  </si>
  <si>
    <t>GE - SECT 6</t>
  </si>
  <si>
    <t>Calling Number Suppression (NBJ)</t>
  </si>
  <si>
    <t xml:space="preserve">GE - SECT 7  </t>
  </si>
  <si>
    <t>Hotline Service (HLA)</t>
  </si>
  <si>
    <t>Number Portability (PTLCN)</t>
  </si>
  <si>
    <t>Speed Calling 30 available to business customers</t>
  </si>
  <si>
    <t>ACCESS SVC - SECT 7</t>
  </si>
  <si>
    <t>Per B-Channel</t>
  </si>
  <si>
    <t xml:space="preserve">**will be established when config group set up </t>
  </si>
  <si>
    <t xml:space="preserve">GE - Sect 7  </t>
  </si>
  <si>
    <t>Available with customer provided message service</t>
  </si>
  <si>
    <t>LOCAL EXCH</t>
  </si>
  <si>
    <t>IN KANSAS ONLY OPTION IS FOR BASEHOR EAS TO KSCY METRO</t>
  </si>
  <si>
    <t>GE - SECT 45</t>
  </si>
  <si>
    <t>Applies per station or channel, regardless of # of STANDARD features added, changed or rearranged</t>
  </si>
  <si>
    <t xml:space="preserve">Blocking Dialed Carrier Identification Code </t>
  </si>
  <si>
    <t>SYSTEM</t>
  </si>
  <si>
    <t>Line Class Code</t>
  </si>
  <si>
    <t>STANDARD FEATURE *NOT AVAIL ON ISDN</t>
  </si>
  <si>
    <t>GE - SECT 7</t>
  </si>
  <si>
    <t>Tie Trunk - Digital Facility (KES)</t>
  </si>
  <si>
    <t>Tie Trunk - Per Activated DS0 Channel (K6S)</t>
  </si>
  <si>
    <t>Tie Trunk - Digital Direct Facility (PRI) (UTAPX)</t>
  </si>
  <si>
    <t>PER Digital Direct Connect * NOTE Facility is in addition to Tie Trunk Termination - See PRI tab for facility rates</t>
  </si>
  <si>
    <t xml:space="preserve">Plexar/Centrex DSN Access </t>
  </si>
  <si>
    <t>PRIVATE LINE - SECT 2</t>
  </si>
  <si>
    <t>Per Point of Termination - 2 required per circuit</t>
  </si>
  <si>
    <t>Per Central Office Termination</t>
  </si>
  <si>
    <t>Integ Svcs - Sect 2</t>
  </si>
  <si>
    <t xml:space="preserve">GE - SECT 7 ** CANNOT ICB LSTGS* </t>
  </si>
  <si>
    <r>
      <t xml:space="preserve">Option 1 - Disaster Routing Service - Forwarded Telephone Numbers Per Telephone Number 501 - 1000 Numbers  </t>
    </r>
    <r>
      <rPr>
        <b/>
        <sz val="8"/>
        <rFont val="Tahoma"/>
        <family val="2"/>
      </rPr>
      <t>(R7UFX)</t>
    </r>
  </si>
  <si>
    <r>
      <t xml:space="preserve">Additional Directory Listings </t>
    </r>
    <r>
      <rPr>
        <b/>
        <sz val="8"/>
        <rFont val="Tahoma"/>
        <family val="2"/>
      </rPr>
      <t>(CLT)</t>
    </r>
  </si>
  <si>
    <t>Basic 911 service provided with services -</t>
  </si>
  <si>
    <t>Analog Two Way, DID &amp; Combo Trunk</t>
  </si>
  <si>
    <t xml:space="preserve">Individual Business Line-Flat Rate </t>
  </si>
  <si>
    <t>Multi-Line Business Line-Flat Rate</t>
  </si>
  <si>
    <t xml:space="preserve">Per B per each B channel.   Maximum 2  </t>
  </si>
  <si>
    <t>Per B Channel.</t>
  </si>
  <si>
    <t>Provisioned on Service Order with EKTS only.</t>
  </si>
  <si>
    <t>Per B channel</t>
  </si>
  <si>
    <t xml:space="preserve">GE - SECT 7 </t>
  </si>
  <si>
    <t xml:space="preserve">Directory Assistance </t>
  </si>
  <si>
    <t>Per smart trunk serving arrangement</t>
  </si>
  <si>
    <t>Integrated tarriff section 4</t>
  </si>
  <si>
    <t>Per smart trunk I/F</t>
  </si>
  <si>
    <t>Integrated Services section 2 4th revised sheet of 7.3</t>
  </si>
  <si>
    <t>Per station</t>
  </si>
  <si>
    <t>Applies when changes are made that effect the entire system.</t>
  </si>
  <si>
    <t>Per system change</t>
  </si>
  <si>
    <t>Per Station/ B Channel</t>
  </si>
  <si>
    <t>Per Station or B Channel</t>
  </si>
  <si>
    <t xml:space="preserve">PER Facility Termination </t>
  </si>
  <si>
    <t>PER DS1 Connection</t>
  </si>
  <si>
    <t>Charge applies when requested after initial installation.</t>
  </si>
  <si>
    <t>Charge applies per call.  No one time installation charge.  Directory Assistance - Listings per call = 2</t>
  </si>
  <si>
    <t>Directory Assistance *</t>
  </si>
  <si>
    <t>This CLIN and USOC is used to order DSN Access via the Plexar/Centrex on the TOPS order.  Check availability.</t>
  </si>
  <si>
    <t>This CLIN and USOC is used to order DSN Access via the Plexar/Centrex on the TOPS order. Check availbility.</t>
  </si>
  <si>
    <t>Private Line 311 Type Circuit</t>
  </si>
  <si>
    <t>Required for BASEHOR.  Extended Area Service is an arrangement whereby customers in one exchange or zone can call customers in contiguous exchanges. There is an extended area service additive that applies, per exchange or zone, in addition to the applicable local exchange rates.</t>
  </si>
  <si>
    <t>Includes labor and materials.</t>
  </si>
  <si>
    <t xml:space="preserve">Tone Commander ISDN Phone Sets </t>
  </si>
  <si>
    <t>Tone Commander 6210T ISDN Speakerphone 10 Call Appearances S/T Interface 10 Button Black</t>
  </si>
  <si>
    <t>The above listed sets will function on ISDN Centrex provisioned by a Nortel/Avaya DMS Central Office or a Lucent 1A or 5E Switch.  One Time installation charges are NOT required.  Should GSA want installation select appropriate technician labor charges listed on "Other" Pricing Tab.</t>
  </si>
  <si>
    <t>Tone Commander 6210U ISDN Speakerphone 10 Call Appearances U Interface 10 Button Black</t>
  </si>
  <si>
    <t>Tone Commander 6220T ISDN Speakerphone 20 Call Appearances S/T Interface 20 Button Black</t>
  </si>
  <si>
    <t>Tone Commander 6220U ISDN Speakerphone 20 Call Appearances U Interface 20 Button Black</t>
  </si>
  <si>
    <t>Tone Commander 6030X 30 Button Expansion Module Black</t>
  </si>
  <si>
    <t>Tone Commander PWR1 Power Supply 48VDC Direct Connect - powers ISDN and VoIP Telephones and NT1B-300TC -- 1 required per telephone/NT1</t>
  </si>
  <si>
    <t>NT1B-300TC NT1 for desktop or rack mount without power supply or line cord</t>
  </si>
  <si>
    <t>CORD1 Line Cord 7Ft Silver Satin 8 Conductor RJ49C Connectors - 1 required per NT1U-300TC</t>
  </si>
  <si>
    <t>Lucent C.O. Compatible Phone Sets</t>
  </si>
  <si>
    <t>8004 Single Line Telephone with Message Waiting Light, Charcoal</t>
  </si>
  <si>
    <t>The above listed sets will function on analog Centrex provisioned by a Lucent 1A or 5E Switch.  One Time installation charges are NOT required.  Should GSA want installation select appropriate technician labor charges listed on "Other" Pricing Tab.</t>
  </si>
  <si>
    <t>8004 Single Line Telephone with Message Waiting Light, Ash</t>
  </si>
  <si>
    <t>8009 Single Line Telephone with Message Waiting Light, Black</t>
  </si>
  <si>
    <t>8009 Single Line Telephone with Message Waiting Light, Ash</t>
  </si>
  <si>
    <t>The above listed sets will function on analog Centrex provisioned by a Nortel/Avaya DMS Central Office or a Lucent 1A or 5E Switch.  One Time installation charges are NOT required.  Should GSA want installation select appropriate technician labor charges listed on "Other" Pricing Tab.</t>
  </si>
  <si>
    <t>9110 Single Line Speakerphone with Message Waiting Light, Charcoal</t>
  </si>
  <si>
    <t>9116LP Line Powered Single Line Speakerphone with Display and Message Waiting Light, Charcoal</t>
  </si>
  <si>
    <t>9120 Two Line Speakerphone with Display and Message Waiting Light, Charcoal</t>
  </si>
  <si>
    <t>9216 Single Line Telephone with Display and Message Waiting Light, Black</t>
  </si>
  <si>
    <t>9216 Single Line Telephone with Display and Message Waiting Light, Ash</t>
  </si>
  <si>
    <t>9316CW Single Line Speakerphone with Display and Message Waiting Light, Black</t>
  </si>
  <si>
    <t>9316CW Single Line Speakerphone with Display and Message Waiting Light, Ash</t>
  </si>
  <si>
    <t>9417CW Two Line Speakerphone with Display and Message Waiting Light, Black</t>
  </si>
  <si>
    <t>9417CW Two Line Speakerphone with Display and Message Waiting Light, Ash</t>
  </si>
  <si>
    <t>ET4300 Four Line Spekaerphone with Display and Message Waiting Light</t>
  </si>
  <si>
    <t>Plantronics Gear</t>
  </si>
  <si>
    <t>MPLS/AVPN</t>
  </si>
  <si>
    <t>MPLS/AVPN Service</t>
  </si>
  <si>
    <t>MPLS/AVPN Features</t>
  </si>
  <si>
    <t xml:space="preserve">AVPN port, 56 kbps (DS0), </t>
  </si>
  <si>
    <t xml:space="preserve">AVPN port, 64 kbps (DS0), </t>
  </si>
  <si>
    <t xml:space="preserve">AVPN port, FT1 (2 x DS0), </t>
  </si>
  <si>
    <t xml:space="preserve">AVPN port, FT1 (3 x DS0), </t>
  </si>
  <si>
    <t xml:space="preserve">AVPN port, FT1 (4 x DS0), </t>
  </si>
  <si>
    <t xml:space="preserve">AVPN port, FT1 (5 x DS0), </t>
  </si>
  <si>
    <t xml:space="preserve">AVPN port, FT1 (6 x DS0), </t>
  </si>
  <si>
    <t xml:space="preserve">AVPN port, T1, </t>
  </si>
  <si>
    <t xml:space="preserve">AVPN port, FT3 (2 x T1), </t>
  </si>
  <si>
    <t xml:space="preserve">AVPN port, FT3 (3 x T1), </t>
  </si>
  <si>
    <t xml:space="preserve">AVPN T3 subrate 5 Mbps port, </t>
  </si>
  <si>
    <t xml:space="preserve">AVPN port, FT3 (4 x T1), </t>
  </si>
  <si>
    <t xml:space="preserve">AVPN port, FT3 (5 x T1), </t>
  </si>
  <si>
    <t xml:space="preserve">AVPN port, FT3 (6 x T1), </t>
  </si>
  <si>
    <t xml:space="preserve">AVPN T3 subrate 10 Mbps port, </t>
  </si>
  <si>
    <t xml:space="preserve">AVPN port, FT3 (7 x T1), </t>
  </si>
  <si>
    <t xml:space="preserve">AVPN port, FT3 (8 x T1), </t>
  </si>
  <si>
    <t xml:space="preserve">AVPN port, FT3 (9 x T1), </t>
  </si>
  <si>
    <t xml:space="preserve">AVPN port, FT3 (10 x T1), </t>
  </si>
  <si>
    <t xml:space="preserve">AVPN T3 subrate 15 mbps port </t>
  </si>
  <si>
    <t xml:space="preserve">AVPN T3 subrate 20 Mbps port, </t>
  </si>
  <si>
    <t xml:space="preserve">AVPN T3 subrate 25 Mbps port, </t>
  </si>
  <si>
    <t xml:space="preserve">AVPN T3 subrate 30 Mbps port, </t>
  </si>
  <si>
    <t xml:space="preserve">AVPN port, T3, </t>
  </si>
  <si>
    <t xml:space="preserve">AVPN OC3 subrate 50 Mbps port, </t>
  </si>
  <si>
    <t xml:space="preserve">AVPN OC3 subrate 100 Mbps port, </t>
  </si>
  <si>
    <t xml:space="preserve">AVPN port, OC-3c, </t>
  </si>
  <si>
    <t xml:space="preserve">AVPN OC-12 subrate 200 Mbps port, </t>
  </si>
  <si>
    <t xml:space="preserve">AVPN OC-12 subrate 300 Mbps port, </t>
  </si>
  <si>
    <t xml:space="preserve">AVPN OC-12 subrate 400 Mbps port, </t>
  </si>
  <si>
    <t xml:space="preserve">AVPN port, OC-12c, </t>
  </si>
  <si>
    <t xml:space="preserve">AVPN port, OC-48c, </t>
  </si>
  <si>
    <t xml:space="preserve">AVPN port, Ethernet 1 Mbps, </t>
  </si>
  <si>
    <t xml:space="preserve">AVPN port, Ethernet 5 Mbps, </t>
  </si>
  <si>
    <t xml:space="preserve">AVPN port, Ethernet 10 Mbps, </t>
  </si>
  <si>
    <t xml:space="preserve">AVPN port, Ethernet 20 Mbps, </t>
  </si>
  <si>
    <t xml:space="preserve">AVPN port, Ethernet 30 Mbps, </t>
  </si>
  <si>
    <t xml:space="preserve">AVPN port, Ethernet 40 Mbps, </t>
  </si>
  <si>
    <t xml:space="preserve">AVPN port, Ethernet 50 Mbps, </t>
  </si>
  <si>
    <t xml:space="preserve">AVPN port, Ethernet 60 Mbps, </t>
  </si>
  <si>
    <t xml:space="preserve">AVPN port, Ethernet 70 Mbps, </t>
  </si>
  <si>
    <t xml:space="preserve">AVPN port, Ethernet 80 Mbps, </t>
  </si>
  <si>
    <t xml:space="preserve">AVPN port, Ethernet 90 Mbps, </t>
  </si>
  <si>
    <t xml:space="preserve">AVPN port, Ethernet 100 Mbps, </t>
  </si>
  <si>
    <t xml:space="preserve">AVPN port, Ethernet 200 Mbps, </t>
  </si>
  <si>
    <t xml:space="preserve">AVPN port, Ethernet 300 Mbps, </t>
  </si>
  <si>
    <t xml:space="preserve">AVPN port, Ethernet 400 Mbps, </t>
  </si>
  <si>
    <t xml:space="preserve">AVPN port, Ethernet 500 Mbps, </t>
  </si>
  <si>
    <t xml:space="preserve">AVPN port, Ethernet 600 Mbps, </t>
  </si>
  <si>
    <t xml:space="preserve">AVPN port, Ethernet 700 Mbps, </t>
  </si>
  <si>
    <t xml:space="preserve">AVPN port, Ethernet 800 Mbps, </t>
  </si>
  <si>
    <t xml:space="preserve">AVPN port, Ethernet 900 Mbps, </t>
  </si>
  <si>
    <t xml:space="preserve">AVPN port, Ethernet 1000 Mbps, </t>
  </si>
  <si>
    <t xml:space="preserve">AVPN port, Ethernet 10 Gbps, </t>
  </si>
  <si>
    <t xml:space="preserve">Access Connection </t>
  </si>
  <si>
    <t>Per Access Connection</t>
  </si>
  <si>
    <t xml:space="preserve">AVPN Class of Service - Premium, 10m port surcharge, </t>
  </si>
  <si>
    <t xml:space="preserve">AVPN Class of Service - Premium, 20m port surcharge, </t>
  </si>
  <si>
    <t xml:space="preserve">AVPN Class of Service - Premium, 30m port surcharge, </t>
  </si>
  <si>
    <t xml:space="preserve">AVPN Class of Service - Premium, 40m port surcharge, </t>
  </si>
  <si>
    <t xml:space="preserve">AVPN Class of Service - Premium, 45m port surcharge, </t>
  </si>
  <si>
    <t xml:space="preserve">AVPN Class of Service - Premium, 50m port surcharge, </t>
  </si>
  <si>
    <t xml:space="preserve">AVPN Class of Service - Premium, 60m port surcharge, </t>
  </si>
  <si>
    <t xml:space="preserve">AVPN Class of Service - Premium, 70m port surcharge, </t>
  </si>
  <si>
    <t xml:space="preserve">AVPN Class of Service - Premium, 80m port surcharge, </t>
  </si>
  <si>
    <t xml:space="preserve">AVPN Class of Service - Premium, 90m port surcharge, </t>
  </si>
  <si>
    <t xml:space="preserve">AVPN Class of Service - Premium, 100m port surcharge, </t>
  </si>
  <si>
    <t xml:space="preserve">AVPN Class of Service - Premium, 155m port surcharge, </t>
  </si>
  <si>
    <t xml:space="preserve">AVPN Class of Service - Premium, 622m port surcharge, </t>
  </si>
  <si>
    <t xml:space="preserve">AVPN Class of Service - Premium, 1g port surcharge, </t>
  </si>
  <si>
    <t xml:space="preserve">AVPN Class of Service - Premium, port surcharge per 64 kbps, </t>
  </si>
  <si>
    <t xml:space="preserve">AVPN Class of Service - Enhanced, port surcharge per 64 kbps, </t>
  </si>
  <si>
    <t>Managed Router Service (MRS)</t>
  </si>
  <si>
    <t>MRS per device up to 1.5 mbps peak</t>
  </si>
  <si>
    <t>MRS, per device up to 3 mbps peak</t>
  </si>
  <si>
    <t>MRS, per device up to 6 mbps peak</t>
  </si>
  <si>
    <t>MRS, per device up to 10 mbps peak</t>
  </si>
  <si>
    <t>MRS, per device up to 15 mbps peak</t>
  </si>
  <si>
    <t>MRS, per device up to 20 mbps peak</t>
  </si>
  <si>
    <t>MRS, per device up to 30 mbps peak</t>
  </si>
  <si>
    <t>MRS, per device up to 45 mbps peak</t>
  </si>
  <si>
    <t>MRS, per device up to 100 mbps peak</t>
  </si>
  <si>
    <t>MRS, per device up to 155 mbps peak</t>
  </si>
  <si>
    <t>MRS, per device up to 622 mbps peak</t>
  </si>
  <si>
    <t>MRS, per device up to 1 gbps peak</t>
  </si>
  <si>
    <t>MRS, per device up to 2.4 gbps peak</t>
  </si>
  <si>
    <t>MRS, per device up to 10 gbps peak</t>
  </si>
  <si>
    <t>Hosted IP Service (Voice DNA)</t>
  </si>
  <si>
    <t>VDNA Usage Charges</t>
  </si>
  <si>
    <t>VDNA Feature Packages</t>
  </si>
  <si>
    <t>CONUS &amp; OCONUS On-Net Local and LD per TN</t>
  </si>
  <si>
    <t>CONUS &amp; OCONUS Off-Net Local and LD &lt; 7500 minutes per month per TN</t>
  </si>
  <si>
    <t>International, Operator Services, Directory Assistance</t>
  </si>
  <si>
    <t>Per minute</t>
  </si>
  <si>
    <t>Per call</t>
  </si>
  <si>
    <t>VDNA Features</t>
  </si>
  <si>
    <t>Find Me Follow Me Routing {available as part of enhanced and premium packages)</t>
  </si>
  <si>
    <t>IP Telephony Manager (Administrator) aka BusinessDirect Portal</t>
  </si>
  <si>
    <t>IP Telephony Manager (Subscriber) aka BusinessDirect Portal</t>
  </si>
  <si>
    <t>Site Survivability (per site)</t>
  </si>
  <si>
    <t>Telephone number</t>
  </si>
  <si>
    <t>Calling Plan B</t>
  </si>
  <si>
    <t>VDNA Set up</t>
  </si>
  <si>
    <t>See Pricing Note</t>
  </si>
  <si>
    <t>Per Feature Package</t>
  </si>
  <si>
    <t>Per Seat</t>
  </si>
  <si>
    <t>Per Queue</t>
  </si>
  <si>
    <t>Per Auto Attendant Simultaneous Call</t>
  </si>
  <si>
    <t>Per Initial Install</t>
  </si>
  <si>
    <t>Per New Install</t>
  </si>
  <si>
    <t>Home Office Router w/ QoS AT&amp;T Net Gate Standard</t>
  </si>
  <si>
    <t>Home Office Router w/ QoS and Single Voice Tunnel AT&amp;T Net Gate Standard</t>
  </si>
  <si>
    <t>Small Office Router w/ QoS AT&amp;T Net Gate High End</t>
  </si>
  <si>
    <t>Home Office Router w/ QoS and Single Voice Tunnel AT&amp;T Net Gate High End or Cisco</t>
  </si>
  <si>
    <t>Per remote worker location</t>
  </si>
  <si>
    <t>1 - 25 Stations</t>
  </si>
  <si>
    <t>26 - 50 Stations</t>
  </si>
  <si>
    <t>51 - 100 Stations</t>
  </si>
  <si>
    <t>101 - 150 Stations</t>
  </si>
  <si>
    <t>151 - 200 Stations</t>
  </si>
  <si>
    <t>201 - 250 Stations</t>
  </si>
  <si>
    <t>251 - 500 Stations</t>
  </si>
  <si>
    <t>501+ Stations</t>
  </si>
  <si>
    <t>Base Price Per Site</t>
  </si>
  <si>
    <t>Per handset</t>
  </si>
  <si>
    <t>Managed Firewall Service Premises Based (Optional and used with Voice/Data convergence)</t>
  </si>
  <si>
    <t>VDNA Set up Professional Services install w/o AT&amp;T Equipment Purchase per station</t>
  </si>
  <si>
    <t>VDNA Set up Professional Services install w/o AT&amp;T Equipment Purchase per Router</t>
  </si>
  <si>
    <t>VDNA Set up Professional Services install w/o AT&amp;T Equipment Purchase per Switch</t>
  </si>
  <si>
    <t>Per router</t>
  </si>
  <si>
    <t>Per switch</t>
  </si>
  <si>
    <t>VNDA Remote Worker/Remote Site Charges</t>
  </si>
  <si>
    <t>VDNA Remote Worker/Remote Tele-Installation with AT&amp;T Voice DNA Hub Site - Professional Services per Site Pricing</t>
  </si>
  <si>
    <t>VDNA Remote Worker/Remote Tele-Installation without AT&amp;T Voice DNA Hub Site - Professional Services per Site Pricing</t>
  </si>
  <si>
    <t>VDNA Additional Charges</t>
  </si>
  <si>
    <t>VNDA Deployment Optional Service Charges</t>
  </si>
  <si>
    <t>Managed Router Installation, per Site, includes up to two (2) hours onsite service performed during Standard Business Hours</t>
  </si>
  <si>
    <t>Voice AT&amp;T Voice DNA and Remote Worker Maintenance Services (1 – 25 IP Phones); includes Remote Administration and Troubleshooting, Standard Business Hours; includes 10 incidents good for one year.</t>
  </si>
  <si>
    <t>AT&amp;T Voice DNA and Remote Worker Maintenance Services (26 – 50 IP Phones); includes Remote Administration and Troubleshooting, Standard Business Hours; includes 15 incidents good for one year.</t>
  </si>
  <si>
    <t>Voice AT&amp;T Voice DNA and Remote Worker Maintenance Services (51-  200) ; includes Remote Administration and Troubleshooting, Standard Business Hours; includes 20 incidents good for one year.</t>
  </si>
  <si>
    <t>AT&amp;T Voice DNA and Remote Worker Maintenance Services (201+) ; includes Remote Administration and Troubleshooting, Standard Business Hours; includes 30 incidents good for one year.</t>
  </si>
  <si>
    <t>Detailed LAN Assessment, per Site, includes up to two (2) hours onsite service performed during Standard Business Hours</t>
  </si>
  <si>
    <t>Additional Training Services – 2 hour online training class for Remote Worker Standalone / Remote Worker Corporate, per class</t>
  </si>
  <si>
    <t>Additional IAD – Cisco 186
Installation of additional Cisco 186 IAD (per additional IAD beyond 2 provided with Site), performed during Standard Business Hours</t>
  </si>
  <si>
    <t>Additional IAD – Cisco VG224
Installation of additional Cisco VG224 IAD (per additional IAD beyond 2 provided with Site), performed during Standard Business Hours</t>
  </si>
  <si>
    <t>Additional Firewall
Installation of additional Firewall (per additional Firewall beyond 1 provided with Site), performed during Standard Business Hours</t>
  </si>
  <si>
    <t>Additional Switch
Installation of additional Switch (per additional Switch beyond 2 provided with Site), performed during Standard Business Hours</t>
  </si>
  <si>
    <t>Data VPN-First VPN tunnel (Site to Site or Remote)
Installation of first VPN tunnel (Site to Site or Remote), includes opening/defining up to 10 specific ports on the firewall, performed during Standard Business Hours.  Single Remote tunnels can support multiple users.</t>
  </si>
  <si>
    <t>Data VPN-Incremental Site to Site VPN Tunnel
Installation of additional Site to Site Data VPN tunnel, includes opening/defining up to 10 specific ports on the firewall, performed during Standard Business Hours.</t>
  </si>
  <si>
    <t>Data VPN-Incremental Remote VPN Tunnel 
Installation of additional Remote Data VPN tunnel, includes opening/defining up to 10 specific ports on the firewall, performed during Standard Business Hours.  Single Remote tunnels can support multiple users</t>
  </si>
  <si>
    <t>Remote Worker - Tele-Installation - Additional Handsets</t>
  </si>
  <si>
    <t>Per Router</t>
  </si>
  <si>
    <t>Per quantity of 1-25 IP phones per site, used in place of Business Direct</t>
  </si>
  <si>
    <t>Per quantity of 26-50 IP phones per site, used in place of Business Direct</t>
  </si>
  <si>
    <t>Per quantity of 51-200 IP phones per site, used in place of Business Direct</t>
  </si>
  <si>
    <t>Per quantity of 200+ IP phones per site, used in place of Business Direct</t>
  </si>
  <si>
    <t>Per 2-hour Site Assessment</t>
  </si>
  <si>
    <t>Per 2-hour online class</t>
  </si>
  <si>
    <t>Per IAD</t>
  </si>
  <si>
    <t>Per additional Firewall beyond 1 provided with Site</t>
  </si>
  <si>
    <t>Per additional switch beyond 2 provided with site</t>
  </si>
  <si>
    <t>Per initial site to site or remote VPN tunnel</t>
  </si>
  <si>
    <t>Per incremental site to site VPN tunnel</t>
  </si>
  <si>
    <t>Per incremental remote VPN tunnel</t>
  </si>
  <si>
    <t xml:space="preserve">VDNA Deployment  Miscellaneous Service Charges </t>
  </si>
  <si>
    <t>Expedite Charge</t>
  </si>
  <si>
    <t>Reschedule/Cancellation</t>
  </si>
  <si>
    <t>Site Re-visit; includes two (2) hours on-site</t>
  </si>
  <si>
    <t>Customer Not Ready</t>
  </si>
  <si>
    <t>Per incident</t>
  </si>
  <si>
    <t>Inside wiring- Demarc extension up to 150 Ft</t>
  </si>
  <si>
    <t>Inside wiring – Demarc extension over 150 Ft, each additional 50 ft (up to 300 total feet)</t>
  </si>
  <si>
    <t>Dmarc extension for the managed router (limit of extension 300 cable Ft)</t>
  </si>
  <si>
    <t>VNDA Inside Wiring - Dmarc Extensions</t>
  </si>
  <si>
    <t xml:space="preserve">VDNA Inside Wiring - Voice DNA Cabling </t>
  </si>
  <si>
    <t>Cabling (1st cable):  includes up to one labor hour, 150ft of CAT5 cable, (1) RJ-45 surface mount jack, and (1) RJ-45 modular plug, installed at the same time .</t>
  </si>
  <si>
    <t>Cabling (Each Additional): includes up to one labor hour, 150ft of CAT5 cable, (1) RJ-45 surface mount jack, and (1) RJ-45 modular plug, installed at the same time as Equipment installation.</t>
  </si>
  <si>
    <t>Cabling Hourly rate:  Standard Business Hours; billed in fifteen (15) minute increments with a two hour minimum per dispatch, for cabling performed on a separate Site visit.</t>
  </si>
  <si>
    <t>Cabling Hourly rate; Non Standard Business Hours with the exceptions of Saturday, Sunday and holidays; billed in fifteen (15) minute increments with a two hour minimum per dispatch, for cabling performed on a separate Site visit.</t>
  </si>
  <si>
    <t>Cabling Hourly rate, Non Standard Business Hours, Saturday, Sunday and holidays; billed in fifteen (15) minute increments with a two hour minimum per dispatch, for cabling performed on a separate Site visit</t>
  </si>
  <si>
    <t>Additional Cabling Footage, per foot.</t>
  </si>
  <si>
    <t>Per initial cable run and modular jack per order</t>
  </si>
  <si>
    <t>Per subsequent run and modular jack per order</t>
  </si>
  <si>
    <t>Hourly Rate for cable and jack install work - 2 hour minimum per separate site visit.</t>
  </si>
  <si>
    <t>CAT5 cable and one (1) RJ-11 or RJ-45 modular plug, installed at same time as equipment installation or site visit</t>
  </si>
  <si>
    <t>Labor additional charge per Hour worked outside standard business Hours</t>
  </si>
  <si>
    <t>Monday - Friday, excluding national holidays</t>
  </si>
  <si>
    <t>Saturday, Sunday and national holidays</t>
  </si>
  <si>
    <t>Hourly Rate for labor when installation is requested outside of normal business hours (8am-5pm M-F)</t>
  </si>
  <si>
    <t>Labor Rates when installation exceeds 1 hour allotted per station install</t>
  </si>
  <si>
    <t>Hourly rate; Standard Business Hours (8am-5pm local time); billed in fifteen (15) minute increments</t>
  </si>
  <si>
    <t>Hourly rate; Non Standard Business Hours with the exceptions of Saturday, Sunday and holidays; billed in fifteen (15) minute increments</t>
  </si>
  <si>
    <t>Hourly rate, Non Standard Business Hours, Saturday, Sunday and holidays; billed in fifteen (15) minute increments</t>
  </si>
  <si>
    <t>Hourly Rate for installation work when greater than one (1) hour per station of instllation is required.</t>
  </si>
  <si>
    <t>Equipment</t>
  </si>
  <si>
    <t>Aastra IP Phone 6757i</t>
  </si>
  <si>
    <t>Aastra IP Phone 6757i Drop Ship</t>
  </si>
  <si>
    <t>Aastra IP Phone 6757i Optional Maintenance</t>
  </si>
  <si>
    <t>Aastra IP Phone 6757i CT</t>
  </si>
  <si>
    <t>Aastra IP Phone 6757i CT Drop Ship</t>
  </si>
  <si>
    <t>Aastra IP Phone 6757i CT Optional Maintenance</t>
  </si>
  <si>
    <t>Additional Handset for 6757i CT</t>
  </si>
  <si>
    <t>Additional Handset for 6757i CT Drop Ship</t>
  </si>
  <si>
    <t>Additional Handset for 6757i CT Optional Maintenance</t>
  </si>
  <si>
    <t>Aastra 536M Expansion Module</t>
  </si>
  <si>
    <t>Aastra 536M Expansion Module Drop Ship</t>
  </si>
  <si>
    <t>Aastra 560M Expansion Module</t>
  </si>
  <si>
    <t>Aastra 560M Expansion Module Drop Ship</t>
  </si>
  <si>
    <t>Aastra Mid-Span Power Injector for Aastra phones</t>
  </si>
  <si>
    <t>Aastra Mid-Span Power Injector for Aastra phones Drop Ship</t>
  </si>
  <si>
    <t>Aastra Mid-Span Power Injector for Aastra phones Optional Maintenance</t>
  </si>
  <si>
    <t>Edgemark 200IAD ATA device</t>
  </si>
  <si>
    <t>Edgemark 200IAD ATA device Drop Ship</t>
  </si>
  <si>
    <t>Edgemark 200IAD ATA device Optional Maintenance</t>
  </si>
  <si>
    <t>Polycom Soundpoint IP 650 - Device Drop Ship</t>
  </si>
  <si>
    <t>Polycom Soundpoint IP 650 - Optional Maintenance</t>
  </si>
  <si>
    <t>Expansion Module for IP 650 - Device Drop Ship</t>
  </si>
  <si>
    <t>Polycom Soundstation IP 4000 - Device Drop Ship</t>
  </si>
  <si>
    <t>Polycom Soundstation IP 4000 - Optional Maintenance</t>
  </si>
  <si>
    <t>Extended Microphone for Soundstation 4000 (2 mics) - Device Drop Ship</t>
  </si>
  <si>
    <t>LG/Nortel 11-Line appearance SIP phone - Device Drop Ship</t>
  </si>
  <si>
    <t>LG/Nortel 11-Line appearance SIP phone - Optional Maintenance</t>
  </si>
  <si>
    <t>LG/Nortel 24-Line appearance SIP phone - Device Drop Ship</t>
  </si>
  <si>
    <t>LG/Nortel 24-Line appearance SIP phone - Optional Maintenance</t>
  </si>
  <si>
    <t>GE SFP, LC connector SX transceiver</t>
  </si>
  <si>
    <t>GE SFP, LC connector SX transceiver Drop Ship</t>
  </si>
  <si>
    <t>Catalyst 4500 1000W AC Power Supply (Data Only)</t>
  </si>
  <si>
    <t>Catalyst 4500 1000W AC Power Supply (Data Only) Drop Ship</t>
  </si>
  <si>
    <t>Cisco CAT4500 IOS IP BASE SSH</t>
  </si>
  <si>
    <t>5000VA  3U (power module) &amp; 3U (external battery pack  included) rackmount. SmartPro Intelligent Line-Interactive UPS. 208/240 single phase input  208 &amp; 120V output. Also tower. Comm. ports: 2 RS-232 &amp; 2 USB</t>
  </si>
  <si>
    <t>5000VA  3U (power module) &amp; 3U (external battery pack  included) rackmount. SmartPro Intelligent Line-Interactive UPS. 208/240 single phase input  208 &amp; 120V output. Also tower. Comm. ports: 2 RS-232 &amp; 2 USB (DROP SHIP)</t>
  </si>
  <si>
    <t>750VA  SmartPro Intelligent Line-Interactive UPS. Tower. Comm. ports: 1 RS-232 &amp;1 USB. Outlets: 8. SNMP slot.</t>
  </si>
  <si>
    <t>750VA  SmartPro Intelligent Line-Interactive UPS. Tower. Comm. ports: 1 RS-232 &amp;1 USB. Outlets: 8. SNMP slot.  Drop Ship</t>
  </si>
  <si>
    <t>Catalyst 3750 24 10/100/1000T PoE + 4 SFP Enhanced Image</t>
  </si>
  <si>
    <t>Catalyst 3750 24 10/100/1000T PoE + 4 SFP Enhanced Image Drop Ship</t>
  </si>
  <si>
    <t>Catalyst 3750 24 10/100/1000T PoE + 4 SFP Enhanced Image Optional Maintenance</t>
  </si>
  <si>
    <t>Catalyst 3750 48 10/100/1000T PoE + 4 SFP Enhanced Image</t>
  </si>
  <si>
    <t>Catalyst 3750 48 10/100/1000T PoE + 4 SFP Enhanced Image Drop Ship</t>
  </si>
  <si>
    <t>Catalyst 3750 48 10/100/1000T PoE + 4 SFP Enhanced Image Optional Maintenance</t>
  </si>
  <si>
    <t>Cat4500 E-Series 3-Slot Chassis, fan, no ps</t>
  </si>
  <si>
    <t>Cat4500 E-Series 3-Slot Chassis, fan, no ps Drop Ship</t>
  </si>
  <si>
    <t>Catalyst 4503 SupII-Plus-TS, 12 10/100/1000 PoE+8 SFP slots</t>
  </si>
  <si>
    <t>Catalyst 4503 SupII-Plus-TS, 12 10/100/1000 PoE+8 SFP slots Drop Ship</t>
  </si>
  <si>
    <t>Catalyst 4500 48-Port 1000Base-X (SFPs Optional)</t>
  </si>
  <si>
    <t>Catalyst 4500 48-Port 1000Base-X (SFPs Optional) Drop Ship</t>
  </si>
  <si>
    <t>Cisco 7960G SIP Phone - Device Drop Ship</t>
  </si>
  <si>
    <t>Cisco 7960G SIP Phone - Optional Maintenance</t>
  </si>
  <si>
    <t>Cisco 7940G IP Phone - Device Drop Ship</t>
  </si>
  <si>
    <t>Cisco 7940G IP Phone - Optional Maintenance</t>
  </si>
  <si>
    <t>CISCO3845-V3PN/K9 - Device Drop Ship</t>
  </si>
  <si>
    <t>CISCO3845-V3PN/K9 - Optional Maintenance</t>
  </si>
  <si>
    <t>Cisco 2801-V/K9 - Device Drop Ship</t>
  </si>
  <si>
    <t>Cisco 2801-V/K9 - Optional Maintenance</t>
  </si>
  <si>
    <t>CISCO 2821 - Device Drop Ship</t>
  </si>
  <si>
    <t>CISCO 2821 - Optional Maintenance</t>
  </si>
  <si>
    <t>CISCO 3845 - Device Drop Ship</t>
  </si>
  <si>
    <t>CISCO 3845 - Optional Maintenance</t>
  </si>
  <si>
    <t xml:space="preserve">CISCO VG224 - Device (parts CAB-AC; MEM-224-1X128D-U; MEM-224-1X64F-U; SVGVG-12409T; CON-OSP-VG224) </t>
  </si>
  <si>
    <t>CISCO VG224 - Device Drop Ship  (parts CAB-AC; MEM-224-1X128D-U; MEM-224-1X64F-U; SVGVG-12409T; CON-OSP-VG224)</t>
  </si>
  <si>
    <t>CISCO VG224 - Optional Maintenance  (parts CAB-AC; MEM-224-1X128D-U; MEM-224-1X64F-U; SVGVG-12409T; CON-OSP-VG224)</t>
  </si>
  <si>
    <t>SIC = Purchase price and install</t>
  </si>
  <si>
    <t>Drop ship only, requires customer installation</t>
  </si>
  <si>
    <t>Optional Device Maintenance</t>
  </si>
  <si>
    <t>Device Base</t>
  </si>
  <si>
    <t>MRC Years 1 - 2 = monthly purchase option and install</t>
  </si>
  <si>
    <t>MRC Years 3,4 and 5 = monthly purchase option and install</t>
  </si>
  <si>
    <t xml:space="preserve">VDNA Usage Charges </t>
  </si>
  <si>
    <t>See Usage below</t>
  </si>
  <si>
    <t>See VDNA Usage Pricing</t>
  </si>
  <si>
    <t>US Mainland information calls  (411 / 555-1212)</t>
  </si>
  <si>
    <t>Station to Station (Operator assistance to dial a number)</t>
  </si>
  <si>
    <t>Person to Person (Operator assistance to call a specific person)</t>
  </si>
  <si>
    <t>Third Number Billing  (To originate billing to a third number)</t>
  </si>
  <si>
    <t>Busy Line Verification  (Operator to verify that a line is really busy and not off hook)</t>
  </si>
  <si>
    <t>Busy Line Interrupt  (Operator to interrupt line in the event of emergency after verification)</t>
  </si>
  <si>
    <t>Collect  (Outgoing Collect Calls)</t>
  </si>
  <si>
    <t>Continental US Terminating Off-Net Usage Per Minute</t>
  </si>
  <si>
    <t>Outside Continental US Terminating Off-Net Usage Per Minute</t>
  </si>
  <si>
    <t xml:space="preserve">Dial Plan Setup Fee Charge Per Site (Local and LD) </t>
  </si>
  <si>
    <t>Calling Plan "C" Charge Charge per Concurrent Call per Site (Local and On-Net LD (includes 300 min Domestic off-net calling per concurrent call subscribed to))</t>
  </si>
  <si>
    <t>Telephone Number Charge - Charge per VoIP Telephone Number</t>
  </si>
  <si>
    <t>Per concurrent call per site</t>
  </si>
  <si>
    <t>Per VoIP telephone number</t>
  </si>
  <si>
    <t>VoIP Module Card Concurrent Call Charges for Managed Routers - (Charge per Concurrent Call, per Site Up to 12 Concurrent Calls)</t>
  </si>
  <si>
    <t>VoIP Module Card Concurrent Call Charges for Managed Routers - (Charge per Concurrent Call, per Site over 12 Concurrent Calls)</t>
  </si>
  <si>
    <t xml:space="preserve">Usage US Off-Net Usage (per 6 second increment) </t>
  </si>
  <si>
    <t>Usage Non-domestic - International (refer to VDNA Usage Pricing)</t>
  </si>
  <si>
    <t>See VDNA Usage</t>
  </si>
  <si>
    <t>Per six second increment</t>
  </si>
  <si>
    <t>Directory Assistance - Local Directory Assistance (per call)</t>
  </si>
  <si>
    <t>Directory Assistance - Station-to-Station (per call)</t>
  </si>
  <si>
    <t>Directory Assistance - Person-to-Person (per call)</t>
  </si>
  <si>
    <t>Directory Assistance - Third Number Billing (per call)</t>
  </si>
  <si>
    <t>Directory Assistance -Busy Line Verification (per call)</t>
  </si>
  <si>
    <t>Directory Assistance - Busy Line Interrupt (per call)</t>
  </si>
  <si>
    <t>Directory Assistance - Collect (per call)</t>
  </si>
  <si>
    <t>IP Flexible Reach (SIP Trunking) - [Transport (via MIS w/ Mgd Router or AVPN) required]</t>
  </si>
  <si>
    <t xml:space="preserve">IP Flexible Reach Transport </t>
  </si>
  <si>
    <t>Transport required for IP Flexible Reach priced separetly via MIS with Managed Router (MIS+) or AVPN</t>
  </si>
  <si>
    <t>VDNA &gt;7500 minute and Non-domestic Usage Charges</t>
  </si>
  <si>
    <t>This part is from the head to the quick disconnect.  Requires M22 Vista Amplifier from quick disconnect to telephone to complete headset.</t>
  </si>
  <si>
    <t>This part is from the quick disconnect to telephone.  Requires one of the five headset tops listed above to complete headset.</t>
  </si>
  <si>
    <t>Bundle contains CS55 Wireless headset and HL10 Handset lifter.  Handset lifter required for remote call answering.  Allows remote call answering only - other features like converence and transfer must be performed on telephone instrument.</t>
  </si>
  <si>
    <t>Wireless headset only.  Remote answering requires HL10 Handset lifter.</t>
  </si>
  <si>
    <t>Required for remote call answering</t>
  </si>
  <si>
    <t>H31 Plantronics Starset top/qd headset</t>
  </si>
  <si>
    <t>H41 Plantronics Mirage over the ear top qd standard headset</t>
  </si>
  <si>
    <t>H141 Plantronics Duoset convertible headset</t>
  </si>
  <si>
    <t>Hw251 Plantronics Supra plus wideband monaural headset 73838-01</t>
  </si>
  <si>
    <t>Hw261 Plantronics Supra plus wideband binaural headset</t>
  </si>
  <si>
    <t>M22 Plantronics Vista amplifier with clearline audio technology</t>
  </si>
  <si>
    <t>CS55/HL10 Plantronics CS55 wireless office headset system with handset lifter</t>
  </si>
  <si>
    <t>CS55 Plantronics 1.9 ghz digital wireless headset system</t>
  </si>
  <si>
    <t>HL10 Plantronics handset lifter for one touch remote call answering</t>
  </si>
  <si>
    <t>This part is from the head to the quick disconnect.  Requires M22 Vista Amplifier from quick disconnect to telephone to complete headset.  User convertible from on ear to over the head monaural headset</t>
  </si>
  <si>
    <t>KS, MO, NE, IA</t>
  </si>
  <si>
    <t>VDNA Local Directory Assistance Charges Per Call - US Mainland</t>
  </si>
  <si>
    <t>Refer to MIS Plus or AVPN</t>
  </si>
  <si>
    <t xml:space="preserve">VDNA Transport </t>
  </si>
  <si>
    <t>Transport required for VDNA priced separetly via MIS with Managed Router (MIS+) or AVPN</t>
  </si>
  <si>
    <t>NOTE:</t>
  </si>
  <si>
    <t xml:space="preserve">Voice DNA Standard Package &lt; 350 seats (Excludes BusinessDirect/no features) </t>
  </si>
  <si>
    <t>Voice DNA Enhanced Package &lt; 350 seats</t>
  </si>
  <si>
    <t>Voice DNA Premium Package &lt; 350 seats (includes voice mail service)</t>
  </si>
  <si>
    <t>Voice DNA Standard Package  350 - 799 seats (Excludes BusinessDirect/no features)</t>
  </si>
  <si>
    <t>Voice DNA Enhanced Package 350 - 799 seats</t>
  </si>
  <si>
    <t>Voice DNA Premium Package 350 - 799 seats (includes voice mail service)</t>
  </si>
  <si>
    <t>Voice DNA Standard Package 800+ seats (Excludes BusinessDirect/no features)</t>
  </si>
  <si>
    <t>Voice DNA Enhanced Package 800+ seats</t>
  </si>
  <si>
    <t>Voice DNA Premium Package 800 + seats (includes voice mail service)</t>
  </si>
  <si>
    <t>AT&amp;T Connect Service</t>
  </si>
  <si>
    <t>ISDN BRI Service</t>
  </si>
  <si>
    <t>Centrex (Plexar) Service</t>
  </si>
  <si>
    <t>Applies to BASEHOR EAS TO KSCY METRO</t>
  </si>
  <si>
    <t>Per Personalized Ring *Personalized Ring on Business Lines establishes up to 3 numbers on the same line and distinguish calls to each number by a distinctive ring</t>
  </si>
  <si>
    <t>EM POVM</t>
  </si>
  <si>
    <t>EM Unified Messaging</t>
  </si>
  <si>
    <t>EM Call in One</t>
  </si>
  <si>
    <t>EM Call Tree</t>
  </si>
  <si>
    <t>Mass Market Unified Messaging - Lite Mailbox US1BB</t>
  </si>
  <si>
    <t>Mass Market Unified Messaging - Standard Mailbox US1MX</t>
  </si>
  <si>
    <t xml:space="preserve">Mass Market Unified Messaging - Extension Mailbox US1EX </t>
  </si>
  <si>
    <t>Mass Market Unified Messaging DID Standard US1DX</t>
  </si>
  <si>
    <t>Mass Market Unified Messaging DID Lite US1LX</t>
  </si>
  <si>
    <t>ONLY AVAILABE TO BASEHOR FOR CALLS TO KSCY.  Extended Area Service is an arrangement whereby customers in one exchange or zone can call customers in contiguous exchanges. There is an extended area service additive that applies, per exchange or zone, in addition to the applicable local exchange rates.</t>
  </si>
  <si>
    <t>PER SUCCESSFUL TRACE</t>
  </si>
  <si>
    <t>CALLER ID NAME &amp; NUMBER MUST BE PURCHASED TOGETHER</t>
  </si>
  <si>
    <t>Several Customized Intercept available, price dependent on needs</t>
  </si>
  <si>
    <t xml:space="preserve">ANI is sent from the main number on PRI or Analog Trunks </t>
  </si>
  <si>
    <t>Per Line  per successful trace</t>
  </si>
  <si>
    <t>Basic Intercept Service for 30 days.  On Business Lines contractor will make every effort to provide Inercept until end of the current directory, due to number exhaustion, this may not always be available, but will not be less than 30 days.  Longer time available for Plexar and DID consecutive numbers -  for block of consecutive numbers</t>
  </si>
  <si>
    <t>Basic Intercept Service for 30 days.  On Business Lines contractor will make every effort to provide Intercept until end of the current directory, due to number exhaustion, this may not always be available, but will not be less than 30 days.  Longer time available for Plexar and DID consecutive numbers - for block of consecutive numbers</t>
  </si>
  <si>
    <t>Speed Call Short List for ISDN BRI Bus Line 6 numbers, depending on Serving Office.</t>
  </si>
  <si>
    <r>
      <t xml:space="preserve">GE - SECT 7 ** </t>
    </r>
    <r>
      <rPr>
        <sz val="8"/>
        <rFont val="Tahoma"/>
        <family val="2"/>
      </rPr>
      <t>CANNOT ICB LSTGS*</t>
    </r>
  </si>
  <si>
    <t xml:space="preserve"> several Customized Intercept available, price dependent on needs</t>
  </si>
  <si>
    <t xml:space="preserve">Directory Assistance - </t>
  </si>
  <si>
    <t>several Customized Intercept available, price dependent on needs</t>
  </si>
  <si>
    <t xml:space="preserve">Directory Assistance - Listings per call </t>
  </si>
  <si>
    <t>Audio Conferencing Service</t>
  </si>
  <si>
    <t>ACS bridge port, per minute</t>
  </si>
  <si>
    <t>ACS domestic toll free dial-in transport, per minute</t>
  </si>
  <si>
    <t>ACS operator dial-out port, per minute</t>
  </si>
  <si>
    <t>ACS host dial-out port, per minute</t>
  </si>
  <si>
    <t>ACS Executive bridge port, per minute</t>
  </si>
  <si>
    <t>ACS Executive operator dial-out port, per minute</t>
  </si>
  <si>
    <t>Web Conferencing Service (Subscription)</t>
  </si>
  <si>
    <t>Web Conferencing Service, per named user</t>
  </si>
  <si>
    <t>MINUS 10%     Month to Month</t>
  </si>
  <si>
    <t>Per named user per month</t>
  </si>
  <si>
    <t>Web Conferencing Service (Usage Price)</t>
  </si>
  <si>
    <t>Web Conferencing Service, per minute per participant</t>
  </si>
  <si>
    <t>Basic Callnotes Only,</t>
  </si>
  <si>
    <r>
      <t xml:space="preserve">Channel termination </t>
    </r>
    <r>
      <rPr>
        <b/>
        <sz val="8"/>
        <rFont val="Tahoma"/>
        <family val="2"/>
      </rPr>
      <t>(T6ECS)</t>
    </r>
  </si>
  <si>
    <r>
      <t xml:space="preserve">Fixed Mileage </t>
    </r>
    <r>
      <rPr>
        <b/>
        <sz val="8"/>
        <rFont val="Tahoma"/>
        <family val="2"/>
      </rPr>
      <t>(1L5XX)</t>
    </r>
  </si>
  <si>
    <r>
      <t xml:space="preserve">Channel Mileage </t>
    </r>
    <r>
      <rPr>
        <b/>
        <sz val="8"/>
        <rFont val="Tahoma"/>
        <family val="2"/>
      </rPr>
      <t>(1L5XX)</t>
    </r>
  </si>
  <si>
    <r>
      <t>Channel Mileage</t>
    </r>
    <r>
      <rPr>
        <b/>
        <sz val="8"/>
        <rFont val="Tahoma"/>
        <family val="2"/>
      </rPr>
      <t xml:space="preserve"> (1L5XX)</t>
    </r>
  </si>
  <si>
    <r>
      <t xml:space="preserve">Channel termination </t>
    </r>
    <r>
      <rPr>
        <b/>
        <sz val="8"/>
        <rFont val="Tahoma"/>
        <family val="2"/>
      </rPr>
      <t>(TMECS)</t>
    </r>
  </si>
  <si>
    <r>
      <t xml:space="preserve">Option 1 - Disaster Routing Service - Forwarded Telephone Numbers Per Telephone Number 501 - 1000 Numbers </t>
    </r>
    <r>
      <rPr>
        <b/>
        <sz val="8"/>
        <rFont val="Tahoma"/>
        <family val="2"/>
      </rPr>
      <t>(R7UFX)</t>
    </r>
  </si>
  <si>
    <t>Construction chgs may apply FOR LPS</t>
  </si>
  <si>
    <t>Alternate Call Directory Listings (FNA)</t>
  </si>
  <si>
    <t>Speed Call 10 Standard Feature on Analog/ISDN Off Premise service, Speed Call Short List for ISDN Bus Line 6-10 numbers, depending on Serving Office *OPTIONAL FEA SPD CL 30 &amp; 50 AVAILABLE</t>
  </si>
  <si>
    <t>NOTE Facility is in addition to Tie Trunk Termination - See Private Line tab for facility rates</t>
  </si>
  <si>
    <t xml:space="preserve"> NOTE Facility is in addition to Tie Trunk Termination - See Private Line tab for facility rates + DSO channel activated - see below</t>
  </si>
  <si>
    <t>Local Channel (1DAVX)</t>
  </si>
  <si>
    <t>Interoffice Channel (JZ64S)</t>
  </si>
  <si>
    <t>InterOffice Channel Mileage (1LHU4)</t>
  </si>
  <si>
    <t>Local Channel (1DAXX)</t>
  </si>
  <si>
    <r>
      <t xml:space="preserve">#Centrex/Plexar Subsequent System Change Charge </t>
    </r>
    <r>
      <rPr>
        <sz val="8"/>
        <rFont val="Tahoma"/>
        <family val="2"/>
      </rPr>
      <t>(1CRAL)</t>
    </r>
  </si>
  <si>
    <r>
      <t xml:space="preserve">#Centrex/Plexar Subsequent Station Change Charge </t>
    </r>
    <r>
      <rPr>
        <sz val="8"/>
        <rFont val="Tahoma"/>
        <family val="2"/>
      </rPr>
      <t>(SG9PA)</t>
    </r>
  </si>
  <si>
    <r>
      <t xml:space="preserve">Additional Directory Listings </t>
    </r>
    <r>
      <rPr>
        <sz val="8"/>
        <rFont val="Tahoma"/>
        <family val="2"/>
      </rPr>
      <t>(CLT)</t>
    </r>
  </si>
  <si>
    <r>
      <t xml:space="preserve">Auto Redial </t>
    </r>
    <r>
      <rPr>
        <sz val="8"/>
        <rFont val="Tahoma"/>
        <family val="2"/>
      </rPr>
      <t>(NX9)</t>
    </r>
  </si>
  <si>
    <r>
      <t xml:space="preserve">Auto Redial  </t>
    </r>
    <r>
      <rPr>
        <sz val="8"/>
        <rFont val="Tahoma"/>
        <family val="2"/>
      </rPr>
      <t>(NX9PS)</t>
    </r>
  </si>
  <si>
    <r>
      <t xml:space="preserve">Call blocking </t>
    </r>
    <r>
      <rPr>
        <sz val="8"/>
        <rFont val="Tahoma"/>
        <family val="2"/>
      </rPr>
      <t>(NX5)</t>
    </r>
  </si>
  <si>
    <r>
      <t xml:space="preserve">Call blocking </t>
    </r>
    <r>
      <rPr>
        <sz val="8"/>
        <rFont val="Tahoma"/>
        <family val="2"/>
      </rPr>
      <t>(NX5PS)</t>
    </r>
  </si>
  <si>
    <r>
      <t xml:space="preserve">Call Forward - Busy - Outside System </t>
    </r>
    <r>
      <rPr>
        <sz val="8"/>
        <rFont val="Tahoma"/>
        <family val="2"/>
      </rPr>
      <t>(FBJ)</t>
    </r>
  </si>
  <si>
    <r>
      <t xml:space="preserve">Call Forward - Busy - Outside System </t>
    </r>
    <r>
      <rPr>
        <sz val="8"/>
        <rFont val="Tahoma"/>
        <family val="2"/>
      </rPr>
      <t>(1CRCF)</t>
    </r>
  </si>
  <si>
    <r>
      <t xml:space="preserve">Call Forward - Don’t Answer - Outside System </t>
    </r>
    <r>
      <rPr>
        <sz val="8"/>
        <rFont val="Tahoma"/>
        <family val="2"/>
      </rPr>
      <t>(FDJ)</t>
    </r>
  </si>
  <si>
    <r>
      <t xml:space="preserve">Call Forward - Don’t Answer - Outside System </t>
    </r>
    <r>
      <rPr>
        <sz val="8"/>
        <rFont val="Tahoma"/>
        <family val="2"/>
      </rPr>
      <t>(1CRCG)</t>
    </r>
  </si>
  <si>
    <r>
      <t xml:space="preserve">Call Forward Busy/Don't Answer - Outside System </t>
    </r>
    <r>
      <rPr>
        <sz val="8"/>
        <rFont val="Tahoma"/>
        <family val="2"/>
      </rPr>
      <t>(FVJ)</t>
    </r>
  </si>
  <si>
    <r>
      <t xml:space="preserve">Call Forward Busy/Don't Answer - Outside System </t>
    </r>
    <r>
      <rPr>
        <sz val="8"/>
        <rFont val="Tahoma"/>
        <family val="2"/>
      </rPr>
      <t>(1CRCH)</t>
    </r>
  </si>
  <si>
    <r>
      <t xml:space="preserve">Call Forward Remote Access </t>
    </r>
    <r>
      <rPr>
        <sz val="8"/>
        <rFont val="Tahoma"/>
        <family val="2"/>
      </rPr>
      <t>(FRC)</t>
    </r>
  </si>
  <si>
    <r>
      <t xml:space="preserve">Call Forward Remote Access </t>
    </r>
    <r>
      <rPr>
        <sz val="8"/>
        <rFont val="Tahoma"/>
        <family val="2"/>
      </rPr>
      <t>(FRCPS)</t>
    </r>
  </si>
  <si>
    <r>
      <t xml:space="preserve">Call Hunting </t>
    </r>
    <r>
      <rPr>
        <sz val="8"/>
        <rFont val="Tahoma"/>
        <family val="2"/>
      </rPr>
      <t>(BASIC OR CIRCULAR)</t>
    </r>
  </si>
  <si>
    <r>
      <t xml:space="preserve">Call Return, Auto Callback </t>
    </r>
    <r>
      <rPr>
        <sz val="8"/>
        <rFont val="Tahoma"/>
        <family val="2"/>
      </rPr>
      <t>(NX8)</t>
    </r>
  </si>
  <si>
    <r>
      <t xml:space="preserve">Call Return, Auto Callback </t>
    </r>
    <r>
      <rPr>
        <sz val="8"/>
        <rFont val="Tahoma"/>
        <family val="2"/>
      </rPr>
      <t>(NX8PS)</t>
    </r>
  </si>
  <si>
    <r>
      <t xml:space="preserve">Call Trace </t>
    </r>
    <r>
      <rPr>
        <sz val="8"/>
        <rFont val="Tahoma"/>
        <family val="2"/>
      </rPr>
      <t>(N6TPS)</t>
    </r>
  </si>
  <si>
    <r>
      <t xml:space="preserve">Caller ID Name &amp; Number </t>
    </r>
    <r>
      <rPr>
        <sz val="8"/>
        <rFont val="Tahoma"/>
        <family val="2"/>
      </rPr>
      <t>(NXM)</t>
    </r>
  </si>
  <si>
    <r>
      <t xml:space="preserve">Caller ID Name &amp; Number </t>
    </r>
    <r>
      <rPr>
        <sz val="8"/>
        <rFont val="Tahoma"/>
        <family val="2"/>
      </rPr>
      <t>(NXMPS)</t>
    </r>
  </si>
  <si>
    <r>
      <t xml:space="preserve">Calling Number Suppression </t>
    </r>
    <r>
      <rPr>
        <sz val="8"/>
        <rFont val="Tahoma"/>
        <family val="2"/>
      </rPr>
      <t>(NBJ)</t>
    </r>
  </si>
  <si>
    <r>
      <t xml:space="preserve">Six-Way Conference Calling </t>
    </r>
    <r>
      <rPr>
        <sz val="8"/>
        <rFont val="Tahoma"/>
        <family val="2"/>
      </rPr>
      <t>(EAA)</t>
    </r>
  </si>
  <si>
    <r>
      <t xml:space="preserve">Software Reconfiguration by Customer </t>
    </r>
    <r>
      <rPr>
        <sz val="8"/>
        <rFont val="Tahoma"/>
        <family val="2"/>
      </rPr>
      <t>(DWD)</t>
    </r>
  </si>
  <si>
    <r>
      <t xml:space="preserve">Software Reconfiguration by Customer </t>
    </r>
    <r>
      <rPr>
        <sz val="8"/>
        <rFont val="Tahoma"/>
        <family val="2"/>
      </rPr>
      <t>(1CRCR)</t>
    </r>
  </si>
  <si>
    <r>
      <t xml:space="preserve">Speed Calling - </t>
    </r>
    <r>
      <rPr>
        <sz val="8"/>
        <rFont val="Tahoma"/>
        <family val="2"/>
      </rPr>
      <t>SHORT LIST</t>
    </r>
  </si>
  <si>
    <r>
      <t xml:space="preserve">Tie Trunk - Analog Facility </t>
    </r>
    <r>
      <rPr>
        <sz val="8"/>
        <rFont val="Tahoma"/>
        <family val="2"/>
      </rPr>
      <t>(KT6)</t>
    </r>
  </si>
  <si>
    <r>
      <t>Option 1 - Disaster Routing Service - Forwarded Telephone Numbers Per Telephone Number 501 - 1000 Numbers -</t>
    </r>
    <r>
      <rPr>
        <b/>
        <sz val="8"/>
        <rFont val="Tahoma"/>
        <family val="2"/>
      </rPr>
      <t>(R7UFX)</t>
    </r>
  </si>
  <si>
    <t>MO, KS, NE, IA</t>
  </si>
  <si>
    <t>Charge applies when requested after installation.</t>
  </si>
  <si>
    <t xml:space="preserve">ANI is sent from the main number on PRI or Analog Trunks  </t>
  </si>
  <si>
    <t>Standard Feature.  Not available on ISDN stations</t>
  </si>
  <si>
    <t>Call Forwarding - Inside Plexar System</t>
  </si>
  <si>
    <t>Call forwarding busy -  Inside Plexar System</t>
  </si>
  <si>
    <t>Call forwarding busy/no answer -  Inside Plexar System</t>
  </si>
  <si>
    <t>Call forwarding no answer -  Inside Plexar System</t>
  </si>
  <si>
    <t xml:space="preserve">This nonrecurring charge applies for any system change. </t>
  </si>
  <si>
    <r>
      <t xml:space="preserve">Phone number:         </t>
    </r>
    <r>
      <rPr>
        <b/>
        <sz val="8"/>
        <rFont val="Tahoma"/>
        <family val="2"/>
      </rPr>
      <t>314-505-2524</t>
    </r>
  </si>
  <si>
    <r>
      <t xml:space="preserve">BRI Interface </t>
    </r>
    <r>
      <rPr>
        <b/>
        <sz val="8"/>
        <rFont val="Tahoma"/>
        <family val="2"/>
      </rPr>
      <t>(Z22, Z23)</t>
    </r>
  </si>
  <si>
    <r>
      <t xml:space="preserve">"B" Channnel  </t>
    </r>
    <r>
      <rPr>
        <b/>
        <sz val="8"/>
        <rFont val="Tahoma"/>
        <family val="2"/>
      </rPr>
      <t>(UFKB1,UFKB2)</t>
    </r>
  </si>
  <si>
    <r>
      <t xml:space="preserve">Link Extension Equipment </t>
    </r>
    <r>
      <rPr>
        <b/>
        <sz val="8"/>
        <rFont val="Tahoma"/>
        <family val="2"/>
      </rPr>
      <t>(NC1)</t>
    </r>
  </si>
  <si>
    <r>
      <t xml:space="preserve">Link Extension Facility </t>
    </r>
    <r>
      <rPr>
        <b/>
        <sz val="8"/>
        <rFont val="Tahoma"/>
        <family val="2"/>
      </rPr>
      <t>(OTVXX)</t>
    </r>
  </si>
  <si>
    <r>
      <t xml:space="preserve">Additional Directory Number, i.e., SPID </t>
    </r>
    <r>
      <rPr>
        <b/>
        <sz val="8"/>
        <rFont val="Tahoma"/>
        <family val="2"/>
      </rPr>
      <t>(CLT)</t>
    </r>
  </si>
  <si>
    <r>
      <t xml:space="preserve">Alternate Call Directory Listings </t>
    </r>
    <r>
      <rPr>
        <b/>
        <sz val="8"/>
        <rFont val="Tahoma"/>
        <family val="2"/>
      </rPr>
      <t>(FNA)</t>
    </r>
  </si>
  <si>
    <r>
      <t xml:space="preserve">Auto Redial  </t>
    </r>
    <r>
      <rPr>
        <b/>
        <sz val="8"/>
        <rFont val="Tahoma"/>
        <family val="2"/>
      </rPr>
      <t>(FKA)</t>
    </r>
  </si>
  <si>
    <r>
      <t xml:space="preserve">Call blocking  </t>
    </r>
    <r>
      <rPr>
        <b/>
        <sz val="8"/>
        <rFont val="Tahoma"/>
        <family val="2"/>
      </rPr>
      <t>(FKQ)</t>
    </r>
  </si>
  <si>
    <r>
      <t xml:space="preserve">Call Forward Remote Access  </t>
    </r>
    <r>
      <rPr>
        <b/>
        <sz val="8"/>
        <rFont val="Tahoma"/>
        <family val="2"/>
      </rPr>
      <t>(RHA)</t>
    </r>
  </si>
  <si>
    <r>
      <t xml:space="preserve">Call Forwarding  </t>
    </r>
    <r>
      <rPr>
        <b/>
        <sz val="8"/>
        <rFont val="Tahoma"/>
        <family val="2"/>
      </rPr>
      <t>(NVF)</t>
    </r>
  </si>
  <si>
    <r>
      <t xml:space="preserve">Call forwarding busy  </t>
    </r>
    <r>
      <rPr>
        <b/>
        <sz val="8"/>
        <rFont val="Tahoma"/>
        <family val="2"/>
      </rPr>
      <t>(NQ5)</t>
    </r>
  </si>
  <si>
    <r>
      <t xml:space="preserve">Call forwarding busy/no answer  </t>
    </r>
    <r>
      <rPr>
        <b/>
        <sz val="8"/>
        <color indexed="10"/>
        <rFont val="Tahoma"/>
        <family val="2"/>
      </rPr>
      <t xml:space="preserve"> </t>
    </r>
  </si>
  <si>
    <r>
      <t xml:space="preserve">Call forwarding no answer </t>
    </r>
    <r>
      <rPr>
        <b/>
        <sz val="8"/>
        <rFont val="Tahoma"/>
        <family val="2"/>
      </rPr>
      <t xml:space="preserve"> (NQ6)</t>
    </r>
  </si>
  <si>
    <r>
      <t xml:space="preserve">Call Hunting  </t>
    </r>
    <r>
      <rPr>
        <b/>
        <sz val="8"/>
        <rFont val="Tahoma"/>
        <family val="2"/>
      </rPr>
      <t>(GXH)</t>
    </r>
  </si>
  <si>
    <r>
      <t xml:space="preserve">Call Return, Auto Callback </t>
    </r>
    <r>
      <rPr>
        <b/>
        <sz val="8"/>
        <rFont val="Tahoma"/>
        <family val="2"/>
      </rPr>
      <t>(FKD)</t>
    </r>
  </si>
  <si>
    <r>
      <t xml:space="preserve">Call Trace </t>
    </r>
    <r>
      <rPr>
        <b/>
        <sz val="8"/>
        <rFont val="Tahoma"/>
        <family val="2"/>
      </rPr>
      <t xml:space="preserve">(FKN)  </t>
    </r>
  </si>
  <si>
    <r>
      <t xml:space="preserve">Call Transfer  </t>
    </r>
    <r>
      <rPr>
        <b/>
        <sz val="8"/>
        <rFont val="Tahoma"/>
        <family val="2"/>
      </rPr>
      <t>(NZJPK)</t>
    </r>
  </si>
  <si>
    <r>
      <t xml:space="preserve">Caller ID Name &amp; Number </t>
    </r>
    <r>
      <rPr>
        <b/>
        <sz val="8"/>
        <rFont val="Tahoma"/>
        <family val="2"/>
      </rPr>
      <t>(ZCN)</t>
    </r>
  </si>
  <si>
    <r>
      <t>Calling Number Suppression</t>
    </r>
    <r>
      <rPr>
        <b/>
        <sz val="8"/>
        <rFont val="Tahoma"/>
        <family val="2"/>
      </rPr>
      <t xml:space="preserve"> (NBJ)</t>
    </r>
  </si>
  <si>
    <r>
      <t xml:space="preserve">Distinctive Ringing  </t>
    </r>
    <r>
      <rPr>
        <b/>
        <sz val="8"/>
        <rFont val="Tahoma"/>
        <family val="2"/>
      </rPr>
      <t>(R8D)</t>
    </r>
  </si>
  <si>
    <r>
      <t xml:space="preserve">Message Waiting Indication </t>
    </r>
    <r>
      <rPr>
        <b/>
        <sz val="8"/>
        <rFont val="Tahoma"/>
        <family val="2"/>
      </rPr>
      <t xml:space="preserve"> (NZW)</t>
    </r>
  </si>
  <si>
    <r>
      <t xml:space="preserve">Number Portability </t>
    </r>
    <r>
      <rPr>
        <b/>
        <sz val="8"/>
        <rFont val="Tahoma"/>
        <family val="2"/>
      </rPr>
      <t>(PTLCN)</t>
    </r>
  </si>
  <si>
    <r>
      <t xml:space="preserve">Six-Way Conference Calling  </t>
    </r>
    <r>
      <rPr>
        <b/>
        <sz val="8"/>
        <rFont val="Tahoma"/>
        <family val="2"/>
      </rPr>
      <t>(NZ6)</t>
    </r>
  </si>
  <si>
    <r>
      <t xml:space="preserve">Speed Calling  </t>
    </r>
    <r>
      <rPr>
        <b/>
        <sz val="8"/>
        <rFont val="Tahoma"/>
        <family val="2"/>
      </rPr>
      <t>(NY6)</t>
    </r>
  </si>
  <si>
    <r>
      <t xml:space="preserve">Three-Way Conference Calling  </t>
    </r>
    <r>
      <rPr>
        <b/>
        <sz val="8"/>
        <rFont val="Tahoma"/>
        <family val="2"/>
      </rPr>
      <t>(NZ3)</t>
    </r>
  </si>
  <si>
    <t>Per voicemail</t>
  </si>
  <si>
    <t>Additional Directory Listings-(USOC-CLT)</t>
  </si>
  <si>
    <t>Alternate Call Directory Listings-(USOC-FNA, NSH)</t>
  </si>
  <si>
    <t>Anonymous call rejection -(USOC -AYK)</t>
  </si>
  <si>
    <t>Auto Redial -(USOC-NSQ)</t>
  </si>
  <si>
    <t>Call blocker- (USOC-NSY)</t>
  </si>
  <si>
    <t>Call Forward Remote Access -(USOC-RC3)</t>
  </si>
  <si>
    <t>Call Forwarding-(USOC-ESM)</t>
  </si>
  <si>
    <t>Call forwarding busy-(USOC-EVB)</t>
  </si>
  <si>
    <t>Call forwarding busy/no answer                  -(USOC- E5E)</t>
  </si>
  <si>
    <t xml:space="preserve">Call forwarding no answer- (USOC -EVD) </t>
  </si>
  <si>
    <t>Call Hunting-ROTARY- (USOC- HSHPT)</t>
  </si>
  <si>
    <t>Call Hunting- Circle - (USOC- HSHCH)</t>
  </si>
  <si>
    <t>Call Hunting-Preferential - (USOC-HSHHP)</t>
  </si>
  <si>
    <t>Call Restriction-(USOC-DH2)</t>
  </si>
  <si>
    <t>Call Return-(USOC-NSS) Auto Callback</t>
  </si>
  <si>
    <t xml:space="preserve">Call Transfer-(USOC-FG3) </t>
  </si>
  <si>
    <t>Call Waiting -(USOC -ESX)</t>
  </si>
  <si>
    <t>Caller ID Name- (USOC-NMP)</t>
  </si>
  <si>
    <t>Caller ID Number-(USOC-NSD)</t>
  </si>
  <si>
    <t>Caller ID Name &amp; Number- (USOC-NMP,NSD,NNK-0.00 RATED)</t>
  </si>
  <si>
    <t>Calling Number Suppression -(USOC-NBJ)</t>
  </si>
  <si>
    <t>Hotline Service- (USOC-HLA)</t>
  </si>
  <si>
    <t>Message Waiting Indication- (USOC-EW5VA)</t>
  </si>
  <si>
    <t>Number Portability_(USOC-PTLCN)</t>
  </si>
  <si>
    <t xml:space="preserve">Personalized Ringing -USOC-DRS </t>
  </si>
  <si>
    <t>Speed Calling -USOC ESF</t>
  </si>
  <si>
    <t>Three-Way Conference Calling -USOC-ESC</t>
  </si>
  <si>
    <t>Voice Mail- USOC-VMS70</t>
  </si>
  <si>
    <t>Disaster Routing Service - Group of Telephone Numbers Equipped, Per Group (R7NPG)</t>
  </si>
  <si>
    <t>Option 1 - Disaster Routing Service - Forwarded Telephone Numbers Per Telephone Number 1 - 20 Numbers (R7UFX)</t>
  </si>
  <si>
    <t>Option 1 - Disaster Routing Service - Forwarded Telephone Numbers Per Telephone Number 21 - 100 Numbers (R7UFX)</t>
  </si>
  <si>
    <t>Option 1 - Disaster Routing Service - Forwarded Telephone Numbers Per Telephone Number 101 - 250 Numbers (R7UFX)</t>
  </si>
  <si>
    <t>Option 1 - Disaster Routing Service - Forwarded Telephone Numbers Per Telephone Number 251 - 500 Numbers (R7UFX)</t>
  </si>
  <si>
    <t>Option 1 - Disaster Routing Service - Forwarded Telephone Numbers Per Telephone Number - 1000 Numbers or More (R7UFX)</t>
  </si>
  <si>
    <t>Disaster Routing Service - Rearrangment Charges, per Rearrangement Establishment Charge (RCHAX)</t>
  </si>
  <si>
    <t>Disaster Routing Service - Service Establishment Charge (SEPRE)</t>
  </si>
  <si>
    <t>Additional Directory Listings (CLT)</t>
  </si>
  <si>
    <t>Alternate Call Directory Listings (FNA,FLK,CLT,ALR)</t>
  </si>
  <si>
    <t>Anonymous call rejection (AYK)</t>
  </si>
  <si>
    <t>Auto Redial (NSQ)</t>
  </si>
  <si>
    <t>Call blocking  (NSY)</t>
  </si>
  <si>
    <t>Call Forward - Busy - Outside System (EVB)</t>
  </si>
  <si>
    <t>Call Forward Remote Access  (RC3)</t>
  </si>
  <si>
    <t>Call Forwarding  (ESM)</t>
  </si>
  <si>
    <t>Call forwarding busy (EVB)</t>
  </si>
  <si>
    <t>Call forwarding busy/no answer  (E5E)</t>
  </si>
  <si>
    <t>Call forwarding no answer  (EVD)</t>
  </si>
  <si>
    <t>Call Hunting - basic (HSHPT)</t>
  </si>
  <si>
    <t>Call Hunting - circular  (HSHCH)</t>
  </si>
  <si>
    <t>Call Hunting - preferential (HSHHP)</t>
  </si>
  <si>
    <t>Call Restriction (DH2)</t>
  </si>
  <si>
    <t>Call Return, Auto Callback (NSS)</t>
  </si>
  <si>
    <t xml:space="preserve">Call Trace (NST) </t>
  </si>
  <si>
    <t>Call Transfer  (FG3)</t>
  </si>
  <si>
    <t>Call Waiting (ESX)</t>
  </si>
  <si>
    <t>Caller ID Name (NMP)</t>
  </si>
  <si>
    <t>Caller ID Number  (NSD)</t>
  </si>
  <si>
    <t>Caller ID Name &amp; Number (NMP, NSD,NNK)</t>
  </si>
  <si>
    <t>Personalized Ringing  (DRS, DRS1X, DRS2X)</t>
  </si>
  <si>
    <t>Speed Calling  (ESF)</t>
  </si>
  <si>
    <t>Three-Way Conference Calling  (ESC)</t>
  </si>
  <si>
    <t>Voice Mail- (VMS70)</t>
  </si>
  <si>
    <t xml:space="preserve">Intercept and Recorded Announcement.   </t>
  </si>
  <si>
    <t>Message Waiting Indication-(EW5VA</t>
  </si>
  <si>
    <r>
      <t xml:space="preserve">Voice Mail -(VMS70) </t>
    </r>
    <r>
      <rPr>
        <b/>
        <sz val="8"/>
        <color indexed="10"/>
        <rFont val="Tahoma"/>
        <family val="2"/>
      </rPr>
      <t xml:space="preserve"> </t>
    </r>
  </si>
  <si>
    <t>Voice Mail-(VMS70)</t>
  </si>
  <si>
    <t xml:space="preserve">Basic Callnotes Only   </t>
  </si>
  <si>
    <t>Auto Redial -(USOC-FKA)</t>
  </si>
  <si>
    <t xml:space="preserve">Call blocking-(USOC-FKQ)  </t>
  </si>
  <si>
    <t>Call Forward Remote Access-(USOC-RHA)</t>
  </si>
  <si>
    <t>Call Forwarding-(USOC-NVF)</t>
  </si>
  <si>
    <t>Call forwarding busy-(USOC-NQ5)</t>
  </si>
  <si>
    <t>Call forwarding no answer -(USOC-NQ6)</t>
  </si>
  <si>
    <t>Call Hunting-(USOC-HTKPG)</t>
  </si>
  <si>
    <t>Call Return, Auto Callback- (USOC-FKD)</t>
  </si>
  <si>
    <t>Call Transfer -(USOC-NZJPK)</t>
  </si>
  <si>
    <t>Caller ID Name &amp; Number -(USOC-ZCN)</t>
  </si>
  <si>
    <t>Calling Number Suppression - (USOC- NBJ)</t>
  </si>
  <si>
    <t>Message Waiting Indication -(USOC-NZW)</t>
  </si>
  <si>
    <t>Six-Way Conference Calling- (USOC-NZ6)</t>
  </si>
  <si>
    <t xml:space="preserve">Speed Calling -(USOC-NY6) </t>
  </si>
  <si>
    <t>Three-Way Conference Calling -(USOC-NZ3)</t>
  </si>
  <si>
    <t>Option 1 - Disaster Routing Service - Forwarded Telephone Numbers Per Telephone Number 21 - 100 Numbers (USOC-R7UFX)</t>
  </si>
  <si>
    <t>Option 1 - Disaster Routing Service - Forwarded Telephone Numbers Per Telephone Number 101 - 250 Numbers  (USOC-R7UFX)</t>
  </si>
  <si>
    <t>Option 1 - Disaster Routing Service - Forwarded Telephone Numbers Per Telephone Number 251 - 500 Numbers  (USOC-R7UFX)</t>
  </si>
  <si>
    <t>Option 1 - Disaster Routing Service - Forwarded Telephone Numbers Per Telephone Number 501 - 1000 Numbers -(USOC-R7UFX)</t>
  </si>
  <si>
    <t>Disaster Routing Service - Rearrangment Charges, per Rearrangement Establishment Charge (USOC- RCHAX)</t>
  </si>
  <si>
    <t>Disaster Routing Service - Service Establishment Charge (USOC-SEPRE)</t>
  </si>
  <si>
    <r>
      <t>Call Trace-(USOC-FKN)*</t>
    </r>
    <r>
      <rPr>
        <sz val="8"/>
        <color rgb="FFFF0000"/>
        <rFont val="Tahoma"/>
        <family val="2"/>
      </rPr>
      <t xml:space="preserve"> </t>
    </r>
  </si>
  <si>
    <r>
      <t>Distinctive Ringing -(USOC-R8D)</t>
    </r>
    <r>
      <rPr>
        <sz val="9"/>
        <rFont val="Tahoma"/>
        <family val="2"/>
      </rPr>
      <t xml:space="preserve"> </t>
    </r>
    <r>
      <rPr>
        <sz val="8"/>
        <rFont val="Tahoma"/>
        <family val="2"/>
      </rPr>
      <t xml:space="preserve"> </t>
    </r>
  </si>
  <si>
    <r>
      <t>Option 1 - Disaster Routing Service - Forwarded Telephone Numbers Per Telephone Number - 1000 Numbers or More</t>
    </r>
    <r>
      <rPr>
        <sz val="8"/>
        <color indexed="10"/>
        <rFont val="Tahoma"/>
        <family val="2"/>
      </rPr>
      <t xml:space="preserve"> </t>
    </r>
    <r>
      <rPr>
        <sz val="8"/>
        <rFont val="Tahoma"/>
        <family val="2"/>
      </rPr>
      <t>(USOC-R7UFX)</t>
    </r>
    <r>
      <rPr>
        <sz val="8"/>
        <color indexed="10"/>
        <rFont val="Tahoma"/>
        <family val="2"/>
      </rPr>
      <t xml:space="preserve"> </t>
    </r>
  </si>
  <si>
    <r>
      <t>P</t>
    </r>
    <r>
      <rPr>
        <sz val="8"/>
        <rFont val="Tahoma"/>
        <family val="2"/>
      </rPr>
      <t>RI SmartTrunk Interface (USOC-ZPAZD)</t>
    </r>
  </si>
  <si>
    <r>
      <t xml:space="preserve">Additional Directory Listings </t>
    </r>
    <r>
      <rPr>
        <sz val="8"/>
        <rFont val="Tahoma"/>
        <family val="2"/>
      </rPr>
      <t>(CLT)</t>
    </r>
  </si>
  <si>
    <r>
      <t xml:space="preserve">Alternate Call Directory Listings </t>
    </r>
    <r>
      <rPr>
        <sz val="8"/>
        <rFont val="Tahoma"/>
        <family val="2"/>
      </rPr>
      <t>(FNA)</t>
    </r>
  </si>
  <si>
    <r>
      <t xml:space="preserve">Calling Number Suppression </t>
    </r>
    <r>
      <rPr>
        <sz val="8"/>
        <rFont val="Tahoma"/>
        <family val="2"/>
      </rPr>
      <t>(NBJ)</t>
    </r>
  </si>
  <si>
    <r>
      <t xml:space="preserve">Inform 911 </t>
    </r>
    <r>
      <rPr>
        <sz val="8"/>
        <rFont val="Tahoma"/>
        <family val="2"/>
      </rPr>
      <t>ANLP1</t>
    </r>
  </si>
  <si>
    <r>
      <t xml:space="preserve">Inform 911 Station record detail </t>
    </r>
    <r>
      <rPr>
        <sz val="8"/>
        <rFont val="Tahoma"/>
        <family val="2"/>
      </rPr>
      <t>SRQP1</t>
    </r>
  </si>
  <si>
    <r>
      <t xml:space="preserve">Number Portability  </t>
    </r>
    <r>
      <rPr>
        <sz val="8"/>
        <rFont val="Tahoma"/>
        <family val="2"/>
      </rPr>
      <t>(PTLCN)</t>
    </r>
  </si>
  <si>
    <r>
      <t xml:space="preserve">Disaster Routing Service - Group of Telephone Numbers Equipped, Per Group </t>
    </r>
    <r>
      <rPr>
        <sz val="8"/>
        <rFont val="Tahoma"/>
        <family val="2"/>
      </rPr>
      <t>(R7NPG)</t>
    </r>
  </si>
  <si>
    <t>Option 1 - Disaster Routing Service - Forwarded Telephone Numbers Per Telephone Number 501 - 1000 Numbers (R7UFX)</t>
  </si>
  <si>
    <r>
      <t xml:space="preserve">Disaster Routing Service - Rearrangment Charges, per Rearrangement Establishment Charge </t>
    </r>
    <r>
      <rPr>
        <sz val="8"/>
        <rFont val="Tahoma"/>
        <family val="2"/>
      </rPr>
      <t>(RCHAX)</t>
    </r>
  </si>
  <si>
    <r>
      <t xml:space="preserve">Disaster Routing Service - Service Establishment Charge </t>
    </r>
    <r>
      <rPr>
        <sz val="8"/>
        <rFont val="Tahoma"/>
        <family val="2"/>
      </rPr>
      <t>(SEPRE)</t>
    </r>
  </si>
  <si>
    <t>Metropolitan Calling -2 Way Plan - Outward Direct Dialed -Flat Toll Plan - (SC22F)</t>
  </si>
  <si>
    <t>Inform 911 (ANLP1)</t>
  </si>
  <si>
    <t>Inform 911 Station record detail (SRQP1)</t>
  </si>
  <si>
    <t>Inform 911 Redirect number  (RN4PQ)</t>
  </si>
  <si>
    <t>*Dual Service is dependent on location. Monthly rate is billed per day.</t>
  </si>
  <si>
    <t xml:space="preserve">Primary Directory Listings  </t>
  </si>
  <si>
    <t>Software Reconfiguration by Customer - (Plexarmate)</t>
  </si>
  <si>
    <t>per CRS database, Per Plexar system- (Plexarmate)</t>
  </si>
  <si>
    <t xml:space="preserve">Available on Basic Callnotes  </t>
  </si>
  <si>
    <t>Message Waiting Indication- (SWZ1V)</t>
  </si>
  <si>
    <t>GENERAL EXCHANGE TARIFF-SECTION 47, 30TH REVISED SHEET 14</t>
  </si>
  <si>
    <t>Per DSO Channel</t>
  </si>
  <si>
    <t xml:space="preserve">GENERAL EXCHANGE TARIFF, SECTION 45, 1ST REVISED SHEET 37 </t>
  </si>
  <si>
    <t>Per Digital Direct Termination</t>
  </si>
  <si>
    <t>Message Waiting Indication- (USOC-SWZ1V)</t>
  </si>
  <si>
    <t>Per feature, per station or per channel</t>
  </si>
  <si>
    <t>#Plexar Service Establishment Charge    (NRCEX)</t>
  </si>
  <si>
    <t>#Plexar Service Establishment Charge  -(USOC-NRCEX)</t>
  </si>
  <si>
    <t xml:space="preserve">Centrex/Plexar Digital Station (ISDN) (National), per B-Channel(USOC-LTG1X)  </t>
  </si>
  <si>
    <t>#Centrex/Plexar System Change Charge (USOC-1CRAL)</t>
  </si>
  <si>
    <r>
      <t>Centrex/Plexar Digital Station (ISDN) (National), per B-Channel</t>
    </r>
    <r>
      <rPr>
        <sz val="8"/>
        <rFont val="Tahoma"/>
        <family val="2"/>
      </rPr>
      <t>(LTGIX)</t>
    </r>
  </si>
  <si>
    <r>
      <t xml:space="preserve">Priority Level Change </t>
    </r>
    <r>
      <rPr>
        <b/>
        <sz val="8"/>
        <rFont val="Tahoma"/>
        <family val="2"/>
      </rPr>
      <t>(PR8PX)</t>
    </r>
  </si>
  <si>
    <r>
      <t xml:space="preserve">Priority Installation (enrollment) </t>
    </r>
    <r>
      <rPr>
        <b/>
        <sz val="8"/>
        <rFont val="Tahoma"/>
        <family val="2"/>
      </rPr>
      <t>(P1APX)</t>
    </r>
  </si>
  <si>
    <r>
      <t xml:space="preserve">Priority Restoration  </t>
    </r>
    <r>
      <rPr>
        <b/>
        <sz val="8"/>
        <rFont val="Tahoma"/>
        <family val="2"/>
      </rPr>
      <t>(PR5PX)</t>
    </r>
  </si>
  <si>
    <t xml:space="preserve">MO, KS </t>
  </si>
  <si>
    <r>
      <t xml:space="preserve">Phone number:     </t>
    </r>
    <r>
      <rPr>
        <b/>
        <sz val="8"/>
        <rFont val="Tahoma"/>
        <family val="2"/>
      </rPr>
      <t>314-505-2524</t>
    </r>
  </si>
  <si>
    <r>
      <t xml:space="preserve">Dial Pulse (DP) Signalling </t>
    </r>
    <r>
      <rPr>
        <sz val="8"/>
        <rFont val="Tahoma"/>
        <family val="2"/>
      </rPr>
      <t>(NDT)</t>
    </r>
  </si>
  <si>
    <r>
      <t xml:space="preserve">Multi-Frequency (MF) Signalling </t>
    </r>
    <r>
      <rPr>
        <sz val="8"/>
        <rFont val="Tahoma"/>
        <family val="2"/>
      </rPr>
      <t>(NTP)</t>
    </r>
  </si>
  <si>
    <r>
      <t xml:space="preserve">Dual Tone Multi-Frequency (DTMF) Signalling </t>
    </r>
    <r>
      <rPr>
        <sz val="8"/>
        <rFont val="Tahoma"/>
        <family val="2"/>
      </rPr>
      <t>(NMD)</t>
    </r>
  </si>
  <si>
    <r>
      <t xml:space="preserve">1st 100 DID </t>
    </r>
    <r>
      <rPr>
        <sz val="8"/>
        <rFont val="Tahoma"/>
        <family val="2"/>
      </rPr>
      <t>(ND8)</t>
    </r>
  </si>
  <si>
    <r>
      <t xml:space="preserve">Additional 100 DID </t>
    </r>
    <r>
      <rPr>
        <sz val="8"/>
        <rFont val="Tahoma"/>
        <family val="2"/>
      </rPr>
      <t xml:space="preserve">(ND9) </t>
    </r>
  </si>
  <si>
    <r>
      <t xml:space="preserve">1st 10 DID </t>
    </r>
    <r>
      <rPr>
        <sz val="8"/>
        <rFont val="Tahoma"/>
        <family val="2"/>
      </rPr>
      <t>(NDZ)</t>
    </r>
  </si>
  <si>
    <r>
      <t xml:space="preserve">Additional 10 DID </t>
    </r>
    <r>
      <rPr>
        <sz val="8"/>
        <rFont val="Tahoma"/>
        <family val="2"/>
      </rPr>
      <t xml:space="preserve">(NDA) </t>
    </r>
  </si>
  <si>
    <r>
      <t xml:space="preserve">1st 100 DID </t>
    </r>
    <r>
      <rPr>
        <sz val="8"/>
        <rFont val="Tahoma"/>
        <family val="2"/>
      </rPr>
      <t>(ZT8)</t>
    </r>
  </si>
  <si>
    <r>
      <t xml:space="preserve">Additional 100 DID </t>
    </r>
    <r>
      <rPr>
        <sz val="8"/>
        <rFont val="Tahoma"/>
        <family val="2"/>
      </rPr>
      <t xml:space="preserve">(ZT9) </t>
    </r>
  </si>
  <si>
    <r>
      <t>1st 10 DID</t>
    </r>
    <r>
      <rPr>
        <sz val="8"/>
        <rFont val="Tahoma"/>
        <family val="2"/>
      </rPr>
      <t xml:space="preserve"> (ZT5)</t>
    </r>
  </si>
  <si>
    <r>
      <t xml:space="preserve">Additional 10 DID </t>
    </r>
    <r>
      <rPr>
        <sz val="8"/>
        <rFont val="Tahoma"/>
        <family val="2"/>
      </rPr>
      <t xml:space="preserve">(ZT6) </t>
    </r>
  </si>
  <si>
    <r>
      <t>Individual DID Number</t>
    </r>
    <r>
      <rPr>
        <sz val="8"/>
        <rFont val="Tahoma"/>
        <family val="2"/>
      </rPr>
      <t xml:space="preserve"> (ZTN)  </t>
    </r>
  </si>
  <si>
    <t>Analog Trunk Two Way, DID &amp; Combo (USOC-TFB03, TFB02, TFC)</t>
  </si>
  <si>
    <t>Option 1 - Disaster Routing Service - Forwarded Telephone Numbers Per Telephone Number 501 - 1000 Numbers  (R7UFX)</t>
  </si>
  <si>
    <t xml:space="preserve">N/A </t>
  </si>
  <si>
    <t>Static DSL requires a technician installation. The initial installation for Static DSL is at no charge. If the government request a technician visit to install a Modem, Router or Wireless Gateway after service initiation see Other tab.</t>
  </si>
  <si>
    <t>DSL Direct Services (No Telepnone Use)</t>
  </si>
  <si>
    <t xml:space="preserve">Includes DSL Modem. Dynamic DSL is a drop-ship of the equipment with a self-installation.  If the government request a technician visit to install a Modem, Router or Wireless Gateway see Other Tab for Labor charges.   
</t>
  </si>
  <si>
    <t xml:space="preserve">Includes DSL Modem. Dynamic DSL is a drop-ship of the equipment with a self-installation.  If the government request a technician visit to install a Modem, Router or Wireless Gateway see Other Tab for Labor charges.   </t>
  </si>
  <si>
    <t xml:space="preserve">Includes DSL Modem. Direct DSL is a drop-ship of the equipment with a self-installation.  If the government request a technician visit to install a Modem, Router or Wireless Gateway see Other Tab for Labor charges.   </t>
  </si>
  <si>
    <t>Direct (Static) DSL requires a technician installation. The initial installation for Static DSL is at no charge. If the government request a technician visit to install a Modem, Router or Wireless Gateway after service initiation see Other tab.</t>
  </si>
  <si>
    <t>DSL Technician</t>
  </si>
  <si>
    <t>Per Visit</t>
  </si>
  <si>
    <t xml:space="preserve"> Local Distribution Channel Termination   (TZUP1)</t>
  </si>
  <si>
    <t xml:space="preserve">Wire Center Termination  Per Termination  </t>
  </si>
  <si>
    <t>Channel Mileage
- Per mile (1L5XX)</t>
  </si>
  <si>
    <t xml:space="preserve">Repeater  </t>
  </si>
  <si>
    <t xml:space="preserve">Local Channel Diversity
- per node termination that is diverse   </t>
  </si>
  <si>
    <t xml:space="preserve">Alternate Wire Center Diversity
- per node termination that is diverse   </t>
  </si>
  <si>
    <t xml:space="preserve">Inter-Wire Center Diversity
- per circuit   </t>
  </si>
  <si>
    <t xml:space="preserve">Equipment only protection, per end   </t>
  </si>
  <si>
    <t xml:space="preserve">Equipment Plus Fiber Path Protection with Alternate WC Path Protection, per end    </t>
  </si>
  <si>
    <t xml:space="preserve">Equipment Plus Fiber Path Protection with Local Channel Path Protection, per end   </t>
  </si>
  <si>
    <t>Channel Mileage - Fixed (1L5XX)</t>
  </si>
  <si>
    <t xml:space="preserve">Power Protection, per rack or cabinet   </t>
  </si>
  <si>
    <t xml:space="preserve">Administrative Charge
- one per order   </t>
  </si>
  <si>
    <t xml:space="preserve">Design &amp; Central Office Connection
- one per circuit </t>
  </si>
  <si>
    <t xml:space="preserve">Customer Connection Charge
- one per node port </t>
  </si>
  <si>
    <t>Supplemental Change (additional numbers, same billing number, same due date).</t>
  </si>
  <si>
    <r>
      <t xml:space="preserve">Local Channel </t>
    </r>
    <r>
      <rPr>
        <sz val="8"/>
        <rFont val="Tahoma"/>
        <family val="2"/>
      </rPr>
      <t>(1DAUX)</t>
    </r>
  </si>
  <si>
    <r>
      <t xml:space="preserve">Local Channel </t>
    </r>
    <r>
      <rPr>
        <sz val="8"/>
        <rFont val="Tahoma"/>
        <family val="2"/>
      </rPr>
      <t>(1DAWX)</t>
    </r>
  </si>
  <si>
    <t>Note 1:  Commerical pricing provided for comparison reflects:</t>
  </si>
  <si>
    <r>
      <t>·</t>
    </r>
    <r>
      <rPr>
        <sz val="7"/>
        <rFont val="Times New Roman"/>
        <family val="1"/>
      </rPr>
      <t xml:space="preserve">         </t>
    </r>
    <r>
      <rPr>
        <sz val="11"/>
        <rFont val="Calibri"/>
        <family val="2"/>
      </rPr>
      <t>A shipping and handling fee applies for the customer self-install kit.</t>
    </r>
  </si>
  <si>
    <r>
      <t>·</t>
    </r>
    <r>
      <rPr>
        <sz val="7"/>
        <rFont val="Times New Roman"/>
        <family val="1"/>
      </rPr>
      <t xml:space="preserve">         </t>
    </r>
    <r>
      <rPr>
        <sz val="11"/>
        <rFont val="Calibri"/>
        <family val="2"/>
      </rPr>
      <t>Static IP products not included.</t>
    </r>
  </si>
  <si>
    <r>
      <t>·</t>
    </r>
    <r>
      <rPr>
        <sz val="7"/>
        <rFont val="Times New Roman"/>
        <family val="1"/>
      </rPr>
      <t xml:space="preserve">         </t>
    </r>
    <r>
      <rPr>
        <sz val="11"/>
        <rFont val="Calibri"/>
        <family val="2"/>
      </rPr>
      <t>Minimum 12 month term commitment required.</t>
    </r>
  </si>
  <si>
    <r>
      <t>·</t>
    </r>
    <r>
      <rPr>
        <sz val="7"/>
        <rFont val="Times New Roman"/>
        <family val="1"/>
      </rPr>
      <t xml:space="preserve">         </t>
    </r>
    <r>
      <rPr>
        <sz val="11"/>
        <rFont val="Calibri"/>
        <family val="2"/>
      </rPr>
      <t>$99 early termination fee.</t>
    </r>
  </si>
  <si>
    <r>
      <t>·</t>
    </r>
    <r>
      <rPr>
        <sz val="7"/>
        <rFont val="Times New Roman"/>
        <family val="1"/>
      </rPr>
      <t xml:space="preserve">         </t>
    </r>
    <r>
      <rPr>
        <sz val="11"/>
        <rFont val="Calibri"/>
        <family val="2"/>
      </rPr>
      <t>$250 charge for technician installation on static IP products required.</t>
    </r>
  </si>
  <si>
    <r>
      <t>·</t>
    </r>
    <r>
      <rPr>
        <sz val="7"/>
        <rFont val="Times New Roman"/>
        <family val="1"/>
      </rPr>
      <t xml:space="preserve">         </t>
    </r>
    <r>
      <rPr>
        <sz val="11"/>
        <rFont val="Calibri"/>
        <family val="2"/>
      </rPr>
      <t>Equipment charges may be included and will appear on the first bill. Information about the AT&amp;T Business Reward Center and online rebate redemption will be sent by mail. Customers must complete the online rebate redemption process within 90 days of AT&amp;T High Speed Internet service activation.</t>
    </r>
  </si>
  <si>
    <r>
      <t>·</t>
    </r>
    <r>
      <rPr>
        <sz val="7"/>
        <rFont val="Times New Roman"/>
        <family val="1"/>
      </rPr>
      <t xml:space="preserve">         </t>
    </r>
    <r>
      <rPr>
        <sz val="11"/>
        <rFont val="Calibri"/>
        <family val="2"/>
      </rPr>
      <t>Account must be current and in service for a minimum of 60 days to be eligible for rebate. Customers are not eligible to receive a rebate that would exceed total purchase price of equipment. Rebate check will be mailed to the customer's billing address within 4-6 weeks of completion of the online rebate redemption process and meeting the 60 day minimum service requirement.</t>
    </r>
  </si>
  <si>
    <r>
      <t>·</t>
    </r>
    <r>
      <rPr>
        <sz val="7"/>
        <rFont val="Times New Roman"/>
        <family val="1"/>
      </rPr>
      <t xml:space="preserve">         </t>
    </r>
    <r>
      <rPr>
        <sz val="11"/>
        <rFont val="Calibri"/>
        <family val="2"/>
      </rPr>
      <t>Offers may be modified or discontinued at any time without notice. Other conditions may apply to all offers.</t>
    </r>
  </si>
  <si>
    <t>Per run</t>
  </si>
  <si>
    <t>Per Run</t>
  </si>
  <si>
    <t>Purchase and installation of 4 pair Cat 6 cable  1 to 100 Ft Horizontal Run</t>
  </si>
  <si>
    <t>Purchase and installation of 4 pair Cat 5e cable  1 to 100 Ft Horizontal Run</t>
  </si>
  <si>
    <t>Purchase and installation of 4 pair Cat 5e cable  1 to 100 Ft Vertical Run</t>
  </si>
  <si>
    <t>On Site Repair Tech Labor 8am-5pm M-F (NBD)</t>
  </si>
  <si>
    <t>On Site Repair Tech Labor 5pm-8am M-F and Saturdays (Nights/Saturdays)</t>
  </si>
  <si>
    <t>On Site Repair Tech Labor Sundays/Holidays</t>
  </si>
  <si>
    <t>Per Trip</t>
  </si>
  <si>
    <t>MAC Install Technician (CPE)</t>
  </si>
  <si>
    <t>Two Hour minimum applies</t>
  </si>
  <si>
    <t>Bundled Analog Centrex/Plexar Line (TCPCX, FZA and 1LSEA)</t>
  </si>
  <si>
    <t>Bundled ISDN Centrex/Plexar Line (TCPCX, XRB and 1LSDA) - B Channels priced separately</t>
  </si>
  <si>
    <t>Bundled OPX Centrex/Plexar  Basic Station (TCPCX, FZN)</t>
  </si>
  <si>
    <t>Managed Internet Service Plus (MIS+)</t>
  </si>
  <si>
    <t>56 Kbps</t>
  </si>
  <si>
    <t>128 Kbps</t>
  </si>
  <si>
    <t>256 Kbps</t>
  </si>
  <si>
    <t>384 Kbps</t>
  </si>
  <si>
    <t>512 Kbps</t>
  </si>
  <si>
    <t>768 Kbps</t>
  </si>
  <si>
    <t>1544Kbps</t>
  </si>
  <si>
    <t>2 Mbps</t>
  </si>
  <si>
    <t>3 Mbps</t>
  </si>
  <si>
    <t>4 Mbps</t>
  </si>
  <si>
    <t>5 Mbps</t>
  </si>
  <si>
    <t>6 Mbps</t>
  </si>
  <si>
    <t>7 Mbps</t>
  </si>
  <si>
    <t>8 Mbps</t>
  </si>
  <si>
    <t>10 Mbps</t>
  </si>
  <si>
    <t>15 Mbps</t>
  </si>
  <si>
    <t>20 Mbps</t>
  </si>
  <si>
    <t>25 Mbps</t>
  </si>
  <si>
    <t>30 Mbps</t>
  </si>
  <si>
    <t>35 Mbps</t>
  </si>
  <si>
    <t>40 Mbps</t>
  </si>
  <si>
    <t>45 Mbps</t>
  </si>
  <si>
    <t>60 Mbps</t>
  </si>
  <si>
    <t>155 Mbps</t>
  </si>
  <si>
    <t>1024 Kbps</t>
  </si>
  <si>
    <t>1544k</t>
  </si>
  <si>
    <t>Dedicated Internet Service</t>
  </si>
  <si>
    <t>Mileage</t>
  </si>
  <si>
    <t>Private Line</t>
  </si>
  <si>
    <t>ATM: T3 Access</t>
  </si>
  <si>
    <t>ATM: OC3 Access</t>
  </si>
  <si>
    <t>Frame Relay</t>
  </si>
  <si>
    <t>Per solution</t>
  </si>
  <si>
    <t>On Site Install Tech Labor 8am-5pm M-F(WRE) (NBD) initial</t>
  </si>
  <si>
    <t>First 30 Minutes or fraction thereof</t>
  </si>
  <si>
    <t>General Exchange Sec 16</t>
  </si>
  <si>
    <t>On Site Install Tech Labor 8am-5pm M-F (WRE)(NBD) additional</t>
  </si>
  <si>
    <t>Each addl 15 minutes  or fraction thereof</t>
  </si>
  <si>
    <t xml:space="preserve">On Site Install Tech Labor 5pm-8am M-F and Saturdays (WRE) (Nights/Saturdays) Initial </t>
  </si>
  <si>
    <t xml:space="preserve">On Site Install Tech Labor 5pm-8am M-F and Saturdays (WRE) (Nights/Saturdays) additional </t>
  </si>
  <si>
    <t>Each addl 15 minutes or fraction thereof</t>
  </si>
  <si>
    <t>On Site Install Tech Labor Sundays/Holidays (WRE) Initial</t>
  </si>
  <si>
    <t>On Site Install Tech Labor Sundays/Holidays (WRE) additional</t>
  </si>
  <si>
    <t>Install technician Trip Charge Initial</t>
  </si>
  <si>
    <t>First 15 minutes or fraction thereof</t>
  </si>
  <si>
    <t>Install technician Trip Charge additional</t>
  </si>
  <si>
    <t xml:space="preserve">Additional 15 minutes or fraction thereof </t>
  </si>
  <si>
    <r>
      <t xml:space="preserve">AT&amp;T is responsible up to the network interface (NW1TD). If a dial-tone exists at the network interface, the repair technician will advise the customer and bill the appropriate MSC. The problem would be deemed on the customer's side of the network interface within the inside wiring or CPE (equipment). The customer can request the repair technician isolate the trouble further (on the customer's side). In addition to the MSC, the repair technician will bill the appropriate Time Sensitive </t>
    </r>
    <r>
      <rPr>
        <sz val="8"/>
        <color rgb="FF0000FF"/>
        <rFont val="Verdana"/>
        <family val="2"/>
      </rPr>
      <t>Charges of Tech Install</t>
    </r>
  </si>
  <si>
    <t xml:space="preserve">Repair technician Trip Charge Initial </t>
  </si>
  <si>
    <t>Repair technician Trip Charge additional</t>
  </si>
  <si>
    <t xml:space="preserve">On Site Install Tech Labor 8am-5pm M-F(WRE) (NBD) Initial </t>
  </si>
  <si>
    <t>General Exchange sec 19</t>
  </si>
  <si>
    <t>On Site Install Tech Labor 8am-5pm M-F (WRE) (NBD) additional</t>
  </si>
  <si>
    <t>On Site Install Tech Labor 5pm-8am M-F and Saturdays  (WRE)(Nights/Saturdays) Initial</t>
  </si>
  <si>
    <t>On Site Install Tech Labor 5pm-8am M-F and Saturdays  (WRE)(Nights/Saturdays) additional</t>
  </si>
  <si>
    <t>On Site Install Tech Labor (Sundays/Holidays) (WRE) Initial</t>
  </si>
  <si>
    <t>On Site Install Tech Labor (Sundays/Holidays) (WRE) additional</t>
  </si>
  <si>
    <t>Install technician Trip Charge (WRE) (Initial)</t>
  </si>
  <si>
    <t>Install technician Trip Charge (WRE) (additional)</t>
  </si>
  <si>
    <t>On Site Repair Tech Labor 8am-5pm M-F (MSC) (NBD)</t>
  </si>
  <si>
    <t>On Site Repair Tech Labor 5pm-8am M-F and Saturdays(MSC)  (Nights/Saturdays)</t>
  </si>
  <si>
    <t xml:space="preserve">On Site Repair Tech Labor Sundays/Holidays(MSC) </t>
  </si>
  <si>
    <t>Repair technician Trip Charge (Initial)</t>
  </si>
  <si>
    <t>Repair technician Trip Charge (additional)</t>
  </si>
  <si>
    <t xml:space="preserve">The above listed sets will only function on Centrex provisioned by a Nortel/Avaya DMS Central Office Switch. One Time installation charges are NOT required.  Should GSA want installation select appropriate technician labor charges listed on "Other" Pricing Tab. </t>
  </si>
  <si>
    <t xml:space="preserve">AASTRA EKL - "P-SETS" </t>
  </si>
  <si>
    <t>B0240402 NT4X41AAAM TEC01870 AASTRA M5208 TEL SET BLACK</t>
  </si>
  <si>
    <t>B0240404 NT4X41CA TEC01872 AASTRA M5208 TEL SET ASH</t>
  </si>
  <si>
    <t>B0240407 NT4X42CA TEC01875 AASTRA M5316 TEL SET BLACK</t>
  </si>
  <si>
    <t>B0240405 TEC01873 AASTRA M5316 TEL SET ASH</t>
  </si>
  <si>
    <t>B0240410 NT4X43CAAM TEC01881 AASTRA M522 ADD ON MODULE BLACK</t>
  </si>
  <si>
    <t>TEC01879 AASTRA M522 ADD ON MODULE ASH</t>
  </si>
  <si>
    <t>AASTRA FOOTSTAND SINGLE FOR ONE ADD ON MODULE FITS M2 AND M5 SERIES PHONES BLACK TEC01942</t>
  </si>
  <si>
    <t>AASTRA FOOTSTAND SINGLE FOR ONE ADD ON MODULE FITS M2 AND M5 SERIES PHONES ASH</t>
  </si>
  <si>
    <t>TEC01945 AASTRA DOUBLE FOOTSTAND FOR TWO ADD ON MODULES FITS M2 AND M5 SERIES PHONES BLACK</t>
  </si>
  <si>
    <t>TEC01944 AASTRA DOUBLE FOOTSTAND FOR TWO ADD ON MODULES FITS M2 AND M5 ASH</t>
  </si>
  <si>
    <t>Polycom Soundpoint IP 321 - Device</t>
  </si>
  <si>
    <t>Polycom Soundpoint IP 321 - Device Drop Ship</t>
  </si>
  <si>
    <t>Polycom Soundpoint IP 321 - Optional Maintenance</t>
  </si>
  <si>
    <t>Polycom Soundpoint IP 331 - Device</t>
  </si>
  <si>
    <t>Polycom Soundpoint IP 331 - Device Drop Ship</t>
  </si>
  <si>
    <t>Polycom Soundpoint IP 331 - Optional Maintenance</t>
  </si>
  <si>
    <t>MRC Years 1 - 2 = monthly purchase option WITHOUT INSTALL</t>
  </si>
  <si>
    <t>MRC Years 3,4 and 5 = monthly purchase option WITHOUT INSTALL</t>
  </si>
  <si>
    <t>MRC Years 1 - 2 = monthly purchase optionWITHOUT INSTALL</t>
  </si>
  <si>
    <t>The Offeror has carefully reviewed all data included in this proposal with regard</t>
  </si>
  <si>
    <t>to its potential release in response to the Freedom of Information Act requests.</t>
  </si>
  <si>
    <t>Those data which are believed to be exempt from mandatory disclosure under</t>
  </si>
  <si>
    <t>Exemption 4 of the Freedom of Information Act (5 U.S.C. 552(b)(4) are</t>
  </si>
  <si>
    <t>contained on the pages enumerated in the NOTICE set forth below. Release of</t>
  </si>
  <si>
    <t>those data, which are considered trade secrets, would provide competitors with</t>
  </si>
  <si>
    <t>valuable insights into the Offeror’s operations and as a result would cause the</t>
  </si>
  <si>
    <t>Offeror to suffer substantial competitive harm.  Such data is also protected</t>
  </si>
  <si>
    <t>from disclosure under The Trade Secrets Act, 18 U.S.C. 1905.</t>
  </si>
  <si>
    <t>This proposal including data shall not be disclosed outside the Government and</t>
  </si>
  <si>
    <t>shall not be duplicated, used, or disclosed in whole or in part for any purpose other</t>
  </si>
  <si>
    <t>than to evaluate this proposal.  However, if a contract is awarded to this Offeror</t>
  </si>
  <si>
    <t>as a result of, or in connection with the submission of these data, the Government</t>
  </si>
  <si>
    <t>shall have the right to duplicate, use or disclose the data to the extent provided in the</t>
  </si>
  <si>
    <t>contract. This restriction does not limit the Government’s right to use information</t>
  </si>
  <si>
    <t>contained in the data if it is obtainable from another source without restriction.</t>
  </si>
  <si>
    <t>The data subject to this restriction are contained in all pages of the Offeror’s</t>
  </si>
  <si>
    <t>proposal bearing the "Use and disclosure" legend.</t>
  </si>
  <si>
    <t>002F-TT-CT</t>
  </si>
  <si>
    <t>002F-TT-FM</t>
  </si>
  <si>
    <t>002F-TT-CM</t>
  </si>
  <si>
    <t>002A-1LMHY</t>
  </si>
  <si>
    <t>002A-1LHU4</t>
  </si>
  <si>
    <r>
      <t xml:space="preserve">Phone number:         </t>
    </r>
    <r>
      <rPr>
        <b/>
        <sz val="14"/>
        <rFont val="Tahoma"/>
        <family val="2"/>
      </rPr>
      <t>314-505-2524</t>
    </r>
  </si>
  <si>
    <t>03A24-DP**</t>
  </si>
  <si>
    <t>03A24-MF**</t>
  </si>
  <si>
    <t>03A24 - DTMF**</t>
  </si>
  <si>
    <t>03A25</t>
  </si>
  <si>
    <t>03A25-1</t>
  </si>
  <si>
    <t>03A25-1a</t>
  </si>
  <si>
    <t>03A25 - 001I</t>
  </si>
  <si>
    <t>03A25A - 001I</t>
  </si>
  <si>
    <t>03A25-1- 001I</t>
  </si>
  <si>
    <t>03A25-1a- 001I</t>
  </si>
  <si>
    <t>03A25-1s- 001I</t>
  </si>
  <si>
    <t>OO1H</t>
  </si>
  <si>
    <t>03A61-MMB</t>
  </si>
  <si>
    <t xml:space="preserve">03A49-R7NPG </t>
  </si>
  <si>
    <t xml:space="preserve">03A50-R7UFX </t>
  </si>
  <si>
    <t xml:space="preserve">03A50-R7UFXa </t>
  </si>
  <si>
    <t>03A50-R7UFXb</t>
  </si>
  <si>
    <t xml:space="preserve">03A50-R7UFXc </t>
  </si>
  <si>
    <t xml:space="preserve">03A50-R7UFXd </t>
  </si>
  <si>
    <t>03A50-R7UFXe</t>
  </si>
  <si>
    <t xml:space="preserve">03A51-RCHAX </t>
  </si>
  <si>
    <t>001A</t>
  </si>
  <si>
    <t>001A-1BH</t>
  </si>
  <si>
    <t>03A01-001A</t>
  </si>
  <si>
    <t>03A03-001A</t>
  </si>
  <si>
    <t>03AACR-001A</t>
  </si>
  <si>
    <t>03A120-001A</t>
  </si>
  <si>
    <t>03A13BL-001A</t>
  </si>
  <si>
    <t>03A13NA-001A</t>
  </si>
  <si>
    <t>03ACHT-001A</t>
  </si>
  <si>
    <t>03A15-001A</t>
  </si>
  <si>
    <t>03A17-001A</t>
  </si>
  <si>
    <t>03ACT-001A</t>
  </si>
  <si>
    <t>03A18-001A</t>
  </si>
  <si>
    <t>03A19NA-001A</t>
  </si>
  <si>
    <t>03A19N-001A</t>
  </si>
  <si>
    <t>03A19-001A</t>
  </si>
  <si>
    <t>03A20-001A</t>
  </si>
  <si>
    <t>03A22-001A</t>
  </si>
  <si>
    <t>03A60-001A</t>
  </si>
  <si>
    <t>03A28-001A</t>
  </si>
  <si>
    <t>03APR-001A</t>
  </si>
  <si>
    <t>03A43-001A</t>
  </si>
  <si>
    <t>03A46-001A</t>
  </si>
  <si>
    <t xml:space="preserve">03A51-SEPRE </t>
  </si>
  <si>
    <t>002F-CT</t>
  </si>
  <si>
    <t>002F-MI</t>
  </si>
  <si>
    <t>002F-IOB</t>
  </si>
  <si>
    <t>002G-LDC</t>
  </si>
  <si>
    <t>002G-MI</t>
  </si>
  <si>
    <t>002H-CT</t>
  </si>
  <si>
    <t>002H-FM</t>
  </si>
  <si>
    <t>002H-CM</t>
  </si>
  <si>
    <t>002I-CT</t>
  </si>
  <si>
    <t>002I-FM</t>
  </si>
  <si>
    <t>002I-CM</t>
  </si>
  <si>
    <t>002J-CT</t>
  </si>
  <si>
    <t>002J-FM</t>
  </si>
  <si>
    <t>002J-CM</t>
  </si>
  <si>
    <t>001C</t>
  </si>
  <si>
    <t>001C-BC</t>
  </si>
  <si>
    <t>001C-LE</t>
  </si>
  <si>
    <t>001C-LEF</t>
  </si>
  <si>
    <t>03A01-001C</t>
  </si>
  <si>
    <t>03A02-001C</t>
  </si>
  <si>
    <t>03A03-001C</t>
  </si>
  <si>
    <t>03A120-001C</t>
  </si>
  <si>
    <t>03A11-001C</t>
  </si>
  <si>
    <t>03ACBLK-001C</t>
  </si>
  <si>
    <t>03A12-001C</t>
  </si>
  <si>
    <t>03A13-001C</t>
  </si>
  <si>
    <t>03A13BL-001C</t>
  </si>
  <si>
    <t>03A13BNA-001C</t>
  </si>
  <si>
    <t>03A13NA-001C</t>
  </si>
  <si>
    <t>03ACHT-001C</t>
  </si>
  <si>
    <t>03A15-001C</t>
  </si>
  <si>
    <t>03A17-001C</t>
  </si>
  <si>
    <t>03ACT-001C</t>
  </si>
  <si>
    <t>03A19-001C</t>
  </si>
  <si>
    <t>03A20-001C</t>
  </si>
  <si>
    <t>03A22-001C</t>
  </si>
  <si>
    <t>03A28-001C</t>
  </si>
  <si>
    <t>03A30-001C</t>
  </si>
  <si>
    <t>03AICD-001C</t>
  </si>
  <si>
    <t>03A46MWI-001C</t>
  </si>
  <si>
    <t>03AMAPP-001C</t>
  </si>
  <si>
    <t>03AMADN-001C</t>
  </si>
  <si>
    <t>03A36-001C</t>
  </si>
  <si>
    <t>03A37-001C</t>
  </si>
  <si>
    <t>03A38-001C</t>
  </si>
  <si>
    <t>03A39-001C</t>
  </si>
  <si>
    <t>03A41-001C</t>
  </si>
  <si>
    <t>03A42-001C</t>
  </si>
  <si>
    <t>03A43-001C</t>
  </si>
  <si>
    <t>001I</t>
  </si>
  <si>
    <t>03A66-RGA</t>
  </si>
  <si>
    <t>03A166-001I</t>
  </si>
  <si>
    <t>03A19-001I</t>
  </si>
  <si>
    <t>03A-BKUPDC</t>
  </si>
  <si>
    <t>03A01-001I</t>
  </si>
  <si>
    <t>03A02-001I</t>
  </si>
  <si>
    <t>03A20-001I</t>
  </si>
  <si>
    <t>03A22-001I</t>
  </si>
  <si>
    <t>03A28-001I</t>
  </si>
  <si>
    <t>03A36-001I</t>
  </si>
  <si>
    <t>03A37-001I</t>
  </si>
  <si>
    <t>03A38-001I</t>
  </si>
  <si>
    <t>03A39-001I</t>
  </si>
  <si>
    <t>03A62-SC22F</t>
  </si>
  <si>
    <t>03ACHT-001I</t>
  </si>
  <si>
    <t>002A-1LMFS</t>
  </si>
  <si>
    <t>002A-1LMGY</t>
  </si>
  <si>
    <t>002A-1LMJY</t>
  </si>
  <si>
    <t>002A-PMNHL</t>
  </si>
  <si>
    <t>001D</t>
  </si>
  <si>
    <t>001E</t>
  </si>
  <si>
    <t>001D-OPX</t>
  </si>
  <si>
    <t>001E-BC</t>
  </si>
  <si>
    <t>03A01</t>
  </si>
  <si>
    <t>03A02</t>
  </si>
  <si>
    <t>03A120</t>
  </si>
  <si>
    <t>03A120-SYS</t>
  </si>
  <si>
    <t>03ACBLK</t>
  </si>
  <si>
    <t>03ACBLK-SYS</t>
  </si>
  <si>
    <t>03ACF/B/OS</t>
  </si>
  <si>
    <t>03ACF/DA/OS</t>
  </si>
  <si>
    <t>03ACF/B/DA/OS</t>
  </si>
  <si>
    <t>03A12</t>
  </si>
  <si>
    <t>03A12-SYS</t>
  </si>
  <si>
    <t>03ACHLD</t>
  </si>
  <si>
    <t>03ACHTG</t>
  </si>
  <si>
    <t>03A15</t>
  </si>
  <si>
    <t>03A15-SYS</t>
  </si>
  <si>
    <t>03A17</t>
  </si>
  <si>
    <t>03A17-SYS</t>
  </si>
  <si>
    <t>03ACLTRNSF</t>
  </si>
  <si>
    <t>03A18</t>
  </si>
  <si>
    <t>03A20</t>
  </si>
  <si>
    <t>03A22</t>
  </si>
  <si>
    <t>03A27</t>
  </si>
  <si>
    <t>03A28</t>
  </si>
  <si>
    <t>03A32</t>
  </si>
  <si>
    <t>03A46MWI</t>
  </si>
  <si>
    <t>03A36</t>
  </si>
  <si>
    <t>03A37</t>
  </si>
  <si>
    <t>03A38</t>
  </si>
  <si>
    <t>03A39</t>
  </si>
  <si>
    <t>03A41</t>
  </si>
  <si>
    <t>03ASRC</t>
  </si>
  <si>
    <t>03ASRC-SYS</t>
  </si>
  <si>
    <t>03A42</t>
  </si>
  <si>
    <t>03A43</t>
  </si>
  <si>
    <t>03A63-CPU</t>
  </si>
  <si>
    <t>03A67-SW8FA</t>
  </si>
  <si>
    <t>005O</t>
  </si>
  <si>
    <t>005P</t>
  </si>
  <si>
    <t>005Q</t>
  </si>
  <si>
    <t>07D00</t>
  </si>
  <si>
    <t>07D01</t>
  </si>
  <si>
    <t>07D07</t>
  </si>
  <si>
    <t>07D11</t>
  </si>
  <si>
    <t>07MDM-DY</t>
  </si>
  <si>
    <t>07WRTR-DY</t>
  </si>
  <si>
    <t>07S06</t>
  </si>
  <si>
    <t>07S11</t>
  </si>
  <si>
    <t>07S13</t>
  </si>
  <si>
    <t>07RTR-STA</t>
  </si>
  <si>
    <t>07WRTR-STA</t>
  </si>
  <si>
    <t>08DIA-56KB</t>
  </si>
  <si>
    <t>08DIA-128KB</t>
  </si>
  <si>
    <t>08DIA-256KB</t>
  </si>
  <si>
    <t>08DIA-384KB</t>
  </si>
  <si>
    <t>08DIA-512KB</t>
  </si>
  <si>
    <t>08DIA-768KB</t>
  </si>
  <si>
    <t>08DIA-1544KB</t>
  </si>
  <si>
    <t>08DIA-2MB</t>
  </si>
  <si>
    <t>08DIA-3MB</t>
  </si>
  <si>
    <t>08DIA-4MB</t>
  </si>
  <si>
    <t>08DIA-5MB</t>
  </si>
  <si>
    <t>08DIA-6MB</t>
  </si>
  <si>
    <t>08DIA-7MB</t>
  </si>
  <si>
    <t>08DIA-8MB</t>
  </si>
  <si>
    <t>08DIA-10MB</t>
  </si>
  <si>
    <t>08DIA-15MB</t>
  </si>
  <si>
    <t>08DIA-20MB</t>
  </si>
  <si>
    <t>08DIA-25MB</t>
  </si>
  <si>
    <t>08DIA-30MB</t>
  </si>
  <si>
    <t>08DIA-35MB</t>
  </si>
  <si>
    <t>08DIA-40MB</t>
  </si>
  <si>
    <t>08DIA-45MB</t>
  </si>
  <si>
    <t>08DIA-60MB</t>
  </si>
  <si>
    <t>08DIA - 155MB</t>
  </si>
  <si>
    <t>08FR - 56KB</t>
  </si>
  <si>
    <t>08FR - 128KB</t>
  </si>
  <si>
    <t>08FR - 256KB</t>
  </si>
  <si>
    <t>08FR - 384KB</t>
  </si>
  <si>
    <t>08FR - 512KB</t>
  </si>
  <si>
    <t>08FR - 768KB</t>
  </si>
  <si>
    <t>08FR - 1024KB</t>
  </si>
  <si>
    <t>08FR - 1544KB</t>
  </si>
  <si>
    <t xml:space="preserve">08ATM - 10MB </t>
  </si>
  <si>
    <t xml:space="preserve">08ATM - 15MB </t>
  </si>
  <si>
    <t xml:space="preserve">08ATM - 20MB </t>
  </si>
  <si>
    <t xml:space="preserve">08ATM - 25MB </t>
  </si>
  <si>
    <t xml:space="preserve">08ATM - 30MB </t>
  </si>
  <si>
    <t xml:space="preserve">08ATM - 35MB </t>
  </si>
  <si>
    <t>08ATM - 40MB</t>
  </si>
  <si>
    <t>08ATM - 45MB</t>
  </si>
  <si>
    <t>001J-DLS</t>
  </si>
  <si>
    <t>001J-PT</t>
  </si>
  <si>
    <t>001J-SUT</t>
  </si>
  <si>
    <t>001J-LP</t>
  </si>
  <si>
    <t>03A25A</t>
  </si>
  <si>
    <t>NCOS A</t>
  </si>
  <si>
    <t>8004-C</t>
  </si>
  <si>
    <t>8004-A</t>
  </si>
  <si>
    <t>8009-B</t>
  </si>
  <si>
    <t>8009-A</t>
  </si>
  <si>
    <t>9110-C</t>
  </si>
  <si>
    <t xml:space="preserve">9116LP-C </t>
  </si>
  <si>
    <t>9120-C</t>
  </si>
  <si>
    <t>9216-B</t>
  </si>
  <si>
    <t>9216-A</t>
  </si>
  <si>
    <t>9316CW-B</t>
  </si>
  <si>
    <t>9316CW-A</t>
  </si>
  <si>
    <t>9417CW-B</t>
  </si>
  <si>
    <t>9417CW-A</t>
  </si>
  <si>
    <t>ET4300</t>
  </si>
  <si>
    <t>03A51-SEPRE</t>
  </si>
  <si>
    <t>03A42-001A</t>
  </si>
  <si>
    <t>EM-POVM</t>
  </si>
  <si>
    <t xml:space="preserve"> EM-UMSG</t>
  </si>
  <si>
    <t>EM-UMSG-01</t>
  </si>
  <si>
    <t xml:space="preserve"> UM-US1BB</t>
  </si>
  <si>
    <t>UM-US1MX</t>
  </si>
  <si>
    <t>UM-US1EX</t>
  </si>
  <si>
    <t>UM-US1DX</t>
  </si>
  <si>
    <t>UM-US1LX</t>
  </si>
  <si>
    <t xml:space="preserve">UM-US1DX </t>
  </si>
  <si>
    <t xml:space="preserve"> UM-US1LX</t>
  </si>
  <si>
    <t>03A50-R7UFX</t>
  </si>
  <si>
    <t>03A50-R7UFXB</t>
  </si>
  <si>
    <t>03A50-R7UFXE</t>
  </si>
  <si>
    <t>002E-56-CT</t>
  </si>
  <si>
    <t>002E-56-MI</t>
  </si>
  <si>
    <t>002E-56-IOB</t>
  </si>
  <si>
    <t>002E-64-CT</t>
  </si>
  <si>
    <t>002E-64-MI</t>
  </si>
  <si>
    <t>002E-64-IOB</t>
  </si>
  <si>
    <t>002F-FM</t>
  </si>
  <si>
    <t>03A46-001C</t>
  </si>
  <si>
    <t>03A49-R7NPG</t>
  </si>
  <si>
    <t>03A50-R7UFXA</t>
  </si>
  <si>
    <t>03A50-R7UFXC</t>
  </si>
  <si>
    <t>03A50-R7UFXD</t>
  </si>
  <si>
    <t>03A51-RCHAX</t>
  </si>
  <si>
    <t>03ASBST-SYSAN OR 03ASBST-SYSDG</t>
  </si>
  <si>
    <t>03ASYSCG</t>
  </si>
  <si>
    <t>03AESTCG</t>
  </si>
  <si>
    <t>03A04</t>
  </si>
  <si>
    <t>03A10</t>
  </si>
  <si>
    <t>03ACF/B/DA/OS- 1CRCH</t>
  </si>
  <si>
    <t>03A13</t>
  </si>
  <si>
    <t>03A13-B</t>
  </si>
  <si>
    <t>03A13-BDA</t>
  </si>
  <si>
    <t>03A13-NA</t>
  </si>
  <si>
    <t>03ACPRK</t>
  </si>
  <si>
    <t>03ACPRK-SYS</t>
  </si>
  <si>
    <t>03A19-NA-NB</t>
  </si>
  <si>
    <t>03A19-NA-NB-SYS</t>
  </si>
  <si>
    <t>03A44-KT6</t>
  </si>
  <si>
    <t>03A44-KES</t>
  </si>
  <si>
    <t>03A44-K6S</t>
  </si>
  <si>
    <t>03A44-PRI-UTAPX</t>
  </si>
  <si>
    <t>03A46</t>
  </si>
  <si>
    <t>03A64-CREXX</t>
  </si>
  <si>
    <t>002A-1LPAY</t>
  </si>
  <si>
    <t>002A-PMNI</t>
  </si>
  <si>
    <t>002A-1LPJS</t>
  </si>
  <si>
    <t>002A-PMNFL</t>
  </si>
  <si>
    <t>002A-1LMFS-1</t>
  </si>
  <si>
    <t>UM-US1BB</t>
  </si>
  <si>
    <t>002A-1LMGY-1</t>
  </si>
  <si>
    <t>002A-PMNSS-1</t>
  </si>
  <si>
    <t>002A-1LHU4-1</t>
  </si>
  <si>
    <t>002A-P1NS1-1</t>
  </si>
  <si>
    <t>002A-P3HC2</t>
  </si>
  <si>
    <t>002A-J1AWO</t>
  </si>
  <si>
    <t>002A-PMNFX</t>
  </si>
  <si>
    <t>002A-P1NUT-1</t>
  </si>
  <si>
    <t>002A-1LMJY-1</t>
  </si>
  <si>
    <t>002-1LMKY</t>
  </si>
  <si>
    <t>002A-1LMKY-1</t>
  </si>
  <si>
    <t>002AP1NV1-1</t>
  </si>
  <si>
    <t>005-AM</t>
  </si>
  <si>
    <t>07S10</t>
  </si>
  <si>
    <t>002L-PN</t>
  </si>
  <si>
    <t>002L-CON</t>
  </si>
  <si>
    <t>002L-DS1-N</t>
  </si>
  <si>
    <t>002L-DS3-N</t>
  </si>
  <si>
    <t>002L-MI</t>
  </si>
  <si>
    <t>002M-PN</t>
  </si>
  <si>
    <t>002M-CON</t>
  </si>
  <si>
    <t>002M-DS3-N</t>
  </si>
  <si>
    <t>002M-0C3</t>
  </si>
  <si>
    <t>002M-DS1-N</t>
  </si>
  <si>
    <t>002M-MI</t>
  </si>
  <si>
    <t>002N-PN</t>
  </si>
  <si>
    <t>002N-CON</t>
  </si>
  <si>
    <t>002N-0C12-N</t>
  </si>
  <si>
    <t>002N-DS3-N</t>
  </si>
  <si>
    <t>002N-DS1-N</t>
  </si>
  <si>
    <t>002N-MI</t>
  </si>
  <si>
    <t>002N-0C3-N</t>
  </si>
  <si>
    <t>002N-OP/EL-AD</t>
  </si>
  <si>
    <t>07DS-EXP</t>
  </si>
  <si>
    <t>07DS-BASIC</t>
  </si>
  <si>
    <t>07DS-PRO</t>
  </si>
  <si>
    <t>07DS-EL</t>
  </si>
  <si>
    <t>002M-100MBPS</t>
  </si>
  <si>
    <t>002-1GBPS</t>
  </si>
  <si>
    <t>002M-+100MBPS</t>
  </si>
  <si>
    <t>002-+-1GBPS</t>
  </si>
  <si>
    <t>002M-2MBPS</t>
  </si>
  <si>
    <t>002M-Repeater</t>
  </si>
  <si>
    <t>002M-5MBPS</t>
  </si>
  <si>
    <t>002M-8MBPS</t>
  </si>
  <si>
    <t>002M-4MBPS</t>
  </si>
  <si>
    <t>002M-10MBPS</t>
  </si>
  <si>
    <t>002M-20MBPS</t>
  </si>
  <si>
    <t>002M-50MBPS</t>
  </si>
  <si>
    <t>002M-150MBPS</t>
  </si>
  <si>
    <t>002M-250MBPS</t>
  </si>
  <si>
    <t>002M-500MBPS</t>
  </si>
  <si>
    <t>002M-600MBPS</t>
  </si>
  <si>
    <t>002M-1000MBPS</t>
  </si>
  <si>
    <t>002M-2MBPCIR</t>
  </si>
  <si>
    <t>002M-4MBPCIR</t>
  </si>
  <si>
    <t>002M-5MBPCIR</t>
  </si>
  <si>
    <t>002M-8MBPCIR</t>
  </si>
  <si>
    <t>002M-10MBPCIR</t>
  </si>
  <si>
    <t>002M-20MBPCIR</t>
  </si>
  <si>
    <t>002M-50MBPCIR</t>
  </si>
  <si>
    <t>002M-100MBCIR</t>
  </si>
  <si>
    <t>002M-1G2MBCIR</t>
  </si>
  <si>
    <t>002M-1G4MBCIR</t>
  </si>
  <si>
    <t>002M-1G5MBCIR</t>
  </si>
  <si>
    <t>002M-1G8MBCIR</t>
  </si>
  <si>
    <t>002M-1G20MBCR</t>
  </si>
  <si>
    <t>002M-10G5MBCR</t>
  </si>
  <si>
    <t>002M-1G50MCR</t>
  </si>
  <si>
    <t>002M-1G100MCR</t>
  </si>
  <si>
    <t>002M-1G150MCR</t>
  </si>
  <si>
    <t>002M-1G500MCR</t>
  </si>
  <si>
    <t>002M-1G250MCR</t>
  </si>
  <si>
    <t>002M-1G600MCR</t>
  </si>
  <si>
    <t>002M-1G1000MC</t>
  </si>
  <si>
    <t>002M-CIR-100</t>
  </si>
  <si>
    <t>002M-101-500</t>
  </si>
  <si>
    <t>002M-501-1009</t>
  </si>
  <si>
    <t>002M-50ADDMAC</t>
  </si>
  <si>
    <t>002M-ADNCHG</t>
  </si>
  <si>
    <t>002N-100MBPS</t>
  </si>
  <si>
    <t>002N-1GBPS</t>
  </si>
  <si>
    <t>002N-+100MBPS</t>
  </si>
  <si>
    <t>002N-Repeater</t>
  </si>
  <si>
    <t>002N-2MBPS</t>
  </si>
  <si>
    <t>002N-4MBPS</t>
  </si>
  <si>
    <t>002N-5MBPS</t>
  </si>
  <si>
    <t>002N-8MBPS</t>
  </si>
  <si>
    <t>002N-10MBPS</t>
  </si>
  <si>
    <t>002N-20MBPS</t>
  </si>
  <si>
    <t>002N-50MBPS</t>
  </si>
  <si>
    <t>002N-150MBPS</t>
  </si>
  <si>
    <t>002N-250MBPS</t>
  </si>
  <si>
    <t>002N-500MBPS</t>
  </si>
  <si>
    <t>002N-600MBPS</t>
  </si>
  <si>
    <t>002N-1000MBPS</t>
  </si>
  <si>
    <t>002N-2MBPCIR</t>
  </si>
  <si>
    <t>002N-4MBPCIR</t>
  </si>
  <si>
    <t>002N-5MBPCIR</t>
  </si>
  <si>
    <t>002N-8MBPCIR</t>
  </si>
  <si>
    <t>002N-10MBPCIR</t>
  </si>
  <si>
    <t>002N-20MBPCIR</t>
  </si>
  <si>
    <t>002N-50MBPCIR</t>
  </si>
  <si>
    <t>002N-100MBCIR</t>
  </si>
  <si>
    <t>002N-1G2MBCIR</t>
  </si>
  <si>
    <t>002N-1G4MBCIR</t>
  </si>
  <si>
    <t>002N-1G5MBCIR</t>
  </si>
  <si>
    <t>002N-1G8MBCIR</t>
  </si>
  <si>
    <t>002N-10G5MBCR</t>
  </si>
  <si>
    <t>002N-1G20MBCR</t>
  </si>
  <si>
    <t>002N-1G50MBCR</t>
  </si>
  <si>
    <t>002N-1G100MCR</t>
  </si>
  <si>
    <t>002N-1G150MCR</t>
  </si>
  <si>
    <t>002N-1G250MCR</t>
  </si>
  <si>
    <t>002N-1G500MCR</t>
  </si>
  <si>
    <t>002N-1G600MCR</t>
  </si>
  <si>
    <t>002N-1G1000MC</t>
  </si>
  <si>
    <t>002N-CIRS-100</t>
  </si>
  <si>
    <t>002N-CIRS-101-500</t>
  </si>
  <si>
    <t>002N-CIRS-501-1009</t>
  </si>
  <si>
    <t>002N-50ADDMAC</t>
  </si>
  <si>
    <t>002N-ADMNCHG</t>
  </si>
  <si>
    <t>6210T-B</t>
  </si>
  <si>
    <t>6210U-B</t>
  </si>
  <si>
    <t>6220T-B</t>
  </si>
  <si>
    <t>6220U-B</t>
  </si>
  <si>
    <t>6030X-B</t>
  </si>
  <si>
    <t>NT-1</t>
  </si>
  <si>
    <t>NT1B-300TC</t>
  </si>
  <si>
    <t>CORD1</t>
  </si>
  <si>
    <t>M5208-B</t>
  </si>
  <si>
    <t>M5208-A</t>
  </si>
  <si>
    <t>M5316-B</t>
  </si>
  <si>
    <t>M5316-A</t>
  </si>
  <si>
    <t>M522-B</t>
  </si>
  <si>
    <t>M522-A</t>
  </si>
  <si>
    <t>TECO1942-B</t>
  </si>
  <si>
    <t>TECO1942-A</t>
  </si>
  <si>
    <t>TECO1945-B</t>
  </si>
  <si>
    <t>TECO1945-A</t>
  </si>
  <si>
    <t>H31</t>
  </si>
  <si>
    <t>H41</t>
  </si>
  <si>
    <t>H141</t>
  </si>
  <si>
    <t>HW251</t>
  </si>
  <si>
    <t>HW261</t>
  </si>
  <si>
    <t>M22</t>
  </si>
  <si>
    <t>CS55-HL10</t>
  </si>
  <si>
    <t>CS55</t>
  </si>
  <si>
    <t>HL10</t>
  </si>
  <si>
    <t>005I-TE</t>
  </si>
  <si>
    <t>005J-TE</t>
  </si>
  <si>
    <t>005I-CI</t>
  </si>
  <si>
    <t>005J-CI</t>
  </si>
  <si>
    <t>005I-CS</t>
  </si>
  <si>
    <t>005M-NBD</t>
  </si>
  <si>
    <t>005M-ONBD</t>
  </si>
  <si>
    <t>005N-LAN/WAN</t>
  </si>
  <si>
    <t>005O-VCS</t>
  </si>
  <si>
    <t>005O-SE</t>
  </si>
  <si>
    <t>005R-DCS</t>
  </si>
  <si>
    <t>005S-DEO</t>
  </si>
  <si>
    <t>005T=PM</t>
  </si>
  <si>
    <t>005U-PJM</t>
  </si>
  <si>
    <t>005V-DS</t>
  </si>
  <si>
    <t>005A-CAT6-PVC</t>
  </si>
  <si>
    <t>005A-CAT5-24P</t>
  </si>
  <si>
    <t>005A-CAT6-24P</t>
  </si>
  <si>
    <t>005B-JK-PTS-1</t>
  </si>
  <si>
    <t>005B-JK-PTS-A</t>
  </si>
  <si>
    <t>005B-JK-SPC-1</t>
  </si>
  <si>
    <t>005B-JK-SPC-A</t>
  </si>
  <si>
    <t>005D-TD-CC-NI</t>
  </si>
  <si>
    <t>005C-JK-RW</t>
  </si>
  <si>
    <t>005E-NWCVR-NI</t>
  </si>
  <si>
    <t>005P-DSL</t>
  </si>
  <si>
    <t>005Q-CPE</t>
  </si>
  <si>
    <t>005A-CAT6-PLE</t>
  </si>
  <si>
    <t>005A-CAT5-CA</t>
  </si>
  <si>
    <t>INS-TEC-NBD</t>
  </si>
  <si>
    <t>INS-TEC-WRE-INIT</t>
  </si>
  <si>
    <t>INS-TEC-WRE-ADD</t>
  </si>
  <si>
    <t>INS-TEC-NBD-ADD</t>
  </si>
  <si>
    <t>INS-TEC-S&amp;H-INIT</t>
  </si>
  <si>
    <t>INS-TEC-S&amp;H-ADD</t>
  </si>
  <si>
    <t>INS-TEC-TRP-CHG-IN</t>
  </si>
  <si>
    <t>INS-TEC-TRP-CHG-AD</t>
  </si>
  <si>
    <t>REP-TEC-NBD</t>
  </si>
  <si>
    <t>REP-TEC-MSC</t>
  </si>
  <si>
    <t>REP-TEC-S&amp;H-MSC</t>
  </si>
  <si>
    <t>REP-TEC-TRP-CHG</t>
  </si>
  <si>
    <t>REP-TEC-TRP-CHG-AD</t>
  </si>
  <si>
    <t>K-INS-TEC-NBD</t>
  </si>
  <si>
    <t>K-INS-TEC-NBD-ADD</t>
  </si>
  <si>
    <t>K-INS-TEC-WRE-INIT</t>
  </si>
  <si>
    <t>K-INS-TEC-WRE-ADD</t>
  </si>
  <si>
    <t>K-INS-TEC-S&amp;H-INIT</t>
  </si>
  <si>
    <t>K-INS-TEC-S&amp;H-ADD</t>
  </si>
  <si>
    <t>K-INS-TEC-TRP-CHG-IN</t>
  </si>
  <si>
    <t>K-INS-TEC-TRP-CHG-AD</t>
  </si>
  <si>
    <t>K-REP-TEC-NBD</t>
  </si>
  <si>
    <t>K-REP-TEC-MSC</t>
  </si>
  <si>
    <t>K-REP-TEC-S&amp;H-MSC</t>
  </si>
  <si>
    <t>K-REP-TEC-TRP-CHG</t>
  </si>
  <si>
    <t>K-REP-TEC-TRP-CHG-AD</t>
  </si>
  <si>
    <t>K005I-TE</t>
  </si>
  <si>
    <t>K005J-TE</t>
  </si>
  <si>
    <t>K005I-CI</t>
  </si>
  <si>
    <t>K005J-CI</t>
  </si>
  <si>
    <t>K005I-CS</t>
  </si>
  <si>
    <t>K005M-NBD</t>
  </si>
  <si>
    <t>K005M-ONBD</t>
  </si>
  <si>
    <t>K005N-LAN/WAN</t>
  </si>
  <si>
    <t>K005O-VCS</t>
  </si>
  <si>
    <t>K005O-SE</t>
  </si>
  <si>
    <t>K005R-DCS</t>
  </si>
  <si>
    <t>K005S-DEO</t>
  </si>
  <si>
    <t>K005T=PM</t>
  </si>
  <si>
    <t>K005U-PJM</t>
  </si>
  <si>
    <t>K005P-DSL</t>
  </si>
  <si>
    <t>K005Q-CPE</t>
  </si>
  <si>
    <t>K005V-DS</t>
  </si>
  <si>
    <t>K03A24-DP**</t>
  </si>
  <si>
    <t>K03A24-MF**</t>
  </si>
  <si>
    <t>K03A24 - DTMF**</t>
  </si>
  <si>
    <t>K03A25</t>
  </si>
  <si>
    <t>K03A25-1</t>
  </si>
  <si>
    <t>K03A25-1a</t>
  </si>
  <si>
    <t>K03A25 - 001I</t>
  </si>
  <si>
    <t>K03A25A - 001I</t>
  </si>
  <si>
    <t>K03A25-1- 001I</t>
  </si>
  <si>
    <t>K03A25-1a- 001I</t>
  </si>
  <si>
    <t>K03A25-1s- 001I</t>
  </si>
  <si>
    <t>KOO1H</t>
  </si>
  <si>
    <t xml:space="preserve">K03A49-R7NPG </t>
  </si>
  <si>
    <t xml:space="preserve">K03A50-R7UFX </t>
  </si>
  <si>
    <t xml:space="preserve">K03A50-R7UFXa </t>
  </si>
  <si>
    <t>K03A50-R7UFXb</t>
  </si>
  <si>
    <t xml:space="preserve">K03A50-R7UFXc </t>
  </si>
  <si>
    <t xml:space="preserve">K03A50-R7UFXd </t>
  </si>
  <si>
    <t>K03A50-R7UFXe</t>
  </si>
  <si>
    <t xml:space="preserve">K03A51-RCHAX </t>
  </si>
  <si>
    <t>K03A51-SEPRE</t>
  </si>
  <si>
    <t>K001A</t>
  </si>
  <si>
    <t>K001A-1BH</t>
  </si>
  <si>
    <t>K03A01-001A</t>
  </si>
  <si>
    <t>K03A03-001A</t>
  </si>
  <si>
    <t>K03AACR-001A</t>
  </si>
  <si>
    <t>K03A120-001A</t>
  </si>
  <si>
    <t>K03ACBLK-001A</t>
  </si>
  <si>
    <t>K03ACFB-OS</t>
  </si>
  <si>
    <t>K03A12-001A</t>
  </si>
  <si>
    <t>K03ACF-ESM</t>
  </si>
  <si>
    <t>K03ACFB-EVB</t>
  </si>
  <si>
    <t>K03A13B-NA-001A</t>
  </si>
  <si>
    <t>K03A13NA-001A</t>
  </si>
  <si>
    <t>K03ACHT-001A</t>
  </si>
  <si>
    <t>K03ACHT-CIR</t>
  </si>
  <si>
    <t>K03ACHT-PRE</t>
  </si>
  <si>
    <t>K03A15-001A</t>
  </si>
  <si>
    <t>K03A17-001A</t>
  </si>
  <si>
    <t>K03ACT-001A</t>
  </si>
  <si>
    <t>K03A18-001A</t>
  </si>
  <si>
    <t>K03A19NA-001A</t>
  </si>
  <si>
    <t>K03A19N-001A</t>
  </si>
  <si>
    <t>K03A19-001A</t>
  </si>
  <si>
    <t>K03A20-001A</t>
  </si>
  <si>
    <t>K03A22-001A</t>
  </si>
  <si>
    <t>K03A28-001A</t>
  </si>
  <si>
    <t>K03A60-001A</t>
  </si>
  <si>
    <t>K03A46MWI-001A</t>
  </si>
  <si>
    <t>K03A36-001A</t>
  </si>
  <si>
    <t>K03A37-001A</t>
  </si>
  <si>
    <t>K03A38-001A</t>
  </si>
  <si>
    <t>K03A39-001A</t>
  </si>
  <si>
    <t>K03A42-001A</t>
  </si>
  <si>
    <t>K03A43-001A</t>
  </si>
  <si>
    <t>K03A46-001A</t>
  </si>
  <si>
    <t>K-EM-POVM</t>
  </si>
  <si>
    <t>K-EM-UMSG-01</t>
  </si>
  <si>
    <t>K-EM-UMSG-CT</t>
  </si>
  <si>
    <t xml:space="preserve"> K-UM-US1BB</t>
  </si>
  <si>
    <t>K-UM-US1MX</t>
  </si>
  <si>
    <t>K-UM-US1EX</t>
  </si>
  <si>
    <t>K-UM-US1DX</t>
  </si>
  <si>
    <t>K-UM-US1LX</t>
  </si>
  <si>
    <t>K03A61-MMB</t>
  </si>
  <si>
    <t xml:space="preserve">K03A51-SEPRE </t>
  </si>
  <si>
    <t>K03A64-CREXK</t>
  </si>
  <si>
    <t>03ACRES</t>
  </si>
  <si>
    <t>03ACHT-CIR</t>
  </si>
  <si>
    <t>03ACHT-ROT</t>
  </si>
  <si>
    <t>03ACFW-ESM</t>
  </si>
  <si>
    <t>03ACFW-BY</t>
  </si>
  <si>
    <t>03ACFW-REM</t>
  </si>
  <si>
    <t>EM-UMSG-CT</t>
  </si>
  <si>
    <t>002P-56K</t>
  </si>
  <si>
    <t>002P-64K</t>
  </si>
  <si>
    <t>002P-2XDS0</t>
  </si>
  <si>
    <t>002P-6XDS0</t>
  </si>
  <si>
    <t>002P-5XDS0</t>
  </si>
  <si>
    <t>002P-4XDS0</t>
  </si>
  <si>
    <t>002P-3XDS0</t>
  </si>
  <si>
    <t>003P-T1</t>
  </si>
  <si>
    <t>003P-2XT1</t>
  </si>
  <si>
    <t>003P-3XT1</t>
  </si>
  <si>
    <t>003-T3-S-5MB</t>
  </si>
  <si>
    <t>003P-4XT1</t>
  </si>
  <si>
    <t>003P-5XT1</t>
  </si>
  <si>
    <t>003P-6XT1</t>
  </si>
  <si>
    <t>003-T3-S-10MB</t>
  </si>
  <si>
    <t>003P-7XT1</t>
  </si>
  <si>
    <t>003P-8XT1</t>
  </si>
  <si>
    <t>003P-9XT1</t>
  </si>
  <si>
    <t>003P-10XT1</t>
  </si>
  <si>
    <t>003-T3-S-15MB</t>
  </si>
  <si>
    <t>003-T3-S-20MB</t>
  </si>
  <si>
    <t>003-T3-S-25MB</t>
  </si>
  <si>
    <t>003-T3-S-30MB</t>
  </si>
  <si>
    <t>003P-T3</t>
  </si>
  <si>
    <t>004-OC3-50MB</t>
  </si>
  <si>
    <t>004-OC3-100MB</t>
  </si>
  <si>
    <t>004P-OC3</t>
  </si>
  <si>
    <t>004-OC12-S200MB</t>
  </si>
  <si>
    <t>004-OC12-S300MB</t>
  </si>
  <si>
    <t>004-OC12-S400MB</t>
  </si>
  <si>
    <t>004P-OC12</t>
  </si>
  <si>
    <t>004P-OC48</t>
  </si>
  <si>
    <t>PE-1MBS</t>
  </si>
  <si>
    <t>PE-5MBS</t>
  </si>
  <si>
    <t>PE-10MBS</t>
  </si>
  <si>
    <t>PE-20MBS</t>
  </si>
  <si>
    <t>PE-90MBS</t>
  </si>
  <si>
    <t>PE-80MBS</t>
  </si>
  <si>
    <t>PE-70MBS</t>
  </si>
  <si>
    <t>PE-60MBS</t>
  </si>
  <si>
    <t>PE-50MBS</t>
  </si>
  <si>
    <t>PE-40MBS</t>
  </si>
  <si>
    <t>PE-30MBS</t>
  </si>
  <si>
    <t>PE-100MBS</t>
  </si>
  <si>
    <t>PE-200MBS</t>
  </si>
  <si>
    <t>PE-10GBS</t>
  </si>
  <si>
    <t>PE-1000MBS</t>
  </si>
  <si>
    <t>PE-900MBS</t>
  </si>
  <si>
    <t>PE-800MBS</t>
  </si>
  <si>
    <t>PE-700MBS</t>
  </si>
  <si>
    <t>PE-600MBS</t>
  </si>
  <si>
    <t>PE-500MBS</t>
  </si>
  <si>
    <t>PE-400MBS</t>
  </si>
  <si>
    <t>PE-300MBS</t>
  </si>
  <si>
    <t>PE-AC</t>
  </si>
  <si>
    <t>AVPN-COS-10M</t>
  </si>
  <si>
    <t>AVPN-COS-20M</t>
  </si>
  <si>
    <t>AVPN-COS-1G</t>
  </si>
  <si>
    <t>AVPN-COS-622M</t>
  </si>
  <si>
    <t>AVPN-COS-155M</t>
  </si>
  <si>
    <t>AVPN-COS-100M</t>
  </si>
  <si>
    <t>AVPN-COS-90M</t>
  </si>
  <si>
    <t>AVPN-COS-80M</t>
  </si>
  <si>
    <t>AVPN-COS-70M</t>
  </si>
  <si>
    <t>AVPN-COS-60M</t>
  </si>
  <si>
    <t>AVPN-COS-50M</t>
  </si>
  <si>
    <t>AVPN-COS-45M</t>
  </si>
  <si>
    <t>AVPN-COS-40M</t>
  </si>
  <si>
    <t>AVPN-COS-30M</t>
  </si>
  <si>
    <t>AVPN-COS-E-64K</t>
  </si>
  <si>
    <t>AVPN-COS-64K</t>
  </si>
  <si>
    <t xml:space="preserve">MRS-1.5MBS </t>
  </si>
  <si>
    <t>MRS-10G</t>
  </si>
  <si>
    <t>MRS-2.4G</t>
  </si>
  <si>
    <t>MRS-1G</t>
  </si>
  <si>
    <t>MRS-622MBS</t>
  </si>
  <si>
    <t>MRS-155MBS</t>
  </si>
  <si>
    <t>MRS-100MBS</t>
  </si>
  <si>
    <t>MRS-45MBS</t>
  </si>
  <si>
    <t>MRS-30MBS</t>
  </si>
  <si>
    <t>MRS-20MBS</t>
  </si>
  <si>
    <t>MRS-15MBS</t>
  </si>
  <si>
    <t>MRS-10MBS</t>
  </si>
  <si>
    <t>MRS-6MBS</t>
  </si>
  <si>
    <t>MRS-3MBS</t>
  </si>
  <si>
    <t>VDNA-SP-350</t>
  </si>
  <si>
    <t>VDNA-EP-350</t>
  </si>
  <si>
    <t>VDNA-PP-350</t>
  </si>
  <si>
    <t>VDNA-SP-350-799</t>
  </si>
  <si>
    <t>VDNA-EP-350-799</t>
  </si>
  <si>
    <t>VDNA-PP-350-799</t>
  </si>
  <si>
    <t>VDNA-SP-800+</t>
  </si>
  <si>
    <t>VDNA-PP-800+</t>
  </si>
  <si>
    <t>VDNA-EP-800+</t>
  </si>
  <si>
    <t>VDNA-UC-L&amp;LD</t>
  </si>
  <si>
    <t>VDNA-UC-L&amp;LDA</t>
  </si>
  <si>
    <t>VDNA-UC-L&amp;LDB</t>
  </si>
  <si>
    <t>VDNA-UC-NDLD</t>
  </si>
  <si>
    <t>VDNA-UC-IO-DA</t>
  </si>
  <si>
    <t>VDNAF-FMFM</t>
  </si>
  <si>
    <t>VDNAF-ITM-A</t>
  </si>
  <si>
    <t>VDNAF-ITM-S</t>
  </si>
  <si>
    <t>VDNAF-VMB</t>
  </si>
  <si>
    <t>VDNAF-ACONF</t>
  </si>
  <si>
    <t>VDNAF-CDM</t>
  </si>
  <si>
    <t>VDNAF-AA-4</t>
  </si>
  <si>
    <t>VDNAF-SS</t>
  </si>
  <si>
    <t>VDNAF-TN</t>
  </si>
  <si>
    <t>VDNAF-CPB</t>
  </si>
  <si>
    <t>VDNAF-SETUP</t>
  </si>
  <si>
    <t>VNDA-R-HOR</t>
  </si>
  <si>
    <t>VNDA-R-HOR-A</t>
  </si>
  <si>
    <t>VNDA-R-HOR-HE</t>
  </si>
  <si>
    <t xml:space="preserve">V-RTI-A1-25 </t>
  </si>
  <si>
    <t xml:space="preserve">V-RTI-A26 - 50 </t>
  </si>
  <si>
    <t xml:space="preserve">V-RTI-A51 - 100 </t>
  </si>
  <si>
    <t xml:space="preserve">V-RTI-A501+ </t>
  </si>
  <si>
    <t xml:space="preserve">V-RTI-A101-150 </t>
  </si>
  <si>
    <t>V-RTI-A151 - 200</t>
  </si>
  <si>
    <t xml:space="preserve">V-RTI-A201 - 250 </t>
  </si>
  <si>
    <t>V-RTI-A251 - 500</t>
  </si>
  <si>
    <t>V-RTI-1-25</t>
  </si>
  <si>
    <t>V-RTI-26-50</t>
  </si>
  <si>
    <t>V-RTI-51-100</t>
  </si>
  <si>
    <t>V-RTI-101-150</t>
  </si>
  <si>
    <t>V-RTI-151-200</t>
  </si>
  <si>
    <t>V-RTI-201-250</t>
  </si>
  <si>
    <t>V-RTI-251-500</t>
  </si>
  <si>
    <t>V-RTI-500+</t>
  </si>
  <si>
    <t>V-RTI-1-25-C</t>
  </si>
  <si>
    <t>V-RTI-26-50-C</t>
  </si>
  <si>
    <t>V-RTI-51-100-C</t>
  </si>
  <si>
    <t>V-RTI-101-150-C</t>
  </si>
  <si>
    <t>V-RTI-151-200-C</t>
  </si>
  <si>
    <t>V-RTI-201-250-C</t>
  </si>
  <si>
    <t>V-RTI-251-500-C</t>
  </si>
  <si>
    <t>V-RTI-500+C</t>
  </si>
  <si>
    <t>VAC-MFSPB</t>
  </si>
  <si>
    <t>VAC-SW/OE-PR</t>
  </si>
  <si>
    <t>VAC-SW/OE-PSW</t>
  </si>
  <si>
    <t>VAC-SW/OE-PST</t>
  </si>
  <si>
    <t>VDNA-MRI-PS</t>
  </si>
  <si>
    <t>VDNA-R-MS-1-25</t>
  </si>
  <si>
    <t>VDNA-R-MS-26-50</t>
  </si>
  <si>
    <t>VDNA-R-MS-51-200</t>
  </si>
  <si>
    <t>VDNA-R-MS-201+</t>
  </si>
  <si>
    <t>VDNA-R-DLA-PS</t>
  </si>
  <si>
    <t>VDNA-RADT-PC</t>
  </si>
  <si>
    <t>VDNA-IAF</t>
  </si>
  <si>
    <t>VDNA-IASW</t>
  </si>
  <si>
    <t>VDNA-VPN-A</t>
  </si>
  <si>
    <t>VDNA-VPN-B</t>
  </si>
  <si>
    <t>VDNA-AIAD-VG224</t>
  </si>
  <si>
    <t>VDNA-C186</t>
  </si>
  <si>
    <t>VDNA-IA-VPN-C</t>
  </si>
  <si>
    <t>VDNA-TIA-HEADSET</t>
  </si>
  <si>
    <t>VDNA-MSC-EC</t>
  </si>
  <si>
    <t>VDNA-MSC-R/C</t>
  </si>
  <si>
    <t>VDNA-MSC-RV</t>
  </si>
  <si>
    <t>VDNA-MSC-CNR</t>
  </si>
  <si>
    <t>VNDA-IW-DE-150</t>
  </si>
  <si>
    <t>VNDA-IW-DE-150-300</t>
  </si>
  <si>
    <t>VNDA-IW-cable-150</t>
  </si>
  <si>
    <t>VNDA-IW-EA-cable-150</t>
  </si>
  <si>
    <t>VNDA-IW-SBH</t>
  </si>
  <si>
    <t>VNDA-IW-NSBH</t>
  </si>
  <si>
    <t>VNDA-IW-ACFPF</t>
  </si>
  <si>
    <t>K03A64-CREXN</t>
  </si>
  <si>
    <t>K002E-56 - CT</t>
  </si>
  <si>
    <t>K002E-56 - MI</t>
  </si>
  <si>
    <t>K002E-56 - IOB</t>
  </si>
  <si>
    <t>K002E-64 - CT</t>
  </si>
  <si>
    <t>K002E-64 - MI</t>
  </si>
  <si>
    <t>K002E-64 - IOB</t>
  </si>
  <si>
    <t>K002F-CT</t>
  </si>
  <si>
    <t>K002F-MI</t>
  </si>
  <si>
    <t>K002F-IOB</t>
  </si>
  <si>
    <t>K002G-LDC</t>
  </si>
  <si>
    <t>K002G-FM</t>
  </si>
  <si>
    <t>K002G-MI</t>
  </si>
  <si>
    <t>K002H-CT</t>
  </si>
  <si>
    <t>K002H-FM</t>
  </si>
  <si>
    <t>K002H-CM</t>
  </si>
  <si>
    <t>K002I-CT</t>
  </si>
  <si>
    <t>K002I-FM</t>
  </si>
  <si>
    <t>K002I-CM</t>
  </si>
  <si>
    <t>K002J-CT</t>
  </si>
  <si>
    <t>K002J-FM</t>
  </si>
  <si>
    <t>K002J-CM</t>
  </si>
  <si>
    <t>K001C</t>
  </si>
  <si>
    <t>K001C-BC</t>
  </si>
  <si>
    <t>K001C-LE</t>
  </si>
  <si>
    <t>K001C-LEF</t>
  </si>
  <si>
    <t>K03A01-001C</t>
  </si>
  <si>
    <t>K03A02-001C</t>
  </si>
  <si>
    <t>K03A03-001C</t>
  </si>
  <si>
    <t>K03A120-001C</t>
  </si>
  <si>
    <t>K03A10-001C</t>
  </si>
  <si>
    <t>K03A11-001C</t>
  </si>
  <si>
    <t>K03ACBLK-001C</t>
  </si>
  <si>
    <t>K03A12-001C</t>
  </si>
  <si>
    <t>K03A13-001C</t>
  </si>
  <si>
    <t>K03A13BL-001C</t>
  </si>
  <si>
    <t>K03A13BNA-001C</t>
  </si>
  <si>
    <t>K03A13NA-001C</t>
  </si>
  <si>
    <t>K03ACHT-001C</t>
  </si>
  <si>
    <t>K03A15-001C</t>
  </si>
  <si>
    <t>K03A17-001C</t>
  </si>
  <si>
    <t>K03ACT-001C</t>
  </si>
  <si>
    <t>K03A19-001C</t>
  </si>
  <si>
    <t>K03A20-001C</t>
  </si>
  <si>
    <t>K03A22-001C</t>
  </si>
  <si>
    <t>K03A28-001C</t>
  </si>
  <si>
    <t>K03A30-001C</t>
  </si>
  <si>
    <t>K03AICD-001C</t>
  </si>
  <si>
    <t>K03A46MWI-001C</t>
  </si>
  <si>
    <t>K03AMAPP-001C</t>
  </si>
  <si>
    <t>K03AMADN-001C</t>
  </si>
  <si>
    <t>K03A36-001C</t>
  </si>
  <si>
    <t>K03A37-001C</t>
  </si>
  <si>
    <t>K03A38-001C</t>
  </si>
  <si>
    <t>K03A39-001C</t>
  </si>
  <si>
    <t>K03A41-001C</t>
  </si>
  <si>
    <t>K03A42-001C</t>
  </si>
  <si>
    <t>K03A43-001C</t>
  </si>
  <si>
    <t>K03A46-001c</t>
  </si>
  <si>
    <t>03A46-EM-POVM</t>
  </si>
  <si>
    <t>03A46-EM-UM</t>
  </si>
  <si>
    <t>03A46-EM-CO</t>
  </si>
  <si>
    <t>03A46-EM-CT</t>
  </si>
  <si>
    <t>K03A46-EM-POVM</t>
  </si>
  <si>
    <t>K03A46-EM-UM</t>
  </si>
  <si>
    <t>K03A46-EM-CO</t>
  </si>
  <si>
    <t>K03A46-EM-CT</t>
  </si>
  <si>
    <t>K-UM-US1BB</t>
  </si>
  <si>
    <t xml:space="preserve">K-UM-US1LX  </t>
  </si>
  <si>
    <t>K001I</t>
  </si>
  <si>
    <t>K03A66-RGA</t>
  </si>
  <si>
    <t>K03A19-001I</t>
  </si>
  <si>
    <t>K03A166-001I</t>
  </si>
  <si>
    <t>K03A-BKUPDC</t>
  </si>
  <si>
    <t>K03A01-001I</t>
  </si>
  <si>
    <t>K03A02-001I</t>
  </si>
  <si>
    <t>K03ACHT-001I</t>
  </si>
  <si>
    <t>K03A36-001I</t>
  </si>
  <si>
    <t>K03A37-001I</t>
  </si>
  <si>
    <t>K03A38-001I</t>
  </si>
  <si>
    <t>K03A39-001I</t>
  </si>
  <si>
    <t>K001D</t>
  </si>
  <si>
    <t>K001E-BC</t>
  </si>
  <si>
    <t xml:space="preserve">K03ASBST- SYSAN  or 03ASBST- SYSDG  </t>
  </si>
  <si>
    <t>K03ASTACNG</t>
  </si>
  <si>
    <t xml:space="preserve">K03AESTCG-DMS </t>
  </si>
  <si>
    <t>K03A01</t>
  </si>
  <si>
    <t>K03A02</t>
  </si>
  <si>
    <t>K03A120</t>
  </si>
  <si>
    <t>K03A120-SYS</t>
  </si>
  <si>
    <t>K03ACBLK</t>
  </si>
  <si>
    <t>K03ACBLK-SYS</t>
  </si>
  <si>
    <t>K03ACF/B/OS</t>
  </si>
  <si>
    <t>K03ACF/DA/OS</t>
  </si>
  <si>
    <t>K03ACF/B/DA/OS</t>
  </si>
  <si>
    <t>K03A12</t>
  </si>
  <si>
    <t>K03A12-SYS</t>
  </si>
  <si>
    <t>K03A13 - B</t>
  </si>
  <si>
    <t>K03A13 - BDA</t>
  </si>
  <si>
    <t>K03ACHLD</t>
  </si>
  <si>
    <t>K03ACHTG</t>
  </si>
  <si>
    <t>K03A15</t>
  </si>
  <si>
    <t>K03A15-SYS</t>
  </si>
  <si>
    <t>K03A17</t>
  </si>
  <si>
    <t>K03A17-SYS</t>
  </si>
  <si>
    <t>K03ACLTRNSF</t>
  </si>
  <si>
    <t>NA</t>
  </si>
  <si>
    <t>K03A18</t>
  </si>
  <si>
    <t>K03A19 - NA &amp; NB</t>
  </si>
  <si>
    <t>K03A20</t>
  </si>
  <si>
    <t>K03A22</t>
  </si>
  <si>
    <t>K03A27</t>
  </si>
  <si>
    <t>K03A28</t>
  </si>
  <si>
    <t>K03A32</t>
  </si>
  <si>
    <t>K03AICD</t>
  </si>
  <si>
    <t>K03A46MWI</t>
  </si>
  <si>
    <t>K03A36</t>
  </si>
  <si>
    <t>K03A37</t>
  </si>
  <si>
    <t>K03A38</t>
  </si>
  <si>
    <t>K03A39</t>
  </si>
  <si>
    <t>K03A41</t>
  </si>
  <si>
    <t>K03ASRC</t>
  </si>
  <si>
    <t>K03ASRC-SYS</t>
  </si>
  <si>
    <t>K03A42</t>
  </si>
  <si>
    <t>K03A43</t>
  </si>
  <si>
    <t>K03A44</t>
  </si>
  <si>
    <t>K03A44-K6S</t>
  </si>
  <si>
    <t>K03A44-PRI-UTAPX</t>
  </si>
  <si>
    <t>K03A63-CPU</t>
  </si>
  <si>
    <t>K03A67-SW8FA</t>
  </si>
  <si>
    <t>K002F-TT-CT</t>
  </si>
  <si>
    <t>K002F-TT-FM</t>
  </si>
  <si>
    <t>K002F-TT-CM</t>
  </si>
  <si>
    <t>K002A-1LMHY</t>
  </si>
  <si>
    <t>K002A-1LMSF</t>
  </si>
  <si>
    <t>K002A-1LHU4</t>
  </si>
  <si>
    <t>K002A-1LMKY</t>
  </si>
  <si>
    <t>K002A-1LMFS</t>
  </si>
  <si>
    <t>K002A-1LMGY</t>
  </si>
  <si>
    <t xml:space="preserve">K002A-PMNFL </t>
  </si>
  <si>
    <t>K002A- 1LMFS</t>
  </si>
  <si>
    <t>K002A-1LMJY</t>
  </si>
  <si>
    <t>K002A-PMNHL</t>
  </si>
  <si>
    <t>K005O</t>
  </si>
  <si>
    <t>K005P</t>
  </si>
  <si>
    <t>K005Q</t>
  </si>
  <si>
    <t>07DSL-EXP</t>
  </si>
  <si>
    <t>07DSL-PS</t>
  </si>
  <si>
    <t>07DSL-ES</t>
  </si>
  <si>
    <t>08ATM - MI</t>
  </si>
  <si>
    <t>03A-TFDI-PM</t>
  </si>
  <si>
    <t>03A-OPDO-PM</t>
  </si>
  <si>
    <t>03A-HDO-PM</t>
  </si>
  <si>
    <t>03A-EXBG-PM</t>
  </si>
  <si>
    <t>03A-ACSB-PM</t>
  </si>
  <si>
    <t>03A-EXOPDO-PM</t>
  </si>
  <si>
    <t>03A-WEBCONF-PU</t>
  </si>
  <si>
    <t>03A-WEBCONF-PMPP</t>
  </si>
  <si>
    <t>K001J-DLS</t>
  </si>
  <si>
    <t>K001J-PT</t>
  </si>
  <si>
    <t>K001J-SUT</t>
  </si>
  <si>
    <t>K001J-LP</t>
  </si>
  <si>
    <t>K002M-100MBPS</t>
  </si>
  <si>
    <t>K002-1GBPS</t>
  </si>
  <si>
    <t>K002M-+100MBPS</t>
  </si>
  <si>
    <t>K002-+-1GBPS</t>
  </si>
  <si>
    <t>K002M-Repeater</t>
  </si>
  <si>
    <t>K002M-2MBPS</t>
  </si>
  <si>
    <t>K002M-4MBPS</t>
  </si>
  <si>
    <t>K002M-5MBPS</t>
  </si>
  <si>
    <t>K002M-8MBPS</t>
  </si>
  <si>
    <t>K002M-10MBPS</t>
  </si>
  <si>
    <t>K002M-20MBPS</t>
  </si>
  <si>
    <t>K002M-50MBPS</t>
  </si>
  <si>
    <t>K002M-150MBPS</t>
  </si>
  <si>
    <t>K002M-250MBPS</t>
  </si>
  <si>
    <t>K002M-500MBPS</t>
  </si>
  <si>
    <t>K002M-600MBPS</t>
  </si>
  <si>
    <t>K002M-1000MBPS</t>
  </si>
  <si>
    <t>K002M-2MBPCIR</t>
  </si>
  <si>
    <t>K002M-4MBPCIR</t>
  </si>
  <si>
    <t>K002M-5MBPCIR</t>
  </si>
  <si>
    <t>K002M-8MBPCIR</t>
  </si>
  <si>
    <t>K002M-10MBPCIR</t>
  </si>
  <si>
    <t>K002M-20MBPCIR</t>
  </si>
  <si>
    <t>K002M-50MBPCIR</t>
  </si>
  <si>
    <t>K002M-100MBCIR</t>
  </si>
  <si>
    <t>K002M-1G2MBCIR</t>
  </si>
  <si>
    <t>K002M-1G4MBCIR</t>
  </si>
  <si>
    <t>K002M-1G5MBCIR</t>
  </si>
  <si>
    <t>K002M-1G8MBCIR</t>
  </si>
  <si>
    <t>K002M-10G5MBCR</t>
  </si>
  <si>
    <t>K002M-1G20MBCR</t>
  </si>
  <si>
    <t>K002M-1G50MCR</t>
  </si>
  <si>
    <t>K002M-1G100MCR</t>
  </si>
  <si>
    <t>K002M-1G150MCR</t>
  </si>
  <si>
    <t>K002M-1G250MCR</t>
  </si>
  <si>
    <t>K002M-1G500MCR</t>
  </si>
  <si>
    <t>K002M-1G600MCR</t>
  </si>
  <si>
    <t>K002M-1G1000MC</t>
  </si>
  <si>
    <t>K002M-CIR-100</t>
  </si>
  <si>
    <t>K002M-101-500</t>
  </si>
  <si>
    <t>K002M-501-1009</t>
  </si>
  <si>
    <t>K002M-50ADDMAC</t>
  </si>
  <si>
    <t>K002M-ADNCHG</t>
  </si>
  <si>
    <t>K002N-100MBPS</t>
  </si>
  <si>
    <t>K002N-1GBPS</t>
  </si>
  <si>
    <t>K002N-+100MBPS</t>
  </si>
  <si>
    <t>K002N-Repeater</t>
  </si>
  <si>
    <t>K002N-2MBPS</t>
  </si>
  <si>
    <t>K002N-4MBPS</t>
  </si>
  <si>
    <t>K002N-5MBPS</t>
  </si>
  <si>
    <t>K002N-8MBPS</t>
  </si>
  <si>
    <t>K002N-10MBPS</t>
  </si>
  <si>
    <t>K002N-20MBPS</t>
  </si>
  <si>
    <t>K002N-50MBPS</t>
  </si>
  <si>
    <t>K002N-150MBPS</t>
  </si>
  <si>
    <t>K002N-250MBPS</t>
  </si>
  <si>
    <t>K002N-500MBPS</t>
  </si>
  <si>
    <t>K002N-600MBPS</t>
  </si>
  <si>
    <t>K002N-1000MBPS</t>
  </si>
  <si>
    <t>K002N-2MBPCIR</t>
  </si>
  <si>
    <t>K002N-4MBPCIR</t>
  </si>
  <si>
    <t>K002N-5MBPCIR</t>
  </si>
  <si>
    <t>K002N-8MBPCIR</t>
  </si>
  <si>
    <t>K002N-10MBPCIR</t>
  </si>
  <si>
    <t>K002N-20MBPCIR</t>
  </si>
  <si>
    <t>K002N-50MBPCIR</t>
  </si>
  <si>
    <t>K002N-100MBCIR</t>
  </si>
  <si>
    <t>K002N-1G2MBCIR</t>
  </si>
  <si>
    <t>K002N-1G4MBCIR</t>
  </si>
  <si>
    <t>K002N-1G5MBCIR</t>
  </si>
  <si>
    <t>K002N-1G8MBCIR</t>
  </si>
  <si>
    <t>K002N-10G5MBCR</t>
  </si>
  <si>
    <t>K002N-1G20MBCR</t>
  </si>
  <si>
    <t>K002N-1G50MBCR</t>
  </si>
  <si>
    <t>K002N-1G100MCR</t>
  </si>
  <si>
    <t>K002N-1G150MCR</t>
  </si>
  <si>
    <t>K002N-1G250MCR</t>
  </si>
  <si>
    <t>K002N-1G500MCR</t>
  </si>
  <si>
    <t>K002N-1G600MCR</t>
  </si>
  <si>
    <t>K002N-1G1000MC</t>
  </si>
  <si>
    <t>K002N-CIRS-100</t>
  </si>
  <si>
    <t>K002N-CIRS-101-500</t>
  </si>
  <si>
    <t>K002N-CIRS-501-1009</t>
  </si>
  <si>
    <t>K002N-50ADDMAC</t>
  </si>
  <si>
    <t>K002N-ADMNCHG</t>
  </si>
  <si>
    <t>K002N-TZUP1</t>
  </si>
  <si>
    <t>K002N-WCT-PT</t>
  </si>
  <si>
    <t>K002N-CM-1L5XX</t>
  </si>
  <si>
    <t>K002N-REP</t>
  </si>
  <si>
    <t>K002N-LCD-PN</t>
  </si>
  <si>
    <t>K002N-AWCD-PN</t>
  </si>
  <si>
    <t>K002N-IWCD-PC</t>
  </si>
  <si>
    <t>K002N-EP-PE</t>
  </si>
  <si>
    <t>K002N-EP-FP</t>
  </si>
  <si>
    <t>K002-N-EP-LCP</t>
  </si>
  <si>
    <t>K002N-CM-FIXED</t>
  </si>
  <si>
    <t>K002N-PP</t>
  </si>
  <si>
    <t>K002L-PN</t>
  </si>
  <si>
    <t>K002L-CON</t>
  </si>
  <si>
    <t>K002L-DS1-N</t>
  </si>
  <si>
    <t>K002L-DS3-N</t>
  </si>
  <si>
    <t>K002L-MI</t>
  </si>
  <si>
    <t>K002M-PN</t>
  </si>
  <si>
    <t>K002M-CON</t>
  </si>
  <si>
    <t>K002M-DS3-N</t>
  </si>
  <si>
    <t>K002M-0C3</t>
  </si>
  <si>
    <t>K002M-DS1-N</t>
  </si>
  <si>
    <t>K002M-MI</t>
  </si>
  <si>
    <t>K002N-PN</t>
  </si>
  <si>
    <t>K002N-CON</t>
  </si>
  <si>
    <t>K002N-0C12-N</t>
  </si>
  <si>
    <t>K002N-0C3-N</t>
  </si>
  <si>
    <t>K002N-DS3-N</t>
  </si>
  <si>
    <t>K002N-DS1-N</t>
  </si>
  <si>
    <t>K002N-MI</t>
  </si>
  <si>
    <t>K002N-OP/EL-AD</t>
  </si>
  <si>
    <t>Aastra 6757i</t>
  </si>
  <si>
    <t>Aastra 6757i DS</t>
  </si>
  <si>
    <t>Aastra 6757i Op Mt</t>
  </si>
  <si>
    <t>Aastra 6757i CT</t>
  </si>
  <si>
    <t>Aastra 6757i CT DS</t>
  </si>
  <si>
    <t>Aastra 6757i CT Op Mt</t>
  </si>
  <si>
    <t xml:space="preserve">6757i CT Add HS </t>
  </si>
  <si>
    <t xml:space="preserve"> NA</t>
  </si>
  <si>
    <t>6757i CT Add HS DS</t>
  </si>
  <si>
    <t>C3925 UC SEC CUBE Bundle, PVDM3-64, UC SEC Lic, FL-CUBEE-25</t>
  </si>
  <si>
    <t>802.11g/n Fixed Auto AP; Int Ant; A Reg Domain</t>
  </si>
  <si>
    <t>7916 UC Phone Color Expansion Module</t>
  </si>
  <si>
    <t>Cisco 7925G FCC; Battery/Power Supply Not Included</t>
  </si>
  <si>
    <t>Cisco UC Conference Station 7937 Global</t>
  </si>
  <si>
    <t>Cisco UC Phone 7965, Gig Ethernet, Color, spare</t>
  </si>
  <si>
    <t xml:space="preserve">APC Smart-UPS RT 2200VA RM 120V </t>
  </si>
  <si>
    <t>Proposed Modification 4/23/12 Please assign CLIN</t>
  </si>
  <si>
    <t xml:space="preserve">Calling Plan "B" Charge Charge per Concurrent Call per Site (Local and On-Net LD included  All other LD priced per minute.) </t>
  </si>
  <si>
    <t>Proposed Modification 4/23/12 Please Remove</t>
  </si>
  <si>
    <t>Month to month charge reflects maintenance charges</t>
  </si>
  <si>
    <t>CACH Electronic Key Terminal Service (CACH EKTS) Feature Package (EFV1X)</t>
  </si>
  <si>
    <t xml:space="preserve">Basic Electronic Key Terminal Service (Basic EKTS) Feature Package (FPG1X) </t>
  </si>
  <si>
    <t>Type 101 Channel Termination(1LMCY, 1L3QY)</t>
  </si>
  <si>
    <t>Type 101 Interoffice Channel mileage (1L3QS, 1LMCS)</t>
  </si>
  <si>
    <t>Per terminal (two required per interoffice channel)</t>
  </si>
  <si>
    <t>Per mile or fraction thereof, per channel</t>
  </si>
  <si>
    <t xml:space="preserve">each per first termination on a premises </t>
  </si>
  <si>
    <t xml:space="preserve">Private Line Type 101 Circuits </t>
  </si>
  <si>
    <t>Type 101 Local Distribution Channel (1DAJX)</t>
  </si>
  <si>
    <t>Type 101 Interoffice Channel mileage fixed rate (JZ6JS)</t>
  </si>
  <si>
    <t>Type 101 Interoffice Channel mileage each additional mile (JZ6JS)</t>
  </si>
  <si>
    <t xml:space="preserve">fixed rate </t>
  </si>
  <si>
    <t xml:space="preserve">each additional mile or fraction thereof </t>
  </si>
  <si>
    <t xml:space="preserve">03A52-SRG </t>
  </si>
  <si>
    <t>Selective Class of Call Screening - (SRG)</t>
  </si>
  <si>
    <t>Long Distance Message Telecom. Service Tariff</t>
  </si>
  <si>
    <t>03ACBLK-001A</t>
  </si>
  <si>
    <t>03A46MWI-001A</t>
  </si>
  <si>
    <t>03A37-001A</t>
  </si>
  <si>
    <t>03A38-001A</t>
  </si>
  <si>
    <t>03A36-001A</t>
  </si>
  <si>
    <t>K002L-1L3QY</t>
  </si>
  <si>
    <t>K002L-CM</t>
  </si>
  <si>
    <t>K002L-CT</t>
  </si>
  <si>
    <t>002L-1L3QY</t>
  </si>
  <si>
    <t>002L-CM</t>
  </si>
  <si>
    <t>002L-CT</t>
  </si>
  <si>
    <t>Type 101 Interoffice Channel Terminal (OXNTL)(OXNSL)</t>
  </si>
  <si>
    <t>03A65-BASEKTS</t>
  </si>
  <si>
    <t>03A65-CACEKTS</t>
  </si>
  <si>
    <t>**</t>
  </si>
  <si>
    <t>900 Call Restriction - Single Payment Option - (USOC- CREXK)</t>
  </si>
  <si>
    <t>03A64-CREXK</t>
  </si>
  <si>
    <t>900 Call Restriction - Single Payment Option (CREXN)</t>
  </si>
  <si>
    <t xml:space="preserve">Polycom Soundstations </t>
  </si>
  <si>
    <t>PC 16000</t>
  </si>
  <si>
    <t>Polycom Soundstation2 non-expandable Part #2200-16000-001</t>
  </si>
  <si>
    <t>Kansas / Missouri</t>
  </si>
  <si>
    <t>PC 16200</t>
  </si>
  <si>
    <t>Polycom Soundstation2 expandable (w/o mics) Part # 2200-16200-001</t>
  </si>
  <si>
    <t>PC 16155</t>
  </si>
  <si>
    <t>Polycom Soundstation2 External Microphones Part #2200-16155-001</t>
  </si>
  <si>
    <t xml:space="preserve">Wireless </t>
  </si>
  <si>
    <t>PC 07880</t>
  </si>
  <si>
    <t>Polycom Soundstation2W non- expandable Part #2200-07880-001</t>
  </si>
  <si>
    <t>PC 07840</t>
  </si>
  <si>
    <t>Polycom Soundstation2W expandable (w/o mics) Part #2200-07840-001</t>
  </si>
  <si>
    <t>PC 07800</t>
  </si>
  <si>
    <t>Polycom Soundstation2W External Microphones Part # 2200-07800-160</t>
  </si>
  <si>
    <t xml:space="preserve">Per Station </t>
  </si>
  <si>
    <t>DSL Direct Services  (No Telepnone Use)</t>
  </si>
  <si>
    <t>Plexar I System Charge, Per System (ABCPS/ABCS1)</t>
  </si>
  <si>
    <t>Plexar I Package 2, Per System Charge (ABCS2)</t>
  </si>
  <si>
    <t>Plexar I Feature Capability Charge, Per Plexar I Line Without Optional Features (ABCFG)</t>
  </si>
  <si>
    <t xml:space="preserve">**See Notes below </t>
  </si>
  <si>
    <t>Plexar I Feature Capability Charge, Per Plexar I Line With Optional Features (ABCFE)</t>
  </si>
  <si>
    <t>Plexar I Feature Capability Charge, Per Plexar I Line Equipped with Call Transfer Disconnect (ABCFD/ABCFF)</t>
  </si>
  <si>
    <t>Call Forwarding, Per Plexar I Line Equipped (ABCCF)</t>
  </si>
  <si>
    <t>Auto Redial, Per Plexar Line Equipped (NL9)</t>
  </si>
  <si>
    <t xml:space="preserve">Call Blocker, Per Plexar I Line Equipped (NL5) </t>
  </si>
  <si>
    <t>Call Forwarding-Outside System, Per Plexar I Line Equipped with Busy (ABCA3)</t>
  </si>
  <si>
    <t>Call Forwarding-Outside System, Per Plexar I Line Equipped with Don't Answer (ABCA4)</t>
  </si>
  <si>
    <t>Call Forwarding-Outside System, Per Plexar I Line Equipped with Busy/Don't Answer (ABCA5)</t>
  </si>
  <si>
    <t xml:space="preserve">Remote Access to Call Forwarding, Per Plexar I Line Equpped  (HRM) </t>
  </si>
  <si>
    <t>Call Forwarding-Inside System, Per Plexar I Line Equipped with Busy (ABCA1)</t>
  </si>
  <si>
    <t>Call Forwarding-Inside System, Per Plexar I Line Equipped with Don't Answer (ABCA2)</t>
  </si>
  <si>
    <t>Call Forwarding-Inside System, Per Plexar I Line Equipped with Busy/Don't Answer (ABCAA)</t>
  </si>
  <si>
    <t>Call Return, Per Plexar I Line Equipped (NL8)</t>
  </si>
  <si>
    <t>Call Trace, Per Plexar I Line Equipped (N8T)</t>
  </si>
  <si>
    <t>Call Transfer Disconnect, Per Plexar I Line Equipped (ABCTD)</t>
  </si>
  <si>
    <t xml:space="preserve">Call Waiting, Per Plexar I Line Equipped (ABCCW) </t>
  </si>
  <si>
    <t>Calling Name Delivery, Per Plexar I Line Equipped (NNM)</t>
  </si>
  <si>
    <t>Calling Number Delivery, Per Plexar I Line Equipped (NLD)</t>
  </si>
  <si>
    <t>Calling Number and Name Delivery, Per Plexar I Line Equipped (NCN)</t>
  </si>
  <si>
    <t xml:space="preserve">** Only one charge applies per Plexar-I line when adding any number of optional features subsequent to the installation of the Plexar-I line.  The highest charge will be applied based upon features ordered.  </t>
  </si>
  <si>
    <t xml:space="preserve">Installation applies to new systems or growth on existing systems.  **See Notes Below </t>
  </si>
  <si>
    <t xml:space="preserve">Obsolete, Only available for existing customers.  </t>
  </si>
  <si>
    <t>Plexar I Feature Capability Charge, Per Plexar I Line Without Optional Features (ABCFC)</t>
  </si>
  <si>
    <t>Plexar I Feature Capability Charge, Per Plexar I Line Equipped with Call Transfer Disconnect (ABCFD, ABCFF)</t>
  </si>
  <si>
    <t>Remote Access to Call Forwarding, Per Plexar I Line Equpped (HRM)</t>
  </si>
  <si>
    <t xml:space="preserve">Product is Grandfathered and only available to existing accounts.  </t>
  </si>
  <si>
    <t>Call Hunting (BASIC OR CIRCULAR)</t>
  </si>
  <si>
    <t>Call Hold Per PlexarI line equipped</t>
  </si>
  <si>
    <t xml:space="preserve">Call Hunting (BASIC OR CIRCULAR) Per Plexar I equipped </t>
  </si>
  <si>
    <t>Toll Restriction (MVPTL) Per Plexar I Line Equipped</t>
  </si>
  <si>
    <t>TBD</t>
  </si>
  <si>
    <t>TB D</t>
  </si>
  <si>
    <t xml:space="preserve">Customer Alerting Enablement- (MWC, MW7, &amp; MWQ2X) Per Plexar I line equipped </t>
  </si>
  <si>
    <t>Automatic Voice Connecting Arrangement (GTS)</t>
  </si>
  <si>
    <t xml:space="preserve">Call forwarding busy, no answer, outside system required with voice mail  ** See Notes Below </t>
  </si>
  <si>
    <t>Installation Charge applies when requested after installation.** See Notes Below</t>
  </si>
  <si>
    <t>Call forwarding busy, no answer outside system required with voice mail  ** See Notes Below</t>
  </si>
  <si>
    <t xml:space="preserve">**See Notes Below </t>
  </si>
  <si>
    <t xml:space="preserve">** See Note Below </t>
  </si>
  <si>
    <t xml:space="preserve">Per Line  </t>
  </si>
  <si>
    <t xml:space="preserve">Available on Basic Callnotes </t>
  </si>
  <si>
    <t xml:space="preserve">aka - Automatic Recall - allows user to automatically redial the last Outgoing call by dialing an Access Code.  ** See Notes Below </t>
  </si>
  <si>
    <t xml:space="preserve">Redials last incoming call  ** See Note Below </t>
  </si>
  <si>
    <t xml:space="preserve">PER SUCCESSFUL TRACE  **See Notes Below </t>
  </si>
  <si>
    <t xml:space="preserve">**See Note Below </t>
  </si>
  <si>
    <t>Contact Name: Brenda PohlEmail: brenda.pohl@att.com</t>
  </si>
  <si>
    <r>
      <t xml:space="preserve">Phone number:         </t>
    </r>
    <r>
      <rPr>
        <b/>
        <sz val="10"/>
        <rFont val="Tahoma"/>
        <family val="2"/>
      </rPr>
      <t>314-505-2524</t>
    </r>
  </si>
  <si>
    <t>GSA Region 6 LSA                   Contract #GS006T11BND0013</t>
  </si>
  <si>
    <t>QTY</t>
  </si>
  <si>
    <t>TOTAL GSA MRC</t>
  </si>
  <si>
    <t>DODB Month To Month</t>
  </si>
  <si>
    <t>TOTAL DODB End User Agency</t>
  </si>
  <si>
    <t>DODB One-Time Installation Price</t>
  </si>
  <si>
    <t>DODB TOTAL End User Agency</t>
  </si>
  <si>
    <t xml:space="preserve">TOTAL GSA NRC </t>
  </si>
  <si>
    <t>Analog - Single Line - Standard Features Bundle (Includes Caller ID Number</t>
  </si>
  <si>
    <r>
      <t>Bundled Analog Centrex/Plexar Line (TCPCX, FZA and 1LSEA)</t>
    </r>
    <r>
      <rPr>
        <sz val="10"/>
        <color rgb="FFFF0000"/>
        <rFont val="Tahoma"/>
        <family val="2"/>
      </rPr>
      <t xml:space="preserve"> ( SHWPT /STWEA/STWSA/STWLA/SHWOP/STWBF )</t>
    </r>
  </si>
  <si>
    <t>Speed Calling - SHORT LIST</t>
  </si>
  <si>
    <r>
      <t xml:space="preserve">Call Forward Busy/Don't Answer - Outside System- (USOC-FVJ)  </t>
    </r>
    <r>
      <rPr>
        <sz val="10"/>
        <color rgb="FFFF0000"/>
        <rFont val="Tahoma"/>
        <family val="2"/>
      </rPr>
      <t>(SWZCF,SWZDA)</t>
    </r>
  </si>
  <si>
    <t>AT&amp;T Credit</t>
  </si>
  <si>
    <t>Federal Subscriber Line Charge (aka EUCL)</t>
  </si>
  <si>
    <t>Federal Universal Service Fund Fee</t>
  </si>
  <si>
    <t>Per Hr.</t>
  </si>
  <si>
    <t>Per Trunk</t>
  </si>
  <si>
    <t>Special Municipal Charge ***</t>
  </si>
  <si>
    <t>Analog - 2 Line - Standard Features Bundle (Includes Caller ID Number)</t>
  </si>
  <si>
    <t>Analog - 4 Line - Standard features  Bundle (Includes Caller ID Number)</t>
  </si>
  <si>
    <t>Estimated on a 10:1 ratio ($1.12)</t>
  </si>
  <si>
    <t>Analog FAX / Modem Line</t>
  </si>
  <si>
    <t>***MAC Install Technician (CPE)</t>
  </si>
  <si>
    <t>Relay Missouri Surcharge</t>
  </si>
  <si>
    <t>Missouri Universal Service Fund Fee **</t>
  </si>
  <si>
    <t>Municipal Gross Receipts Surcharge</t>
  </si>
  <si>
    <t>Analog - Single Line -  Standard features Bundle (Includes Caller ID Number)</t>
  </si>
  <si>
    <t>ISDN 10 Button Bundle - 1 Line / 1  B Channel  - Standard Features (Includes Caller ID Number)</t>
  </si>
  <si>
    <r>
      <t xml:space="preserve">Bundled ISDN Centrex/Plexar Line (TCPCX, XRB and 1LSDA) - B Channels priced separately    </t>
    </r>
    <r>
      <rPr>
        <sz val="10"/>
        <color rgb="FFFF0000"/>
        <rFont val="Tahoma"/>
        <family val="2"/>
      </rPr>
      <t xml:space="preserve">( SWRDP STHVD STHXX STRBC ) </t>
    </r>
  </si>
  <si>
    <t xml:space="preserve">Centrex/Plexar Digital Station (ISDN) (National), per B-Channel(USOC-LTG1X, )  </t>
  </si>
  <si>
    <r>
      <t>Call Forward Busy/Don't Answer - Outside System- (USOC-FVJ)</t>
    </r>
    <r>
      <rPr>
        <sz val="10"/>
        <color rgb="FFFF0000"/>
        <rFont val="Tahoma"/>
        <family val="2"/>
      </rPr>
      <t xml:space="preserve"> (SWZCF,SWZDA)</t>
    </r>
  </si>
  <si>
    <t>Per Digital Interface</t>
  </si>
  <si>
    <t>Kansas Universal Service Fund Fee **</t>
  </si>
  <si>
    <t>ISDN 10 Button Bundle - Second B channel Only - Standard Features (Includes Caller ID Number)</t>
  </si>
  <si>
    <t>Can not be purchased independent of a first "B" channel bundle.  One K001E will support 2 K001E-BCs.</t>
  </si>
  <si>
    <t xml:space="preserve">This "B" channel will traverse an existing Centrex/Plexar line.  One K001E -BC will support a first "B" channel and a second "B" channel.  </t>
  </si>
  <si>
    <t>Call Forward Busy/Don't Answer - Outside System (FVJ)</t>
  </si>
  <si>
    <t>Federal End User Port Charge</t>
  </si>
  <si>
    <t>ISDN 20 Button Bundle - 1 Line / First "B" Channel - Standard Features (Includes Caller ID Number)</t>
  </si>
  <si>
    <t>ISDN 20 Button Bundle -  Second "B" Channel  ONLY- Standard Features (Includes Caller ID Number)</t>
  </si>
  <si>
    <t>QTY.</t>
  </si>
  <si>
    <t>ISDN 10 Button Bundle - 1 Line / 1B Channel - Standard Features (Includes CALLER ID Number)</t>
  </si>
  <si>
    <r>
      <t xml:space="preserve">Bundled ISDN Centrex/Plexar Line (TCPCX, XRB and 1LSDA) - B Channels priced separately    </t>
    </r>
    <r>
      <rPr>
        <sz val="10"/>
        <color rgb="FFFF0000"/>
        <rFont val="Tahoma"/>
        <family val="2"/>
      </rPr>
      <t xml:space="preserve">(SWRDP STHVD STHXX STRBC) </t>
    </r>
  </si>
  <si>
    <t>ISDN 10 Button Bundle - Second B Channel Only  - Standard Features (Includes Caller ID Number)</t>
  </si>
  <si>
    <t>ISDN  20 Button Bundle - 1 Line / 1B Channel - Standard Features (Includes CALLER ID Number)</t>
  </si>
  <si>
    <t>ISDN 20 Button Bundle - Second B Channel Only  - Standard Features (Includes Caller ID Number)</t>
  </si>
  <si>
    <t>K001D-1lv-Bd</t>
  </si>
  <si>
    <t>K001D-2lv-Bd</t>
  </si>
  <si>
    <t>K001D-4lv-Bd</t>
  </si>
  <si>
    <t>K001D-1lf-Bd</t>
  </si>
  <si>
    <t>001D-1lv-Bd</t>
  </si>
  <si>
    <t>001D-2lv-Bd</t>
  </si>
  <si>
    <t>001D-4lv-Bd</t>
  </si>
  <si>
    <t>K001E-10B1-Bd</t>
  </si>
  <si>
    <t>K001E-10B2-Bd</t>
  </si>
  <si>
    <t>K001E-20B1-Bd</t>
  </si>
  <si>
    <t>K001E-20B2-Bd</t>
  </si>
  <si>
    <t>001E-10B1-Bd</t>
  </si>
  <si>
    <t>001E-10B2-Bd</t>
  </si>
  <si>
    <t>001E-20B1-Bd</t>
  </si>
  <si>
    <t>001E-20B2-Bd</t>
  </si>
  <si>
    <t xml:space="preserve">Standard Features on Plexar I Equipped Lines only: Add-On/Consultation Hold, Call Hold, Call Pickup, Station to Station Dialing, Transfer. </t>
  </si>
  <si>
    <t xml:space="preserve">ABCS1 is obsolete and only used for existing customers  ** See Notes below </t>
  </si>
  <si>
    <r>
      <t xml:space="preserve">Address: </t>
    </r>
    <r>
      <rPr>
        <b/>
        <sz val="8"/>
        <rFont val="Tahoma"/>
        <family val="2"/>
      </rPr>
      <t>12851 Manchester Road, St. Louis, MO 63131</t>
    </r>
  </si>
  <si>
    <r>
      <t xml:space="preserve">Contact Name: </t>
    </r>
    <r>
      <rPr>
        <b/>
        <sz val="8"/>
        <rFont val="Tahoma"/>
        <family val="2"/>
      </rPr>
      <t>Brenda Pohl</t>
    </r>
  </si>
  <si>
    <t>Kansas Elements</t>
  </si>
  <si>
    <t>Phone number: 314-505-2524</t>
  </si>
  <si>
    <r>
      <t xml:space="preserve">Email: </t>
    </r>
    <r>
      <rPr>
        <b/>
        <sz val="8"/>
        <rFont val="Tahoma"/>
        <family val="2"/>
      </rPr>
      <t>brenda.pohl@att.com</t>
    </r>
  </si>
  <si>
    <t>Line Item Number</t>
  </si>
  <si>
    <t>Product</t>
  </si>
  <si>
    <t>MRC Product Components</t>
  </si>
  <si>
    <t xml:space="preserve">Port Charge </t>
  </si>
  <si>
    <t>Fed Access Charge (EUCL)</t>
  </si>
  <si>
    <t xml:space="preserve">Kansas Universal Service Fund </t>
  </si>
  <si>
    <t>Fed Universal Fund Fee</t>
  </si>
  <si>
    <t>KS Universal Service Fund Fee (Toll)</t>
  </si>
  <si>
    <t>Special Municipal Charge</t>
  </si>
  <si>
    <t>Notes</t>
  </si>
  <si>
    <t>K001A-1FL</t>
  </si>
  <si>
    <t xml:space="preserve"> Business Line (1FL)</t>
  </si>
  <si>
    <t>Flat Rate Business Access Line</t>
  </si>
  <si>
    <t>(9ZR22)</t>
  </si>
  <si>
    <t>Federal Subscriber Line  Charge (aka EUCL)</t>
  </si>
  <si>
    <t>(URS)</t>
  </si>
  <si>
    <t>Kansas Universal Service fund Fee</t>
  </si>
  <si>
    <t>(9PZBU)</t>
  </si>
  <si>
    <t>KS Universal Service Fund</t>
  </si>
  <si>
    <t>***</t>
  </si>
  <si>
    <t xml:space="preserve"> Business Line (1BH)</t>
  </si>
  <si>
    <t>(9ZR)</t>
  </si>
  <si>
    <t>(9PZLM)</t>
  </si>
  <si>
    <t>ISDN BRI Line (Z22, Z23)</t>
  </si>
  <si>
    <t xml:space="preserve">Basic Rate Interface </t>
  </si>
  <si>
    <t>(PT8YX)</t>
  </si>
  <si>
    <t>(9ZRB2)</t>
  </si>
  <si>
    <t>Kansas Universal Service Fund Fee</t>
  </si>
  <si>
    <t>(9PZL1)</t>
  </si>
  <si>
    <t>Analog Plexar-(STWEA)</t>
  </si>
  <si>
    <t>Basic Centrex/Plexar Station (USOC-SHWCF)</t>
  </si>
  <si>
    <t>****</t>
  </si>
  <si>
    <t xml:space="preserve">(URS) </t>
  </si>
  <si>
    <t>(9PZCX)</t>
  </si>
  <si>
    <t>KS Universal Service Fund Fee **</t>
  </si>
  <si>
    <t>Digital Plexar-(SW9UT)</t>
  </si>
  <si>
    <t>Centrex/Plexar Digital Interface (ISDN) (National), per station 5ESS (USOC-SWRDP)</t>
  </si>
  <si>
    <t xml:space="preserve">(9ZR) </t>
  </si>
  <si>
    <t>Please See Notes</t>
  </si>
  <si>
    <t>K001E-SPMC</t>
  </si>
  <si>
    <t>Analog 2-way Trunk (TFC, TFB++)</t>
  </si>
  <si>
    <t>Flat Rate 2-way Analog Trunk</t>
  </si>
  <si>
    <t>(9PZPX)</t>
  </si>
  <si>
    <t>ISDN PRI (ZPAZD)</t>
  </si>
  <si>
    <t>ISDN PRI SmartTrunk Interface</t>
  </si>
  <si>
    <t>(PT8ZX)</t>
  </si>
  <si>
    <t>(9ZRP1)</t>
  </si>
  <si>
    <t>(9PZP1)</t>
  </si>
  <si>
    <t>Super Trunk (N2Y1X)</t>
  </si>
  <si>
    <t>SuperTrunk Port</t>
  </si>
  <si>
    <t>Type 101 Circuit</t>
  </si>
  <si>
    <t>Local Channel (USOC-1L3QY, 1LMCY)</t>
  </si>
  <si>
    <t>Per 1st termination on a premise</t>
  </si>
  <si>
    <t>Type 102 Circuit</t>
  </si>
  <si>
    <t>Local Channel Intraexchange (USOC-1L3QY, 1LMCY)</t>
  </si>
  <si>
    <t>Voice Grade Private Line 311 Circuit (1LPAY)</t>
  </si>
  <si>
    <t>Voice Grade Private Line 420 Circuit (1LMDY)</t>
  </si>
  <si>
    <t>Local Channel - Intraexchange (Same CO) (1LMDY)</t>
  </si>
  <si>
    <t>Local Channel - Interexchange (Different CO's) (1LMDY)</t>
  </si>
  <si>
    <t>Voice Grade Private Line 423 Circuit (1LMGY)</t>
  </si>
  <si>
    <t>Local Channel (1LMGY)</t>
  </si>
  <si>
    <t>Tie Line 424 Circuit (1LMHY)</t>
  </si>
  <si>
    <t>Local Channel - Intraexchange (Same CO) (1LMHY)</t>
  </si>
  <si>
    <t>Voice Grade Private Line 425 Circuit (1LMJY)</t>
  </si>
  <si>
    <t>Local Channel - Intraexchange (Same CO) (1LMJY)</t>
  </si>
  <si>
    <t>002A-428</t>
  </si>
  <si>
    <t>OPX 428 Circuit (1LMKY)</t>
  </si>
  <si>
    <t>DS0 (private line)* (56K)-(T6ECS)</t>
  </si>
  <si>
    <t>Local Distribution Channels - (USOC- T6ECS)</t>
  </si>
  <si>
    <t>DS0 (private line)* (64K) - (T6ECS)</t>
  </si>
  <si>
    <t>DS1 (private line)*</t>
  </si>
  <si>
    <t>Local Distribution Channels-(TMECS)</t>
  </si>
  <si>
    <t>DS3 (private line)*</t>
  </si>
  <si>
    <t>Local Distribution Channels(USOC-TZUP1)</t>
  </si>
  <si>
    <t>OC3 (private line)*</t>
  </si>
  <si>
    <t>Local Distribution Channels- (USOC - TCXBX)</t>
  </si>
  <si>
    <t>OC12 SDP1 Pt-to-Pt (private line)*</t>
  </si>
  <si>
    <t>Local Distribution Channels- (USOC - TMECS)</t>
  </si>
  <si>
    <t>OC48 SDP1 Pt-to-Pt (private line)*</t>
  </si>
  <si>
    <t>Local Distribution Channels(TMECS)</t>
  </si>
  <si>
    <t>OPT-E-MAN Bronze Switched) *</t>
  </si>
  <si>
    <t>Basic Plus Port and CIR (1G Port w/600Mpbs)</t>
  </si>
  <si>
    <t xml:space="preserve"> * CLIN will be determined by the speed of the Opt-E-Man ordered </t>
  </si>
  <si>
    <t>GigaMAN (private line)*</t>
  </si>
  <si>
    <t>Local Distribution Channels- (USOC -TZUP1)</t>
  </si>
  <si>
    <t>OC3 SONET RING (private line) *(FP5CX)</t>
  </si>
  <si>
    <t>Priced per element and elements follow: Customer Premises Initial Node</t>
  </si>
  <si>
    <t>OC12 SONET RING (private line)* (FPDCX)</t>
  </si>
  <si>
    <t>OC48 SONET RING (private line)* (FPDEX)</t>
  </si>
  <si>
    <t xml:space="preserve">All Fees and Surcharges are passed through as regulated.  </t>
  </si>
  <si>
    <t>Note1</t>
  </si>
  <si>
    <t>If DS1, DS3, OCN Pt to Pt and SONET Ring Services are purchased from the FCC Interstate Tariff, then the FUSF would apply.</t>
  </si>
  <si>
    <t>Note 2  **</t>
  </si>
  <si>
    <t>Note 3  ***</t>
  </si>
  <si>
    <t xml:space="preserve">pass through municipal charges range from .01% to 2.75% or may be a flat rate. Each city or muniicipality may differ see the State Municipal Spreadsheet to determine the rate.  The % rate is based on the gross receipts and the flat rate amount is per line based on the rate for each municipality.  </t>
  </si>
  <si>
    <t>Note 4  ****</t>
  </si>
  <si>
    <t xml:space="preserve">An equivalent to the Business EUCL charge will apply per PLEXAR access line.  However, customer billing will reflect EUCL charges on each PLEXAR station with EUCL credits given once each month, based upon the difference between the number of access lines and the number of PLEXAR stations.  The net effect will be that EUCL charges are only being applied to the access lines. </t>
  </si>
  <si>
    <t xml:space="preserve">Missouri Elements </t>
  </si>
  <si>
    <t>Port Charge</t>
  </si>
  <si>
    <t>MO Universal Service Fund Fee</t>
  </si>
  <si>
    <t xml:space="preserve">Municipal Gross Receips Surcharge </t>
  </si>
  <si>
    <t>001A- 1FL</t>
  </si>
  <si>
    <t>Missouri Universal Service Fund Fee</t>
  </si>
  <si>
    <t>002F -56K</t>
  </si>
  <si>
    <t>002F-64K</t>
  </si>
  <si>
    <t>002F - DS1</t>
  </si>
  <si>
    <t>002G - DS3</t>
  </si>
  <si>
    <t>002H-OC3</t>
  </si>
  <si>
    <t>002I - OC12</t>
  </si>
  <si>
    <t>002J -OC48</t>
  </si>
  <si>
    <t>002K -GIGA</t>
  </si>
  <si>
    <t xml:space="preserve">GigaMAN (private line) </t>
  </si>
  <si>
    <t>002L -OC3 -S</t>
  </si>
  <si>
    <t xml:space="preserve">002N-OC3 </t>
  </si>
  <si>
    <t>SPRJX</t>
  </si>
  <si>
    <t>Port Charges (depending on configuration OC12 ports,OC48 ports, ethernet ports)</t>
  </si>
  <si>
    <t xml:space="preserve">Pass through ranges from 0.001 to 12.210% of the gross receipts depending on each municipality.  See the State Municipal spreadsheet to determine the rate of a specific municipality </t>
  </si>
  <si>
    <t>Note 4 ****</t>
  </si>
  <si>
    <t>per line</t>
  </si>
  <si>
    <t>pass through range from .01% to 2.75% each city and municipality differs</t>
  </si>
  <si>
    <t>6.13% applies to toll</t>
  </si>
  <si>
    <t>Per Basic Rate Interface</t>
  </si>
  <si>
    <t>Per B Channel</t>
  </si>
  <si>
    <t>001D-PLEXAR</t>
  </si>
  <si>
    <t>001E-ISDN-PLEXAR</t>
  </si>
  <si>
    <t>A Business EUCL (9ZR) should be applied to each "B-channel" configured for circuit switching. In the case of a B-channel configured for On Demand B-channel Packet Switched Data, a business EUCL should be applied. When a customer subscirbes to "packet only" service(permanent packet on the B-channel or D-channel packet), no EUCL charg should be apply.</t>
  </si>
  <si>
    <t>001H-Analog</t>
  </si>
  <si>
    <t>001I-PRI</t>
  </si>
  <si>
    <t>Per Span or T1</t>
  </si>
  <si>
    <t>001J-SUPER TRUNKS</t>
  </si>
  <si>
    <t>002A-311</t>
  </si>
  <si>
    <t>002A-102</t>
  </si>
  <si>
    <t>002A-420</t>
  </si>
  <si>
    <t>002A-423</t>
  </si>
  <si>
    <t>002A-424</t>
  </si>
  <si>
    <t>002A-425</t>
  </si>
  <si>
    <t xml:space="preserve">002E-56K </t>
  </si>
  <si>
    <t>002E-64K</t>
  </si>
  <si>
    <t>002F-DS1</t>
  </si>
  <si>
    <t>002G-DS3</t>
  </si>
  <si>
    <t>002I-OC12</t>
  </si>
  <si>
    <t>002M-OPT-E</t>
  </si>
  <si>
    <t>002K-GIGA</t>
  </si>
  <si>
    <t>002L-OC3-S</t>
  </si>
  <si>
    <t>002M-OC12-S</t>
  </si>
  <si>
    <t>002N-OC48-S</t>
  </si>
  <si>
    <t xml:space="preserve">KS Universal Service Fee is 6.13% applied to toll and $1.91 applied to URS services </t>
  </si>
  <si>
    <t>Total of Monthly Services x .0025</t>
  </si>
  <si>
    <t xml:space="preserve">Pass through ranges from 0.001 to 12.210% depending on each municipality.  </t>
  </si>
  <si>
    <t>001C-BRI</t>
  </si>
  <si>
    <t>001E-ISDN PLEXAR</t>
  </si>
  <si>
    <t>A Business EUCL (9ZR) should be applied to each "B-channel" configured for circuit switching. In the case of a B-channel configured for On Demand B-channel Packet Switched Data, a business EUCL should be applied. When a customer subscribes to "packet only" service (permanent packet on the B-channel or D-channel packet), no EUCL charge should be apply.</t>
  </si>
  <si>
    <t xml:space="preserve"> Per Plexar Station</t>
  </si>
  <si>
    <t>001H-ANALOG TRK</t>
  </si>
  <si>
    <t xml:space="preserve">Per Trunk </t>
  </si>
  <si>
    <t>001I-ISDN</t>
  </si>
  <si>
    <t xml:space="preserve">Per Span or T1 </t>
  </si>
  <si>
    <t>001J-SUPER TRK</t>
  </si>
  <si>
    <t>002A-101</t>
  </si>
  <si>
    <t>0024-420-I</t>
  </si>
  <si>
    <t>002M-OPT-E-MAN</t>
  </si>
  <si>
    <t>Missouri Universal Service Fund Fee currently at 0.25%</t>
  </si>
  <si>
    <t xml:space="preserve">Voice Grade Ckt (Special Access Svc) </t>
  </si>
  <si>
    <t xml:space="preserve">Channel Termination 2-Wire (USOC T6E2X) </t>
  </si>
  <si>
    <t xml:space="preserve">Per Point of Termination </t>
  </si>
  <si>
    <t xml:space="preserve">Access Service Tariff Price List Section 7 </t>
  </si>
  <si>
    <t>Channel Termination 4-Wire (USOC T6E4X)</t>
  </si>
  <si>
    <t xml:space="preserve">Channel Mileage 0-4 MI Fixed Rate (USOC 1L5XX) </t>
  </si>
  <si>
    <t xml:space="preserve">Fixed Rate </t>
  </si>
  <si>
    <t xml:space="preserve">Channel Mileage 0-4 MI Per Mile Rate (USOC 1L5XX) </t>
  </si>
  <si>
    <t xml:space="preserve">Per Mile </t>
  </si>
  <si>
    <t xml:space="preserve">Channel Mileage 4-8 MI Fixed Rate (USOC 1L5XX) </t>
  </si>
  <si>
    <t xml:space="preserve">Channel Mileage 4-8 MI Per Mile Rate (USOC 1L5XX) </t>
  </si>
  <si>
    <t xml:space="preserve">Channel Mileage 8-25 MI Fixed Rate (USOC 1L5XX) </t>
  </si>
  <si>
    <t xml:space="preserve">Channel Mileage 8-25 MI Per Mile Rate (USOC 1L5XX) </t>
  </si>
  <si>
    <t xml:space="preserve">Channel Mileage 25-50 MI Fixed Rate (USOC 1L5XX) </t>
  </si>
  <si>
    <t xml:space="preserve">Channel Mileage 25-50 MI Per Mile Rate (USOC 1L5XX) </t>
  </si>
  <si>
    <t xml:space="preserve">Channel Mileage Over 50 MI Fixed Rate (USOC 1L5XX) </t>
  </si>
  <si>
    <t xml:space="preserve">Channel Mileage Over 50 MI Per Mile Rate (USOC 1L5XX) </t>
  </si>
  <si>
    <t xml:space="preserve">Metallic Service Circuit (Special Access) </t>
  </si>
  <si>
    <t>Channel Termination  (USOC T6ECS)</t>
  </si>
  <si>
    <t xml:space="preserve">Per Mile Rate </t>
  </si>
  <si>
    <t xml:space="preserve">Access Service Tariff Section 7 Sheet 3 </t>
  </si>
  <si>
    <t xml:space="preserve">Metallic Service (Special Access) </t>
  </si>
  <si>
    <t xml:space="preserve">Access Service Tariff Section 7 </t>
  </si>
  <si>
    <t>Star Code Access to Voice Mail</t>
  </si>
  <si>
    <t xml:space="preserve">Per Mailbox </t>
  </si>
  <si>
    <t>General Exch Sect 16 Sheet 70</t>
  </si>
  <si>
    <t xml:space="preserve">Star Code Access to Voice Mail </t>
  </si>
  <si>
    <t xml:space="preserve">General Exchange Tariff Section 13 Sheet 136 </t>
  </si>
  <si>
    <t xml:space="preserve">Mileage Outside the Base Rate Area </t>
  </si>
  <si>
    <t>This charge is not distance sensitive and only applies outside the Base Rate Area</t>
  </si>
  <si>
    <t xml:space="preserve">General Exchange Tariff Section 12 Sheet 1.01 </t>
  </si>
  <si>
    <t xml:space="preserve">K03A52-SRG </t>
  </si>
  <si>
    <t>K-EM-UMSG</t>
  </si>
  <si>
    <r>
      <t xml:space="preserve">Phone number:      </t>
    </r>
    <r>
      <rPr>
        <b/>
        <sz val="8"/>
        <rFont val="Tahoma"/>
        <family val="2"/>
      </rPr>
      <t>314-505-2524</t>
    </r>
  </si>
  <si>
    <r>
      <t xml:space="preserve">Phone number:   </t>
    </r>
    <r>
      <rPr>
        <b/>
        <sz val="8"/>
        <rFont val="Tahoma"/>
        <family val="2"/>
      </rPr>
      <t>314-505-2524</t>
    </r>
  </si>
  <si>
    <r>
      <t xml:space="preserve">Phone number:   </t>
    </r>
    <r>
      <rPr>
        <b/>
        <sz val="9"/>
        <rFont val="Tahoma"/>
        <family val="2"/>
      </rPr>
      <t>314-505-2524</t>
    </r>
  </si>
  <si>
    <r>
      <t>Phone number:</t>
    </r>
    <r>
      <rPr>
        <b/>
        <sz val="8"/>
        <rFont val="Tahoma"/>
        <family val="2"/>
      </rPr>
      <t>314-505-2524</t>
    </r>
  </si>
  <si>
    <r>
      <t xml:space="preserve">Phone number:                                  </t>
    </r>
    <r>
      <rPr>
        <b/>
        <sz val="9"/>
        <rFont val="Tahoma"/>
        <family val="2"/>
      </rPr>
      <t>314-505-2524</t>
    </r>
  </si>
  <si>
    <r>
      <t xml:space="preserve">Phone number:                    </t>
    </r>
    <r>
      <rPr>
        <b/>
        <sz val="9"/>
        <rFont val="Tahoma"/>
        <family val="2"/>
      </rPr>
      <t>314-505-2524</t>
    </r>
  </si>
  <si>
    <r>
      <t xml:space="preserve">Phone number:                           </t>
    </r>
    <r>
      <rPr>
        <b/>
        <sz val="14"/>
        <rFont val="Tahoma"/>
        <family val="2"/>
      </rPr>
      <t>314-505-2524</t>
    </r>
  </si>
  <si>
    <t>Phone number:                           314-505-2524</t>
  </si>
</sst>
</file>

<file path=xl/styles.xml><?xml version="1.0" encoding="utf-8"?>
<styleSheet xmlns="http://schemas.openxmlformats.org/spreadsheetml/2006/main">
  <numFmts count="17">
    <numFmt numFmtId="7" formatCode="&quot;$&quot;#,##0.00_);\(&quot;$&quot;#,##0.00\)"/>
    <numFmt numFmtId="8" formatCode="&quot;$&quot;#,##0.00_);[Red]\(&quot;$&quot;#,##0.00\)"/>
    <numFmt numFmtId="44" formatCode="_(&quot;$&quot;* #,##0.00_);_(&quot;$&quot;* \(#,##0.00\);_(&quot;$&quot;* &quot;-&quot;??_);_(@_)"/>
    <numFmt numFmtId="43" formatCode="_(* #,##0.00_);_(* \(#,##0.00\);_(* &quot;-&quot;??_);_(@_)"/>
    <numFmt numFmtId="164" formatCode="mm/dd/yy;@"/>
    <numFmt numFmtId="165" formatCode="&quot;$&quot;#,##0.00"/>
    <numFmt numFmtId="166" formatCode="&quot;$&quot;#,##0.000000"/>
    <numFmt numFmtId="167" formatCode="&quot;$&quot;#,##0.000000_);[Red]\(&quot;$&quot;#,##0.000000\)"/>
    <numFmt numFmtId="168" formatCode="[=0]\-;[&lt;0.1]&quot;Growth&quot;;#,##0"/>
    <numFmt numFmtId="169" formatCode="_(&quot;$&quot;* #,##0_);_(&quot;$&quot;* \(#,##0\);_(&quot;$&quot;* &quot;-&quot;??_);_(@_)"/>
    <numFmt numFmtId="170" formatCode="&quot;$&quot;#,##0.000000_);\(&quot;$&quot;#,##0.000000\)"/>
    <numFmt numFmtId="171" formatCode="_(&quot;$&quot;* #,##0.000_);_(&quot;$&quot;* \(#,##0.000\);_(&quot;$&quot;* &quot;-&quot;??_);_(@_)"/>
    <numFmt numFmtId="172" formatCode="0.00_)"/>
    <numFmt numFmtId="173" formatCode="m/d/yy;@"/>
    <numFmt numFmtId="174" formatCode="&quot;$&quot;#,##0.00;[Red]&quot;$&quot;#,##0.00"/>
    <numFmt numFmtId="175" formatCode="[$$-409]#,##0.00;[Red][$$-409]#,##0.00"/>
    <numFmt numFmtId="176" formatCode="00000"/>
  </numFmts>
  <fonts count="76">
    <font>
      <sz val="8"/>
      <name val="Tahoma"/>
      <family val="2"/>
    </font>
    <font>
      <sz val="11"/>
      <color theme="1"/>
      <name val="Calibri"/>
      <family val="2"/>
      <scheme val="minor"/>
    </font>
    <font>
      <sz val="11"/>
      <color theme="1"/>
      <name val="Calibri"/>
      <family val="2"/>
      <scheme val="minor"/>
    </font>
    <font>
      <sz val="10"/>
      <name val="Arial"/>
      <family val="2"/>
    </font>
    <font>
      <b/>
      <sz val="12"/>
      <name val="Tahoma"/>
      <family val="2"/>
    </font>
    <font>
      <sz val="10"/>
      <name val="Tahoma"/>
      <family val="2"/>
    </font>
    <font>
      <sz val="8"/>
      <name val="Tahoma"/>
      <family val="2"/>
    </font>
    <font>
      <b/>
      <u/>
      <sz val="12"/>
      <color indexed="9"/>
      <name val="Tahoma"/>
      <family val="2"/>
    </font>
    <font>
      <sz val="9"/>
      <name val="Tahoma"/>
      <family val="2"/>
    </font>
    <font>
      <sz val="8"/>
      <name val="Arial"/>
      <family val="2"/>
    </font>
    <font>
      <b/>
      <sz val="8"/>
      <name val="Tahoma"/>
      <family val="2"/>
    </font>
    <font>
      <b/>
      <sz val="8"/>
      <name val="Arial"/>
      <family val="2"/>
    </font>
    <font>
      <sz val="8"/>
      <name val="Tahoma"/>
      <family val="2"/>
    </font>
    <font>
      <sz val="9"/>
      <name val="Arial"/>
      <family val="2"/>
    </font>
    <font>
      <b/>
      <sz val="10"/>
      <name val="Arial"/>
      <family val="2"/>
    </font>
    <font>
      <b/>
      <sz val="10"/>
      <name val="Tahoma"/>
      <family val="2"/>
    </font>
    <font>
      <b/>
      <sz val="9"/>
      <name val="Tahoma"/>
      <family val="2"/>
    </font>
    <font>
      <sz val="11"/>
      <name val="Tahoma"/>
      <family val="2"/>
    </font>
    <font>
      <b/>
      <sz val="11"/>
      <name val="Tahoma"/>
      <family val="2"/>
    </font>
    <font>
      <sz val="11"/>
      <name val="Arial"/>
      <family val="2"/>
    </font>
    <font>
      <sz val="10"/>
      <name val="Verdana"/>
      <family val="2"/>
    </font>
    <font>
      <sz val="8"/>
      <color indexed="8"/>
      <name val="Tahoma"/>
      <family val="2"/>
    </font>
    <font>
      <sz val="10"/>
      <name val="Arial"/>
      <family val="2"/>
    </font>
    <font>
      <sz val="9"/>
      <color indexed="12"/>
      <name val="Tahoma"/>
      <family val="2"/>
    </font>
    <font>
      <sz val="10"/>
      <color indexed="12"/>
      <name val="Tahoma"/>
      <family val="2"/>
    </font>
    <font>
      <sz val="8"/>
      <color indexed="10"/>
      <name val="Tahoma"/>
      <family val="2"/>
    </font>
    <font>
      <b/>
      <sz val="8"/>
      <color indexed="10"/>
      <name val="Tahoma"/>
      <family val="2"/>
    </font>
    <font>
      <strike/>
      <sz val="8"/>
      <name val="Tahoma"/>
      <family val="2"/>
    </font>
    <font>
      <b/>
      <sz val="10"/>
      <color rgb="FFFF0000"/>
      <name val="Tahoma"/>
      <family val="2"/>
    </font>
    <font>
      <b/>
      <sz val="8"/>
      <color rgb="FFFF0000"/>
      <name val="Tahoma"/>
      <family val="2"/>
    </font>
    <font>
      <b/>
      <u/>
      <sz val="8"/>
      <color indexed="9"/>
      <name val="Tahoma"/>
      <family val="2"/>
    </font>
    <font>
      <sz val="8"/>
      <color rgb="FFFF0000"/>
      <name val="Tahoma"/>
      <family val="2"/>
    </font>
    <font>
      <sz val="8"/>
      <color theme="1"/>
      <name val="Tahoma"/>
      <family val="2"/>
    </font>
    <font>
      <sz val="7"/>
      <name val="Tahoma"/>
      <family val="2"/>
    </font>
    <font>
      <b/>
      <sz val="8"/>
      <color theme="1"/>
      <name val="Tahoma"/>
      <family val="2"/>
    </font>
    <font>
      <sz val="8"/>
      <name val="Verdana"/>
      <family val="2"/>
    </font>
    <font>
      <b/>
      <sz val="8"/>
      <name val="Verdana"/>
      <family val="2"/>
    </font>
    <font>
      <sz val="8"/>
      <color indexed="12"/>
      <name val="Arial"/>
      <family val="2"/>
    </font>
    <font>
      <sz val="8"/>
      <color indexed="12"/>
      <name val="Tahoma"/>
      <family val="2"/>
    </font>
    <font>
      <u/>
      <sz val="8"/>
      <color indexed="9"/>
      <name val="Tahoma"/>
      <family val="2"/>
    </font>
    <font>
      <u/>
      <sz val="12"/>
      <color indexed="9"/>
      <name val="Tahoma"/>
      <family val="2"/>
    </font>
    <font>
      <sz val="12"/>
      <name val="Tahoma"/>
      <family val="2"/>
    </font>
    <font>
      <sz val="8"/>
      <name val="Cambria"/>
      <family val="1"/>
    </font>
    <font>
      <sz val="8"/>
      <color theme="1"/>
      <name val="Arial"/>
      <family val="2"/>
    </font>
    <font>
      <sz val="8"/>
      <color indexed="8"/>
      <name val="Arial"/>
      <family val="2"/>
    </font>
    <font>
      <sz val="11"/>
      <name val="Calibri"/>
      <family val="2"/>
    </font>
    <font>
      <sz val="12"/>
      <name val="Symbol"/>
      <family val="1"/>
      <charset val="2"/>
    </font>
    <font>
      <sz val="7"/>
      <name val="Times New Roman"/>
      <family val="1"/>
    </font>
    <font>
      <sz val="11"/>
      <name val="Symbol"/>
      <family val="1"/>
      <charset val="2"/>
    </font>
    <font>
      <sz val="8"/>
      <color rgb="FF000000"/>
      <name val="Verdana"/>
      <family val="2"/>
    </font>
    <font>
      <sz val="8"/>
      <color rgb="FF0000FF"/>
      <name val="Verdana"/>
      <family val="2"/>
    </font>
    <font>
      <sz val="10"/>
      <name val="Arial"/>
      <family val="2"/>
    </font>
    <font>
      <sz val="12"/>
      <name val="Times New Roman"/>
      <family val="1"/>
    </font>
    <font>
      <sz val="10"/>
      <color indexed="12"/>
      <name val="Arial"/>
      <family val="2"/>
    </font>
    <font>
      <b/>
      <sz val="12"/>
      <name val="Arial"/>
      <family val="2"/>
    </font>
    <font>
      <b/>
      <i/>
      <sz val="16"/>
      <name val="Helv"/>
    </font>
    <font>
      <sz val="10"/>
      <name val="MS Sans Serif"/>
      <family val="2"/>
    </font>
    <font>
      <b/>
      <sz val="10"/>
      <name val="MS Sans Serif"/>
      <family val="2"/>
    </font>
    <font>
      <b/>
      <sz val="14"/>
      <name val="Tahoma"/>
      <family val="2"/>
    </font>
    <font>
      <sz val="14"/>
      <name val="Tahoma"/>
      <family val="2"/>
    </font>
    <font>
      <sz val="14"/>
      <name val="Arial"/>
      <family val="2"/>
    </font>
    <font>
      <b/>
      <sz val="8"/>
      <color rgb="FFFF0000"/>
      <name val="Arial"/>
      <family val="2"/>
    </font>
    <font>
      <b/>
      <strike/>
      <sz val="8"/>
      <color rgb="FFFF0000"/>
      <name val="Cambria"/>
      <family val="1"/>
    </font>
    <font>
      <sz val="10"/>
      <name val="Arial"/>
      <family val="2"/>
    </font>
    <font>
      <sz val="10"/>
      <color rgb="FFFF0000"/>
      <name val="Tahoma"/>
      <family val="2"/>
    </font>
    <font>
      <b/>
      <u/>
      <sz val="10"/>
      <color indexed="9"/>
      <name val="Tahoma"/>
      <family val="2"/>
    </font>
    <font>
      <sz val="10"/>
      <color theme="1"/>
      <name val="Tahoma"/>
      <family val="2"/>
    </font>
    <font>
      <b/>
      <sz val="10"/>
      <color rgb="FF0070C0"/>
      <name val="Tahoma"/>
      <family val="2"/>
    </font>
    <font>
      <sz val="10"/>
      <color indexed="8"/>
      <name val="Tahoma"/>
      <family val="2"/>
    </font>
    <font>
      <b/>
      <sz val="10"/>
      <color theme="1"/>
      <name val="Tahoma"/>
      <family val="2"/>
    </font>
    <font>
      <sz val="9"/>
      <color rgb="FFFF0000"/>
      <name val="Arial"/>
      <family val="2"/>
    </font>
    <font>
      <b/>
      <sz val="7"/>
      <name val="Tahoma"/>
      <family val="2"/>
    </font>
    <font>
      <sz val="8"/>
      <color rgb="FFFF0000"/>
      <name val="Arial"/>
      <family val="2"/>
    </font>
    <font>
      <sz val="7"/>
      <name val="Arial"/>
      <family val="2"/>
    </font>
    <font>
      <b/>
      <sz val="7.5"/>
      <name val="Tahoma"/>
      <family val="2"/>
    </font>
    <font>
      <b/>
      <u/>
      <sz val="14"/>
      <color indexed="9"/>
      <name val="Tahoma"/>
      <family val="2"/>
    </font>
  </fonts>
  <fills count="23">
    <fill>
      <patternFill patternType="none"/>
    </fill>
    <fill>
      <patternFill patternType="gray125"/>
    </fill>
    <fill>
      <patternFill patternType="solid">
        <fgColor indexed="47"/>
        <bgColor indexed="64"/>
      </patternFill>
    </fill>
    <fill>
      <patternFill patternType="solid">
        <fgColor indexed="42"/>
        <bgColor indexed="64"/>
      </patternFill>
    </fill>
    <fill>
      <patternFill patternType="solid">
        <fgColor indexed="44"/>
        <bgColor indexed="64"/>
      </patternFill>
    </fill>
    <fill>
      <patternFill patternType="solid">
        <fgColor indexed="22"/>
        <bgColor indexed="64"/>
      </patternFill>
    </fill>
    <fill>
      <patternFill patternType="solid">
        <fgColor indexed="43"/>
        <bgColor indexed="64"/>
      </patternFill>
    </fill>
    <fill>
      <patternFill patternType="solid">
        <fgColor indexed="13"/>
        <bgColor indexed="64"/>
      </patternFill>
    </fill>
    <fill>
      <patternFill patternType="solid">
        <fgColor indexed="46"/>
        <bgColor indexed="64"/>
      </patternFill>
    </fill>
    <fill>
      <patternFill patternType="solid">
        <fgColor indexed="54"/>
        <bgColor indexed="64"/>
      </patternFill>
    </fill>
    <fill>
      <patternFill patternType="solid">
        <fgColor indexed="51"/>
        <bgColor indexed="64"/>
      </patternFill>
    </fill>
    <fill>
      <patternFill patternType="solid">
        <fgColor rgb="FFFFFF00"/>
        <bgColor indexed="64"/>
      </patternFill>
    </fill>
    <fill>
      <patternFill patternType="solid">
        <fgColor theme="2" tint="-0.249977111117893"/>
        <bgColor indexed="64"/>
      </patternFill>
    </fill>
    <fill>
      <patternFill patternType="solid">
        <fgColor theme="6" tint="0.79998168889431442"/>
        <bgColor indexed="64"/>
      </patternFill>
    </fill>
    <fill>
      <patternFill patternType="solid">
        <fgColor theme="0"/>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indexed="8"/>
        <bgColor indexed="64"/>
      </patternFill>
    </fill>
    <fill>
      <patternFill patternType="solid">
        <fgColor indexed="26"/>
        <bgColor indexed="64"/>
      </patternFill>
    </fill>
    <fill>
      <patternFill patternType="solid">
        <fgColor theme="9" tint="0.79998168889431442"/>
        <bgColor indexed="64"/>
      </patternFill>
    </fill>
    <fill>
      <patternFill patternType="solid">
        <fgColor rgb="FF92D050"/>
        <bgColor indexed="64"/>
      </patternFill>
    </fill>
    <fill>
      <patternFill patternType="solid">
        <fgColor rgb="FF66FFFF"/>
        <bgColor indexed="64"/>
      </patternFill>
    </fill>
    <fill>
      <patternFill patternType="solid">
        <fgColor indexed="9"/>
        <bgColor indexed="64"/>
      </patternFill>
    </fill>
  </fills>
  <borders count="40">
    <border>
      <left/>
      <right/>
      <top/>
      <bottom/>
      <diagonal/>
    </border>
    <border>
      <left style="thin">
        <color indexed="64"/>
      </left>
      <right style="dotted">
        <color indexed="64"/>
      </right>
      <top/>
      <bottom style="dotted">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diagonal/>
    </border>
    <border>
      <left/>
      <right/>
      <top style="thin">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diagonal/>
    </border>
    <border>
      <left style="thin">
        <color indexed="64"/>
      </left>
      <right/>
      <top/>
      <bottom style="thin">
        <color indexed="64"/>
      </bottom>
      <diagonal/>
    </border>
    <border>
      <left/>
      <right/>
      <top style="thin">
        <color indexed="64"/>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medium">
        <color indexed="64"/>
      </top>
      <bottom style="thin">
        <color indexed="64"/>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s>
  <cellStyleXfs count="46">
    <xf numFmtId="0" fontId="0" fillId="0" borderId="0"/>
    <xf numFmtId="0" fontId="3" fillId="0" borderId="0"/>
    <xf numFmtId="168" fontId="3" fillId="0" borderId="1" applyFont="0" applyFill="0" applyBorder="0" applyAlignment="0" applyProtection="0">
      <alignment horizontal="center"/>
    </xf>
    <xf numFmtId="44" fontId="3" fillId="0" borderId="0" applyFont="0" applyFill="0" applyBorder="0" applyAlignment="0" applyProtection="0"/>
    <xf numFmtId="0" fontId="3" fillId="0" borderId="0"/>
    <xf numFmtId="0" fontId="22" fillId="0" borderId="0"/>
    <xf numFmtId="0" fontId="3" fillId="0" borderId="0"/>
    <xf numFmtId="0" fontId="2" fillId="0" borderId="0"/>
    <xf numFmtId="44" fontId="3" fillId="0" borderId="0" applyFont="0" applyFill="0" applyBorder="0" applyAlignment="0" applyProtection="0"/>
    <xf numFmtId="44" fontId="3" fillId="0" borderId="0" applyFont="0" applyFill="0" applyBorder="0" applyAlignment="0" applyProtection="0"/>
    <xf numFmtId="0" fontId="6"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1" fillId="0" borderId="0"/>
    <xf numFmtId="0" fontId="51" fillId="0" borderId="0"/>
    <xf numFmtId="38" fontId="9" fillId="5" borderId="0" applyNumberFormat="0" applyBorder="0" applyAlignment="0" applyProtection="0"/>
    <xf numFmtId="0" fontId="54" fillId="0" borderId="36" applyNumberFormat="0" applyAlignment="0" applyProtection="0">
      <alignment horizontal="left" vertical="center"/>
    </xf>
    <xf numFmtId="0" fontId="54" fillId="0" borderId="6">
      <alignment horizontal="left" vertical="center"/>
    </xf>
    <xf numFmtId="10" fontId="9" fillId="18" borderId="2" applyNumberFormat="0" applyBorder="0" applyAlignment="0" applyProtection="0"/>
    <xf numFmtId="172" fontId="55" fillId="0" borderId="0"/>
    <xf numFmtId="10" fontId="51" fillId="0" borderId="0" applyFont="0" applyFill="0" applyBorder="0" applyAlignment="0" applyProtection="0"/>
    <xf numFmtId="0" fontId="56" fillId="0" borderId="0" applyNumberFormat="0" applyFont="0" applyFill="0" applyBorder="0" applyAlignment="0" applyProtection="0">
      <alignment horizontal="left"/>
    </xf>
    <xf numFmtId="0" fontId="57" fillId="0" borderId="27">
      <alignment horizontal="center"/>
    </xf>
    <xf numFmtId="0" fontId="3" fillId="0" borderId="0"/>
    <xf numFmtId="0" fontId="6" fillId="0" borderId="0"/>
    <xf numFmtId="0" fontId="63" fillId="0" borderId="0"/>
    <xf numFmtId="44" fontId="3" fillId="0" borderId="0" applyFont="0" applyFill="0" applyBorder="0" applyAlignment="0" applyProtection="0"/>
    <xf numFmtId="43" fontId="3" fillId="0" borderId="0" applyFont="0" applyFill="0" applyBorder="0" applyAlignment="0" applyProtection="0"/>
    <xf numFmtId="43" fontId="63" fillId="0" borderId="0" applyFont="0" applyFill="0" applyBorder="0" applyAlignment="0" applyProtection="0"/>
    <xf numFmtId="44" fontId="63" fillId="0" borderId="0" applyFont="0" applyFill="0" applyBorder="0" applyAlignment="0" applyProtection="0"/>
    <xf numFmtId="0" fontId="1" fillId="0" borderId="0"/>
    <xf numFmtId="44" fontId="1" fillId="0" borderId="0" applyFont="0" applyFill="0" applyBorder="0" applyAlignment="0" applyProtection="0"/>
  </cellStyleXfs>
  <cellXfs count="1569">
    <xf numFmtId="0" fontId="0" fillId="0" borderId="0" xfId="0"/>
    <xf numFmtId="0" fontId="0" fillId="0" borderId="2" xfId="0" applyBorder="1"/>
    <xf numFmtId="0" fontId="0" fillId="0" borderId="2" xfId="0" applyFill="1" applyBorder="1" applyAlignment="1">
      <alignment horizontal="left" wrapText="1"/>
    </xf>
    <xf numFmtId="165" fontId="5" fillId="0" borderId="0" xfId="0" applyNumberFormat="1" applyFont="1" applyFill="1" applyBorder="1" applyAlignment="1" applyProtection="1">
      <alignment horizontal="center" vertical="center" wrapText="1"/>
      <protection locked="0"/>
    </xf>
    <xf numFmtId="0" fontId="0" fillId="0" borderId="0" xfId="0" applyFill="1" applyBorder="1"/>
    <xf numFmtId="0" fontId="5" fillId="0" borderId="0" xfId="0" applyFont="1" applyFill="1" applyBorder="1" applyAlignment="1">
      <alignment vertical="top" wrapText="1"/>
    </xf>
    <xf numFmtId="0" fontId="0" fillId="0" borderId="0" xfId="0" applyFill="1" applyBorder="1" applyAlignment="1"/>
    <xf numFmtId="0" fontId="10" fillId="0" borderId="0" xfId="0" applyFont="1" applyFill="1" applyBorder="1" applyAlignment="1">
      <alignment horizontal="left"/>
    </xf>
    <xf numFmtId="0" fontId="0" fillId="0" borderId="0" xfId="0" applyFill="1"/>
    <xf numFmtId="0" fontId="0" fillId="0" borderId="0" xfId="0" applyBorder="1"/>
    <xf numFmtId="0" fontId="0" fillId="0" borderId="2" xfId="0" applyFill="1" applyBorder="1"/>
    <xf numFmtId="0" fontId="13" fillId="0" borderId="0" xfId="0" applyFont="1" applyFill="1"/>
    <xf numFmtId="0" fontId="12" fillId="0" borderId="0" xfId="0" applyFont="1" applyBorder="1" applyAlignment="1">
      <alignment horizontal="left" wrapText="1"/>
    </xf>
    <xf numFmtId="0" fontId="6" fillId="0" borderId="0" xfId="0" applyFont="1" applyBorder="1" applyAlignment="1">
      <alignment vertical="top" wrapText="1"/>
    </xf>
    <xf numFmtId="165" fontId="5" fillId="0" borderId="0" xfId="0" applyNumberFormat="1" applyFont="1" applyBorder="1" applyAlignment="1" applyProtection="1">
      <alignment horizontal="center" vertical="center" wrapText="1"/>
      <protection locked="0"/>
    </xf>
    <xf numFmtId="0" fontId="6" fillId="0" borderId="2" xfId="0" applyFont="1" applyFill="1" applyBorder="1" applyAlignment="1">
      <alignment vertical="top" wrapText="1"/>
    </xf>
    <xf numFmtId="165" fontId="5" fillId="0" borderId="2" xfId="0" applyNumberFormat="1" applyFont="1" applyFill="1" applyBorder="1" applyAlignment="1" applyProtection="1">
      <alignment horizontal="center" vertical="center" wrapText="1"/>
      <protection locked="0"/>
    </xf>
    <xf numFmtId="0" fontId="15" fillId="0" borderId="0" xfId="0" applyFont="1"/>
    <xf numFmtId="0" fontId="6" fillId="0" borderId="0" xfId="0" applyFont="1"/>
    <xf numFmtId="0" fontId="6" fillId="0" borderId="0" xfId="0" applyFont="1" applyFill="1" applyBorder="1"/>
    <xf numFmtId="0" fontId="6" fillId="0" borderId="0" xfId="0" applyFont="1" applyBorder="1" applyAlignment="1">
      <alignment horizontal="left"/>
    </xf>
    <xf numFmtId="0" fontId="6" fillId="0" borderId="0" xfId="0" applyFont="1" applyBorder="1"/>
    <xf numFmtId="0" fontId="6" fillId="0" borderId="0" xfId="0" applyFont="1" applyFill="1" applyBorder="1" applyAlignment="1">
      <alignment horizontal="left"/>
    </xf>
    <xf numFmtId="0" fontId="6" fillId="0" borderId="0" xfId="0" applyFont="1" applyFill="1"/>
    <xf numFmtId="165" fontId="0" fillId="0" borderId="0" xfId="0" applyNumberFormat="1"/>
    <xf numFmtId="0" fontId="5" fillId="0" borderId="2" xfId="0" applyFont="1" applyBorder="1"/>
    <xf numFmtId="0" fontId="5" fillId="0" borderId="0" xfId="0" applyFont="1" applyBorder="1"/>
    <xf numFmtId="0" fontId="5" fillId="0" borderId="0" xfId="0" applyFont="1"/>
    <xf numFmtId="0" fontId="15" fillId="0" borderId="2" xfId="0" applyFont="1" applyBorder="1" applyAlignment="1">
      <alignment wrapText="1"/>
    </xf>
    <xf numFmtId="0" fontId="15" fillId="6" borderId="2" xfId="0" applyFont="1" applyFill="1" applyBorder="1" applyAlignment="1">
      <alignment horizontal="center" vertical="center" wrapText="1"/>
    </xf>
    <xf numFmtId="0" fontId="15" fillId="0" borderId="0" xfId="0" applyFont="1" applyFill="1"/>
    <xf numFmtId="165" fontId="17" fillId="5" borderId="2" xfId="0" applyNumberFormat="1" applyFont="1" applyFill="1" applyBorder="1" applyAlignment="1" applyProtection="1">
      <alignment horizontal="center" vertical="center" wrapText="1"/>
      <protection locked="0"/>
    </xf>
    <xf numFmtId="0" fontId="17" fillId="0" borderId="2" xfId="0" applyFont="1" applyBorder="1"/>
    <xf numFmtId="0" fontId="17" fillId="0" borderId="0" xfId="0" applyFont="1"/>
    <xf numFmtId="0" fontId="17" fillId="0" borderId="0" xfId="0" applyFont="1" applyFill="1" applyBorder="1" applyAlignment="1">
      <alignment vertical="top" wrapText="1"/>
    </xf>
    <xf numFmtId="0" fontId="17" fillId="0" borderId="0" xfId="0" applyFont="1" applyFill="1" applyBorder="1"/>
    <xf numFmtId="0" fontId="17" fillId="0" borderId="0" xfId="0" applyFont="1" applyBorder="1" applyAlignment="1">
      <alignment wrapText="1"/>
    </xf>
    <xf numFmtId="0" fontId="17" fillId="0" borderId="0" xfId="0" applyFont="1" applyBorder="1" applyAlignment="1">
      <alignment horizontal="left"/>
    </xf>
    <xf numFmtId="0" fontId="17" fillId="0" borderId="0" xfId="0" applyFont="1" applyFill="1" applyBorder="1" applyAlignment="1">
      <alignment horizontal="left" wrapText="1"/>
    </xf>
    <xf numFmtId="0" fontId="17" fillId="0" borderId="0" xfId="0" applyFont="1" applyBorder="1"/>
    <xf numFmtId="0" fontId="17" fillId="0" borderId="0" xfId="0" applyFont="1" applyBorder="1" applyAlignment="1">
      <alignment horizontal="left" wrapText="1"/>
    </xf>
    <xf numFmtId="0" fontId="17" fillId="0" borderId="0" xfId="0" applyFont="1" applyBorder="1" applyAlignment="1">
      <alignment vertical="top" wrapText="1"/>
    </xf>
    <xf numFmtId="165" fontId="17" fillId="0" borderId="0" xfId="0" applyNumberFormat="1" applyFont="1" applyBorder="1" applyAlignment="1" applyProtection="1">
      <alignment horizontal="center" vertical="center" wrapText="1"/>
      <protection locked="0"/>
    </xf>
    <xf numFmtId="165" fontId="17" fillId="0" borderId="0" xfId="0" applyNumberFormat="1" applyFont="1" applyFill="1" applyBorder="1" applyAlignment="1" applyProtection="1">
      <alignment horizontal="center" vertical="center" wrapText="1"/>
      <protection locked="0"/>
    </xf>
    <xf numFmtId="0" fontId="17" fillId="0" borderId="0" xfId="0" applyFont="1" applyBorder="1" applyAlignment="1"/>
    <xf numFmtId="44" fontId="17" fillId="0" borderId="0" xfId="3" applyFont="1" applyFill="1" applyBorder="1" applyAlignment="1">
      <alignment horizontal="center"/>
    </xf>
    <xf numFmtId="0" fontId="15" fillId="0" borderId="2" xfId="0" applyFont="1" applyFill="1" applyBorder="1" applyAlignment="1">
      <alignment horizontal="center" vertical="center" wrapText="1"/>
    </xf>
    <xf numFmtId="49" fontId="0" fillId="0" borderId="2" xfId="0" applyNumberFormat="1" applyBorder="1" applyAlignment="1"/>
    <xf numFmtId="49" fontId="0" fillId="0" borderId="2" xfId="0" applyNumberFormat="1" applyBorder="1"/>
    <xf numFmtId="49" fontId="0" fillId="0" borderId="0" xfId="0" applyNumberFormat="1"/>
    <xf numFmtId="49" fontId="6" fillId="0" borderId="0" xfId="0" applyNumberFormat="1" applyFont="1" applyFill="1" applyBorder="1"/>
    <xf numFmtId="49" fontId="6" fillId="0" borderId="0" xfId="0" applyNumberFormat="1" applyFont="1"/>
    <xf numFmtId="49" fontId="0" fillId="0" borderId="0" xfId="0" applyNumberFormat="1" applyFill="1" applyBorder="1"/>
    <xf numFmtId="49" fontId="0" fillId="0" borderId="0" xfId="0" applyNumberFormat="1" applyFill="1"/>
    <xf numFmtId="49" fontId="17" fillId="0" borderId="0" xfId="0" applyNumberFormat="1" applyFont="1" applyFill="1" applyBorder="1"/>
    <xf numFmtId="49" fontId="17" fillId="0" borderId="0" xfId="0" applyNumberFormat="1" applyFont="1" applyBorder="1"/>
    <xf numFmtId="49" fontId="15" fillId="0" borderId="2" xfId="0" applyNumberFormat="1" applyFont="1" applyFill="1" applyBorder="1" applyAlignment="1">
      <alignment vertical="center" wrapText="1"/>
    </xf>
    <xf numFmtId="49" fontId="0" fillId="0" borderId="2" xfId="0" applyNumberFormat="1" applyFill="1" applyBorder="1" applyAlignment="1">
      <alignment vertical="center"/>
    </xf>
    <xf numFmtId="0" fontId="6" fillId="0" borderId="2" xfId="0" applyFont="1" applyFill="1" applyBorder="1" applyAlignment="1">
      <alignment vertical="center" wrapText="1"/>
    </xf>
    <xf numFmtId="49" fontId="0" fillId="0" borderId="2" xfId="0" applyNumberFormat="1" applyFill="1" applyBorder="1" applyAlignment="1">
      <alignment vertical="center" wrapText="1"/>
    </xf>
    <xf numFmtId="0" fontId="0" fillId="0" borderId="2" xfId="0" applyBorder="1" applyAlignment="1">
      <alignment vertical="center" wrapText="1"/>
    </xf>
    <xf numFmtId="0" fontId="0" fillId="0" borderId="2" xfId="0" applyFill="1" applyBorder="1" applyAlignment="1">
      <alignment vertical="center" wrapText="1"/>
    </xf>
    <xf numFmtId="0" fontId="5" fillId="0" borderId="2" xfId="0" applyFont="1" applyFill="1" applyBorder="1"/>
    <xf numFmtId="49" fontId="0" fillId="0" borderId="2" xfId="0" applyNumberFormat="1" applyFill="1" applyBorder="1"/>
    <xf numFmtId="0" fontId="17" fillId="0" borderId="2" xfId="0" applyFont="1" applyFill="1" applyBorder="1"/>
    <xf numFmtId="49" fontId="17" fillId="0" borderId="2" xfId="0" applyNumberFormat="1" applyFont="1" applyFill="1" applyBorder="1" applyAlignment="1">
      <alignment vertical="center"/>
    </xf>
    <xf numFmtId="49" fontId="17" fillId="0" borderId="0" xfId="0" applyNumberFormat="1" applyFont="1" applyFill="1" applyAlignment="1">
      <alignment vertical="center"/>
    </xf>
    <xf numFmtId="0" fontId="15" fillId="0" borderId="2" xfId="0" applyFont="1" applyFill="1" applyBorder="1" applyAlignment="1">
      <alignment wrapText="1"/>
    </xf>
    <xf numFmtId="0" fontId="0" fillId="0" borderId="2" xfId="0" applyBorder="1" applyAlignment="1">
      <alignment vertical="center"/>
    </xf>
    <xf numFmtId="0" fontId="16" fillId="0" borderId="2" xfId="0" applyFont="1" applyBorder="1" applyAlignment="1" applyProtection="1">
      <alignment vertical="top" wrapText="1"/>
      <protection hidden="1"/>
    </xf>
    <xf numFmtId="0" fontId="15" fillId="0" borderId="2" xfId="0" applyFont="1" applyFill="1" applyBorder="1" applyAlignment="1">
      <alignment vertical="center" wrapText="1"/>
    </xf>
    <xf numFmtId="0" fontId="5" fillId="0" borderId="2" xfId="0" applyFont="1" applyFill="1" applyBorder="1" applyAlignment="1" applyProtection="1">
      <alignment horizontal="center" vertical="top" wrapText="1"/>
      <protection locked="0"/>
    </xf>
    <xf numFmtId="0" fontId="21" fillId="0" borderId="2" xfId="0" applyFont="1" applyFill="1" applyBorder="1" applyAlignment="1">
      <alignment vertical="center" wrapText="1"/>
    </xf>
    <xf numFmtId="0" fontId="10" fillId="0" borderId="2" xfId="0" applyFont="1" applyFill="1" applyBorder="1"/>
    <xf numFmtId="49" fontId="0" fillId="0" borderId="2" xfId="0" applyNumberFormat="1" applyFill="1" applyBorder="1" applyAlignment="1" applyProtection="1">
      <alignment horizontal="left" vertical="center" wrapText="1"/>
      <protection locked="0"/>
    </xf>
    <xf numFmtId="0" fontId="0" fillId="0" borderId="2" xfId="0" applyFill="1" applyBorder="1" applyAlignment="1">
      <alignment horizontal="left" vertical="center" wrapText="1"/>
    </xf>
    <xf numFmtId="0" fontId="0" fillId="0" borderId="2" xfId="0" applyBorder="1" applyAlignment="1">
      <alignment wrapText="1"/>
    </xf>
    <xf numFmtId="0" fontId="0" fillId="0" borderId="0" xfId="0" applyAlignment="1">
      <alignment vertical="center"/>
    </xf>
    <xf numFmtId="0" fontId="0" fillId="0" borderId="0" xfId="0" applyAlignment="1">
      <alignment horizontal="left" vertical="center"/>
    </xf>
    <xf numFmtId="0" fontId="17" fillId="0" borderId="0" xfId="0" applyFont="1" applyFill="1" applyBorder="1" applyAlignment="1">
      <alignment vertical="center" wrapText="1"/>
    </xf>
    <xf numFmtId="0" fontId="19" fillId="0" borderId="0" xfId="5" applyFont="1" applyFill="1" applyBorder="1" applyAlignment="1">
      <alignment horizontal="center"/>
    </xf>
    <xf numFmtId="0" fontId="10" fillId="0" borderId="0" xfId="0" applyFont="1"/>
    <xf numFmtId="7" fontId="5" fillId="0" borderId="2" xfId="3" applyNumberFormat="1" applyFont="1" applyFill="1" applyBorder="1" applyAlignment="1">
      <alignment horizontal="center" vertical="center" wrapText="1"/>
    </xf>
    <xf numFmtId="44" fontId="23" fillId="0" borderId="2" xfId="3" applyFont="1" applyFill="1" applyBorder="1" applyAlignment="1">
      <alignment vertical="center" wrapText="1"/>
    </xf>
    <xf numFmtId="44" fontId="5" fillId="0" borderId="2" xfId="3" applyFont="1" applyFill="1" applyBorder="1" applyAlignment="1">
      <alignment horizontal="center" vertical="center" wrapText="1"/>
    </xf>
    <xf numFmtId="44" fontId="24" fillId="0" borderId="2" xfId="3" applyFont="1" applyFill="1" applyBorder="1" applyAlignment="1">
      <alignment vertical="center" wrapText="1"/>
    </xf>
    <xf numFmtId="165" fontId="0" fillId="0" borderId="2" xfId="0" applyNumberFormat="1" applyFont="1" applyBorder="1"/>
    <xf numFmtId="49" fontId="5" fillId="0" borderId="2" xfId="0" applyNumberFormat="1" applyFont="1" applyFill="1" applyBorder="1" applyAlignment="1">
      <alignment vertical="center" wrapText="1"/>
    </xf>
    <xf numFmtId="0" fontId="5" fillId="0" borderId="2" xfId="0" applyFont="1" applyFill="1" applyBorder="1" applyAlignment="1">
      <alignment vertical="center" wrapText="1"/>
    </xf>
    <xf numFmtId="49" fontId="5" fillId="0" borderId="2" xfId="0" applyNumberFormat="1" applyFont="1" applyFill="1" applyBorder="1" applyAlignment="1">
      <alignment vertical="center"/>
    </xf>
    <xf numFmtId="7" fontId="8" fillId="0" borderId="2" xfId="3" applyNumberFormat="1" applyFont="1" applyFill="1" applyBorder="1" applyAlignment="1">
      <alignment horizontal="center" vertical="center" wrapText="1"/>
    </xf>
    <xf numFmtId="7" fontId="23" fillId="0" borderId="2" xfId="3" applyNumberFormat="1" applyFont="1" applyFill="1" applyBorder="1" applyAlignment="1">
      <alignment horizontal="center" vertical="center" wrapText="1"/>
    </xf>
    <xf numFmtId="49" fontId="5" fillId="0" borderId="4" xfId="0" applyNumberFormat="1" applyFont="1" applyFill="1" applyBorder="1"/>
    <xf numFmtId="0" fontId="5" fillId="0" borderId="0" xfId="0" applyFont="1" applyFill="1" applyBorder="1"/>
    <xf numFmtId="0" fontId="3" fillId="0" borderId="2" xfId="0" applyFont="1" applyFill="1" applyBorder="1" applyAlignment="1">
      <alignment horizontal="center" vertical="center"/>
    </xf>
    <xf numFmtId="0" fontId="5" fillId="0" borderId="2" xfId="0" applyFont="1" applyFill="1" applyBorder="1" applyAlignment="1">
      <alignment vertical="top" wrapText="1"/>
    </xf>
    <xf numFmtId="0" fontId="0" fillId="0" borderId="2" xfId="0" applyFont="1" applyFill="1" applyBorder="1" applyAlignment="1">
      <alignment vertical="center" wrapText="1"/>
    </xf>
    <xf numFmtId="0" fontId="0" fillId="0" borderId="4" xfId="0" applyFont="1" applyFill="1" applyBorder="1" applyAlignment="1">
      <alignment vertical="center"/>
    </xf>
    <xf numFmtId="0" fontId="25" fillId="0" borderId="0" xfId="0" applyFont="1" applyFill="1"/>
    <xf numFmtId="0" fontId="9" fillId="0" borderId="2" xfId="0" applyFont="1" applyBorder="1"/>
    <xf numFmtId="0" fontId="5" fillId="0" borderId="2" xfId="0" applyFont="1" applyFill="1" applyBorder="1" applyAlignment="1">
      <alignment horizontal="center" vertical="center" wrapText="1"/>
    </xf>
    <xf numFmtId="0" fontId="8" fillId="0" borderId="2" xfId="0" applyFont="1" applyBorder="1" applyAlignment="1" applyProtection="1">
      <alignment horizontal="center" vertical="top" wrapText="1"/>
      <protection locked="0"/>
    </xf>
    <xf numFmtId="0" fontId="4" fillId="8" borderId="2" xfId="0" applyFont="1" applyFill="1" applyBorder="1" applyAlignment="1" applyProtection="1">
      <alignment horizontal="left" vertical="center" wrapText="1"/>
      <protection locked="0"/>
    </xf>
    <xf numFmtId="0" fontId="7" fillId="9" borderId="2" xfId="0" applyFont="1" applyFill="1" applyBorder="1" applyAlignment="1">
      <alignment horizontal="center" vertical="top" wrapText="1"/>
    </xf>
    <xf numFmtId="0" fontId="6" fillId="0" borderId="2" xfId="0" applyFont="1" applyBorder="1" applyAlignment="1" applyProtection="1">
      <alignment horizontal="center" vertical="top" wrapText="1"/>
      <protection locked="0"/>
    </xf>
    <xf numFmtId="0" fontId="0" fillId="0" borderId="2" xfId="0" applyFill="1" applyBorder="1" applyAlignment="1">
      <alignment wrapText="1"/>
    </xf>
    <xf numFmtId="0" fontId="6" fillId="0" borderId="2" xfId="0" applyFont="1" applyBorder="1" applyAlignment="1" applyProtection="1">
      <alignment vertical="center" wrapText="1"/>
      <protection locked="0"/>
    </xf>
    <xf numFmtId="0" fontId="0" fillId="0" borderId="2" xfId="0" applyBorder="1" applyAlignment="1">
      <alignment horizontal="left" vertical="center" wrapText="1"/>
    </xf>
    <xf numFmtId="0" fontId="6" fillId="0" borderId="0" xfId="0" applyFont="1" applyFill="1" applyBorder="1" applyAlignment="1" applyProtection="1">
      <alignment horizontal="center" vertical="top" wrapText="1"/>
      <protection locked="0"/>
    </xf>
    <xf numFmtId="0" fontId="0" fillId="0" borderId="2" xfId="0" applyBorder="1" applyAlignment="1"/>
    <xf numFmtId="0" fontId="17" fillId="0" borderId="2" xfId="0" applyFont="1" applyBorder="1" applyAlignment="1" applyProtection="1">
      <alignment horizontal="center" vertical="top" wrapText="1"/>
      <protection locked="0"/>
    </xf>
    <xf numFmtId="0" fontId="6" fillId="0" borderId="2" xfId="0" applyFont="1" applyFill="1" applyBorder="1" applyAlignment="1" applyProtection="1">
      <alignment horizontal="center" vertical="top" wrapText="1"/>
      <protection locked="0"/>
    </xf>
    <xf numFmtId="0" fontId="5" fillId="0" borderId="2" xfId="0" applyFont="1" applyBorder="1" applyAlignment="1">
      <alignment wrapText="1"/>
    </xf>
    <xf numFmtId="0" fontId="17" fillId="0" borderId="0" xfId="0" applyFont="1" applyFill="1" applyBorder="1" applyAlignment="1" applyProtection="1">
      <alignment horizontal="center" vertical="top" wrapText="1"/>
      <protection locked="0"/>
    </xf>
    <xf numFmtId="0" fontId="17" fillId="0" borderId="2" xfId="0" applyFont="1" applyBorder="1" applyAlignment="1"/>
    <xf numFmtId="0" fontId="5" fillId="0" borderId="2" xfId="0" applyFont="1" applyFill="1" applyBorder="1" applyAlignment="1">
      <alignment horizontal="center" vertical="center"/>
    </xf>
    <xf numFmtId="0" fontId="5" fillId="0" borderId="4" xfId="0" applyFont="1" applyFill="1" applyBorder="1" applyAlignment="1">
      <alignment vertical="center"/>
    </xf>
    <xf numFmtId="0" fontId="7" fillId="9" borderId="4" xfId="0" applyFont="1" applyFill="1" applyBorder="1" applyAlignment="1">
      <alignment horizontal="center" vertical="top" wrapText="1"/>
    </xf>
    <xf numFmtId="0" fontId="7" fillId="9" borderId="6" xfId="0" applyFont="1" applyFill="1" applyBorder="1" applyAlignment="1">
      <alignment horizontal="center" vertical="top" wrapText="1"/>
    </xf>
    <xf numFmtId="0" fontId="4" fillId="8" borderId="9" xfId="0" applyFont="1" applyFill="1" applyBorder="1" applyAlignment="1" applyProtection="1">
      <alignment horizontal="left" vertical="center" wrapText="1"/>
      <protection locked="0"/>
    </xf>
    <xf numFmtId="0" fontId="4" fillId="8" borderId="17" xfId="0" applyFont="1" applyFill="1" applyBorder="1" applyAlignment="1" applyProtection="1">
      <alignment horizontal="left" vertical="center" wrapText="1"/>
      <protection locked="0"/>
    </xf>
    <xf numFmtId="0" fontId="4" fillId="8" borderId="20" xfId="0" applyFont="1" applyFill="1" applyBorder="1" applyAlignment="1" applyProtection="1">
      <alignment horizontal="left" vertical="center" wrapText="1"/>
      <protection locked="0"/>
    </xf>
    <xf numFmtId="0" fontId="4" fillId="8" borderId="18" xfId="0" applyFont="1" applyFill="1" applyBorder="1" applyAlignment="1" applyProtection="1">
      <alignment horizontal="left" vertical="center" wrapText="1"/>
      <protection locked="0"/>
    </xf>
    <xf numFmtId="0" fontId="4" fillId="8" borderId="8" xfId="0" applyFont="1" applyFill="1" applyBorder="1" applyAlignment="1" applyProtection="1">
      <alignment horizontal="left" vertical="center" wrapText="1"/>
      <protection locked="0"/>
    </xf>
    <xf numFmtId="0" fontId="4" fillId="8" borderId="21" xfId="0" applyFont="1" applyFill="1" applyBorder="1" applyAlignment="1" applyProtection="1">
      <alignment horizontal="left" vertical="center" wrapText="1"/>
      <protection locked="0"/>
    </xf>
    <xf numFmtId="0" fontId="8" fillId="0" borderId="4" xfId="0" applyFont="1" applyBorder="1" applyAlignment="1" applyProtection="1">
      <alignment horizontal="center" vertical="top" wrapText="1"/>
      <protection locked="0"/>
    </xf>
    <xf numFmtId="0" fontId="8" fillId="0" borderId="6" xfId="0" applyFont="1" applyBorder="1" applyAlignment="1" applyProtection="1">
      <alignment horizontal="center" vertical="top" wrapText="1"/>
      <protection locked="0"/>
    </xf>
    <xf numFmtId="0" fontId="16" fillId="0" borderId="2" xfId="0" applyFont="1" applyBorder="1" applyAlignment="1" applyProtection="1">
      <alignment horizontal="left" vertical="top" wrapText="1"/>
      <protection locked="0"/>
    </xf>
    <xf numFmtId="0" fontId="16" fillId="0" borderId="6" xfId="0" applyFont="1" applyBorder="1" applyAlignment="1" applyProtection="1">
      <alignment horizontal="center" vertical="top" wrapText="1"/>
      <protection locked="0"/>
    </xf>
    <xf numFmtId="0" fontId="16" fillId="10" borderId="6" xfId="0" applyFont="1" applyFill="1" applyBorder="1" applyAlignment="1" applyProtection="1">
      <alignment horizontal="center" vertical="top" wrapText="1"/>
      <protection locked="0"/>
    </xf>
    <xf numFmtId="164" fontId="4" fillId="10" borderId="8" xfId="0" applyNumberFormat="1" applyFont="1" applyFill="1" applyBorder="1" applyAlignment="1" applyProtection="1">
      <alignment vertical="center" wrapText="1"/>
      <protection locked="0"/>
    </xf>
    <xf numFmtId="164" fontId="4" fillId="10" borderId="8" xfId="0" applyNumberFormat="1" applyFont="1" applyFill="1" applyBorder="1" applyAlignment="1" applyProtection="1">
      <alignment horizontal="center" vertical="center" wrapText="1"/>
      <protection locked="0"/>
    </xf>
    <xf numFmtId="165" fontId="0" fillId="0" borderId="0" xfId="0" applyNumberFormat="1" applyFont="1" applyFill="1"/>
    <xf numFmtId="0" fontId="0" fillId="0" borderId="0" xfId="0" applyFont="1" applyFill="1"/>
    <xf numFmtId="49" fontId="0" fillId="0" borderId="2" xfId="0" applyNumberFormat="1" applyFont="1" applyFill="1" applyBorder="1"/>
    <xf numFmtId="49" fontId="0" fillId="0" borderId="2" xfId="0" applyNumberFormat="1" applyFont="1" applyFill="1" applyBorder="1" applyAlignment="1">
      <alignment vertical="center"/>
    </xf>
    <xf numFmtId="49" fontId="0" fillId="0" borderId="2" xfId="0" applyNumberFormat="1" applyFont="1" applyFill="1" applyBorder="1" applyAlignment="1">
      <alignment vertical="center" wrapText="1"/>
    </xf>
    <xf numFmtId="49" fontId="10" fillId="0" borderId="2" xfId="0" applyNumberFormat="1" applyFont="1" applyFill="1" applyBorder="1"/>
    <xf numFmtId="0" fontId="10" fillId="0" borderId="0" xfId="0" applyFont="1" applyFill="1"/>
    <xf numFmtId="0" fontId="7" fillId="0" borderId="0" xfId="0" applyFont="1" applyFill="1" applyBorder="1" applyAlignment="1">
      <alignment horizontal="center" vertical="top" wrapText="1"/>
    </xf>
    <xf numFmtId="49" fontId="0" fillId="0" borderId="0" xfId="0" applyNumberFormat="1" applyFill="1" applyBorder="1" applyAlignment="1">
      <alignment wrapText="1"/>
    </xf>
    <xf numFmtId="0" fontId="0" fillId="0" borderId="0" xfId="0" applyFont="1" applyFill="1" applyBorder="1" applyAlignment="1">
      <alignment wrapText="1"/>
    </xf>
    <xf numFmtId="0" fontId="0" fillId="0" borderId="0" xfId="0" applyFont="1" applyFill="1" applyBorder="1" applyAlignment="1">
      <alignment vertical="top" wrapText="1"/>
    </xf>
    <xf numFmtId="0" fontId="0" fillId="0" borderId="0" xfId="0" applyFont="1"/>
    <xf numFmtId="0" fontId="0" fillId="0" borderId="0" xfId="0" applyFont="1" applyBorder="1" applyAlignment="1">
      <alignment wrapText="1"/>
    </xf>
    <xf numFmtId="0" fontId="0" fillId="0" borderId="0" xfId="0" applyFont="1" applyFill="1" applyBorder="1"/>
    <xf numFmtId="0" fontId="0" fillId="0" borderId="0" xfId="0" applyFont="1" applyBorder="1" applyAlignment="1">
      <alignment horizontal="left"/>
    </xf>
    <xf numFmtId="0" fontId="10" fillId="0" borderId="0" xfId="0" applyFont="1" applyFill="1" applyBorder="1"/>
    <xf numFmtId="0" fontId="0" fillId="0" borderId="2" xfId="0" applyFont="1" applyFill="1" applyBorder="1" applyAlignment="1" applyProtection="1">
      <alignment horizontal="center" vertical="center" wrapText="1"/>
      <protection locked="0"/>
    </xf>
    <xf numFmtId="0" fontId="0" fillId="0" borderId="2" xfId="0" applyFont="1" applyFill="1" applyBorder="1" applyAlignment="1" applyProtection="1">
      <alignment horizontal="left" vertical="center" wrapText="1"/>
      <protection locked="0"/>
    </xf>
    <xf numFmtId="0" fontId="6" fillId="0" borderId="2" xfId="4" applyFont="1" applyFill="1" applyBorder="1" applyAlignment="1">
      <alignment wrapText="1"/>
    </xf>
    <xf numFmtId="0" fontId="0" fillId="0" borderId="0" xfId="0" applyFont="1" applyFill="1" applyBorder="1" applyAlignment="1">
      <alignment vertical="center" wrapText="1"/>
    </xf>
    <xf numFmtId="0" fontId="0" fillId="0" borderId="2" xfId="0" applyFont="1" applyFill="1" applyBorder="1" applyAlignment="1" applyProtection="1">
      <alignment horizontal="center" vertical="top" wrapText="1"/>
      <protection locked="0"/>
    </xf>
    <xf numFmtId="4" fontId="0" fillId="0" borderId="0" xfId="0" applyNumberFormat="1" applyFont="1" applyFill="1"/>
    <xf numFmtId="0" fontId="0" fillId="0" borderId="2" xfId="0" applyFont="1" applyFill="1" applyBorder="1"/>
    <xf numFmtId="0" fontId="0" fillId="0" borderId="2" xfId="0" applyFont="1" applyFill="1" applyBorder="1" applyAlignment="1" applyProtection="1">
      <alignment vertical="center" wrapText="1"/>
      <protection locked="0"/>
    </xf>
    <xf numFmtId="0" fontId="0" fillId="0" borderId="2" xfId="0" applyFill="1" applyBorder="1" applyAlignment="1">
      <alignment horizontal="center" vertical="center" wrapText="1"/>
    </xf>
    <xf numFmtId="0" fontId="6" fillId="0" borderId="2" xfId="0" applyFont="1" applyFill="1" applyBorder="1" applyAlignment="1">
      <alignment horizontal="center" vertical="center" wrapText="1"/>
    </xf>
    <xf numFmtId="0" fontId="15" fillId="0" borderId="0" xfId="0" applyFont="1" applyFill="1" applyBorder="1"/>
    <xf numFmtId="165" fontId="0" fillId="0" borderId="0" xfId="0" applyNumberFormat="1" applyFill="1" applyBorder="1"/>
    <xf numFmtId="0" fontId="0" fillId="0" borderId="2" xfId="0" applyFont="1" applyFill="1" applyBorder="1" applyAlignment="1">
      <alignment horizontal="left" vertical="center" wrapText="1"/>
    </xf>
    <xf numFmtId="49" fontId="0" fillId="0" borderId="2" xfId="0" applyNumberFormat="1" applyFont="1" applyFill="1" applyBorder="1" applyAlignment="1" applyProtection="1">
      <alignment horizontal="left" vertical="center" wrapText="1"/>
      <protection locked="0"/>
    </xf>
    <xf numFmtId="0" fontId="0" fillId="0" borderId="2" xfId="0" applyFont="1" applyFill="1" applyBorder="1" applyAlignment="1">
      <alignment horizontal="right"/>
    </xf>
    <xf numFmtId="0" fontId="0" fillId="0" borderId="2" xfId="4" applyFont="1" applyFill="1" applyBorder="1" applyAlignment="1">
      <alignment wrapText="1"/>
    </xf>
    <xf numFmtId="0" fontId="0" fillId="0" borderId="0" xfId="0" applyFont="1" applyFill="1" applyAlignment="1"/>
    <xf numFmtId="0" fontId="0" fillId="0" borderId="2" xfId="0" applyFont="1" applyFill="1" applyBorder="1" applyAlignment="1">
      <alignment vertical="center"/>
    </xf>
    <xf numFmtId="0" fontId="7" fillId="9" borderId="10" xfId="0" applyFont="1" applyFill="1" applyBorder="1" applyAlignment="1">
      <alignment horizontal="center" vertical="top" wrapText="1"/>
    </xf>
    <xf numFmtId="0" fontId="0" fillId="0" borderId="2" xfId="0" applyBorder="1" applyAlignment="1" applyProtection="1">
      <alignment vertical="center" wrapText="1"/>
      <protection locked="0"/>
    </xf>
    <xf numFmtId="0" fontId="0" fillId="0" borderId="2" xfId="0" applyBorder="1" applyAlignment="1">
      <alignment horizontal="center" vertical="center" wrapText="1"/>
    </xf>
    <xf numFmtId="165" fontId="0" fillId="0" borderId="0" xfId="0" applyNumberFormat="1" applyFont="1"/>
    <xf numFmtId="49" fontId="0" fillId="0" borderId="0" xfId="0" applyNumberFormat="1" applyFont="1" applyFill="1" applyBorder="1"/>
    <xf numFmtId="0" fontId="0" fillId="0" borderId="0" xfId="0" applyFont="1" applyFill="1" applyBorder="1" applyAlignment="1">
      <alignment horizontal="left"/>
    </xf>
    <xf numFmtId="49" fontId="0" fillId="0" borderId="0" xfId="0" applyNumberFormat="1" applyFont="1" applyFill="1"/>
    <xf numFmtId="49" fontId="0" fillId="0" borderId="0" xfId="0" applyNumberFormat="1" applyFont="1" applyFill="1" applyAlignment="1">
      <alignment vertical="center"/>
    </xf>
    <xf numFmtId="0" fontId="9" fillId="0" borderId="2" xfId="0" applyFont="1" applyFill="1" applyBorder="1" applyAlignment="1">
      <alignment horizontal="left" vertical="center" wrapText="1"/>
    </xf>
    <xf numFmtId="49" fontId="0" fillId="0" borderId="4" xfId="0" applyNumberFormat="1" applyFont="1" applyFill="1" applyBorder="1" applyAlignment="1">
      <alignment vertical="center"/>
    </xf>
    <xf numFmtId="0" fontId="0" fillId="0" borderId="4" xfId="0" applyFont="1" applyFill="1" applyBorder="1" applyAlignment="1">
      <alignment vertical="center" wrapText="1"/>
    </xf>
    <xf numFmtId="0" fontId="0" fillId="0" borderId="2" xfId="0" applyFont="1" applyFill="1" applyBorder="1" applyAlignment="1">
      <alignment horizontal="center" vertical="center" wrapText="1"/>
    </xf>
    <xf numFmtId="49" fontId="0" fillId="0" borderId="0" xfId="0" applyNumberFormat="1" applyFont="1" applyFill="1" applyBorder="1" applyAlignment="1">
      <alignment vertical="center" wrapText="1"/>
    </xf>
    <xf numFmtId="0" fontId="0" fillId="0" borderId="0" xfId="0" applyFont="1" applyFill="1" applyProtection="1"/>
    <xf numFmtId="165" fontId="0" fillId="0" borderId="2" xfId="0" applyNumberFormat="1" applyFont="1" applyFill="1" applyBorder="1" applyAlignment="1">
      <alignment horizontal="center" vertical="center" wrapText="1"/>
    </xf>
    <xf numFmtId="0" fontId="9" fillId="0" borderId="2" xfId="0" applyFont="1" applyFill="1" applyBorder="1" applyAlignment="1">
      <alignment vertical="center"/>
    </xf>
    <xf numFmtId="0" fontId="9" fillId="0" borderId="2" xfId="0" applyFont="1" applyFill="1" applyBorder="1" applyAlignment="1">
      <alignment vertical="center" wrapText="1"/>
    </xf>
    <xf numFmtId="0" fontId="9" fillId="0" borderId="2" xfId="0" applyFont="1" applyFill="1" applyBorder="1" applyAlignment="1" applyProtection="1">
      <alignment horizontal="center" vertical="center" wrapText="1"/>
      <protection locked="0"/>
    </xf>
    <xf numFmtId="0" fontId="5" fillId="0" borderId="2" xfId="0" applyFont="1" applyBorder="1" applyAlignment="1">
      <alignment vertical="center"/>
    </xf>
    <xf numFmtId="0" fontId="17" fillId="0" borderId="0" xfId="0" applyFont="1" applyBorder="1" applyAlignment="1">
      <alignment horizontal="center" vertical="center"/>
    </xf>
    <xf numFmtId="0" fontId="17" fillId="0" borderId="0" xfId="0" applyFont="1" applyBorder="1" applyAlignment="1">
      <alignment horizontal="center"/>
    </xf>
    <xf numFmtId="0" fontId="5" fillId="0" borderId="0" xfId="0" applyFont="1" applyBorder="1" applyAlignment="1" applyProtection="1">
      <alignment horizontal="left" vertical="top" wrapText="1"/>
      <protection locked="0"/>
    </xf>
    <xf numFmtId="0" fontId="0" fillId="0" borderId="0" xfId="0" applyFont="1" applyFill="1" applyBorder="1" applyAlignment="1">
      <alignment vertical="center"/>
    </xf>
    <xf numFmtId="0" fontId="0" fillId="0" borderId="0" xfId="0" applyFill="1" applyBorder="1" applyAlignment="1">
      <alignment vertical="center" wrapText="1"/>
    </xf>
    <xf numFmtId="0" fontId="0" fillId="0" borderId="0" xfId="0" applyFont="1" applyBorder="1"/>
    <xf numFmtId="0" fontId="14" fillId="0" borderId="0" xfId="0" applyFont="1" applyFill="1" applyBorder="1"/>
    <xf numFmtId="0" fontId="14" fillId="0" borderId="0" xfId="0" applyFont="1" applyFill="1"/>
    <xf numFmtId="0" fontId="0" fillId="0" borderId="0" xfId="0" applyFont="1" applyFill="1" applyAlignment="1">
      <alignment wrapText="1"/>
    </xf>
    <xf numFmtId="0" fontId="0" fillId="0" borderId="2" xfId="0" applyFont="1" applyBorder="1"/>
    <xf numFmtId="0" fontId="0" fillId="0" borderId="0" xfId="0" applyFont="1" applyAlignment="1"/>
    <xf numFmtId="0" fontId="5" fillId="0" borderId="0" xfId="0" applyFont="1" applyFill="1"/>
    <xf numFmtId="0" fontId="0" fillId="12" borderId="2" xfId="0" applyFill="1" applyBorder="1"/>
    <xf numFmtId="0" fontId="0" fillId="11" borderId="0" xfId="0" applyFont="1" applyFill="1"/>
    <xf numFmtId="0" fontId="0" fillId="11" borderId="0" xfId="0" applyFill="1"/>
    <xf numFmtId="0" fontId="30" fillId="9" borderId="10" xfId="0" applyFont="1" applyFill="1" applyBorder="1" applyAlignment="1">
      <alignment horizontal="center" vertical="top" wrapText="1"/>
    </xf>
    <xf numFmtId="165" fontId="0" fillId="0" borderId="2" xfId="0" applyNumberFormat="1" applyFont="1" applyFill="1" applyBorder="1" applyAlignment="1" applyProtection="1">
      <alignment horizontal="center" vertical="center" wrapText="1"/>
      <protection locked="0"/>
    </xf>
    <xf numFmtId="0" fontId="0" fillId="0" borderId="2" xfId="0" applyFont="1" applyFill="1" applyBorder="1" applyAlignment="1" applyProtection="1">
      <alignment horizontal="center" wrapText="1"/>
      <protection locked="0"/>
    </xf>
    <xf numFmtId="0" fontId="0" fillId="14" borderId="0" xfId="0" applyFont="1" applyFill="1"/>
    <xf numFmtId="0" fontId="0" fillId="14" borderId="0" xfId="0" applyFill="1"/>
    <xf numFmtId="0" fontId="32" fillId="13" borderId="0" xfId="0" applyFont="1" applyFill="1"/>
    <xf numFmtId="0" fontId="33" fillId="0" borderId="2" xfId="0" applyFont="1" applyFill="1" applyBorder="1" applyAlignment="1" applyProtection="1">
      <alignment horizontal="center" wrapText="1"/>
      <protection locked="0"/>
    </xf>
    <xf numFmtId="0" fontId="31" fillId="0" borderId="2" xfId="0" applyFont="1" applyFill="1" applyBorder="1" applyAlignment="1" applyProtection="1">
      <alignment horizontal="center" vertical="center" wrapText="1"/>
      <protection locked="0"/>
    </xf>
    <xf numFmtId="0" fontId="0" fillId="0" borderId="2" xfId="0" applyFill="1" applyBorder="1" applyAlignment="1" applyProtection="1">
      <alignment horizontal="center" vertical="center" wrapText="1"/>
      <protection locked="0"/>
    </xf>
    <xf numFmtId="0" fontId="0" fillId="0" borderId="2" xfId="0" applyFill="1" applyBorder="1" applyAlignment="1" applyProtection="1">
      <alignment horizontal="left" vertical="center" wrapText="1"/>
      <protection locked="0"/>
    </xf>
    <xf numFmtId="0" fontId="0" fillId="0" borderId="2" xfId="0" applyFont="1" applyFill="1" applyBorder="1" applyAlignment="1">
      <alignment horizontal="left" wrapText="1"/>
    </xf>
    <xf numFmtId="0" fontId="0" fillId="0" borderId="2" xfId="0" applyFont="1" applyFill="1" applyBorder="1" applyAlignment="1">
      <alignment horizontal="left"/>
    </xf>
    <xf numFmtId="0" fontId="6" fillId="0" borderId="2" xfId="0" applyFont="1" applyBorder="1" applyAlignment="1" applyProtection="1">
      <alignment vertical="center" wrapText="1"/>
      <protection locked="0"/>
    </xf>
    <xf numFmtId="0" fontId="30" fillId="9" borderId="10" xfId="0" applyFont="1" applyFill="1" applyBorder="1" applyAlignment="1">
      <alignment horizontal="center" wrapText="1"/>
    </xf>
    <xf numFmtId="0" fontId="0" fillId="0" borderId="2" xfId="0" applyFont="1" applyBorder="1" applyAlignment="1" applyProtection="1">
      <alignment horizontal="center" wrapText="1"/>
      <protection locked="0"/>
    </xf>
    <xf numFmtId="7" fontId="0" fillId="0" borderId="2" xfId="3" applyNumberFormat="1" applyFont="1" applyFill="1" applyBorder="1" applyAlignment="1">
      <alignment horizontal="center" vertical="center" wrapText="1"/>
    </xf>
    <xf numFmtId="44" fontId="0" fillId="0" borderId="2" xfId="3" applyFont="1" applyFill="1" applyBorder="1" applyAlignment="1">
      <alignment vertical="center" wrapText="1"/>
    </xf>
    <xf numFmtId="0" fontId="0" fillId="0" borderId="4" xfId="0" applyFont="1" applyFill="1" applyBorder="1" applyAlignment="1">
      <alignment horizontal="left" vertical="center" wrapText="1"/>
    </xf>
    <xf numFmtId="0" fontId="0" fillId="0" borderId="13" xfId="0" applyFont="1" applyBorder="1" applyAlignment="1">
      <alignment horizontal="left" wrapText="1"/>
    </xf>
    <xf numFmtId="0" fontId="0" fillId="0" borderId="2" xfId="0" applyFont="1" applyBorder="1" applyAlignment="1">
      <alignment horizontal="left" vertical="center" wrapText="1"/>
    </xf>
    <xf numFmtId="0" fontId="0" fillId="0" borderId="2" xfId="0" applyFont="1" applyBorder="1" applyAlignment="1" applyProtection="1">
      <alignment horizontal="left" wrapText="1"/>
      <protection locked="0"/>
    </xf>
    <xf numFmtId="0" fontId="0" fillId="0" borderId="2" xfId="0" applyFont="1" applyBorder="1" applyAlignment="1" applyProtection="1">
      <alignment vertical="center" wrapText="1"/>
      <protection locked="0"/>
    </xf>
    <xf numFmtId="0" fontId="10" fillId="0" borderId="2" xfId="0" applyFont="1" applyFill="1" applyBorder="1" applyAlignment="1">
      <alignment horizontal="left" wrapText="1"/>
    </xf>
    <xf numFmtId="7" fontId="5" fillId="14" borderId="2" xfId="3" applyNumberFormat="1" applyFont="1" applyFill="1" applyBorder="1" applyAlignment="1">
      <alignment horizontal="center" vertical="center" wrapText="1"/>
    </xf>
    <xf numFmtId="0" fontId="5" fillId="14" borderId="2" xfId="0" applyFont="1" applyFill="1" applyBorder="1" applyAlignment="1" applyProtection="1">
      <alignment horizontal="center" vertical="center" wrapText="1"/>
      <protection locked="0"/>
    </xf>
    <xf numFmtId="0" fontId="0" fillId="14" borderId="2" xfId="0" applyFill="1" applyBorder="1"/>
    <xf numFmtId="0" fontId="30" fillId="9" borderId="2" xfId="0" applyFont="1" applyFill="1" applyBorder="1" applyAlignment="1">
      <alignment horizontal="center" vertical="top" wrapText="1"/>
    </xf>
    <xf numFmtId="0" fontId="0" fillId="0" borderId="2" xfId="0" applyFont="1" applyBorder="1" applyAlignment="1" applyProtection="1">
      <alignment horizontal="center" vertical="center" wrapText="1"/>
      <protection locked="0"/>
    </xf>
    <xf numFmtId="0" fontId="0" fillId="0" borderId="4" xfId="0" applyFont="1" applyFill="1" applyBorder="1"/>
    <xf numFmtId="0" fontId="0" fillId="14" borderId="2" xfId="0" applyFont="1" applyFill="1" applyBorder="1" applyAlignment="1" applyProtection="1">
      <alignment horizontal="center" vertical="center" wrapText="1"/>
      <protection locked="0"/>
    </xf>
    <xf numFmtId="0" fontId="0" fillId="0" borderId="2" xfId="0" applyFont="1" applyBorder="1" applyAlignment="1">
      <alignment vertical="center"/>
    </xf>
    <xf numFmtId="0" fontId="0" fillId="14" borderId="2" xfId="0" applyFont="1" applyFill="1" applyBorder="1"/>
    <xf numFmtId="0" fontId="0" fillId="0" borderId="2" xfId="0" applyFont="1" applyBorder="1" applyAlignment="1">
      <alignment wrapText="1"/>
    </xf>
    <xf numFmtId="0" fontId="0" fillId="0" borderId="2" xfId="0" applyFont="1" applyBorder="1" applyAlignment="1">
      <alignment horizontal="center" vertical="center" wrapText="1"/>
    </xf>
    <xf numFmtId="165" fontId="0" fillId="0" borderId="2" xfId="0" applyNumberFormat="1" applyFont="1" applyBorder="1" applyAlignment="1" applyProtection="1">
      <alignment horizontal="center" vertical="center" wrapText="1"/>
      <protection locked="0"/>
    </xf>
    <xf numFmtId="0" fontId="0" fillId="0" borderId="2" xfId="0" applyFont="1" applyBorder="1" applyAlignment="1">
      <alignment vertical="center" wrapText="1"/>
    </xf>
    <xf numFmtId="0" fontId="0" fillId="0" borderId="2" xfId="0" applyBorder="1" applyAlignment="1" applyProtection="1">
      <alignment horizontal="center" vertical="center" wrapText="1"/>
      <protection locked="0"/>
    </xf>
    <xf numFmtId="0" fontId="0" fillId="0" borderId="2" xfId="0" applyFont="1" applyBorder="1" applyAlignment="1" applyProtection="1">
      <alignment horizontal="center" vertical="top" wrapText="1"/>
      <protection locked="0"/>
    </xf>
    <xf numFmtId="0" fontId="0" fillId="0" borderId="2" xfId="0" applyFont="1" applyBorder="1" applyAlignment="1">
      <alignment vertical="top" wrapText="1"/>
    </xf>
    <xf numFmtId="0" fontId="0" fillId="14" borderId="2" xfId="0" applyFill="1" applyBorder="1" applyAlignment="1">
      <alignment wrapText="1"/>
    </xf>
    <xf numFmtId="0" fontId="0" fillId="14" borderId="2" xfId="0" applyFill="1" applyBorder="1" applyAlignment="1" applyProtection="1">
      <alignment horizontal="center" vertical="center" wrapText="1"/>
      <protection locked="0"/>
    </xf>
    <xf numFmtId="165" fontId="0" fillId="0" borderId="2" xfId="0" applyNumberFormat="1" applyFill="1" applyBorder="1" applyAlignment="1" applyProtection="1">
      <alignment horizontal="center" vertical="center" wrapText="1"/>
      <protection locked="0"/>
    </xf>
    <xf numFmtId="165" fontId="0" fillId="14" borderId="2" xfId="0" applyNumberFormat="1" applyFill="1" applyBorder="1" applyAlignment="1" applyProtection="1">
      <alignment horizontal="center" vertical="center" wrapText="1"/>
      <protection locked="0"/>
    </xf>
    <xf numFmtId="0" fontId="0" fillId="0" borderId="0" xfId="0" applyFont="1" applyFill="1" applyBorder="1" applyAlignment="1" applyProtection="1">
      <alignment horizontal="left" vertical="center" wrapText="1"/>
      <protection locked="0"/>
    </xf>
    <xf numFmtId="0" fontId="0" fillId="0" borderId="2" xfId="0" applyBorder="1" applyAlignment="1" applyProtection="1">
      <alignment horizontal="center" vertical="top" wrapText="1"/>
      <protection locked="0"/>
    </xf>
    <xf numFmtId="0" fontId="0" fillId="0" borderId="2" xfId="0" applyBorder="1" applyAlignment="1" applyProtection="1">
      <alignment vertical="top" wrapText="1"/>
      <protection locked="0"/>
    </xf>
    <xf numFmtId="165" fontId="0" fillId="0" borderId="2" xfId="3" applyNumberFormat="1" applyFont="1" applyFill="1" applyBorder="1" applyAlignment="1" applyProtection="1">
      <alignment horizontal="center" vertical="center"/>
      <protection locked="0"/>
    </xf>
    <xf numFmtId="165" fontId="0" fillId="0" borderId="2" xfId="3" applyNumberFormat="1" applyFont="1" applyFill="1" applyBorder="1" applyAlignment="1">
      <alignment horizontal="center" vertical="center"/>
    </xf>
    <xf numFmtId="165" fontId="0" fillId="0" borderId="12" xfId="0" applyNumberFormat="1" applyFont="1" applyFill="1" applyBorder="1" applyAlignment="1" applyProtection="1">
      <alignment horizontal="center" vertical="center" wrapText="1"/>
      <protection locked="0"/>
    </xf>
    <xf numFmtId="165" fontId="0" fillId="0" borderId="0" xfId="0" applyNumberFormat="1" applyFont="1" applyFill="1" applyBorder="1" applyAlignment="1" applyProtection="1">
      <alignment horizontal="center" vertical="center" wrapText="1"/>
      <protection locked="0"/>
    </xf>
    <xf numFmtId="0" fontId="0" fillId="0" borderId="2" xfId="0" applyBorder="1" applyAlignment="1">
      <alignment wrapText="1"/>
    </xf>
    <xf numFmtId="49" fontId="0" fillId="0" borderId="2" xfId="0" applyNumberFormat="1" applyFont="1" applyBorder="1"/>
    <xf numFmtId="0" fontId="11" fillId="0" borderId="2" xfId="0" applyFont="1" applyFill="1" applyBorder="1"/>
    <xf numFmtId="0" fontId="10" fillId="0" borderId="2" xfId="0" applyFont="1" applyFill="1" applyBorder="1" applyAlignment="1">
      <alignment horizontal="center" vertical="top" wrapText="1"/>
    </xf>
    <xf numFmtId="0" fontId="10" fillId="0" borderId="2" xfId="0" applyFont="1" applyFill="1" applyBorder="1" applyAlignment="1">
      <alignment horizontal="center" vertical="center" wrapText="1"/>
    </xf>
    <xf numFmtId="0" fontId="0" fillId="0" borderId="2" xfId="0" applyFont="1" applyFill="1" applyBorder="1" applyAlignment="1">
      <alignment wrapText="1"/>
    </xf>
    <xf numFmtId="0" fontId="0" fillId="0" borderId="2" xfId="0" applyFont="1" applyBorder="1" applyAlignment="1">
      <alignment wrapText="1"/>
    </xf>
    <xf numFmtId="0" fontId="10" fillId="0" borderId="2" xfId="0" applyFont="1" applyFill="1" applyBorder="1" applyAlignment="1">
      <alignment horizontal="center" wrapText="1"/>
    </xf>
    <xf numFmtId="0" fontId="0" fillId="0" borderId="6" xfId="0" applyFont="1" applyBorder="1" applyAlignment="1" applyProtection="1">
      <alignment horizontal="center" vertical="top" wrapText="1"/>
      <protection locked="0"/>
    </xf>
    <xf numFmtId="0" fontId="30" fillId="14" borderId="10" xfId="0" applyFont="1" applyFill="1" applyBorder="1" applyAlignment="1">
      <alignment horizontal="center" vertical="top" wrapText="1"/>
    </xf>
    <xf numFmtId="165" fontId="0" fillId="14" borderId="2" xfId="0" applyNumberFormat="1" applyFont="1" applyFill="1" applyBorder="1" applyAlignment="1" applyProtection="1">
      <alignment horizontal="center" vertical="center" wrapText="1"/>
      <protection locked="0"/>
    </xf>
    <xf numFmtId="7" fontId="9" fillId="0" borderId="2" xfId="3" applyNumberFormat="1" applyFont="1" applyFill="1" applyBorder="1" applyAlignment="1">
      <alignment horizontal="center" vertical="center" wrapText="1"/>
    </xf>
    <xf numFmtId="44" fontId="9" fillId="0" borderId="2" xfId="3" applyFont="1" applyFill="1" applyBorder="1" applyAlignment="1">
      <alignment vertical="center" wrapText="1"/>
    </xf>
    <xf numFmtId="0" fontId="0" fillId="0" borderId="2" xfId="0" applyFont="1" applyFill="1" applyBorder="1" applyAlignment="1">
      <alignment horizontal="left" vertical="center"/>
    </xf>
    <xf numFmtId="0" fontId="10" fillId="0" borderId="2" xfId="0" applyFont="1" applyFill="1" applyBorder="1" applyAlignment="1">
      <alignment horizontal="center" vertical="top" wrapText="1"/>
    </xf>
    <xf numFmtId="0" fontId="0" fillId="0" borderId="2" xfId="0" applyBorder="1" applyAlignment="1">
      <alignment wrapText="1"/>
    </xf>
    <xf numFmtId="0" fontId="10" fillId="14" borderId="2" xfId="0" applyFont="1" applyFill="1" applyBorder="1" applyAlignment="1">
      <alignment horizontal="center" vertical="center" wrapText="1"/>
    </xf>
    <xf numFmtId="0" fontId="10" fillId="0" borderId="2" xfId="0" applyFont="1" applyFill="1" applyBorder="1" applyAlignment="1" applyProtection="1">
      <alignment horizontal="center" vertical="top" wrapText="1"/>
      <protection locked="0"/>
    </xf>
    <xf numFmtId="0" fontId="0" fillId="0" borderId="2" xfId="0" applyFont="1" applyFill="1" applyBorder="1" applyAlignment="1">
      <alignment vertical="top" wrapText="1"/>
    </xf>
    <xf numFmtId="0" fontId="0" fillId="0" borderId="0" xfId="0" applyAlignment="1"/>
    <xf numFmtId="0" fontId="30" fillId="9" borderId="6" xfId="0" applyFont="1" applyFill="1" applyBorder="1" applyAlignment="1">
      <alignment horizontal="center" vertical="top" wrapText="1"/>
    </xf>
    <xf numFmtId="0" fontId="0" fillId="0" borderId="4" xfId="0" applyFont="1" applyBorder="1" applyAlignment="1" applyProtection="1">
      <alignment horizontal="center" vertical="top" wrapText="1"/>
      <protection locked="0"/>
    </xf>
    <xf numFmtId="0" fontId="0" fillId="0" borderId="4" xfId="0" applyFont="1" applyBorder="1"/>
    <xf numFmtId="49" fontId="10" fillId="0" borderId="4" xfId="0" applyNumberFormat="1" applyFont="1" applyFill="1" applyBorder="1" applyAlignment="1">
      <alignment vertical="center" wrapText="1"/>
    </xf>
    <xf numFmtId="0" fontId="6" fillId="0" borderId="2" xfId="0" applyFont="1" applyBorder="1" applyAlignment="1" applyProtection="1">
      <alignment vertical="center" wrapText="1"/>
      <protection locked="0"/>
    </xf>
    <xf numFmtId="0" fontId="10" fillId="0" borderId="2" xfId="0" applyFont="1" applyBorder="1" applyAlignment="1" applyProtection="1">
      <alignment horizontal="center" vertical="top" wrapText="1"/>
      <protection locked="0"/>
    </xf>
    <xf numFmtId="0" fontId="10" fillId="0" borderId="2" xfId="0" applyFont="1" applyBorder="1" applyAlignment="1">
      <alignment horizontal="left" wrapText="1"/>
    </xf>
    <xf numFmtId="0" fontId="10" fillId="0" borderId="4" xfId="0" applyFont="1" applyFill="1" applyBorder="1" applyAlignment="1">
      <alignment horizontal="center" vertical="center" wrapText="1"/>
    </xf>
    <xf numFmtId="0" fontId="10" fillId="0" borderId="6" xfId="0" applyFont="1" applyFill="1" applyBorder="1" applyAlignment="1">
      <alignment horizontal="center" vertical="center" wrapText="1"/>
    </xf>
    <xf numFmtId="165" fontId="0" fillId="12" borderId="2" xfId="0" applyNumberFormat="1" applyFont="1" applyFill="1" applyBorder="1"/>
    <xf numFmtId="0" fontId="0" fillId="0" borderId="4" xfId="0" applyFont="1" applyFill="1" applyBorder="1" applyAlignment="1" applyProtection="1">
      <alignment horizontal="center" vertical="top" wrapText="1"/>
      <protection locked="0"/>
    </xf>
    <xf numFmtId="165" fontId="10" fillId="0" borderId="2" xfId="0" applyNumberFormat="1" applyFont="1" applyFill="1" applyBorder="1" applyAlignment="1" applyProtection="1">
      <alignment horizontal="center" vertical="center" wrapText="1"/>
      <protection locked="0"/>
    </xf>
    <xf numFmtId="0" fontId="10" fillId="0" borderId="4" xfId="0" applyFont="1" applyFill="1" applyBorder="1" applyAlignment="1" applyProtection="1">
      <alignment horizontal="center" vertical="top" wrapText="1"/>
      <protection locked="0"/>
    </xf>
    <xf numFmtId="0" fontId="7" fillId="9" borderId="2" xfId="0" applyFont="1" applyFill="1" applyBorder="1" applyAlignment="1">
      <alignment horizontal="center" vertical="top"/>
    </xf>
    <xf numFmtId="165" fontId="17" fillId="0" borderId="0" xfId="0" applyNumberFormat="1" applyFont="1" applyFill="1" applyBorder="1" applyAlignment="1" applyProtection="1">
      <alignment horizontal="center" vertical="center"/>
      <protection locked="0"/>
    </xf>
    <xf numFmtId="165" fontId="5" fillId="0" borderId="0" xfId="0" applyNumberFormat="1" applyFont="1" applyFill="1" applyBorder="1" applyAlignment="1" applyProtection="1">
      <alignment horizontal="center" vertical="center"/>
      <protection locked="0"/>
    </xf>
    <xf numFmtId="44" fontId="0" fillId="11" borderId="0" xfId="3" applyFont="1" applyFill="1" applyBorder="1"/>
    <xf numFmtId="44" fontId="0" fillId="11" borderId="0" xfId="3" applyFont="1" applyFill="1"/>
    <xf numFmtId="0" fontId="11" fillId="0" borderId="2" xfId="0" applyFont="1" applyBorder="1"/>
    <xf numFmtId="0" fontId="10" fillId="7" borderId="2" xfId="0" applyFont="1" applyFill="1" applyBorder="1" applyAlignment="1">
      <alignment horizontal="center" vertical="top" wrapText="1"/>
    </xf>
    <xf numFmtId="0" fontId="10" fillId="2" borderId="2" xfId="0" applyFont="1" applyFill="1" applyBorder="1" applyAlignment="1">
      <alignment horizontal="center" vertical="center" wrapText="1"/>
    </xf>
    <xf numFmtId="44" fontId="10" fillId="11" borderId="2" xfId="3" applyFont="1" applyFill="1" applyBorder="1" applyAlignment="1">
      <alignment horizontal="center" vertical="center" wrapText="1"/>
    </xf>
    <xf numFmtId="0" fontId="9" fillId="0" borderId="2" xfId="0" applyFont="1" applyFill="1" applyBorder="1" applyAlignment="1">
      <alignment horizontal="center" vertical="center"/>
    </xf>
    <xf numFmtId="7" fontId="9" fillId="0" borderId="0" xfId="3" applyNumberFormat="1" applyFont="1" applyFill="1" applyBorder="1" applyAlignment="1">
      <alignment vertical="center" wrapText="1"/>
    </xf>
    <xf numFmtId="0" fontId="35" fillId="0" borderId="0" xfId="0" applyFont="1" applyAlignment="1">
      <alignment horizontal="left" indent="2"/>
    </xf>
    <xf numFmtId="0" fontId="35" fillId="0" borderId="0" xfId="0" applyFont="1" applyFill="1" applyBorder="1" applyAlignment="1">
      <alignment horizontal="left" indent="2"/>
    </xf>
    <xf numFmtId="0" fontId="36" fillId="0" borderId="0" xfId="0" applyFont="1" applyFill="1" applyBorder="1" applyAlignment="1">
      <alignment horizontal="center" vertical="top" wrapText="1"/>
    </xf>
    <xf numFmtId="8" fontId="35" fillId="0" borderId="0" xfId="0" applyNumberFormat="1" applyFont="1" applyFill="1" applyBorder="1" applyAlignment="1">
      <alignment vertical="top" wrapText="1"/>
    </xf>
    <xf numFmtId="0" fontId="10" fillId="4" borderId="2" xfId="0" applyFont="1" applyFill="1" applyBorder="1" applyAlignment="1">
      <alignment horizontal="center" vertical="center" wrapText="1"/>
    </xf>
    <xf numFmtId="1" fontId="9" fillId="0" borderId="2" xfId="0" applyNumberFormat="1" applyFont="1" applyFill="1" applyBorder="1" applyAlignment="1">
      <alignment horizontal="center" vertical="center"/>
    </xf>
    <xf numFmtId="0" fontId="9" fillId="0" borderId="2" xfId="0" applyFont="1" applyFill="1" applyBorder="1" applyAlignment="1">
      <alignment horizontal="center" vertical="center" wrapText="1"/>
    </xf>
    <xf numFmtId="0" fontId="27" fillId="0" borderId="2" xfId="0" applyFont="1" applyFill="1" applyBorder="1" applyAlignment="1" applyProtection="1">
      <alignment horizontal="center" vertical="center" wrapText="1"/>
      <protection locked="0"/>
    </xf>
    <xf numFmtId="44" fontId="15" fillId="0" borderId="2" xfId="3" applyFont="1" applyFill="1" applyBorder="1" applyAlignment="1">
      <alignment horizontal="center" vertical="top" wrapText="1"/>
    </xf>
    <xf numFmtId="44" fontId="15" fillId="0" borderId="2" xfId="3" applyFont="1" applyFill="1" applyBorder="1" applyAlignment="1">
      <alignment horizontal="center" vertical="center" wrapText="1"/>
    </xf>
    <xf numFmtId="44" fontId="0" fillId="0" borderId="2" xfId="3" applyFont="1" applyFill="1" applyBorder="1" applyAlignment="1">
      <alignment horizontal="center" vertical="center" wrapText="1"/>
    </xf>
    <xf numFmtId="44" fontId="5" fillId="0" borderId="2" xfId="3" applyFont="1" applyFill="1" applyBorder="1" applyAlignment="1" applyProtection="1">
      <alignment horizontal="center" vertical="center" wrapText="1"/>
      <protection locked="0"/>
    </xf>
    <xf numFmtId="44" fontId="6" fillId="0" borderId="2" xfId="3" applyFont="1" applyFill="1" applyBorder="1" applyAlignment="1">
      <alignment vertical="top" wrapText="1"/>
    </xf>
    <xf numFmtId="0" fontId="29" fillId="0" borderId="2" xfId="0" applyFont="1" applyFill="1" applyBorder="1" applyAlignment="1">
      <alignment horizontal="left" vertical="center" wrapText="1"/>
    </xf>
    <xf numFmtId="0" fontId="10" fillId="12" borderId="2" xfId="0" applyFont="1" applyFill="1" applyBorder="1" applyAlignment="1">
      <alignment wrapText="1"/>
    </xf>
    <xf numFmtId="0" fontId="0" fillId="0" borderId="0" xfId="0" applyFont="1" applyAlignment="1">
      <alignment wrapText="1"/>
    </xf>
    <xf numFmtId="7" fontId="28" fillId="0" borderId="2" xfId="3" applyNumberFormat="1" applyFont="1" applyFill="1" applyBorder="1" applyAlignment="1">
      <alignment vertical="center" wrapText="1"/>
    </xf>
    <xf numFmtId="0" fontId="5" fillId="12" borderId="2" xfId="0" applyFont="1" applyFill="1" applyBorder="1" applyAlignment="1">
      <alignment wrapText="1"/>
    </xf>
    <xf numFmtId="49" fontId="29" fillId="0" borderId="2" xfId="0" applyNumberFormat="1" applyFont="1" applyFill="1" applyBorder="1" applyAlignment="1" applyProtection="1">
      <alignment horizontal="left" vertical="center" wrapText="1"/>
      <protection locked="0"/>
    </xf>
    <xf numFmtId="0" fontId="0" fillId="0" borderId="0" xfId="0" applyFont="1" applyFill="1" applyAlignment="1" applyProtection="1">
      <alignment wrapText="1"/>
    </xf>
    <xf numFmtId="44" fontId="0" fillId="0" borderId="2" xfId="3" applyFont="1" applyBorder="1" applyAlignment="1">
      <alignment vertical="center" wrapText="1"/>
    </xf>
    <xf numFmtId="49" fontId="10" fillId="16" borderId="2" xfId="0" applyNumberFormat="1" applyFont="1" applyFill="1" applyBorder="1" applyAlignment="1">
      <alignment wrapText="1"/>
    </xf>
    <xf numFmtId="0" fontId="11" fillId="16" borderId="2" xfId="0" applyFont="1" applyFill="1" applyBorder="1"/>
    <xf numFmtId="0" fontId="0" fillId="16" borderId="2" xfId="0" applyFont="1" applyFill="1" applyBorder="1" applyAlignment="1">
      <alignment horizontal="center" vertical="center" wrapText="1"/>
    </xf>
    <xf numFmtId="0" fontId="10" fillId="16" borderId="2" xfId="0" applyFont="1" applyFill="1" applyBorder="1" applyAlignment="1">
      <alignment horizontal="center" vertical="center" wrapText="1"/>
    </xf>
    <xf numFmtId="7" fontId="0" fillId="16" borderId="2" xfId="3" applyNumberFormat="1" applyFont="1" applyFill="1" applyBorder="1" applyAlignment="1">
      <alignment horizontal="center" vertical="center" wrapText="1"/>
    </xf>
    <xf numFmtId="0" fontId="0" fillId="0" borderId="2" xfId="0" applyFont="1" applyBorder="1" applyAlignment="1">
      <alignment horizontal="center" wrapText="1"/>
    </xf>
    <xf numFmtId="0" fontId="0" fillId="12" borderId="2" xfId="0" applyFont="1" applyFill="1" applyBorder="1" applyAlignment="1" applyProtection="1">
      <alignment vertical="top" wrapText="1"/>
      <protection locked="0"/>
    </xf>
    <xf numFmtId="0" fontId="0" fillId="12" borderId="2" xfId="0" applyFont="1" applyFill="1" applyBorder="1" applyAlignment="1" applyProtection="1">
      <alignment vertical="center" wrapText="1"/>
      <protection locked="0"/>
    </xf>
    <xf numFmtId="0" fontId="7" fillId="9" borderId="4" xfId="0" applyFont="1" applyFill="1" applyBorder="1" applyAlignment="1">
      <alignment horizontal="center" vertical="top" wrapText="1"/>
    </xf>
    <xf numFmtId="0" fontId="7" fillId="9" borderId="6" xfId="0" applyFont="1" applyFill="1" applyBorder="1" applyAlignment="1">
      <alignment horizontal="center" vertical="top" wrapText="1"/>
    </xf>
    <xf numFmtId="0" fontId="8" fillId="0" borderId="2" xfId="0" applyFont="1" applyBorder="1" applyAlignment="1" applyProtection="1">
      <alignment horizontal="left" vertical="top" wrapText="1"/>
      <protection locked="0"/>
    </xf>
    <xf numFmtId="0" fontId="0" fillId="0" borderId="2" xfId="0" applyBorder="1" applyAlignment="1">
      <alignment wrapText="1"/>
    </xf>
    <xf numFmtId="0" fontId="10" fillId="0" borderId="2" xfId="0" applyFont="1" applyBorder="1" applyAlignment="1">
      <alignment horizontal="center" vertical="center" wrapText="1"/>
    </xf>
    <xf numFmtId="0" fontId="16" fillId="0" borderId="2" xfId="0" applyFont="1" applyBorder="1" applyAlignment="1" applyProtection="1">
      <alignment horizontal="center" vertical="top" wrapText="1"/>
      <protection locked="0"/>
    </xf>
    <xf numFmtId="0" fontId="10" fillId="0" borderId="2" xfId="0" applyFont="1" applyBorder="1" applyAlignment="1">
      <alignment horizontal="center" wrapText="1"/>
    </xf>
    <xf numFmtId="0" fontId="10" fillId="0" borderId="2" xfId="0" applyFont="1" applyFill="1" applyBorder="1" applyAlignment="1">
      <alignment horizontal="center" vertical="center" wrapText="1"/>
    </xf>
    <xf numFmtId="0" fontId="10" fillId="0" borderId="2" xfId="0" applyFont="1" applyBorder="1" applyAlignment="1">
      <alignment wrapText="1"/>
    </xf>
    <xf numFmtId="0" fontId="16" fillId="0" borderId="4" xfId="0" applyFont="1" applyBorder="1" applyAlignment="1" applyProtection="1">
      <alignment horizontal="center" vertical="top" wrapText="1"/>
      <protection locked="0"/>
    </xf>
    <xf numFmtId="0" fontId="9" fillId="0" borderId="2" xfId="0" applyFont="1" applyFill="1" applyBorder="1" applyAlignment="1" applyProtection="1">
      <alignment horizontal="center" vertical="top" wrapText="1"/>
      <protection locked="0"/>
    </xf>
    <xf numFmtId="0" fontId="18" fillId="0" borderId="0" xfId="0" applyFont="1" applyFill="1" applyBorder="1" applyAlignment="1" applyProtection="1">
      <alignment vertical="top" wrapText="1"/>
      <protection locked="0"/>
    </xf>
    <xf numFmtId="49" fontId="5" fillId="0" borderId="0" xfId="0" applyNumberFormat="1" applyFont="1" applyFill="1" applyBorder="1" applyAlignment="1">
      <alignment vertical="center"/>
    </xf>
    <xf numFmtId="0" fontId="5" fillId="0" borderId="0" xfId="0" applyFont="1" applyFill="1" applyBorder="1" applyAlignment="1">
      <alignment horizontal="left"/>
    </xf>
    <xf numFmtId="0" fontId="10" fillId="0" borderId="2" xfId="0" applyFont="1" applyFill="1" applyBorder="1" applyAlignment="1">
      <alignment horizontal="center" vertical="top" wrapText="1"/>
    </xf>
    <xf numFmtId="0" fontId="0" fillId="0" borderId="2" xfId="0" applyFont="1" applyFill="1" applyBorder="1" applyAlignment="1">
      <alignment wrapText="1"/>
    </xf>
    <xf numFmtId="0" fontId="30" fillId="0" borderId="6" xfId="0" applyFont="1" applyFill="1" applyBorder="1" applyAlignment="1">
      <alignment horizontal="center" vertical="top" wrapText="1"/>
    </xf>
    <xf numFmtId="0" fontId="4" fillId="0" borderId="20" xfId="0" applyFont="1" applyFill="1" applyBorder="1" applyAlignment="1" applyProtection="1">
      <alignment horizontal="left" vertical="center" wrapText="1"/>
      <protection locked="0"/>
    </xf>
    <xf numFmtId="0" fontId="4" fillId="0" borderId="21" xfId="0" applyFont="1" applyFill="1" applyBorder="1" applyAlignment="1" applyProtection="1">
      <alignment horizontal="left" vertical="center" wrapText="1"/>
      <protection locked="0"/>
    </xf>
    <xf numFmtId="0" fontId="16" fillId="0" borderId="4" xfId="0" applyFont="1" applyFill="1" applyBorder="1" applyAlignment="1" applyProtection="1">
      <alignment horizontal="center" vertical="top" wrapText="1"/>
      <protection locked="0"/>
    </xf>
    <xf numFmtId="0" fontId="8" fillId="0" borderId="4" xfId="0" applyFont="1" applyFill="1" applyBorder="1" applyAlignment="1" applyProtection="1">
      <alignment horizontal="center" vertical="top" wrapText="1"/>
      <protection locked="0"/>
    </xf>
    <xf numFmtId="165" fontId="0" fillId="0" borderId="2" xfId="0" applyNumberFormat="1" applyBorder="1" applyAlignment="1" applyProtection="1">
      <alignment horizontal="center" vertical="center" wrapText="1"/>
      <protection locked="0"/>
    </xf>
    <xf numFmtId="0" fontId="34" fillId="0" borderId="2" xfId="0" applyFont="1" applyFill="1" applyBorder="1" applyAlignment="1">
      <alignment horizontal="center" vertical="center" wrapText="1"/>
    </xf>
    <xf numFmtId="165" fontId="32" fillId="0" borderId="2" xfId="0" applyNumberFormat="1" applyFont="1" applyFill="1" applyBorder="1" applyAlignment="1" applyProtection="1">
      <alignment horizontal="center" vertical="center" wrapText="1"/>
      <protection locked="0"/>
    </xf>
    <xf numFmtId="0" fontId="32" fillId="0" borderId="0" xfId="0" applyFont="1" applyFill="1"/>
    <xf numFmtId="165" fontId="0" fillId="0" borderId="2" xfId="0" applyNumberFormat="1" applyFont="1" applyFill="1" applyBorder="1" applyAlignment="1">
      <alignment vertical="top" wrapText="1"/>
    </xf>
    <xf numFmtId="165" fontId="0" fillId="0" borderId="2" xfId="0" applyNumberFormat="1" applyFill="1" applyBorder="1" applyAlignment="1">
      <alignment horizontal="center" vertical="center" wrapText="1"/>
    </xf>
    <xf numFmtId="0" fontId="6" fillId="0" borderId="2" xfId="0" applyFont="1" applyFill="1" applyBorder="1" applyAlignment="1">
      <alignment horizontal="left" wrapText="1"/>
    </xf>
    <xf numFmtId="0" fontId="0" fillId="12" borderId="2" xfId="0" applyFont="1" applyFill="1" applyBorder="1" applyAlignment="1">
      <alignment wrapText="1"/>
    </xf>
    <xf numFmtId="0" fontId="30" fillId="0" borderId="10" xfId="0" applyFont="1" applyFill="1" applyBorder="1" applyAlignment="1">
      <alignment horizontal="center" vertical="top" wrapText="1"/>
    </xf>
    <xf numFmtId="44" fontId="0" fillId="0" borderId="2" xfId="3" applyFont="1" applyBorder="1" applyAlignment="1">
      <alignment horizontal="center" vertical="center" wrapText="1"/>
    </xf>
    <xf numFmtId="0" fontId="5" fillId="0" borderId="2" xfId="0" applyFont="1" applyFill="1" applyBorder="1" applyAlignment="1" applyProtection="1">
      <alignment horizontal="center" vertical="center" wrapText="1"/>
      <protection locked="0"/>
    </xf>
    <xf numFmtId="0" fontId="0" fillId="0" borderId="2" xfId="0" applyFont="1" applyBorder="1" applyAlignment="1">
      <alignment horizontal="left" wrapText="1"/>
    </xf>
    <xf numFmtId="0" fontId="0" fillId="0" borderId="2" xfId="0" applyFont="1" applyFill="1" applyBorder="1" applyAlignment="1">
      <alignment wrapText="1"/>
    </xf>
    <xf numFmtId="0" fontId="9" fillId="0" borderId="2" xfId="0" applyFont="1" applyFill="1" applyBorder="1"/>
    <xf numFmtId="165" fontId="0" fillId="0" borderId="2" xfId="0" applyNumberFormat="1" applyFont="1" applyFill="1" applyBorder="1" applyAlignment="1">
      <alignment horizontal="center" vertical="center"/>
    </xf>
    <xf numFmtId="165" fontId="0" fillId="0" borderId="2" xfId="0" applyNumberFormat="1" applyFill="1" applyBorder="1" applyAlignment="1">
      <alignment horizontal="center" vertical="center"/>
    </xf>
    <xf numFmtId="44" fontId="9" fillId="0" borderId="2" xfId="3" applyFont="1" applyFill="1" applyBorder="1" applyAlignment="1">
      <alignment horizontal="center" vertical="center"/>
    </xf>
    <xf numFmtId="44" fontId="10" fillId="0" borderId="2" xfId="3" applyFont="1" applyFill="1" applyBorder="1" applyAlignment="1">
      <alignment horizontal="center" vertical="center" wrapText="1"/>
    </xf>
    <xf numFmtId="44" fontId="0" fillId="0" borderId="0" xfId="3" applyFont="1" applyFill="1" applyBorder="1"/>
    <xf numFmtId="0" fontId="0" fillId="14" borderId="0" xfId="0" applyFont="1" applyFill="1" applyBorder="1"/>
    <xf numFmtId="0" fontId="0" fillId="14" borderId="0" xfId="0" applyFill="1" applyBorder="1"/>
    <xf numFmtId="0" fontId="10" fillId="0" borderId="2" xfId="0" applyFont="1" applyFill="1" applyBorder="1" applyAlignment="1">
      <alignment wrapText="1"/>
    </xf>
    <xf numFmtId="0" fontId="10" fillId="0" borderId="2" xfId="0" applyFont="1" applyFill="1" applyBorder="1" applyAlignment="1">
      <alignment horizontal="center" vertical="top" wrapText="1"/>
    </xf>
    <xf numFmtId="0" fontId="0" fillId="0" borderId="2" xfId="0" applyFont="1" applyBorder="1" applyAlignment="1">
      <alignment wrapText="1"/>
    </xf>
    <xf numFmtId="0" fontId="0" fillId="0" borderId="12" xfId="0" applyFont="1" applyFill="1" applyBorder="1" applyAlignment="1">
      <alignment horizontal="center" vertical="center" wrapText="1"/>
    </xf>
    <xf numFmtId="0" fontId="10" fillId="0" borderId="2" xfId="0" applyFont="1" applyBorder="1" applyAlignment="1">
      <alignment horizontal="center" wrapText="1"/>
    </xf>
    <xf numFmtId="0" fontId="10" fillId="0" borderId="2" xfId="0" applyFont="1" applyBorder="1" applyAlignment="1">
      <alignment horizontal="center" vertical="center" wrapText="1"/>
    </xf>
    <xf numFmtId="0" fontId="10" fillId="0" borderId="2" xfId="0" applyFont="1" applyFill="1" applyBorder="1" applyAlignment="1" applyProtection="1">
      <alignment vertical="top" wrapText="1"/>
      <protection locked="0"/>
    </xf>
    <xf numFmtId="0" fontId="0" fillId="0" borderId="2" xfId="0" applyFont="1" applyFill="1" applyBorder="1" applyAlignment="1"/>
    <xf numFmtId="0" fontId="0" fillId="0" borderId="2" xfId="0" applyFont="1" applyFill="1" applyBorder="1" applyAlignment="1">
      <alignment vertical="top" wrapText="1"/>
    </xf>
    <xf numFmtId="0" fontId="0" fillId="0" borderId="2" xfId="0" applyFont="1" applyFill="1" applyBorder="1" applyAlignment="1">
      <alignment wrapText="1"/>
    </xf>
    <xf numFmtId="0" fontId="10" fillId="0" borderId="2" xfId="0" applyFont="1" applyBorder="1" applyAlignment="1">
      <alignment wrapText="1"/>
    </xf>
    <xf numFmtId="0" fontId="10" fillId="0" borderId="2" xfId="0" applyFont="1" applyFill="1" applyBorder="1" applyAlignment="1">
      <alignment horizontal="center" wrapText="1"/>
    </xf>
    <xf numFmtId="0" fontId="10" fillId="0" borderId="13" xfId="0" applyFont="1" applyFill="1" applyBorder="1" applyAlignment="1"/>
    <xf numFmtId="0" fontId="0" fillId="0" borderId="0" xfId="0" applyFont="1" applyFill="1" applyBorder="1" applyAlignment="1" applyProtection="1">
      <alignment horizontal="center" vertical="top" wrapText="1"/>
      <protection locked="0"/>
    </xf>
    <xf numFmtId="0" fontId="10" fillId="0" borderId="2" xfId="0" applyFont="1" applyBorder="1" applyAlignment="1" applyProtection="1">
      <alignment vertical="top" wrapText="1"/>
      <protection hidden="1"/>
    </xf>
    <xf numFmtId="0" fontId="10" fillId="8" borderId="9" xfId="0" applyFont="1" applyFill="1" applyBorder="1" applyAlignment="1" applyProtection="1">
      <alignment horizontal="left" vertical="center" wrapText="1"/>
      <protection locked="0"/>
    </xf>
    <xf numFmtId="0" fontId="10" fillId="8" borderId="17" xfId="0" applyFont="1" applyFill="1" applyBorder="1" applyAlignment="1" applyProtection="1">
      <alignment horizontal="left" vertical="center" wrapText="1"/>
      <protection locked="0"/>
    </xf>
    <xf numFmtId="0" fontId="10" fillId="8" borderId="20" xfId="0" applyFont="1" applyFill="1" applyBorder="1" applyAlignment="1" applyProtection="1">
      <alignment horizontal="left" vertical="center" wrapText="1"/>
      <protection locked="0"/>
    </xf>
    <xf numFmtId="0" fontId="10" fillId="8" borderId="18" xfId="0" applyFont="1" applyFill="1" applyBorder="1" applyAlignment="1" applyProtection="1">
      <alignment horizontal="left" vertical="center" wrapText="1"/>
      <protection locked="0"/>
    </xf>
    <xf numFmtId="0" fontId="10" fillId="8" borderId="8" xfId="0" applyFont="1" applyFill="1" applyBorder="1" applyAlignment="1" applyProtection="1">
      <alignment horizontal="left" vertical="center" wrapText="1"/>
      <protection locked="0"/>
    </xf>
    <xf numFmtId="0" fontId="10" fillId="8" borderId="21" xfId="0" applyFont="1" applyFill="1" applyBorder="1" applyAlignment="1" applyProtection="1">
      <alignment horizontal="left" vertical="center" wrapText="1"/>
      <protection locked="0"/>
    </xf>
    <xf numFmtId="0" fontId="10" fillId="0" borderId="2" xfId="0" applyFont="1" applyBorder="1" applyAlignment="1" applyProtection="1">
      <alignment horizontal="left" vertical="top" wrapText="1"/>
      <protection locked="0"/>
    </xf>
    <xf numFmtId="0" fontId="10" fillId="0" borderId="4" xfId="0" applyFont="1" applyBorder="1" applyAlignment="1" applyProtection="1">
      <alignment horizontal="center" vertical="top" wrapText="1"/>
      <protection locked="0"/>
    </xf>
    <xf numFmtId="0" fontId="10" fillId="0" borderId="6" xfId="0" applyFont="1" applyBorder="1" applyAlignment="1" applyProtection="1">
      <alignment horizontal="center" vertical="top" wrapText="1"/>
      <protection locked="0"/>
    </xf>
    <xf numFmtId="0" fontId="10" fillId="10" borderId="6" xfId="0" applyFont="1" applyFill="1" applyBorder="1" applyAlignment="1" applyProtection="1">
      <alignment horizontal="center" vertical="top" wrapText="1"/>
      <protection locked="0"/>
    </xf>
    <xf numFmtId="0" fontId="0" fillId="0" borderId="2" xfId="0" applyFont="1" applyBorder="1" applyAlignment="1" applyProtection="1">
      <alignment horizontal="left" vertical="top" wrapText="1"/>
      <protection locked="0"/>
    </xf>
    <xf numFmtId="164" fontId="10" fillId="10" borderId="8" xfId="0" applyNumberFormat="1" applyFont="1" applyFill="1" applyBorder="1" applyAlignment="1" applyProtection="1">
      <alignment vertical="center" wrapText="1"/>
      <protection locked="0"/>
    </xf>
    <xf numFmtId="0" fontId="10" fillId="0" borderId="4" xfId="0" applyFont="1" applyFill="1" applyBorder="1" applyAlignment="1">
      <alignment vertical="center" wrapText="1"/>
    </xf>
    <xf numFmtId="0" fontId="10" fillId="0" borderId="13" xfId="0" applyFont="1" applyFill="1" applyBorder="1" applyAlignment="1">
      <alignment vertical="center" wrapText="1"/>
    </xf>
    <xf numFmtId="0" fontId="0" fillId="0" borderId="4" xfId="0" applyFont="1" applyBorder="1" applyAlignment="1" applyProtection="1">
      <alignment vertical="top" wrapText="1"/>
      <protection locked="0"/>
    </xf>
    <xf numFmtId="0" fontId="0" fillId="0" borderId="13" xfId="0" applyFont="1" applyBorder="1" applyAlignment="1" applyProtection="1">
      <alignment vertical="top" wrapText="1"/>
      <protection locked="0"/>
    </xf>
    <xf numFmtId="44" fontId="37" fillId="0" borderId="2" xfId="3" applyFont="1" applyFill="1" applyBorder="1" applyAlignment="1">
      <alignment vertical="center" wrapText="1"/>
    </xf>
    <xf numFmtId="0" fontId="0" fillId="0" borderId="4" xfId="0" applyFont="1" applyFill="1" applyBorder="1" applyAlignment="1" applyProtection="1">
      <alignment vertical="top" wrapText="1"/>
      <protection locked="0"/>
    </xf>
    <xf numFmtId="0" fontId="0" fillId="0" borderId="13" xfId="0" applyFont="1" applyFill="1" applyBorder="1" applyAlignment="1" applyProtection="1">
      <alignment vertical="top" wrapText="1"/>
      <protection locked="0"/>
    </xf>
    <xf numFmtId="44" fontId="10" fillId="0" borderId="2" xfId="3" applyFont="1" applyFill="1" applyBorder="1" applyAlignment="1">
      <alignment vertical="center" wrapText="1"/>
    </xf>
    <xf numFmtId="0" fontId="10" fillId="0" borderId="4" xfId="0" applyFont="1" applyFill="1" applyBorder="1" applyAlignment="1" applyProtection="1">
      <alignment vertical="top" wrapText="1"/>
      <protection locked="0"/>
    </xf>
    <xf numFmtId="0" fontId="10" fillId="0" borderId="13" xfId="0" applyFont="1" applyFill="1" applyBorder="1" applyAlignment="1" applyProtection="1">
      <alignment vertical="top" wrapText="1"/>
      <protection locked="0"/>
    </xf>
    <xf numFmtId="0" fontId="30" fillId="9" borderId="4" xfId="0" applyFont="1" applyFill="1" applyBorder="1" applyAlignment="1">
      <alignment horizontal="center" vertical="top" wrapText="1"/>
    </xf>
    <xf numFmtId="49" fontId="10" fillId="0" borderId="2" xfId="0" applyNumberFormat="1" applyFont="1" applyFill="1" applyBorder="1" applyAlignment="1">
      <alignment vertical="center" wrapText="1"/>
    </xf>
    <xf numFmtId="44" fontId="11" fillId="0" borderId="2" xfId="3" applyFont="1" applyFill="1" applyBorder="1"/>
    <xf numFmtId="44" fontId="10" fillId="0" borderId="2" xfId="3" applyFont="1" applyFill="1" applyBorder="1" applyAlignment="1">
      <alignment horizontal="center" vertical="top" wrapText="1"/>
    </xf>
    <xf numFmtId="44" fontId="38" fillId="0" borderId="2" xfId="3" applyFont="1" applyFill="1" applyBorder="1" applyAlignment="1">
      <alignment vertical="center" wrapText="1"/>
    </xf>
    <xf numFmtId="44" fontId="0" fillId="0" borderId="2" xfId="3" applyFont="1" applyFill="1" applyBorder="1" applyAlignment="1" applyProtection="1">
      <alignment horizontal="center" vertical="center" wrapText="1"/>
      <protection locked="0"/>
    </xf>
    <xf numFmtId="44" fontId="6" fillId="0" borderId="2" xfId="3" applyFont="1" applyFill="1" applyBorder="1" applyAlignment="1">
      <alignment horizontal="center" vertical="center" wrapText="1"/>
    </xf>
    <xf numFmtId="44" fontId="6" fillId="0" borderId="2" xfId="3" applyFont="1" applyFill="1" applyBorder="1" applyAlignment="1" applyProtection="1">
      <alignment horizontal="center" vertical="center" wrapText="1"/>
      <protection locked="0"/>
    </xf>
    <xf numFmtId="49" fontId="0" fillId="14" borderId="2" xfId="0" applyNumberFormat="1" applyFont="1" applyFill="1" applyBorder="1" applyAlignment="1" applyProtection="1">
      <alignment horizontal="left" vertical="center" wrapText="1"/>
      <protection locked="0"/>
    </xf>
    <xf numFmtId="0" fontId="0" fillId="14" borderId="2" xfId="0" applyFont="1" applyFill="1" applyBorder="1" applyAlignment="1">
      <alignment horizontal="center" vertical="center" wrapText="1"/>
    </xf>
    <xf numFmtId="44" fontId="0" fillId="14" borderId="2" xfId="3" applyFont="1" applyFill="1" applyBorder="1" applyAlignment="1" applyProtection="1">
      <alignment horizontal="center" vertical="center" wrapText="1"/>
      <protection locked="0"/>
    </xf>
    <xf numFmtId="0" fontId="0" fillId="14" borderId="2" xfId="0" applyFont="1" applyFill="1" applyBorder="1" applyAlignment="1">
      <alignment horizontal="left" vertical="center" wrapText="1"/>
    </xf>
    <xf numFmtId="49" fontId="0" fillId="14" borderId="2" xfId="0" applyNumberFormat="1" applyFill="1" applyBorder="1" applyAlignment="1" applyProtection="1">
      <alignment horizontal="left" vertical="center" wrapText="1"/>
      <protection locked="0"/>
    </xf>
    <xf numFmtId="0" fontId="0" fillId="14" borderId="2" xfId="0" applyFill="1" applyBorder="1" applyAlignment="1">
      <alignment horizontal="center" vertical="center" wrapText="1"/>
    </xf>
    <xf numFmtId="165" fontId="0" fillId="14" borderId="2" xfId="3" applyNumberFormat="1" applyFont="1" applyFill="1" applyBorder="1" applyAlignment="1" applyProtection="1">
      <alignment horizontal="center" vertical="center"/>
      <protection locked="0"/>
    </xf>
    <xf numFmtId="0" fontId="0" fillId="14" borderId="2" xfId="0" applyFill="1" applyBorder="1" applyAlignment="1">
      <alignment horizontal="left" vertical="center" wrapText="1"/>
    </xf>
    <xf numFmtId="165" fontId="0" fillId="14" borderId="2" xfId="0" applyNumberFormat="1" applyFont="1" applyFill="1" applyBorder="1" applyAlignment="1">
      <alignment horizontal="center" vertical="center" wrapText="1"/>
    </xf>
    <xf numFmtId="0" fontId="10" fillId="8" borderId="2" xfId="0" applyFont="1" applyFill="1" applyBorder="1" applyAlignment="1" applyProtection="1">
      <alignment horizontal="left" vertical="center" wrapText="1"/>
      <protection locked="0"/>
    </xf>
    <xf numFmtId="0" fontId="10" fillId="10" borderId="2" xfId="0" applyFont="1" applyFill="1" applyBorder="1" applyAlignment="1" applyProtection="1">
      <alignment horizontal="center" vertical="top" wrapText="1"/>
      <protection locked="0"/>
    </xf>
    <xf numFmtId="0" fontId="0" fillId="12" borderId="2" xfId="0" applyFont="1" applyFill="1" applyBorder="1" applyAlignment="1" applyProtection="1">
      <alignment horizontal="center" vertical="center" wrapText="1"/>
      <protection locked="0"/>
    </xf>
    <xf numFmtId="165" fontId="10" fillId="0" borderId="2" xfId="0" applyNumberFormat="1" applyFont="1" applyFill="1" applyBorder="1" applyAlignment="1">
      <alignment horizontal="center" vertical="top" wrapText="1"/>
    </xf>
    <xf numFmtId="0" fontId="29" fillId="0" borderId="13" xfId="0" applyFont="1" applyBorder="1" applyAlignment="1">
      <alignment horizontal="left" vertical="center" wrapText="1"/>
    </xf>
    <xf numFmtId="0" fontId="0" fillId="0" borderId="13" xfId="0" applyFont="1" applyBorder="1" applyAlignment="1">
      <alignment horizontal="left" vertical="center" wrapText="1"/>
    </xf>
    <xf numFmtId="0" fontId="0" fillId="12" borderId="2" xfId="0" applyFont="1" applyFill="1" applyBorder="1" applyAlignment="1">
      <alignment horizontal="left" wrapText="1"/>
    </xf>
    <xf numFmtId="0" fontId="0" fillId="12" borderId="2" xfId="0" applyFont="1" applyFill="1" applyBorder="1" applyAlignment="1">
      <alignment horizontal="left" vertical="center" wrapText="1"/>
    </xf>
    <xf numFmtId="0" fontId="0" fillId="12" borderId="2" xfId="0" applyFont="1" applyFill="1" applyBorder="1"/>
    <xf numFmtId="0" fontId="30" fillId="9" borderId="10" xfId="0" applyFont="1" applyFill="1" applyBorder="1" applyAlignment="1">
      <alignment horizontal="center" vertical="center" wrapText="1"/>
    </xf>
    <xf numFmtId="0" fontId="10" fillId="0" borderId="2" xfId="0" applyFont="1" applyFill="1" applyBorder="1" applyAlignment="1">
      <alignment vertical="center" wrapText="1"/>
    </xf>
    <xf numFmtId="49" fontId="0" fillId="0" borderId="10" xfId="0" applyNumberFormat="1" applyFont="1" applyFill="1" applyBorder="1"/>
    <xf numFmtId="0" fontId="0" fillId="0" borderId="0" xfId="0" applyFont="1" applyFill="1" applyBorder="1" applyAlignment="1">
      <alignment horizontal="left" wrapText="1"/>
    </xf>
    <xf numFmtId="0" fontId="0" fillId="0" borderId="0" xfId="0" applyFont="1" applyBorder="1" applyAlignment="1">
      <alignment vertical="center"/>
    </xf>
    <xf numFmtId="165" fontId="0" fillId="14" borderId="2" xfId="3" applyNumberFormat="1" applyFont="1" applyFill="1" applyBorder="1" applyAlignment="1">
      <alignment horizontal="center" vertical="center"/>
    </xf>
    <xf numFmtId="165" fontId="0" fillId="14" borderId="2" xfId="0" applyNumberFormat="1" applyFill="1" applyBorder="1" applyAlignment="1">
      <alignment horizontal="center" vertical="center" wrapText="1"/>
    </xf>
    <xf numFmtId="0" fontId="10" fillId="0" borderId="0" xfId="0" applyFont="1" applyFill="1" applyBorder="1" applyAlignment="1">
      <alignment vertical="top" wrapText="1"/>
    </xf>
    <xf numFmtId="0" fontId="39" fillId="9" borderId="10" xfId="0" applyFont="1" applyFill="1" applyBorder="1" applyAlignment="1">
      <alignment horizontal="center" vertical="top" wrapText="1"/>
    </xf>
    <xf numFmtId="0" fontId="0" fillId="8" borderId="2" xfId="0" applyFont="1" applyFill="1" applyBorder="1" applyAlignment="1" applyProtection="1">
      <alignment horizontal="left" vertical="center" wrapText="1"/>
      <protection locked="0"/>
    </xf>
    <xf numFmtId="44" fontId="10" fillId="0" borderId="2" xfId="3" applyFont="1" applyFill="1" applyBorder="1" applyAlignment="1" applyProtection="1">
      <alignment vertical="center" wrapText="1"/>
      <protection locked="0"/>
    </xf>
    <xf numFmtId="0" fontId="41" fillId="8" borderId="2" xfId="0" applyFont="1" applyFill="1" applyBorder="1" applyAlignment="1" applyProtection="1">
      <alignment horizontal="left" vertical="center" wrapText="1"/>
      <protection locked="0"/>
    </xf>
    <xf numFmtId="44" fontId="3" fillId="0" borderId="2" xfId="3" applyFont="1" applyFill="1" applyBorder="1"/>
    <xf numFmtId="49" fontId="0" fillId="0" borderId="2" xfId="0" applyNumberFormat="1" applyFont="1" applyBorder="1" applyAlignment="1"/>
    <xf numFmtId="0" fontId="0" fillId="0" borderId="2" xfId="0" applyFont="1" applyBorder="1" applyAlignment="1"/>
    <xf numFmtId="165" fontId="0" fillId="0" borderId="2" xfId="0" applyNumberFormat="1" applyFont="1" applyBorder="1" applyAlignment="1">
      <alignment horizontal="center" vertical="center" wrapText="1"/>
    </xf>
    <xf numFmtId="165" fontId="0" fillId="0" borderId="2" xfId="0" applyNumberFormat="1" applyFont="1" applyBorder="1" applyAlignment="1">
      <alignment vertical="top" wrapText="1"/>
    </xf>
    <xf numFmtId="49" fontId="0" fillId="0" borderId="0" xfId="0" applyNumberFormat="1" applyFont="1"/>
    <xf numFmtId="0" fontId="0" fillId="14" borderId="2" xfId="0" applyFont="1" applyFill="1" applyBorder="1" applyAlignment="1">
      <alignment wrapText="1"/>
    </xf>
    <xf numFmtId="165" fontId="0" fillId="14" borderId="0" xfId="0" applyNumberFormat="1" applyFont="1" applyFill="1"/>
    <xf numFmtId="0" fontId="33" fillId="0" borderId="2" xfId="0" applyFont="1" applyFill="1" applyBorder="1" applyAlignment="1" applyProtection="1">
      <alignment horizontal="left" vertical="center" wrapText="1"/>
      <protection locked="0"/>
    </xf>
    <xf numFmtId="49" fontId="33" fillId="0" borderId="2" xfId="0" applyNumberFormat="1" applyFont="1" applyFill="1" applyBorder="1" applyAlignment="1" applyProtection="1">
      <alignment horizontal="left" vertical="center" wrapText="1"/>
      <protection locked="0"/>
    </xf>
    <xf numFmtId="0" fontId="0" fillId="14" borderId="2" xfId="0" applyFont="1" applyFill="1" applyBorder="1" applyAlignment="1">
      <alignment horizontal="left" wrapText="1"/>
    </xf>
    <xf numFmtId="0" fontId="33" fillId="14" borderId="2" xfId="0" applyFont="1" applyFill="1" applyBorder="1" applyAlignment="1">
      <alignment horizontal="left" vertical="center" wrapText="1"/>
    </xf>
    <xf numFmtId="0" fontId="0" fillId="14" borderId="2" xfId="0" applyFont="1" applyFill="1" applyBorder="1" applyAlignment="1">
      <alignment vertical="center" wrapText="1"/>
    </xf>
    <xf numFmtId="0" fontId="0" fillId="14" borderId="2" xfId="0" applyFont="1" applyFill="1" applyBorder="1" applyAlignment="1" applyProtection="1">
      <alignment horizontal="center" vertical="top" wrapText="1"/>
      <protection locked="0"/>
    </xf>
    <xf numFmtId="7" fontId="29" fillId="0" borderId="2" xfId="3" applyNumberFormat="1" applyFont="1" applyFill="1" applyBorder="1" applyAlignment="1">
      <alignment vertical="center" wrapText="1"/>
    </xf>
    <xf numFmtId="7" fontId="0" fillId="14" borderId="2" xfId="3" applyNumberFormat="1" applyFont="1" applyFill="1" applyBorder="1" applyAlignment="1">
      <alignment horizontal="center" vertical="center" wrapText="1"/>
    </xf>
    <xf numFmtId="0" fontId="0" fillId="14" borderId="12" xfId="0" applyFont="1" applyFill="1" applyBorder="1" applyAlignment="1">
      <alignment wrapText="1"/>
    </xf>
    <xf numFmtId="0" fontId="10" fillId="0" borderId="2" xfId="0" applyFont="1" applyFill="1" applyBorder="1" applyAlignment="1" applyProtection="1">
      <alignment horizontal="left" vertical="center" wrapText="1"/>
      <protection locked="0"/>
    </xf>
    <xf numFmtId="0" fontId="0" fillId="14" borderId="2" xfId="0" applyFont="1" applyFill="1" applyBorder="1" applyAlignment="1" applyProtection="1">
      <alignment horizontal="left" vertical="center" wrapText="1"/>
      <protection locked="0"/>
    </xf>
    <xf numFmtId="0" fontId="0" fillId="7" borderId="2" xfId="0" applyFont="1" applyFill="1" applyBorder="1" applyAlignment="1">
      <alignment horizontal="center" vertical="center" wrapText="1"/>
    </xf>
    <xf numFmtId="0" fontId="0" fillId="2" borderId="2" xfId="0" applyFont="1" applyFill="1" applyBorder="1" applyAlignment="1">
      <alignment horizontal="center" vertical="center" wrapText="1"/>
    </xf>
    <xf numFmtId="0" fontId="0" fillId="4" borderId="2" xfId="0" applyFont="1" applyFill="1" applyBorder="1" applyAlignment="1">
      <alignment horizontal="center" vertical="center" wrapText="1"/>
    </xf>
    <xf numFmtId="0" fontId="0" fillId="0" borderId="2" xfId="0" applyFont="1" applyBorder="1" applyAlignment="1" applyProtection="1">
      <alignment vertical="top" wrapText="1"/>
      <protection locked="0"/>
    </xf>
    <xf numFmtId="49" fontId="10" fillId="0" borderId="2" xfId="0" applyNumberFormat="1" applyFont="1" applyFill="1" applyBorder="1" applyAlignment="1">
      <alignment wrapText="1"/>
    </xf>
    <xf numFmtId="0" fontId="0" fillId="0" borderId="0" xfId="0" applyFont="1" applyFill="1" applyAlignment="1">
      <alignment horizontal="center"/>
    </xf>
    <xf numFmtId="0" fontId="0" fillId="0" borderId="0" xfId="0" applyFont="1" applyFill="1" applyAlignment="1" applyProtection="1">
      <alignment horizontal="center"/>
    </xf>
    <xf numFmtId="0" fontId="0" fillId="0" borderId="0" xfId="0" applyFont="1" applyAlignment="1">
      <alignment horizontal="center"/>
    </xf>
    <xf numFmtId="49" fontId="0" fillId="14" borderId="13" xfId="0" applyNumberFormat="1" applyFont="1" applyFill="1" applyBorder="1" applyAlignment="1">
      <alignment vertical="center" wrapText="1"/>
    </xf>
    <xf numFmtId="44" fontId="0" fillId="14" borderId="2" xfId="3" applyFont="1" applyFill="1" applyBorder="1" applyAlignment="1">
      <alignment horizontal="center" vertical="center" wrapText="1"/>
    </xf>
    <xf numFmtId="0" fontId="4" fillId="8" borderId="2" xfId="0" applyFont="1" applyFill="1" applyBorder="1" applyAlignment="1" applyProtection="1">
      <alignment horizontal="center" vertical="center" wrapText="1"/>
      <protection locked="0"/>
    </xf>
    <xf numFmtId="0" fontId="16" fillId="0" borderId="2" xfId="0" applyFont="1" applyBorder="1" applyAlignment="1" applyProtection="1">
      <alignment horizontal="center" vertical="center" wrapText="1"/>
      <protection locked="0"/>
    </xf>
    <xf numFmtId="0" fontId="8" fillId="0" borderId="2" xfId="0" applyFont="1" applyBorder="1" applyAlignment="1" applyProtection="1">
      <alignment horizontal="center" vertical="center" wrapText="1"/>
      <protection locked="0"/>
    </xf>
    <xf numFmtId="0" fontId="0" fillId="0" borderId="0" xfId="0" applyFont="1" applyFill="1" applyAlignment="1">
      <alignment horizontal="center" vertical="center"/>
    </xf>
    <xf numFmtId="0" fontId="0" fillId="0" borderId="0" xfId="0" applyFont="1" applyFill="1" applyAlignment="1" applyProtection="1">
      <alignment horizontal="center" vertical="center"/>
    </xf>
    <xf numFmtId="0" fontId="0" fillId="11" borderId="0" xfId="0" applyFont="1" applyFill="1" applyAlignment="1">
      <alignment horizontal="center" vertical="center"/>
    </xf>
    <xf numFmtId="0" fontId="30" fillId="14" borderId="10" xfId="0" applyFont="1" applyFill="1" applyBorder="1" applyAlignment="1">
      <alignment horizontal="left" wrapText="1"/>
    </xf>
    <xf numFmtId="0" fontId="0" fillId="14" borderId="2" xfId="0" applyFont="1" applyFill="1" applyBorder="1" applyAlignment="1" applyProtection="1">
      <alignment horizontal="left" wrapText="1"/>
      <protection locked="0"/>
    </xf>
    <xf numFmtId="0" fontId="10" fillId="14" borderId="2" xfId="0" applyFont="1" applyFill="1" applyBorder="1" applyAlignment="1">
      <alignment horizontal="left" wrapText="1"/>
    </xf>
    <xf numFmtId="0" fontId="0" fillId="14" borderId="2" xfId="0" applyFill="1" applyBorder="1" applyAlignment="1">
      <alignment horizontal="left" wrapText="1"/>
    </xf>
    <xf numFmtId="0" fontId="0" fillId="14" borderId="2" xfId="0" applyFont="1" applyFill="1" applyBorder="1" applyAlignment="1">
      <alignment horizontal="left"/>
    </xf>
    <xf numFmtId="0" fontId="0" fillId="14" borderId="0" xfId="0" applyFont="1" applyFill="1" applyAlignment="1">
      <alignment horizontal="left"/>
    </xf>
    <xf numFmtId="0" fontId="0" fillId="14" borderId="0" xfId="0" applyFont="1" applyFill="1" applyAlignment="1" applyProtection="1">
      <alignment horizontal="left"/>
    </xf>
    <xf numFmtId="0" fontId="0" fillId="14" borderId="2" xfId="0" applyFill="1" applyBorder="1" applyAlignment="1">
      <alignment vertical="center" wrapText="1"/>
    </xf>
    <xf numFmtId="49" fontId="0" fillId="0" borderId="0" xfId="0" applyNumberFormat="1" applyFont="1" applyFill="1" applyBorder="1" applyAlignment="1">
      <alignment vertical="center"/>
    </xf>
    <xf numFmtId="165" fontId="0" fillId="5" borderId="2" xfId="0" applyNumberFormat="1" applyFont="1" applyFill="1" applyBorder="1" applyAlignment="1" applyProtection="1">
      <alignment horizontal="center" vertical="center" wrapText="1"/>
      <protection locked="0"/>
    </xf>
    <xf numFmtId="49" fontId="0" fillId="0" borderId="0" xfId="0" applyNumberFormat="1" applyFont="1" applyBorder="1"/>
    <xf numFmtId="0" fontId="0" fillId="0" borderId="0" xfId="0" applyFont="1" applyBorder="1" applyAlignment="1">
      <alignment horizontal="left" wrapText="1"/>
    </xf>
    <xf numFmtId="0" fontId="0" fillId="0" borderId="0" xfId="0" applyFont="1" applyBorder="1" applyAlignment="1">
      <alignment vertical="top" wrapText="1"/>
    </xf>
    <xf numFmtId="165" fontId="0" fillId="0" borderId="0" xfId="0" applyNumberFormat="1" applyFont="1" applyBorder="1" applyAlignment="1" applyProtection="1">
      <alignment horizontal="center" vertical="center" wrapText="1"/>
      <protection locked="0"/>
    </xf>
    <xf numFmtId="44" fontId="6" fillId="0" borderId="2" xfId="3" applyFont="1" applyBorder="1" applyAlignment="1">
      <alignment horizontal="center" vertical="center"/>
    </xf>
    <xf numFmtId="0" fontId="40" fillId="9" borderId="2" xfId="0" applyFont="1" applyFill="1" applyBorder="1" applyAlignment="1">
      <alignment horizontal="center" vertical="top" wrapText="1"/>
    </xf>
    <xf numFmtId="0" fontId="10" fillId="0" borderId="2" xfId="0" applyFont="1" applyFill="1" applyBorder="1" applyAlignment="1">
      <alignment horizontal="center"/>
    </xf>
    <xf numFmtId="0" fontId="0" fillId="0" borderId="2" xfId="0" applyFont="1" applyFill="1" applyBorder="1" applyAlignment="1" applyProtection="1">
      <alignment vertical="center" wrapText="1"/>
      <protection hidden="1"/>
    </xf>
    <xf numFmtId="0" fontId="10" fillId="0" borderId="2" xfId="0" applyFont="1" applyFill="1" applyBorder="1" applyAlignment="1" applyProtection="1">
      <alignment horizontal="center" vertical="center" wrapText="1"/>
      <protection locked="0"/>
    </xf>
    <xf numFmtId="169" fontId="0" fillId="0" borderId="2" xfId="3" applyNumberFormat="1" applyFont="1" applyFill="1" applyBorder="1" applyAlignment="1" applyProtection="1">
      <alignment vertical="center" wrapText="1"/>
      <protection hidden="1"/>
    </xf>
    <xf numFmtId="0" fontId="0" fillId="0" borderId="2" xfId="0" applyFont="1" applyFill="1" applyBorder="1" applyAlignment="1">
      <alignment horizontal="center"/>
    </xf>
    <xf numFmtId="0" fontId="0" fillId="0" borderId="2" xfId="5" applyFont="1" applyFill="1" applyBorder="1" applyAlignment="1">
      <alignment horizontal="center" wrapText="1"/>
    </xf>
    <xf numFmtId="0" fontId="0" fillId="0" borderId="2" xfId="5" applyFont="1" applyFill="1" applyBorder="1" applyAlignment="1">
      <alignment horizontal="left" wrapText="1"/>
    </xf>
    <xf numFmtId="44" fontId="0" fillId="0" borderId="2" xfId="3" applyNumberFormat="1" applyFont="1" applyFill="1" applyBorder="1" applyAlignment="1">
      <alignment horizontal="center" vertical="center" wrapText="1"/>
    </xf>
    <xf numFmtId="0" fontId="0" fillId="0" borderId="0" xfId="0" applyFont="1" applyAlignment="1">
      <alignment vertical="center"/>
    </xf>
    <xf numFmtId="0" fontId="0" fillId="0" borderId="2" xfId="0" applyFont="1" applyFill="1" applyBorder="1" applyAlignment="1">
      <alignment horizontal="justify" vertical="center" wrapText="1"/>
    </xf>
    <xf numFmtId="0" fontId="0" fillId="0" borderId="2" xfId="0" applyFont="1" applyFill="1" applyBorder="1" applyAlignment="1">
      <alignment horizontal="center" vertical="center"/>
    </xf>
    <xf numFmtId="44" fontId="0" fillId="0" borderId="2" xfId="0" applyNumberFormat="1" applyFont="1" applyFill="1" applyBorder="1" applyAlignment="1" applyProtection="1">
      <alignment horizontal="center" vertical="center" wrapText="1"/>
      <protection locked="0"/>
    </xf>
    <xf numFmtId="0" fontId="0" fillId="0" borderId="6" xfId="0" applyFont="1" applyFill="1" applyBorder="1" applyAlignment="1">
      <alignment horizontal="justify" wrapText="1"/>
    </xf>
    <xf numFmtId="0" fontId="0" fillId="0" borderId="2" xfId="0" applyFill="1" applyBorder="1" applyAlignment="1">
      <alignment horizontal="center" vertical="center"/>
    </xf>
    <xf numFmtId="49" fontId="10" fillId="0" borderId="0" xfId="0" applyNumberFormat="1" applyFont="1" applyFill="1" applyBorder="1" applyAlignment="1">
      <alignment vertical="center"/>
    </xf>
    <xf numFmtId="165" fontId="10" fillId="0" borderId="0" xfId="0" applyNumberFormat="1" applyFont="1" applyFill="1" applyBorder="1" applyAlignment="1" applyProtection="1">
      <alignment horizontal="center" vertical="center" wrapText="1"/>
      <protection locked="0"/>
    </xf>
    <xf numFmtId="0" fontId="10" fillId="0" borderId="12" xfId="0" applyFont="1" applyFill="1" applyBorder="1"/>
    <xf numFmtId="44" fontId="0" fillId="0" borderId="2" xfId="3" applyFont="1" applyFill="1" applyBorder="1" applyAlignment="1">
      <alignment vertical="center"/>
    </xf>
    <xf numFmtId="0" fontId="9" fillId="0" borderId="2" xfId="0" applyFont="1" applyBorder="1" applyAlignment="1">
      <alignment horizontal="justify" vertical="center" wrapText="1"/>
    </xf>
    <xf numFmtId="49" fontId="0" fillId="0" borderId="4" xfId="0" applyNumberFormat="1" applyFont="1" applyFill="1" applyBorder="1"/>
    <xf numFmtId="0" fontId="0" fillId="8" borderId="17" xfId="0" applyFont="1" applyFill="1" applyBorder="1" applyAlignment="1" applyProtection="1">
      <alignment horizontal="left" vertical="center" wrapText="1"/>
      <protection locked="0"/>
    </xf>
    <xf numFmtId="0" fontId="0" fillId="8" borderId="8" xfId="0" applyFont="1" applyFill="1" applyBorder="1" applyAlignment="1" applyProtection="1">
      <alignment horizontal="left" vertical="center" wrapText="1"/>
      <protection locked="0"/>
    </xf>
    <xf numFmtId="0" fontId="0" fillId="0" borderId="19" xfId="0" applyFont="1" applyFill="1" applyBorder="1" applyAlignment="1">
      <alignment wrapText="1"/>
    </xf>
    <xf numFmtId="165" fontId="0" fillId="0" borderId="19" xfId="0" applyNumberFormat="1" applyFont="1" applyFill="1" applyBorder="1" applyAlignment="1" applyProtection="1">
      <alignment horizontal="center" vertical="center" wrapText="1"/>
      <protection locked="0"/>
    </xf>
    <xf numFmtId="49" fontId="0" fillId="0" borderId="4" xfId="0" applyNumberFormat="1" applyFont="1" applyBorder="1"/>
    <xf numFmtId="165" fontId="0" fillId="0" borderId="15" xfId="0" applyNumberFormat="1" applyFont="1" applyBorder="1" applyAlignment="1" applyProtection="1">
      <alignment horizontal="center" vertical="center" wrapText="1"/>
      <protection locked="0"/>
    </xf>
    <xf numFmtId="165" fontId="0" fillId="0" borderId="15" xfId="0" applyNumberFormat="1" applyFont="1" applyFill="1" applyBorder="1" applyAlignment="1" applyProtection="1">
      <alignment horizontal="center" vertical="center" wrapText="1"/>
      <protection locked="0"/>
    </xf>
    <xf numFmtId="165" fontId="0" fillId="0" borderId="16" xfId="0" applyNumberFormat="1" applyFont="1" applyFill="1" applyBorder="1" applyAlignment="1" applyProtection="1">
      <alignment horizontal="center" vertical="center" wrapText="1"/>
      <protection locked="0"/>
    </xf>
    <xf numFmtId="165" fontId="0" fillId="0" borderId="22" xfId="0" applyNumberFormat="1" applyFont="1" applyFill="1" applyBorder="1" applyAlignment="1" applyProtection="1">
      <alignment horizontal="center" vertical="center" wrapText="1"/>
      <protection locked="0"/>
    </xf>
    <xf numFmtId="0" fontId="0" fillId="0" borderId="3" xfId="0" applyFont="1" applyFill="1" applyBorder="1"/>
    <xf numFmtId="49" fontId="0" fillId="0" borderId="4" xfId="0" applyNumberFormat="1" applyFont="1" applyFill="1" applyBorder="1" applyAlignment="1"/>
    <xf numFmtId="0" fontId="0" fillId="0" borderId="13" xfId="0" applyFont="1" applyFill="1" applyBorder="1"/>
    <xf numFmtId="0" fontId="0" fillId="0" borderId="0" xfId="0" applyFont="1" applyFill="1" applyBorder="1" applyAlignment="1">
      <alignment horizontal="center"/>
    </xf>
    <xf numFmtId="165" fontId="11" fillId="0" borderId="0" xfId="0" applyNumberFormat="1" applyFont="1" applyFill="1" applyBorder="1" applyAlignment="1">
      <alignment horizontal="left" wrapText="1"/>
    </xf>
    <xf numFmtId="0" fontId="0" fillId="0" borderId="14" xfId="0" applyFont="1" applyFill="1" applyBorder="1"/>
    <xf numFmtId="44" fontId="0" fillId="0" borderId="11" xfId="3" applyFont="1" applyFill="1" applyBorder="1" applyAlignment="1">
      <alignment horizontal="center" vertical="center"/>
    </xf>
    <xf numFmtId="165" fontId="11" fillId="0" borderId="5" xfId="0" applyNumberFormat="1" applyFont="1" applyFill="1" applyBorder="1" applyAlignment="1">
      <alignment horizontal="left"/>
    </xf>
    <xf numFmtId="0" fontId="0" fillId="0" borderId="5" xfId="0" applyFont="1" applyBorder="1"/>
    <xf numFmtId="44" fontId="0" fillId="0" borderId="0" xfId="3" applyFont="1" applyFill="1" applyBorder="1" applyAlignment="1">
      <alignment horizontal="center"/>
    </xf>
    <xf numFmtId="44" fontId="37" fillId="0" borderId="12" xfId="3" applyFont="1" applyFill="1" applyBorder="1" applyAlignment="1">
      <alignment vertical="center" wrapText="1"/>
    </xf>
    <xf numFmtId="0" fontId="43" fillId="0" borderId="2" xfId="0" applyFont="1" applyFill="1" applyBorder="1" applyAlignment="1">
      <alignment wrapText="1"/>
    </xf>
    <xf numFmtId="165" fontId="43" fillId="0" borderId="2" xfId="0" applyNumberFormat="1" applyFont="1" applyFill="1" applyBorder="1" applyAlignment="1"/>
    <xf numFmtId="0" fontId="44" fillId="0" borderId="2" xfId="0" applyFont="1" applyFill="1" applyBorder="1" applyAlignment="1">
      <alignment wrapText="1"/>
    </xf>
    <xf numFmtId="165" fontId="9" fillId="0" borderId="2" xfId="0" applyNumberFormat="1" applyFont="1" applyFill="1" applyBorder="1" applyAlignment="1"/>
    <xf numFmtId="0" fontId="9" fillId="0" borderId="2" xfId="0" applyFont="1" applyFill="1" applyBorder="1" applyAlignment="1">
      <alignment wrapText="1"/>
    </xf>
    <xf numFmtId="0" fontId="44" fillId="0" borderId="2" xfId="1" applyFont="1" applyFill="1" applyBorder="1" applyAlignment="1">
      <alignment wrapText="1"/>
    </xf>
    <xf numFmtId="165" fontId="9" fillId="0" borderId="2" xfId="0" applyNumberFormat="1" applyFont="1" applyFill="1" applyBorder="1" applyAlignment="1">
      <alignment horizontal="right"/>
    </xf>
    <xf numFmtId="0" fontId="43" fillId="0" borderId="2" xfId="6" applyFont="1" applyFill="1" applyBorder="1" applyAlignment="1">
      <alignment wrapText="1"/>
    </xf>
    <xf numFmtId="0" fontId="0" fillId="0" borderId="12" xfId="0" applyFont="1" applyFill="1" applyBorder="1"/>
    <xf numFmtId="0" fontId="0" fillId="0" borderId="12" xfId="0" applyFont="1" applyFill="1" applyBorder="1" applyAlignment="1">
      <alignment vertical="top" wrapText="1"/>
    </xf>
    <xf numFmtId="165" fontId="9" fillId="0" borderId="2" xfId="6" applyNumberFormat="1" applyFont="1" applyFill="1" applyBorder="1" applyAlignment="1"/>
    <xf numFmtId="165" fontId="9" fillId="0" borderId="2" xfId="6" applyNumberFormat="1" applyFont="1" applyBorder="1"/>
    <xf numFmtId="0" fontId="0" fillId="0" borderId="12" xfId="0" applyFont="1" applyFill="1" applyBorder="1" applyAlignment="1">
      <alignment horizontal="left" wrapText="1"/>
    </xf>
    <xf numFmtId="0" fontId="43" fillId="0" borderId="2" xfId="6" applyFont="1" applyFill="1" applyBorder="1" applyAlignment="1">
      <alignment horizontal="left"/>
    </xf>
    <xf numFmtId="165" fontId="43" fillId="0" borderId="2" xfId="6" applyNumberFormat="1" applyFont="1" applyFill="1" applyBorder="1" applyAlignment="1"/>
    <xf numFmtId="44" fontId="9" fillId="0" borderId="2" xfId="3" applyFont="1" applyFill="1" applyBorder="1" applyAlignment="1">
      <alignment horizontal="left" wrapText="1"/>
    </xf>
    <xf numFmtId="44" fontId="9" fillId="0" borderId="2" xfId="3" applyFont="1" applyFill="1" applyBorder="1" applyAlignment="1">
      <alignment horizontal="center" wrapText="1"/>
    </xf>
    <xf numFmtId="0" fontId="0" fillId="0" borderId="4" xfId="0" applyFont="1" applyFill="1" applyBorder="1" applyAlignment="1"/>
    <xf numFmtId="8" fontId="9" fillId="0" borderId="2" xfId="3" applyNumberFormat="1" applyFont="1" applyFill="1" applyBorder="1" applyAlignment="1">
      <alignment horizontal="center" wrapText="1"/>
    </xf>
    <xf numFmtId="0" fontId="0" fillId="0" borderId="4" xfId="0" applyFont="1" applyFill="1" applyBorder="1" applyAlignment="1" applyProtection="1">
      <alignment horizontal="center" vertical="center" wrapText="1"/>
      <protection locked="0"/>
    </xf>
    <xf numFmtId="0" fontId="0" fillId="0" borderId="13" xfId="0" applyFont="1" applyFill="1" applyBorder="1" applyAlignment="1" applyProtection="1">
      <alignment horizontal="center" vertical="center" wrapText="1"/>
      <protection locked="0"/>
    </xf>
    <xf numFmtId="165" fontId="9" fillId="0" borderId="2" xfId="0" applyNumberFormat="1" applyFont="1" applyFill="1" applyBorder="1" applyAlignment="1">
      <alignment horizontal="center"/>
    </xf>
    <xf numFmtId="0" fontId="9" fillId="0" borderId="2" xfId="0" applyFont="1" applyFill="1" applyBorder="1" applyAlignment="1"/>
    <xf numFmtId="8" fontId="9" fillId="0" borderId="2" xfId="0" applyNumberFormat="1" applyFont="1" applyFill="1" applyBorder="1" applyAlignment="1">
      <alignment horizontal="center"/>
    </xf>
    <xf numFmtId="165" fontId="9" fillId="0" borderId="2" xfId="3" applyNumberFormat="1" applyFont="1" applyFill="1" applyBorder="1" applyAlignment="1">
      <alignment horizontal="center" wrapText="1"/>
    </xf>
    <xf numFmtId="0" fontId="9" fillId="0" borderId="2" xfId="0" applyFont="1" applyFill="1" applyBorder="1" applyAlignment="1">
      <alignment horizontal="center"/>
    </xf>
    <xf numFmtId="0" fontId="9" fillId="0" borderId="23" xfId="0" applyFont="1" applyFill="1" applyBorder="1" applyAlignment="1">
      <alignment wrapText="1"/>
    </xf>
    <xf numFmtId="165" fontId="9" fillId="0" borderId="12" xfId="0" applyNumberFormat="1" applyFont="1" applyFill="1" applyBorder="1" applyAlignment="1">
      <alignment horizontal="center"/>
    </xf>
    <xf numFmtId="0" fontId="0" fillId="0" borderId="18" xfId="0" applyFont="1" applyFill="1" applyBorder="1" applyAlignment="1" applyProtection="1">
      <alignment horizontal="center" vertical="center" wrapText="1"/>
      <protection locked="0"/>
    </xf>
    <xf numFmtId="0" fontId="0" fillId="0" borderId="21" xfId="0" applyFont="1" applyFill="1" applyBorder="1" applyAlignment="1" applyProtection="1">
      <alignment horizontal="center" vertical="center" wrapText="1"/>
      <protection locked="0"/>
    </xf>
    <xf numFmtId="8" fontId="9" fillId="0" borderId="2" xfId="0" applyNumberFormat="1" applyFont="1" applyFill="1" applyBorder="1" applyAlignment="1">
      <alignment horizontal="center" wrapText="1"/>
    </xf>
    <xf numFmtId="165" fontId="9" fillId="0" borderId="2" xfId="3" applyNumberFormat="1" applyFont="1" applyFill="1" applyBorder="1" applyAlignment="1">
      <alignment horizontal="left" wrapText="1"/>
    </xf>
    <xf numFmtId="170" fontId="9" fillId="0" borderId="2" xfId="3" applyNumberFormat="1" applyFont="1" applyFill="1" applyBorder="1" applyAlignment="1">
      <alignment horizontal="center" wrapText="1"/>
    </xf>
    <xf numFmtId="170" fontId="9" fillId="0" borderId="11" xfId="3" applyNumberFormat="1" applyFont="1" applyFill="1" applyBorder="1" applyAlignment="1">
      <alignment horizontal="center" wrapText="1"/>
    </xf>
    <xf numFmtId="0" fontId="9" fillId="0" borderId="23" xfId="0" applyFont="1" applyBorder="1"/>
    <xf numFmtId="8" fontId="43" fillId="0" borderId="2" xfId="7" applyNumberFormat="1" applyFont="1" applyFill="1" applyBorder="1" applyAlignment="1">
      <alignment horizontal="center" vertical="center" wrapText="1"/>
    </xf>
    <xf numFmtId="166" fontId="9" fillId="0" borderId="2" xfId="0" applyNumberFormat="1" applyFont="1" applyFill="1" applyBorder="1" applyAlignment="1"/>
    <xf numFmtId="165" fontId="9" fillId="0" borderId="2" xfId="0" applyNumberFormat="1" applyFont="1" applyFill="1" applyBorder="1" applyAlignment="1">
      <alignment horizontal="center" wrapText="1"/>
    </xf>
    <xf numFmtId="0" fontId="43" fillId="0" borderId="2" xfId="7" applyFont="1" applyFill="1" applyBorder="1" applyAlignment="1">
      <alignment vertical="center" wrapText="1"/>
    </xf>
    <xf numFmtId="0" fontId="43" fillId="0" borderId="2" xfId="6" applyFont="1" applyFill="1" applyBorder="1" applyAlignment="1"/>
    <xf numFmtId="166" fontId="43" fillId="0" borderId="2" xfId="6" applyNumberFormat="1" applyFont="1" applyFill="1" applyBorder="1" applyAlignment="1"/>
    <xf numFmtId="166" fontId="43" fillId="0" borderId="2" xfId="6" applyNumberFormat="1" applyFont="1" applyFill="1" applyBorder="1" applyAlignment="1">
      <alignment horizontal="right"/>
    </xf>
    <xf numFmtId="167" fontId="43" fillId="0" borderId="11" xfId="6" applyNumberFormat="1" applyFont="1" applyFill="1" applyBorder="1" applyAlignment="1"/>
    <xf numFmtId="0" fontId="0" fillId="0" borderId="2" xfId="0" applyFont="1" applyBorder="1" applyAlignment="1">
      <alignment wrapText="1"/>
    </xf>
    <xf numFmtId="0" fontId="0" fillId="0" borderId="2" xfId="0" applyFont="1" applyBorder="1" applyAlignment="1" applyProtection="1">
      <alignment horizontal="left" vertical="top" wrapText="1"/>
      <protection locked="0"/>
    </xf>
    <xf numFmtId="0" fontId="10" fillId="0" borderId="2" xfId="0" applyFont="1" applyBorder="1" applyAlignment="1">
      <alignment horizontal="center" wrapText="1"/>
    </xf>
    <xf numFmtId="0" fontId="10" fillId="0" borderId="2" xfId="0" applyFont="1" applyBorder="1" applyAlignment="1">
      <alignment horizontal="center" vertical="center" wrapText="1"/>
    </xf>
    <xf numFmtId="0" fontId="30" fillId="9" borderId="4" xfId="0" applyFont="1" applyFill="1" applyBorder="1" applyAlignment="1">
      <alignment horizontal="center" vertical="top" wrapText="1"/>
    </xf>
    <xf numFmtId="0" fontId="10" fillId="0" borderId="2" xfId="0" applyFont="1" applyBorder="1" applyAlignment="1">
      <alignment wrapText="1"/>
    </xf>
    <xf numFmtId="0" fontId="11" fillId="0" borderId="5" xfId="0" applyFont="1" applyFill="1" applyBorder="1" applyAlignment="1">
      <alignment horizontal="left"/>
    </xf>
    <xf numFmtId="44" fontId="0" fillId="0" borderId="2" xfId="3" applyFont="1" applyFill="1" applyBorder="1" applyAlignment="1">
      <alignment horizontal="center" vertical="center"/>
    </xf>
    <xf numFmtId="0" fontId="0" fillId="0" borderId="2" xfId="0" applyFont="1" applyFill="1" applyBorder="1" applyAlignment="1" applyProtection="1">
      <alignment horizontal="center" vertical="top" wrapText="1"/>
      <protection locked="0"/>
    </xf>
    <xf numFmtId="0" fontId="17" fillId="0" borderId="0" xfId="0" applyFont="1" applyFill="1" applyBorder="1" applyAlignment="1" applyProtection="1">
      <alignment horizontal="center" vertical="top" wrapText="1"/>
      <protection locked="0"/>
    </xf>
    <xf numFmtId="165" fontId="0" fillId="0" borderId="0" xfId="0" applyNumberFormat="1" applyFont="1" applyFill="1" applyBorder="1" applyAlignment="1">
      <alignment horizontal="center" vertical="center"/>
    </xf>
    <xf numFmtId="44" fontId="0" fillId="0" borderId="0" xfId="3" applyFont="1" applyFill="1" applyBorder="1" applyAlignment="1">
      <alignment horizontal="center" vertical="center"/>
    </xf>
    <xf numFmtId="171" fontId="0" fillId="0" borderId="0" xfId="3" applyNumberFormat="1" applyFont="1" applyFill="1" applyBorder="1" applyAlignment="1">
      <alignment horizontal="center" vertical="center"/>
    </xf>
    <xf numFmtId="0" fontId="0" fillId="0" borderId="11" xfId="0" applyFont="1" applyFill="1" applyBorder="1" applyAlignment="1">
      <alignment horizontal="center"/>
    </xf>
    <xf numFmtId="0" fontId="17" fillId="0" borderId="27" xfId="0" applyFont="1" applyBorder="1" applyAlignment="1"/>
    <xf numFmtId="0" fontId="6" fillId="0" borderId="27" xfId="0" applyFont="1" applyBorder="1"/>
    <xf numFmtId="7" fontId="0" fillId="0" borderId="0" xfId="3" applyNumberFormat="1" applyFont="1" applyFill="1" applyBorder="1" applyAlignment="1">
      <alignment horizontal="center" vertical="center"/>
    </xf>
    <xf numFmtId="0" fontId="0" fillId="0" borderId="2" xfId="0" applyFont="1" applyBorder="1" applyAlignment="1" applyProtection="1">
      <alignment horizontal="left" vertical="top" wrapText="1"/>
      <protection locked="0"/>
    </xf>
    <xf numFmtId="0" fontId="0" fillId="0" borderId="2" xfId="0" applyFont="1" applyBorder="1"/>
    <xf numFmtId="0" fontId="17" fillId="0" borderId="0" xfId="0" applyFont="1" applyFill="1" applyBorder="1" applyAlignment="1">
      <alignment horizontal="center" vertical="center"/>
    </xf>
    <xf numFmtId="44" fontId="0" fillId="0" borderId="13" xfId="3" applyFont="1" applyFill="1" applyBorder="1" applyAlignment="1">
      <alignment horizontal="center" vertical="center"/>
    </xf>
    <xf numFmtId="7" fontId="9" fillId="0" borderId="0" xfId="3" applyNumberFormat="1" applyFont="1" applyFill="1" applyBorder="1" applyAlignment="1">
      <alignment horizontal="center" vertical="center" wrapText="1"/>
    </xf>
    <xf numFmtId="44" fontId="37" fillId="0" borderId="0" xfId="3" applyFont="1" applyFill="1" applyBorder="1" applyAlignment="1">
      <alignment vertical="center" wrapText="1"/>
    </xf>
    <xf numFmtId="0" fontId="0" fillId="0" borderId="21" xfId="0" applyFont="1" applyBorder="1" applyAlignment="1"/>
    <xf numFmtId="0" fontId="0" fillId="0" borderId="13" xfId="0" applyFont="1" applyBorder="1"/>
    <xf numFmtId="44" fontId="0" fillId="0" borderId="13" xfId="3" applyFont="1" applyFill="1" applyBorder="1" applyAlignment="1">
      <alignment horizontal="center"/>
    </xf>
    <xf numFmtId="0" fontId="0" fillId="0" borderId="20" xfId="0" applyFont="1" applyBorder="1" applyAlignment="1"/>
    <xf numFmtId="0" fontId="0" fillId="0" borderId="2" xfId="0" applyFont="1" applyBorder="1" applyAlignment="1">
      <alignment wrapText="1"/>
    </xf>
    <xf numFmtId="0" fontId="10" fillId="0" borderId="2" xfId="0" applyFont="1" applyFill="1" applyBorder="1" applyAlignment="1">
      <alignment wrapText="1"/>
    </xf>
    <xf numFmtId="0" fontId="0" fillId="0" borderId="2" xfId="0" applyFont="1" applyBorder="1" applyAlignment="1" applyProtection="1">
      <alignment horizontal="left" vertical="top" wrapText="1"/>
      <protection locked="0"/>
    </xf>
    <xf numFmtId="0" fontId="0" fillId="0" borderId="2" xfId="0" applyFont="1" applyFill="1" applyBorder="1" applyAlignment="1">
      <alignment wrapText="1"/>
    </xf>
    <xf numFmtId="0" fontId="10" fillId="0" borderId="2" xfId="0" applyFont="1" applyBorder="1" applyAlignment="1">
      <alignment horizontal="center" wrapText="1"/>
    </xf>
    <xf numFmtId="0" fontId="10" fillId="0" borderId="2" xfId="0" applyFont="1" applyBorder="1" applyAlignment="1">
      <alignment horizontal="center" vertical="center" wrapText="1"/>
    </xf>
    <xf numFmtId="0" fontId="10" fillId="0" borderId="2" xfId="0" applyFont="1" applyBorder="1" applyAlignment="1" applyProtection="1">
      <alignment horizontal="center" vertical="top" wrapText="1"/>
      <protection locked="0"/>
    </xf>
    <xf numFmtId="0" fontId="10" fillId="0" borderId="2" xfId="0" applyFont="1" applyFill="1" applyBorder="1" applyAlignment="1" applyProtection="1">
      <alignment horizontal="center" vertical="top" wrapText="1"/>
      <protection locked="0"/>
    </xf>
    <xf numFmtId="0" fontId="30" fillId="9" borderId="4" xfId="0" applyFont="1" applyFill="1" applyBorder="1" applyAlignment="1">
      <alignment horizontal="center" vertical="top" wrapText="1"/>
    </xf>
    <xf numFmtId="0" fontId="10" fillId="0" borderId="2" xfId="0" applyFont="1" applyBorder="1" applyAlignment="1">
      <alignment wrapText="1"/>
    </xf>
    <xf numFmtId="0" fontId="0" fillId="0" borderId="2" xfId="0" applyFont="1" applyFill="1" applyBorder="1"/>
    <xf numFmtId="0" fontId="0" fillId="0" borderId="2" xfId="0" applyFont="1" applyFill="1" applyBorder="1" applyAlignment="1" applyProtection="1">
      <alignment horizontal="center" vertical="center" wrapText="1"/>
      <protection locked="0"/>
    </xf>
    <xf numFmtId="0" fontId="0" fillId="0" borderId="2" xfId="0" applyFont="1" applyFill="1" applyBorder="1" applyAlignment="1" applyProtection="1">
      <alignment horizontal="center" vertical="top" wrapText="1"/>
      <protection locked="0"/>
    </xf>
    <xf numFmtId="0" fontId="10" fillId="0" borderId="13" xfId="0" applyFont="1" applyFill="1" applyBorder="1" applyAlignment="1"/>
    <xf numFmtId="0" fontId="10" fillId="0" borderId="2" xfId="0" applyFont="1" applyFill="1" applyBorder="1" applyAlignment="1">
      <alignment horizontal="center" wrapText="1"/>
    </xf>
    <xf numFmtId="49" fontId="5" fillId="0" borderId="0" xfId="0" applyNumberFormat="1" applyFont="1"/>
    <xf numFmtId="165" fontId="0" fillId="0" borderId="2" xfId="0" applyNumberFormat="1" applyFont="1" applyFill="1" applyBorder="1" applyAlignment="1" applyProtection="1">
      <alignment horizontal="center" wrapText="1"/>
      <protection locked="0"/>
    </xf>
    <xf numFmtId="166" fontId="0" fillId="0" borderId="2" xfId="0" applyNumberFormat="1" applyFont="1" applyFill="1" applyBorder="1" applyAlignment="1" applyProtection="1">
      <alignment horizontal="center" wrapText="1"/>
      <protection locked="0"/>
    </xf>
    <xf numFmtId="0" fontId="0" fillId="0" borderId="2" xfId="0" applyFont="1" applyBorder="1" applyAlignment="1">
      <alignment wrapText="1"/>
    </xf>
    <xf numFmtId="0" fontId="0" fillId="0" borderId="2" xfId="0" applyFont="1" applyBorder="1" applyAlignment="1">
      <alignment wrapText="1"/>
    </xf>
    <xf numFmtId="0" fontId="0" fillId="0" borderId="2" xfId="0" applyFont="1" applyBorder="1" applyAlignment="1">
      <alignment wrapText="1"/>
    </xf>
    <xf numFmtId="0" fontId="0" fillId="0" borderId="2" xfId="0" applyFont="1" applyFill="1" applyBorder="1" applyAlignment="1">
      <alignment wrapText="1"/>
    </xf>
    <xf numFmtId="0" fontId="0" fillId="0" borderId="2" xfId="0" applyFont="1" applyBorder="1" applyAlignment="1" applyProtection="1">
      <alignment horizontal="left" vertical="top" wrapText="1"/>
      <protection locked="0"/>
    </xf>
    <xf numFmtId="0" fontId="10" fillId="0" borderId="2" xfId="0" applyFont="1" applyBorder="1" applyAlignment="1">
      <alignment horizontal="center" wrapText="1"/>
    </xf>
    <xf numFmtId="0" fontId="10" fillId="0" borderId="2" xfId="0" applyFont="1" applyBorder="1" applyAlignment="1">
      <alignment horizontal="center" vertical="center" wrapText="1"/>
    </xf>
    <xf numFmtId="0" fontId="10" fillId="0" borderId="2" xfId="0" applyFont="1" applyBorder="1" applyAlignment="1" applyProtection="1">
      <alignment horizontal="center" vertical="top" wrapText="1"/>
      <protection locked="0"/>
    </xf>
    <xf numFmtId="0" fontId="30" fillId="9" borderId="4" xfId="0" applyFont="1" applyFill="1" applyBorder="1" applyAlignment="1">
      <alignment horizontal="center" vertical="top" wrapText="1"/>
    </xf>
    <xf numFmtId="0" fontId="0" fillId="0" borderId="2" xfId="0" applyFont="1" applyFill="1" applyBorder="1" applyAlignment="1"/>
    <xf numFmtId="0" fontId="10" fillId="0" borderId="2" xfId="0" applyFont="1" applyBorder="1" applyAlignment="1">
      <alignment wrapText="1"/>
    </xf>
    <xf numFmtId="0" fontId="0" fillId="0" borderId="2" xfId="0" applyFont="1" applyFill="1" applyBorder="1"/>
    <xf numFmtId="0" fontId="0" fillId="0" borderId="2" xfId="0" applyFont="1" applyFill="1" applyBorder="1" applyAlignment="1" applyProtection="1">
      <alignment horizontal="center" vertical="top" wrapText="1"/>
      <protection locked="0"/>
    </xf>
    <xf numFmtId="0" fontId="7" fillId="9" borderId="4" xfId="0" applyFont="1" applyFill="1" applyBorder="1" applyAlignment="1">
      <alignment horizontal="center" vertical="top" wrapText="1"/>
    </xf>
    <xf numFmtId="0" fontId="8" fillId="0" borderId="2" xfId="0" applyFont="1" applyBorder="1" applyAlignment="1" applyProtection="1">
      <alignment horizontal="left" vertical="top" wrapText="1"/>
      <protection locked="0"/>
    </xf>
    <xf numFmtId="0" fontId="10" fillId="0" borderId="2" xfId="0" applyFont="1" applyFill="1" applyBorder="1" applyAlignment="1">
      <alignment horizontal="center" vertical="top" wrapText="1"/>
    </xf>
    <xf numFmtId="0" fontId="10" fillId="3" borderId="2" xfId="0" applyFont="1" applyFill="1" applyBorder="1" applyAlignment="1">
      <alignment horizontal="center" vertical="center" wrapText="1"/>
    </xf>
    <xf numFmtId="0" fontId="0" fillId="0" borderId="2" xfId="0" applyFont="1" applyFill="1" applyBorder="1" applyAlignment="1">
      <alignment wrapText="1"/>
    </xf>
    <xf numFmtId="0" fontId="0" fillId="0" borderId="2" xfId="0" applyFill="1" applyBorder="1" applyAlignment="1">
      <alignment wrapText="1"/>
    </xf>
    <xf numFmtId="0" fontId="16" fillId="0" borderId="2" xfId="0" applyFont="1" applyBorder="1" applyAlignment="1" applyProtection="1">
      <alignment horizontal="center" vertical="top" wrapText="1"/>
      <protection locked="0"/>
    </xf>
    <xf numFmtId="0" fontId="10" fillId="0" borderId="2" xfId="0" applyFont="1" applyBorder="1" applyAlignment="1">
      <alignment horizontal="center" wrapText="1"/>
    </xf>
    <xf numFmtId="0" fontId="10" fillId="0" borderId="2" xfId="0" applyFont="1" applyBorder="1" applyAlignment="1">
      <alignment horizontal="center" vertical="center" wrapText="1"/>
    </xf>
    <xf numFmtId="0" fontId="0" fillId="0" borderId="2" xfId="0" applyBorder="1" applyAlignment="1">
      <alignment wrapText="1"/>
    </xf>
    <xf numFmtId="0" fontId="0" fillId="0" borderId="2" xfId="0" applyFont="1" applyFill="1" applyBorder="1" applyAlignment="1">
      <alignment vertical="top" wrapText="1"/>
    </xf>
    <xf numFmtId="0" fontId="10" fillId="0" borderId="2" xfId="0" applyFont="1" applyBorder="1" applyAlignment="1">
      <alignment wrapText="1"/>
    </xf>
    <xf numFmtId="0" fontId="0" fillId="0" borderId="2" xfId="0" applyFont="1" applyFill="1" applyBorder="1" applyAlignment="1" applyProtection="1">
      <alignment horizontal="center" vertical="center" wrapText="1"/>
      <protection locked="0"/>
    </xf>
    <xf numFmtId="0" fontId="35" fillId="0" borderId="0" xfId="0" applyFont="1" applyFill="1" applyBorder="1" applyAlignment="1">
      <alignment vertical="top" wrapText="1"/>
    </xf>
    <xf numFmtId="0" fontId="3" fillId="0" borderId="2" xfId="26" applyFont="1" applyBorder="1" applyAlignment="1">
      <alignment vertical="center" wrapText="1"/>
    </xf>
    <xf numFmtId="165" fontId="43" fillId="0" borderId="2" xfId="0" applyNumberFormat="1" applyFont="1" applyFill="1" applyBorder="1" applyAlignment="1">
      <alignment horizontal="center"/>
    </xf>
    <xf numFmtId="49" fontId="9" fillId="0" borderId="2" xfId="0" applyNumberFormat="1" applyFont="1" applyFill="1" applyBorder="1" applyAlignment="1">
      <alignment vertical="center" wrapText="1"/>
    </xf>
    <xf numFmtId="0" fontId="3" fillId="0" borderId="0" xfId="0" applyFont="1"/>
    <xf numFmtId="0" fontId="0" fillId="0" borderId="2" xfId="0" applyFont="1" applyFill="1" applyBorder="1" applyAlignment="1">
      <alignment wrapText="1"/>
    </xf>
    <xf numFmtId="0" fontId="0" fillId="0" borderId="2" xfId="0" applyFont="1" applyBorder="1" applyAlignment="1">
      <alignment wrapText="1"/>
    </xf>
    <xf numFmtId="0" fontId="0" fillId="0" borderId="2" xfId="0" applyFont="1" applyBorder="1" applyAlignment="1" applyProtection="1">
      <alignment horizontal="left" vertical="top" wrapText="1"/>
      <protection locked="0"/>
    </xf>
    <xf numFmtId="0" fontId="0" fillId="0" borderId="2" xfId="0" applyFont="1" applyFill="1" applyBorder="1" applyAlignment="1">
      <alignment wrapText="1"/>
    </xf>
    <xf numFmtId="0" fontId="10" fillId="0" borderId="2" xfId="0" applyFont="1" applyBorder="1" applyAlignment="1">
      <alignment horizontal="center" wrapText="1"/>
    </xf>
    <xf numFmtId="0" fontId="10" fillId="0" borderId="2" xfId="0" applyFont="1" applyBorder="1" applyAlignment="1">
      <alignment horizontal="center" vertical="center" wrapText="1"/>
    </xf>
    <xf numFmtId="0" fontId="10" fillId="0" borderId="2" xfId="0" applyFont="1" applyBorder="1" applyAlignment="1" applyProtection="1">
      <alignment horizontal="center" vertical="top" wrapText="1"/>
      <protection locked="0"/>
    </xf>
    <xf numFmtId="0" fontId="30" fillId="9" borderId="4" xfId="0" applyFont="1" applyFill="1" applyBorder="1" applyAlignment="1">
      <alignment horizontal="center" vertical="top" wrapText="1"/>
    </xf>
    <xf numFmtId="0" fontId="10" fillId="0" borderId="2" xfId="0" applyFont="1" applyBorder="1" applyAlignment="1">
      <alignment wrapText="1"/>
    </xf>
    <xf numFmtId="49" fontId="5" fillId="0" borderId="2" xfId="0" applyNumberFormat="1" applyFont="1" applyFill="1" applyBorder="1" applyAlignment="1" applyProtection="1">
      <alignment horizontal="left" vertical="center" wrapText="1"/>
      <protection locked="0"/>
    </xf>
    <xf numFmtId="0" fontId="5" fillId="0" borderId="2" xfId="0" applyFont="1" applyFill="1" applyBorder="1" applyAlignment="1">
      <alignment horizontal="left" vertical="center" wrapText="1"/>
    </xf>
    <xf numFmtId="0" fontId="5" fillId="0" borderId="2" xfId="0" applyFont="1" applyFill="1" applyBorder="1" applyAlignment="1">
      <alignment wrapText="1"/>
    </xf>
    <xf numFmtId="0" fontId="0" fillId="0" borderId="2" xfId="0" applyFont="1" applyFill="1" applyBorder="1" applyAlignment="1">
      <alignment horizontal="justify" wrapText="1"/>
    </xf>
    <xf numFmtId="49" fontId="17" fillId="0" borderId="0" xfId="0" applyNumberFormat="1" applyFont="1" applyFill="1" applyBorder="1" applyAlignment="1">
      <alignment wrapText="1"/>
    </xf>
    <xf numFmtId="49" fontId="5" fillId="0" borderId="0" xfId="0" applyNumberFormat="1" applyFont="1" applyFill="1" applyBorder="1" applyAlignment="1">
      <alignment vertical="center" wrapText="1"/>
    </xf>
    <xf numFmtId="0" fontId="5" fillId="0" borderId="0" xfId="0" applyFont="1" applyFill="1" applyBorder="1" applyAlignment="1">
      <alignment horizontal="left" wrapText="1"/>
    </xf>
    <xf numFmtId="0" fontId="17" fillId="0" borderId="0" xfId="0" applyFont="1" applyFill="1" applyBorder="1" applyAlignment="1">
      <alignment wrapText="1"/>
    </xf>
    <xf numFmtId="0" fontId="17" fillId="0" borderId="0" xfId="0" applyFont="1" applyAlignment="1">
      <alignment wrapText="1"/>
    </xf>
    <xf numFmtId="0" fontId="0" fillId="0" borderId="2" xfId="0" applyFill="1" applyBorder="1" applyAlignment="1">
      <alignment horizontal="justify" vertical="center" wrapText="1"/>
    </xf>
    <xf numFmtId="0" fontId="51" fillId="17" borderId="25" xfId="27" applyFill="1" applyBorder="1"/>
    <xf numFmtId="0" fontId="51" fillId="17" borderId="5" xfId="27" applyFill="1" applyBorder="1"/>
    <xf numFmtId="0" fontId="51" fillId="17" borderId="28" xfId="27" applyFill="1" applyBorder="1"/>
    <xf numFmtId="0" fontId="51" fillId="17" borderId="29" xfId="27" applyFill="1" applyBorder="1"/>
    <xf numFmtId="0" fontId="51" fillId="0" borderId="0" xfId="27"/>
    <xf numFmtId="0" fontId="51" fillId="17" borderId="30" xfId="27" applyFill="1" applyBorder="1"/>
    <xf numFmtId="0" fontId="51" fillId="0" borderId="30" xfId="27" applyBorder="1"/>
    <xf numFmtId="0" fontId="51" fillId="0" borderId="0" xfId="27" applyBorder="1"/>
    <xf numFmtId="0" fontId="51" fillId="0" borderId="31" xfId="27" applyBorder="1"/>
    <xf numFmtId="0" fontId="51" fillId="17" borderId="32" xfId="27" applyFill="1" applyBorder="1"/>
    <xf numFmtId="0" fontId="52" fillId="0" borderId="0" xfId="27" applyFont="1" applyBorder="1" applyAlignment="1">
      <alignment horizontal="left"/>
    </xf>
    <xf numFmtId="0" fontId="52" fillId="0" borderId="0" xfId="27" applyFont="1" applyBorder="1"/>
    <xf numFmtId="0" fontId="51" fillId="0" borderId="0" xfId="28" applyFont="1" applyAlignment="1">
      <alignment horizontal="left"/>
    </xf>
    <xf numFmtId="0" fontId="51" fillId="17" borderId="33" xfId="27" applyFill="1" applyBorder="1"/>
    <xf numFmtId="0" fontId="51" fillId="17" borderId="27" xfId="27" applyFill="1" applyBorder="1"/>
    <xf numFmtId="0" fontId="51" fillId="17" borderId="34" xfId="27" applyFill="1" applyBorder="1"/>
    <xf numFmtId="0" fontId="51" fillId="17" borderId="35" xfId="27" applyFill="1" applyBorder="1"/>
    <xf numFmtId="0" fontId="0" fillId="0" borderId="2" xfId="0" applyFont="1" applyFill="1" applyBorder="1" applyAlignment="1">
      <alignment vertical="top" wrapText="1"/>
    </xf>
    <xf numFmtId="0" fontId="0" fillId="0" borderId="2" xfId="0" applyFont="1" applyFill="1" applyBorder="1"/>
    <xf numFmtId="0" fontId="0" fillId="0" borderId="2" xfId="0" applyFont="1" applyFill="1" applyBorder="1" applyAlignment="1" applyProtection="1">
      <alignment horizontal="center" vertical="center" wrapText="1"/>
      <protection locked="0"/>
    </xf>
    <xf numFmtId="0" fontId="0" fillId="0" borderId="2" xfId="1" applyFont="1" applyFill="1" applyBorder="1" applyAlignment="1" applyProtection="1">
      <alignment wrapText="1"/>
    </xf>
    <xf numFmtId="165" fontId="0" fillId="0" borderId="6" xfId="0" applyNumberFormat="1" applyFont="1" applyFill="1" applyBorder="1" applyAlignment="1" applyProtection="1">
      <alignment horizontal="center" vertical="center" wrapText="1"/>
      <protection locked="0"/>
    </xf>
    <xf numFmtId="7" fontId="0" fillId="0" borderId="6" xfId="3" applyNumberFormat="1" applyFont="1" applyFill="1" applyBorder="1" applyAlignment="1">
      <alignment horizontal="center" vertical="center" wrapText="1"/>
    </xf>
    <xf numFmtId="0" fontId="0" fillId="0" borderId="4" xfId="0" applyFill="1" applyBorder="1" applyAlignment="1">
      <alignment vertical="center" wrapText="1"/>
    </xf>
    <xf numFmtId="165" fontId="0" fillId="0" borderId="2" xfId="3" applyNumberFormat="1" applyFont="1" applyFill="1" applyBorder="1" applyAlignment="1" applyProtection="1">
      <alignment horizontal="center" vertical="center" wrapText="1"/>
      <protection locked="0"/>
    </xf>
    <xf numFmtId="0" fontId="46" fillId="0" borderId="0" xfId="0" applyFont="1" applyAlignment="1">
      <alignment horizontal="left"/>
    </xf>
    <xf numFmtId="165" fontId="0" fillId="0" borderId="0" xfId="0" applyNumberFormat="1" applyFont="1" applyBorder="1" applyAlignment="1" applyProtection="1">
      <alignment horizontal="center" vertical="center"/>
      <protection locked="0"/>
    </xf>
    <xf numFmtId="165" fontId="0" fillId="0" borderId="0" xfId="0" applyNumberFormat="1" applyFont="1" applyFill="1" applyBorder="1" applyAlignment="1" applyProtection="1">
      <alignment horizontal="center" vertical="center"/>
      <protection locked="0"/>
    </xf>
    <xf numFmtId="0" fontId="0" fillId="0" borderId="0" xfId="0" applyFont="1" applyFill="1" applyBorder="1" applyAlignment="1" applyProtection="1">
      <alignment horizontal="center" vertical="top"/>
      <protection locked="0"/>
    </xf>
    <xf numFmtId="0" fontId="48" fillId="0" borderId="0" xfId="0" applyFont="1" applyAlignment="1">
      <alignment horizontal="left"/>
    </xf>
    <xf numFmtId="0" fontId="0" fillId="0" borderId="11" xfId="0" applyBorder="1" applyAlignment="1">
      <alignment horizontal="center"/>
    </xf>
    <xf numFmtId="44" fontId="6" fillId="0" borderId="11" xfId="3" applyNumberFormat="1" applyFont="1" applyFill="1" applyBorder="1" applyAlignment="1">
      <alignment horizontal="center" vertical="center" wrapText="1"/>
    </xf>
    <xf numFmtId="7" fontId="9" fillId="0" borderId="11" xfId="3" applyNumberFormat="1" applyFont="1" applyFill="1" applyBorder="1" applyAlignment="1">
      <alignment horizontal="center" vertical="center" wrapText="1"/>
    </xf>
    <xf numFmtId="0" fontId="5" fillId="0" borderId="15" xfId="0" applyFont="1" applyBorder="1"/>
    <xf numFmtId="0" fontId="0" fillId="0" borderId="15" xfId="0" applyFont="1" applyFill="1" applyBorder="1"/>
    <xf numFmtId="0" fontId="0" fillId="0" borderId="16" xfId="0" applyFont="1" applyFill="1" applyBorder="1"/>
    <xf numFmtId="0" fontId="0" fillId="0" borderId="15" xfId="0" applyFont="1" applyFill="1" applyBorder="1" applyAlignment="1">
      <alignment horizontal="center"/>
    </xf>
    <xf numFmtId="44" fontId="0" fillId="0" borderId="15" xfId="3" applyFont="1" applyFill="1" applyBorder="1" applyAlignment="1">
      <alignment horizontal="center" vertical="center"/>
    </xf>
    <xf numFmtId="0" fontId="0" fillId="0" borderId="15" xfId="0" applyBorder="1" applyAlignment="1">
      <alignment horizontal="center"/>
    </xf>
    <xf numFmtId="44" fontId="6" fillId="0" borderId="15" xfId="3" applyNumberFormat="1" applyFont="1" applyFill="1" applyBorder="1" applyAlignment="1">
      <alignment horizontal="center" vertical="center" wrapText="1"/>
    </xf>
    <xf numFmtId="7" fontId="9" fillId="0" borderId="15" xfId="3" applyNumberFormat="1" applyFont="1" applyFill="1" applyBorder="1" applyAlignment="1">
      <alignment horizontal="center" vertical="center" wrapText="1"/>
    </xf>
    <xf numFmtId="0" fontId="0" fillId="0" borderId="13" xfId="0" applyFont="1" applyBorder="1" applyAlignment="1"/>
    <xf numFmtId="7" fontId="0" fillId="0" borderId="37" xfId="3" applyNumberFormat="1" applyFont="1" applyFill="1" applyBorder="1" applyAlignment="1">
      <alignment horizontal="center" vertical="center"/>
    </xf>
    <xf numFmtId="7" fontId="0" fillId="0" borderId="38" xfId="3" applyNumberFormat="1" applyFont="1" applyFill="1" applyBorder="1" applyAlignment="1">
      <alignment horizontal="center" vertical="center"/>
    </xf>
    <xf numFmtId="7" fontId="42" fillId="0" borderId="11" xfId="3" applyNumberFormat="1" applyFont="1" applyFill="1" applyBorder="1" applyAlignment="1">
      <alignment horizontal="center" vertical="center" wrapText="1"/>
    </xf>
    <xf numFmtId="7" fontId="42" fillId="0" borderId="38" xfId="3" applyNumberFormat="1" applyFont="1" applyFill="1" applyBorder="1" applyAlignment="1">
      <alignment horizontal="center" vertical="center"/>
    </xf>
    <xf numFmtId="7" fontId="42" fillId="0" borderId="15" xfId="3" applyNumberFormat="1" applyFont="1" applyFill="1" applyBorder="1" applyAlignment="1">
      <alignment horizontal="center" vertical="center" wrapText="1"/>
    </xf>
    <xf numFmtId="7" fontId="42" fillId="0" borderId="37" xfId="3" applyNumberFormat="1" applyFont="1" applyFill="1" applyBorder="1" applyAlignment="1">
      <alignment horizontal="center" vertical="center"/>
    </xf>
    <xf numFmtId="44" fontId="6" fillId="0" borderId="39" xfId="3" applyFont="1" applyFill="1" applyBorder="1" applyAlignment="1">
      <alignment horizontal="center" vertical="center"/>
    </xf>
    <xf numFmtId="44" fontId="6" fillId="0" borderId="11" xfId="3" applyFont="1" applyFill="1" applyBorder="1" applyAlignment="1">
      <alignment horizontal="center" vertical="center"/>
    </xf>
    <xf numFmtId="0" fontId="58" fillId="0" borderId="2" xfId="0" applyFont="1" applyBorder="1" applyAlignment="1" applyProtection="1">
      <alignment vertical="top" wrapText="1"/>
      <protection hidden="1"/>
    </xf>
    <xf numFmtId="0" fontId="58" fillId="0" borderId="2" xfId="0" applyFont="1" applyBorder="1" applyAlignment="1">
      <alignment horizontal="center" vertical="center" wrapText="1"/>
    </xf>
    <xf numFmtId="0" fontId="58" fillId="8" borderId="2" xfId="0" applyFont="1" applyFill="1" applyBorder="1" applyAlignment="1" applyProtection="1">
      <alignment horizontal="left" vertical="center" wrapText="1"/>
      <protection locked="0"/>
    </xf>
    <xf numFmtId="0" fontId="58" fillId="0" borderId="2" xfId="0" applyFont="1" applyBorder="1" applyAlignment="1" applyProtection="1">
      <alignment horizontal="left" vertical="top" wrapText="1"/>
      <protection locked="0"/>
    </xf>
    <xf numFmtId="0" fontId="58" fillId="0" borderId="2" xfId="0" applyFont="1" applyBorder="1" applyAlignment="1" applyProtection="1">
      <alignment horizontal="center" vertical="top" wrapText="1"/>
      <protection locked="0"/>
    </xf>
    <xf numFmtId="0" fontId="59" fillId="0" borderId="2" xfId="0" applyFont="1" applyBorder="1" applyAlignment="1" applyProtection="1">
      <alignment horizontal="left" vertical="top" wrapText="1"/>
      <protection locked="0"/>
    </xf>
    <xf numFmtId="0" fontId="59" fillId="0" borderId="2" xfId="0" applyFont="1" applyBorder="1" applyAlignment="1" applyProtection="1">
      <alignment horizontal="center" vertical="top" wrapText="1"/>
      <protection locked="0"/>
    </xf>
    <xf numFmtId="0" fontId="58" fillId="0" borderId="2" xfId="0" applyFont="1" applyBorder="1" applyAlignment="1">
      <alignment wrapText="1"/>
    </xf>
    <xf numFmtId="0" fontId="58" fillId="0" borderId="2" xfId="0" applyFont="1" applyFill="1" applyBorder="1" applyAlignment="1">
      <alignment horizontal="center" vertical="center" wrapText="1"/>
    </xf>
    <xf numFmtId="0" fontId="58" fillId="0" borderId="2" xfId="0" applyFont="1" applyBorder="1" applyAlignment="1">
      <alignment horizontal="center" wrapText="1"/>
    </xf>
    <xf numFmtId="0" fontId="59" fillId="0" borderId="2" xfId="0" applyFont="1" applyBorder="1" applyAlignment="1">
      <alignment wrapText="1"/>
    </xf>
    <xf numFmtId="0" fontId="60" fillId="0" borderId="2" xfId="0" applyFont="1" applyBorder="1"/>
    <xf numFmtId="0" fontId="58" fillId="0" borderId="12" xfId="0" applyFont="1" applyFill="1" applyBorder="1"/>
    <xf numFmtId="165" fontId="58" fillId="0" borderId="2" xfId="0" applyNumberFormat="1" applyFont="1" applyFill="1" applyBorder="1" applyAlignment="1" applyProtection="1">
      <alignment horizontal="center" vertical="center" wrapText="1"/>
      <protection locked="0"/>
    </xf>
    <xf numFmtId="0" fontId="58" fillId="0" borderId="2" xfId="0" applyFont="1" applyFill="1" applyBorder="1" applyAlignment="1" applyProtection="1">
      <alignment vertical="top" wrapText="1"/>
      <protection locked="0"/>
    </xf>
    <xf numFmtId="0" fontId="59" fillId="0" borderId="2" xfId="0" applyFont="1" applyFill="1" applyBorder="1" applyAlignment="1">
      <alignment vertical="center"/>
    </xf>
    <xf numFmtId="0" fontId="59" fillId="0" borderId="2" xfId="0" applyFont="1" applyFill="1" applyBorder="1" applyAlignment="1">
      <alignment horizontal="left" vertical="center" wrapText="1"/>
    </xf>
    <xf numFmtId="0" fontId="59" fillId="0" borderId="2" xfId="0" applyFont="1" applyFill="1" applyBorder="1" applyAlignment="1">
      <alignment horizontal="center" vertical="center"/>
    </xf>
    <xf numFmtId="44" fontId="59" fillId="0" borderId="2" xfId="3" applyNumberFormat="1" applyFont="1" applyFill="1" applyBorder="1" applyAlignment="1">
      <alignment horizontal="center" vertical="center" wrapText="1"/>
    </xf>
    <xf numFmtId="165" fontId="59" fillId="0" borderId="2" xfId="0" applyNumberFormat="1" applyFont="1" applyFill="1" applyBorder="1" applyAlignment="1" applyProtection="1">
      <alignment horizontal="center" vertical="center" wrapText="1"/>
      <protection locked="0"/>
    </xf>
    <xf numFmtId="44" fontId="59" fillId="0" borderId="2" xfId="3" applyFont="1" applyFill="1" applyBorder="1" applyAlignment="1">
      <alignment vertical="center"/>
    </xf>
    <xf numFmtId="44" fontId="59" fillId="0" borderId="2" xfId="0" applyNumberFormat="1" applyFont="1" applyFill="1" applyBorder="1" applyAlignment="1" applyProtection="1">
      <alignment horizontal="center" vertical="center" wrapText="1"/>
      <protection locked="0"/>
    </xf>
    <xf numFmtId="0" fontId="59" fillId="0" borderId="6" xfId="0" applyFont="1" applyFill="1" applyBorder="1" applyAlignment="1">
      <alignment horizontal="left" wrapText="1"/>
    </xf>
    <xf numFmtId="49" fontId="59" fillId="0" borderId="2" xfId="0" applyNumberFormat="1" applyFont="1" applyFill="1" applyBorder="1" applyAlignment="1">
      <alignment vertical="center"/>
    </xf>
    <xf numFmtId="0" fontId="59" fillId="0" borderId="6" xfId="0" applyFont="1" applyFill="1" applyBorder="1" applyAlignment="1">
      <alignment horizontal="justify" wrapText="1"/>
    </xf>
    <xf numFmtId="49" fontId="13" fillId="0" borderId="2" xfId="0" applyNumberFormat="1" applyFont="1" applyFill="1" applyBorder="1" applyAlignment="1">
      <alignment vertical="center"/>
    </xf>
    <xf numFmtId="49" fontId="5" fillId="0" borderId="2" xfId="0" applyNumberFormat="1" applyFont="1" applyFill="1" applyBorder="1" applyAlignment="1">
      <alignment horizontal="left" vertical="center"/>
    </xf>
    <xf numFmtId="49" fontId="5" fillId="0" borderId="2" xfId="0" applyNumberFormat="1" applyFont="1" applyBorder="1" applyAlignment="1">
      <alignment vertical="center"/>
    </xf>
    <xf numFmtId="49" fontId="0" fillId="0" borderId="2" xfId="0" applyNumberFormat="1" applyBorder="1" applyAlignment="1">
      <alignment vertical="center"/>
    </xf>
    <xf numFmtId="0" fontId="9" fillId="0" borderId="0" xfId="0" applyFont="1" applyFill="1" applyAlignment="1">
      <alignment vertical="center"/>
    </xf>
    <xf numFmtId="49" fontId="0" fillId="0" borderId="2" xfId="0" applyNumberFormat="1" applyBorder="1" applyAlignment="1">
      <alignment horizontal="left" vertical="center"/>
    </xf>
    <xf numFmtId="49" fontId="9" fillId="0" borderId="2" xfId="0" applyNumberFormat="1" applyFont="1" applyBorder="1" applyAlignment="1">
      <alignment horizontal="left" vertical="center"/>
    </xf>
    <xf numFmtId="49" fontId="0" fillId="0" borderId="2" xfId="0" applyNumberFormat="1" applyFill="1" applyBorder="1" applyAlignment="1">
      <alignment horizontal="left" vertical="center" wrapText="1"/>
    </xf>
    <xf numFmtId="49" fontId="0" fillId="0" borderId="2" xfId="0" applyNumberFormat="1" applyBorder="1" applyAlignment="1">
      <alignment vertical="center" wrapText="1"/>
    </xf>
    <xf numFmtId="49" fontId="5" fillId="0" borderId="2" xfId="0" applyNumberFormat="1" applyFont="1" applyFill="1" applyBorder="1"/>
    <xf numFmtId="0" fontId="5" fillId="0" borderId="2" xfId="0" applyFont="1" applyFill="1" applyBorder="1" applyAlignment="1">
      <alignment vertical="center"/>
    </xf>
    <xf numFmtId="49" fontId="5" fillId="0" borderId="4" xfId="0" applyNumberFormat="1" applyFont="1" applyFill="1" applyBorder="1" applyAlignment="1">
      <alignment vertical="center" wrapText="1"/>
    </xf>
    <xf numFmtId="0" fontId="59" fillId="0" borderId="0" xfId="0" applyFont="1" applyAlignment="1">
      <alignment vertical="center"/>
    </xf>
    <xf numFmtId="49" fontId="0" fillId="14" borderId="2" xfId="0" applyNumberFormat="1" applyFill="1" applyBorder="1" applyAlignment="1">
      <alignment vertical="center" wrapText="1"/>
    </xf>
    <xf numFmtId="49" fontId="0" fillId="0" borderId="0" xfId="0" applyNumberFormat="1" applyFill="1" applyBorder="1" applyAlignment="1">
      <alignment vertical="center" wrapText="1"/>
    </xf>
    <xf numFmtId="49" fontId="0" fillId="14" borderId="2" xfId="0" applyNumberFormat="1" applyFill="1" applyBorder="1" applyAlignment="1">
      <alignment vertical="center"/>
    </xf>
    <xf numFmtId="0" fontId="0" fillId="0" borderId="4" xfId="0" applyFill="1" applyBorder="1" applyAlignment="1">
      <alignment vertical="center"/>
    </xf>
    <xf numFmtId="0" fontId="0" fillId="0" borderId="2" xfId="0" applyFill="1" applyBorder="1" applyAlignment="1">
      <alignment wrapText="1"/>
    </xf>
    <xf numFmtId="0" fontId="0" fillId="0" borderId="2" xfId="0" applyFont="1" applyFill="1" applyBorder="1"/>
    <xf numFmtId="0" fontId="0" fillId="0" borderId="2" xfId="0" applyFill="1" applyBorder="1" applyAlignment="1" applyProtection="1">
      <alignment vertical="center" wrapText="1"/>
      <protection hidden="1"/>
    </xf>
    <xf numFmtId="0" fontId="0" fillId="0" borderId="2" xfId="0" applyFill="1" applyBorder="1" applyAlignment="1">
      <alignment vertical="center"/>
    </xf>
    <xf numFmtId="49" fontId="0" fillId="0" borderId="2" xfId="0" applyNumberFormat="1" applyFill="1" applyBorder="1" applyAlignment="1">
      <alignment wrapText="1"/>
    </xf>
    <xf numFmtId="49" fontId="0" fillId="0" borderId="4" xfId="0" applyNumberFormat="1" applyFill="1" applyBorder="1"/>
    <xf numFmtId="49" fontId="10" fillId="14" borderId="2" xfId="0" applyNumberFormat="1" applyFont="1" applyFill="1" applyBorder="1" applyAlignment="1">
      <alignment vertical="center"/>
    </xf>
    <xf numFmtId="49" fontId="0" fillId="14" borderId="2" xfId="0" applyNumberFormat="1" applyFont="1" applyFill="1" applyBorder="1"/>
    <xf numFmtId="49" fontId="10" fillId="14" borderId="2" xfId="0" applyNumberFormat="1" applyFont="1" applyFill="1" applyBorder="1" applyAlignment="1">
      <alignment vertical="center" wrapText="1"/>
    </xf>
    <xf numFmtId="49" fontId="0" fillId="0" borderId="2" xfId="11" applyNumberFormat="1" applyFont="1" applyFill="1" applyBorder="1" applyAlignment="1">
      <alignment vertical="center"/>
    </xf>
    <xf numFmtId="0" fontId="0" fillId="0" borderId="2" xfId="0" applyFill="1" applyBorder="1" applyAlignment="1">
      <alignment wrapText="1"/>
    </xf>
    <xf numFmtId="0" fontId="26" fillId="14" borderId="2" xfId="0" applyFont="1" applyFill="1" applyBorder="1" applyAlignment="1">
      <alignment vertical="center" wrapText="1"/>
    </xf>
    <xf numFmtId="49" fontId="5" fillId="14" borderId="2" xfId="0" applyNumberFormat="1" applyFont="1" applyFill="1" applyBorder="1" applyAlignment="1">
      <alignment vertical="center" wrapText="1"/>
    </xf>
    <xf numFmtId="49" fontId="0" fillId="0" borderId="4" xfId="0" applyNumberFormat="1" applyFill="1" applyBorder="1" applyAlignment="1">
      <alignment vertical="center"/>
    </xf>
    <xf numFmtId="49" fontId="5" fillId="14" borderId="2" xfId="0" applyNumberFormat="1" applyFont="1" applyFill="1" applyBorder="1" applyAlignment="1">
      <alignment vertical="center"/>
    </xf>
    <xf numFmtId="0" fontId="29" fillId="11" borderId="4" xfId="0" applyFont="1" applyFill="1" applyBorder="1" applyAlignment="1">
      <alignment vertical="center" wrapText="1"/>
    </xf>
    <xf numFmtId="0" fontId="29" fillId="11" borderId="2" xfId="0" applyFont="1" applyFill="1" applyBorder="1" applyAlignment="1">
      <alignment horizontal="center" vertical="center" wrapText="1"/>
    </xf>
    <xf numFmtId="165" fontId="29" fillId="11" borderId="2" xfId="0" applyNumberFormat="1" applyFont="1" applyFill="1" applyBorder="1" applyAlignment="1" applyProtection="1">
      <alignment horizontal="center" vertical="center" wrapText="1"/>
      <protection locked="0"/>
    </xf>
    <xf numFmtId="165" fontId="61" fillId="11" borderId="2" xfId="0" applyNumberFormat="1" applyFont="1" applyFill="1" applyBorder="1" applyAlignment="1">
      <alignment horizontal="center"/>
    </xf>
    <xf numFmtId="0" fontId="29" fillId="11" borderId="2" xfId="0" applyFont="1" applyFill="1" applyBorder="1"/>
    <xf numFmtId="44" fontId="62" fillId="11" borderId="2" xfId="3" applyFont="1" applyFill="1" applyBorder="1" applyAlignment="1">
      <alignment horizontal="left" wrapText="1"/>
    </xf>
    <xf numFmtId="0" fontId="62" fillId="11" borderId="2" xfId="0" applyFont="1" applyFill="1" applyBorder="1" applyAlignment="1">
      <alignment horizontal="center" vertical="center" wrapText="1"/>
    </xf>
    <xf numFmtId="165" fontId="62" fillId="11" borderId="2" xfId="0" applyNumberFormat="1" applyFont="1" applyFill="1" applyBorder="1" applyAlignment="1">
      <alignment horizontal="center"/>
    </xf>
    <xf numFmtId="165" fontId="62" fillId="11" borderId="2" xfId="0" applyNumberFormat="1" applyFont="1" applyFill="1" applyBorder="1" applyAlignment="1" applyProtection="1">
      <alignment horizontal="center" wrapText="1"/>
      <protection locked="0"/>
    </xf>
    <xf numFmtId="165" fontId="62" fillId="11" borderId="2" xfId="0" applyNumberFormat="1" applyFont="1" applyFill="1" applyBorder="1" applyAlignment="1" applyProtection="1">
      <alignment horizontal="center" vertical="center" wrapText="1"/>
      <protection locked="0"/>
    </xf>
    <xf numFmtId="44" fontId="61" fillId="11" borderId="2" xfId="3" applyFont="1" applyFill="1" applyBorder="1" applyAlignment="1">
      <alignment horizontal="left" wrapText="1"/>
    </xf>
    <xf numFmtId="165" fontId="29" fillId="11" borderId="2" xfId="0" applyNumberFormat="1" applyFont="1" applyFill="1" applyBorder="1" applyAlignment="1" applyProtection="1">
      <alignment horizontal="center" wrapText="1"/>
      <protection locked="0"/>
    </xf>
    <xf numFmtId="0" fontId="0" fillId="0" borderId="2" xfId="0" applyFont="1" applyFill="1" applyBorder="1"/>
    <xf numFmtId="0" fontId="0" fillId="0" borderId="0" xfId="0" applyAlignment="1"/>
    <xf numFmtId="0" fontId="20" fillId="0" borderId="0" xfId="0" applyFont="1" applyAlignment="1">
      <alignment horizontal="left" wrapText="1"/>
    </xf>
    <xf numFmtId="0" fontId="0" fillId="0" borderId="0" xfId="0" applyAlignment="1">
      <alignment wrapText="1"/>
    </xf>
    <xf numFmtId="0" fontId="0" fillId="0" borderId="0" xfId="0" applyFill="1" applyAlignment="1">
      <alignment wrapText="1"/>
    </xf>
    <xf numFmtId="0" fontId="3" fillId="0" borderId="2" xfId="37" applyFont="1" applyFill="1" applyBorder="1" applyAlignment="1" applyProtection="1">
      <alignment horizontal="left" vertical="top" wrapText="1" shrinkToFit="1"/>
      <protection locked="0"/>
    </xf>
    <xf numFmtId="0" fontId="0" fillId="0" borderId="2" xfId="6" applyFont="1" applyFill="1" applyBorder="1" applyAlignment="1">
      <alignment vertical="top" wrapText="1"/>
    </xf>
    <xf numFmtId="0" fontId="3" fillId="0" borderId="2" xfId="6" applyFont="1" applyFill="1" applyBorder="1" applyAlignment="1">
      <alignment vertical="top" wrapText="1"/>
    </xf>
    <xf numFmtId="0" fontId="0" fillId="0" borderId="2" xfId="0" applyFont="1" applyBorder="1"/>
    <xf numFmtId="0" fontId="0" fillId="0" borderId="17" xfId="0" applyFill="1" applyBorder="1" applyAlignment="1">
      <alignment vertical="center" wrapText="1"/>
    </xf>
    <xf numFmtId="0" fontId="6" fillId="0" borderId="2" xfId="4" applyFont="1" applyFill="1" applyBorder="1" applyAlignment="1">
      <alignment vertical="center" wrapText="1"/>
    </xf>
    <xf numFmtId="0" fontId="6" fillId="0" borderId="2" xfId="38" applyFont="1" applyFill="1" applyBorder="1" applyAlignment="1">
      <alignment horizontal="center" vertical="center" wrapText="1"/>
    </xf>
    <xf numFmtId="165" fontId="6" fillId="0" borderId="2" xfId="38" applyNumberFormat="1" applyFont="1" applyFill="1" applyBorder="1" applyAlignment="1" applyProtection="1">
      <alignment horizontal="center" vertical="center" wrapText="1"/>
      <protection locked="0"/>
    </xf>
    <xf numFmtId="0" fontId="6" fillId="0" borderId="2" xfId="38" applyFont="1" applyFill="1" applyBorder="1" applyAlignment="1" applyProtection="1">
      <alignment horizontal="left" vertical="center" wrapText="1"/>
      <protection locked="0"/>
    </xf>
    <xf numFmtId="0" fontId="3" fillId="0" borderId="2" xfId="0" applyFont="1" applyFill="1" applyBorder="1"/>
    <xf numFmtId="0" fontId="6" fillId="0" borderId="2" xfId="38" applyFont="1" applyFill="1" applyBorder="1" applyAlignment="1">
      <alignment wrapText="1"/>
    </xf>
    <xf numFmtId="0" fontId="0" fillId="0" borderId="2" xfId="4" applyFont="1" applyFill="1" applyBorder="1" applyAlignment="1">
      <alignment vertical="center" wrapText="1"/>
    </xf>
    <xf numFmtId="0" fontId="0" fillId="0" borderId="2" xfId="38" applyFont="1" applyFill="1" applyBorder="1" applyAlignment="1">
      <alignment horizontal="center" vertical="center" wrapText="1"/>
    </xf>
    <xf numFmtId="165" fontId="0" fillId="0" borderId="2" xfId="38" applyNumberFormat="1" applyFont="1" applyFill="1" applyBorder="1" applyAlignment="1" applyProtection="1">
      <alignment horizontal="center" vertical="center" wrapText="1"/>
      <protection locked="0"/>
    </xf>
    <xf numFmtId="0" fontId="0" fillId="0" borderId="2" xfId="38" applyFont="1" applyFill="1" applyBorder="1" applyAlignment="1" applyProtection="1">
      <alignment horizontal="left" vertical="center" wrapText="1"/>
      <protection locked="0"/>
    </xf>
    <xf numFmtId="0" fontId="0" fillId="0" borderId="2" xfId="38" applyFont="1" applyFill="1" applyBorder="1" applyAlignment="1">
      <alignment wrapText="1"/>
    </xf>
    <xf numFmtId="164" fontId="4" fillId="0" borderId="18" xfId="0" applyNumberFormat="1" applyFont="1" applyFill="1" applyBorder="1" applyAlignment="1" applyProtection="1">
      <alignment vertical="center" wrapText="1"/>
      <protection locked="0"/>
    </xf>
    <xf numFmtId="0" fontId="0" fillId="0" borderId="2" xfId="0" applyFont="1" applyFill="1" applyBorder="1" applyAlignment="1">
      <alignment wrapText="1"/>
    </xf>
    <xf numFmtId="0" fontId="0" fillId="0" borderId="2" xfId="0" applyFont="1" applyFill="1" applyBorder="1" applyAlignment="1">
      <alignment horizontal="center" vertical="center" wrapText="1"/>
    </xf>
    <xf numFmtId="0" fontId="0" fillId="0" borderId="2" xfId="0" applyFont="1" applyFill="1" applyBorder="1"/>
    <xf numFmtId="44" fontId="6" fillId="0" borderId="2" xfId="3" applyFont="1" applyFill="1" applyBorder="1" applyAlignment="1">
      <alignment vertical="center"/>
    </xf>
    <xf numFmtId="44" fontId="0" fillId="0" borderId="2" xfId="0" applyNumberFormat="1" applyFont="1" applyFill="1" applyBorder="1" applyAlignment="1">
      <alignment horizontal="center" vertical="center"/>
    </xf>
    <xf numFmtId="44" fontId="6" fillId="0" borderId="2" xfId="3" applyFont="1" applyFill="1" applyBorder="1" applyAlignment="1">
      <alignment horizontal="center" vertical="center"/>
    </xf>
    <xf numFmtId="0" fontId="0" fillId="0" borderId="2" xfId="0" applyFill="1" applyBorder="1" applyAlignment="1">
      <alignment wrapText="1"/>
    </xf>
    <xf numFmtId="0" fontId="0" fillId="0" borderId="2" xfId="0" applyFont="1" applyFill="1" applyBorder="1" applyAlignment="1">
      <alignment horizontal="center" vertical="center" wrapText="1"/>
    </xf>
    <xf numFmtId="0" fontId="0" fillId="0" borderId="2" xfId="0" applyFont="1" applyFill="1" applyBorder="1"/>
    <xf numFmtId="0" fontId="0" fillId="0" borderId="2" xfId="0" applyFont="1" applyFill="1" applyBorder="1" applyAlignment="1" applyProtection="1">
      <alignment horizontal="center" vertical="center" wrapText="1"/>
      <protection locked="0"/>
    </xf>
    <xf numFmtId="165" fontId="0" fillId="0" borderId="0" xfId="0" applyNumberFormat="1" applyFill="1"/>
    <xf numFmtId="165" fontId="10" fillId="0" borderId="0" xfId="0" applyNumberFormat="1" applyFont="1" applyFill="1"/>
    <xf numFmtId="165" fontId="15" fillId="0" borderId="0" xfId="0" applyNumberFormat="1" applyFont="1" applyFill="1" applyBorder="1"/>
    <xf numFmtId="165" fontId="0" fillId="0" borderId="0" xfId="0" applyNumberFormat="1" applyFont="1" applyFill="1" applyBorder="1"/>
    <xf numFmtId="165" fontId="25" fillId="0" borderId="0" xfId="0" applyNumberFormat="1" applyFont="1" applyFill="1" applyBorder="1"/>
    <xf numFmtId="165" fontId="6" fillId="0" borderId="0" xfId="0" applyNumberFormat="1" applyFont="1" applyFill="1"/>
    <xf numFmtId="165" fontId="6" fillId="0" borderId="0" xfId="0" applyNumberFormat="1" applyFont="1" applyFill="1" applyBorder="1" applyAlignment="1" applyProtection="1">
      <alignment horizontal="center" wrapText="1"/>
      <protection locked="0"/>
    </xf>
    <xf numFmtId="165" fontId="0" fillId="0" borderId="0" xfId="0" applyNumberFormat="1" applyFill="1" applyBorder="1" applyAlignment="1" applyProtection="1">
      <alignment horizontal="center" wrapText="1"/>
      <protection locked="0"/>
    </xf>
    <xf numFmtId="165" fontId="0" fillId="0" borderId="0" xfId="0" applyNumberFormat="1" applyFill="1" applyBorder="1" applyAlignment="1">
      <alignment horizontal="center"/>
    </xf>
    <xf numFmtId="165" fontId="0" fillId="0" borderId="0" xfId="0" applyNumberFormat="1" applyFont="1" applyFill="1" applyBorder="1" applyAlignment="1" applyProtection="1">
      <alignment horizontal="center" wrapText="1"/>
      <protection locked="0"/>
    </xf>
    <xf numFmtId="0" fontId="0" fillId="0" borderId="2" xfId="0" applyFill="1" applyBorder="1" applyAlignment="1" applyProtection="1">
      <alignment horizontal="left" wrapText="1"/>
      <protection locked="0"/>
    </xf>
    <xf numFmtId="0" fontId="0" fillId="0" borderId="2" xfId="0" applyFont="1" applyFill="1" applyBorder="1" applyAlignment="1" applyProtection="1">
      <alignment horizontal="left" wrapText="1"/>
      <protection locked="0"/>
    </xf>
    <xf numFmtId="0" fontId="10" fillId="0" borderId="13" xfId="0" applyFont="1" applyBorder="1" applyAlignment="1">
      <alignment wrapText="1"/>
    </xf>
    <xf numFmtId="0" fontId="0" fillId="0" borderId="13" xfId="0" applyBorder="1" applyAlignment="1">
      <alignment wrapText="1"/>
    </xf>
    <xf numFmtId="0" fontId="17" fillId="0" borderId="13" xfId="0" applyFont="1" applyBorder="1"/>
    <xf numFmtId="49" fontId="5" fillId="0" borderId="6" xfId="0" applyNumberFormat="1" applyFont="1" applyFill="1" applyBorder="1"/>
    <xf numFmtId="0" fontId="5" fillId="0" borderId="6" xfId="0" applyFont="1" applyFill="1" applyBorder="1" applyAlignment="1">
      <alignment vertical="center"/>
    </xf>
    <xf numFmtId="0" fontId="30" fillId="9" borderId="4" xfId="0" applyFont="1" applyFill="1" applyBorder="1" applyAlignment="1">
      <alignment horizontal="center" vertical="top" wrapText="1"/>
    </xf>
    <xf numFmtId="0" fontId="58" fillId="0" borderId="2" xfId="0" applyFont="1" applyBorder="1" applyAlignment="1" applyProtection="1">
      <alignment horizontal="center" vertical="top" wrapText="1"/>
      <protection locked="0"/>
    </xf>
    <xf numFmtId="0" fontId="59" fillId="0" borderId="2" xfId="0" applyFont="1" applyBorder="1" applyAlignment="1" applyProtection="1">
      <alignment horizontal="left" vertical="top" wrapText="1"/>
      <protection locked="0"/>
    </xf>
    <xf numFmtId="0" fontId="59" fillId="0" borderId="2" xfId="0" applyFont="1" applyFill="1" applyBorder="1" applyAlignment="1">
      <alignment horizontal="center" vertical="center" wrapText="1"/>
    </xf>
    <xf numFmtId="0" fontId="10" fillId="11" borderId="24" xfId="0" applyFont="1" applyFill="1" applyBorder="1"/>
    <xf numFmtId="0" fontId="8" fillId="0" borderId="2" xfId="0" applyFont="1" applyBorder="1" applyAlignment="1" applyProtection="1">
      <alignment horizontal="left" vertical="top" wrapText="1"/>
      <protection locked="0"/>
    </xf>
    <xf numFmtId="0" fontId="0" fillId="0" borderId="2" xfId="0" applyFont="1" applyFill="1" applyBorder="1" applyAlignment="1">
      <alignment wrapText="1"/>
    </xf>
    <xf numFmtId="0" fontId="16" fillId="0" borderId="2" xfId="0" applyFont="1" applyBorder="1" applyAlignment="1" applyProtection="1">
      <alignment horizontal="center" vertical="top" wrapText="1"/>
      <protection locked="0"/>
    </xf>
    <xf numFmtId="0" fontId="0" fillId="0" borderId="2" xfId="0" applyFont="1" applyFill="1" applyBorder="1" applyAlignment="1">
      <alignment horizontal="center" vertical="center" wrapText="1"/>
    </xf>
    <xf numFmtId="0" fontId="10" fillId="0" borderId="2" xfId="0" applyFont="1" applyBorder="1" applyAlignment="1" applyProtection="1">
      <alignment horizontal="center" vertical="top" wrapText="1"/>
      <protection locked="0"/>
    </xf>
    <xf numFmtId="0" fontId="0" fillId="0" borderId="2" xfId="0" applyBorder="1" applyAlignment="1">
      <alignment wrapText="1"/>
    </xf>
    <xf numFmtId="0" fontId="10" fillId="0" borderId="2" xfId="0" applyFont="1" applyBorder="1" applyAlignment="1">
      <alignment wrapText="1"/>
    </xf>
    <xf numFmtId="0" fontId="0" fillId="0" borderId="2" xfId="0" applyFont="1" applyFill="1" applyBorder="1" applyAlignment="1" applyProtection="1">
      <alignment horizontal="center" vertical="center" wrapText="1"/>
      <protection locked="0"/>
    </xf>
    <xf numFmtId="165" fontId="6" fillId="0" borderId="2" xfId="3" applyNumberFormat="1" applyFont="1" applyFill="1" applyBorder="1" applyAlignment="1">
      <alignment horizontal="center" vertical="center"/>
    </xf>
    <xf numFmtId="165" fontId="6" fillId="0" borderId="2" xfId="3" applyNumberFormat="1" applyFont="1" applyFill="1" applyBorder="1" applyAlignment="1" applyProtection="1">
      <alignment horizontal="center" vertical="center"/>
      <protection locked="0"/>
    </xf>
    <xf numFmtId="0" fontId="0" fillId="0" borderId="2" xfId="0" applyFont="1" applyFill="1" applyBorder="1" applyAlignment="1">
      <alignment horizontal="center" vertical="top" wrapText="1"/>
    </xf>
    <xf numFmtId="44" fontId="64" fillId="0" borderId="2" xfId="3" applyFont="1" applyFill="1" applyBorder="1" applyAlignment="1">
      <alignment horizontal="center" vertical="center" wrapText="1"/>
    </xf>
    <xf numFmtId="0" fontId="39" fillId="9" borderId="2" xfId="0" applyFont="1" applyFill="1" applyBorder="1" applyAlignment="1">
      <alignment horizontal="center" vertical="top" wrapText="1"/>
    </xf>
    <xf numFmtId="0" fontId="30" fillId="9" borderId="2" xfId="0" applyFont="1" applyFill="1" applyBorder="1" applyAlignment="1">
      <alignment horizontal="center" vertical="center" wrapText="1"/>
    </xf>
    <xf numFmtId="0" fontId="30" fillId="11" borderId="2" xfId="0" applyFont="1" applyFill="1" applyBorder="1" applyAlignment="1">
      <alignment horizontal="center" vertical="top" wrapText="1"/>
    </xf>
    <xf numFmtId="0" fontId="30" fillId="0" borderId="2" xfId="0" applyFont="1" applyFill="1" applyBorder="1" applyAlignment="1">
      <alignment horizontal="center" vertical="top" wrapText="1"/>
    </xf>
    <xf numFmtId="0" fontId="30" fillId="15" borderId="2" xfId="0" applyFont="1" applyFill="1" applyBorder="1" applyAlignment="1">
      <alignment horizontal="center" vertical="top" wrapText="1"/>
    </xf>
    <xf numFmtId="44" fontId="6" fillId="0" borderId="2" xfId="3" applyFont="1" applyFill="1" applyBorder="1" applyAlignment="1" applyProtection="1">
      <alignment vertical="center" wrapText="1"/>
      <protection locked="0"/>
    </xf>
    <xf numFmtId="0" fontId="0" fillId="0" borderId="2" xfId="0" applyFont="1" applyBorder="1" applyAlignment="1">
      <alignment wrapText="1"/>
    </xf>
    <xf numFmtId="0" fontId="10" fillId="0" borderId="2" xfId="0" applyFont="1" applyFill="1" applyBorder="1" applyAlignment="1">
      <alignment horizontal="center" vertical="top" wrapText="1"/>
    </xf>
    <xf numFmtId="0" fontId="0" fillId="0" borderId="2" xfId="0" applyFont="1" applyBorder="1" applyAlignment="1" applyProtection="1">
      <alignment horizontal="left" vertical="top" wrapText="1"/>
      <protection locked="0"/>
    </xf>
    <xf numFmtId="0" fontId="0" fillId="0" borderId="2" xfId="0" applyFont="1" applyFill="1" applyBorder="1" applyAlignment="1">
      <alignment wrapText="1"/>
    </xf>
    <xf numFmtId="0" fontId="0" fillId="0" borderId="2" xfId="0" applyFont="1" applyFill="1" applyBorder="1" applyAlignment="1">
      <alignment horizontal="center" vertical="center" wrapText="1"/>
    </xf>
    <xf numFmtId="0" fontId="0" fillId="0" borderId="2" xfId="0" applyFont="1" applyFill="1" applyBorder="1" applyAlignment="1">
      <alignment vertical="top" wrapText="1"/>
    </xf>
    <xf numFmtId="0" fontId="10" fillId="0" borderId="2" xfId="0" applyFont="1" applyBorder="1" applyAlignment="1" applyProtection="1">
      <alignment horizontal="center" vertical="top" wrapText="1"/>
      <protection locked="0"/>
    </xf>
    <xf numFmtId="0" fontId="10" fillId="0" borderId="2" xfId="0" applyFont="1" applyBorder="1" applyAlignment="1">
      <alignment wrapText="1"/>
    </xf>
    <xf numFmtId="0" fontId="0" fillId="0" borderId="2" xfId="0" applyFont="1" applyBorder="1"/>
    <xf numFmtId="0" fontId="0" fillId="0" borderId="2" xfId="0" applyFont="1" applyFill="1" applyBorder="1" applyAlignment="1" applyProtection="1">
      <alignment horizontal="center" vertical="center" wrapText="1"/>
      <protection locked="0"/>
    </xf>
    <xf numFmtId="0" fontId="0" fillId="0" borderId="0" xfId="0" applyFont="1" applyFill="1" applyBorder="1" applyAlignment="1" applyProtection="1">
      <alignment horizontal="center" vertical="top" wrapText="1"/>
      <protection locked="0"/>
    </xf>
    <xf numFmtId="0" fontId="5" fillId="0" borderId="17" xfId="0" applyFont="1" applyFill="1" applyBorder="1" applyAlignment="1">
      <alignment vertical="center" wrapText="1"/>
    </xf>
    <xf numFmtId="0" fontId="9" fillId="0" borderId="17" xfId="0" applyFont="1" applyFill="1" applyBorder="1"/>
    <xf numFmtId="7" fontId="9" fillId="0" borderId="17" xfId="3" applyNumberFormat="1" applyFont="1" applyFill="1" applyBorder="1" applyAlignment="1">
      <alignment horizontal="center" vertical="center" wrapText="1"/>
    </xf>
    <xf numFmtId="0" fontId="9" fillId="0" borderId="17" xfId="0" applyFont="1" applyFill="1" applyBorder="1" applyAlignment="1" applyProtection="1">
      <alignment horizontal="center" vertical="center" wrapText="1"/>
      <protection locked="0"/>
    </xf>
    <xf numFmtId="0" fontId="59" fillId="0" borderId="12" xfId="0" applyFont="1" applyFill="1" applyBorder="1"/>
    <xf numFmtId="0" fontId="59" fillId="0" borderId="13" xfId="0" applyFont="1" applyFill="1" applyBorder="1" applyAlignment="1">
      <alignment wrapText="1"/>
    </xf>
    <xf numFmtId="0" fontId="59" fillId="0" borderId="2" xfId="0" applyFont="1" applyFill="1" applyBorder="1" applyAlignment="1" applyProtection="1">
      <alignment vertical="top" wrapText="1"/>
      <protection locked="0"/>
    </xf>
    <xf numFmtId="0" fontId="5" fillId="0" borderId="2" xfId="0" applyFont="1" applyFill="1" applyBorder="1" applyAlignment="1">
      <alignment horizontal="left" wrapText="1"/>
    </xf>
    <xf numFmtId="0" fontId="17" fillId="0" borderId="2" xfId="0" applyFont="1" applyFill="1" applyBorder="1" applyAlignment="1">
      <alignment horizontal="center" vertical="center" wrapText="1"/>
    </xf>
    <xf numFmtId="44" fontId="17" fillId="0" borderId="2" xfId="3" applyNumberFormat="1" applyFont="1" applyFill="1" applyBorder="1" applyAlignment="1">
      <alignment horizontal="center" vertical="center" wrapText="1"/>
    </xf>
    <xf numFmtId="165" fontId="17" fillId="0" borderId="2" xfId="0" applyNumberFormat="1" applyFont="1" applyFill="1" applyBorder="1" applyAlignment="1" applyProtection="1">
      <alignment horizontal="center" vertical="center" wrapText="1"/>
      <protection locked="0"/>
    </xf>
    <xf numFmtId="44" fontId="17" fillId="0" borderId="2" xfId="3" applyFont="1" applyFill="1" applyBorder="1" applyAlignment="1">
      <alignment vertical="center"/>
    </xf>
    <xf numFmtId="49" fontId="41" fillId="0" borderId="2" xfId="0" applyNumberFormat="1" applyFont="1" applyFill="1" applyBorder="1" applyAlignment="1">
      <alignment horizontal="center" vertical="center"/>
    </xf>
    <xf numFmtId="0" fontId="3" fillId="0" borderId="2" xfId="0" applyFont="1" applyFill="1" applyBorder="1" applyAlignment="1">
      <alignment horizontal="left" wrapText="1"/>
    </xf>
    <xf numFmtId="49" fontId="41" fillId="0" borderId="2" xfId="0" applyNumberFormat="1" applyFont="1" applyFill="1" applyBorder="1" applyAlignment="1">
      <alignment vertical="center"/>
    </xf>
    <xf numFmtId="0" fontId="59" fillId="0" borderId="0" xfId="0" applyFont="1" applyFill="1" applyAlignment="1">
      <alignment vertical="center"/>
    </xf>
    <xf numFmtId="0" fontId="41" fillId="0" borderId="2" xfId="0" applyFont="1" applyFill="1" applyBorder="1" applyAlignment="1">
      <alignment horizontal="left" wrapText="1"/>
    </xf>
    <xf numFmtId="0" fontId="0" fillId="0" borderId="2" xfId="0" applyFont="1" applyFill="1" applyBorder="1" applyAlignment="1">
      <alignment wrapText="1"/>
    </xf>
    <xf numFmtId="0" fontId="0" fillId="0" borderId="2" xfId="0" applyFont="1" applyFill="1" applyBorder="1" applyAlignment="1">
      <alignment horizontal="center" vertical="center" wrapText="1"/>
    </xf>
    <xf numFmtId="44" fontId="0" fillId="0" borderId="2" xfId="3" applyFont="1" applyFill="1" applyBorder="1" applyAlignment="1">
      <alignment horizontal="center" vertical="center"/>
    </xf>
    <xf numFmtId="0" fontId="0" fillId="0" borderId="2" xfId="0" applyFont="1" applyBorder="1"/>
    <xf numFmtId="0" fontId="0" fillId="0" borderId="13" xfId="0" applyFont="1" applyFill="1" applyBorder="1" applyAlignment="1" applyProtection="1">
      <alignment horizontal="center" vertical="center" wrapText="1"/>
      <protection locked="0"/>
    </xf>
    <xf numFmtId="0" fontId="0" fillId="0" borderId="2" xfId="0" applyFont="1" applyFill="1" applyBorder="1" applyAlignment="1" applyProtection="1">
      <alignment horizontal="center" vertical="center" wrapText="1"/>
      <protection locked="0"/>
    </xf>
    <xf numFmtId="0" fontId="0" fillId="0" borderId="2" xfId="0" applyFont="1" applyFill="1" applyBorder="1" applyAlignment="1" applyProtection="1">
      <alignment horizontal="center" vertical="top" wrapText="1"/>
      <protection locked="0"/>
    </xf>
    <xf numFmtId="0" fontId="0" fillId="0" borderId="2" xfId="0" applyFont="1" applyFill="1" applyBorder="1" applyAlignment="1">
      <alignment horizontal="center" wrapText="1"/>
    </xf>
    <xf numFmtId="0" fontId="65" fillId="9" borderId="10" xfId="44" applyFont="1" applyFill="1" applyBorder="1" applyAlignment="1">
      <alignment horizontal="center" wrapText="1"/>
    </xf>
    <xf numFmtId="44" fontId="65" fillId="9" borderId="10" xfId="45" applyFont="1" applyFill="1" applyBorder="1" applyAlignment="1">
      <alignment horizontal="center" wrapText="1"/>
    </xf>
    <xf numFmtId="0" fontId="66" fillId="0" borderId="0" xfId="44" applyFont="1" applyFill="1" applyAlignment="1"/>
    <xf numFmtId="0" fontId="15" fillId="0" borderId="2" xfId="44" applyFont="1" applyBorder="1" applyAlignment="1" applyProtection="1">
      <alignment wrapText="1"/>
      <protection hidden="1"/>
    </xf>
    <xf numFmtId="44" fontId="15" fillId="0" borderId="2" xfId="45" applyFont="1" applyBorder="1" applyAlignment="1" applyProtection="1">
      <alignment horizontal="center"/>
      <protection hidden="1"/>
    </xf>
    <xf numFmtId="44" fontId="15" fillId="0" borderId="2" xfId="45" applyFont="1" applyFill="1" applyBorder="1" applyAlignment="1" applyProtection="1">
      <alignment horizontal="center" wrapText="1"/>
      <protection locked="0"/>
    </xf>
    <xf numFmtId="0" fontId="15" fillId="0" borderId="0" xfId="44" applyFont="1" applyFill="1" applyAlignment="1"/>
    <xf numFmtId="0" fontId="15" fillId="8" borderId="2" xfId="44" applyFont="1" applyFill="1" applyBorder="1" applyAlignment="1" applyProtection="1">
      <alignment horizontal="left" wrapText="1"/>
      <protection locked="0"/>
    </xf>
    <xf numFmtId="44" fontId="15" fillId="8" borderId="2" xfId="45" applyFont="1" applyFill="1" applyBorder="1" applyAlignment="1" applyProtection="1">
      <alignment horizontal="left" wrapText="1"/>
      <protection locked="0"/>
    </xf>
    <xf numFmtId="0" fontId="15" fillId="0" borderId="2" xfId="44" applyFont="1" applyBorder="1" applyAlignment="1" applyProtection="1">
      <alignment horizontal="left" wrapText="1"/>
      <protection locked="0"/>
    </xf>
    <xf numFmtId="44" fontId="15" fillId="0" borderId="2" xfId="45" applyFont="1" applyBorder="1" applyAlignment="1" applyProtection="1">
      <alignment horizontal="center" wrapText="1"/>
      <protection locked="0"/>
    </xf>
    <xf numFmtId="44" fontId="15" fillId="10" borderId="2" xfId="45" applyFont="1" applyFill="1" applyBorder="1" applyAlignment="1" applyProtection="1">
      <alignment horizontal="center" wrapText="1"/>
      <protection locked="0"/>
    </xf>
    <xf numFmtId="0" fontId="15" fillId="0" borderId="2" xfId="44" applyFont="1" applyBorder="1" applyAlignment="1" applyProtection="1">
      <alignment wrapText="1"/>
      <protection locked="0"/>
    </xf>
    <xf numFmtId="0" fontId="66" fillId="0" borderId="2" xfId="44" applyFont="1" applyBorder="1" applyAlignment="1" applyProtection="1">
      <alignment horizontal="left" wrapText="1"/>
      <protection locked="0"/>
    </xf>
    <xf numFmtId="44" fontId="66" fillId="0" borderId="2" xfId="45" applyFont="1" applyBorder="1" applyAlignment="1" applyProtection="1">
      <alignment horizontal="center" wrapText="1"/>
      <protection locked="0"/>
    </xf>
    <xf numFmtId="44" fontId="66" fillId="0" borderId="0" xfId="45" applyFont="1" applyBorder="1" applyAlignment="1" applyProtection="1">
      <alignment horizontal="center" wrapText="1"/>
      <protection locked="0"/>
    </xf>
    <xf numFmtId="44" fontId="66" fillId="0" borderId="0" xfId="45" applyFont="1" applyAlignment="1">
      <alignment horizontal="center"/>
    </xf>
    <xf numFmtId="0" fontId="15" fillId="0" borderId="18" xfId="44" applyFont="1" applyBorder="1" applyAlignment="1" applyProtection="1">
      <alignment wrapText="1"/>
      <protection locked="0"/>
    </xf>
    <xf numFmtId="0" fontId="15" fillId="0" borderId="21" xfId="44" applyFont="1" applyBorder="1" applyAlignment="1" applyProtection="1">
      <alignment wrapText="1"/>
      <protection locked="0"/>
    </xf>
    <xf numFmtId="0" fontId="15" fillId="0" borderId="2" xfId="44" applyFont="1" applyBorder="1" applyAlignment="1">
      <alignment wrapText="1"/>
    </xf>
    <xf numFmtId="0" fontId="15" fillId="0" borderId="2" xfId="44" applyFont="1" applyFill="1" applyBorder="1" applyAlignment="1">
      <alignment horizontal="center" wrapText="1"/>
    </xf>
    <xf numFmtId="44" fontId="66" fillId="7" borderId="2" xfId="45" applyFont="1" applyFill="1" applyBorder="1" applyAlignment="1">
      <alignment horizontal="center" wrapText="1"/>
    </xf>
    <xf numFmtId="44" fontId="66" fillId="2" borderId="2" xfId="45" applyFont="1" applyFill="1" applyBorder="1" applyAlignment="1">
      <alignment horizontal="center" wrapText="1"/>
    </xf>
    <xf numFmtId="44" fontId="66" fillId="4" borderId="2" xfId="45" applyFont="1" applyFill="1" applyBorder="1" applyAlignment="1">
      <alignment horizontal="center" wrapText="1"/>
    </xf>
    <xf numFmtId="44" fontId="66" fillId="20" borderId="2" xfId="45" applyFont="1" applyFill="1" applyBorder="1" applyAlignment="1">
      <alignment horizontal="center" wrapText="1"/>
    </xf>
    <xf numFmtId="49" fontId="66" fillId="0" borderId="2" xfId="44" applyNumberFormat="1" applyFont="1" applyBorder="1" applyAlignment="1"/>
    <xf numFmtId="44" fontId="66" fillId="0" borderId="2" xfId="45" applyFont="1" applyBorder="1" applyAlignment="1">
      <alignment wrapText="1"/>
    </xf>
    <xf numFmtId="0" fontId="66" fillId="0" borderId="2" xfId="44" applyFont="1" applyBorder="1" applyAlignment="1">
      <alignment wrapText="1"/>
    </xf>
    <xf numFmtId="165" fontId="66" fillId="0" borderId="2" xfId="44" applyNumberFormat="1" applyFont="1" applyFill="1" applyBorder="1" applyAlignment="1" applyProtection="1">
      <alignment horizontal="center" wrapText="1"/>
      <protection locked="0"/>
    </xf>
    <xf numFmtId="49" fontId="67" fillId="11" borderId="2" xfId="44" applyNumberFormat="1" applyFont="1" applyFill="1" applyBorder="1" applyAlignment="1"/>
    <xf numFmtId="44" fontId="67" fillId="11" borderId="13" xfId="45" applyFont="1" applyFill="1" applyBorder="1" applyAlignment="1">
      <alignment horizontal="left" wrapText="1"/>
    </xf>
    <xf numFmtId="0" fontId="67" fillId="11" borderId="2" xfId="44" applyFont="1" applyFill="1" applyBorder="1" applyAlignment="1">
      <alignment wrapText="1"/>
    </xf>
    <xf numFmtId="165" fontId="67" fillId="11" borderId="2" xfId="44" applyNumberFormat="1" applyFont="1" applyFill="1" applyBorder="1" applyAlignment="1" applyProtection="1">
      <alignment horizontal="center" wrapText="1"/>
      <protection locked="0"/>
    </xf>
    <xf numFmtId="0" fontId="67" fillId="0" borderId="0" xfId="44" applyFont="1" applyAlignment="1"/>
    <xf numFmtId="165" fontId="66" fillId="0" borderId="2" xfId="44" applyNumberFormat="1" applyFont="1" applyFill="1" applyBorder="1" applyAlignment="1">
      <alignment wrapText="1"/>
    </xf>
    <xf numFmtId="0" fontId="66" fillId="0" borderId="2" xfId="44" applyFont="1" applyBorder="1" applyAlignment="1">
      <alignment horizontal="center" wrapText="1"/>
    </xf>
    <xf numFmtId="44" fontId="66" fillId="0" borderId="2" xfId="45" applyFont="1" applyFill="1" applyBorder="1" applyAlignment="1">
      <alignment wrapText="1"/>
    </xf>
    <xf numFmtId="44" fontId="66" fillId="0" borderId="2" xfId="45" applyFont="1" applyFill="1" applyBorder="1" applyAlignment="1" applyProtection="1">
      <alignment wrapText="1"/>
      <protection locked="0"/>
    </xf>
    <xf numFmtId="165" fontId="66" fillId="0" borderId="2" xfId="44" applyNumberFormat="1" applyFont="1" applyFill="1" applyBorder="1" applyAlignment="1" applyProtection="1">
      <alignment wrapText="1"/>
      <protection locked="0"/>
    </xf>
    <xf numFmtId="49" fontId="66" fillId="0" borderId="2" xfId="44" applyNumberFormat="1" applyFont="1" applyFill="1" applyBorder="1" applyAlignment="1"/>
    <xf numFmtId="0" fontId="5" fillId="0" borderId="2" xfId="44" applyFont="1" applyFill="1" applyBorder="1" applyAlignment="1">
      <alignment wrapText="1"/>
    </xf>
    <xf numFmtId="0" fontId="66" fillId="0" borderId="2" xfId="44" applyFont="1" applyFill="1" applyBorder="1" applyAlignment="1">
      <alignment horizontal="center" wrapText="1"/>
    </xf>
    <xf numFmtId="49" fontId="66" fillId="0" borderId="2" xfId="44" applyNumberFormat="1" applyFont="1" applyFill="1" applyBorder="1" applyAlignment="1" applyProtection="1">
      <alignment wrapText="1"/>
      <protection locked="0"/>
    </xf>
    <xf numFmtId="0" fontId="66" fillId="0" borderId="2" xfId="44" applyFont="1" applyFill="1" applyBorder="1" applyAlignment="1">
      <alignment wrapText="1"/>
    </xf>
    <xf numFmtId="0" fontId="66" fillId="0" borderId="0" xfId="44" applyFont="1" applyFill="1" applyBorder="1" applyAlignment="1"/>
    <xf numFmtId="0" fontId="66" fillId="0" borderId="2" xfId="44" applyFont="1" applyFill="1" applyBorder="1" applyAlignment="1">
      <alignment horizontal="left" wrapText="1"/>
    </xf>
    <xf numFmtId="49" fontId="66" fillId="0" borderId="2" xfId="44" applyNumberFormat="1" applyFont="1" applyFill="1" applyBorder="1" applyAlignment="1">
      <alignment wrapText="1"/>
    </xf>
    <xf numFmtId="0" fontId="66" fillId="14" borderId="2" xfId="44" applyFont="1" applyFill="1" applyBorder="1" applyAlignment="1">
      <alignment wrapText="1"/>
    </xf>
    <xf numFmtId="44" fontId="66" fillId="14" borderId="2" xfId="45" applyFont="1" applyFill="1" applyBorder="1" applyAlignment="1" applyProtection="1">
      <alignment wrapText="1"/>
      <protection locked="0"/>
    </xf>
    <xf numFmtId="49" fontId="66" fillId="14" borderId="2" xfId="44" applyNumberFormat="1" applyFont="1" applyFill="1" applyBorder="1" applyAlignment="1" applyProtection="1">
      <alignment wrapText="1"/>
      <protection locked="0"/>
    </xf>
    <xf numFmtId="49" fontId="66" fillId="0" borderId="2" xfId="44" applyNumberFormat="1" applyFont="1" applyFill="1" applyBorder="1" applyAlignment="1" applyProtection="1">
      <alignment horizontal="left" wrapText="1"/>
      <protection locked="0"/>
    </xf>
    <xf numFmtId="0" fontId="5" fillId="0" borderId="2" xfId="44" applyFont="1" applyFill="1" applyBorder="1" applyAlignment="1">
      <alignment horizontal="left" wrapText="1"/>
    </xf>
    <xf numFmtId="0" fontId="5" fillId="0" borderId="2" xfId="44" applyFont="1" applyFill="1" applyBorder="1" applyAlignment="1">
      <alignment horizontal="center"/>
    </xf>
    <xf numFmtId="0" fontId="68" fillId="0" borderId="2" xfId="44" applyFont="1" applyFill="1" applyBorder="1" applyAlignment="1">
      <alignment wrapText="1"/>
    </xf>
    <xf numFmtId="0" fontId="28" fillId="0" borderId="2" xfId="44" applyFont="1" applyFill="1" applyBorder="1" applyAlignment="1">
      <alignment wrapText="1"/>
    </xf>
    <xf numFmtId="0" fontId="64" fillId="0" borderId="2" xfId="44" applyFont="1" applyFill="1" applyBorder="1" applyAlignment="1">
      <alignment horizontal="center" wrapText="1"/>
    </xf>
    <xf numFmtId="44" fontId="28" fillId="0" borderId="2" xfId="45" applyFont="1" applyFill="1" applyBorder="1" applyAlignment="1" applyProtection="1">
      <alignment wrapText="1"/>
      <protection locked="0"/>
    </xf>
    <xf numFmtId="49" fontId="28" fillId="0" borderId="2" xfId="44" applyNumberFormat="1" applyFont="1" applyFill="1" applyBorder="1" applyAlignment="1" applyProtection="1">
      <alignment wrapText="1"/>
      <protection locked="0"/>
    </xf>
    <xf numFmtId="0" fontId="64" fillId="0" borderId="2" xfId="44" applyFont="1" applyFill="1" applyBorder="1" applyAlignment="1">
      <alignment wrapText="1"/>
    </xf>
    <xf numFmtId="0" fontId="64" fillId="0" borderId="0" xfId="44" applyFont="1" applyFill="1" applyAlignment="1"/>
    <xf numFmtId="0" fontId="28" fillId="0" borderId="0" xfId="44" applyFont="1" applyAlignment="1"/>
    <xf numFmtId="49" fontId="15" fillId="21" borderId="2" xfId="44" applyNumberFormat="1" applyFont="1" applyFill="1" applyBorder="1" applyAlignment="1"/>
    <xf numFmtId="0" fontId="15" fillId="21" borderId="2" xfId="44" applyFont="1" applyFill="1" applyBorder="1" applyAlignment="1">
      <alignment wrapText="1"/>
    </xf>
    <xf numFmtId="44" fontId="15" fillId="21" borderId="2" xfId="44" applyNumberFormat="1" applyFont="1" applyFill="1" applyBorder="1" applyAlignment="1">
      <alignment wrapText="1"/>
    </xf>
    <xf numFmtId="0" fontId="5" fillId="21" borderId="2" xfId="44" applyFont="1" applyFill="1" applyBorder="1" applyAlignment="1">
      <alignment wrapText="1"/>
    </xf>
    <xf numFmtId="0" fontId="5" fillId="14" borderId="2" xfId="11" applyFont="1" applyFill="1" applyBorder="1" applyAlignment="1">
      <alignment wrapText="1"/>
    </xf>
    <xf numFmtId="44" fontId="66" fillId="0" borderId="2" xfId="45" applyFont="1" applyFill="1" applyBorder="1" applyAlignment="1" applyProtection="1">
      <alignment horizontal="center" wrapText="1"/>
      <protection locked="0"/>
    </xf>
    <xf numFmtId="44" fontId="5" fillId="14" borderId="2" xfId="45" applyFont="1" applyFill="1" applyBorder="1" applyAlignment="1">
      <alignment horizontal="center" wrapText="1"/>
    </xf>
    <xf numFmtId="44" fontId="5" fillId="0" borderId="2" xfId="44" applyNumberFormat="1" applyFont="1" applyFill="1" applyBorder="1" applyAlignment="1" applyProtection="1">
      <alignment wrapText="1"/>
      <protection locked="0"/>
    </xf>
    <xf numFmtId="0" fontId="66" fillId="0" borderId="2" xfId="44" applyFont="1" applyBorder="1" applyAlignment="1" applyProtection="1">
      <alignment wrapText="1"/>
      <protection locked="0"/>
    </xf>
    <xf numFmtId="0" fontId="66" fillId="0" borderId="0" xfId="44" applyFont="1" applyAlignment="1"/>
    <xf numFmtId="44" fontId="69" fillId="0" borderId="2" xfId="45" applyFont="1" applyFill="1" applyBorder="1" applyAlignment="1">
      <alignment wrapText="1"/>
    </xf>
    <xf numFmtId="44" fontId="69" fillId="0" borderId="2" xfId="45" applyFont="1" applyFill="1" applyBorder="1" applyAlignment="1" applyProtection="1">
      <alignment wrapText="1"/>
      <protection locked="0"/>
    </xf>
    <xf numFmtId="44" fontId="69" fillId="0" borderId="2" xfId="45" applyFont="1" applyFill="1" applyBorder="1" applyAlignment="1" applyProtection="1">
      <alignment horizontal="center" wrapText="1"/>
      <protection locked="0"/>
    </xf>
    <xf numFmtId="44" fontId="69" fillId="0" borderId="2" xfId="45" applyFont="1" applyBorder="1" applyAlignment="1">
      <alignment horizontal="center" wrapText="1"/>
    </xf>
    <xf numFmtId="0" fontId="69" fillId="0" borderId="0" xfId="44" applyFont="1" applyFill="1" applyAlignment="1"/>
    <xf numFmtId="0" fontId="69" fillId="0" borderId="2" xfId="44" applyFont="1" applyFill="1" applyBorder="1" applyAlignment="1">
      <alignment wrapText="1"/>
    </xf>
    <xf numFmtId="49" fontId="69" fillId="0" borderId="2" xfId="44" applyNumberFormat="1" applyFont="1" applyFill="1" applyBorder="1" applyAlignment="1" applyProtection="1">
      <alignment wrapText="1"/>
      <protection locked="0"/>
    </xf>
    <xf numFmtId="44" fontId="66" fillId="0" borderId="2" xfId="45" applyFont="1" applyBorder="1" applyAlignment="1">
      <alignment horizontal="center" wrapText="1"/>
    </xf>
    <xf numFmtId="44" fontId="5" fillId="0" borderId="2" xfId="45" applyFont="1" applyFill="1" applyBorder="1" applyAlignment="1">
      <alignment horizontal="center" wrapText="1"/>
    </xf>
    <xf numFmtId="44" fontId="5" fillId="0" borderId="2" xfId="45" applyFont="1" applyFill="1" applyBorder="1" applyAlignment="1" applyProtection="1">
      <alignment horizontal="center" wrapText="1"/>
      <protection locked="0"/>
    </xf>
    <xf numFmtId="44" fontId="5" fillId="0" borderId="2" xfId="45" applyFont="1" applyFill="1" applyBorder="1" applyAlignment="1"/>
    <xf numFmtId="44" fontId="5" fillId="0" borderId="2" xfId="44" applyNumberFormat="1" applyFont="1" applyFill="1" applyBorder="1" applyAlignment="1" applyProtection="1">
      <alignment horizontal="center" wrapText="1"/>
      <protection locked="0"/>
    </xf>
    <xf numFmtId="0" fontId="5" fillId="0" borderId="2" xfId="44" applyFont="1" applyFill="1" applyBorder="1" applyAlignment="1">
      <alignment horizontal="justify" wrapText="1"/>
    </xf>
    <xf numFmtId="49" fontId="69" fillId="0" borderId="2" xfId="44" applyNumberFormat="1" applyFont="1" applyFill="1" applyBorder="1" applyAlignment="1">
      <alignment wrapText="1"/>
    </xf>
    <xf numFmtId="0" fontId="67" fillId="21" borderId="2" xfId="44" applyFont="1" applyFill="1" applyBorder="1" applyAlignment="1">
      <alignment wrapText="1"/>
    </xf>
    <xf numFmtId="0" fontId="67" fillId="21" borderId="2" xfId="44" applyFont="1" applyFill="1" applyBorder="1" applyAlignment="1"/>
    <xf numFmtId="0" fontId="66" fillId="21" borderId="2" xfId="44" applyFont="1" applyFill="1" applyBorder="1" applyAlignment="1">
      <alignment wrapText="1"/>
    </xf>
    <xf numFmtId="0" fontId="66" fillId="0" borderId="2" xfId="44" applyFont="1" applyFill="1" applyBorder="1" applyAlignment="1"/>
    <xf numFmtId="0" fontId="67" fillId="0" borderId="0" xfId="44" applyFont="1" applyFill="1" applyAlignment="1"/>
    <xf numFmtId="0" fontId="67" fillId="11" borderId="2" xfId="44" applyFont="1" applyFill="1" applyBorder="1" applyAlignment="1"/>
    <xf numFmtId="44" fontId="67" fillId="11" borderId="2" xfId="45" applyFont="1" applyFill="1" applyBorder="1" applyAlignment="1"/>
    <xf numFmtId="44" fontId="67" fillId="11" borderId="2" xfId="45" applyFont="1" applyFill="1" applyBorder="1" applyAlignment="1">
      <alignment wrapText="1"/>
    </xf>
    <xf numFmtId="0" fontId="5" fillId="14" borderId="2" xfId="44" applyFont="1" applyFill="1" applyBorder="1" applyAlignment="1">
      <alignment horizontal="left" wrapText="1"/>
    </xf>
    <xf numFmtId="0" fontId="5" fillId="14" borderId="2" xfId="44" applyFont="1" applyFill="1" applyBorder="1" applyAlignment="1">
      <alignment horizontal="center"/>
    </xf>
    <xf numFmtId="44" fontId="5" fillId="14" borderId="2" xfId="45" applyFont="1" applyFill="1" applyBorder="1" applyAlignment="1" applyProtection="1">
      <alignment horizontal="center" wrapText="1"/>
      <protection locked="0"/>
    </xf>
    <xf numFmtId="44" fontId="5" fillId="14" borderId="2" xfId="45" applyFont="1" applyFill="1" applyBorder="1" applyAlignment="1"/>
    <xf numFmtId="0" fontId="5" fillId="21" borderId="2" xfId="44" applyFont="1" applyFill="1" applyBorder="1" applyAlignment="1">
      <alignment horizontal="center"/>
    </xf>
    <xf numFmtId="0" fontId="5" fillId="21" borderId="2" xfId="44" applyFont="1" applyFill="1" applyBorder="1" applyAlignment="1">
      <alignment horizontal="center" wrapText="1"/>
    </xf>
    <xf numFmtId="44" fontId="5" fillId="21" borderId="2" xfId="45" applyFont="1" applyFill="1" applyBorder="1" applyAlignment="1">
      <alignment wrapText="1"/>
    </xf>
    <xf numFmtId="0" fontId="5" fillId="21" borderId="2" xfId="11" applyFont="1" applyFill="1" applyBorder="1" applyAlignment="1">
      <alignment wrapText="1"/>
    </xf>
    <xf numFmtId="0" fontId="5" fillId="21" borderId="2" xfId="44" applyFont="1" applyFill="1" applyBorder="1" applyAlignment="1" applyProtection="1">
      <alignment wrapText="1"/>
      <protection locked="0"/>
    </xf>
    <xf numFmtId="0" fontId="66" fillId="0" borderId="0" xfId="44" applyFont="1" applyFill="1" applyAlignment="1">
      <alignment horizontal="center"/>
    </xf>
    <xf numFmtId="49" fontId="67" fillId="11" borderId="2" xfId="44" applyNumberFormat="1" applyFont="1" applyFill="1" applyBorder="1" applyAlignment="1">
      <alignment horizontal="center"/>
    </xf>
    <xf numFmtId="0" fontId="67" fillId="11" borderId="2" xfId="44" applyFont="1" applyFill="1" applyBorder="1" applyAlignment="1">
      <alignment horizontal="center"/>
    </xf>
    <xf numFmtId="44" fontId="67" fillId="11" borderId="2" xfId="45" applyFont="1" applyFill="1" applyBorder="1" applyAlignment="1">
      <alignment horizontal="center"/>
    </xf>
    <xf numFmtId="44" fontId="67" fillId="11" borderId="2" xfId="45" applyFont="1" applyFill="1" applyBorder="1" applyAlignment="1">
      <alignment horizontal="center" wrapText="1"/>
    </xf>
    <xf numFmtId="0" fontId="67" fillId="11" borderId="2" xfId="44" applyFont="1" applyFill="1" applyBorder="1" applyAlignment="1">
      <alignment horizontal="center" wrapText="1"/>
    </xf>
    <xf numFmtId="0" fontId="67" fillId="0" borderId="0" xfId="44" applyFont="1" applyAlignment="1">
      <alignment horizontal="center"/>
    </xf>
    <xf numFmtId="0" fontId="28" fillId="0" borderId="2" xfId="44" applyFont="1" applyFill="1" applyBorder="1" applyAlignment="1">
      <alignment horizontal="center" wrapText="1"/>
    </xf>
    <xf numFmtId="0" fontId="28" fillId="0" borderId="2" xfId="44" applyFont="1" applyFill="1" applyBorder="1" applyAlignment="1">
      <alignment horizontal="center"/>
    </xf>
    <xf numFmtId="0" fontId="28" fillId="0" borderId="2" xfId="44" applyFont="1" applyBorder="1" applyAlignment="1">
      <alignment horizontal="center" wrapText="1"/>
    </xf>
    <xf numFmtId="44" fontId="28" fillId="0" borderId="2" xfId="45" applyFont="1" applyFill="1" applyBorder="1" applyAlignment="1">
      <alignment wrapText="1"/>
    </xf>
    <xf numFmtId="0" fontId="28" fillId="0" borderId="2" xfId="44" applyFont="1" applyBorder="1" applyAlignment="1" applyProtection="1">
      <alignment wrapText="1"/>
      <protection locked="0"/>
    </xf>
    <xf numFmtId="0" fontId="28" fillId="0" borderId="0" xfId="44" applyFont="1" applyFill="1" applyAlignment="1">
      <alignment horizontal="center"/>
    </xf>
    <xf numFmtId="44" fontId="5" fillId="21" borderId="2" xfId="45" applyFont="1" applyFill="1" applyBorder="1" applyAlignment="1" applyProtection="1">
      <alignment wrapText="1"/>
      <protection locked="0"/>
    </xf>
    <xf numFmtId="0" fontId="5" fillId="0" borderId="0" xfId="44" applyFont="1" applyFill="1" applyAlignment="1">
      <alignment horizontal="center"/>
    </xf>
    <xf numFmtId="0" fontId="5" fillId="0" borderId="2" xfId="44" applyFont="1" applyFill="1" applyBorder="1" applyAlignment="1">
      <alignment horizontal="center" wrapText="1"/>
    </xf>
    <xf numFmtId="0" fontId="66" fillId="0" borderId="2" xfId="44" applyFont="1" applyFill="1" applyBorder="1" applyAlignment="1">
      <alignment horizontal="center"/>
    </xf>
    <xf numFmtId="44" fontId="66" fillId="0" borderId="0" xfId="45" applyFont="1" applyAlignment="1"/>
    <xf numFmtId="49" fontId="66" fillId="0" borderId="2" xfId="44" applyNumberFormat="1" applyFont="1" applyBorder="1" applyAlignment="1">
      <alignment horizontal="center"/>
    </xf>
    <xf numFmtId="44" fontId="66" fillId="0" borderId="2" xfId="45" applyFont="1" applyFill="1" applyBorder="1" applyAlignment="1">
      <alignment horizontal="center" wrapText="1"/>
    </xf>
    <xf numFmtId="0" fontId="66" fillId="0" borderId="2" xfId="44" applyFont="1" applyBorder="1" applyAlignment="1" applyProtection="1">
      <alignment horizontal="center" wrapText="1"/>
      <protection locked="0"/>
    </xf>
    <xf numFmtId="44" fontId="66" fillId="0" borderId="0" xfId="45" applyFont="1" applyFill="1" applyAlignment="1"/>
    <xf numFmtId="44" fontId="66" fillId="0" borderId="0" xfId="45" applyFont="1" applyFill="1" applyAlignment="1">
      <alignment horizontal="center"/>
    </xf>
    <xf numFmtId="44" fontId="65" fillId="0" borderId="10" xfId="45" applyFont="1" applyFill="1" applyBorder="1" applyAlignment="1">
      <alignment horizontal="center" wrapText="1"/>
    </xf>
    <xf numFmtId="0" fontId="15" fillId="0" borderId="0" xfId="44" applyFont="1" applyAlignment="1"/>
    <xf numFmtId="44" fontId="15" fillId="10" borderId="9" xfId="45" applyFont="1" applyFill="1" applyBorder="1" applyAlignment="1" applyProtection="1">
      <alignment horizontal="center" wrapText="1"/>
      <protection locked="0"/>
    </xf>
    <xf numFmtId="0" fontId="15" fillId="0" borderId="9" xfId="44" applyFont="1" applyBorder="1" applyAlignment="1" applyProtection="1">
      <protection locked="0"/>
    </xf>
    <xf numFmtId="0" fontId="15" fillId="0" borderId="20" xfId="44" applyFont="1" applyBorder="1" applyAlignment="1" applyProtection="1">
      <protection locked="0"/>
    </xf>
    <xf numFmtId="0" fontId="5" fillId="0" borderId="2" xfId="44" applyFont="1" applyBorder="1" applyAlignment="1" applyProtection="1">
      <alignment horizontal="left" wrapText="1"/>
      <protection locked="0"/>
    </xf>
    <xf numFmtId="44" fontId="15" fillId="10" borderId="8" xfId="45" applyFont="1" applyFill="1" applyBorder="1" applyAlignment="1" applyProtection="1">
      <alignment horizontal="center" wrapText="1"/>
      <protection locked="0"/>
    </xf>
    <xf numFmtId="44" fontId="15" fillId="0" borderId="2" xfId="45" applyFont="1" applyBorder="1" applyAlignment="1">
      <alignment wrapText="1"/>
    </xf>
    <xf numFmtId="165" fontId="67" fillId="11" borderId="2" xfId="44" applyNumberFormat="1" applyFont="1" applyFill="1" applyBorder="1" applyAlignment="1" applyProtection="1">
      <alignment wrapText="1"/>
      <protection locked="0"/>
    </xf>
    <xf numFmtId="0" fontId="66" fillId="14" borderId="2" xfId="44" applyFont="1" applyFill="1" applyBorder="1" applyAlignment="1">
      <alignment horizontal="center" wrapText="1"/>
    </xf>
    <xf numFmtId="0" fontId="66" fillId="14" borderId="0" xfId="44" applyFont="1" applyFill="1" applyAlignment="1"/>
    <xf numFmtId="0" fontId="5" fillId="0" borderId="2" xfId="44" applyFont="1" applyFill="1" applyBorder="1" applyAlignment="1"/>
    <xf numFmtId="44" fontId="5" fillId="0" borderId="2" xfId="45" applyFont="1" applyFill="1" applyBorder="1" applyAlignment="1">
      <alignment wrapText="1"/>
    </xf>
    <xf numFmtId="44" fontId="5" fillId="0" borderId="2" xfId="45" applyFont="1" applyFill="1" applyBorder="1" applyAlignment="1" applyProtection="1">
      <alignment wrapText="1"/>
      <protection locked="0"/>
    </xf>
    <xf numFmtId="0" fontId="15" fillId="21" borderId="2" xfId="44" applyFont="1" applyFill="1" applyBorder="1" applyAlignment="1">
      <alignment horizontal="center"/>
    </xf>
    <xf numFmtId="0" fontId="69" fillId="21" borderId="2" xfId="44" applyFont="1" applyFill="1" applyBorder="1" applyAlignment="1">
      <alignment horizontal="center" wrapText="1"/>
    </xf>
    <xf numFmtId="44" fontId="69" fillId="21" borderId="2" xfId="45" applyFont="1" applyFill="1" applyBorder="1" applyAlignment="1">
      <alignment wrapText="1"/>
    </xf>
    <xf numFmtId="44" fontId="69" fillId="21" borderId="2" xfId="45" applyFont="1" applyFill="1" applyBorder="1" applyAlignment="1" applyProtection="1">
      <alignment wrapText="1"/>
      <protection locked="0"/>
    </xf>
    <xf numFmtId="0" fontId="69" fillId="21" borderId="2" xfId="44" applyFont="1" applyFill="1" applyBorder="1" applyAlignment="1">
      <alignment wrapText="1"/>
    </xf>
    <xf numFmtId="0" fontId="69" fillId="21" borderId="2" xfId="44" applyFont="1" applyFill="1" applyBorder="1" applyAlignment="1" applyProtection="1">
      <alignment wrapText="1"/>
      <protection locked="0"/>
    </xf>
    <xf numFmtId="44" fontId="66" fillId="0" borderId="12" xfId="45" applyFont="1" applyFill="1" applyBorder="1" applyAlignment="1" applyProtection="1">
      <alignment horizontal="center" wrapText="1"/>
      <protection locked="0"/>
    </xf>
    <xf numFmtId="0" fontId="15" fillId="21" borderId="2" xfId="44" applyFont="1" applyFill="1" applyBorder="1" applyAlignment="1">
      <alignment horizontal="center" wrapText="1"/>
    </xf>
    <xf numFmtId="44" fontId="15" fillId="21" borderId="2" xfId="45" applyFont="1" applyFill="1" applyBorder="1" applyAlignment="1">
      <alignment wrapText="1"/>
    </xf>
    <xf numFmtId="0" fontId="15" fillId="21" borderId="2" xfId="44" applyFont="1" applyFill="1" applyBorder="1" applyAlignment="1" applyProtection="1">
      <alignment wrapText="1"/>
      <protection locked="0"/>
    </xf>
    <xf numFmtId="44" fontId="66" fillId="0" borderId="2" xfId="45" applyFont="1" applyFill="1" applyBorder="1" applyAlignment="1">
      <alignment horizontal="center"/>
    </xf>
    <xf numFmtId="44" fontId="66" fillId="0" borderId="2" xfId="45" applyFont="1" applyFill="1" applyBorder="1" applyAlignment="1"/>
    <xf numFmtId="0" fontId="5" fillId="14" borderId="2" xfId="44" applyFont="1" applyFill="1" applyBorder="1" applyAlignment="1"/>
    <xf numFmtId="44" fontId="5" fillId="14" borderId="2" xfId="44" applyNumberFormat="1" applyFont="1" applyFill="1" applyBorder="1" applyAlignment="1" applyProtection="1">
      <alignment horizontal="center" wrapText="1"/>
      <protection locked="0"/>
    </xf>
    <xf numFmtId="0" fontId="5" fillId="14" borderId="2" xfId="44" applyFont="1" applyFill="1" applyBorder="1" applyAlignment="1">
      <alignment horizontal="justify" wrapText="1"/>
    </xf>
    <xf numFmtId="44" fontId="66" fillId="14" borderId="0" xfId="45" applyFont="1" applyFill="1" applyAlignment="1"/>
    <xf numFmtId="0" fontId="15" fillId="0" borderId="9" xfId="44" applyFont="1" applyBorder="1" applyAlignment="1" applyProtection="1">
      <alignment wrapText="1"/>
      <protection locked="0"/>
    </xf>
    <xf numFmtId="0" fontId="15" fillId="0" borderId="20" xfId="44" applyFont="1" applyBorder="1" applyAlignment="1" applyProtection="1">
      <alignment wrapText="1"/>
      <protection locked="0"/>
    </xf>
    <xf numFmtId="44" fontId="66" fillId="0" borderId="4" xfId="45" applyFont="1" applyBorder="1" applyAlignment="1" applyProtection="1">
      <alignment horizontal="center" wrapText="1"/>
      <protection locked="0"/>
    </xf>
    <xf numFmtId="165" fontId="67" fillId="11" borderId="2" xfId="44" applyNumberFormat="1" applyFont="1" applyFill="1" applyBorder="1" applyAlignment="1">
      <alignment horizontal="center" wrapText="1"/>
    </xf>
    <xf numFmtId="49" fontId="66" fillId="0" borderId="2" xfId="44" applyNumberFormat="1" applyFont="1" applyBorder="1" applyAlignment="1">
      <alignment horizontal="left"/>
    </xf>
    <xf numFmtId="165" fontId="66" fillId="0" borderId="2" xfId="44" applyNumberFormat="1" applyFont="1" applyFill="1" applyBorder="1" applyAlignment="1" applyProtection="1">
      <alignment horizontal="left" wrapText="1"/>
      <protection locked="0"/>
    </xf>
    <xf numFmtId="49" fontId="66" fillId="0" borderId="2" xfId="44" applyNumberFormat="1" applyFont="1" applyFill="1" applyBorder="1" applyAlignment="1" applyProtection="1">
      <alignment horizontal="center" wrapText="1"/>
      <protection locked="0"/>
    </xf>
    <xf numFmtId="49" fontId="66" fillId="0" borderId="2" xfId="44" applyNumberFormat="1" applyFont="1" applyBorder="1" applyAlignment="1">
      <alignment wrapText="1"/>
    </xf>
    <xf numFmtId="49" fontId="66" fillId="14" borderId="2" xfId="44" applyNumberFormat="1" applyFont="1" applyFill="1" applyBorder="1" applyAlignment="1" applyProtection="1">
      <alignment horizontal="center" wrapText="1"/>
      <protection locked="0"/>
    </xf>
    <xf numFmtId="49" fontId="66" fillId="0" borderId="23" xfId="44" applyNumberFormat="1" applyFont="1" applyFill="1" applyBorder="1" applyAlignment="1">
      <alignment wrapText="1"/>
    </xf>
    <xf numFmtId="44" fontId="66" fillId="0" borderId="2" xfId="44" applyNumberFormat="1" applyFont="1" applyFill="1" applyBorder="1" applyAlignment="1" applyProtection="1">
      <alignment horizontal="center" wrapText="1"/>
      <protection locked="0"/>
    </xf>
    <xf numFmtId="174" fontId="64" fillId="0" borderId="2" xfId="44" applyNumberFormat="1" applyFont="1" applyFill="1" applyBorder="1" applyAlignment="1">
      <alignment horizontal="center" wrapText="1"/>
    </xf>
    <xf numFmtId="174" fontId="28" fillId="0" borderId="2" xfId="44" applyNumberFormat="1" applyFont="1" applyFill="1" applyBorder="1" applyAlignment="1">
      <alignment wrapText="1"/>
    </xf>
    <xf numFmtId="174" fontId="64" fillId="0" borderId="2" xfId="44" applyNumberFormat="1" applyFont="1" applyFill="1" applyBorder="1" applyAlignment="1">
      <alignment horizontal="center"/>
    </xf>
    <xf numFmtId="174" fontId="64" fillId="0" borderId="2" xfId="44" applyNumberFormat="1" applyFont="1" applyBorder="1" applyAlignment="1">
      <alignment horizontal="center" wrapText="1"/>
    </xf>
    <xf numFmtId="174" fontId="28" fillId="0" borderId="2" xfId="44" applyNumberFormat="1" applyFont="1" applyBorder="1" applyAlignment="1">
      <alignment horizontal="center" wrapText="1"/>
    </xf>
    <xf numFmtId="174" fontId="64" fillId="0" borderId="2" xfId="44" applyNumberFormat="1" applyFont="1" applyBorder="1" applyAlignment="1" applyProtection="1">
      <alignment horizontal="center" wrapText="1"/>
      <protection locked="0"/>
    </xf>
    <xf numFmtId="174" fontId="64" fillId="0" borderId="0" xfId="44" applyNumberFormat="1" applyFont="1" applyFill="1" applyAlignment="1">
      <alignment horizontal="center"/>
    </xf>
    <xf numFmtId="0" fontId="67" fillId="21" borderId="2" xfId="44" applyFont="1" applyFill="1" applyBorder="1" applyAlignment="1">
      <alignment horizontal="left" wrapText="1"/>
    </xf>
    <xf numFmtId="0" fontId="67" fillId="21" borderId="2" xfId="44" applyFont="1" applyFill="1" applyBorder="1" applyAlignment="1">
      <alignment horizontal="left"/>
    </xf>
    <xf numFmtId="44" fontId="67" fillId="21" borderId="2" xfId="44" applyNumberFormat="1" applyFont="1" applyFill="1" applyBorder="1" applyAlignment="1">
      <alignment horizontal="left"/>
    </xf>
    <xf numFmtId="0" fontId="66" fillId="21" borderId="2" xfId="44" applyFont="1" applyFill="1" applyBorder="1" applyAlignment="1" applyProtection="1">
      <alignment wrapText="1"/>
      <protection locked="0"/>
    </xf>
    <xf numFmtId="0" fontId="15" fillId="0" borderId="2" xfId="44" applyFont="1" applyFill="1" applyBorder="1" applyAlignment="1">
      <alignment wrapText="1"/>
    </xf>
    <xf numFmtId="0" fontId="68" fillId="0" borderId="4" xfId="44" applyFont="1" applyFill="1" applyBorder="1" applyAlignment="1">
      <alignment wrapText="1"/>
    </xf>
    <xf numFmtId="0" fontId="5" fillId="0" borderId="6" xfId="44" applyFont="1" applyFill="1" applyBorder="1" applyAlignment="1">
      <alignment horizontal="center"/>
    </xf>
    <xf numFmtId="0" fontId="66" fillId="0" borderId="6" xfId="44" applyFont="1" applyBorder="1" applyAlignment="1">
      <alignment horizontal="center" wrapText="1"/>
    </xf>
    <xf numFmtId="44" fontId="66" fillId="0" borderId="6" xfId="45" applyFont="1" applyFill="1" applyBorder="1" applyAlignment="1">
      <alignment horizontal="center" wrapText="1"/>
    </xf>
    <xf numFmtId="0" fontId="66" fillId="0" borderId="13" xfId="44" applyFont="1" applyBorder="1" applyAlignment="1">
      <alignment horizontal="center" wrapText="1"/>
    </xf>
    <xf numFmtId="0" fontId="66" fillId="0" borderId="2" xfId="44" applyFont="1" applyFill="1" applyBorder="1" applyAlignment="1">
      <alignment horizontal="justify" wrapText="1"/>
    </xf>
    <xf numFmtId="44" fontId="66" fillId="0" borderId="12" xfId="45" applyFont="1" applyFill="1" applyBorder="1" applyAlignment="1">
      <alignment wrapText="1"/>
    </xf>
    <xf numFmtId="44" fontId="66" fillId="0" borderId="12" xfId="45" applyFont="1" applyBorder="1" applyAlignment="1">
      <alignment horizontal="center" wrapText="1"/>
    </xf>
    <xf numFmtId="0" fontId="66" fillId="0" borderId="6" xfId="44" applyFont="1" applyFill="1" applyBorder="1" applyAlignment="1">
      <alignment horizontal="justify" wrapText="1"/>
    </xf>
    <xf numFmtId="44" fontId="69" fillId="0" borderId="0" xfId="45" applyFont="1" applyFill="1" applyAlignment="1"/>
    <xf numFmtId="44" fontId="69" fillId="0" borderId="0" xfId="45" applyFont="1" applyFill="1" applyAlignment="1">
      <alignment horizontal="center"/>
    </xf>
    <xf numFmtId="44" fontId="69" fillId="0" borderId="0" xfId="45" applyFont="1" applyFill="1" applyBorder="1" applyAlignment="1">
      <alignment horizontal="center"/>
    </xf>
    <xf numFmtId="0" fontId="67" fillId="11" borderId="4" xfId="44" applyFont="1" applyFill="1" applyBorder="1" applyAlignment="1"/>
    <xf numFmtId="0" fontId="67" fillId="11" borderId="6" xfId="44" applyFont="1" applyFill="1" applyBorder="1" applyAlignment="1">
      <alignment horizontal="center"/>
    </xf>
    <xf numFmtId="44" fontId="67" fillId="11" borderId="6" xfId="45" applyFont="1" applyFill="1" applyBorder="1" applyAlignment="1">
      <alignment horizontal="center"/>
    </xf>
    <xf numFmtId="44" fontId="67" fillId="11" borderId="13" xfId="45" applyFont="1" applyFill="1" applyBorder="1" applyAlignment="1">
      <alignment horizontal="center"/>
    </xf>
    <xf numFmtId="44" fontId="67" fillId="11" borderId="2" xfId="45" applyFont="1" applyFill="1" applyBorder="1" applyAlignment="1" applyProtection="1">
      <alignment horizontal="center" wrapText="1"/>
      <protection locked="0"/>
    </xf>
    <xf numFmtId="0" fontId="67" fillId="0" borderId="0" xfId="44" applyFont="1" applyFill="1" applyAlignment="1">
      <alignment horizontal="center"/>
    </xf>
    <xf numFmtId="0" fontId="66" fillId="0" borderId="0" xfId="44" applyFont="1" applyFill="1" applyBorder="1" applyAlignment="1">
      <alignment horizontal="center"/>
    </xf>
    <xf numFmtId="0" fontId="66" fillId="14" borderId="0" xfId="44" applyFont="1" applyFill="1" applyAlignment="1">
      <alignment horizontal="center"/>
    </xf>
    <xf numFmtId="175" fontId="28" fillId="0" borderId="2" xfId="44" applyNumberFormat="1" applyFont="1" applyFill="1" applyBorder="1" applyAlignment="1"/>
    <xf numFmtId="175" fontId="5" fillId="0" borderId="2" xfId="44" applyNumberFormat="1" applyFont="1" applyFill="1" applyBorder="1" applyAlignment="1">
      <alignment horizontal="center"/>
    </xf>
    <xf numFmtId="175" fontId="66" fillId="0" borderId="2" xfId="44" applyNumberFormat="1" applyFont="1" applyBorder="1" applyAlignment="1">
      <alignment horizontal="center" wrapText="1"/>
    </xf>
    <xf numFmtId="175" fontId="69" fillId="0" borderId="2" xfId="44" applyNumberFormat="1" applyFont="1" applyBorder="1" applyAlignment="1">
      <alignment horizontal="center" wrapText="1"/>
    </xf>
    <xf numFmtId="175" fontId="66" fillId="0" borderId="2" xfId="44" applyNumberFormat="1" applyFont="1" applyBorder="1" applyAlignment="1" applyProtection="1">
      <alignment horizontal="center" wrapText="1"/>
      <protection locked="0"/>
    </xf>
    <xf numFmtId="175" fontId="66" fillId="0" borderId="0" xfId="44" applyNumberFormat="1" applyFont="1" applyFill="1" applyAlignment="1">
      <alignment horizontal="center"/>
    </xf>
    <xf numFmtId="0" fontId="15" fillId="21" borderId="4" xfId="44" applyFont="1" applyFill="1" applyBorder="1" applyAlignment="1">
      <alignment wrapText="1"/>
    </xf>
    <xf numFmtId="44" fontId="15" fillId="21" borderId="2" xfId="44" applyNumberFormat="1" applyFont="1" applyFill="1" applyBorder="1" applyAlignment="1">
      <alignment horizontal="left"/>
    </xf>
    <xf numFmtId="0" fontId="66" fillId="21" borderId="2" xfId="44" applyFont="1" applyFill="1" applyBorder="1" applyAlignment="1">
      <alignment horizontal="center" wrapText="1"/>
    </xf>
    <xf numFmtId="0" fontId="66" fillId="21" borderId="2" xfId="44" applyFont="1" applyFill="1" applyBorder="1" applyAlignment="1" applyProtection="1">
      <alignment horizontal="center" wrapText="1"/>
      <protection locked="0"/>
    </xf>
    <xf numFmtId="44" fontId="66" fillId="0" borderId="12" xfId="45" applyFont="1" applyFill="1" applyBorder="1" applyAlignment="1">
      <alignment horizontal="center" wrapText="1"/>
    </xf>
    <xf numFmtId="0" fontId="66" fillId="0" borderId="0" xfId="44" applyFont="1" applyBorder="1" applyAlignment="1" applyProtection="1">
      <alignment wrapText="1"/>
      <protection locked="0"/>
    </xf>
    <xf numFmtId="165" fontId="67" fillId="11" borderId="0" xfId="44" applyNumberFormat="1" applyFont="1" applyFill="1" applyBorder="1" applyAlignment="1" applyProtection="1">
      <alignment horizontal="center" wrapText="1"/>
      <protection locked="0"/>
    </xf>
    <xf numFmtId="0" fontId="67" fillId="0" borderId="0" xfId="44" applyFont="1" applyFill="1" applyBorder="1" applyAlignment="1"/>
    <xf numFmtId="0" fontId="66" fillId="0" borderId="4" xfId="44" applyFont="1" applyBorder="1" applyAlignment="1">
      <alignment wrapText="1"/>
    </xf>
    <xf numFmtId="44" fontId="66" fillId="0" borderId="6" xfId="45" applyFont="1" applyFill="1" applyBorder="1" applyAlignment="1">
      <alignment wrapText="1"/>
    </xf>
    <xf numFmtId="44" fontId="66" fillId="0" borderId="13" xfId="45" applyFont="1" applyFill="1" applyBorder="1" applyAlignment="1" applyProtection="1">
      <alignment horizontal="center" wrapText="1"/>
      <protection locked="0"/>
    </xf>
    <xf numFmtId="0" fontId="68" fillId="0" borderId="10" xfId="44" applyFont="1" applyFill="1" applyBorder="1" applyAlignment="1">
      <alignment wrapText="1"/>
    </xf>
    <xf numFmtId="0" fontId="5" fillId="0" borderId="10" xfId="44" applyFont="1" applyFill="1" applyBorder="1" applyAlignment="1">
      <alignment horizontal="center"/>
    </xf>
    <xf numFmtId="0" fontId="66" fillId="0" borderId="10" xfId="44" applyFont="1" applyBorder="1" applyAlignment="1">
      <alignment horizontal="center" wrapText="1"/>
    </xf>
    <xf numFmtId="44" fontId="66" fillId="0" borderId="10" xfId="45" applyFont="1" applyFill="1" applyBorder="1" applyAlignment="1" applyProtection="1">
      <alignment wrapText="1"/>
      <protection locked="0"/>
    </xf>
    <xf numFmtId="0" fontId="66" fillId="0" borderId="10" xfId="44" applyFont="1" applyBorder="1" applyAlignment="1" applyProtection="1">
      <alignment horizontal="center" wrapText="1"/>
      <protection locked="0"/>
    </xf>
    <xf numFmtId="44" fontId="6" fillId="0" borderId="2" xfId="3" applyNumberFormat="1" applyFont="1" applyFill="1" applyBorder="1" applyAlignment="1">
      <alignment horizontal="center" vertical="center" wrapText="1"/>
    </xf>
    <xf numFmtId="44" fontId="0" fillId="0" borderId="2" xfId="0" applyNumberFormat="1" applyFont="1" applyFill="1" applyBorder="1" applyAlignment="1">
      <alignment horizontal="center" vertical="center" wrapText="1"/>
    </xf>
    <xf numFmtId="7" fontId="6" fillId="0" borderId="2" xfId="3" applyNumberFormat="1" applyFont="1" applyFill="1" applyBorder="1" applyAlignment="1">
      <alignment horizontal="center" vertical="center" wrapText="1"/>
    </xf>
    <xf numFmtId="0" fontId="31" fillId="0" borderId="0" xfId="0" applyFont="1" applyFill="1" applyProtection="1"/>
    <xf numFmtId="0" fontId="31" fillId="0" borderId="0" xfId="0" applyFont="1" applyFill="1" applyAlignment="1" applyProtection="1">
      <alignment horizontal="center" vertical="center"/>
    </xf>
    <xf numFmtId="49" fontId="0" fillId="0" borderId="2" xfId="0" applyNumberFormat="1" applyFont="1" applyFill="1" applyBorder="1" applyAlignment="1" applyProtection="1">
      <alignment horizontal="center" vertical="center" wrapText="1"/>
      <protection locked="0"/>
    </xf>
    <xf numFmtId="0" fontId="10" fillId="14" borderId="2" xfId="11" applyFont="1" applyFill="1" applyBorder="1" applyAlignment="1" applyProtection="1">
      <alignment horizontal="left" vertical="top" wrapText="1"/>
      <protection hidden="1"/>
    </xf>
    <xf numFmtId="0" fontId="10" fillId="14" borderId="2" xfId="11" applyFont="1" applyFill="1" applyBorder="1" applyAlignment="1" applyProtection="1">
      <alignment vertical="top" wrapText="1"/>
      <protection hidden="1"/>
    </xf>
    <xf numFmtId="0" fontId="10" fillId="14" borderId="2" xfId="11" applyFont="1" applyFill="1" applyBorder="1"/>
    <xf numFmtId="0" fontId="3" fillId="0" borderId="0" xfId="39" applyFont="1"/>
    <xf numFmtId="0" fontId="11" fillId="14" borderId="2" xfId="11" applyFont="1" applyFill="1" applyBorder="1" applyAlignment="1">
      <alignment horizontal="left" vertical="center" wrapText="1"/>
    </xf>
    <xf numFmtId="0" fontId="11" fillId="14" borderId="2" xfId="11" applyFont="1" applyFill="1" applyBorder="1" applyAlignment="1">
      <alignment horizontal="center" vertical="center" wrapText="1"/>
    </xf>
    <xf numFmtId="44" fontId="11" fillId="14" borderId="2" xfId="8" applyFont="1" applyFill="1" applyBorder="1" applyAlignment="1">
      <alignment horizontal="center" vertical="center" textRotation="90" wrapText="1"/>
    </xf>
    <xf numFmtId="0" fontId="11" fillId="14" borderId="2" xfId="11" applyFont="1" applyFill="1" applyBorder="1" applyAlignment="1">
      <alignment horizontal="center" vertical="center" textRotation="90" wrapText="1"/>
    </xf>
    <xf numFmtId="0" fontId="10" fillId="14" borderId="2" xfId="11" applyFont="1" applyFill="1" applyBorder="1" applyAlignment="1">
      <alignment horizontal="left" wrapText="1"/>
    </xf>
    <xf numFmtId="0" fontId="10" fillId="14" borderId="2" xfId="11" applyFont="1" applyFill="1" applyBorder="1" applyAlignment="1">
      <alignment wrapText="1"/>
    </xf>
    <xf numFmtId="165" fontId="10" fillId="14" borderId="2" xfId="12" applyNumberFormat="1" applyFont="1" applyFill="1" applyBorder="1" applyAlignment="1">
      <alignment horizontal="right" wrapText="1"/>
    </xf>
    <xf numFmtId="44" fontId="6" fillId="14" borderId="2" xfId="8" applyFont="1" applyFill="1" applyBorder="1" applyAlignment="1"/>
    <xf numFmtId="8" fontId="6" fillId="14" borderId="2" xfId="8" applyNumberFormat="1" applyFont="1" applyFill="1" applyBorder="1" applyAlignment="1"/>
    <xf numFmtId="44" fontId="10" fillId="14" borderId="2" xfId="8" applyFont="1" applyFill="1" applyBorder="1" applyAlignment="1">
      <alignment horizontal="center"/>
    </xf>
    <xf numFmtId="44" fontId="6" fillId="14" borderId="2" xfId="8" applyFont="1" applyFill="1" applyBorder="1" applyAlignment="1">
      <alignment horizontal="right" wrapText="1"/>
    </xf>
    <xf numFmtId="44" fontId="10" fillId="14" borderId="2" xfId="9" applyFont="1" applyFill="1" applyBorder="1" applyAlignment="1">
      <alignment horizontal="center"/>
    </xf>
    <xf numFmtId="0" fontId="3" fillId="0" borderId="0" xfId="39" applyFont="1" applyBorder="1"/>
    <xf numFmtId="10" fontId="6" fillId="14" borderId="2" xfId="8" applyNumberFormat="1" applyFont="1" applyFill="1" applyBorder="1" applyAlignment="1">
      <alignment horizontal="right"/>
    </xf>
    <xf numFmtId="0" fontId="6" fillId="14" borderId="2" xfId="11" applyFont="1" applyFill="1" applyBorder="1" applyAlignment="1"/>
    <xf numFmtId="44" fontId="10" fillId="14" borderId="2" xfId="8" applyFont="1" applyFill="1" applyBorder="1" applyAlignment="1">
      <alignment horizontal="left" wrapText="1"/>
    </xf>
    <xf numFmtId="44" fontId="10" fillId="14" borderId="2" xfId="8" applyFont="1" applyFill="1" applyBorder="1" applyAlignment="1">
      <alignment horizontal="center" vertical="center"/>
    </xf>
    <xf numFmtId="10" fontId="10" fillId="14" borderId="0" xfId="11" applyNumberFormat="1" applyFont="1" applyFill="1" applyBorder="1" applyAlignment="1">
      <alignment wrapText="1"/>
    </xf>
    <xf numFmtId="10" fontId="10" fillId="14" borderId="2" xfId="8" applyNumberFormat="1" applyFont="1" applyFill="1" applyBorder="1" applyAlignment="1">
      <alignment horizontal="center"/>
    </xf>
    <xf numFmtId="10" fontId="10" fillId="14" borderId="2" xfId="8" applyNumberFormat="1" applyFont="1" applyFill="1" applyBorder="1" applyAlignment="1">
      <alignment horizontal="center" vertical="center"/>
    </xf>
    <xf numFmtId="44" fontId="10" fillId="14" borderId="2" xfId="8" applyFont="1" applyFill="1" applyBorder="1" applyAlignment="1">
      <alignment horizontal="right"/>
    </xf>
    <xf numFmtId="8" fontId="6" fillId="14" borderId="2" xfId="8" applyNumberFormat="1" applyFont="1" applyFill="1" applyBorder="1"/>
    <xf numFmtId="44" fontId="6" fillId="14" borderId="2" xfId="8" applyFont="1" applyFill="1" applyBorder="1" applyAlignment="1">
      <alignment horizontal="right"/>
    </xf>
    <xf numFmtId="8" fontId="10" fillId="14" borderId="2" xfId="8" applyNumberFormat="1" applyFont="1" applyFill="1" applyBorder="1" applyAlignment="1">
      <alignment horizontal="center" vertical="center"/>
    </xf>
    <xf numFmtId="0" fontId="10" fillId="14" borderId="2" xfId="11" applyFont="1" applyFill="1" applyBorder="1" applyAlignment="1">
      <alignment horizontal="center"/>
    </xf>
    <xf numFmtId="0" fontId="10" fillId="14" borderId="2" xfId="12" applyFont="1" applyFill="1" applyBorder="1" applyAlignment="1">
      <alignment horizontal="left" vertical="center" wrapText="1"/>
    </xf>
    <xf numFmtId="0" fontId="6" fillId="14" borderId="2" xfId="11" applyFont="1" applyFill="1" applyBorder="1" applyAlignment="1">
      <alignment wrapText="1"/>
    </xf>
    <xf numFmtId="0" fontId="73" fillId="14" borderId="0" xfId="39" applyFont="1" applyFill="1"/>
    <xf numFmtId="0" fontId="74" fillId="0" borderId="2" xfId="11" applyFont="1" applyFill="1" applyBorder="1" applyAlignment="1">
      <alignment wrapText="1"/>
    </xf>
    <xf numFmtId="165" fontId="11" fillId="0" borderId="2" xfId="39" applyNumberFormat="1" applyFont="1" applyFill="1" applyBorder="1" applyAlignment="1" applyProtection="1">
      <alignment horizontal="center" vertical="center" wrapText="1"/>
      <protection locked="0"/>
    </xf>
    <xf numFmtId="44" fontId="10" fillId="14" borderId="2" xfId="8" applyFont="1" applyFill="1" applyBorder="1" applyAlignment="1"/>
    <xf numFmtId="44" fontId="10" fillId="14" borderId="2" xfId="8" applyFont="1" applyFill="1" applyBorder="1" applyAlignment="1">
      <alignment horizontal="right" wrapText="1"/>
    </xf>
    <xf numFmtId="44" fontId="10" fillId="14" borderId="2" xfId="9" applyFont="1" applyFill="1" applyBorder="1" applyAlignment="1">
      <alignment horizontal="center" vertical="center"/>
    </xf>
    <xf numFmtId="0" fontId="3" fillId="0" borderId="0" xfId="39" applyFont="1" applyFill="1"/>
    <xf numFmtId="0" fontId="10" fillId="14" borderId="2" xfId="12" applyFont="1" applyFill="1" applyBorder="1" applyAlignment="1">
      <alignment horizontal="left" vertical="center"/>
    </xf>
    <xf numFmtId="0" fontId="10" fillId="14" borderId="2" xfId="12" applyFont="1" applyFill="1" applyBorder="1" applyAlignment="1">
      <alignment vertical="center" wrapText="1"/>
    </xf>
    <xf numFmtId="0" fontId="11" fillId="14" borderId="2" xfId="21" applyFont="1" applyFill="1" applyBorder="1"/>
    <xf numFmtId="0" fontId="9" fillId="14" borderId="2" xfId="21" applyFont="1" applyFill="1" applyBorder="1"/>
    <xf numFmtId="10" fontId="10" fillId="14" borderId="2" xfId="8" applyNumberFormat="1" applyFont="1" applyFill="1" applyBorder="1" applyAlignment="1">
      <alignment horizontal="right"/>
    </xf>
    <xf numFmtId="0" fontId="10" fillId="14" borderId="2" xfId="11" applyFont="1" applyFill="1" applyBorder="1" applyAlignment="1"/>
    <xf numFmtId="44" fontId="10" fillId="14" borderId="2" xfId="11" applyNumberFormat="1" applyFont="1" applyFill="1" applyBorder="1" applyAlignment="1">
      <alignment horizontal="right" wrapText="1"/>
    </xf>
    <xf numFmtId="0" fontId="10" fillId="14" borderId="2" xfId="21" applyFont="1" applyFill="1" applyBorder="1"/>
    <xf numFmtId="0" fontId="10" fillId="14" borderId="2" xfId="11" applyFont="1" applyFill="1" applyBorder="1" applyAlignment="1">
      <alignment horizontal="left"/>
    </xf>
    <xf numFmtId="44" fontId="10" fillId="14" borderId="2" xfId="8" applyFont="1" applyFill="1" applyBorder="1" applyAlignment="1">
      <alignment horizontal="right" vertical="center"/>
    </xf>
    <xf numFmtId="7" fontId="10" fillId="14" borderId="2" xfId="8" applyNumberFormat="1" applyFont="1" applyFill="1" applyBorder="1" applyAlignment="1">
      <alignment horizontal="center"/>
    </xf>
    <xf numFmtId="0" fontId="11" fillId="14" borderId="2" xfId="11" applyFont="1" applyFill="1" applyBorder="1" applyAlignment="1">
      <alignment horizontal="left" wrapText="1"/>
    </xf>
    <xf numFmtId="0" fontId="11" fillId="14" borderId="0" xfId="39" applyFont="1" applyFill="1"/>
    <xf numFmtId="0" fontId="10" fillId="22" borderId="2" xfId="11" applyFont="1" applyFill="1" applyBorder="1" applyAlignment="1" applyProtection="1">
      <alignment horizontal="left" vertical="top" wrapText="1"/>
      <protection hidden="1"/>
    </xf>
    <xf numFmtId="0" fontId="11" fillId="22" borderId="2" xfId="11" applyFont="1" applyFill="1" applyBorder="1" applyAlignment="1">
      <alignment horizontal="left" vertical="center" wrapText="1"/>
    </xf>
    <xf numFmtId="44" fontId="11" fillId="14" borderId="2" xfId="8" applyFont="1" applyFill="1" applyBorder="1" applyAlignment="1">
      <alignment horizontal="right" vertical="center" textRotation="90" wrapText="1"/>
    </xf>
    <xf numFmtId="10" fontId="10" fillId="14" borderId="2" xfId="11" applyNumberFormat="1" applyFont="1" applyFill="1" applyBorder="1" applyAlignment="1">
      <alignment wrapText="1"/>
    </xf>
    <xf numFmtId="0" fontId="10" fillId="0" borderId="2" xfId="11" applyFont="1" applyFill="1" applyBorder="1" applyAlignment="1">
      <alignment horizontal="left" wrapText="1"/>
    </xf>
    <xf numFmtId="0" fontId="3" fillId="14" borderId="0" xfId="39" applyFont="1" applyFill="1"/>
    <xf numFmtId="0" fontId="10" fillId="14" borderId="2" xfId="12" applyFont="1" applyFill="1" applyBorder="1" applyAlignment="1">
      <alignment horizontal="left" wrapText="1"/>
    </xf>
    <xf numFmtId="0" fontId="9" fillId="14" borderId="0" xfId="12" applyFont="1" applyFill="1"/>
    <xf numFmtId="0" fontId="10" fillId="14" borderId="2" xfId="12" applyFont="1" applyFill="1" applyBorder="1" applyAlignment="1">
      <alignment wrapText="1"/>
    </xf>
    <xf numFmtId="44" fontId="10" fillId="14" borderId="2" xfId="9" applyFont="1" applyFill="1" applyBorder="1" applyAlignment="1">
      <alignment wrapText="1"/>
    </xf>
    <xf numFmtId="44" fontId="10" fillId="14" borderId="2" xfId="8" applyNumberFormat="1" applyFont="1" applyFill="1" applyBorder="1" applyAlignment="1">
      <alignment wrapText="1"/>
    </xf>
    <xf numFmtId="44" fontId="10" fillId="14" borderId="2" xfId="8" applyFont="1" applyFill="1" applyBorder="1" applyAlignment="1">
      <alignment wrapText="1"/>
    </xf>
    <xf numFmtId="44" fontId="6" fillId="14" borderId="2" xfId="8" applyFont="1" applyFill="1" applyBorder="1" applyAlignment="1">
      <alignment wrapText="1"/>
    </xf>
    <xf numFmtId="0" fontId="10" fillId="0" borderId="2" xfId="12" applyFont="1" applyFill="1" applyBorder="1" applyAlignment="1">
      <alignment horizontal="left" vertical="center"/>
    </xf>
    <xf numFmtId="44" fontId="10" fillId="14" borderId="2" xfId="8" applyNumberFormat="1" applyFont="1" applyFill="1" applyBorder="1" applyAlignment="1">
      <alignment horizontal="right"/>
    </xf>
    <xf numFmtId="0" fontId="11" fillId="0" borderId="2" xfId="21" applyFont="1" applyFill="1" applyBorder="1"/>
    <xf numFmtId="0" fontId="3" fillId="11" borderId="0" xfId="39" applyFont="1" applyFill="1"/>
    <xf numFmtId="0" fontId="10" fillId="0" borderId="2" xfId="21" applyFont="1" applyFill="1" applyBorder="1"/>
    <xf numFmtId="44" fontId="10" fillId="14" borderId="2" xfId="8" applyNumberFormat="1" applyFont="1" applyFill="1" applyBorder="1" applyAlignment="1">
      <alignment horizontal="right" vertical="center"/>
    </xf>
    <xf numFmtId="44" fontId="10" fillId="14" borderId="2" xfId="11" applyNumberFormat="1" applyFont="1" applyFill="1" applyBorder="1" applyAlignment="1">
      <alignment horizontal="right"/>
    </xf>
    <xf numFmtId="0" fontId="11" fillId="14" borderId="2" xfId="11" applyFont="1" applyFill="1" applyBorder="1" applyAlignment="1">
      <alignment horizontal="center" wrapText="1"/>
    </xf>
    <xf numFmtId="0" fontId="13" fillId="14" borderId="2" xfId="11" applyFont="1" applyFill="1" applyBorder="1" applyAlignment="1">
      <alignment horizontal="center" wrapText="1"/>
    </xf>
    <xf numFmtId="1" fontId="10" fillId="14" borderId="2" xfId="41" applyNumberFormat="1" applyFont="1" applyFill="1" applyBorder="1" applyAlignment="1">
      <alignment horizontal="left"/>
    </xf>
    <xf numFmtId="44" fontId="10" fillId="14" borderId="2" xfId="3" applyFont="1" applyFill="1" applyBorder="1" applyAlignment="1">
      <alignment horizontal="right"/>
    </xf>
    <xf numFmtId="176" fontId="10" fillId="14" borderId="2" xfId="11" applyNumberFormat="1" applyFont="1" applyFill="1" applyBorder="1" applyAlignment="1">
      <alignment horizontal="left" wrapText="1"/>
    </xf>
    <xf numFmtId="0" fontId="11" fillId="14" borderId="2" xfId="11" applyFont="1" applyFill="1" applyBorder="1" applyAlignment="1">
      <alignment wrapText="1"/>
    </xf>
    <xf numFmtId="0" fontId="11" fillId="14" borderId="0" xfId="12" applyFont="1" applyFill="1" applyAlignment="1">
      <alignment horizontal="left"/>
    </xf>
    <xf numFmtId="0" fontId="11" fillId="14" borderId="0" xfId="12" applyFont="1" applyFill="1"/>
    <xf numFmtId="0" fontId="11" fillId="14" borderId="0" xfId="12" applyFont="1" applyFill="1" applyBorder="1"/>
    <xf numFmtId="0" fontId="6" fillId="14" borderId="0" xfId="11" applyFont="1" applyFill="1" applyBorder="1" applyAlignment="1"/>
    <xf numFmtId="0" fontId="6" fillId="14" borderId="0" xfId="11" applyFont="1" applyFill="1" applyBorder="1" applyAlignment="1">
      <alignment wrapText="1"/>
    </xf>
    <xf numFmtId="0" fontId="9" fillId="14" borderId="0" xfId="12" applyFont="1" applyFill="1" applyBorder="1" applyAlignment="1">
      <alignment horizontal="right"/>
    </xf>
    <xf numFmtId="0" fontId="9" fillId="14" borderId="0" xfId="12" applyFont="1" applyFill="1" applyBorder="1"/>
    <xf numFmtId="0" fontId="6" fillId="14" borderId="0" xfId="11" applyFont="1" applyFill="1" applyBorder="1"/>
    <xf numFmtId="44" fontId="11" fillId="14" borderId="0" xfId="8" applyFont="1" applyFill="1" applyBorder="1" applyAlignment="1">
      <alignment horizontal="center" vertical="center"/>
    </xf>
    <xf numFmtId="0" fontId="9" fillId="14" borderId="0" xfId="12" applyFont="1" applyFill="1" applyAlignment="1">
      <alignment horizontal="right"/>
    </xf>
    <xf numFmtId="0" fontId="9" fillId="14" borderId="0" xfId="12" applyFont="1" applyFill="1" applyAlignment="1">
      <alignment wrapText="1"/>
    </xf>
    <xf numFmtId="0" fontId="11" fillId="0" borderId="0" xfId="12" applyFont="1" applyAlignment="1">
      <alignment horizontal="left"/>
    </xf>
    <xf numFmtId="0" fontId="10" fillId="0" borderId="23" xfId="39" applyFont="1" applyBorder="1"/>
    <xf numFmtId="44" fontId="10" fillId="14" borderId="2" xfId="3" applyFont="1" applyFill="1" applyBorder="1" applyAlignment="1"/>
    <xf numFmtId="44" fontId="10" fillId="14" borderId="2" xfId="8" applyFont="1" applyFill="1" applyBorder="1" applyAlignment="1">
      <alignment horizontal="center" wrapText="1"/>
    </xf>
    <xf numFmtId="49" fontId="17" fillId="0" borderId="2" xfId="0" applyNumberFormat="1" applyFont="1" applyFill="1" applyBorder="1" applyAlignment="1">
      <alignment vertical="center" wrapText="1"/>
    </xf>
    <xf numFmtId="49" fontId="17" fillId="0" borderId="2" xfId="0" applyNumberFormat="1" applyFont="1" applyFill="1" applyBorder="1"/>
    <xf numFmtId="0" fontId="17" fillId="0" borderId="6" xfId="0" applyFont="1" applyFill="1" applyBorder="1" applyAlignment="1">
      <alignment horizontal="left"/>
    </xf>
    <xf numFmtId="0" fontId="17" fillId="0" borderId="13" xfId="0" applyFont="1" applyFill="1" applyBorder="1" applyAlignment="1">
      <alignment horizontal="left"/>
    </xf>
    <xf numFmtId="0" fontId="0" fillId="0" borderId="6" xfId="0" applyFont="1" applyFill="1" applyBorder="1" applyAlignment="1">
      <alignment vertical="center" wrapText="1"/>
    </xf>
    <xf numFmtId="0" fontId="0" fillId="0" borderId="6" xfId="0" applyFont="1" applyFill="1" applyBorder="1" applyAlignment="1">
      <alignment horizontal="center" vertical="center" wrapText="1"/>
    </xf>
    <xf numFmtId="165" fontId="0" fillId="0" borderId="6" xfId="0" applyNumberFormat="1" applyFont="1" applyFill="1" applyBorder="1" applyAlignment="1">
      <alignment horizontal="center" vertical="center" wrapText="1"/>
    </xf>
    <xf numFmtId="0" fontId="10" fillId="0" borderId="4" xfId="0" applyFont="1" applyFill="1" applyBorder="1" applyAlignment="1">
      <alignment horizontal="left"/>
    </xf>
    <xf numFmtId="0" fontId="6" fillId="0" borderId="2" xfId="0" applyFont="1" applyBorder="1"/>
    <xf numFmtId="0" fontId="9" fillId="0" borderId="10" xfId="0" applyFont="1" applyFill="1" applyBorder="1" applyAlignment="1">
      <alignment vertical="center"/>
    </xf>
    <xf numFmtId="0" fontId="9" fillId="0" borderId="12" xfId="0" applyFont="1" applyFill="1" applyBorder="1" applyAlignment="1">
      <alignment vertical="center"/>
    </xf>
    <xf numFmtId="0" fontId="0" fillId="0" borderId="13" xfId="0" applyBorder="1"/>
    <xf numFmtId="49" fontId="17" fillId="0" borderId="13" xfId="0" applyNumberFormat="1" applyFont="1" applyFill="1" applyBorder="1" applyAlignment="1">
      <alignment vertical="center" wrapText="1"/>
    </xf>
    <xf numFmtId="49" fontId="17" fillId="0" borderId="13" xfId="0" applyNumberFormat="1" applyFont="1" applyFill="1" applyBorder="1" applyAlignment="1">
      <alignment vertical="center"/>
    </xf>
    <xf numFmtId="49" fontId="17" fillId="0" borderId="13" xfId="0" applyNumberFormat="1" applyFont="1" applyFill="1" applyBorder="1"/>
    <xf numFmtId="49" fontId="0" fillId="0" borderId="13" xfId="0" applyNumberFormat="1" applyFont="1" applyFill="1" applyBorder="1"/>
    <xf numFmtId="0" fontId="5" fillId="0" borderId="6" xfId="0" applyFont="1" applyFill="1" applyBorder="1" applyAlignment="1">
      <alignment horizontal="left"/>
    </xf>
    <xf numFmtId="0" fontId="5" fillId="0" borderId="13" xfId="0" applyFont="1" applyFill="1" applyBorder="1" applyAlignment="1">
      <alignment horizontal="left"/>
    </xf>
    <xf numFmtId="0" fontId="10" fillId="0" borderId="6" xfId="0" applyFont="1" applyFill="1" applyBorder="1" applyAlignment="1">
      <alignment horizontal="left"/>
    </xf>
    <xf numFmtId="8" fontId="0" fillId="0" borderId="2" xfId="3" applyNumberFormat="1" applyFont="1" applyFill="1" applyBorder="1" applyAlignment="1" applyProtection="1">
      <alignment horizontal="center" vertical="center" wrapText="1"/>
      <protection locked="0"/>
    </xf>
    <xf numFmtId="0" fontId="0" fillId="0" borderId="2" xfId="0" applyFont="1" applyFill="1" applyBorder="1" applyAlignment="1">
      <alignment wrapText="1"/>
    </xf>
    <xf numFmtId="0" fontId="0" fillId="0" borderId="2" xfId="0" applyFill="1" applyBorder="1" applyAlignment="1">
      <alignment wrapText="1"/>
    </xf>
    <xf numFmtId="0" fontId="16" fillId="0" borderId="2" xfId="0" applyFont="1" applyFill="1" applyBorder="1" applyAlignment="1" applyProtection="1">
      <alignment horizontal="center" vertical="top" wrapText="1"/>
      <protection locked="0"/>
    </xf>
    <xf numFmtId="0" fontId="0" fillId="0" borderId="2" xfId="0" applyFont="1" applyFill="1" applyBorder="1" applyAlignment="1">
      <alignment horizontal="center" vertical="center" wrapText="1"/>
    </xf>
    <xf numFmtId="0" fontId="10" fillId="0" borderId="2" xfId="0" applyFont="1" applyFill="1" applyBorder="1" applyAlignment="1" applyProtection="1">
      <alignment horizontal="center" vertical="top" wrapText="1"/>
      <protection locked="0"/>
    </xf>
    <xf numFmtId="0" fontId="10" fillId="0" borderId="2" xfId="0" applyFont="1" applyBorder="1" applyAlignment="1" applyProtection="1">
      <alignment horizontal="center" vertical="top" wrapText="1"/>
      <protection locked="0"/>
    </xf>
    <xf numFmtId="0" fontId="0" fillId="0" borderId="2" xfId="0" applyFont="1" applyFill="1" applyBorder="1" applyAlignment="1" applyProtection="1">
      <alignment horizontal="center" vertical="top" wrapText="1"/>
      <protection locked="0"/>
    </xf>
    <xf numFmtId="0" fontId="49" fillId="0" borderId="4" xfId="0" applyFont="1" applyBorder="1" applyAlignment="1">
      <alignment horizontal="center" wrapText="1"/>
    </xf>
    <xf numFmtId="0" fontId="58" fillId="0" borderId="2" xfId="0" applyFont="1" applyFill="1" applyBorder="1" applyAlignment="1" applyProtection="1">
      <alignment horizontal="center" vertical="top" wrapText="1"/>
      <protection locked="0"/>
    </xf>
    <xf numFmtId="44" fontId="15" fillId="0" borderId="2" xfId="45" applyFont="1" applyFill="1" applyBorder="1" applyAlignment="1" applyProtection="1">
      <alignment horizontal="center" wrapText="1"/>
      <protection locked="0"/>
    </xf>
    <xf numFmtId="0" fontId="53" fillId="0" borderId="0" xfId="28" applyFont="1" applyAlignment="1">
      <alignment horizontal="left" wrapText="1"/>
    </xf>
    <xf numFmtId="0" fontId="51" fillId="0" borderId="0" xfId="28" applyFont="1" applyAlignment="1">
      <alignment wrapText="1"/>
    </xf>
    <xf numFmtId="0" fontId="7" fillId="9" borderId="4" xfId="0" applyFont="1" applyFill="1" applyBorder="1" applyAlignment="1">
      <alignment horizontal="center" vertical="top" wrapText="1"/>
    </xf>
    <xf numFmtId="0" fontId="7" fillId="9" borderId="6" xfId="0" applyFont="1" applyFill="1" applyBorder="1" applyAlignment="1">
      <alignment horizontal="center" vertical="top" wrapText="1"/>
    </xf>
    <xf numFmtId="0" fontId="10" fillId="0" borderId="9" xfId="0" applyFont="1" applyFill="1" applyBorder="1" applyAlignment="1" applyProtection="1">
      <alignment horizontal="center" vertical="top" wrapText="1"/>
      <protection locked="0"/>
    </xf>
    <xf numFmtId="0" fontId="10" fillId="0" borderId="17" xfId="0" applyFont="1" applyFill="1" applyBorder="1" applyAlignment="1" applyProtection="1">
      <alignment horizontal="center" vertical="top" wrapText="1"/>
      <protection locked="0"/>
    </xf>
    <xf numFmtId="0" fontId="10" fillId="0" borderId="7" xfId="0" applyFont="1" applyFill="1" applyBorder="1" applyAlignment="1" applyProtection="1">
      <alignment horizontal="center" vertical="top" wrapText="1"/>
      <protection locked="0"/>
    </xf>
    <xf numFmtId="0" fontId="10" fillId="0" borderId="0" xfId="0" applyFont="1" applyFill="1" applyBorder="1" applyAlignment="1" applyProtection="1">
      <alignment horizontal="center" vertical="top" wrapText="1"/>
      <protection locked="0"/>
    </xf>
    <xf numFmtId="0" fontId="10" fillId="0" borderId="18" xfId="0" applyFont="1" applyFill="1" applyBorder="1" applyAlignment="1" applyProtection="1">
      <alignment horizontal="center" vertical="top" wrapText="1"/>
      <protection locked="0"/>
    </xf>
    <xf numFmtId="0" fontId="10" fillId="0" borderId="8" xfId="0" applyFont="1" applyFill="1" applyBorder="1" applyAlignment="1" applyProtection="1">
      <alignment horizontal="center" vertical="top" wrapText="1"/>
      <protection locked="0"/>
    </xf>
    <xf numFmtId="0" fontId="10" fillId="0" borderId="9" xfId="0" applyFont="1" applyBorder="1" applyAlignment="1" applyProtection="1">
      <alignment horizontal="center" vertical="top" wrapText="1"/>
      <protection locked="0"/>
    </xf>
    <xf numFmtId="0" fontId="10" fillId="0" borderId="20" xfId="0" applyFont="1" applyBorder="1" applyAlignment="1" applyProtection="1">
      <alignment horizontal="center" vertical="top" wrapText="1"/>
      <protection locked="0"/>
    </xf>
    <xf numFmtId="0" fontId="10" fillId="0" borderId="7" xfId="0" applyFont="1" applyBorder="1" applyAlignment="1" applyProtection="1">
      <alignment horizontal="center" vertical="top" wrapText="1"/>
      <protection locked="0"/>
    </xf>
    <xf numFmtId="0" fontId="10" fillId="0" borderId="24" xfId="0" applyFont="1" applyBorder="1" applyAlignment="1" applyProtection="1">
      <alignment horizontal="center" vertical="top" wrapText="1"/>
      <protection locked="0"/>
    </xf>
    <xf numFmtId="0" fontId="10" fillId="0" borderId="18" xfId="0" applyFont="1" applyBorder="1" applyAlignment="1" applyProtection="1">
      <alignment horizontal="center" vertical="top" wrapText="1"/>
      <protection locked="0"/>
    </xf>
    <xf numFmtId="0" fontId="10" fillId="0" borderId="21" xfId="0" applyFont="1" applyBorder="1" applyAlignment="1" applyProtection="1">
      <alignment horizontal="center" vertical="top" wrapText="1"/>
      <protection locked="0"/>
    </xf>
    <xf numFmtId="0" fontId="10" fillId="0" borderId="10"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17" xfId="0" applyFont="1" applyBorder="1" applyAlignment="1" applyProtection="1">
      <alignment horizontal="center" vertical="top" wrapText="1"/>
      <protection locked="0"/>
    </xf>
    <xf numFmtId="0" fontId="10" fillId="0" borderId="8" xfId="0" applyFont="1" applyBorder="1" applyAlignment="1" applyProtection="1">
      <alignment horizontal="center" vertical="top" wrapText="1"/>
      <protection locked="0"/>
    </xf>
    <xf numFmtId="0" fontId="10" fillId="0" borderId="4" xfId="0" applyFont="1" applyBorder="1" applyAlignment="1" applyProtection="1">
      <alignment horizontal="center" vertical="top"/>
      <protection hidden="1"/>
    </xf>
    <xf numFmtId="0" fontId="10" fillId="0" borderId="6" xfId="0" applyFont="1" applyBorder="1" applyAlignment="1" applyProtection="1">
      <alignment horizontal="center" vertical="top"/>
      <protection hidden="1"/>
    </xf>
    <xf numFmtId="0" fontId="10" fillId="0" borderId="13" xfId="0" applyFont="1" applyBorder="1" applyAlignment="1" applyProtection="1">
      <alignment horizontal="center" vertical="top"/>
      <protection hidden="1"/>
    </xf>
    <xf numFmtId="0" fontId="10" fillId="6" borderId="9" xfId="0" applyFont="1" applyFill="1" applyBorder="1" applyAlignment="1">
      <alignment horizontal="center" vertical="center" wrapText="1"/>
    </xf>
    <xf numFmtId="0" fontId="10" fillId="6" borderId="20" xfId="0" applyFont="1" applyFill="1" applyBorder="1" applyAlignment="1">
      <alignment horizontal="center" vertical="center" wrapText="1"/>
    </xf>
    <xf numFmtId="0" fontId="10" fillId="6" borderId="18" xfId="0" applyFont="1" applyFill="1" applyBorder="1" applyAlignment="1">
      <alignment horizontal="center" vertical="center" wrapText="1"/>
    </xf>
    <xf numFmtId="0" fontId="10" fillId="6" borderId="21" xfId="0" applyFont="1" applyFill="1" applyBorder="1" applyAlignment="1">
      <alignment horizontal="center" vertical="center" wrapText="1"/>
    </xf>
    <xf numFmtId="0" fontId="10" fillId="0" borderId="10" xfId="0" applyFont="1" applyBorder="1" applyAlignment="1">
      <alignment horizontal="center" wrapText="1"/>
    </xf>
    <xf numFmtId="0" fontId="10" fillId="0" borderId="12" xfId="0" applyFont="1" applyBorder="1" applyAlignment="1">
      <alignment horizontal="center" wrapText="1"/>
    </xf>
    <xf numFmtId="0" fontId="10" fillId="0" borderId="2" xfId="0" applyFont="1" applyBorder="1" applyAlignment="1">
      <alignment vertical="top" wrapText="1"/>
    </xf>
    <xf numFmtId="0" fontId="0" fillId="0" borderId="2" xfId="0" applyFont="1" applyBorder="1" applyAlignment="1">
      <alignment wrapText="1"/>
    </xf>
    <xf numFmtId="0" fontId="10" fillId="0" borderId="10" xfId="0" applyFont="1" applyFill="1" applyBorder="1" applyAlignment="1">
      <alignment horizontal="center" vertical="top" wrapText="1"/>
    </xf>
    <xf numFmtId="0" fontId="10" fillId="0" borderId="12" xfId="0" applyFont="1" applyFill="1" applyBorder="1" applyAlignment="1">
      <alignment horizontal="center" vertical="top" wrapText="1"/>
    </xf>
    <xf numFmtId="0" fontId="0" fillId="7" borderId="10" xfId="0" applyFont="1" applyFill="1" applyBorder="1" applyAlignment="1">
      <alignment horizontal="center" vertical="center" wrapText="1"/>
    </xf>
    <xf numFmtId="0" fontId="0" fillId="7" borderId="12" xfId="0" applyFont="1" applyFill="1" applyBorder="1" applyAlignment="1">
      <alignment horizontal="center" vertical="center" wrapText="1"/>
    </xf>
    <xf numFmtId="0" fontId="0" fillId="2" borderId="10" xfId="0" applyFont="1" applyFill="1" applyBorder="1" applyAlignment="1">
      <alignment horizontal="center" vertical="center" wrapText="1"/>
    </xf>
    <xf numFmtId="0" fontId="0" fillId="2" borderId="12" xfId="0" applyFont="1" applyFill="1" applyBorder="1" applyAlignment="1">
      <alignment horizontal="center" vertical="center" wrapText="1"/>
    </xf>
    <xf numFmtId="0" fontId="0" fillId="4" borderId="10" xfId="0" applyFont="1" applyFill="1" applyBorder="1" applyAlignment="1">
      <alignment horizontal="center" vertical="center" wrapText="1"/>
    </xf>
    <xf numFmtId="0" fontId="0" fillId="4" borderId="12" xfId="0" applyFont="1" applyFill="1" applyBorder="1" applyAlignment="1">
      <alignment horizontal="center" vertical="center" wrapText="1"/>
    </xf>
    <xf numFmtId="0" fontId="10" fillId="0" borderId="4" xfId="0" applyFont="1" applyFill="1" applyBorder="1" applyAlignment="1">
      <alignment vertical="top" wrapText="1"/>
    </xf>
    <xf numFmtId="0" fontId="10" fillId="0" borderId="6" xfId="0" applyFont="1" applyFill="1" applyBorder="1" applyAlignment="1">
      <alignment vertical="top" wrapText="1"/>
    </xf>
    <xf numFmtId="0" fontId="10" fillId="0" borderId="13" xfId="0" applyFont="1" applyFill="1" applyBorder="1" applyAlignment="1">
      <alignment vertical="top" wrapText="1"/>
    </xf>
    <xf numFmtId="0" fontId="10" fillId="6" borderId="7" xfId="0" applyFont="1" applyFill="1" applyBorder="1" applyAlignment="1">
      <alignment horizontal="center" vertical="center" wrapText="1"/>
    </xf>
    <xf numFmtId="0" fontId="10" fillId="6" borderId="0" xfId="0" applyFont="1" applyFill="1" applyBorder="1" applyAlignment="1">
      <alignment horizontal="center" vertical="center" wrapText="1"/>
    </xf>
    <xf numFmtId="0" fontId="10" fillId="6" borderId="8" xfId="0" applyFont="1" applyFill="1" applyBorder="1" applyAlignment="1">
      <alignment horizontal="center" vertical="center" wrapText="1"/>
    </xf>
    <xf numFmtId="0" fontId="16" fillId="0" borderId="17" xfId="0" applyFont="1" applyBorder="1" applyAlignment="1" applyProtection="1">
      <alignment horizontal="center" vertical="top" wrapText="1"/>
      <protection locked="0"/>
    </xf>
    <xf numFmtId="0" fontId="16" fillId="0" borderId="8" xfId="0" applyFont="1" applyBorder="1" applyAlignment="1" applyProtection="1">
      <alignment horizontal="center" vertical="top" wrapText="1"/>
      <protection locked="0"/>
    </xf>
    <xf numFmtId="0" fontId="16" fillId="0" borderId="9" xfId="0" applyFont="1" applyBorder="1" applyAlignment="1" applyProtection="1">
      <alignment horizontal="center" vertical="top" wrapText="1"/>
      <protection locked="0"/>
    </xf>
    <xf numFmtId="0" fontId="16" fillId="0" borderId="7" xfId="0" applyFont="1" applyBorder="1" applyAlignment="1" applyProtection="1">
      <alignment horizontal="center" vertical="top" wrapText="1"/>
      <protection locked="0"/>
    </xf>
    <xf numFmtId="0" fontId="16" fillId="0" borderId="0" xfId="0" applyFont="1" applyBorder="1" applyAlignment="1" applyProtection="1">
      <alignment horizontal="center" vertical="top" wrapText="1"/>
      <protection locked="0"/>
    </xf>
    <xf numFmtId="0" fontId="16" fillId="0" borderId="18" xfId="0" applyFont="1" applyBorder="1" applyAlignment="1" applyProtection="1">
      <alignment horizontal="center" vertical="top" wrapText="1"/>
      <protection locked="0"/>
    </xf>
    <xf numFmtId="0" fontId="0" fillId="11" borderId="2" xfId="0" applyFill="1" applyBorder="1" applyAlignment="1">
      <alignment horizontal="center" vertical="center" wrapText="1"/>
    </xf>
    <xf numFmtId="0" fontId="6" fillId="0" borderId="2" xfId="0" applyFont="1" applyFill="1" applyBorder="1" applyAlignment="1">
      <alignment horizontal="center" vertical="center" wrapText="1"/>
    </xf>
    <xf numFmtId="0" fontId="16" fillId="0" borderId="4" xfId="0" applyFont="1" applyBorder="1" applyAlignment="1" applyProtection="1">
      <alignment horizontal="center" vertical="top"/>
      <protection hidden="1"/>
    </xf>
    <xf numFmtId="0" fontId="16" fillId="0" borderId="6" xfId="0" applyFont="1" applyBorder="1" applyAlignment="1" applyProtection="1">
      <alignment horizontal="center" vertical="top"/>
      <protection hidden="1"/>
    </xf>
    <xf numFmtId="0" fontId="16" fillId="0" borderId="13" xfId="0" applyFont="1" applyBorder="1" applyAlignment="1" applyProtection="1">
      <alignment horizontal="center" vertical="top"/>
      <protection hidden="1"/>
    </xf>
    <xf numFmtId="0" fontId="16" fillId="0" borderId="9" xfId="0" applyFont="1" applyFill="1" applyBorder="1" applyAlignment="1" applyProtection="1">
      <alignment horizontal="center" vertical="top" wrapText="1"/>
      <protection locked="0"/>
    </xf>
    <xf numFmtId="0" fontId="16" fillId="0" borderId="17" xfId="0" applyFont="1" applyFill="1" applyBorder="1" applyAlignment="1" applyProtection="1">
      <alignment horizontal="center" vertical="top" wrapText="1"/>
      <protection locked="0"/>
    </xf>
    <xf numFmtId="0" fontId="16" fillId="0" borderId="7" xfId="0" applyFont="1" applyFill="1" applyBorder="1" applyAlignment="1" applyProtection="1">
      <alignment horizontal="center" vertical="top" wrapText="1"/>
      <protection locked="0"/>
    </xf>
    <xf numFmtId="0" fontId="16" fillId="0" borderId="0" xfId="0" applyFont="1" applyFill="1" applyBorder="1" applyAlignment="1" applyProtection="1">
      <alignment horizontal="center" vertical="top" wrapText="1"/>
      <protection locked="0"/>
    </xf>
    <xf numFmtId="0" fontId="16" fillId="0" borderId="18" xfId="0" applyFont="1" applyFill="1" applyBorder="1" applyAlignment="1" applyProtection="1">
      <alignment horizontal="center" vertical="top" wrapText="1"/>
      <protection locked="0"/>
    </xf>
    <xf numFmtId="0" fontId="16" fillId="0" borderId="8" xfId="0" applyFont="1" applyFill="1" applyBorder="1" applyAlignment="1" applyProtection="1">
      <alignment horizontal="center" vertical="top" wrapText="1"/>
      <protection locked="0"/>
    </xf>
    <xf numFmtId="0" fontId="10" fillId="0" borderId="2" xfId="0" applyFont="1" applyFill="1" applyBorder="1" applyAlignment="1">
      <alignment vertical="top" wrapText="1"/>
    </xf>
    <xf numFmtId="0" fontId="10" fillId="0" borderId="2" xfId="0" applyFont="1" applyFill="1" applyBorder="1" applyAlignment="1">
      <alignment wrapText="1"/>
    </xf>
    <xf numFmtId="0" fontId="6" fillId="11" borderId="2" xfId="0" applyFont="1" applyFill="1" applyBorder="1" applyAlignment="1">
      <alignment horizontal="center" vertical="center" wrapText="1"/>
    </xf>
    <xf numFmtId="0" fontId="8" fillId="0" borderId="2" xfId="0" applyFont="1" applyBorder="1" applyAlignment="1" applyProtection="1">
      <alignment horizontal="left" vertical="top" wrapText="1"/>
      <protection locked="0"/>
    </xf>
    <xf numFmtId="0" fontId="10" fillId="0" borderId="2" xfId="0" applyFont="1" applyFill="1" applyBorder="1" applyAlignment="1">
      <alignment horizontal="center" vertical="top" wrapText="1"/>
    </xf>
    <xf numFmtId="0" fontId="6" fillId="2" borderId="2" xfId="0" applyFont="1" applyFill="1" applyBorder="1" applyAlignment="1">
      <alignment horizontal="center" vertical="center" wrapText="1"/>
    </xf>
    <xf numFmtId="0" fontId="0" fillId="0" borderId="2" xfId="0" applyFont="1" applyBorder="1" applyAlignment="1" applyProtection="1">
      <alignment horizontal="left" vertical="top" wrapText="1"/>
      <protection locked="0"/>
    </xf>
    <xf numFmtId="0" fontId="0" fillId="0" borderId="2" xfId="0" applyFont="1" applyFill="1" applyBorder="1" applyAlignment="1">
      <alignment wrapText="1"/>
    </xf>
    <xf numFmtId="0" fontId="10" fillId="0" borderId="0" xfId="0" applyFont="1" applyBorder="1" applyAlignment="1" applyProtection="1">
      <alignment horizontal="center" vertical="top" wrapText="1"/>
      <protection locked="0"/>
    </xf>
    <xf numFmtId="0" fontId="0" fillId="4" borderId="2" xfId="0" applyFont="1" applyFill="1" applyBorder="1" applyAlignment="1">
      <alignment horizontal="center" vertical="center" wrapText="1"/>
    </xf>
    <xf numFmtId="0" fontId="0" fillId="7" borderId="2" xfId="0" applyFont="1" applyFill="1" applyBorder="1" applyAlignment="1">
      <alignment horizontal="center" vertical="center" wrapText="1"/>
    </xf>
    <xf numFmtId="0" fontId="0" fillId="2" borderId="2"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0" fillId="7" borderId="2" xfId="0" applyFill="1" applyBorder="1" applyAlignment="1">
      <alignment horizontal="center" vertical="center" wrapText="1"/>
    </xf>
    <xf numFmtId="0" fontId="6" fillId="7" borderId="2" xfId="0" applyFont="1" applyFill="1" applyBorder="1" applyAlignment="1">
      <alignment horizontal="center" vertical="center" wrapText="1"/>
    </xf>
    <xf numFmtId="0" fontId="0" fillId="0" borderId="2" xfId="0" applyFill="1" applyBorder="1" applyAlignment="1">
      <alignment wrapText="1"/>
    </xf>
    <xf numFmtId="0" fontId="0" fillId="0" borderId="4" xfId="0" applyFont="1" applyFill="1" applyBorder="1" applyAlignment="1" applyProtection="1">
      <alignment horizontal="left" vertical="top" wrapText="1"/>
    </xf>
    <xf numFmtId="0" fontId="0" fillId="0" borderId="6" xfId="0" applyFont="1" applyFill="1" applyBorder="1" applyAlignment="1" applyProtection="1">
      <alignment horizontal="left" vertical="top" wrapText="1"/>
    </xf>
    <xf numFmtId="0" fontId="0" fillId="0" borderId="13" xfId="0" applyFont="1" applyFill="1" applyBorder="1" applyAlignment="1" applyProtection="1">
      <alignment horizontal="left" vertical="top" wrapText="1"/>
    </xf>
    <xf numFmtId="0" fontId="0" fillId="0" borderId="2" xfId="0" applyFont="1" applyFill="1" applyBorder="1" applyAlignment="1" applyProtection="1">
      <alignment horizontal="left"/>
    </xf>
    <xf numFmtId="0" fontId="10" fillId="0" borderId="2" xfId="0" applyFont="1" applyBorder="1" applyAlignment="1">
      <alignment horizontal="center" wrapText="1"/>
    </xf>
    <xf numFmtId="0" fontId="10" fillId="6" borderId="2" xfId="0" applyFont="1" applyFill="1" applyBorder="1" applyAlignment="1">
      <alignment horizontal="center" vertical="center" wrapText="1"/>
    </xf>
    <xf numFmtId="44" fontId="10" fillId="0" borderId="2" xfId="3" applyFont="1" applyBorder="1" applyAlignment="1" applyProtection="1">
      <alignment vertical="top" wrapText="1"/>
      <protection locked="0"/>
    </xf>
    <xf numFmtId="44" fontId="0" fillId="0" borderId="2" xfId="3" applyFont="1" applyBorder="1" applyAlignment="1">
      <alignment wrapText="1"/>
    </xf>
    <xf numFmtId="44" fontId="10" fillId="0" borderId="2" xfId="3" applyFont="1" applyFill="1" applyBorder="1" applyAlignment="1">
      <alignment vertical="top" wrapText="1"/>
    </xf>
    <xf numFmtId="0" fontId="0" fillId="0" borderId="2" xfId="0" applyFont="1" applyFill="1" applyBorder="1" applyAlignment="1">
      <alignment horizontal="center" vertical="center" wrapText="1"/>
    </xf>
    <xf numFmtId="0" fontId="16" fillId="0" borderId="2" xfId="0" applyFont="1" applyBorder="1" applyAlignment="1" applyProtection="1">
      <alignment horizontal="center" vertical="top"/>
      <protection hidden="1"/>
    </xf>
    <xf numFmtId="0" fontId="16" fillId="0" borderId="2" xfId="0" applyFont="1" applyBorder="1" applyAlignment="1" applyProtection="1">
      <alignment horizontal="center" vertical="top" wrapText="1"/>
      <protection locked="0"/>
    </xf>
    <xf numFmtId="0" fontId="10" fillId="0" borderId="2" xfId="0" applyFont="1" applyBorder="1" applyAlignment="1">
      <alignment horizontal="center" vertical="center" wrapText="1"/>
    </xf>
    <xf numFmtId="0" fontId="16" fillId="0" borderId="2" xfId="0" applyFont="1" applyFill="1" applyBorder="1" applyAlignment="1" applyProtection="1">
      <alignment horizontal="center" vertical="top" wrapText="1"/>
      <protection locked="0"/>
    </xf>
    <xf numFmtId="0" fontId="0" fillId="0" borderId="2" xfId="0" applyFont="1" applyFill="1" applyBorder="1" applyAlignment="1">
      <alignment vertical="top" wrapText="1"/>
    </xf>
    <xf numFmtId="0" fontId="10" fillId="0" borderId="2" xfId="0" applyFont="1" applyFill="1" applyBorder="1" applyAlignment="1" applyProtection="1">
      <alignment vertical="top" wrapText="1"/>
      <protection locked="0"/>
    </xf>
    <xf numFmtId="0" fontId="10" fillId="0" borderId="2" xfId="0" applyFont="1" applyBorder="1" applyAlignment="1" applyProtection="1">
      <alignment horizontal="center" vertical="top"/>
      <protection hidden="1"/>
    </xf>
    <xf numFmtId="0" fontId="10" fillId="0" borderId="2" xfId="0" applyFont="1" applyFill="1" applyBorder="1" applyAlignment="1" applyProtection="1">
      <alignment horizontal="center" vertical="top" wrapText="1"/>
      <protection locked="0"/>
    </xf>
    <xf numFmtId="0" fontId="10" fillId="0" borderId="2" xfId="0" applyFont="1" applyBorder="1" applyAlignment="1" applyProtection="1">
      <alignment horizontal="center" vertical="top" wrapText="1"/>
      <protection locked="0"/>
    </xf>
    <xf numFmtId="0" fontId="30" fillId="9" borderId="4" xfId="0" applyFont="1" applyFill="1" applyBorder="1" applyAlignment="1">
      <alignment horizontal="center" vertical="top" wrapText="1"/>
    </xf>
    <xf numFmtId="0" fontId="30" fillId="9" borderId="6" xfId="0" applyFont="1" applyFill="1" applyBorder="1" applyAlignment="1">
      <alignment horizontal="center" vertical="top" wrapText="1"/>
    </xf>
    <xf numFmtId="0" fontId="30" fillId="9" borderId="13" xfId="0" applyFont="1" applyFill="1" applyBorder="1" applyAlignment="1">
      <alignment horizontal="center" vertical="top" wrapText="1"/>
    </xf>
    <xf numFmtId="0" fontId="11" fillId="0" borderId="2" xfId="0" applyFont="1" applyBorder="1" applyAlignment="1"/>
    <xf numFmtId="0" fontId="0" fillId="0" borderId="2" xfId="0" applyFont="1" applyBorder="1" applyAlignment="1"/>
    <xf numFmtId="0" fontId="11" fillId="0" borderId="2" xfId="0" applyFont="1" applyFill="1" applyBorder="1" applyAlignment="1"/>
    <xf numFmtId="0" fontId="0" fillId="0" borderId="2" xfId="0" applyFont="1" applyFill="1" applyBorder="1" applyAlignment="1"/>
    <xf numFmtId="0" fontId="10" fillId="0" borderId="2" xfId="0" applyFont="1" applyBorder="1" applyAlignment="1">
      <alignment horizontal="left"/>
    </xf>
    <xf numFmtId="0" fontId="0" fillId="0" borderId="2" xfId="0" applyFill="1" applyBorder="1" applyAlignment="1"/>
    <xf numFmtId="0" fontId="0" fillId="0" borderId="2" xfId="0" applyBorder="1" applyAlignment="1">
      <alignment wrapText="1"/>
    </xf>
    <xf numFmtId="0" fontId="0" fillId="0" borderId="2" xfId="0" applyBorder="1" applyAlignment="1"/>
    <xf numFmtId="0" fontId="10" fillId="0" borderId="2" xfId="0" applyFont="1" applyFill="1" applyBorder="1" applyAlignment="1">
      <alignment horizontal="left"/>
    </xf>
    <xf numFmtId="0" fontId="10" fillId="14" borderId="2" xfId="0" applyFont="1" applyFill="1" applyBorder="1" applyAlignment="1">
      <alignment horizontal="center" vertical="center" wrapText="1"/>
    </xf>
    <xf numFmtId="0" fontId="10" fillId="14" borderId="2" xfId="0" applyFont="1" applyFill="1" applyBorder="1" applyAlignment="1">
      <alignment horizontal="center" wrapText="1"/>
    </xf>
    <xf numFmtId="0" fontId="0" fillId="11" borderId="10" xfId="0" applyFont="1" applyFill="1" applyBorder="1" applyAlignment="1">
      <alignment horizontal="center" vertical="center" wrapText="1"/>
    </xf>
    <xf numFmtId="0" fontId="0" fillId="11" borderId="12" xfId="0" applyFont="1" applyFill="1" applyBorder="1" applyAlignment="1">
      <alignment horizontal="center" vertical="center" wrapText="1"/>
    </xf>
    <xf numFmtId="0" fontId="8" fillId="0" borderId="9" xfId="0" applyFont="1" applyBorder="1" applyAlignment="1" applyProtection="1">
      <alignment horizontal="left" vertical="top" wrapText="1"/>
      <protection locked="0"/>
    </xf>
    <xf numFmtId="0" fontId="8" fillId="0" borderId="20" xfId="0" applyFont="1" applyBorder="1" applyAlignment="1" applyProtection="1">
      <alignment horizontal="left" vertical="top" wrapText="1"/>
      <protection locked="0"/>
    </xf>
    <xf numFmtId="0" fontId="8" fillId="0" borderId="18" xfId="0" applyFont="1" applyBorder="1" applyAlignment="1" applyProtection="1">
      <alignment horizontal="left" vertical="top" wrapText="1"/>
      <protection locked="0"/>
    </xf>
    <xf numFmtId="0" fontId="8" fillId="0" borderId="21" xfId="0" applyFont="1" applyBorder="1" applyAlignment="1" applyProtection="1">
      <alignment horizontal="left" vertical="top" wrapText="1"/>
      <protection locked="0"/>
    </xf>
    <xf numFmtId="0" fontId="10" fillId="0" borderId="2" xfId="0" applyFont="1" applyBorder="1" applyAlignment="1">
      <alignment wrapText="1"/>
    </xf>
    <xf numFmtId="0" fontId="10" fillId="0" borderId="4" xfId="0" applyFont="1" applyFill="1" applyBorder="1" applyAlignment="1">
      <alignment horizontal="left"/>
    </xf>
    <xf numFmtId="0" fontId="10" fillId="0" borderId="6" xfId="0" applyFont="1" applyFill="1" applyBorder="1" applyAlignment="1">
      <alignment horizontal="left"/>
    </xf>
    <xf numFmtId="0" fontId="10" fillId="0" borderId="13" xfId="0" applyFont="1" applyFill="1" applyBorder="1" applyAlignment="1">
      <alignment horizontal="left"/>
    </xf>
    <xf numFmtId="49" fontId="10" fillId="0" borderId="4" xfId="0" applyNumberFormat="1" applyFont="1" applyFill="1" applyBorder="1" applyAlignment="1">
      <alignment horizontal="left" wrapText="1"/>
    </xf>
    <xf numFmtId="49" fontId="10" fillId="0" borderId="6" xfId="0" applyNumberFormat="1" applyFont="1" applyFill="1" applyBorder="1" applyAlignment="1">
      <alignment horizontal="left" wrapText="1"/>
    </xf>
    <xf numFmtId="49" fontId="10" fillId="0" borderId="13" xfId="0" applyNumberFormat="1" applyFont="1" applyFill="1" applyBorder="1" applyAlignment="1">
      <alignment horizontal="left" wrapText="1"/>
    </xf>
    <xf numFmtId="164" fontId="10" fillId="10" borderId="2" xfId="0" applyNumberFormat="1" applyFont="1" applyFill="1" applyBorder="1" applyAlignment="1" applyProtection="1">
      <alignment horizontal="center" vertical="center" wrapText="1"/>
      <protection locked="0"/>
    </xf>
    <xf numFmtId="0" fontId="16" fillId="0" borderId="2" xfId="0" applyFont="1" applyFill="1" applyBorder="1" applyAlignment="1">
      <alignment vertical="top" wrapText="1"/>
    </xf>
    <xf numFmtId="0" fontId="8" fillId="0" borderId="2" xfId="0" applyFont="1" applyFill="1" applyBorder="1" applyAlignment="1">
      <alignment wrapText="1"/>
    </xf>
    <xf numFmtId="0" fontId="16" fillId="0" borderId="2" xfId="0" applyFont="1" applyBorder="1" applyAlignment="1">
      <alignment vertical="top" wrapText="1"/>
    </xf>
    <xf numFmtId="0" fontId="8" fillId="0" borderId="2" xfId="0" applyFont="1" applyBorder="1" applyAlignment="1">
      <alignment wrapText="1"/>
    </xf>
    <xf numFmtId="0" fontId="10" fillId="0" borderId="4" xfId="0" applyFont="1" applyBorder="1" applyAlignment="1">
      <alignment horizontal="left" wrapText="1"/>
    </xf>
    <xf numFmtId="0" fontId="0" fillId="0" borderId="6" xfId="0" applyFont="1" applyBorder="1" applyAlignment="1">
      <alignment wrapText="1"/>
    </xf>
    <xf numFmtId="0" fontId="18" fillId="0" borderId="4" xfId="0" applyFont="1" applyBorder="1" applyAlignment="1">
      <alignment horizontal="left" wrapText="1"/>
    </xf>
    <xf numFmtId="0" fontId="17" fillId="0" borderId="6" xfId="0" applyFont="1" applyBorder="1" applyAlignment="1">
      <alignment wrapText="1"/>
    </xf>
    <xf numFmtId="7" fontId="9" fillId="0" borderId="9" xfId="3" applyNumberFormat="1" applyFont="1" applyFill="1" applyBorder="1" applyAlignment="1">
      <alignment horizontal="left" vertical="center" wrapText="1"/>
    </xf>
    <xf numFmtId="0" fontId="0" fillId="0" borderId="20" xfId="0" applyFill="1" applyBorder="1" applyAlignment="1">
      <alignment horizontal="left" vertical="center"/>
    </xf>
    <xf numFmtId="0" fontId="0" fillId="0" borderId="7" xfId="0" applyFill="1" applyBorder="1" applyAlignment="1">
      <alignment horizontal="left" vertical="center"/>
    </xf>
    <xf numFmtId="0" fontId="0" fillId="0" borderId="24" xfId="0" applyFill="1" applyBorder="1" applyAlignment="1">
      <alignment horizontal="left" vertical="center"/>
    </xf>
    <xf numFmtId="0" fontId="0" fillId="0" borderId="18" xfId="0" applyFill="1" applyBorder="1" applyAlignment="1">
      <alignment horizontal="left" vertical="center"/>
    </xf>
    <xf numFmtId="0" fontId="0" fillId="0" borderId="21" xfId="0" applyFill="1" applyBorder="1" applyAlignment="1">
      <alignment horizontal="left" vertical="center"/>
    </xf>
    <xf numFmtId="44" fontId="0" fillId="0" borderId="2" xfId="3" applyFont="1" applyFill="1" applyBorder="1" applyAlignment="1">
      <alignment horizontal="center" vertical="center"/>
    </xf>
    <xf numFmtId="0" fontId="11" fillId="0" borderId="7" xfId="0" applyFont="1" applyFill="1" applyBorder="1" applyAlignment="1">
      <alignment horizontal="left" wrapText="1"/>
    </xf>
    <xf numFmtId="0" fontId="11" fillId="0" borderId="0" xfId="0" applyFont="1" applyFill="1" applyBorder="1" applyAlignment="1">
      <alignment horizontal="left" wrapText="1"/>
    </xf>
    <xf numFmtId="0" fontId="10" fillId="0" borderId="6" xfId="0" applyFont="1" applyBorder="1" applyAlignment="1">
      <alignment horizontal="left" wrapText="1"/>
    </xf>
    <xf numFmtId="0" fontId="11" fillId="19" borderId="13" xfId="0" applyFont="1" applyFill="1" applyBorder="1" applyAlignment="1">
      <alignment horizontal="left"/>
    </xf>
    <xf numFmtId="0" fontId="11" fillId="19" borderId="2" xfId="0" applyFont="1" applyFill="1" applyBorder="1" applyAlignment="1">
      <alignment horizontal="left"/>
    </xf>
    <xf numFmtId="0" fontId="11" fillId="0" borderId="13" xfId="0" applyFont="1" applyFill="1" applyBorder="1" applyAlignment="1">
      <alignment horizontal="left"/>
    </xf>
    <xf numFmtId="0" fontId="11" fillId="0" borderId="2" xfId="0" applyFont="1" applyFill="1" applyBorder="1" applyAlignment="1">
      <alignment horizontal="left"/>
    </xf>
    <xf numFmtId="0" fontId="11" fillId="19" borderId="0" xfId="0" applyFont="1" applyFill="1" applyBorder="1" applyAlignment="1">
      <alignment horizontal="left" wrapText="1"/>
    </xf>
    <xf numFmtId="0" fontId="10" fillId="11" borderId="5" xfId="0" applyFont="1" applyFill="1" applyBorder="1" applyAlignment="1">
      <alignment horizontal="left"/>
    </xf>
    <xf numFmtId="171" fontId="0" fillId="0" borderId="2" xfId="3" applyNumberFormat="1" applyFont="1" applyFill="1" applyBorder="1" applyAlignment="1">
      <alignment horizontal="center" vertical="center"/>
    </xf>
    <xf numFmtId="0" fontId="11" fillId="19" borderId="3" xfId="0" applyFont="1" applyFill="1" applyBorder="1" applyAlignment="1">
      <alignment horizontal="left"/>
    </xf>
    <xf numFmtId="0" fontId="11" fillId="0" borderId="3" xfId="0" applyFont="1" applyFill="1" applyBorder="1" applyAlignment="1">
      <alignment horizontal="left"/>
    </xf>
    <xf numFmtId="0" fontId="0" fillId="19" borderId="2" xfId="0" applyFont="1" applyFill="1" applyBorder="1"/>
    <xf numFmtId="0" fontId="0" fillId="0" borderId="2" xfId="0" applyFont="1" applyBorder="1"/>
    <xf numFmtId="0" fontId="10" fillId="0" borderId="10" xfId="0" applyFont="1" applyFill="1" applyBorder="1" applyAlignment="1">
      <alignment horizontal="left" wrapText="1"/>
    </xf>
    <xf numFmtId="0" fontId="0" fillId="0" borderId="10" xfId="0" applyFont="1" applyFill="1" applyBorder="1" applyAlignment="1">
      <alignment wrapText="1"/>
    </xf>
    <xf numFmtId="0" fontId="11" fillId="11" borderId="25" xfId="0" applyFont="1" applyFill="1" applyBorder="1" applyAlignment="1">
      <alignment horizontal="left"/>
    </xf>
    <xf numFmtId="0" fontId="11" fillId="11" borderId="5" xfId="0" applyFont="1" applyFill="1" applyBorder="1" applyAlignment="1">
      <alignment horizontal="left"/>
    </xf>
    <xf numFmtId="0" fontId="10" fillId="0" borderId="4" xfId="0" applyFont="1" applyBorder="1" applyAlignment="1" applyProtection="1">
      <alignment horizontal="center" vertical="top" wrapText="1"/>
      <protection locked="0"/>
    </xf>
    <xf numFmtId="0" fontId="10" fillId="6" borderId="4" xfId="0" applyFont="1" applyFill="1" applyBorder="1" applyAlignment="1">
      <alignment horizontal="center" vertical="center" wrapText="1"/>
    </xf>
    <xf numFmtId="0" fontId="46" fillId="0" borderId="0" xfId="0" applyFont="1" applyAlignment="1">
      <alignment horizontal="left"/>
    </xf>
    <xf numFmtId="0" fontId="46" fillId="0" borderId="0" xfId="0" applyFont="1" applyAlignment="1">
      <alignment horizontal="left" wrapText="1"/>
    </xf>
    <xf numFmtId="7" fontId="9" fillId="0" borderId="20" xfId="3" applyNumberFormat="1" applyFont="1" applyFill="1" applyBorder="1" applyAlignment="1">
      <alignment horizontal="left" vertical="center" wrapText="1"/>
    </xf>
    <xf numFmtId="7" fontId="9" fillId="0" borderId="7" xfId="3" applyNumberFormat="1" applyFont="1" applyFill="1" applyBorder="1" applyAlignment="1">
      <alignment horizontal="left" vertical="center" wrapText="1"/>
    </xf>
    <xf numFmtId="7" fontId="9" fillId="0" borderId="24" xfId="3" applyNumberFormat="1" applyFont="1" applyFill="1" applyBorder="1" applyAlignment="1">
      <alignment horizontal="left" vertical="center" wrapText="1"/>
    </xf>
    <xf numFmtId="7" fontId="9" fillId="0" borderId="18" xfId="3" applyNumberFormat="1" applyFont="1" applyFill="1" applyBorder="1" applyAlignment="1">
      <alignment horizontal="left" vertical="center" wrapText="1"/>
    </xf>
    <xf numFmtId="7" fontId="9" fillId="0" borderId="21" xfId="3" applyNumberFormat="1" applyFont="1" applyFill="1" applyBorder="1" applyAlignment="1">
      <alignment horizontal="left" vertical="center" wrapText="1"/>
    </xf>
    <xf numFmtId="7" fontId="9" fillId="0" borderId="9" xfId="3" applyNumberFormat="1" applyFont="1" applyFill="1" applyBorder="1" applyAlignment="1">
      <alignment vertical="center" wrapText="1"/>
    </xf>
    <xf numFmtId="7" fontId="9" fillId="0" borderId="20" xfId="3" applyNumberFormat="1" applyFont="1" applyFill="1" applyBorder="1" applyAlignment="1">
      <alignment vertical="center" wrapText="1"/>
    </xf>
    <xf numFmtId="7" fontId="9" fillId="0" borderId="7" xfId="3" applyNumberFormat="1" applyFont="1" applyFill="1" applyBorder="1" applyAlignment="1">
      <alignment vertical="center" wrapText="1"/>
    </xf>
    <xf numFmtId="7" fontId="9" fillId="0" borderId="24" xfId="3" applyNumberFormat="1" applyFont="1" applyFill="1" applyBorder="1" applyAlignment="1">
      <alignment vertical="center" wrapText="1"/>
    </xf>
    <xf numFmtId="7" fontId="9" fillId="0" borderId="18" xfId="3" applyNumberFormat="1" applyFont="1" applyFill="1" applyBorder="1" applyAlignment="1">
      <alignment vertical="center" wrapText="1"/>
    </xf>
    <xf numFmtId="7" fontId="9" fillId="0" borderId="21" xfId="3" applyNumberFormat="1" applyFont="1" applyFill="1" applyBorder="1" applyAlignment="1">
      <alignment vertical="center" wrapText="1"/>
    </xf>
    <xf numFmtId="0" fontId="9" fillId="0" borderId="4" xfId="0" applyFont="1" applyFill="1" applyBorder="1" applyAlignment="1">
      <alignment wrapText="1"/>
    </xf>
    <xf numFmtId="0" fontId="9" fillId="0" borderId="13" xfId="0" applyFont="1" applyFill="1" applyBorder="1" applyAlignment="1">
      <alignment wrapText="1"/>
    </xf>
    <xf numFmtId="0" fontId="10" fillId="0" borderId="4" xfId="0" applyFont="1" applyFill="1" applyBorder="1" applyAlignment="1">
      <alignment horizontal="left" wrapText="1"/>
    </xf>
    <xf numFmtId="0" fontId="10" fillId="0" borderId="6" xfId="0" applyFont="1" applyFill="1" applyBorder="1" applyAlignment="1">
      <alignment horizontal="left" wrapText="1"/>
    </xf>
    <xf numFmtId="0" fontId="0" fillId="0" borderId="4" xfId="0" applyFont="1" applyFill="1" applyBorder="1" applyAlignment="1" applyProtection="1">
      <alignment horizontal="center" vertical="center" wrapText="1"/>
      <protection locked="0"/>
    </xf>
    <xf numFmtId="0" fontId="0" fillId="0" borderId="13" xfId="0" applyFont="1" applyFill="1" applyBorder="1" applyAlignment="1" applyProtection="1">
      <alignment horizontal="center" vertical="center" wrapText="1"/>
      <protection locked="0"/>
    </xf>
    <xf numFmtId="0" fontId="62" fillId="11" borderId="4" xfId="0" applyFont="1" applyFill="1" applyBorder="1" applyAlignment="1" applyProtection="1">
      <alignment horizontal="center" vertical="center" wrapText="1"/>
      <protection locked="0"/>
    </xf>
    <xf numFmtId="0" fontId="62" fillId="11" borderId="13" xfId="0" applyFont="1" applyFill="1" applyBorder="1" applyAlignment="1" applyProtection="1">
      <alignment horizontal="center" vertical="center" wrapText="1"/>
      <protection locked="0"/>
    </xf>
    <xf numFmtId="0" fontId="0" fillId="0" borderId="4" xfId="0" applyFont="1" applyFill="1" applyBorder="1" applyAlignment="1" applyProtection="1">
      <alignment horizontal="left" vertical="center" wrapText="1"/>
      <protection locked="0"/>
    </xf>
    <xf numFmtId="0" fontId="0" fillId="0" borderId="13" xfId="0" applyFont="1" applyFill="1" applyBorder="1" applyAlignment="1" applyProtection="1">
      <alignment horizontal="left" vertical="center" wrapText="1"/>
      <protection locked="0"/>
    </xf>
    <xf numFmtId="0" fontId="0" fillId="0" borderId="2" xfId="0" applyFont="1" applyFill="1" applyBorder="1" applyAlignment="1" applyProtection="1">
      <alignment horizontal="center" vertical="center" wrapText="1"/>
      <protection locked="0"/>
    </xf>
    <xf numFmtId="0" fontId="0" fillId="0" borderId="4" xfId="0" applyFill="1" applyBorder="1" applyAlignment="1" applyProtection="1">
      <alignment horizontal="left" vertical="center" wrapText="1"/>
      <protection locked="0"/>
    </xf>
    <xf numFmtId="165" fontId="9" fillId="0" borderId="4" xfId="3" applyNumberFormat="1" applyFont="1" applyFill="1" applyBorder="1" applyAlignment="1">
      <alignment horizontal="center" wrapText="1"/>
    </xf>
    <xf numFmtId="165" fontId="9" fillId="0" borderId="13" xfId="3" applyNumberFormat="1" applyFont="1" applyFill="1" applyBorder="1" applyAlignment="1">
      <alignment horizontal="center" wrapText="1"/>
    </xf>
    <xf numFmtId="0" fontId="9" fillId="0" borderId="4" xfId="0" applyFont="1" applyFill="1" applyBorder="1" applyAlignment="1">
      <alignment horizontal="center"/>
    </xf>
    <xf numFmtId="0" fontId="9" fillId="0" borderId="26" xfId="0" applyFont="1" applyFill="1" applyBorder="1" applyAlignment="1">
      <alignment horizontal="center"/>
    </xf>
    <xf numFmtId="0" fontId="10" fillId="0" borderId="2" xfId="0" applyFont="1" applyFill="1" applyBorder="1" applyAlignment="1">
      <alignment horizontal="left" wrapText="1"/>
    </xf>
    <xf numFmtId="0" fontId="0" fillId="0" borderId="2" xfId="0" applyFont="1" applyFill="1" applyBorder="1" applyAlignment="1" applyProtection="1">
      <alignment horizontal="center" vertical="top" wrapText="1"/>
      <protection locked="0"/>
    </xf>
    <xf numFmtId="0" fontId="29" fillId="11" borderId="4" xfId="0" applyFont="1" applyFill="1" applyBorder="1" applyAlignment="1" applyProtection="1">
      <alignment horizontal="center" vertical="center" wrapText="1"/>
      <protection locked="0"/>
    </xf>
    <xf numFmtId="0" fontId="29" fillId="11" borderId="13" xfId="0" applyFont="1" applyFill="1" applyBorder="1" applyAlignment="1" applyProtection="1">
      <alignment horizontal="center" vertical="center" wrapText="1"/>
      <protection locked="0"/>
    </xf>
    <xf numFmtId="0" fontId="5" fillId="0" borderId="2" xfId="26" applyFont="1" applyBorder="1" applyAlignment="1">
      <alignment vertical="center" wrapText="1"/>
    </xf>
    <xf numFmtId="0" fontId="5" fillId="0" borderId="2" xfId="0" applyFont="1" applyBorder="1" applyAlignment="1">
      <alignment vertical="center" wrapText="1"/>
    </xf>
    <xf numFmtId="0" fontId="16" fillId="0" borderId="4" xfId="0" applyFont="1" applyBorder="1" applyAlignment="1" applyProtection="1">
      <alignment horizontal="center" vertical="top" wrapText="1"/>
      <protection locked="0"/>
    </xf>
    <xf numFmtId="0" fontId="0" fillId="0" borderId="0" xfId="0" applyAlignment="1"/>
    <xf numFmtId="0" fontId="20" fillId="0" borderId="0" xfId="0" applyFont="1" applyAlignment="1">
      <alignment horizontal="left" wrapText="1"/>
    </xf>
    <xf numFmtId="0" fontId="0" fillId="0" borderId="0" xfId="0" applyAlignment="1">
      <alignment wrapText="1"/>
    </xf>
    <xf numFmtId="0" fontId="35" fillId="0" borderId="0" xfId="0" applyFont="1" applyFill="1" applyBorder="1" applyAlignment="1">
      <alignment vertical="top" wrapText="1"/>
    </xf>
    <xf numFmtId="0" fontId="20" fillId="0" borderId="0" xfId="0" applyFont="1" applyFill="1" applyAlignment="1">
      <alignment horizontal="left" wrapText="1"/>
    </xf>
    <xf numFmtId="0" fontId="0" fillId="0" borderId="0" xfId="0" applyFill="1" applyAlignment="1">
      <alignment wrapText="1"/>
    </xf>
    <xf numFmtId="0" fontId="10" fillId="0" borderId="2" xfId="0" applyFont="1" applyFill="1" applyBorder="1" applyAlignment="1" applyProtection="1">
      <alignment horizontal="center" wrapText="1"/>
      <protection hidden="1"/>
    </xf>
    <xf numFmtId="0" fontId="10" fillId="0" borderId="2" xfId="0" applyFont="1" applyFill="1" applyBorder="1" applyAlignment="1">
      <alignment horizontal="center" wrapText="1"/>
    </xf>
    <xf numFmtId="169" fontId="10" fillId="0" borderId="2" xfId="3" applyNumberFormat="1" applyFont="1" applyFill="1" applyBorder="1" applyAlignment="1" applyProtection="1">
      <alignment horizontal="center" wrapText="1"/>
      <protection hidden="1"/>
    </xf>
    <xf numFmtId="0" fontId="10" fillId="0" borderId="6" xfId="0" applyFont="1" applyFill="1" applyBorder="1" applyAlignment="1"/>
    <xf numFmtId="0" fontId="0" fillId="0" borderId="2" xfId="0" applyFont="1" applyFill="1" applyBorder="1" applyAlignment="1" applyProtection="1">
      <alignment horizontal="center" wrapText="1"/>
      <protection hidden="1"/>
    </xf>
    <xf numFmtId="0" fontId="0" fillId="0" borderId="2" xfId="0" applyFont="1" applyFill="1" applyBorder="1" applyAlignment="1">
      <alignment horizontal="center" wrapText="1"/>
    </xf>
    <xf numFmtId="0" fontId="10" fillId="0" borderId="2" xfId="0" applyFont="1" applyFill="1" applyBorder="1" applyAlignment="1"/>
    <xf numFmtId="0" fontId="0" fillId="0" borderId="2" xfId="0" applyNumberFormat="1" applyFont="1" applyFill="1" applyBorder="1" applyAlignment="1">
      <alignment horizontal="center" wrapText="1"/>
    </xf>
    <xf numFmtId="0" fontId="10" fillId="0" borderId="2" xfId="0" applyNumberFormat="1" applyFont="1" applyFill="1" applyBorder="1" applyAlignment="1">
      <alignment horizontal="left" wrapText="1"/>
    </xf>
    <xf numFmtId="169" fontId="0" fillId="0" borderId="2" xfId="3" applyNumberFormat="1" applyFont="1" applyFill="1" applyBorder="1" applyAlignment="1" applyProtection="1">
      <alignment horizontal="center" wrapText="1"/>
      <protection hidden="1"/>
    </xf>
    <xf numFmtId="0" fontId="10" fillId="0" borderId="2" xfId="0" applyNumberFormat="1" applyFont="1" applyFill="1" applyBorder="1" applyAlignment="1">
      <alignment horizontal="center" wrapText="1"/>
    </xf>
    <xf numFmtId="0" fontId="10" fillId="0" borderId="2" xfId="0" applyNumberFormat="1" applyFont="1" applyFill="1" applyBorder="1" applyAlignment="1">
      <alignment wrapText="1"/>
    </xf>
    <xf numFmtId="0" fontId="17" fillId="0" borderId="0" xfId="0" applyFont="1" applyFill="1" applyBorder="1" applyAlignment="1" applyProtection="1">
      <alignment horizontal="center" vertical="top" wrapText="1"/>
      <protection locked="0"/>
    </xf>
    <xf numFmtId="0" fontId="0" fillId="0" borderId="0" xfId="0" applyFont="1" applyFill="1" applyBorder="1" applyAlignment="1" applyProtection="1">
      <alignment horizontal="center" vertical="top" wrapText="1"/>
      <protection locked="0"/>
    </xf>
    <xf numFmtId="0" fontId="10" fillId="0" borderId="6" xfId="0" applyFont="1" applyFill="1" applyBorder="1" applyAlignment="1">
      <alignment wrapText="1"/>
    </xf>
    <xf numFmtId="0" fontId="6" fillId="0" borderId="0" xfId="0" applyFont="1" applyFill="1" applyBorder="1" applyAlignment="1" applyProtection="1">
      <alignment horizontal="center" vertical="top" wrapText="1"/>
      <protection locked="0"/>
    </xf>
    <xf numFmtId="0" fontId="58" fillId="0" borderId="2" xfId="0" applyFont="1" applyFill="1" applyBorder="1" applyAlignment="1">
      <alignment horizontal="center" vertical="top" wrapText="1"/>
    </xf>
    <xf numFmtId="0" fontId="59" fillId="7" borderId="2" xfId="0" applyFont="1" applyFill="1" applyBorder="1" applyAlignment="1">
      <alignment horizontal="center" vertical="center" wrapText="1"/>
    </xf>
    <xf numFmtId="0" fontId="59" fillId="2" borderId="2" xfId="0" applyFont="1" applyFill="1" applyBorder="1" applyAlignment="1">
      <alignment horizontal="center" vertical="center" wrapText="1"/>
    </xf>
    <xf numFmtId="0" fontId="59" fillId="4" borderId="2" xfId="0" applyFont="1" applyFill="1" applyBorder="1" applyAlignment="1">
      <alignment horizontal="center" vertical="center" wrapText="1"/>
    </xf>
    <xf numFmtId="0" fontId="58" fillId="6" borderId="2" xfId="0" applyFont="1" applyFill="1" applyBorder="1" applyAlignment="1">
      <alignment horizontal="center" vertical="center" wrapText="1"/>
    </xf>
    <xf numFmtId="0" fontId="58" fillId="6" borderId="4" xfId="0" applyFont="1" applyFill="1" applyBorder="1" applyAlignment="1">
      <alignment horizontal="center" vertical="center" wrapText="1"/>
    </xf>
    <xf numFmtId="0" fontId="58" fillId="0" borderId="4" xfId="0" applyFont="1" applyFill="1" applyBorder="1" applyAlignment="1">
      <alignment horizontal="left" wrapText="1"/>
    </xf>
    <xf numFmtId="0" fontId="58" fillId="0" borderId="6" xfId="0" applyFont="1" applyFill="1" applyBorder="1" applyAlignment="1">
      <alignment horizontal="left" wrapText="1"/>
    </xf>
    <xf numFmtId="0" fontId="58" fillId="0" borderId="2" xfId="0" applyFont="1" applyBorder="1" applyAlignment="1" applyProtection="1">
      <alignment horizontal="center" vertical="top"/>
      <protection hidden="1"/>
    </xf>
    <xf numFmtId="0" fontId="58" fillId="0" borderId="2" xfId="0" applyFont="1" applyFill="1" applyBorder="1" applyAlignment="1" applyProtection="1">
      <alignment horizontal="center" vertical="top" wrapText="1"/>
      <protection locked="0"/>
    </xf>
    <xf numFmtId="0" fontId="58" fillId="0" borderId="2" xfId="0" applyFont="1" applyBorder="1" applyAlignment="1" applyProtection="1">
      <alignment horizontal="center" vertical="top" wrapText="1"/>
      <protection locked="0"/>
    </xf>
    <xf numFmtId="0" fontId="58" fillId="0" borderId="4" xfId="0" applyFont="1" applyBorder="1" applyAlignment="1" applyProtection="1">
      <alignment horizontal="center" vertical="top" wrapText="1"/>
      <protection locked="0"/>
    </xf>
    <xf numFmtId="0" fontId="59" fillId="0" borderId="2" xfId="0" applyFont="1" applyBorder="1" applyAlignment="1" applyProtection="1">
      <alignment horizontal="left" vertical="top" wrapText="1"/>
      <protection locked="0"/>
    </xf>
    <xf numFmtId="0" fontId="10" fillId="0" borderId="9" xfId="0" applyFont="1" applyFill="1" applyBorder="1" applyAlignment="1">
      <alignment horizontal="left" wrapText="1"/>
    </xf>
    <xf numFmtId="0" fontId="41" fillId="0" borderId="4" xfId="0" applyFont="1" applyFill="1" applyBorder="1" applyAlignment="1">
      <alignment horizontal="left" wrapText="1"/>
    </xf>
    <xf numFmtId="0" fontId="41" fillId="0" borderId="6" xfId="0" applyFont="1" applyFill="1" applyBorder="1" applyAlignment="1">
      <alignment horizontal="left" wrapText="1"/>
    </xf>
    <xf numFmtId="0" fontId="15" fillId="0" borderId="2" xfId="44" applyFont="1" applyBorder="1" applyAlignment="1">
      <alignment wrapText="1"/>
    </xf>
    <xf numFmtId="0" fontId="66" fillId="0" borderId="2" xfId="44" applyFont="1" applyBorder="1" applyAlignment="1">
      <alignment wrapText="1"/>
    </xf>
    <xf numFmtId="0" fontId="67" fillId="11" borderId="4" xfId="44" applyFont="1" applyFill="1" applyBorder="1" applyAlignment="1">
      <alignment horizontal="left" wrapText="1"/>
    </xf>
    <xf numFmtId="0" fontId="67" fillId="11" borderId="6" xfId="44" applyFont="1" applyFill="1" applyBorder="1" applyAlignment="1">
      <alignment horizontal="left" wrapText="1"/>
    </xf>
    <xf numFmtId="0" fontId="67" fillId="11" borderId="13" xfId="44" applyFont="1" applyFill="1" applyBorder="1" applyAlignment="1">
      <alignment horizontal="left" wrapText="1"/>
    </xf>
    <xf numFmtId="0" fontId="67" fillId="11" borderId="4" xfId="44" applyFont="1" applyFill="1" applyBorder="1" applyAlignment="1">
      <alignment horizontal="left"/>
    </xf>
    <xf numFmtId="0" fontId="67" fillId="11" borderId="6" xfId="44" applyFont="1" applyFill="1" applyBorder="1" applyAlignment="1">
      <alignment horizontal="left"/>
    </xf>
    <xf numFmtId="0" fontId="67" fillId="11" borderId="13" xfId="44" applyFont="1" applyFill="1" applyBorder="1" applyAlignment="1">
      <alignment horizontal="left"/>
    </xf>
    <xf numFmtId="0" fontId="15" fillId="0" borderId="2" xfId="44" applyFont="1" applyBorder="1" applyAlignment="1" applyProtection="1">
      <alignment horizontal="center"/>
      <protection hidden="1"/>
    </xf>
    <xf numFmtId="44" fontId="15" fillId="0" borderId="2" xfId="45" applyFont="1" applyFill="1" applyBorder="1" applyAlignment="1" applyProtection="1">
      <alignment horizontal="center" wrapText="1"/>
      <protection locked="0"/>
    </xf>
    <xf numFmtId="0" fontId="15" fillId="0" borderId="2" xfId="44" applyFont="1" applyBorder="1" applyAlignment="1" applyProtection="1">
      <alignment horizontal="center" wrapText="1"/>
      <protection locked="0"/>
    </xf>
    <xf numFmtId="0" fontId="66" fillId="0" borderId="2" xfId="44" applyFont="1" applyBorder="1" applyAlignment="1" applyProtection="1">
      <alignment horizontal="left" wrapText="1"/>
      <protection locked="0"/>
    </xf>
    <xf numFmtId="0" fontId="15" fillId="6" borderId="2" xfId="44" applyFont="1" applyFill="1" applyBorder="1" applyAlignment="1">
      <alignment horizontal="center" wrapText="1"/>
    </xf>
    <xf numFmtId="0" fontId="15" fillId="6" borderId="4" xfId="44" applyFont="1" applyFill="1" applyBorder="1" applyAlignment="1">
      <alignment horizontal="center" wrapText="1"/>
    </xf>
    <xf numFmtId="0" fontId="15" fillId="6" borderId="13" xfId="44" applyFont="1" applyFill="1" applyBorder="1" applyAlignment="1">
      <alignment horizontal="center" wrapText="1"/>
    </xf>
    <xf numFmtId="0" fontId="15" fillId="0" borderId="4" xfId="44" applyFont="1" applyBorder="1" applyAlignment="1">
      <alignment wrapText="1"/>
    </xf>
    <xf numFmtId="0" fontId="15" fillId="0" borderId="6" xfId="44" applyFont="1" applyBorder="1" applyAlignment="1">
      <alignment wrapText="1"/>
    </xf>
    <xf numFmtId="0" fontId="15" fillId="0" borderId="13" xfId="44" applyFont="1" applyBorder="1" applyAlignment="1">
      <alignment wrapText="1"/>
    </xf>
    <xf numFmtId="0" fontId="5" fillId="0" borderId="2" xfId="44" applyFont="1" applyBorder="1" applyAlignment="1" applyProtection="1">
      <alignment horizontal="left" wrapText="1"/>
      <protection locked="0"/>
    </xf>
    <xf numFmtId="14" fontId="15" fillId="10" borderId="4" xfId="45" applyNumberFormat="1" applyFont="1" applyFill="1" applyBorder="1" applyAlignment="1" applyProtection="1">
      <alignment horizontal="center" wrapText="1"/>
      <protection locked="0"/>
    </xf>
    <xf numFmtId="14" fontId="15" fillId="10" borderId="6" xfId="45" applyNumberFormat="1" applyFont="1" applyFill="1" applyBorder="1" applyAlignment="1" applyProtection="1">
      <alignment horizontal="center" wrapText="1"/>
      <protection locked="0"/>
    </xf>
    <xf numFmtId="0" fontId="15" fillId="0" borderId="18" xfId="44" applyFont="1" applyBorder="1" applyAlignment="1" applyProtection="1">
      <alignment horizontal="center" wrapText="1"/>
      <protection locked="0"/>
    </xf>
    <xf numFmtId="0" fontId="15" fillId="0" borderId="21" xfId="44" applyFont="1" applyBorder="1" applyAlignment="1" applyProtection="1">
      <alignment horizontal="center" wrapText="1"/>
      <protection locked="0"/>
    </xf>
    <xf numFmtId="0" fontId="67" fillId="11" borderId="2" xfId="44" applyFont="1" applyFill="1" applyBorder="1" applyAlignment="1">
      <alignment horizontal="left"/>
    </xf>
    <xf numFmtId="0" fontId="10" fillId="14" borderId="4" xfId="11" applyFont="1" applyFill="1" applyBorder="1" applyAlignment="1">
      <alignment wrapText="1"/>
    </xf>
    <xf numFmtId="0" fontId="10" fillId="14" borderId="6" xfId="11" applyFont="1" applyFill="1" applyBorder="1" applyAlignment="1">
      <alignment wrapText="1"/>
    </xf>
    <xf numFmtId="0" fontId="10" fillId="14" borderId="13" xfId="11" applyFont="1" applyFill="1" applyBorder="1" applyAlignment="1">
      <alignment wrapText="1"/>
    </xf>
    <xf numFmtId="10" fontId="10" fillId="14" borderId="4" xfId="11" applyNumberFormat="1" applyFont="1" applyFill="1" applyBorder="1" applyAlignment="1">
      <alignment horizontal="left" wrapText="1"/>
    </xf>
    <xf numFmtId="10" fontId="10" fillId="14" borderId="6" xfId="11" applyNumberFormat="1" applyFont="1" applyFill="1" applyBorder="1" applyAlignment="1">
      <alignment horizontal="left" wrapText="1"/>
    </xf>
    <xf numFmtId="10" fontId="10" fillId="14" borderId="13" xfId="11" applyNumberFormat="1" applyFont="1" applyFill="1" applyBorder="1" applyAlignment="1">
      <alignment horizontal="left" wrapText="1"/>
    </xf>
    <xf numFmtId="0" fontId="10" fillId="14" borderId="4" xfId="11" applyFont="1" applyFill="1" applyBorder="1" applyAlignment="1">
      <alignment horizontal="left" wrapText="1"/>
    </xf>
    <xf numFmtId="0" fontId="10" fillId="14" borderId="6" xfId="11" applyFont="1" applyFill="1" applyBorder="1" applyAlignment="1">
      <alignment horizontal="left" wrapText="1"/>
    </xf>
    <xf numFmtId="0" fontId="10" fillId="14" borderId="13" xfId="11" applyFont="1" applyFill="1" applyBorder="1" applyAlignment="1">
      <alignment horizontal="left" wrapText="1"/>
    </xf>
    <xf numFmtId="0" fontId="10" fillId="14" borderId="17" xfId="39" applyFont="1" applyFill="1" applyBorder="1" applyAlignment="1">
      <alignment horizontal="left" wrapText="1"/>
    </xf>
    <xf numFmtId="0" fontId="10" fillId="14" borderId="0" xfId="39" applyFont="1" applyFill="1" applyBorder="1" applyAlignment="1">
      <alignment horizontal="left" wrapText="1"/>
    </xf>
    <xf numFmtId="0" fontId="72" fillId="6" borderId="2" xfId="11" applyFont="1" applyFill="1" applyBorder="1" applyAlignment="1">
      <alignment horizontal="center" wrapText="1"/>
    </xf>
    <xf numFmtId="0" fontId="6" fillId="14" borderId="2" xfId="11" applyFont="1" applyFill="1" applyBorder="1" applyAlignment="1" applyProtection="1">
      <alignment horizontal="left" vertical="top" wrapText="1"/>
      <protection locked="0"/>
    </xf>
    <xf numFmtId="0" fontId="58" fillId="14" borderId="2" xfId="11" applyFont="1" applyFill="1" applyBorder="1" applyAlignment="1" applyProtection="1">
      <alignment horizontal="left" vertical="center" wrapText="1"/>
      <protection locked="0"/>
    </xf>
    <xf numFmtId="0" fontId="71" fillId="14" borderId="2" xfId="11" applyFont="1" applyFill="1" applyBorder="1" applyAlignment="1" applyProtection="1">
      <alignment horizontal="left" vertical="center" wrapText="1"/>
      <protection locked="0"/>
    </xf>
    <xf numFmtId="0" fontId="33" fillId="14" borderId="2" xfId="11" applyFont="1" applyFill="1" applyBorder="1" applyAlignment="1" applyProtection="1">
      <alignment horizontal="center" vertical="top" wrapText="1"/>
      <protection locked="0"/>
    </xf>
    <xf numFmtId="0" fontId="10" fillId="14" borderId="2" xfId="11" applyFont="1" applyFill="1" applyBorder="1" applyAlignment="1" applyProtection="1">
      <alignment horizontal="left" vertical="top" wrapText="1"/>
      <protection locked="0"/>
    </xf>
    <xf numFmtId="0" fontId="6" fillId="14" borderId="2" xfId="11" applyFont="1" applyFill="1" applyBorder="1" applyAlignment="1" applyProtection="1">
      <alignment horizontal="center" vertical="top" wrapText="1"/>
      <protection locked="0"/>
    </xf>
    <xf numFmtId="0" fontId="10" fillId="14" borderId="17" xfId="12" applyFont="1" applyFill="1" applyBorder="1" applyAlignment="1">
      <alignment horizontal="left" wrapText="1"/>
    </xf>
    <xf numFmtId="0" fontId="10" fillId="14" borderId="0" xfId="12" applyFont="1" applyFill="1" applyBorder="1" applyAlignment="1">
      <alignment horizontal="left" wrapText="1"/>
    </xf>
    <xf numFmtId="0" fontId="13" fillId="6" borderId="2" xfId="11" applyFont="1" applyFill="1" applyBorder="1" applyAlignment="1">
      <alignment horizontal="center" wrapText="1"/>
    </xf>
    <xf numFmtId="0" fontId="70" fillId="6" borderId="2" xfId="11" applyFont="1" applyFill="1" applyBorder="1" applyAlignment="1">
      <alignment horizontal="center" wrapText="1"/>
    </xf>
    <xf numFmtId="0" fontId="4" fillId="22" borderId="2" xfId="11" applyFont="1" applyFill="1" applyBorder="1" applyAlignment="1" applyProtection="1">
      <alignment horizontal="left" vertical="center" wrapText="1"/>
      <protection locked="0"/>
    </xf>
    <xf numFmtId="0" fontId="0" fillId="0" borderId="20" xfId="0" applyBorder="1"/>
    <xf numFmtId="0" fontId="0" fillId="0" borderId="18" xfId="0" applyBorder="1"/>
    <xf numFmtId="0" fontId="0" fillId="0" borderId="21" xfId="0" applyBorder="1"/>
    <xf numFmtId="0" fontId="0" fillId="0" borderId="9"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164" fontId="10" fillId="0" borderId="18" xfId="0" applyNumberFormat="1" applyFont="1" applyFill="1" applyBorder="1" applyAlignment="1" applyProtection="1">
      <alignment vertical="center" wrapText="1"/>
      <protection locked="0"/>
    </xf>
    <xf numFmtId="14" fontId="4" fillId="0" borderId="2" xfId="0" applyNumberFormat="1" applyFont="1" applyFill="1" applyBorder="1" applyAlignment="1" applyProtection="1">
      <alignment horizontal="center" vertical="center" wrapText="1"/>
      <protection locked="0"/>
    </xf>
    <xf numFmtId="14" fontId="10" fillId="0" borderId="2" xfId="0" applyNumberFormat="1" applyFont="1" applyFill="1" applyBorder="1" applyAlignment="1" applyProtection="1">
      <alignment horizontal="center" vertical="center" wrapText="1"/>
      <protection locked="0"/>
    </xf>
    <xf numFmtId="0" fontId="0" fillId="0" borderId="4" xfId="0" applyFont="1" applyFill="1" applyBorder="1" applyAlignment="1" applyProtection="1">
      <alignment horizontal="left"/>
    </xf>
    <xf numFmtId="0" fontId="0" fillId="0" borderId="6" xfId="0" applyFont="1" applyFill="1" applyBorder="1" applyAlignment="1" applyProtection="1">
      <alignment horizontal="left"/>
    </xf>
    <xf numFmtId="0" fontId="0" fillId="0" borderId="13" xfId="0" applyFont="1" applyFill="1" applyBorder="1" applyAlignment="1" applyProtection="1">
      <alignment horizontal="left"/>
    </xf>
    <xf numFmtId="164" fontId="10" fillId="0" borderId="4" xfId="0" applyNumberFormat="1" applyFont="1" applyFill="1" applyBorder="1" applyAlignment="1" applyProtection="1">
      <alignment horizontal="center" vertical="center" wrapText="1"/>
      <protection locked="0"/>
    </xf>
    <xf numFmtId="164" fontId="10" fillId="0" borderId="6" xfId="0" applyNumberFormat="1" applyFont="1" applyFill="1" applyBorder="1" applyAlignment="1" applyProtection="1">
      <alignment horizontal="center" vertical="center" wrapText="1"/>
      <protection locked="0"/>
    </xf>
    <xf numFmtId="0" fontId="8" fillId="0" borderId="2" xfId="0" applyFont="1" applyFill="1" applyBorder="1" applyAlignment="1" applyProtection="1">
      <alignment horizontal="center" vertical="top" wrapText="1"/>
      <protection locked="0"/>
    </xf>
    <xf numFmtId="164" fontId="4" fillId="0" borderId="4" xfId="0" applyNumberFormat="1" applyFont="1" applyFill="1" applyBorder="1" applyAlignment="1" applyProtection="1">
      <alignment horizontal="center" vertical="center" wrapText="1"/>
      <protection locked="0"/>
    </xf>
    <xf numFmtId="164" fontId="4" fillId="0" borderId="6" xfId="0" applyNumberFormat="1" applyFont="1" applyFill="1" applyBorder="1" applyAlignment="1" applyProtection="1">
      <alignment horizontal="center" vertical="center" wrapText="1"/>
      <protection locked="0"/>
    </xf>
    <xf numFmtId="164" fontId="10" fillId="0" borderId="2" xfId="0" applyNumberFormat="1" applyFont="1" applyFill="1" applyBorder="1" applyAlignment="1" applyProtection="1">
      <alignment horizontal="center" vertical="center" wrapText="1"/>
      <protection locked="0"/>
    </xf>
    <xf numFmtId="164" fontId="4" fillId="0" borderId="2" xfId="0" applyNumberFormat="1" applyFont="1" applyFill="1" applyBorder="1" applyAlignment="1" applyProtection="1">
      <alignment horizontal="center" vertical="center" wrapText="1"/>
      <protection locked="0"/>
    </xf>
    <xf numFmtId="0" fontId="7" fillId="9" borderId="13" xfId="0" applyFont="1" applyFill="1" applyBorder="1" applyAlignment="1">
      <alignment horizontal="center" vertical="top" wrapText="1"/>
    </xf>
    <xf numFmtId="0" fontId="30" fillId="9" borderId="4" xfId="0" applyFont="1" applyFill="1" applyBorder="1" applyAlignment="1">
      <alignment horizontal="left" vertical="top" wrapText="1"/>
    </xf>
    <xf numFmtId="0" fontId="30" fillId="9" borderId="13" xfId="0" applyFont="1" applyFill="1" applyBorder="1" applyAlignment="1">
      <alignment horizontal="left" vertical="top" wrapText="1"/>
    </xf>
    <xf numFmtId="0" fontId="7" fillId="9" borderId="4" xfId="0" applyFont="1" applyFill="1" applyBorder="1" applyAlignment="1">
      <alignment horizontal="left" vertical="top" wrapText="1"/>
    </xf>
    <xf numFmtId="0" fontId="7" fillId="9" borderId="13" xfId="0" applyFont="1" applyFill="1" applyBorder="1" applyAlignment="1">
      <alignment horizontal="left" vertical="top" wrapText="1"/>
    </xf>
    <xf numFmtId="0" fontId="0" fillId="0" borderId="4" xfId="0" applyFill="1" applyBorder="1" applyAlignment="1" applyProtection="1">
      <alignment horizontal="center" vertical="center" wrapText="1"/>
      <protection locked="0"/>
    </xf>
    <xf numFmtId="0" fontId="30" fillId="9" borderId="6" xfId="0" applyFont="1" applyFill="1" applyBorder="1" applyAlignment="1">
      <alignment horizontal="left" vertical="top" wrapText="1"/>
    </xf>
    <xf numFmtId="0" fontId="75" fillId="9" borderId="4" xfId="0" applyFont="1" applyFill="1" applyBorder="1" applyAlignment="1">
      <alignment horizontal="left" vertical="top" wrapText="1"/>
    </xf>
    <xf numFmtId="0" fontId="75" fillId="9" borderId="13" xfId="0" applyFont="1" applyFill="1" applyBorder="1" applyAlignment="1">
      <alignment horizontal="left" vertical="top" wrapText="1"/>
    </xf>
    <xf numFmtId="0" fontId="59" fillId="0" borderId="2" xfId="0" applyFont="1" applyFill="1" applyBorder="1" applyAlignment="1" applyProtection="1">
      <alignment horizontal="center" vertical="top" wrapText="1"/>
      <protection locked="0"/>
    </xf>
    <xf numFmtId="164" fontId="58" fillId="0" borderId="2" xfId="0" applyNumberFormat="1" applyFont="1" applyFill="1" applyBorder="1" applyAlignment="1" applyProtection="1">
      <alignment horizontal="center" vertical="center" wrapText="1"/>
      <protection locked="0"/>
    </xf>
    <xf numFmtId="0" fontId="30" fillId="9" borderId="4" xfId="0" applyFont="1" applyFill="1" applyBorder="1" applyAlignment="1">
      <alignment horizontal="left" vertical="top"/>
    </xf>
    <xf numFmtId="0" fontId="30" fillId="9" borderId="6" xfId="0" applyFont="1" applyFill="1" applyBorder="1" applyAlignment="1">
      <alignment horizontal="left" vertical="top"/>
    </xf>
    <xf numFmtId="173" fontId="58" fillId="0" borderId="2" xfId="0" applyNumberFormat="1" applyFont="1" applyFill="1" applyBorder="1" applyAlignment="1" applyProtection="1">
      <alignment horizontal="center" vertical="center" wrapText="1"/>
      <protection locked="0"/>
    </xf>
    <xf numFmtId="44" fontId="15" fillId="0" borderId="4" xfId="45" applyFont="1" applyFill="1" applyBorder="1" applyAlignment="1" applyProtection="1">
      <alignment horizontal="center" wrapText="1"/>
      <protection locked="0"/>
    </xf>
    <xf numFmtId="14" fontId="15" fillId="0" borderId="4" xfId="44" applyNumberFormat="1" applyFont="1" applyFill="1" applyBorder="1" applyAlignment="1" applyProtection="1">
      <alignment horizontal="center" wrapText="1"/>
      <protection locked="0"/>
    </xf>
    <xf numFmtId="14" fontId="15" fillId="0" borderId="6" xfId="44" applyNumberFormat="1" applyFont="1" applyFill="1" applyBorder="1" applyAlignment="1" applyProtection="1">
      <alignment horizontal="center" wrapText="1"/>
      <protection locked="0"/>
    </xf>
    <xf numFmtId="0" fontId="65" fillId="9" borderId="4" xfId="44" applyFont="1" applyFill="1" applyBorder="1" applyAlignment="1">
      <alignment horizontal="left" wrapText="1"/>
    </xf>
    <xf numFmtId="0" fontId="65" fillId="9" borderId="13" xfId="44" applyFont="1" applyFill="1" applyBorder="1" applyAlignment="1">
      <alignment horizontal="left" wrapText="1"/>
    </xf>
    <xf numFmtId="44" fontId="5" fillId="0" borderId="4" xfId="45" applyFont="1" applyFill="1" applyBorder="1" applyAlignment="1" applyProtection="1">
      <alignment horizontal="center" wrapText="1"/>
      <protection locked="0"/>
    </xf>
    <xf numFmtId="14" fontId="15" fillId="0" borderId="4" xfId="45" applyNumberFormat="1" applyFont="1" applyFill="1" applyBorder="1" applyAlignment="1" applyProtection="1">
      <alignment horizontal="center" wrapText="1"/>
      <protection locked="0"/>
    </xf>
    <xf numFmtId="14" fontId="15" fillId="0" borderId="6" xfId="45" applyNumberFormat="1" applyFont="1" applyFill="1" applyBorder="1" applyAlignment="1" applyProtection="1">
      <alignment horizontal="center" wrapText="1"/>
      <protection locked="0"/>
    </xf>
    <xf numFmtId="44" fontId="66" fillId="0" borderId="4" xfId="45" applyFont="1" applyFill="1" applyBorder="1" applyAlignment="1" applyProtection="1">
      <alignment horizontal="center" wrapText="1"/>
      <protection locked="0"/>
    </xf>
    <xf numFmtId="164" fontId="10" fillId="0" borderId="2" xfId="11" applyNumberFormat="1" applyFont="1" applyFill="1" applyBorder="1" applyAlignment="1" applyProtection="1">
      <alignment horizontal="center" vertical="center" wrapText="1"/>
      <protection locked="0"/>
    </xf>
    <xf numFmtId="0" fontId="6" fillId="0" borderId="2" xfId="11" applyFont="1" applyFill="1" applyBorder="1" applyAlignment="1" applyProtection="1">
      <alignment horizontal="center" vertical="top" wrapText="1"/>
      <protection locked="0"/>
    </xf>
  </cellXfs>
  <cellStyles count="46">
    <cellStyle name=" _x0007_LÓ_x0018_ÄþÍN^NuNVþˆHÁ_x0001__x0018_(n" xfId="1"/>
    <cellStyle name="%" xfId="28"/>
    <cellStyle name="Comma 2" xfId="41"/>
    <cellStyle name="Comma 3" xfId="42"/>
    <cellStyle name="Comma-Growth" xfId="2"/>
    <cellStyle name="Currency" xfId="3" builtinId="4"/>
    <cellStyle name="Currency 2" xfId="8"/>
    <cellStyle name="Currency 2 2" xfId="9"/>
    <cellStyle name="Currency 3" xfId="40"/>
    <cellStyle name="Currency 4" xfId="43"/>
    <cellStyle name="Currency 5" xfId="45"/>
    <cellStyle name="Grey" xfId="29"/>
    <cellStyle name="Header1" xfId="30"/>
    <cellStyle name="Header2" xfId="31"/>
    <cellStyle name="Input [yellow]" xfId="32"/>
    <cellStyle name="Normal" xfId="0" builtinId="0"/>
    <cellStyle name="Normal - Style1" xfId="33"/>
    <cellStyle name="Normal 2" xfId="6"/>
    <cellStyle name="Normal 2 2" xfId="11"/>
    <cellStyle name="Normal 2 3" xfId="10"/>
    <cellStyle name="Normal 3" xfId="12"/>
    <cellStyle name="Normal 3 10" xfId="21"/>
    <cellStyle name="Normal 3 11" xfId="22"/>
    <cellStyle name="Normal 3 12" xfId="23"/>
    <cellStyle name="Normal 3 13" xfId="24"/>
    <cellStyle name="Normal 3 14" xfId="25"/>
    <cellStyle name="Normal 3 2" xfId="13"/>
    <cellStyle name="Normal 3 3" xfId="14"/>
    <cellStyle name="Normal 3 4" xfId="15"/>
    <cellStyle name="Normal 3 5" xfId="16"/>
    <cellStyle name="Normal 3 6" xfId="17"/>
    <cellStyle name="Normal 3 7" xfId="18"/>
    <cellStyle name="Normal 3 8" xfId="19"/>
    <cellStyle name="Normal 3 9" xfId="20"/>
    <cellStyle name="Normal 4" xfId="38"/>
    <cellStyle name="Normal 4 4 2" xfId="7"/>
    <cellStyle name="Normal 5" xfId="39"/>
    <cellStyle name="Normal 6" xfId="44"/>
    <cellStyle name="Normal_Bom" xfId="37"/>
    <cellStyle name="Normal_Copy of DA_SBC_0028_Contract_Prices_PS08" xfId="4"/>
    <cellStyle name="Normal_CPFF Model" xfId="27"/>
    <cellStyle name="Normal_Ethernet " xfId="5"/>
    <cellStyle name="Normal_Internet Services" xfId="26"/>
    <cellStyle name="Percent [2]" xfId="34"/>
    <cellStyle name="PSChar" xfId="35"/>
    <cellStyle name="PSHeading" xfId="36"/>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5.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123825</xdr:colOff>
      <xdr:row>7</xdr:row>
      <xdr:rowOff>57150</xdr:rowOff>
    </xdr:from>
    <xdr:to>
      <xdr:col>8</xdr:col>
      <xdr:colOff>352425</xdr:colOff>
      <xdr:row>8</xdr:row>
      <xdr:rowOff>152400</xdr:rowOff>
    </xdr:to>
    <xdr:sp macro="" textlink="">
      <xdr:nvSpPr>
        <xdr:cNvPr id="2" name="Text Box 1"/>
        <xdr:cNvSpPr txBox="1">
          <a:spLocks noChangeArrowheads="1"/>
        </xdr:cNvSpPr>
      </xdr:nvSpPr>
      <xdr:spPr bwMode="auto">
        <a:xfrm>
          <a:off x="1333500" y="1133475"/>
          <a:ext cx="3276600" cy="257175"/>
        </a:xfrm>
        <a:prstGeom prst="rect">
          <a:avLst/>
        </a:prstGeom>
        <a:solidFill>
          <a:srgbClr val="FFFFFF"/>
        </a:solidFill>
        <a:ln w="9525">
          <a:noFill/>
          <a:miter lim="800000"/>
          <a:headEnd/>
          <a:tailEnd/>
        </a:ln>
      </xdr:spPr>
      <xdr:txBody>
        <a:bodyPr vertOverflow="clip" wrap="square" lIns="36576" tIns="32004" rIns="36576" bIns="0" anchor="t" upright="1"/>
        <a:lstStyle/>
        <a:p>
          <a:pPr algn="ctr" rtl="0">
            <a:defRPr sz="1000"/>
          </a:pPr>
          <a:r>
            <a:rPr lang="en-US" sz="1400" b="1" i="0" strike="noStrike">
              <a:solidFill>
                <a:srgbClr val="000000"/>
              </a:solidFill>
              <a:latin typeface="Times New Roman"/>
              <a:cs typeface="Times New Roman"/>
            </a:rPr>
            <a:t>USE AND DISCLOSURE OF DATA</a:t>
          </a:r>
        </a:p>
      </xdr:txBody>
    </xdr:sp>
    <xdr:clientData/>
  </xdr:twoCellAnchor>
  <xdr:twoCellAnchor>
    <xdr:from>
      <xdr:col>3</xdr:col>
      <xdr:colOff>76200</xdr:colOff>
      <xdr:row>22</xdr:row>
      <xdr:rowOff>47625</xdr:rowOff>
    </xdr:from>
    <xdr:to>
      <xdr:col>8</xdr:col>
      <xdr:colOff>466725</xdr:colOff>
      <xdr:row>23</xdr:row>
      <xdr:rowOff>142875</xdr:rowOff>
    </xdr:to>
    <xdr:sp macro="" textlink="">
      <xdr:nvSpPr>
        <xdr:cNvPr id="3" name="Text Box 2"/>
        <xdr:cNvSpPr txBox="1">
          <a:spLocks noChangeArrowheads="1"/>
        </xdr:cNvSpPr>
      </xdr:nvSpPr>
      <xdr:spPr bwMode="auto">
        <a:xfrm>
          <a:off x="1285875" y="3667125"/>
          <a:ext cx="3438525" cy="257175"/>
        </a:xfrm>
        <a:prstGeom prst="rect">
          <a:avLst/>
        </a:prstGeom>
        <a:solidFill>
          <a:srgbClr val="FFFFFF"/>
        </a:solidFill>
        <a:ln w="9525">
          <a:noFill/>
          <a:miter lim="800000"/>
          <a:headEnd/>
          <a:tailEnd/>
        </a:ln>
      </xdr:spPr>
      <xdr:txBody>
        <a:bodyPr vertOverflow="clip" wrap="square" lIns="36576" tIns="32004" rIns="36576" bIns="0" anchor="t" upright="1"/>
        <a:lstStyle/>
        <a:p>
          <a:pPr algn="ctr" rtl="0">
            <a:defRPr sz="1000"/>
          </a:pPr>
          <a:r>
            <a:rPr lang="en-US" sz="1400" b="1" i="0" strike="noStrike">
              <a:solidFill>
                <a:srgbClr val="000000"/>
              </a:solidFill>
              <a:latin typeface="Times New Roman"/>
              <a:cs typeface="Times New Roman"/>
            </a:rPr>
            <a:t>DISCLAIMER</a:t>
          </a:r>
        </a:p>
      </xdr:txBody>
    </xdr:sp>
    <xdr:clientData/>
  </xdr:twoCellAnchor>
  <xdr:twoCellAnchor>
    <xdr:from>
      <xdr:col>3</xdr:col>
      <xdr:colOff>123825</xdr:colOff>
      <xdr:row>7</xdr:row>
      <xdr:rowOff>57150</xdr:rowOff>
    </xdr:from>
    <xdr:to>
      <xdr:col>8</xdr:col>
      <xdr:colOff>352425</xdr:colOff>
      <xdr:row>8</xdr:row>
      <xdr:rowOff>152400</xdr:rowOff>
    </xdr:to>
    <xdr:sp macro="" textlink="">
      <xdr:nvSpPr>
        <xdr:cNvPr id="4" name="Text Box 3"/>
        <xdr:cNvSpPr txBox="1">
          <a:spLocks noChangeArrowheads="1"/>
        </xdr:cNvSpPr>
      </xdr:nvSpPr>
      <xdr:spPr bwMode="auto">
        <a:xfrm>
          <a:off x="1333500" y="1133475"/>
          <a:ext cx="3276600" cy="257175"/>
        </a:xfrm>
        <a:prstGeom prst="rect">
          <a:avLst/>
        </a:prstGeom>
        <a:solidFill>
          <a:srgbClr val="FFFFFF"/>
        </a:solidFill>
        <a:ln w="9525">
          <a:noFill/>
          <a:miter lim="800000"/>
          <a:headEnd/>
          <a:tailEnd/>
        </a:ln>
      </xdr:spPr>
      <xdr:txBody>
        <a:bodyPr vertOverflow="clip" wrap="square" lIns="36576" tIns="32004" rIns="36576" bIns="0" anchor="t" upright="1"/>
        <a:lstStyle/>
        <a:p>
          <a:pPr algn="ctr" rtl="0">
            <a:defRPr sz="1000"/>
          </a:pPr>
          <a:r>
            <a:rPr lang="en-US" sz="1400" b="1" i="0" u="none" strike="noStrike" baseline="0">
              <a:solidFill>
                <a:srgbClr val="000000"/>
              </a:solidFill>
              <a:latin typeface="Times New Roman"/>
              <a:cs typeface="Times New Roman"/>
            </a:rPr>
            <a:t>USE AND DISCLOSURE OF DATA</a:t>
          </a:r>
        </a:p>
      </xdr:txBody>
    </xdr:sp>
    <xdr:clientData/>
  </xdr:twoCellAnchor>
  <xdr:twoCellAnchor>
    <xdr:from>
      <xdr:col>3</xdr:col>
      <xdr:colOff>76200</xdr:colOff>
      <xdr:row>22</xdr:row>
      <xdr:rowOff>47625</xdr:rowOff>
    </xdr:from>
    <xdr:to>
      <xdr:col>8</xdr:col>
      <xdr:colOff>466725</xdr:colOff>
      <xdr:row>23</xdr:row>
      <xdr:rowOff>142875</xdr:rowOff>
    </xdr:to>
    <xdr:sp macro="" textlink="">
      <xdr:nvSpPr>
        <xdr:cNvPr id="5" name="Text Box 4"/>
        <xdr:cNvSpPr txBox="1">
          <a:spLocks noChangeArrowheads="1"/>
        </xdr:cNvSpPr>
      </xdr:nvSpPr>
      <xdr:spPr bwMode="auto">
        <a:xfrm>
          <a:off x="1285875" y="3667125"/>
          <a:ext cx="3438525" cy="257175"/>
        </a:xfrm>
        <a:prstGeom prst="rect">
          <a:avLst/>
        </a:prstGeom>
        <a:solidFill>
          <a:srgbClr val="FFFFFF"/>
        </a:solidFill>
        <a:ln w="9525">
          <a:noFill/>
          <a:miter lim="800000"/>
          <a:headEnd/>
          <a:tailEnd/>
        </a:ln>
      </xdr:spPr>
      <xdr:txBody>
        <a:bodyPr vertOverflow="clip" wrap="square" lIns="36576" tIns="32004" rIns="36576" bIns="0" anchor="t" upright="1"/>
        <a:lstStyle/>
        <a:p>
          <a:pPr algn="ctr" rtl="0">
            <a:defRPr sz="1000"/>
          </a:pPr>
          <a:r>
            <a:rPr lang="en-US" sz="1400" b="1" i="0" u="none" strike="noStrike" baseline="0">
              <a:solidFill>
                <a:srgbClr val="000000"/>
              </a:solidFill>
              <a:latin typeface="Times New Roman"/>
              <a:cs typeface="Times New Roman"/>
            </a:rPr>
            <a:t>NOTICE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abeleswong/My%20Documents/_PROPOSAL%20CENTER/_Federal%20Proposal%20Center/Documents%20and%20Settings/rrowzie/Local%20Settings/Temporary%20Internet%20Files/OLKC/dol.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DJUST DISCOUNTS ONLY HERE"/>
      <sheetName val="YEAR 1"/>
      <sheetName val="YEAR 2"/>
      <sheetName val="YEAR 3"/>
      <sheetName val="YEAR 4"/>
      <sheetName val="YEAR 5"/>
      <sheetName val="Task Order 1"/>
      <sheetName val="DETAIL"/>
      <sheetName val="TRANSITION"/>
      <sheetName val="UPDATE DIVISION BID RATE"/>
      <sheetName val="Business Case"/>
      <sheetName val="Use and Discl ATT Sub"/>
      <sheetName val="Use and Discl ATT Prime"/>
      <sheetName val="TRAVEL"/>
      <sheetName val="ODC"/>
      <sheetName val="MATLS COSTS"/>
      <sheetName val="INDIRECT TABLE"/>
      <sheetName val="ESCALATION TABLE"/>
      <sheetName val="BID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26.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27.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vmlDrawing" Target="../drawings/vmlDrawing28.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vmlDrawing" Target="../drawings/vmlDrawing29.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vmlDrawing" Target="../drawings/vmlDrawing30.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vmlDrawing" Target="../drawings/vmlDrawing31.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vmlDrawing" Target="../drawings/vmlDrawing32.v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vmlDrawing" Target="../drawings/vmlDrawing33.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vmlDrawing" Target="../drawings/vmlDrawing34.v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vmlDrawing" Target="../drawings/vmlDrawing35.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sheet1.xml><?xml version="1.0" encoding="utf-8"?>
<worksheet xmlns="http://schemas.openxmlformats.org/spreadsheetml/2006/main" xmlns:r="http://schemas.openxmlformats.org/officeDocument/2006/relationships">
  <sheetPr>
    <pageSetUpPr fitToPage="1"/>
  </sheetPr>
  <dimension ref="A1:K54"/>
  <sheetViews>
    <sheetView showGridLines="0" workbookViewId="0">
      <selection activeCell="C4" sqref="C4"/>
    </sheetView>
  </sheetViews>
  <sheetFormatPr defaultRowHeight="12.75"/>
  <cols>
    <col min="1" max="1" width="0.6640625" style="673" customWidth="1"/>
    <col min="2" max="2" width="9.83203125" style="673" customWidth="1"/>
    <col min="3" max="8" width="9.33203125" style="673"/>
    <col min="9" max="9" width="30.1640625" style="673" customWidth="1"/>
    <col min="10" max="10" width="21.83203125" style="673" customWidth="1"/>
    <col min="11" max="11" width="0.6640625" style="673" customWidth="1"/>
    <col min="12" max="256" width="9.33203125" style="673"/>
    <col min="257" max="257" width="0.6640625" style="673" customWidth="1"/>
    <col min="258" max="258" width="9.83203125" style="673" customWidth="1"/>
    <col min="259" max="264" width="9.33203125" style="673"/>
    <col min="265" max="265" width="17.5" style="673" customWidth="1"/>
    <col min="266" max="266" width="10" style="673" customWidth="1"/>
    <col min="267" max="267" width="0.6640625" style="673" customWidth="1"/>
    <col min="268" max="512" width="9.33203125" style="673"/>
    <col min="513" max="513" width="0.6640625" style="673" customWidth="1"/>
    <col min="514" max="514" width="9.83203125" style="673" customWidth="1"/>
    <col min="515" max="520" width="9.33203125" style="673"/>
    <col min="521" max="521" width="17.5" style="673" customWidth="1"/>
    <col min="522" max="522" width="10" style="673" customWidth="1"/>
    <col min="523" max="523" width="0.6640625" style="673" customWidth="1"/>
    <col min="524" max="768" width="9.33203125" style="673"/>
    <col min="769" max="769" width="0.6640625" style="673" customWidth="1"/>
    <col min="770" max="770" width="9.83203125" style="673" customWidth="1"/>
    <col min="771" max="776" width="9.33203125" style="673"/>
    <col min="777" max="777" width="17.5" style="673" customWidth="1"/>
    <col min="778" max="778" width="10" style="673" customWidth="1"/>
    <col min="779" max="779" width="0.6640625" style="673" customWidth="1"/>
    <col min="780" max="1024" width="9.33203125" style="673"/>
    <col min="1025" max="1025" width="0.6640625" style="673" customWidth="1"/>
    <col min="1026" max="1026" width="9.83203125" style="673" customWidth="1"/>
    <col min="1027" max="1032" width="9.33203125" style="673"/>
    <col min="1033" max="1033" width="17.5" style="673" customWidth="1"/>
    <col min="1034" max="1034" width="10" style="673" customWidth="1"/>
    <col min="1035" max="1035" width="0.6640625" style="673" customWidth="1"/>
    <col min="1036" max="1280" width="9.33203125" style="673"/>
    <col min="1281" max="1281" width="0.6640625" style="673" customWidth="1"/>
    <col min="1282" max="1282" width="9.83203125" style="673" customWidth="1"/>
    <col min="1283" max="1288" width="9.33203125" style="673"/>
    <col min="1289" max="1289" width="17.5" style="673" customWidth="1"/>
    <col min="1290" max="1290" width="10" style="673" customWidth="1"/>
    <col min="1291" max="1291" width="0.6640625" style="673" customWidth="1"/>
    <col min="1292" max="1536" width="9.33203125" style="673"/>
    <col min="1537" max="1537" width="0.6640625" style="673" customWidth="1"/>
    <col min="1538" max="1538" width="9.83203125" style="673" customWidth="1"/>
    <col min="1539" max="1544" width="9.33203125" style="673"/>
    <col min="1545" max="1545" width="17.5" style="673" customWidth="1"/>
    <col min="1546" max="1546" width="10" style="673" customWidth="1"/>
    <col min="1547" max="1547" width="0.6640625" style="673" customWidth="1"/>
    <col min="1548" max="1792" width="9.33203125" style="673"/>
    <col min="1793" max="1793" width="0.6640625" style="673" customWidth="1"/>
    <col min="1794" max="1794" width="9.83203125" style="673" customWidth="1"/>
    <col min="1795" max="1800" width="9.33203125" style="673"/>
    <col min="1801" max="1801" width="17.5" style="673" customWidth="1"/>
    <col min="1802" max="1802" width="10" style="673" customWidth="1"/>
    <col min="1803" max="1803" width="0.6640625" style="673" customWidth="1"/>
    <col min="1804" max="2048" width="9.33203125" style="673"/>
    <col min="2049" max="2049" width="0.6640625" style="673" customWidth="1"/>
    <col min="2050" max="2050" width="9.83203125" style="673" customWidth="1"/>
    <col min="2051" max="2056" width="9.33203125" style="673"/>
    <col min="2057" max="2057" width="17.5" style="673" customWidth="1"/>
    <col min="2058" max="2058" width="10" style="673" customWidth="1"/>
    <col min="2059" max="2059" width="0.6640625" style="673" customWidth="1"/>
    <col min="2060" max="2304" width="9.33203125" style="673"/>
    <col min="2305" max="2305" width="0.6640625" style="673" customWidth="1"/>
    <col min="2306" max="2306" width="9.83203125" style="673" customWidth="1"/>
    <col min="2307" max="2312" width="9.33203125" style="673"/>
    <col min="2313" max="2313" width="17.5" style="673" customWidth="1"/>
    <col min="2314" max="2314" width="10" style="673" customWidth="1"/>
    <col min="2315" max="2315" width="0.6640625" style="673" customWidth="1"/>
    <col min="2316" max="2560" width="9.33203125" style="673"/>
    <col min="2561" max="2561" width="0.6640625" style="673" customWidth="1"/>
    <col min="2562" max="2562" width="9.83203125" style="673" customWidth="1"/>
    <col min="2563" max="2568" width="9.33203125" style="673"/>
    <col min="2569" max="2569" width="17.5" style="673" customWidth="1"/>
    <col min="2570" max="2570" width="10" style="673" customWidth="1"/>
    <col min="2571" max="2571" width="0.6640625" style="673" customWidth="1"/>
    <col min="2572" max="2816" width="9.33203125" style="673"/>
    <col min="2817" max="2817" width="0.6640625" style="673" customWidth="1"/>
    <col min="2818" max="2818" width="9.83203125" style="673" customWidth="1"/>
    <col min="2819" max="2824" width="9.33203125" style="673"/>
    <col min="2825" max="2825" width="17.5" style="673" customWidth="1"/>
    <col min="2826" max="2826" width="10" style="673" customWidth="1"/>
    <col min="2827" max="2827" width="0.6640625" style="673" customWidth="1"/>
    <col min="2828" max="3072" width="9.33203125" style="673"/>
    <col min="3073" max="3073" width="0.6640625" style="673" customWidth="1"/>
    <col min="3074" max="3074" width="9.83203125" style="673" customWidth="1"/>
    <col min="3075" max="3080" width="9.33203125" style="673"/>
    <col min="3081" max="3081" width="17.5" style="673" customWidth="1"/>
    <col min="3082" max="3082" width="10" style="673" customWidth="1"/>
    <col min="3083" max="3083" width="0.6640625" style="673" customWidth="1"/>
    <col min="3084" max="3328" width="9.33203125" style="673"/>
    <col min="3329" max="3329" width="0.6640625" style="673" customWidth="1"/>
    <col min="3330" max="3330" width="9.83203125" style="673" customWidth="1"/>
    <col min="3331" max="3336" width="9.33203125" style="673"/>
    <col min="3337" max="3337" width="17.5" style="673" customWidth="1"/>
    <col min="3338" max="3338" width="10" style="673" customWidth="1"/>
    <col min="3339" max="3339" width="0.6640625" style="673" customWidth="1"/>
    <col min="3340" max="3584" width="9.33203125" style="673"/>
    <col min="3585" max="3585" width="0.6640625" style="673" customWidth="1"/>
    <col min="3586" max="3586" width="9.83203125" style="673" customWidth="1"/>
    <col min="3587" max="3592" width="9.33203125" style="673"/>
    <col min="3593" max="3593" width="17.5" style="673" customWidth="1"/>
    <col min="3594" max="3594" width="10" style="673" customWidth="1"/>
    <col min="3595" max="3595" width="0.6640625" style="673" customWidth="1"/>
    <col min="3596" max="3840" width="9.33203125" style="673"/>
    <col min="3841" max="3841" width="0.6640625" style="673" customWidth="1"/>
    <col min="3842" max="3842" width="9.83203125" style="673" customWidth="1"/>
    <col min="3843" max="3848" width="9.33203125" style="673"/>
    <col min="3849" max="3849" width="17.5" style="673" customWidth="1"/>
    <col min="3850" max="3850" width="10" style="673" customWidth="1"/>
    <col min="3851" max="3851" width="0.6640625" style="673" customWidth="1"/>
    <col min="3852" max="4096" width="9.33203125" style="673"/>
    <col min="4097" max="4097" width="0.6640625" style="673" customWidth="1"/>
    <col min="4098" max="4098" width="9.83203125" style="673" customWidth="1"/>
    <col min="4099" max="4104" width="9.33203125" style="673"/>
    <col min="4105" max="4105" width="17.5" style="673" customWidth="1"/>
    <col min="4106" max="4106" width="10" style="673" customWidth="1"/>
    <col min="4107" max="4107" width="0.6640625" style="673" customWidth="1"/>
    <col min="4108" max="4352" width="9.33203125" style="673"/>
    <col min="4353" max="4353" width="0.6640625" style="673" customWidth="1"/>
    <col min="4354" max="4354" width="9.83203125" style="673" customWidth="1"/>
    <col min="4355" max="4360" width="9.33203125" style="673"/>
    <col min="4361" max="4361" width="17.5" style="673" customWidth="1"/>
    <col min="4362" max="4362" width="10" style="673" customWidth="1"/>
    <col min="4363" max="4363" width="0.6640625" style="673" customWidth="1"/>
    <col min="4364" max="4608" width="9.33203125" style="673"/>
    <col min="4609" max="4609" width="0.6640625" style="673" customWidth="1"/>
    <col min="4610" max="4610" width="9.83203125" style="673" customWidth="1"/>
    <col min="4611" max="4616" width="9.33203125" style="673"/>
    <col min="4617" max="4617" width="17.5" style="673" customWidth="1"/>
    <col min="4618" max="4618" width="10" style="673" customWidth="1"/>
    <col min="4619" max="4619" width="0.6640625" style="673" customWidth="1"/>
    <col min="4620" max="4864" width="9.33203125" style="673"/>
    <col min="4865" max="4865" width="0.6640625" style="673" customWidth="1"/>
    <col min="4866" max="4866" width="9.83203125" style="673" customWidth="1"/>
    <col min="4867" max="4872" width="9.33203125" style="673"/>
    <col min="4873" max="4873" width="17.5" style="673" customWidth="1"/>
    <col min="4874" max="4874" width="10" style="673" customWidth="1"/>
    <col min="4875" max="4875" width="0.6640625" style="673" customWidth="1"/>
    <col min="4876" max="5120" width="9.33203125" style="673"/>
    <col min="5121" max="5121" width="0.6640625" style="673" customWidth="1"/>
    <col min="5122" max="5122" width="9.83203125" style="673" customWidth="1"/>
    <col min="5123" max="5128" width="9.33203125" style="673"/>
    <col min="5129" max="5129" width="17.5" style="673" customWidth="1"/>
    <col min="5130" max="5130" width="10" style="673" customWidth="1"/>
    <col min="5131" max="5131" width="0.6640625" style="673" customWidth="1"/>
    <col min="5132" max="5376" width="9.33203125" style="673"/>
    <col min="5377" max="5377" width="0.6640625" style="673" customWidth="1"/>
    <col min="5378" max="5378" width="9.83203125" style="673" customWidth="1"/>
    <col min="5379" max="5384" width="9.33203125" style="673"/>
    <col min="5385" max="5385" width="17.5" style="673" customWidth="1"/>
    <col min="5386" max="5386" width="10" style="673" customWidth="1"/>
    <col min="5387" max="5387" width="0.6640625" style="673" customWidth="1"/>
    <col min="5388" max="5632" width="9.33203125" style="673"/>
    <col min="5633" max="5633" width="0.6640625" style="673" customWidth="1"/>
    <col min="5634" max="5634" width="9.83203125" style="673" customWidth="1"/>
    <col min="5635" max="5640" width="9.33203125" style="673"/>
    <col min="5641" max="5641" width="17.5" style="673" customWidth="1"/>
    <col min="5642" max="5642" width="10" style="673" customWidth="1"/>
    <col min="5643" max="5643" width="0.6640625" style="673" customWidth="1"/>
    <col min="5644" max="5888" width="9.33203125" style="673"/>
    <col min="5889" max="5889" width="0.6640625" style="673" customWidth="1"/>
    <col min="5890" max="5890" width="9.83203125" style="673" customWidth="1"/>
    <col min="5891" max="5896" width="9.33203125" style="673"/>
    <col min="5897" max="5897" width="17.5" style="673" customWidth="1"/>
    <col min="5898" max="5898" width="10" style="673" customWidth="1"/>
    <col min="5899" max="5899" width="0.6640625" style="673" customWidth="1"/>
    <col min="5900" max="6144" width="9.33203125" style="673"/>
    <col min="6145" max="6145" width="0.6640625" style="673" customWidth="1"/>
    <col min="6146" max="6146" width="9.83203125" style="673" customWidth="1"/>
    <col min="6147" max="6152" width="9.33203125" style="673"/>
    <col min="6153" max="6153" width="17.5" style="673" customWidth="1"/>
    <col min="6154" max="6154" width="10" style="673" customWidth="1"/>
    <col min="6155" max="6155" width="0.6640625" style="673" customWidth="1"/>
    <col min="6156" max="6400" width="9.33203125" style="673"/>
    <col min="6401" max="6401" width="0.6640625" style="673" customWidth="1"/>
    <col min="6402" max="6402" width="9.83203125" style="673" customWidth="1"/>
    <col min="6403" max="6408" width="9.33203125" style="673"/>
    <col min="6409" max="6409" width="17.5" style="673" customWidth="1"/>
    <col min="6410" max="6410" width="10" style="673" customWidth="1"/>
    <col min="6411" max="6411" width="0.6640625" style="673" customWidth="1"/>
    <col min="6412" max="6656" width="9.33203125" style="673"/>
    <col min="6657" max="6657" width="0.6640625" style="673" customWidth="1"/>
    <col min="6658" max="6658" width="9.83203125" style="673" customWidth="1"/>
    <col min="6659" max="6664" width="9.33203125" style="673"/>
    <col min="6665" max="6665" width="17.5" style="673" customWidth="1"/>
    <col min="6666" max="6666" width="10" style="673" customWidth="1"/>
    <col min="6667" max="6667" width="0.6640625" style="673" customWidth="1"/>
    <col min="6668" max="6912" width="9.33203125" style="673"/>
    <col min="6913" max="6913" width="0.6640625" style="673" customWidth="1"/>
    <col min="6914" max="6914" width="9.83203125" style="673" customWidth="1"/>
    <col min="6915" max="6920" width="9.33203125" style="673"/>
    <col min="6921" max="6921" width="17.5" style="673" customWidth="1"/>
    <col min="6922" max="6922" width="10" style="673" customWidth="1"/>
    <col min="6923" max="6923" width="0.6640625" style="673" customWidth="1"/>
    <col min="6924" max="7168" width="9.33203125" style="673"/>
    <col min="7169" max="7169" width="0.6640625" style="673" customWidth="1"/>
    <col min="7170" max="7170" width="9.83203125" style="673" customWidth="1"/>
    <col min="7171" max="7176" width="9.33203125" style="673"/>
    <col min="7177" max="7177" width="17.5" style="673" customWidth="1"/>
    <col min="7178" max="7178" width="10" style="673" customWidth="1"/>
    <col min="7179" max="7179" width="0.6640625" style="673" customWidth="1"/>
    <col min="7180" max="7424" width="9.33203125" style="673"/>
    <col min="7425" max="7425" width="0.6640625" style="673" customWidth="1"/>
    <col min="7426" max="7426" width="9.83203125" style="673" customWidth="1"/>
    <col min="7427" max="7432" width="9.33203125" style="673"/>
    <col min="7433" max="7433" width="17.5" style="673" customWidth="1"/>
    <col min="7434" max="7434" width="10" style="673" customWidth="1"/>
    <col min="7435" max="7435" width="0.6640625" style="673" customWidth="1"/>
    <col min="7436" max="7680" width="9.33203125" style="673"/>
    <col min="7681" max="7681" width="0.6640625" style="673" customWidth="1"/>
    <col min="7682" max="7682" width="9.83203125" style="673" customWidth="1"/>
    <col min="7683" max="7688" width="9.33203125" style="673"/>
    <col min="7689" max="7689" width="17.5" style="673" customWidth="1"/>
    <col min="7690" max="7690" width="10" style="673" customWidth="1"/>
    <col min="7691" max="7691" width="0.6640625" style="673" customWidth="1"/>
    <col min="7692" max="7936" width="9.33203125" style="673"/>
    <col min="7937" max="7937" width="0.6640625" style="673" customWidth="1"/>
    <col min="7938" max="7938" width="9.83203125" style="673" customWidth="1"/>
    <col min="7939" max="7944" width="9.33203125" style="673"/>
    <col min="7945" max="7945" width="17.5" style="673" customWidth="1"/>
    <col min="7946" max="7946" width="10" style="673" customWidth="1"/>
    <col min="7947" max="7947" width="0.6640625" style="673" customWidth="1"/>
    <col min="7948" max="8192" width="9.33203125" style="673"/>
    <col min="8193" max="8193" width="0.6640625" style="673" customWidth="1"/>
    <col min="8194" max="8194" width="9.83203125" style="673" customWidth="1"/>
    <col min="8195" max="8200" width="9.33203125" style="673"/>
    <col min="8201" max="8201" width="17.5" style="673" customWidth="1"/>
    <col min="8202" max="8202" width="10" style="673" customWidth="1"/>
    <col min="8203" max="8203" width="0.6640625" style="673" customWidth="1"/>
    <col min="8204" max="8448" width="9.33203125" style="673"/>
    <col min="8449" max="8449" width="0.6640625" style="673" customWidth="1"/>
    <col min="8450" max="8450" width="9.83203125" style="673" customWidth="1"/>
    <col min="8451" max="8456" width="9.33203125" style="673"/>
    <col min="8457" max="8457" width="17.5" style="673" customWidth="1"/>
    <col min="8458" max="8458" width="10" style="673" customWidth="1"/>
    <col min="8459" max="8459" width="0.6640625" style="673" customWidth="1"/>
    <col min="8460" max="8704" width="9.33203125" style="673"/>
    <col min="8705" max="8705" width="0.6640625" style="673" customWidth="1"/>
    <col min="8706" max="8706" width="9.83203125" style="673" customWidth="1"/>
    <col min="8707" max="8712" width="9.33203125" style="673"/>
    <col min="8713" max="8713" width="17.5" style="673" customWidth="1"/>
    <col min="8714" max="8714" width="10" style="673" customWidth="1"/>
    <col min="8715" max="8715" width="0.6640625" style="673" customWidth="1"/>
    <col min="8716" max="8960" width="9.33203125" style="673"/>
    <col min="8961" max="8961" width="0.6640625" style="673" customWidth="1"/>
    <col min="8962" max="8962" width="9.83203125" style="673" customWidth="1"/>
    <col min="8963" max="8968" width="9.33203125" style="673"/>
    <col min="8969" max="8969" width="17.5" style="673" customWidth="1"/>
    <col min="8970" max="8970" width="10" style="673" customWidth="1"/>
    <col min="8971" max="8971" width="0.6640625" style="673" customWidth="1"/>
    <col min="8972" max="9216" width="9.33203125" style="673"/>
    <col min="9217" max="9217" width="0.6640625" style="673" customWidth="1"/>
    <col min="9218" max="9218" width="9.83203125" style="673" customWidth="1"/>
    <col min="9219" max="9224" width="9.33203125" style="673"/>
    <col min="9225" max="9225" width="17.5" style="673" customWidth="1"/>
    <col min="9226" max="9226" width="10" style="673" customWidth="1"/>
    <col min="9227" max="9227" width="0.6640625" style="673" customWidth="1"/>
    <col min="9228" max="9472" width="9.33203125" style="673"/>
    <col min="9473" max="9473" width="0.6640625" style="673" customWidth="1"/>
    <col min="9474" max="9474" width="9.83203125" style="673" customWidth="1"/>
    <col min="9475" max="9480" width="9.33203125" style="673"/>
    <col min="9481" max="9481" width="17.5" style="673" customWidth="1"/>
    <col min="9482" max="9482" width="10" style="673" customWidth="1"/>
    <col min="9483" max="9483" width="0.6640625" style="673" customWidth="1"/>
    <col min="9484" max="9728" width="9.33203125" style="673"/>
    <col min="9729" max="9729" width="0.6640625" style="673" customWidth="1"/>
    <col min="9730" max="9730" width="9.83203125" style="673" customWidth="1"/>
    <col min="9731" max="9736" width="9.33203125" style="673"/>
    <col min="9737" max="9737" width="17.5" style="673" customWidth="1"/>
    <col min="9738" max="9738" width="10" style="673" customWidth="1"/>
    <col min="9739" max="9739" width="0.6640625" style="673" customWidth="1"/>
    <col min="9740" max="9984" width="9.33203125" style="673"/>
    <col min="9985" max="9985" width="0.6640625" style="673" customWidth="1"/>
    <col min="9986" max="9986" width="9.83203125" style="673" customWidth="1"/>
    <col min="9987" max="9992" width="9.33203125" style="673"/>
    <col min="9993" max="9993" width="17.5" style="673" customWidth="1"/>
    <col min="9994" max="9994" width="10" style="673" customWidth="1"/>
    <col min="9995" max="9995" width="0.6640625" style="673" customWidth="1"/>
    <col min="9996" max="10240" width="9.33203125" style="673"/>
    <col min="10241" max="10241" width="0.6640625" style="673" customWidth="1"/>
    <col min="10242" max="10242" width="9.83203125" style="673" customWidth="1"/>
    <col min="10243" max="10248" width="9.33203125" style="673"/>
    <col min="10249" max="10249" width="17.5" style="673" customWidth="1"/>
    <col min="10250" max="10250" width="10" style="673" customWidth="1"/>
    <col min="10251" max="10251" width="0.6640625" style="673" customWidth="1"/>
    <col min="10252" max="10496" width="9.33203125" style="673"/>
    <col min="10497" max="10497" width="0.6640625" style="673" customWidth="1"/>
    <col min="10498" max="10498" width="9.83203125" style="673" customWidth="1"/>
    <col min="10499" max="10504" width="9.33203125" style="673"/>
    <col min="10505" max="10505" width="17.5" style="673" customWidth="1"/>
    <col min="10506" max="10506" width="10" style="673" customWidth="1"/>
    <col min="10507" max="10507" width="0.6640625" style="673" customWidth="1"/>
    <col min="10508" max="10752" width="9.33203125" style="673"/>
    <col min="10753" max="10753" width="0.6640625" style="673" customWidth="1"/>
    <col min="10754" max="10754" width="9.83203125" style="673" customWidth="1"/>
    <col min="10755" max="10760" width="9.33203125" style="673"/>
    <col min="10761" max="10761" width="17.5" style="673" customWidth="1"/>
    <col min="10762" max="10762" width="10" style="673" customWidth="1"/>
    <col min="10763" max="10763" width="0.6640625" style="673" customWidth="1"/>
    <col min="10764" max="11008" width="9.33203125" style="673"/>
    <col min="11009" max="11009" width="0.6640625" style="673" customWidth="1"/>
    <col min="11010" max="11010" width="9.83203125" style="673" customWidth="1"/>
    <col min="11011" max="11016" width="9.33203125" style="673"/>
    <col min="11017" max="11017" width="17.5" style="673" customWidth="1"/>
    <col min="11018" max="11018" width="10" style="673" customWidth="1"/>
    <col min="11019" max="11019" width="0.6640625" style="673" customWidth="1"/>
    <col min="11020" max="11264" width="9.33203125" style="673"/>
    <col min="11265" max="11265" width="0.6640625" style="673" customWidth="1"/>
    <col min="11266" max="11266" width="9.83203125" style="673" customWidth="1"/>
    <col min="11267" max="11272" width="9.33203125" style="673"/>
    <col min="11273" max="11273" width="17.5" style="673" customWidth="1"/>
    <col min="11274" max="11274" width="10" style="673" customWidth="1"/>
    <col min="11275" max="11275" width="0.6640625" style="673" customWidth="1"/>
    <col min="11276" max="11520" width="9.33203125" style="673"/>
    <col min="11521" max="11521" width="0.6640625" style="673" customWidth="1"/>
    <col min="11522" max="11522" width="9.83203125" style="673" customWidth="1"/>
    <col min="11523" max="11528" width="9.33203125" style="673"/>
    <col min="11529" max="11529" width="17.5" style="673" customWidth="1"/>
    <col min="11530" max="11530" width="10" style="673" customWidth="1"/>
    <col min="11531" max="11531" width="0.6640625" style="673" customWidth="1"/>
    <col min="11532" max="11776" width="9.33203125" style="673"/>
    <col min="11777" max="11777" width="0.6640625" style="673" customWidth="1"/>
    <col min="11778" max="11778" width="9.83203125" style="673" customWidth="1"/>
    <col min="11779" max="11784" width="9.33203125" style="673"/>
    <col min="11785" max="11785" width="17.5" style="673" customWidth="1"/>
    <col min="11786" max="11786" width="10" style="673" customWidth="1"/>
    <col min="11787" max="11787" width="0.6640625" style="673" customWidth="1"/>
    <col min="11788" max="12032" width="9.33203125" style="673"/>
    <col min="12033" max="12033" width="0.6640625" style="673" customWidth="1"/>
    <col min="12034" max="12034" width="9.83203125" style="673" customWidth="1"/>
    <col min="12035" max="12040" width="9.33203125" style="673"/>
    <col min="12041" max="12041" width="17.5" style="673" customWidth="1"/>
    <col min="12042" max="12042" width="10" style="673" customWidth="1"/>
    <col min="12043" max="12043" width="0.6640625" style="673" customWidth="1"/>
    <col min="12044" max="12288" width="9.33203125" style="673"/>
    <col min="12289" max="12289" width="0.6640625" style="673" customWidth="1"/>
    <col min="12290" max="12290" width="9.83203125" style="673" customWidth="1"/>
    <col min="12291" max="12296" width="9.33203125" style="673"/>
    <col min="12297" max="12297" width="17.5" style="673" customWidth="1"/>
    <col min="12298" max="12298" width="10" style="673" customWidth="1"/>
    <col min="12299" max="12299" width="0.6640625" style="673" customWidth="1"/>
    <col min="12300" max="12544" width="9.33203125" style="673"/>
    <col min="12545" max="12545" width="0.6640625" style="673" customWidth="1"/>
    <col min="12546" max="12546" width="9.83203125" style="673" customWidth="1"/>
    <col min="12547" max="12552" width="9.33203125" style="673"/>
    <col min="12553" max="12553" width="17.5" style="673" customWidth="1"/>
    <col min="12554" max="12554" width="10" style="673" customWidth="1"/>
    <col min="12555" max="12555" width="0.6640625" style="673" customWidth="1"/>
    <col min="12556" max="12800" width="9.33203125" style="673"/>
    <col min="12801" max="12801" width="0.6640625" style="673" customWidth="1"/>
    <col min="12802" max="12802" width="9.83203125" style="673" customWidth="1"/>
    <col min="12803" max="12808" width="9.33203125" style="673"/>
    <col min="12809" max="12809" width="17.5" style="673" customWidth="1"/>
    <col min="12810" max="12810" width="10" style="673" customWidth="1"/>
    <col min="12811" max="12811" width="0.6640625" style="673" customWidth="1"/>
    <col min="12812" max="13056" width="9.33203125" style="673"/>
    <col min="13057" max="13057" width="0.6640625" style="673" customWidth="1"/>
    <col min="13058" max="13058" width="9.83203125" style="673" customWidth="1"/>
    <col min="13059" max="13064" width="9.33203125" style="673"/>
    <col min="13065" max="13065" width="17.5" style="673" customWidth="1"/>
    <col min="13066" max="13066" width="10" style="673" customWidth="1"/>
    <col min="13067" max="13067" width="0.6640625" style="673" customWidth="1"/>
    <col min="13068" max="13312" width="9.33203125" style="673"/>
    <col min="13313" max="13313" width="0.6640625" style="673" customWidth="1"/>
    <col min="13314" max="13314" width="9.83203125" style="673" customWidth="1"/>
    <col min="13315" max="13320" width="9.33203125" style="673"/>
    <col min="13321" max="13321" width="17.5" style="673" customWidth="1"/>
    <col min="13322" max="13322" width="10" style="673" customWidth="1"/>
    <col min="13323" max="13323" width="0.6640625" style="673" customWidth="1"/>
    <col min="13324" max="13568" width="9.33203125" style="673"/>
    <col min="13569" max="13569" width="0.6640625" style="673" customWidth="1"/>
    <col min="13570" max="13570" width="9.83203125" style="673" customWidth="1"/>
    <col min="13571" max="13576" width="9.33203125" style="673"/>
    <col min="13577" max="13577" width="17.5" style="673" customWidth="1"/>
    <col min="13578" max="13578" width="10" style="673" customWidth="1"/>
    <col min="13579" max="13579" width="0.6640625" style="673" customWidth="1"/>
    <col min="13580" max="13824" width="9.33203125" style="673"/>
    <col min="13825" max="13825" width="0.6640625" style="673" customWidth="1"/>
    <col min="13826" max="13826" width="9.83203125" style="673" customWidth="1"/>
    <col min="13827" max="13832" width="9.33203125" style="673"/>
    <col min="13833" max="13833" width="17.5" style="673" customWidth="1"/>
    <col min="13834" max="13834" width="10" style="673" customWidth="1"/>
    <col min="13835" max="13835" width="0.6640625" style="673" customWidth="1"/>
    <col min="13836" max="14080" width="9.33203125" style="673"/>
    <col min="14081" max="14081" width="0.6640625" style="673" customWidth="1"/>
    <col min="14082" max="14082" width="9.83203125" style="673" customWidth="1"/>
    <col min="14083" max="14088" width="9.33203125" style="673"/>
    <col min="14089" max="14089" width="17.5" style="673" customWidth="1"/>
    <col min="14090" max="14090" width="10" style="673" customWidth="1"/>
    <col min="14091" max="14091" width="0.6640625" style="673" customWidth="1"/>
    <col min="14092" max="14336" width="9.33203125" style="673"/>
    <col min="14337" max="14337" width="0.6640625" style="673" customWidth="1"/>
    <col min="14338" max="14338" width="9.83203125" style="673" customWidth="1"/>
    <col min="14339" max="14344" width="9.33203125" style="673"/>
    <col min="14345" max="14345" width="17.5" style="673" customWidth="1"/>
    <col min="14346" max="14346" width="10" style="673" customWidth="1"/>
    <col min="14347" max="14347" width="0.6640625" style="673" customWidth="1"/>
    <col min="14348" max="14592" width="9.33203125" style="673"/>
    <col min="14593" max="14593" width="0.6640625" style="673" customWidth="1"/>
    <col min="14594" max="14594" width="9.83203125" style="673" customWidth="1"/>
    <col min="14595" max="14600" width="9.33203125" style="673"/>
    <col min="14601" max="14601" width="17.5" style="673" customWidth="1"/>
    <col min="14602" max="14602" width="10" style="673" customWidth="1"/>
    <col min="14603" max="14603" width="0.6640625" style="673" customWidth="1"/>
    <col min="14604" max="14848" width="9.33203125" style="673"/>
    <col min="14849" max="14849" width="0.6640625" style="673" customWidth="1"/>
    <col min="14850" max="14850" width="9.83203125" style="673" customWidth="1"/>
    <col min="14851" max="14856" width="9.33203125" style="673"/>
    <col min="14857" max="14857" width="17.5" style="673" customWidth="1"/>
    <col min="14858" max="14858" width="10" style="673" customWidth="1"/>
    <col min="14859" max="14859" width="0.6640625" style="673" customWidth="1"/>
    <col min="14860" max="15104" width="9.33203125" style="673"/>
    <col min="15105" max="15105" width="0.6640625" style="673" customWidth="1"/>
    <col min="15106" max="15106" width="9.83203125" style="673" customWidth="1"/>
    <col min="15107" max="15112" width="9.33203125" style="673"/>
    <col min="15113" max="15113" width="17.5" style="673" customWidth="1"/>
    <col min="15114" max="15114" width="10" style="673" customWidth="1"/>
    <col min="15115" max="15115" width="0.6640625" style="673" customWidth="1"/>
    <col min="15116" max="15360" width="9.33203125" style="673"/>
    <col min="15361" max="15361" width="0.6640625" style="673" customWidth="1"/>
    <col min="15362" max="15362" width="9.83203125" style="673" customWidth="1"/>
    <col min="15363" max="15368" width="9.33203125" style="673"/>
    <col min="15369" max="15369" width="17.5" style="673" customWidth="1"/>
    <col min="15370" max="15370" width="10" style="673" customWidth="1"/>
    <col min="15371" max="15371" width="0.6640625" style="673" customWidth="1"/>
    <col min="15372" max="15616" width="9.33203125" style="673"/>
    <col min="15617" max="15617" width="0.6640625" style="673" customWidth="1"/>
    <col min="15618" max="15618" width="9.83203125" style="673" customWidth="1"/>
    <col min="15619" max="15624" width="9.33203125" style="673"/>
    <col min="15625" max="15625" width="17.5" style="673" customWidth="1"/>
    <col min="15626" max="15626" width="10" style="673" customWidth="1"/>
    <col min="15627" max="15627" width="0.6640625" style="673" customWidth="1"/>
    <col min="15628" max="15872" width="9.33203125" style="673"/>
    <col min="15873" max="15873" width="0.6640625" style="673" customWidth="1"/>
    <col min="15874" max="15874" width="9.83203125" style="673" customWidth="1"/>
    <col min="15875" max="15880" width="9.33203125" style="673"/>
    <col min="15881" max="15881" width="17.5" style="673" customWidth="1"/>
    <col min="15882" max="15882" width="10" style="673" customWidth="1"/>
    <col min="15883" max="15883" width="0.6640625" style="673" customWidth="1"/>
    <col min="15884" max="16128" width="9.33203125" style="673"/>
    <col min="16129" max="16129" width="0.6640625" style="673" customWidth="1"/>
    <col min="16130" max="16130" width="9.83203125" style="673" customWidth="1"/>
    <col min="16131" max="16136" width="9.33203125" style="673"/>
    <col min="16137" max="16137" width="17.5" style="673" customWidth="1"/>
    <col min="16138" max="16138" width="10" style="673" customWidth="1"/>
    <col min="16139" max="16139" width="0.6640625" style="673" customWidth="1"/>
    <col min="16140" max="16384" width="9.33203125" style="673"/>
  </cols>
  <sheetData>
    <row r="1" spans="1:11" ht="3" customHeight="1">
      <c r="A1" s="669"/>
      <c r="B1" s="669"/>
      <c r="C1" s="670"/>
      <c r="D1" s="670"/>
      <c r="E1" s="670"/>
      <c r="F1" s="670"/>
      <c r="G1" s="670"/>
      <c r="H1" s="670"/>
      <c r="I1" s="670"/>
      <c r="J1" s="671"/>
      <c r="K1" s="672"/>
    </row>
    <row r="2" spans="1:11" ht="18" customHeight="1">
      <c r="A2" s="674"/>
      <c r="B2" s="675"/>
      <c r="C2" s="676"/>
      <c r="D2" s="676"/>
      <c r="E2" s="676"/>
      <c r="F2" s="676"/>
      <c r="G2" s="676"/>
      <c r="H2" s="676"/>
      <c r="I2" s="676"/>
      <c r="J2" s="677"/>
      <c r="K2" s="678"/>
    </row>
    <row r="3" spans="1:11">
      <c r="A3" s="674"/>
      <c r="B3" s="675"/>
      <c r="C3" s="676"/>
      <c r="D3" s="676"/>
      <c r="E3" s="676"/>
      <c r="F3" s="676"/>
      <c r="G3" s="676"/>
      <c r="H3" s="676"/>
      <c r="I3" s="676"/>
      <c r="J3" s="677"/>
      <c r="K3" s="678"/>
    </row>
    <row r="4" spans="1:11">
      <c r="A4" s="674"/>
      <c r="B4" s="675"/>
      <c r="C4" s="676"/>
      <c r="D4" s="676"/>
      <c r="E4" s="676"/>
      <c r="F4" s="676"/>
      <c r="G4" s="676"/>
      <c r="H4" s="676"/>
      <c r="I4" s="676"/>
      <c r="J4" s="677"/>
      <c r="K4" s="678"/>
    </row>
    <row r="5" spans="1:11">
      <c r="A5" s="674"/>
      <c r="B5" s="675"/>
      <c r="C5" s="676"/>
      <c r="D5" s="676"/>
      <c r="E5" s="676"/>
      <c r="F5" s="676"/>
      <c r="G5" s="676"/>
      <c r="H5" s="676"/>
      <c r="I5" s="676"/>
      <c r="J5" s="677"/>
      <c r="K5" s="678"/>
    </row>
    <row r="6" spans="1:11">
      <c r="A6" s="674"/>
      <c r="B6" s="675"/>
      <c r="C6" s="676"/>
      <c r="D6" s="676"/>
      <c r="E6" s="676"/>
      <c r="F6" s="676"/>
      <c r="G6" s="676"/>
      <c r="H6" s="676"/>
      <c r="I6" s="676"/>
      <c r="J6" s="677"/>
      <c r="K6" s="678"/>
    </row>
    <row r="7" spans="1:11">
      <c r="A7" s="674"/>
      <c r="B7" s="675"/>
      <c r="C7" s="676"/>
      <c r="D7" s="676"/>
      <c r="E7" s="676"/>
      <c r="F7" s="676"/>
      <c r="G7" s="676"/>
      <c r="H7" s="676"/>
      <c r="I7" s="676"/>
      <c r="J7" s="677"/>
      <c r="K7" s="678"/>
    </row>
    <row r="8" spans="1:11">
      <c r="A8" s="674"/>
      <c r="B8" s="675"/>
      <c r="C8" s="676"/>
      <c r="D8" s="676"/>
      <c r="E8" s="676"/>
      <c r="F8" s="676"/>
      <c r="G8" s="676"/>
      <c r="H8" s="676"/>
      <c r="I8" s="676"/>
      <c r="J8" s="677"/>
      <c r="K8" s="678"/>
    </row>
    <row r="9" spans="1:11">
      <c r="A9" s="674"/>
      <c r="B9" s="675"/>
      <c r="C9" s="676"/>
      <c r="D9" s="676"/>
      <c r="E9" s="676"/>
      <c r="F9" s="676"/>
      <c r="G9" s="676"/>
      <c r="H9" s="676"/>
      <c r="I9" s="676"/>
      <c r="J9" s="677"/>
      <c r="K9" s="678"/>
    </row>
    <row r="10" spans="1:11">
      <c r="A10" s="674"/>
      <c r="B10" s="675"/>
      <c r="C10" s="676"/>
      <c r="D10" s="676"/>
      <c r="E10" s="676"/>
      <c r="F10" s="676"/>
      <c r="G10" s="676"/>
      <c r="H10" s="676"/>
      <c r="I10" s="676"/>
      <c r="J10" s="677"/>
      <c r="K10" s="678"/>
    </row>
    <row r="11" spans="1:11" ht="14.1" customHeight="1">
      <c r="A11" s="674"/>
      <c r="B11" s="675"/>
      <c r="C11" s="679" t="s">
        <v>1635</v>
      </c>
      <c r="D11" s="676"/>
      <c r="E11" s="676"/>
      <c r="F11" s="676"/>
      <c r="G11" s="676"/>
      <c r="H11" s="676"/>
      <c r="I11" s="676"/>
      <c r="J11" s="677"/>
      <c r="K11" s="678"/>
    </row>
    <row r="12" spans="1:11" ht="14.1" customHeight="1">
      <c r="A12" s="674"/>
      <c r="B12" s="675"/>
      <c r="C12" s="679" t="s">
        <v>1636</v>
      </c>
      <c r="D12" s="676"/>
      <c r="E12" s="676"/>
      <c r="F12" s="676"/>
      <c r="G12" s="676"/>
      <c r="H12" s="676"/>
      <c r="I12" s="676"/>
      <c r="J12" s="677"/>
      <c r="K12" s="678"/>
    </row>
    <row r="13" spans="1:11" ht="14.1" customHeight="1">
      <c r="A13" s="674"/>
      <c r="B13" s="675"/>
      <c r="C13" s="679" t="s">
        <v>1637</v>
      </c>
      <c r="D13" s="676"/>
      <c r="E13" s="676"/>
      <c r="F13" s="676"/>
      <c r="G13" s="676"/>
      <c r="H13" s="676"/>
      <c r="I13" s="676"/>
      <c r="J13" s="677"/>
      <c r="K13" s="678"/>
    </row>
    <row r="14" spans="1:11" ht="14.1" customHeight="1">
      <c r="A14" s="674"/>
      <c r="B14" s="675"/>
      <c r="C14" s="679" t="s">
        <v>1638</v>
      </c>
      <c r="D14" s="676"/>
      <c r="E14" s="676"/>
      <c r="F14" s="676"/>
      <c r="G14" s="676"/>
      <c r="H14" s="676"/>
      <c r="I14" s="676"/>
      <c r="J14" s="677"/>
      <c r="K14" s="678"/>
    </row>
    <row r="15" spans="1:11" ht="14.1" customHeight="1">
      <c r="A15" s="674"/>
      <c r="B15" s="675"/>
      <c r="C15" s="679" t="s">
        <v>1639</v>
      </c>
      <c r="D15" s="676"/>
      <c r="E15" s="676"/>
      <c r="F15" s="676"/>
      <c r="G15" s="676"/>
      <c r="H15" s="676"/>
      <c r="I15" s="676"/>
      <c r="J15" s="677"/>
      <c r="K15" s="678"/>
    </row>
    <row r="16" spans="1:11" ht="14.1" customHeight="1">
      <c r="A16" s="674"/>
      <c r="B16" s="675"/>
      <c r="C16" s="679" t="s">
        <v>1640</v>
      </c>
      <c r="D16" s="676"/>
      <c r="E16" s="676"/>
      <c r="F16" s="676"/>
      <c r="G16" s="676"/>
      <c r="H16" s="676"/>
      <c r="I16" s="676"/>
      <c r="J16" s="677"/>
      <c r="K16" s="678"/>
    </row>
    <row r="17" spans="1:11" ht="14.1" customHeight="1">
      <c r="A17" s="674"/>
      <c r="B17" s="675"/>
      <c r="C17" s="679" t="s">
        <v>1641</v>
      </c>
      <c r="D17" s="676"/>
      <c r="E17" s="676"/>
      <c r="F17" s="676"/>
      <c r="G17" s="676"/>
      <c r="H17" s="676"/>
      <c r="I17" s="676"/>
      <c r="J17" s="677"/>
      <c r="K17" s="678"/>
    </row>
    <row r="18" spans="1:11" ht="14.1" customHeight="1">
      <c r="A18" s="674"/>
      <c r="B18" s="675"/>
      <c r="C18" s="679" t="s">
        <v>1642</v>
      </c>
      <c r="D18" s="676"/>
      <c r="E18" s="676"/>
      <c r="F18" s="676"/>
      <c r="G18" s="676"/>
      <c r="H18" s="676"/>
      <c r="I18" s="676"/>
      <c r="J18" s="677"/>
      <c r="K18" s="678"/>
    </row>
    <row r="19" spans="1:11" ht="15.75">
      <c r="A19" s="674"/>
      <c r="B19" s="675"/>
      <c r="C19" s="680" t="s">
        <v>1643</v>
      </c>
      <c r="D19" s="676"/>
      <c r="E19" s="676"/>
      <c r="F19" s="676"/>
      <c r="G19" s="676"/>
      <c r="H19" s="676"/>
      <c r="I19" s="676"/>
      <c r="J19" s="677"/>
      <c r="K19" s="678"/>
    </row>
    <row r="20" spans="1:11">
      <c r="A20" s="674"/>
      <c r="B20" s="675"/>
      <c r="C20" s="676"/>
      <c r="D20" s="676"/>
      <c r="E20" s="676"/>
      <c r="F20" s="676"/>
      <c r="G20" s="676"/>
      <c r="H20" s="676"/>
      <c r="I20" s="676"/>
      <c r="J20" s="677"/>
      <c r="K20" s="678"/>
    </row>
    <row r="21" spans="1:11">
      <c r="A21" s="674"/>
      <c r="B21" s="675"/>
      <c r="C21" s="676"/>
      <c r="D21" s="676"/>
      <c r="E21" s="676"/>
      <c r="F21" s="676"/>
      <c r="G21" s="676"/>
      <c r="H21" s="676"/>
      <c r="I21" s="676"/>
      <c r="J21" s="677"/>
      <c r="K21" s="678"/>
    </row>
    <row r="22" spans="1:11">
      <c r="A22" s="674"/>
      <c r="B22" s="675"/>
      <c r="C22" s="676"/>
      <c r="D22" s="676"/>
      <c r="E22" s="676"/>
      <c r="F22" s="676"/>
      <c r="G22" s="676"/>
      <c r="H22" s="676"/>
      <c r="I22" s="676"/>
      <c r="J22" s="677"/>
      <c r="K22" s="678"/>
    </row>
    <row r="23" spans="1:11">
      <c r="A23" s="674"/>
      <c r="B23" s="675"/>
      <c r="C23" s="676"/>
      <c r="D23" s="676"/>
      <c r="E23" s="676"/>
      <c r="F23" s="676"/>
      <c r="G23" s="676"/>
      <c r="H23" s="676"/>
      <c r="I23" s="676"/>
      <c r="J23" s="677"/>
      <c r="K23" s="678"/>
    </row>
    <row r="24" spans="1:11">
      <c r="A24" s="674"/>
      <c r="B24" s="675"/>
      <c r="C24" s="676"/>
      <c r="D24" s="676"/>
      <c r="E24" s="676"/>
      <c r="F24" s="676"/>
      <c r="G24" s="676"/>
      <c r="H24" s="676"/>
      <c r="I24" s="676"/>
      <c r="J24" s="677"/>
      <c r="K24" s="678"/>
    </row>
    <row r="25" spans="1:11">
      <c r="A25" s="674"/>
      <c r="B25" s="675"/>
      <c r="C25" s="676"/>
      <c r="D25" s="676"/>
      <c r="E25" s="676"/>
      <c r="F25" s="676"/>
      <c r="G25" s="676"/>
      <c r="H25" s="676"/>
      <c r="I25" s="676"/>
      <c r="J25" s="677"/>
      <c r="K25" s="678"/>
    </row>
    <row r="26" spans="1:11" ht="14.1" customHeight="1">
      <c r="A26" s="674"/>
      <c r="B26" s="675"/>
      <c r="C26" s="680" t="s">
        <v>1644</v>
      </c>
      <c r="D26" s="676"/>
      <c r="E26" s="676"/>
      <c r="F26" s="676"/>
      <c r="G26" s="676"/>
      <c r="H26" s="676"/>
      <c r="I26" s="676"/>
      <c r="J26" s="677"/>
      <c r="K26" s="678"/>
    </row>
    <row r="27" spans="1:11" ht="14.1" customHeight="1">
      <c r="A27" s="674"/>
      <c r="B27" s="675"/>
      <c r="C27" s="680" t="s">
        <v>1645</v>
      </c>
      <c r="D27" s="676"/>
      <c r="E27" s="676"/>
      <c r="F27" s="676"/>
      <c r="G27" s="676"/>
      <c r="H27" s="676"/>
      <c r="I27" s="676"/>
      <c r="J27" s="677"/>
      <c r="K27" s="678"/>
    </row>
    <row r="28" spans="1:11" ht="14.1" customHeight="1">
      <c r="A28" s="674"/>
      <c r="B28" s="675"/>
      <c r="C28" s="680" t="s">
        <v>1646</v>
      </c>
      <c r="D28" s="676"/>
      <c r="E28" s="676"/>
      <c r="F28" s="676"/>
      <c r="G28" s="676"/>
      <c r="H28" s="676"/>
      <c r="I28" s="676"/>
      <c r="J28" s="677"/>
      <c r="K28" s="678"/>
    </row>
    <row r="29" spans="1:11" ht="14.1" customHeight="1">
      <c r="A29" s="674"/>
      <c r="B29" s="675"/>
      <c r="C29" s="680" t="s">
        <v>1647</v>
      </c>
      <c r="D29" s="676"/>
      <c r="E29" s="676"/>
      <c r="F29" s="676"/>
      <c r="G29" s="676"/>
      <c r="H29" s="676"/>
      <c r="I29" s="676"/>
      <c r="J29" s="677"/>
      <c r="K29" s="678"/>
    </row>
    <row r="30" spans="1:11" ht="14.1" customHeight="1">
      <c r="A30" s="674"/>
      <c r="B30" s="675"/>
      <c r="C30" s="680" t="s">
        <v>1648</v>
      </c>
      <c r="D30" s="676"/>
      <c r="E30" s="676"/>
      <c r="F30" s="676"/>
      <c r="G30" s="676"/>
      <c r="H30" s="676"/>
      <c r="I30" s="676"/>
      <c r="J30" s="677"/>
      <c r="K30" s="678"/>
    </row>
    <row r="31" spans="1:11" ht="14.1" customHeight="1">
      <c r="A31" s="674"/>
      <c r="B31" s="675"/>
      <c r="C31" s="680" t="s">
        <v>1649</v>
      </c>
      <c r="D31" s="676"/>
      <c r="E31" s="676"/>
      <c r="F31" s="676"/>
      <c r="G31" s="676"/>
      <c r="H31" s="676"/>
      <c r="I31" s="676"/>
      <c r="J31" s="677"/>
      <c r="K31" s="678"/>
    </row>
    <row r="32" spans="1:11" ht="14.1" customHeight="1">
      <c r="A32" s="674"/>
      <c r="B32" s="675"/>
      <c r="C32" s="680" t="s">
        <v>1650</v>
      </c>
      <c r="D32" s="676"/>
      <c r="E32" s="676"/>
      <c r="F32" s="676"/>
      <c r="G32" s="676"/>
      <c r="H32" s="676"/>
      <c r="I32" s="676"/>
      <c r="J32" s="677"/>
      <c r="K32" s="678"/>
    </row>
    <row r="33" spans="1:11" ht="14.1" customHeight="1">
      <c r="A33" s="674"/>
      <c r="B33" s="675"/>
      <c r="C33" s="680" t="s">
        <v>1651</v>
      </c>
      <c r="D33" s="676"/>
      <c r="E33" s="676"/>
      <c r="F33" s="676"/>
      <c r="G33" s="676"/>
      <c r="H33" s="676"/>
      <c r="I33" s="676"/>
      <c r="J33" s="677"/>
      <c r="K33" s="678"/>
    </row>
    <row r="34" spans="1:11" ht="14.1" customHeight="1">
      <c r="A34" s="674"/>
      <c r="B34" s="675"/>
      <c r="C34" s="680" t="s">
        <v>1652</v>
      </c>
      <c r="D34" s="676"/>
      <c r="E34" s="676"/>
      <c r="F34" s="676"/>
      <c r="G34" s="676"/>
      <c r="H34" s="676"/>
      <c r="I34" s="676"/>
      <c r="J34" s="677"/>
      <c r="K34" s="678"/>
    </row>
    <row r="35" spans="1:11">
      <c r="A35" s="674"/>
      <c r="B35" s="675"/>
      <c r="C35" s="676"/>
      <c r="D35" s="676"/>
      <c r="E35" s="676"/>
      <c r="F35" s="676"/>
      <c r="G35" s="676"/>
      <c r="H35" s="676"/>
      <c r="I35" s="676"/>
      <c r="J35" s="677"/>
      <c r="K35" s="678"/>
    </row>
    <row r="36" spans="1:11">
      <c r="A36" s="674"/>
      <c r="B36" s="675"/>
      <c r="C36" s="1244"/>
      <c r="D36" s="1245"/>
      <c r="E36" s="1245"/>
      <c r="F36" s="1245"/>
      <c r="G36" s="1245"/>
      <c r="H36" s="1245"/>
      <c r="I36" s="1245"/>
      <c r="J36" s="677"/>
      <c r="K36" s="678"/>
    </row>
    <row r="37" spans="1:11" ht="12.75" customHeight="1">
      <c r="A37" s="674"/>
      <c r="B37" s="675"/>
      <c r="C37" s="681"/>
      <c r="D37" s="676"/>
      <c r="E37" s="676"/>
      <c r="F37" s="676"/>
      <c r="G37" s="676"/>
      <c r="H37" s="676"/>
      <c r="I37" s="676"/>
      <c r="J37" s="677"/>
      <c r="K37" s="678"/>
    </row>
    <row r="38" spans="1:11">
      <c r="A38" s="674"/>
      <c r="B38" s="675"/>
      <c r="C38" s="676"/>
      <c r="D38" s="676"/>
      <c r="E38" s="676"/>
      <c r="F38" s="676"/>
      <c r="G38" s="676"/>
      <c r="H38" s="676"/>
      <c r="I38" s="676"/>
      <c r="J38" s="677"/>
      <c r="K38" s="678"/>
    </row>
    <row r="39" spans="1:11">
      <c r="A39" s="674"/>
      <c r="B39" s="675"/>
      <c r="C39" s="676"/>
      <c r="D39" s="676"/>
      <c r="E39" s="676"/>
      <c r="F39" s="676"/>
      <c r="G39" s="676"/>
      <c r="H39" s="676"/>
      <c r="I39" s="676"/>
      <c r="J39" s="677"/>
      <c r="K39" s="678"/>
    </row>
    <row r="40" spans="1:11">
      <c r="A40" s="674"/>
      <c r="B40" s="675"/>
      <c r="C40" s="676"/>
      <c r="D40" s="676"/>
      <c r="E40" s="676"/>
      <c r="F40" s="676"/>
      <c r="G40" s="676"/>
      <c r="H40" s="676"/>
      <c r="I40" s="676"/>
      <c r="J40" s="677"/>
      <c r="K40" s="678"/>
    </row>
    <row r="41" spans="1:11">
      <c r="A41" s="674"/>
      <c r="B41" s="675"/>
      <c r="C41" s="676"/>
      <c r="D41" s="676"/>
      <c r="E41" s="676"/>
      <c r="F41" s="676"/>
      <c r="G41" s="676"/>
      <c r="H41" s="676"/>
      <c r="I41" s="676"/>
      <c r="J41" s="677"/>
      <c r="K41" s="678"/>
    </row>
    <row r="42" spans="1:11">
      <c r="A42" s="674"/>
      <c r="B42" s="675"/>
      <c r="C42" s="676"/>
      <c r="D42" s="676"/>
      <c r="E42" s="676"/>
      <c r="F42" s="676"/>
      <c r="G42" s="676"/>
      <c r="H42" s="676"/>
      <c r="I42" s="676"/>
      <c r="J42" s="677"/>
      <c r="K42" s="678"/>
    </row>
    <row r="43" spans="1:11">
      <c r="A43" s="674"/>
      <c r="B43" s="675"/>
      <c r="C43" s="676"/>
      <c r="D43" s="676"/>
      <c r="E43" s="676"/>
      <c r="F43" s="676"/>
      <c r="G43" s="676"/>
      <c r="H43" s="676"/>
      <c r="I43" s="676"/>
      <c r="J43" s="677"/>
      <c r="K43" s="678"/>
    </row>
    <row r="44" spans="1:11">
      <c r="A44" s="674"/>
      <c r="B44" s="675"/>
      <c r="C44" s="676"/>
      <c r="D44" s="676"/>
      <c r="E44" s="676"/>
      <c r="F44" s="676"/>
      <c r="G44" s="676"/>
      <c r="H44" s="676"/>
      <c r="I44" s="676"/>
      <c r="J44" s="677"/>
      <c r="K44" s="678"/>
    </row>
    <row r="45" spans="1:11">
      <c r="A45" s="674"/>
      <c r="B45" s="675"/>
      <c r="C45" s="676"/>
      <c r="D45" s="676"/>
      <c r="E45" s="676"/>
      <c r="F45" s="676"/>
      <c r="G45" s="676"/>
      <c r="H45" s="676"/>
      <c r="I45" s="676"/>
      <c r="J45" s="677"/>
      <c r="K45" s="678"/>
    </row>
    <row r="46" spans="1:11">
      <c r="A46" s="674"/>
      <c r="B46" s="675"/>
      <c r="C46" s="676"/>
      <c r="D46" s="676"/>
      <c r="E46" s="676"/>
      <c r="F46" s="676"/>
      <c r="G46" s="676"/>
      <c r="H46" s="676"/>
      <c r="I46" s="676"/>
      <c r="J46" s="677"/>
      <c r="K46" s="678"/>
    </row>
    <row r="47" spans="1:11">
      <c r="A47" s="674"/>
      <c r="B47" s="675"/>
      <c r="C47" s="676"/>
      <c r="D47" s="676"/>
      <c r="E47" s="676"/>
      <c r="F47" s="676"/>
      <c r="G47" s="676"/>
      <c r="H47" s="676"/>
      <c r="I47" s="676"/>
      <c r="J47" s="677"/>
      <c r="K47" s="678"/>
    </row>
    <row r="48" spans="1:11">
      <c r="A48" s="674"/>
      <c r="B48" s="675"/>
      <c r="C48" s="676"/>
      <c r="D48" s="676"/>
      <c r="E48" s="676"/>
      <c r="F48" s="676"/>
      <c r="G48" s="676"/>
      <c r="H48" s="676"/>
      <c r="I48" s="676"/>
      <c r="J48" s="677"/>
      <c r="K48" s="678"/>
    </row>
    <row r="49" spans="1:11">
      <c r="A49" s="674"/>
      <c r="B49" s="675"/>
      <c r="C49" s="676"/>
      <c r="D49" s="676"/>
      <c r="E49" s="676"/>
      <c r="F49" s="676"/>
      <c r="G49" s="676"/>
      <c r="H49" s="676"/>
      <c r="I49" s="676"/>
      <c r="J49" s="677"/>
      <c r="K49" s="678"/>
    </row>
    <row r="50" spans="1:11">
      <c r="A50" s="674"/>
      <c r="B50" s="675"/>
      <c r="C50" s="676"/>
      <c r="D50" s="676"/>
      <c r="E50" s="676"/>
      <c r="F50" s="676"/>
      <c r="G50" s="676"/>
      <c r="H50" s="676"/>
      <c r="I50" s="676"/>
      <c r="J50" s="677"/>
      <c r="K50" s="678"/>
    </row>
    <row r="51" spans="1:11" ht="9.75" customHeight="1">
      <c r="A51" s="674"/>
      <c r="B51" s="675"/>
      <c r="C51" s="676"/>
      <c r="D51" s="676"/>
      <c r="E51" s="676"/>
      <c r="F51" s="676"/>
      <c r="G51" s="676"/>
      <c r="H51" s="676"/>
      <c r="I51" s="676"/>
      <c r="J51" s="677"/>
      <c r="K51" s="678"/>
    </row>
    <row r="52" spans="1:11" ht="3" customHeight="1" thickBot="1">
      <c r="A52" s="682"/>
      <c r="B52" s="682"/>
      <c r="C52" s="683"/>
      <c r="D52" s="683"/>
      <c r="E52" s="683"/>
      <c r="F52" s="683"/>
      <c r="G52" s="683"/>
      <c r="H52" s="683"/>
      <c r="I52" s="683"/>
      <c r="J52" s="684"/>
      <c r="K52" s="685"/>
    </row>
    <row r="53" spans="1:11">
      <c r="B53" s="676"/>
      <c r="C53" s="676"/>
      <c r="D53" s="676"/>
      <c r="E53" s="676"/>
      <c r="F53" s="676"/>
      <c r="G53" s="676"/>
      <c r="H53" s="676"/>
      <c r="I53" s="676"/>
      <c r="J53" s="676"/>
      <c r="K53" s="676"/>
    </row>
    <row r="54" spans="1:11">
      <c r="B54" s="676"/>
      <c r="C54" s="676"/>
      <c r="D54" s="676"/>
      <c r="E54" s="676"/>
      <c r="F54" s="676"/>
      <c r="G54" s="676"/>
      <c r="H54" s="676"/>
      <c r="I54" s="676"/>
      <c r="J54" s="676"/>
      <c r="K54" s="676"/>
    </row>
  </sheetData>
  <mergeCells count="1">
    <mergeCell ref="C36:I36"/>
  </mergeCells>
  <pageMargins left="0.75" right="0.75" top="1" bottom="1" header="0.5" footer="0.5"/>
  <pageSetup scale="9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sheetPr>
    <pageSetUpPr fitToPage="1"/>
  </sheetPr>
  <dimension ref="A1:K50"/>
  <sheetViews>
    <sheetView tabSelected="1" zoomScaleNormal="100" workbookViewId="0">
      <selection sqref="A1:C1"/>
    </sheetView>
  </sheetViews>
  <sheetFormatPr defaultRowHeight="10.5"/>
  <cols>
    <col min="1" max="1" width="16.33203125" customWidth="1"/>
    <col min="2" max="2" width="20.6640625" style="143" customWidth="1"/>
    <col min="3" max="3" width="14.5" customWidth="1"/>
    <col min="4" max="4" width="18.33203125" hidden="1" customWidth="1"/>
    <col min="6" max="6" width="14.5" style="8" customWidth="1"/>
    <col min="7" max="7" width="14.5" hidden="1" customWidth="1"/>
    <col min="9" max="9" width="21.83203125" customWidth="1"/>
    <col min="10" max="10" width="16.83203125" customWidth="1"/>
    <col min="253" max="253" width="16.33203125" customWidth="1"/>
    <col min="254" max="254" width="20.6640625" customWidth="1"/>
    <col min="255" max="255" width="14.5" customWidth="1"/>
    <col min="256" max="256" width="18.33203125" customWidth="1"/>
    <col min="260" max="261" width="14.5" customWidth="1"/>
    <col min="262" max="263" width="18.33203125" customWidth="1"/>
    <col min="265" max="265" width="21.83203125" customWidth="1"/>
    <col min="266" max="266" width="16.83203125" customWidth="1"/>
    <col min="509" max="509" width="16.33203125" customWidth="1"/>
    <col min="510" max="510" width="20.6640625" customWidth="1"/>
    <col min="511" max="511" width="14.5" customWidth="1"/>
    <col min="512" max="512" width="18.33203125" customWidth="1"/>
    <col min="516" max="517" width="14.5" customWidth="1"/>
    <col min="518" max="519" width="18.33203125" customWidth="1"/>
    <col min="521" max="521" width="21.83203125" customWidth="1"/>
    <col min="522" max="522" width="16.83203125" customWidth="1"/>
    <col min="765" max="765" width="16.33203125" customWidth="1"/>
    <col min="766" max="766" width="20.6640625" customWidth="1"/>
    <col min="767" max="767" width="14.5" customWidth="1"/>
    <col min="768" max="768" width="18.33203125" customWidth="1"/>
    <col min="772" max="773" width="14.5" customWidth="1"/>
    <col min="774" max="775" width="18.33203125" customWidth="1"/>
    <col min="777" max="777" width="21.83203125" customWidth="1"/>
    <col min="778" max="778" width="16.83203125" customWidth="1"/>
    <col min="1021" max="1021" width="16.33203125" customWidth="1"/>
    <col min="1022" max="1022" width="20.6640625" customWidth="1"/>
    <col min="1023" max="1023" width="14.5" customWidth="1"/>
    <col min="1024" max="1024" width="18.33203125" customWidth="1"/>
    <col min="1028" max="1029" width="14.5" customWidth="1"/>
    <col min="1030" max="1031" width="18.33203125" customWidth="1"/>
    <col min="1033" max="1033" width="21.83203125" customWidth="1"/>
    <col min="1034" max="1034" width="16.83203125" customWidth="1"/>
    <col min="1277" max="1277" width="16.33203125" customWidth="1"/>
    <col min="1278" max="1278" width="20.6640625" customWidth="1"/>
    <col min="1279" max="1279" width="14.5" customWidth="1"/>
    <col min="1280" max="1280" width="18.33203125" customWidth="1"/>
    <col min="1284" max="1285" width="14.5" customWidth="1"/>
    <col min="1286" max="1287" width="18.33203125" customWidth="1"/>
    <col min="1289" max="1289" width="21.83203125" customWidth="1"/>
    <col min="1290" max="1290" width="16.83203125" customWidth="1"/>
    <col min="1533" max="1533" width="16.33203125" customWidth="1"/>
    <col min="1534" max="1534" width="20.6640625" customWidth="1"/>
    <col min="1535" max="1535" width="14.5" customWidth="1"/>
    <col min="1536" max="1536" width="18.33203125" customWidth="1"/>
    <col min="1540" max="1541" width="14.5" customWidth="1"/>
    <col min="1542" max="1543" width="18.33203125" customWidth="1"/>
    <col min="1545" max="1545" width="21.83203125" customWidth="1"/>
    <col min="1546" max="1546" width="16.83203125" customWidth="1"/>
    <col min="1789" max="1789" width="16.33203125" customWidth="1"/>
    <col min="1790" max="1790" width="20.6640625" customWidth="1"/>
    <col min="1791" max="1791" width="14.5" customWidth="1"/>
    <col min="1792" max="1792" width="18.33203125" customWidth="1"/>
    <col min="1796" max="1797" width="14.5" customWidth="1"/>
    <col min="1798" max="1799" width="18.33203125" customWidth="1"/>
    <col min="1801" max="1801" width="21.83203125" customWidth="1"/>
    <col min="1802" max="1802" width="16.83203125" customWidth="1"/>
    <col min="2045" max="2045" width="16.33203125" customWidth="1"/>
    <col min="2046" max="2046" width="20.6640625" customWidth="1"/>
    <col min="2047" max="2047" width="14.5" customWidth="1"/>
    <col min="2048" max="2048" width="18.33203125" customWidth="1"/>
    <col min="2052" max="2053" width="14.5" customWidth="1"/>
    <col min="2054" max="2055" width="18.33203125" customWidth="1"/>
    <col min="2057" max="2057" width="21.83203125" customWidth="1"/>
    <col min="2058" max="2058" width="16.83203125" customWidth="1"/>
    <col min="2301" max="2301" width="16.33203125" customWidth="1"/>
    <col min="2302" max="2302" width="20.6640625" customWidth="1"/>
    <col min="2303" max="2303" width="14.5" customWidth="1"/>
    <col min="2304" max="2304" width="18.33203125" customWidth="1"/>
    <col min="2308" max="2309" width="14.5" customWidth="1"/>
    <col min="2310" max="2311" width="18.33203125" customWidth="1"/>
    <col min="2313" max="2313" width="21.83203125" customWidth="1"/>
    <col min="2314" max="2314" width="16.83203125" customWidth="1"/>
    <col min="2557" max="2557" width="16.33203125" customWidth="1"/>
    <col min="2558" max="2558" width="20.6640625" customWidth="1"/>
    <col min="2559" max="2559" width="14.5" customWidth="1"/>
    <col min="2560" max="2560" width="18.33203125" customWidth="1"/>
    <col min="2564" max="2565" width="14.5" customWidth="1"/>
    <col min="2566" max="2567" width="18.33203125" customWidth="1"/>
    <col min="2569" max="2569" width="21.83203125" customWidth="1"/>
    <col min="2570" max="2570" width="16.83203125" customWidth="1"/>
    <col min="2813" max="2813" width="16.33203125" customWidth="1"/>
    <col min="2814" max="2814" width="20.6640625" customWidth="1"/>
    <col min="2815" max="2815" width="14.5" customWidth="1"/>
    <col min="2816" max="2816" width="18.33203125" customWidth="1"/>
    <col min="2820" max="2821" width="14.5" customWidth="1"/>
    <col min="2822" max="2823" width="18.33203125" customWidth="1"/>
    <col min="2825" max="2825" width="21.83203125" customWidth="1"/>
    <col min="2826" max="2826" width="16.83203125" customWidth="1"/>
    <col min="3069" max="3069" width="16.33203125" customWidth="1"/>
    <col min="3070" max="3070" width="20.6640625" customWidth="1"/>
    <col min="3071" max="3071" width="14.5" customWidth="1"/>
    <col min="3072" max="3072" width="18.33203125" customWidth="1"/>
    <col min="3076" max="3077" width="14.5" customWidth="1"/>
    <col min="3078" max="3079" width="18.33203125" customWidth="1"/>
    <col min="3081" max="3081" width="21.83203125" customWidth="1"/>
    <col min="3082" max="3082" width="16.83203125" customWidth="1"/>
    <col min="3325" max="3325" width="16.33203125" customWidth="1"/>
    <col min="3326" max="3326" width="20.6640625" customWidth="1"/>
    <col min="3327" max="3327" width="14.5" customWidth="1"/>
    <col min="3328" max="3328" width="18.33203125" customWidth="1"/>
    <col min="3332" max="3333" width="14.5" customWidth="1"/>
    <col min="3334" max="3335" width="18.33203125" customWidth="1"/>
    <col min="3337" max="3337" width="21.83203125" customWidth="1"/>
    <col min="3338" max="3338" width="16.83203125" customWidth="1"/>
    <col min="3581" max="3581" width="16.33203125" customWidth="1"/>
    <col min="3582" max="3582" width="20.6640625" customWidth="1"/>
    <col min="3583" max="3583" width="14.5" customWidth="1"/>
    <col min="3584" max="3584" width="18.33203125" customWidth="1"/>
    <col min="3588" max="3589" width="14.5" customWidth="1"/>
    <col min="3590" max="3591" width="18.33203125" customWidth="1"/>
    <col min="3593" max="3593" width="21.83203125" customWidth="1"/>
    <col min="3594" max="3594" width="16.83203125" customWidth="1"/>
    <col min="3837" max="3837" width="16.33203125" customWidth="1"/>
    <col min="3838" max="3838" width="20.6640625" customWidth="1"/>
    <col min="3839" max="3839" width="14.5" customWidth="1"/>
    <col min="3840" max="3840" width="18.33203125" customWidth="1"/>
    <col min="3844" max="3845" width="14.5" customWidth="1"/>
    <col min="3846" max="3847" width="18.33203125" customWidth="1"/>
    <col min="3849" max="3849" width="21.83203125" customWidth="1"/>
    <col min="3850" max="3850" width="16.83203125" customWidth="1"/>
    <col min="4093" max="4093" width="16.33203125" customWidth="1"/>
    <col min="4094" max="4094" width="20.6640625" customWidth="1"/>
    <col min="4095" max="4095" width="14.5" customWidth="1"/>
    <col min="4096" max="4096" width="18.33203125" customWidth="1"/>
    <col min="4100" max="4101" width="14.5" customWidth="1"/>
    <col min="4102" max="4103" width="18.33203125" customWidth="1"/>
    <col min="4105" max="4105" width="21.83203125" customWidth="1"/>
    <col min="4106" max="4106" width="16.83203125" customWidth="1"/>
    <col min="4349" max="4349" width="16.33203125" customWidth="1"/>
    <col min="4350" max="4350" width="20.6640625" customWidth="1"/>
    <col min="4351" max="4351" width="14.5" customWidth="1"/>
    <col min="4352" max="4352" width="18.33203125" customWidth="1"/>
    <col min="4356" max="4357" width="14.5" customWidth="1"/>
    <col min="4358" max="4359" width="18.33203125" customWidth="1"/>
    <col min="4361" max="4361" width="21.83203125" customWidth="1"/>
    <col min="4362" max="4362" width="16.83203125" customWidth="1"/>
    <col min="4605" max="4605" width="16.33203125" customWidth="1"/>
    <col min="4606" max="4606" width="20.6640625" customWidth="1"/>
    <col min="4607" max="4607" width="14.5" customWidth="1"/>
    <col min="4608" max="4608" width="18.33203125" customWidth="1"/>
    <col min="4612" max="4613" width="14.5" customWidth="1"/>
    <col min="4614" max="4615" width="18.33203125" customWidth="1"/>
    <col min="4617" max="4617" width="21.83203125" customWidth="1"/>
    <col min="4618" max="4618" width="16.83203125" customWidth="1"/>
    <col min="4861" max="4861" width="16.33203125" customWidth="1"/>
    <col min="4862" max="4862" width="20.6640625" customWidth="1"/>
    <col min="4863" max="4863" width="14.5" customWidth="1"/>
    <col min="4864" max="4864" width="18.33203125" customWidth="1"/>
    <col min="4868" max="4869" width="14.5" customWidth="1"/>
    <col min="4870" max="4871" width="18.33203125" customWidth="1"/>
    <col min="4873" max="4873" width="21.83203125" customWidth="1"/>
    <col min="4874" max="4874" width="16.83203125" customWidth="1"/>
    <col min="5117" max="5117" width="16.33203125" customWidth="1"/>
    <col min="5118" max="5118" width="20.6640625" customWidth="1"/>
    <col min="5119" max="5119" width="14.5" customWidth="1"/>
    <col min="5120" max="5120" width="18.33203125" customWidth="1"/>
    <col min="5124" max="5125" width="14.5" customWidth="1"/>
    <col min="5126" max="5127" width="18.33203125" customWidth="1"/>
    <col min="5129" max="5129" width="21.83203125" customWidth="1"/>
    <col min="5130" max="5130" width="16.83203125" customWidth="1"/>
    <col min="5373" max="5373" width="16.33203125" customWidth="1"/>
    <col min="5374" max="5374" width="20.6640625" customWidth="1"/>
    <col min="5375" max="5375" width="14.5" customWidth="1"/>
    <col min="5376" max="5376" width="18.33203125" customWidth="1"/>
    <col min="5380" max="5381" width="14.5" customWidth="1"/>
    <col min="5382" max="5383" width="18.33203125" customWidth="1"/>
    <col min="5385" max="5385" width="21.83203125" customWidth="1"/>
    <col min="5386" max="5386" width="16.83203125" customWidth="1"/>
    <col min="5629" max="5629" width="16.33203125" customWidth="1"/>
    <col min="5630" max="5630" width="20.6640625" customWidth="1"/>
    <col min="5631" max="5631" width="14.5" customWidth="1"/>
    <col min="5632" max="5632" width="18.33203125" customWidth="1"/>
    <col min="5636" max="5637" width="14.5" customWidth="1"/>
    <col min="5638" max="5639" width="18.33203125" customWidth="1"/>
    <col min="5641" max="5641" width="21.83203125" customWidth="1"/>
    <col min="5642" max="5642" width="16.83203125" customWidth="1"/>
    <col min="5885" max="5885" width="16.33203125" customWidth="1"/>
    <col min="5886" max="5886" width="20.6640625" customWidth="1"/>
    <col min="5887" max="5887" width="14.5" customWidth="1"/>
    <col min="5888" max="5888" width="18.33203125" customWidth="1"/>
    <col min="5892" max="5893" width="14.5" customWidth="1"/>
    <col min="5894" max="5895" width="18.33203125" customWidth="1"/>
    <col min="5897" max="5897" width="21.83203125" customWidth="1"/>
    <col min="5898" max="5898" width="16.83203125" customWidth="1"/>
    <col min="6141" max="6141" width="16.33203125" customWidth="1"/>
    <col min="6142" max="6142" width="20.6640625" customWidth="1"/>
    <col min="6143" max="6143" width="14.5" customWidth="1"/>
    <col min="6144" max="6144" width="18.33203125" customWidth="1"/>
    <col min="6148" max="6149" width="14.5" customWidth="1"/>
    <col min="6150" max="6151" width="18.33203125" customWidth="1"/>
    <col min="6153" max="6153" width="21.83203125" customWidth="1"/>
    <col min="6154" max="6154" width="16.83203125" customWidth="1"/>
    <col min="6397" max="6397" width="16.33203125" customWidth="1"/>
    <col min="6398" max="6398" width="20.6640625" customWidth="1"/>
    <col min="6399" max="6399" width="14.5" customWidth="1"/>
    <col min="6400" max="6400" width="18.33203125" customWidth="1"/>
    <col min="6404" max="6405" width="14.5" customWidth="1"/>
    <col min="6406" max="6407" width="18.33203125" customWidth="1"/>
    <col min="6409" max="6409" width="21.83203125" customWidth="1"/>
    <col min="6410" max="6410" width="16.83203125" customWidth="1"/>
    <col min="6653" max="6653" width="16.33203125" customWidth="1"/>
    <col min="6654" max="6654" width="20.6640625" customWidth="1"/>
    <col min="6655" max="6655" width="14.5" customWidth="1"/>
    <col min="6656" max="6656" width="18.33203125" customWidth="1"/>
    <col min="6660" max="6661" width="14.5" customWidth="1"/>
    <col min="6662" max="6663" width="18.33203125" customWidth="1"/>
    <col min="6665" max="6665" width="21.83203125" customWidth="1"/>
    <col min="6666" max="6666" width="16.83203125" customWidth="1"/>
    <col min="6909" max="6909" width="16.33203125" customWidth="1"/>
    <col min="6910" max="6910" width="20.6640625" customWidth="1"/>
    <col min="6911" max="6911" width="14.5" customWidth="1"/>
    <col min="6912" max="6912" width="18.33203125" customWidth="1"/>
    <col min="6916" max="6917" width="14.5" customWidth="1"/>
    <col min="6918" max="6919" width="18.33203125" customWidth="1"/>
    <col min="6921" max="6921" width="21.83203125" customWidth="1"/>
    <col min="6922" max="6922" width="16.83203125" customWidth="1"/>
    <col min="7165" max="7165" width="16.33203125" customWidth="1"/>
    <col min="7166" max="7166" width="20.6640625" customWidth="1"/>
    <col min="7167" max="7167" width="14.5" customWidth="1"/>
    <col min="7168" max="7168" width="18.33203125" customWidth="1"/>
    <col min="7172" max="7173" width="14.5" customWidth="1"/>
    <col min="7174" max="7175" width="18.33203125" customWidth="1"/>
    <col min="7177" max="7177" width="21.83203125" customWidth="1"/>
    <col min="7178" max="7178" width="16.83203125" customWidth="1"/>
    <col min="7421" max="7421" width="16.33203125" customWidth="1"/>
    <col min="7422" max="7422" width="20.6640625" customWidth="1"/>
    <col min="7423" max="7423" width="14.5" customWidth="1"/>
    <col min="7424" max="7424" width="18.33203125" customWidth="1"/>
    <col min="7428" max="7429" width="14.5" customWidth="1"/>
    <col min="7430" max="7431" width="18.33203125" customWidth="1"/>
    <col min="7433" max="7433" width="21.83203125" customWidth="1"/>
    <col min="7434" max="7434" width="16.83203125" customWidth="1"/>
    <col min="7677" max="7677" width="16.33203125" customWidth="1"/>
    <col min="7678" max="7678" width="20.6640625" customWidth="1"/>
    <col min="7679" max="7679" width="14.5" customWidth="1"/>
    <col min="7680" max="7680" width="18.33203125" customWidth="1"/>
    <col min="7684" max="7685" width="14.5" customWidth="1"/>
    <col min="7686" max="7687" width="18.33203125" customWidth="1"/>
    <col min="7689" max="7689" width="21.83203125" customWidth="1"/>
    <col min="7690" max="7690" width="16.83203125" customWidth="1"/>
    <col min="7933" max="7933" width="16.33203125" customWidth="1"/>
    <col min="7934" max="7934" width="20.6640625" customWidth="1"/>
    <col min="7935" max="7935" width="14.5" customWidth="1"/>
    <col min="7936" max="7936" width="18.33203125" customWidth="1"/>
    <col min="7940" max="7941" width="14.5" customWidth="1"/>
    <col min="7942" max="7943" width="18.33203125" customWidth="1"/>
    <col min="7945" max="7945" width="21.83203125" customWidth="1"/>
    <col min="7946" max="7946" width="16.83203125" customWidth="1"/>
    <col min="8189" max="8189" width="16.33203125" customWidth="1"/>
    <col min="8190" max="8190" width="20.6640625" customWidth="1"/>
    <col min="8191" max="8191" width="14.5" customWidth="1"/>
    <col min="8192" max="8192" width="18.33203125" customWidth="1"/>
    <col min="8196" max="8197" width="14.5" customWidth="1"/>
    <col min="8198" max="8199" width="18.33203125" customWidth="1"/>
    <col min="8201" max="8201" width="21.83203125" customWidth="1"/>
    <col min="8202" max="8202" width="16.83203125" customWidth="1"/>
    <col min="8445" max="8445" width="16.33203125" customWidth="1"/>
    <col min="8446" max="8446" width="20.6640625" customWidth="1"/>
    <col min="8447" max="8447" width="14.5" customWidth="1"/>
    <col min="8448" max="8448" width="18.33203125" customWidth="1"/>
    <col min="8452" max="8453" width="14.5" customWidth="1"/>
    <col min="8454" max="8455" width="18.33203125" customWidth="1"/>
    <col min="8457" max="8457" width="21.83203125" customWidth="1"/>
    <col min="8458" max="8458" width="16.83203125" customWidth="1"/>
    <col min="8701" max="8701" width="16.33203125" customWidth="1"/>
    <col min="8702" max="8702" width="20.6640625" customWidth="1"/>
    <col min="8703" max="8703" width="14.5" customWidth="1"/>
    <col min="8704" max="8704" width="18.33203125" customWidth="1"/>
    <col min="8708" max="8709" width="14.5" customWidth="1"/>
    <col min="8710" max="8711" width="18.33203125" customWidth="1"/>
    <col min="8713" max="8713" width="21.83203125" customWidth="1"/>
    <col min="8714" max="8714" width="16.83203125" customWidth="1"/>
    <col min="8957" max="8957" width="16.33203125" customWidth="1"/>
    <col min="8958" max="8958" width="20.6640625" customWidth="1"/>
    <col min="8959" max="8959" width="14.5" customWidth="1"/>
    <col min="8960" max="8960" width="18.33203125" customWidth="1"/>
    <col min="8964" max="8965" width="14.5" customWidth="1"/>
    <col min="8966" max="8967" width="18.33203125" customWidth="1"/>
    <col min="8969" max="8969" width="21.83203125" customWidth="1"/>
    <col min="8970" max="8970" width="16.83203125" customWidth="1"/>
    <col min="9213" max="9213" width="16.33203125" customWidth="1"/>
    <col min="9214" max="9214" width="20.6640625" customWidth="1"/>
    <col min="9215" max="9215" width="14.5" customWidth="1"/>
    <col min="9216" max="9216" width="18.33203125" customWidth="1"/>
    <col min="9220" max="9221" width="14.5" customWidth="1"/>
    <col min="9222" max="9223" width="18.33203125" customWidth="1"/>
    <col min="9225" max="9225" width="21.83203125" customWidth="1"/>
    <col min="9226" max="9226" width="16.83203125" customWidth="1"/>
    <col min="9469" max="9469" width="16.33203125" customWidth="1"/>
    <col min="9470" max="9470" width="20.6640625" customWidth="1"/>
    <col min="9471" max="9471" width="14.5" customWidth="1"/>
    <col min="9472" max="9472" width="18.33203125" customWidth="1"/>
    <col min="9476" max="9477" width="14.5" customWidth="1"/>
    <col min="9478" max="9479" width="18.33203125" customWidth="1"/>
    <col min="9481" max="9481" width="21.83203125" customWidth="1"/>
    <col min="9482" max="9482" width="16.83203125" customWidth="1"/>
    <col min="9725" max="9725" width="16.33203125" customWidth="1"/>
    <col min="9726" max="9726" width="20.6640625" customWidth="1"/>
    <col min="9727" max="9727" width="14.5" customWidth="1"/>
    <col min="9728" max="9728" width="18.33203125" customWidth="1"/>
    <col min="9732" max="9733" width="14.5" customWidth="1"/>
    <col min="9734" max="9735" width="18.33203125" customWidth="1"/>
    <col min="9737" max="9737" width="21.83203125" customWidth="1"/>
    <col min="9738" max="9738" width="16.83203125" customWidth="1"/>
    <col min="9981" max="9981" width="16.33203125" customWidth="1"/>
    <col min="9982" max="9982" width="20.6640625" customWidth="1"/>
    <col min="9983" max="9983" width="14.5" customWidth="1"/>
    <col min="9984" max="9984" width="18.33203125" customWidth="1"/>
    <col min="9988" max="9989" width="14.5" customWidth="1"/>
    <col min="9990" max="9991" width="18.33203125" customWidth="1"/>
    <col min="9993" max="9993" width="21.83203125" customWidth="1"/>
    <col min="9994" max="9994" width="16.83203125" customWidth="1"/>
    <col min="10237" max="10237" width="16.33203125" customWidth="1"/>
    <col min="10238" max="10238" width="20.6640625" customWidth="1"/>
    <col min="10239" max="10239" width="14.5" customWidth="1"/>
    <col min="10240" max="10240" width="18.33203125" customWidth="1"/>
    <col min="10244" max="10245" width="14.5" customWidth="1"/>
    <col min="10246" max="10247" width="18.33203125" customWidth="1"/>
    <col min="10249" max="10249" width="21.83203125" customWidth="1"/>
    <col min="10250" max="10250" width="16.83203125" customWidth="1"/>
    <col min="10493" max="10493" width="16.33203125" customWidth="1"/>
    <col min="10494" max="10494" width="20.6640625" customWidth="1"/>
    <col min="10495" max="10495" width="14.5" customWidth="1"/>
    <col min="10496" max="10496" width="18.33203125" customWidth="1"/>
    <col min="10500" max="10501" width="14.5" customWidth="1"/>
    <col min="10502" max="10503" width="18.33203125" customWidth="1"/>
    <col min="10505" max="10505" width="21.83203125" customWidth="1"/>
    <col min="10506" max="10506" width="16.83203125" customWidth="1"/>
    <col min="10749" max="10749" width="16.33203125" customWidth="1"/>
    <col min="10750" max="10750" width="20.6640625" customWidth="1"/>
    <col min="10751" max="10751" width="14.5" customWidth="1"/>
    <col min="10752" max="10752" width="18.33203125" customWidth="1"/>
    <col min="10756" max="10757" width="14.5" customWidth="1"/>
    <col min="10758" max="10759" width="18.33203125" customWidth="1"/>
    <col min="10761" max="10761" width="21.83203125" customWidth="1"/>
    <col min="10762" max="10762" width="16.83203125" customWidth="1"/>
    <col min="11005" max="11005" width="16.33203125" customWidth="1"/>
    <col min="11006" max="11006" width="20.6640625" customWidth="1"/>
    <col min="11007" max="11007" width="14.5" customWidth="1"/>
    <col min="11008" max="11008" width="18.33203125" customWidth="1"/>
    <col min="11012" max="11013" width="14.5" customWidth="1"/>
    <col min="11014" max="11015" width="18.33203125" customWidth="1"/>
    <col min="11017" max="11017" width="21.83203125" customWidth="1"/>
    <col min="11018" max="11018" width="16.83203125" customWidth="1"/>
    <col min="11261" max="11261" width="16.33203125" customWidth="1"/>
    <col min="11262" max="11262" width="20.6640625" customWidth="1"/>
    <col min="11263" max="11263" width="14.5" customWidth="1"/>
    <col min="11264" max="11264" width="18.33203125" customWidth="1"/>
    <col min="11268" max="11269" width="14.5" customWidth="1"/>
    <col min="11270" max="11271" width="18.33203125" customWidth="1"/>
    <col min="11273" max="11273" width="21.83203125" customWidth="1"/>
    <col min="11274" max="11274" width="16.83203125" customWidth="1"/>
    <col min="11517" max="11517" width="16.33203125" customWidth="1"/>
    <col min="11518" max="11518" width="20.6640625" customWidth="1"/>
    <col min="11519" max="11519" width="14.5" customWidth="1"/>
    <col min="11520" max="11520" width="18.33203125" customWidth="1"/>
    <col min="11524" max="11525" width="14.5" customWidth="1"/>
    <col min="11526" max="11527" width="18.33203125" customWidth="1"/>
    <col min="11529" max="11529" width="21.83203125" customWidth="1"/>
    <col min="11530" max="11530" width="16.83203125" customWidth="1"/>
    <col min="11773" max="11773" width="16.33203125" customWidth="1"/>
    <col min="11774" max="11774" width="20.6640625" customWidth="1"/>
    <col min="11775" max="11775" width="14.5" customWidth="1"/>
    <col min="11776" max="11776" width="18.33203125" customWidth="1"/>
    <col min="11780" max="11781" width="14.5" customWidth="1"/>
    <col min="11782" max="11783" width="18.33203125" customWidth="1"/>
    <col min="11785" max="11785" width="21.83203125" customWidth="1"/>
    <col min="11786" max="11786" width="16.83203125" customWidth="1"/>
    <col min="12029" max="12029" width="16.33203125" customWidth="1"/>
    <col min="12030" max="12030" width="20.6640625" customWidth="1"/>
    <col min="12031" max="12031" width="14.5" customWidth="1"/>
    <col min="12032" max="12032" width="18.33203125" customWidth="1"/>
    <col min="12036" max="12037" width="14.5" customWidth="1"/>
    <col min="12038" max="12039" width="18.33203125" customWidth="1"/>
    <col min="12041" max="12041" width="21.83203125" customWidth="1"/>
    <col min="12042" max="12042" width="16.83203125" customWidth="1"/>
    <col min="12285" max="12285" width="16.33203125" customWidth="1"/>
    <col min="12286" max="12286" width="20.6640625" customWidth="1"/>
    <col min="12287" max="12287" width="14.5" customWidth="1"/>
    <col min="12288" max="12288" width="18.33203125" customWidth="1"/>
    <col min="12292" max="12293" width="14.5" customWidth="1"/>
    <col min="12294" max="12295" width="18.33203125" customWidth="1"/>
    <col min="12297" max="12297" width="21.83203125" customWidth="1"/>
    <col min="12298" max="12298" width="16.83203125" customWidth="1"/>
    <col min="12541" max="12541" width="16.33203125" customWidth="1"/>
    <col min="12542" max="12542" width="20.6640625" customWidth="1"/>
    <col min="12543" max="12543" width="14.5" customWidth="1"/>
    <col min="12544" max="12544" width="18.33203125" customWidth="1"/>
    <col min="12548" max="12549" width="14.5" customWidth="1"/>
    <col min="12550" max="12551" width="18.33203125" customWidth="1"/>
    <col min="12553" max="12553" width="21.83203125" customWidth="1"/>
    <col min="12554" max="12554" width="16.83203125" customWidth="1"/>
    <col min="12797" max="12797" width="16.33203125" customWidth="1"/>
    <col min="12798" max="12798" width="20.6640625" customWidth="1"/>
    <col min="12799" max="12799" width="14.5" customWidth="1"/>
    <col min="12800" max="12800" width="18.33203125" customWidth="1"/>
    <col min="12804" max="12805" width="14.5" customWidth="1"/>
    <col min="12806" max="12807" width="18.33203125" customWidth="1"/>
    <col min="12809" max="12809" width="21.83203125" customWidth="1"/>
    <col min="12810" max="12810" width="16.83203125" customWidth="1"/>
    <col min="13053" max="13053" width="16.33203125" customWidth="1"/>
    <col min="13054" max="13054" width="20.6640625" customWidth="1"/>
    <col min="13055" max="13055" width="14.5" customWidth="1"/>
    <col min="13056" max="13056" width="18.33203125" customWidth="1"/>
    <col min="13060" max="13061" width="14.5" customWidth="1"/>
    <col min="13062" max="13063" width="18.33203125" customWidth="1"/>
    <col min="13065" max="13065" width="21.83203125" customWidth="1"/>
    <col min="13066" max="13066" width="16.83203125" customWidth="1"/>
    <col min="13309" max="13309" width="16.33203125" customWidth="1"/>
    <col min="13310" max="13310" width="20.6640625" customWidth="1"/>
    <col min="13311" max="13311" width="14.5" customWidth="1"/>
    <col min="13312" max="13312" width="18.33203125" customWidth="1"/>
    <col min="13316" max="13317" width="14.5" customWidth="1"/>
    <col min="13318" max="13319" width="18.33203125" customWidth="1"/>
    <col min="13321" max="13321" width="21.83203125" customWidth="1"/>
    <col min="13322" max="13322" width="16.83203125" customWidth="1"/>
    <col min="13565" max="13565" width="16.33203125" customWidth="1"/>
    <col min="13566" max="13566" width="20.6640625" customWidth="1"/>
    <col min="13567" max="13567" width="14.5" customWidth="1"/>
    <col min="13568" max="13568" width="18.33203125" customWidth="1"/>
    <col min="13572" max="13573" width="14.5" customWidth="1"/>
    <col min="13574" max="13575" width="18.33203125" customWidth="1"/>
    <col min="13577" max="13577" width="21.83203125" customWidth="1"/>
    <col min="13578" max="13578" width="16.83203125" customWidth="1"/>
    <col min="13821" max="13821" width="16.33203125" customWidth="1"/>
    <col min="13822" max="13822" width="20.6640625" customWidth="1"/>
    <col min="13823" max="13823" width="14.5" customWidth="1"/>
    <col min="13824" max="13824" width="18.33203125" customWidth="1"/>
    <col min="13828" max="13829" width="14.5" customWidth="1"/>
    <col min="13830" max="13831" width="18.33203125" customWidth="1"/>
    <col min="13833" max="13833" width="21.83203125" customWidth="1"/>
    <col min="13834" max="13834" width="16.83203125" customWidth="1"/>
    <col min="14077" max="14077" width="16.33203125" customWidth="1"/>
    <col min="14078" max="14078" width="20.6640625" customWidth="1"/>
    <col min="14079" max="14079" width="14.5" customWidth="1"/>
    <col min="14080" max="14080" width="18.33203125" customWidth="1"/>
    <col min="14084" max="14085" width="14.5" customWidth="1"/>
    <col min="14086" max="14087" width="18.33203125" customWidth="1"/>
    <col min="14089" max="14089" width="21.83203125" customWidth="1"/>
    <col min="14090" max="14090" width="16.83203125" customWidth="1"/>
    <col min="14333" max="14333" width="16.33203125" customWidth="1"/>
    <col min="14334" max="14334" width="20.6640625" customWidth="1"/>
    <col min="14335" max="14335" width="14.5" customWidth="1"/>
    <col min="14336" max="14336" width="18.33203125" customWidth="1"/>
    <col min="14340" max="14341" width="14.5" customWidth="1"/>
    <col min="14342" max="14343" width="18.33203125" customWidth="1"/>
    <col min="14345" max="14345" width="21.83203125" customWidth="1"/>
    <col min="14346" max="14346" width="16.83203125" customWidth="1"/>
    <col min="14589" max="14589" width="16.33203125" customWidth="1"/>
    <col min="14590" max="14590" width="20.6640625" customWidth="1"/>
    <col min="14591" max="14591" width="14.5" customWidth="1"/>
    <col min="14592" max="14592" width="18.33203125" customWidth="1"/>
    <col min="14596" max="14597" width="14.5" customWidth="1"/>
    <col min="14598" max="14599" width="18.33203125" customWidth="1"/>
    <col min="14601" max="14601" width="21.83203125" customWidth="1"/>
    <col min="14602" max="14602" width="16.83203125" customWidth="1"/>
    <col min="14845" max="14845" width="16.33203125" customWidth="1"/>
    <col min="14846" max="14846" width="20.6640625" customWidth="1"/>
    <col min="14847" max="14847" width="14.5" customWidth="1"/>
    <col min="14848" max="14848" width="18.33203125" customWidth="1"/>
    <col min="14852" max="14853" width="14.5" customWidth="1"/>
    <col min="14854" max="14855" width="18.33203125" customWidth="1"/>
    <col min="14857" max="14857" width="21.83203125" customWidth="1"/>
    <col min="14858" max="14858" width="16.83203125" customWidth="1"/>
    <col min="15101" max="15101" width="16.33203125" customWidth="1"/>
    <col min="15102" max="15102" width="20.6640625" customWidth="1"/>
    <col min="15103" max="15103" width="14.5" customWidth="1"/>
    <col min="15104" max="15104" width="18.33203125" customWidth="1"/>
    <col min="15108" max="15109" width="14.5" customWidth="1"/>
    <col min="15110" max="15111" width="18.33203125" customWidth="1"/>
    <col min="15113" max="15113" width="21.83203125" customWidth="1"/>
    <col min="15114" max="15114" width="16.83203125" customWidth="1"/>
    <col min="15357" max="15357" width="16.33203125" customWidth="1"/>
    <col min="15358" max="15358" width="20.6640625" customWidth="1"/>
    <col min="15359" max="15359" width="14.5" customWidth="1"/>
    <col min="15360" max="15360" width="18.33203125" customWidth="1"/>
    <col min="15364" max="15365" width="14.5" customWidth="1"/>
    <col min="15366" max="15367" width="18.33203125" customWidth="1"/>
    <col min="15369" max="15369" width="21.83203125" customWidth="1"/>
    <col min="15370" max="15370" width="16.83203125" customWidth="1"/>
    <col min="15613" max="15613" width="16.33203125" customWidth="1"/>
    <col min="15614" max="15614" width="20.6640625" customWidth="1"/>
    <col min="15615" max="15615" width="14.5" customWidth="1"/>
    <col min="15616" max="15616" width="18.33203125" customWidth="1"/>
    <col min="15620" max="15621" width="14.5" customWidth="1"/>
    <col min="15622" max="15623" width="18.33203125" customWidth="1"/>
    <col min="15625" max="15625" width="21.83203125" customWidth="1"/>
    <col min="15626" max="15626" width="16.83203125" customWidth="1"/>
    <col min="15869" max="15869" width="16.33203125" customWidth="1"/>
    <col min="15870" max="15870" width="20.6640625" customWidth="1"/>
    <col min="15871" max="15871" width="14.5" customWidth="1"/>
    <col min="15872" max="15872" width="18.33203125" customWidth="1"/>
    <col min="15876" max="15877" width="14.5" customWidth="1"/>
    <col min="15878" max="15879" width="18.33203125" customWidth="1"/>
    <col min="15881" max="15881" width="21.83203125" customWidth="1"/>
    <col min="15882" max="15882" width="16.83203125" customWidth="1"/>
    <col min="16125" max="16125" width="16.33203125" customWidth="1"/>
    <col min="16126" max="16126" width="20.6640625" customWidth="1"/>
    <col min="16127" max="16127" width="14.5" customWidth="1"/>
    <col min="16128" max="16128" width="18.33203125" customWidth="1"/>
    <col min="16132" max="16133" width="14.5" customWidth="1"/>
    <col min="16134" max="16135" width="18.33203125" customWidth="1"/>
    <col min="16137" max="16137" width="21.83203125" customWidth="1"/>
    <col min="16138" max="16138" width="16.83203125" customWidth="1"/>
  </cols>
  <sheetData>
    <row r="1" spans="1:11" ht="45" customHeight="1">
      <c r="A1" s="1246" t="s">
        <v>424</v>
      </c>
      <c r="B1" s="1247"/>
      <c r="C1" s="1247"/>
      <c r="D1" s="118"/>
      <c r="E1" s="118"/>
      <c r="F1" s="324"/>
      <c r="G1" s="118"/>
      <c r="H1" s="118"/>
      <c r="I1" s="118"/>
      <c r="J1" s="103"/>
      <c r="K1" s="139"/>
    </row>
    <row r="2" spans="1:11" s="81" customFormat="1" ht="11.25" customHeight="1">
      <c r="A2" s="379" t="s">
        <v>425</v>
      </c>
      <c r="B2" s="1265" t="s">
        <v>370</v>
      </c>
      <c r="C2" s="1266"/>
      <c r="D2" s="1267"/>
      <c r="E2" s="1248" t="s">
        <v>622</v>
      </c>
      <c r="F2" s="1249"/>
      <c r="G2" s="1249"/>
      <c r="H2" s="1254" t="s">
        <v>623</v>
      </c>
      <c r="I2" s="1255"/>
      <c r="J2" s="1260" t="s">
        <v>631</v>
      </c>
    </row>
    <row r="3" spans="1:11" s="81" customFormat="1">
      <c r="A3" s="380" t="s">
        <v>426</v>
      </c>
      <c r="B3" s="511"/>
      <c r="C3" s="381"/>
      <c r="D3" s="382"/>
      <c r="E3" s="1250"/>
      <c r="F3" s="1251"/>
      <c r="G3" s="1251"/>
      <c r="H3" s="1256"/>
      <c r="I3" s="1257"/>
      <c r="J3" s="1261"/>
    </row>
    <row r="4" spans="1:11" s="81" customFormat="1">
      <c r="A4" s="383"/>
      <c r="B4" s="512"/>
      <c r="C4" s="384"/>
      <c r="D4" s="385"/>
      <c r="E4" s="1252"/>
      <c r="F4" s="1253"/>
      <c r="G4" s="1253"/>
      <c r="H4" s="1258"/>
      <c r="I4" s="1259"/>
      <c r="J4" s="1261"/>
    </row>
    <row r="5" spans="1:11" s="81" customFormat="1" ht="23.25" customHeight="1">
      <c r="A5" s="1529" t="s">
        <v>3066</v>
      </c>
      <c r="B5" s="1526"/>
      <c r="C5" s="386"/>
      <c r="D5" s="387" t="s">
        <v>624</v>
      </c>
      <c r="E5" s="388"/>
      <c r="F5" s="282"/>
      <c r="G5" s="389"/>
      <c r="H5" s="1263" t="s">
        <v>625</v>
      </c>
      <c r="I5" s="1255"/>
      <c r="J5" s="1261"/>
    </row>
    <row r="6" spans="1:11" ht="31.5" customHeight="1">
      <c r="A6" s="1527"/>
      <c r="B6" s="1528"/>
      <c r="C6" s="390"/>
      <c r="D6" s="271"/>
      <c r="E6" s="258"/>
      <c r="F6" s="1531"/>
      <c r="G6" s="391"/>
      <c r="H6" s="1264"/>
      <c r="I6" s="1259"/>
      <c r="J6" s="1262"/>
    </row>
    <row r="7" spans="1:11" ht="10.5" customHeight="1">
      <c r="A7" s="375" t="s">
        <v>653</v>
      </c>
      <c r="B7" s="177" t="s">
        <v>428</v>
      </c>
      <c r="C7" s="1276" t="s">
        <v>429</v>
      </c>
      <c r="D7" s="1278" t="s">
        <v>620</v>
      </c>
      <c r="E7" s="1280" t="s">
        <v>432</v>
      </c>
      <c r="F7" s="1282" t="s">
        <v>430</v>
      </c>
      <c r="G7" s="1278" t="s">
        <v>621</v>
      </c>
      <c r="H7" s="1268" t="s">
        <v>431</v>
      </c>
      <c r="I7" s="1269"/>
      <c r="J7" s="1272" t="s">
        <v>627</v>
      </c>
    </row>
    <row r="8" spans="1:11" ht="21" customHeight="1">
      <c r="A8" s="367"/>
      <c r="B8" s="99"/>
      <c r="C8" s="1277"/>
      <c r="D8" s="1279"/>
      <c r="E8" s="1281"/>
      <c r="F8" s="1283"/>
      <c r="G8" s="1279"/>
      <c r="H8" s="1270"/>
      <c r="I8" s="1271"/>
      <c r="J8" s="1273"/>
    </row>
    <row r="9" spans="1:11" s="30" customFormat="1" ht="12.75">
      <c r="A9" s="365"/>
      <c r="B9" s="357" t="s">
        <v>276</v>
      </c>
      <c r="C9" s="366"/>
      <c r="D9" s="330"/>
      <c r="E9" s="330"/>
      <c r="F9" s="330"/>
      <c r="G9" s="330"/>
      <c r="H9" s="392"/>
      <c r="I9" s="393"/>
      <c r="J9" s="73"/>
    </row>
    <row r="10" spans="1:11">
      <c r="A10" s="251"/>
      <c r="B10" s="1274" t="s">
        <v>812</v>
      </c>
      <c r="C10" s="1275"/>
      <c r="D10" s="1275"/>
      <c r="E10" s="1275"/>
      <c r="F10" s="1275"/>
      <c r="G10" s="367"/>
      <c r="H10" s="394"/>
      <c r="I10" s="395"/>
      <c r="J10" s="194"/>
    </row>
    <row r="11" spans="1:11" ht="21">
      <c r="A11" s="68" t="s">
        <v>2162</v>
      </c>
      <c r="B11" s="96" t="s">
        <v>1485</v>
      </c>
      <c r="C11" s="96" t="s">
        <v>630</v>
      </c>
      <c r="D11" s="201">
        <v>20</v>
      </c>
      <c r="E11" s="201">
        <f>SUM(D11*1.1)</f>
        <v>22</v>
      </c>
      <c r="F11" s="201">
        <f>SUM(G11*1.1)</f>
        <v>13.200000000000001</v>
      </c>
      <c r="G11" s="201">
        <v>12</v>
      </c>
      <c r="H11" s="394"/>
      <c r="I11" s="395"/>
      <c r="J11" s="279" t="s">
        <v>655</v>
      </c>
    </row>
    <row r="12" spans="1:11" ht="21">
      <c r="A12" s="68" t="s">
        <v>2163</v>
      </c>
      <c r="B12" s="96" t="s">
        <v>1486</v>
      </c>
      <c r="C12" s="96" t="s">
        <v>630</v>
      </c>
      <c r="D12" s="201">
        <v>20</v>
      </c>
      <c r="E12" s="201">
        <f>SUM(D12*1.1)</f>
        <v>22</v>
      </c>
      <c r="F12" s="201">
        <f t="shared" ref="F12:F18" si="0">SUM(G12*1.1)</f>
        <v>13.200000000000001</v>
      </c>
      <c r="G12" s="201">
        <v>12</v>
      </c>
      <c r="H12" s="394"/>
      <c r="I12" s="395"/>
      <c r="J12" s="279" t="s">
        <v>655</v>
      </c>
    </row>
    <row r="13" spans="1:11" ht="31.5">
      <c r="A13" s="60" t="s">
        <v>2164</v>
      </c>
      <c r="B13" s="96" t="s">
        <v>1487</v>
      </c>
      <c r="C13" s="96" t="s">
        <v>630</v>
      </c>
      <c r="D13" s="201">
        <v>20</v>
      </c>
      <c r="E13" s="201">
        <f>SUM(D13*1.1)</f>
        <v>22</v>
      </c>
      <c r="F13" s="201">
        <f t="shared" si="0"/>
        <v>13.200000000000001</v>
      </c>
      <c r="G13" s="201">
        <v>12</v>
      </c>
      <c r="H13" s="394"/>
      <c r="I13" s="395"/>
      <c r="J13" s="279" t="s">
        <v>655</v>
      </c>
    </row>
    <row r="14" spans="1:11" ht="12.75" customHeight="1">
      <c r="A14" s="251"/>
      <c r="B14" s="1284" t="s">
        <v>349</v>
      </c>
      <c r="C14" s="1285"/>
      <c r="D14" s="1285"/>
      <c r="E14" s="1285"/>
      <c r="F14" s="1286"/>
      <c r="G14" s="396"/>
      <c r="H14" s="394"/>
      <c r="I14" s="395"/>
      <c r="J14" s="154"/>
    </row>
    <row r="15" spans="1:11">
      <c r="A15" s="57" t="s">
        <v>2165</v>
      </c>
      <c r="B15" s="686" t="s">
        <v>1488</v>
      </c>
      <c r="C15" s="96" t="s">
        <v>630</v>
      </c>
      <c r="D15" s="201">
        <v>10</v>
      </c>
      <c r="E15" s="201">
        <f>SUM(D15*1.1)</f>
        <v>11</v>
      </c>
      <c r="F15" s="201">
        <f t="shared" si="0"/>
        <v>233.20000000000002</v>
      </c>
      <c r="G15" s="201">
        <v>212</v>
      </c>
      <c r="H15" s="394"/>
      <c r="I15" s="395"/>
      <c r="J15" s="279" t="s">
        <v>655</v>
      </c>
    </row>
    <row r="16" spans="1:11" ht="21">
      <c r="A16" s="57" t="s">
        <v>2165</v>
      </c>
      <c r="B16" s="373" t="s">
        <v>1489</v>
      </c>
      <c r="C16" s="96" t="s">
        <v>630</v>
      </c>
      <c r="D16" s="201">
        <v>15</v>
      </c>
      <c r="E16" s="201">
        <f>SUM(D16*1.1)</f>
        <v>16.5</v>
      </c>
      <c r="F16" s="201">
        <f t="shared" si="0"/>
        <v>123.20000000000002</v>
      </c>
      <c r="G16" s="201">
        <v>112</v>
      </c>
      <c r="H16" s="394"/>
      <c r="I16" s="395"/>
      <c r="J16" s="279" t="s">
        <v>655</v>
      </c>
    </row>
    <row r="17" spans="1:10" s="133" customFormat="1" ht="23.25" customHeight="1">
      <c r="A17" s="57" t="s">
        <v>2166</v>
      </c>
      <c r="B17" s="373" t="s">
        <v>1490</v>
      </c>
      <c r="C17" s="96" t="s">
        <v>630</v>
      </c>
      <c r="D17" s="201">
        <v>2.25</v>
      </c>
      <c r="E17" s="201">
        <f>SUM(D17*1.1)</f>
        <v>2.4750000000000001</v>
      </c>
      <c r="F17" s="201">
        <f t="shared" si="0"/>
        <v>134.20000000000002</v>
      </c>
      <c r="G17" s="201">
        <v>122</v>
      </c>
      <c r="H17" s="397"/>
      <c r="I17" s="398"/>
      <c r="J17" s="279" t="s">
        <v>655</v>
      </c>
    </row>
    <row r="18" spans="1:10" s="133" customFormat="1">
      <c r="A18" s="57" t="s">
        <v>2167</v>
      </c>
      <c r="B18" s="373" t="s">
        <v>1491</v>
      </c>
      <c r="C18" s="96" t="s">
        <v>630</v>
      </c>
      <c r="D18" s="201">
        <v>2.25</v>
      </c>
      <c r="E18" s="201">
        <f>SUM(D18*1.1)</f>
        <v>2.4750000000000001</v>
      </c>
      <c r="F18" s="201">
        <f t="shared" si="0"/>
        <v>28.6</v>
      </c>
      <c r="G18" s="201">
        <v>26</v>
      </c>
      <c r="H18" s="397"/>
      <c r="I18" s="398"/>
      <c r="J18" s="279" t="s">
        <v>655</v>
      </c>
    </row>
    <row r="19" spans="1:10" s="138" customFormat="1">
      <c r="A19" s="137"/>
      <c r="B19" s="1284" t="s">
        <v>440</v>
      </c>
      <c r="C19" s="1285"/>
      <c r="D19" s="1285"/>
      <c r="E19" s="1285"/>
      <c r="F19" s="1286"/>
      <c r="G19" s="399"/>
      <c r="H19" s="400"/>
      <c r="I19" s="401"/>
      <c r="J19" s="154"/>
    </row>
    <row r="20" spans="1:10" s="133" customFormat="1">
      <c r="A20" s="59" t="s">
        <v>2168</v>
      </c>
      <c r="B20" s="373" t="s">
        <v>1492</v>
      </c>
      <c r="C20" s="96" t="s">
        <v>630</v>
      </c>
      <c r="D20" s="201">
        <v>10</v>
      </c>
      <c r="E20" s="201">
        <f>SUM(D20*1.1)</f>
        <v>11</v>
      </c>
      <c r="F20" s="201">
        <f t="shared" ref="F20:F24" si="1">SUM(G20*1.1)</f>
        <v>220.00000000000003</v>
      </c>
      <c r="G20" s="201">
        <v>200</v>
      </c>
      <c r="H20" s="397"/>
      <c r="I20" s="398"/>
      <c r="J20" s="279" t="s">
        <v>655</v>
      </c>
    </row>
    <row r="21" spans="1:10" s="133" customFormat="1" ht="21">
      <c r="A21" s="59" t="s">
        <v>2169</v>
      </c>
      <c r="B21" s="373" t="s">
        <v>1493</v>
      </c>
      <c r="C21" s="96" t="s">
        <v>630</v>
      </c>
      <c r="D21" s="201">
        <v>24.5</v>
      </c>
      <c r="E21" s="201">
        <f>SUM(D21*1.1)</f>
        <v>26.950000000000003</v>
      </c>
      <c r="F21" s="201">
        <f t="shared" si="1"/>
        <v>110.00000000000001</v>
      </c>
      <c r="G21" s="201">
        <v>100</v>
      </c>
      <c r="H21" s="397"/>
      <c r="I21" s="398"/>
      <c r="J21" s="279" t="s">
        <v>655</v>
      </c>
    </row>
    <row r="22" spans="1:10" s="133" customFormat="1">
      <c r="A22" s="59" t="s">
        <v>2170</v>
      </c>
      <c r="B22" s="373" t="s">
        <v>1494</v>
      </c>
      <c r="C22" s="96" t="s">
        <v>630</v>
      </c>
      <c r="D22" s="201">
        <v>2.1800000000000002</v>
      </c>
      <c r="E22" s="201">
        <f>SUM(D22*1.1)</f>
        <v>2.3980000000000006</v>
      </c>
      <c r="F22" s="201">
        <f t="shared" si="1"/>
        <v>121.00000000000001</v>
      </c>
      <c r="G22" s="201">
        <v>110</v>
      </c>
      <c r="H22" s="397"/>
      <c r="I22" s="398"/>
      <c r="J22" s="279" t="s">
        <v>655</v>
      </c>
    </row>
    <row r="23" spans="1:10" s="133" customFormat="1">
      <c r="A23" s="59" t="s">
        <v>2171</v>
      </c>
      <c r="B23" s="373" t="s">
        <v>1495</v>
      </c>
      <c r="C23" s="96" t="s">
        <v>630</v>
      </c>
      <c r="D23" s="201">
        <v>5</v>
      </c>
      <c r="E23" s="201">
        <f>SUM(D23*1.1)</f>
        <v>5.5</v>
      </c>
      <c r="F23" s="201">
        <f t="shared" si="1"/>
        <v>15.400000000000002</v>
      </c>
      <c r="G23" s="201">
        <v>14</v>
      </c>
      <c r="H23" s="397"/>
      <c r="I23" s="398"/>
      <c r="J23" s="279" t="s">
        <v>655</v>
      </c>
    </row>
    <row r="24" spans="1:10" s="133" customFormat="1" ht="21">
      <c r="A24" s="59" t="s">
        <v>2172</v>
      </c>
      <c r="B24" s="373" t="s">
        <v>1496</v>
      </c>
      <c r="C24" s="96" t="s">
        <v>630</v>
      </c>
      <c r="D24" s="201">
        <v>1</v>
      </c>
      <c r="E24" s="201">
        <f>SUM(D24*1.1)</f>
        <v>1.1000000000000001</v>
      </c>
      <c r="F24" s="201">
        <f t="shared" si="1"/>
        <v>11.55</v>
      </c>
      <c r="G24" s="201">
        <v>10.5</v>
      </c>
      <c r="H24" s="397"/>
      <c r="I24" s="398"/>
      <c r="J24" s="279" t="s">
        <v>655</v>
      </c>
    </row>
    <row r="25" spans="1:10">
      <c r="A25" s="49"/>
      <c r="J25" s="24"/>
    </row>
    <row r="26" spans="1:10" s="18" customFormat="1">
      <c r="A26" s="140" t="s">
        <v>426</v>
      </c>
      <c r="B26" s="142"/>
      <c r="F26" s="23"/>
      <c r="J26" s="24"/>
    </row>
    <row r="27" spans="1:10" s="18" customFormat="1">
      <c r="A27" s="50"/>
      <c r="B27" s="144"/>
      <c r="F27" s="23"/>
      <c r="J27" s="24"/>
    </row>
    <row r="28" spans="1:10" s="18" customFormat="1">
      <c r="A28" s="50"/>
      <c r="B28" s="146"/>
      <c r="F28" s="23"/>
      <c r="J28" s="24"/>
    </row>
    <row r="29" spans="1:10" s="18" customFormat="1">
      <c r="A29" s="50"/>
      <c r="B29" s="146"/>
      <c r="F29" s="23"/>
      <c r="J29" s="24"/>
    </row>
    <row r="30" spans="1:10" s="18" customFormat="1">
      <c r="A30" s="51"/>
      <c r="B30" s="143"/>
      <c r="F30" s="23"/>
      <c r="J30" s="24"/>
    </row>
    <row r="31" spans="1:10" s="18" customFormat="1">
      <c r="A31" s="49"/>
      <c r="B31" s="143"/>
      <c r="F31" s="23"/>
      <c r="J31" s="24"/>
    </row>
    <row r="32" spans="1:10" s="18" customFormat="1">
      <c r="A32" s="51"/>
      <c r="B32" s="143"/>
      <c r="F32" s="23"/>
      <c r="J32" s="24"/>
    </row>
    <row r="33" spans="1:10" s="18" customFormat="1">
      <c r="A33" s="49"/>
      <c r="B33" s="143"/>
      <c r="F33" s="23"/>
      <c r="J33" s="24"/>
    </row>
    <row r="34" spans="1:10" s="18" customFormat="1">
      <c r="A34" s="51"/>
      <c r="B34" s="143"/>
      <c r="F34" s="23"/>
      <c r="J34" s="24"/>
    </row>
    <row r="35" spans="1:10" s="18" customFormat="1">
      <c r="A35" s="51"/>
      <c r="B35" s="143"/>
      <c r="F35" s="23"/>
      <c r="J35" s="24"/>
    </row>
    <row r="36" spans="1:10" s="18" customFormat="1">
      <c r="A36" s="51"/>
      <c r="B36" s="143"/>
      <c r="F36" s="23"/>
      <c r="J36" s="24"/>
    </row>
    <row r="37" spans="1:10" s="18" customFormat="1">
      <c r="A37" s="51"/>
      <c r="B37" s="143"/>
      <c r="F37" s="23"/>
      <c r="J37" s="24"/>
    </row>
    <row r="38" spans="1:10" s="18" customFormat="1">
      <c r="A38" s="51"/>
      <c r="B38" s="143"/>
      <c r="F38" s="23"/>
      <c r="J38" s="24"/>
    </row>
    <row r="39" spans="1:10" s="18" customFormat="1">
      <c r="A39" s="51"/>
      <c r="B39" s="143"/>
      <c r="F39" s="23"/>
      <c r="J39" s="24"/>
    </row>
    <row r="40" spans="1:10" s="18" customFormat="1">
      <c r="A40" s="51"/>
      <c r="B40" s="143"/>
      <c r="F40" s="23"/>
      <c r="J40" s="24"/>
    </row>
    <row r="41" spans="1:10" s="18" customFormat="1">
      <c r="A41" s="51"/>
      <c r="B41" s="143"/>
      <c r="F41" s="23"/>
      <c r="J41" s="24"/>
    </row>
    <row r="42" spans="1:10" s="18" customFormat="1">
      <c r="A42" s="51"/>
      <c r="B42" s="143"/>
      <c r="F42" s="23"/>
      <c r="J42" s="24"/>
    </row>
    <row r="43" spans="1:10" s="18" customFormat="1">
      <c r="A43" s="51"/>
      <c r="B43" s="143"/>
      <c r="F43" s="23"/>
      <c r="J43" s="24"/>
    </row>
    <row r="44" spans="1:10">
      <c r="A44" s="49"/>
      <c r="J44" s="24"/>
    </row>
    <row r="45" spans="1:10">
      <c r="A45" s="49"/>
      <c r="J45" s="24"/>
    </row>
    <row r="46" spans="1:10">
      <c r="A46" s="49"/>
    </row>
    <row r="47" spans="1:10">
      <c r="A47" s="49"/>
    </row>
    <row r="48" spans="1:10">
      <c r="A48" s="49"/>
    </row>
    <row r="49" spans="1:1">
      <c r="A49" s="49"/>
    </row>
    <row r="50" spans="1:1">
      <c r="A50" s="49"/>
    </row>
  </sheetData>
  <mergeCells count="17">
    <mergeCell ref="B14:F14"/>
    <mergeCell ref="B19:F19"/>
    <mergeCell ref="G7:G8"/>
    <mergeCell ref="H7:I8"/>
    <mergeCell ref="J7:J8"/>
    <mergeCell ref="B10:F10"/>
    <mergeCell ref="C7:C8"/>
    <mergeCell ref="D7:D8"/>
    <mergeCell ref="E7:E8"/>
    <mergeCell ref="F7:F8"/>
    <mergeCell ref="A1:C1"/>
    <mergeCell ref="E2:G4"/>
    <mergeCell ref="H2:I4"/>
    <mergeCell ref="J2:J6"/>
    <mergeCell ref="A5:B6"/>
    <mergeCell ref="H5:I6"/>
    <mergeCell ref="B2:D2"/>
  </mergeCells>
  <pageMargins left="0.75" right="0.75" top="1" bottom="1" header="0.5" footer="0.5"/>
  <pageSetup scale="72" fitToHeight="38" orientation="landscape" r:id="rId1"/>
  <headerFooter>
    <oddHeader>&amp;L&amp;F&amp;C&amp;A&amp;R&amp;G</oddHeader>
    <oddFooter xml:space="preserve">&amp;C&amp;"Arial,Italic"Use or disclosure of the data on this page or screen is subject to the restrictions on the title page or opening view screen of this proposal document or file.&amp;R&amp;P of &amp;N  </oddFooter>
  </headerFooter>
  <ignoredErrors>
    <ignoredError sqref="B11:C14 B19:E19 B16:C18 B15:C15 E15 B24:C24 B22:C22 E22 B23:C23 E23 B21:C21 B20:C20 E20 F21 E11:E14 F16:F18 E24 F19 F15 F22 F23 F20 F11:F14 F24 E16:E18 E21" unlockedFormula="1"/>
  </ignoredErrors>
  <legacyDrawingHF r:id="rId2"/>
</worksheet>
</file>

<file path=xl/worksheets/sheet3.xml><?xml version="1.0" encoding="utf-8"?>
<worksheet xmlns="http://schemas.openxmlformats.org/spreadsheetml/2006/main" xmlns:r="http://schemas.openxmlformats.org/officeDocument/2006/relationships">
  <sheetPr codeName="Sheet4" enableFormatConditionsCalculation="0">
    <tabColor theme="3" tint="0.79998168889431442"/>
    <pageSetUpPr fitToPage="1"/>
  </sheetPr>
  <dimension ref="A1:L49"/>
  <sheetViews>
    <sheetView zoomScaleNormal="100" workbookViewId="0">
      <selection activeCell="H2" sqref="H2:I6"/>
    </sheetView>
  </sheetViews>
  <sheetFormatPr defaultRowHeight="10.5"/>
  <cols>
    <col min="1" max="1" width="11.5" customWidth="1"/>
    <col min="2" max="2" width="20.6640625" style="143" customWidth="1"/>
    <col min="3" max="3" width="14.5" style="143" customWidth="1"/>
    <col min="4" max="4" width="0" style="133" hidden="1" customWidth="1"/>
    <col min="5" max="5" width="14.5" style="143" customWidth="1"/>
    <col min="6" max="6" width="14.5" style="133" customWidth="1"/>
    <col min="7" max="7" width="14.5" style="133" hidden="1" customWidth="1"/>
    <col min="8" max="8" width="9.1640625" style="143"/>
    <col min="9" max="9" width="21.83203125" style="143" customWidth="1"/>
    <col min="10" max="10" width="16.83203125" style="143" customWidth="1"/>
    <col min="11" max="11" width="9.33203125" style="8"/>
    <col min="12" max="12" width="13" customWidth="1"/>
  </cols>
  <sheetData>
    <row r="1" spans="1:12" ht="15" customHeight="1">
      <c r="A1" s="117" t="s">
        <v>424</v>
      </c>
      <c r="B1" s="270"/>
      <c r="C1" s="270"/>
      <c r="D1" s="339"/>
      <c r="E1" s="270"/>
      <c r="F1" s="339"/>
      <c r="G1" s="339"/>
      <c r="H1" s="270"/>
      <c r="I1" s="270"/>
      <c r="J1" s="226"/>
      <c r="K1" s="139"/>
    </row>
    <row r="2" spans="1:12" s="81" customFormat="1" ht="11.25" customHeight="1">
      <c r="A2" s="69"/>
      <c r="B2" s="1298" t="s">
        <v>370</v>
      </c>
      <c r="C2" s="1299"/>
      <c r="D2" s="1300"/>
      <c r="E2" s="1301" t="s">
        <v>622</v>
      </c>
      <c r="F2" s="1302"/>
      <c r="G2" s="1302"/>
      <c r="H2" s="1292" t="s">
        <v>623</v>
      </c>
      <c r="I2" s="1290"/>
      <c r="J2" s="1260" t="s">
        <v>631</v>
      </c>
      <c r="K2" s="138"/>
    </row>
    <row r="3" spans="1:12" s="81" customFormat="1" ht="10.5" customHeight="1">
      <c r="A3" s="119" t="s">
        <v>426</v>
      </c>
      <c r="B3" s="120"/>
      <c r="C3" s="120"/>
      <c r="D3" s="340"/>
      <c r="E3" s="1303"/>
      <c r="F3" s="1304"/>
      <c r="G3" s="1304"/>
      <c r="H3" s="1293"/>
      <c r="I3" s="1294"/>
      <c r="J3" s="1261"/>
      <c r="K3" s="138"/>
    </row>
    <row r="4" spans="1:12" s="81" customFormat="1" ht="10.5" customHeight="1">
      <c r="A4" s="122"/>
      <c r="B4" s="123"/>
      <c r="C4" s="123"/>
      <c r="D4" s="341"/>
      <c r="E4" s="1305"/>
      <c r="F4" s="1306"/>
      <c r="G4" s="1306"/>
      <c r="H4" s="1295"/>
      <c r="I4" s="1291"/>
      <c r="J4" s="1261"/>
      <c r="K4" s="138"/>
    </row>
    <row r="5" spans="1:12" s="81" customFormat="1" ht="12" customHeight="1">
      <c r="A5" s="1310" t="s">
        <v>626</v>
      </c>
      <c r="B5" s="1310"/>
      <c r="C5" s="127"/>
      <c r="D5" s="342" t="s">
        <v>624</v>
      </c>
      <c r="E5" s="128"/>
      <c r="F5" s="342"/>
      <c r="G5" s="131"/>
      <c r="H5" s="1290" t="s">
        <v>625</v>
      </c>
      <c r="I5" s="1290"/>
      <c r="J5" s="1261"/>
      <c r="K5" s="138"/>
    </row>
    <row r="6" spans="1:12" ht="69.75" customHeight="1">
      <c r="A6" s="1310"/>
      <c r="B6" s="1310"/>
      <c r="C6" s="325"/>
      <c r="D6" s="343"/>
      <c r="E6" s="126"/>
      <c r="F6" s="809"/>
      <c r="G6" s="131"/>
      <c r="H6" s="1291"/>
      <c r="I6" s="1291"/>
      <c r="J6" s="1262"/>
    </row>
    <row r="7" spans="1:12" ht="21" customHeight="1">
      <c r="A7" s="331" t="s">
        <v>653</v>
      </c>
      <c r="B7" s="330" t="s">
        <v>428</v>
      </c>
      <c r="C7" s="1311" t="s">
        <v>429</v>
      </c>
      <c r="D7" s="1296" t="s">
        <v>620</v>
      </c>
      <c r="E7" s="1312" t="s">
        <v>432</v>
      </c>
      <c r="F7" s="1297" t="s">
        <v>430</v>
      </c>
      <c r="G7" s="1296" t="s">
        <v>621</v>
      </c>
      <c r="H7" s="1287" t="s">
        <v>431</v>
      </c>
      <c r="I7" s="1288"/>
      <c r="J7" s="1272" t="s">
        <v>627</v>
      </c>
    </row>
    <row r="8" spans="1:12" ht="21" customHeight="1">
      <c r="A8" s="326"/>
      <c r="B8" s="99"/>
      <c r="C8" s="1311"/>
      <c r="D8" s="1296"/>
      <c r="E8" s="1312"/>
      <c r="F8" s="1297"/>
      <c r="G8" s="1309"/>
      <c r="H8" s="1270"/>
      <c r="I8" s="1289"/>
      <c r="J8" s="1273"/>
    </row>
    <row r="9" spans="1:12" s="30" customFormat="1" ht="12.75">
      <c r="A9" s="67"/>
      <c r="B9" s="252" t="s">
        <v>276</v>
      </c>
      <c r="C9" s="264"/>
      <c r="D9" s="330"/>
      <c r="E9" s="264"/>
      <c r="F9" s="330"/>
      <c r="G9" s="330"/>
      <c r="H9" s="277"/>
      <c r="I9" s="278"/>
      <c r="J9" s="73"/>
    </row>
    <row r="10" spans="1:12">
      <c r="A10" s="48"/>
      <c r="B10" s="1274" t="s">
        <v>812</v>
      </c>
      <c r="C10" s="1275"/>
      <c r="D10" s="1275"/>
      <c r="E10" s="1275"/>
      <c r="F10" s="1275"/>
      <c r="G10" s="1275"/>
      <c r="H10" s="271"/>
      <c r="I10" s="258"/>
      <c r="J10" s="194"/>
    </row>
    <row r="11" spans="1:12" ht="21">
      <c r="A11" s="68" t="s">
        <v>1659</v>
      </c>
      <c r="B11" s="235" t="s">
        <v>731</v>
      </c>
      <c r="C11" s="235" t="s">
        <v>628</v>
      </c>
      <c r="D11" s="201">
        <v>50</v>
      </c>
      <c r="E11" s="234">
        <f>SUM(D11*1.1)</f>
        <v>55.000000000000007</v>
      </c>
      <c r="F11" s="201">
        <v>10.84</v>
      </c>
      <c r="G11" s="201">
        <f t="shared" ref="G11:G13" si="0">(F11-(F11*10%))</f>
        <v>9.7560000000000002</v>
      </c>
      <c r="H11" s="237"/>
      <c r="I11" s="271"/>
      <c r="J11" s="279" t="s">
        <v>665</v>
      </c>
      <c r="K11" s="820"/>
      <c r="L11" s="8"/>
    </row>
    <row r="12" spans="1:12" ht="21">
      <c r="A12" s="68" t="s">
        <v>1660</v>
      </c>
      <c r="B12" s="235" t="s">
        <v>732</v>
      </c>
      <c r="C12" s="235" t="s">
        <v>628</v>
      </c>
      <c r="D12" s="201">
        <v>50</v>
      </c>
      <c r="E12" s="234">
        <f t="shared" ref="E12:E18" si="1">SUM(D12*1.1)</f>
        <v>55.000000000000007</v>
      </c>
      <c r="F12" s="201">
        <v>10.84</v>
      </c>
      <c r="G12" s="201">
        <f t="shared" si="0"/>
        <v>9.7560000000000002</v>
      </c>
      <c r="H12" s="237"/>
      <c r="I12" s="271"/>
      <c r="J12" s="279" t="s">
        <v>665</v>
      </c>
      <c r="K12" s="820"/>
      <c r="L12" s="8"/>
    </row>
    <row r="13" spans="1:12" ht="31.5">
      <c r="A13" s="60" t="s">
        <v>1661</v>
      </c>
      <c r="B13" s="235" t="s">
        <v>733</v>
      </c>
      <c r="C13" s="235" t="s">
        <v>628</v>
      </c>
      <c r="D13" s="201">
        <v>50</v>
      </c>
      <c r="E13" s="234">
        <f t="shared" si="1"/>
        <v>55.000000000000007</v>
      </c>
      <c r="F13" s="201">
        <v>73.19</v>
      </c>
      <c r="G13" s="201">
        <f t="shared" si="0"/>
        <v>65.870999999999995</v>
      </c>
      <c r="H13" s="237"/>
      <c r="I13" s="271"/>
      <c r="J13" s="279" t="s">
        <v>665</v>
      </c>
      <c r="K13" s="820"/>
      <c r="L13" s="8"/>
    </row>
    <row r="14" spans="1:12">
      <c r="A14" s="48"/>
      <c r="B14" s="1274" t="s">
        <v>349</v>
      </c>
      <c r="C14" s="1275"/>
      <c r="D14" s="1275"/>
      <c r="E14" s="1275"/>
      <c r="F14" s="1275"/>
      <c r="G14" s="1275"/>
      <c r="H14" s="237"/>
      <c r="I14" s="271"/>
      <c r="J14" s="86" t="s">
        <v>426</v>
      </c>
      <c r="K14" s="820"/>
      <c r="L14" s="8"/>
    </row>
    <row r="15" spans="1:12" ht="21">
      <c r="A15" s="57" t="s">
        <v>1662</v>
      </c>
      <c r="B15" s="238" t="s">
        <v>436</v>
      </c>
      <c r="C15" s="235" t="s">
        <v>628</v>
      </c>
      <c r="D15" s="201">
        <v>27</v>
      </c>
      <c r="E15" s="234">
        <f t="shared" si="1"/>
        <v>29.700000000000003</v>
      </c>
      <c r="F15" s="201">
        <v>86.96</v>
      </c>
      <c r="G15" s="201">
        <f t="shared" ref="G15:G18" si="2">(F15-(F15*10%))</f>
        <v>78.263999999999996</v>
      </c>
      <c r="H15" s="237"/>
      <c r="I15" s="271"/>
      <c r="J15" s="279" t="s">
        <v>665</v>
      </c>
      <c r="K15" s="820"/>
      <c r="L15" s="8"/>
    </row>
    <row r="16" spans="1:12" ht="21">
      <c r="A16" s="57" t="s">
        <v>1871</v>
      </c>
      <c r="B16" s="238" t="s">
        <v>437</v>
      </c>
      <c r="C16" s="235" t="s">
        <v>628</v>
      </c>
      <c r="D16" s="201">
        <v>27</v>
      </c>
      <c r="E16" s="234">
        <f t="shared" si="1"/>
        <v>29.700000000000003</v>
      </c>
      <c r="F16" s="201">
        <v>86.96</v>
      </c>
      <c r="G16" s="201">
        <f t="shared" si="2"/>
        <v>78.263999999999996</v>
      </c>
      <c r="H16" s="237"/>
      <c r="I16" s="271"/>
      <c r="J16" s="279" t="s">
        <v>665</v>
      </c>
      <c r="K16" s="820"/>
      <c r="L16" s="8"/>
    </row>
    <row r="17" spans="1:12" s="133" customFormat="1">
      <c r="A17" s="767" t="s">
        <v>1663</v>
      </c>
      <c r="B17" s="268" t="s">
        <v>438</v>
      </c>
      <c r="C17" s="235" t="s">
        <v>628</v>
      </c>
      <c r="D17" s="201">
        <v>1</v>
      </c>
      <c r="E17" s="234">
        <f t="shared" si="1"/>
        <v>1.1000000000000001</v>
      </c>
      <c r="F17" s="201">
        <v>86.96</v>
      </c>
      <c r="G17" s="201">
        <f t="shared" si="2"/>
        <v>78.263999999999996</v>
      </c>
      <c r="H17" s="152"/>
      <c r="I17" s="280"/>
      <c r="J17" s="279" t="s">
        <v>665</v>
      </c>
      <c r="K17" s="132"/>
    </row>
    <row r="18" spans="1:12" s="133" customFormat="1" ht="21">
      <c r="A18" s="767" t="s">
        <v>1664</v>
      </c>
      <c r="B18" s="268" t="s">
        <v>439</v>
      </c>
      <c r="C18" s="235" t="s">
        <v>628</v>
      </c>
      <c r="D18" s="201">
        <v>1</v>
      </c>
      <c r="E18" s="234">
        <f t="shared" si="1"/>
        <v>1.1000000000000001</v>
      </c>
      <c r="F18" s="201">
        <v>4.49</v>
      </c>
      <c r="G18" s="201">
        <f t="shared" si="2"/>
        <v>4.0410000000000004</v>
      </c>
      <c r="H18" s="152"/>
      <c r="I18" s="280"/>
      <c r="J18" s="279" t="s">
        <v>665</v>
      </c>
      <c r="K18" s="132"/>
    </row>
    <row r="19" spans="1:12" s="138" customFormat="1">
      <c r="A19" s="768"/>
      <c r="B19" s="1307" t="s">
        <v>440</v>
      </c>
      <c r="C19" s="1308"/>
      <c r="D19" s="1308"/>
      <c r="E19" s="1308"/>
      <c r="F19" s="1308"/>
      <c r="G19" s="1308"/>
      <c r="H19" s="267"/>
      <c r="I19" s="282"/>
      <c r="J19" s="86" t="s">
        <v>426</v>
      </c>
      <c r="K19" s="821"/>
    </row>
    <row r="20" spans="1:12" s="133" customFormat="1" ht="21">
      <c r="A20" s="769" t="s">
        <v>1665</v>
      </c>
      <c r="B20" s="268" t="s">
        <v>441</v>
      </c>
      <c r="C20" s="235" t="s">
        <v>628</v>
      </c>
      <c r="D20" s="201">
        <v>10</v>
      </c>
      <c r="E20" s="234">
        <f t="shared" ref="E20:E24" si="3">SUM(D20*1.1)</f>
        <v>11</v>
      </c>
      <c r="F20" s="201">
        <v>86.96</v>
      </c>
      <c r="G20" s="201">
        <f t="shared" ref="G20:G24" si="4">(F20-(F20*10%))</f>
        <v>78.263999999999996</v>
      </c>
      <c r="H20" s="152"/>
      <c r="I20" s="280"/>
      <c r="J20" s="279" t="s">
        <v>665</v>
      </c>
      <c r="K20" s="132"/>
    </row>
    <row r="21" spans="1:12" s="133" customFormat="1" ht="21">
      <c r="A21" s="769" t="s">
        <v>1666</v>
      </c>
      <c r="B21" s="268" t="s">
        <v>442</v>
      </c>
      <c r="C21" s="235" t="s">
        <v>628</v>
      </c>
      <c r="D21" s="201">
        <v>10</v>
      </c>
      <c r="E21" s="234">
        <f t="shared" si="3"/>
        <v>11</v>
      </c>
      <c r="F21" s="201">
        <v>86.96</v>
      </c>
      <c r="G21" s="201">
        <f t="shared" si="4"/>
        <v>78.263999999999996</v>
      </c>
      <c r="H21" s="152"/>
      <c r="I21" s="280"/>
      <c r="J21" s="279" t="s">
        <v>665</v>
      </c>
      <c r="K21" s="132"/>
    </row>
    <row r="22" spans="1:12" s="133" customFormat="1" ht="21">
      <c r="A22" s="769" t="s">
        <v>1667</v>
      </c>
      <c r="B22" s="268" t="s">
        <v>443</v>
      </c>
      <c r="C22" s="235" t="s">
        <v>628</v>
      </c>
      <c r="D22" s="201">
        <v>1</v>
      </c>
      <c r="E22" s="234">
        <f t="shared" si="3"/>
        <v>1.1000000000000001</v>
      </c>
      <c r="F22" s="201">
        <v>86.96</v>
      </c>
      <c r="G22" s="201">
        <f t="shared" si="4"/>
        <v>78.263999999999996</v>
      </c>
      <c r="H22" s="152"/>
      <c r="I22" s="280"/>
      <c r="J22" s="279" t="s">
        <v>665</v>
      </c>
      <c r="K22" s="132"/>
    </row>
    <row r="23" spans="1:12" s="133" customFormat="1" ht="21">
      <c r="A23" s="769" t="s">
        <v>1668</v>
      </c>
      <c r="B23" s="268" t="s">
        <v>444</v>
      </c>
      <c r="C23" s="235" t="s">
        <v>628</v>
      </c>
      <c r="D23" s="201">
        <v>1</v>
      </c>
      <c r="E23" s="234">
        <f t="shared" si="3"/>
        <v>1.1000000000000001</v>
      </c>
      <c r="F23" s="201">
        <v>4.49</v>
      </c>
      <c r="G23" s="201">
        <f t="shared" si="4"/>
        <v>4.0410000000000004</v>
      </c>
      <c r="H23" s="152"/>
      <c r="I23" s="280"/>
      <c r="J23" s="279" t="s">
        <v>665</v>
      </c>
      <c r="K23" s="132"/>
    </row>
    <row r="24" spans="1:12" s="133" customFormat="1" ht="21">
      <c r="A24" s="769" t="s">
        <v>1669</v>
      </c>
      <c r="B24" s="268" t="s">
        <v>354</v>
      </c>
      <c r="C24" s="235" t="s">
        <v>628</v>
      </c>
      <c r="D24" s="201">
        <v>0.1</v>
      </c>
      <c r="E24" s="234">
        <f t="shared" si="3"/>
        <v>0.11000000000000001</v>
      </c>
      <c r="F24" s="201">
        <v>5.36</v>
      </c>
      <c r="G24" s="201">
        <f t="shared" si="4"/>
        <v>4.8239999999999998</v>
      </c>
      <c r="H24" s="152"/>
      <c r="I24" s="280"/>
      <c r="J24" s="279" t="s">
        <v>665</v>
      </c>
      <c r="K24" s="132"/>
    </row>
    <row r="25" spans="1:12">
      <c r="A25" s="140" t="s">
        <v>629</v>
      </c>
      <c r="J25" s="169"/>
      <c r="L25" s="8"/>
    </row>
    <row r="26" spans="1:12" s="18" customFormat="1">
      <c r="A26" s="50"/>
      <c r="B26" s="142"/>
      <c r="C26" s="143"/>
      <c r="D26" s="133"/>
      <c r="E26" s="143"/>
      <c r="F26" s="133"/>
      <c r="G26" s="133"/>
      <c r="H26" s="143"/>
      <c r="I26" s="143"/>
      <c r="J26" s="169"/>
      <c r="K26" s="23"/>
      <c r="L26" s="23"/>
    </row>
    <row r="27" spans="1:12" s="18" customFormat="1">
      <c r="A27" s="50"/>
      <c r="B27" s="144"/>
      <c r="C27" s="143"/>
      <c r="D27" s="133"/>
      <c r="E27" s="143"/>
      <c r="F27" s="133"/>
      <c r="G27" s="133"/>
      <c r="H27" s="143"/>
      <c r="I27" s="143"/>
      <c r="J27" s="169"/>
      <c r="K27" s="23"/>
    </row>
    <row r="28" spans="1:12" s="18" customFormat="1">
      <c r="A28" s="50"/>
      <c r="B28" s="146"/>
      <c r="C28" s="143"/>
      <c r="D28" s="133"/>
      <c r="E28" s="143"/>
      <c r="F28" s="133"/>
      <c r="G28" s="133"/>
      <c r="H28" s="143"/>
      <c r="I28" s="143"/>
      <c r="J28" s="169"/>
      <c r="K28" s="23"/>
    </row>
    <row r="29" spans="1:12" s="18" customFormat="1">
      <c r="A29" s="51"/>
      <c r="B29" s="146"/>
      <c r="C29" s="143"/>
      <c r="D29" s="133"/>
      <c r="E29" s="143"/>
      <c r="F29" s="133"/>
      <c r="G29" s="133"/>
      <c r="H29" s="143"/>
      <c r="I29" s="143"/>
      <c r="J29" s="169"/>
      <c r="K29" s="23"/>
    </row>
    <row r="30" spans="1:12" s="18" customFormat="1">
      <c r="A30" s="49"/>
      <c r="B30" s="143"/>
      <c r="C30" s="143"/>
      <c r="D30" s="133"/>
      <c r="E30" s="143"/>
      <c r="F30" s="133"/>
      <c r="G30" s="133"/>
      <c r="H30" s="143"/>
      <c r="I30" s="143"/>
      <c r="J30" s="169"/>
      <c r="K30" s="23"/>
    </row>
    <row r="31" spans="1:12" s="18" customFormat="1">
      <c r="A31" s="51"/>
      <c r="B31" s="143"/>
      <c r="C31" s="143"/>
      <c r="D31" s="133"/>
      <c r="E31" s="143"/>
      <c r="F31" s="133"/>
      <c r="G31" s="133"/>
      <c r="H31" s="143"/>
      <c r="I31" s="143"/>
      <c r="J31" s="169"/>
      <c r="K31" s="23"/>
    </row>
    <row r="32" spans="1:12" s="18" customFormat="1">
      <c r="A32" s="49"/>
      <c r="B32" s="143"/>
      <c r="C32" s="143"/>
      <c r="D32" s="133"/>
      <c r="E32" s="143"/>
      <c r="F32" s="133"/>
      <c r="G32" s="133"/>
      <c r="H32" s="143"/>
      <c r="I32" s="143"/>
      <c r="J32" s="169"/>
      <c r="K32" s="23"/>
    </row>
    <row r="33" spans="1:11" s="18" customFormat="1">
      <c r="A33" s="51"/>
      <c r="B33" s="143"/>
      <c r="C33" s="143"/>
      <c r="D33" s="133"/>
      <c r="E33" s="143"/>
      <c r="F33" s="133"/>
      <c r="G33" s="133"/>
      <c r="H33" s="143"/>
      <c r="I33" s="143"/>
      <c r="J33" s="169"/>
      <c r="K33" s="23"/>
    </row>
    <row r="34" spans="1:11" s="18" customFormat="1">
      <c r="A34" s="51"/>
      <c r="B34" s="143"/>
      <c r="C34" s="143"/>
      <c r="D34" s="133"/>
      <c r="E34" s="143"/>
      <c r="F34" s="133"/>
      <c r="G34" s="133"/>
      <c r="H34" s="143"/>
      <c r="I34" s="143"/>
      <c r="J34" s="169"/>
      <c r="K34" s="23"/>
    </row>
    <row r="35" spans="1:11" s="18" customFormat="1">
      <c r="A35" s="51"/>
      <c r="B35" s="143"/>
      <c r="C35" s="143"/>
      <c r="D35" s="133"/>
      <c r="E35" s="143"/>
      <c r="F35" s="133"/>
      <c r="G35" s="133"/>
      <c r="H35" s="143"/>
      <c r="I35" s="143"/>
      <c r="J35" s="169"/>
      <c r="K35" s="23"/>
    </row>
    <row r="36" spans="1:11" s="18" customFormat="1">
      <c r="A36" s="51"/>
      <c r="B36" s="143"/>
      <c r="C36" s="143"/>
      <c r="D36" s="133"/>
      <c r="E36" s="143"/>
      <c r="F36" s="133"/>
      <c r="G36" s="133"/>
      <c r="H36" s="143"/>
      <c r="I36" s="143"/>
      <c r="J36" s="169"/>
      <c r="K36" s="23"/>
    </row>
    <row r="37" spans="1:11" s="18" customFormat="1">
      <c r="A37" s="51"/>
      <c r="B37" s="143"/>
      <c r="C37" s="143"/>
      <c r="D37" s="133"/>
      <c r="E37" s="143"/>
      <c r="F37" s="133"/>
      <c r="G37" s="133"/>
      <c r="H37" s="143"/>
      <c r="I37" s="143"/>
      <c r="J37" s="169"/>
      <c r="K37" s="23"/>
    </row>
    <row r="38" spans="1:11" s="18" customFormat="1">
      <c r="A38" s="51"/>
      <c r="B38" s="143"/>
      <c r="C38" s="143"/>
      <c r="D38" s="133"/>
      <c r="E38" s="143"/>
      <c r="F38" s="133"/>
      <c r="G38" s="133"/>
      <c r="H38" s="143"/>
      <c r="I38" s="143"/>
      <c r="J38" s="169"/>
      <c r="K38" s="23"/>
    </row>
    <row r="39" spans="1:11" s="18" customFormat="1">
      <c r="A39" s="51"/>
      <c r="B39" s="143"/>
      <c r="C39" s="143"/>
      <c r="D39" s="133"/>
      <c r="E39" s="143"/>
      <c r="F39" s="133"/>
      <c r="G39" s="133"/>
      <c r="H39" s="143"/>
      <c r="I39" s="143"/>
      <c r="J39" s="169"/>
      <c r="K39" s="23"/>
    </row>
    <row r="40" spans="1:11" s="18" customFormat="1">
      <c r="A40" s="51"/>
      <c r="B40" s="143"/>
      <c r="C40" s="143"/>
      <c r="D40" s="133"/>
      <c r="E40" s="143"/>
      <c r="F40" s="133"/>
      <c r="G40" s="133"/>
      <c r="H40" s="143"/>
      <c r="I40" s="143"/>
      <c r="J40" s="169"/>
      <c r="K40" s="23"/>
    </row>
    <row r="41" spans="1:11" s="18" customFormat="1">
      <c r="A41" s="51"/>
      <c r="B41" s="143"/>
      <c r="C41" s="143"/>
      <c r="D41" s="133"/>
      <c r="E41" s="143"/>
      <c r="F41" s="133"/>
      <c r="G41" s="133"/>
      <c r="H41" s="143"/>
      <c r="I41" s="143"/>
      <c r="J41" s="169"/>
      <c r="K41" s="23"/>
    </row>
    <row r="42" spans="1:11" s="18" customFormat="1">
      <c r="A42" s="51"/>
      <c r="B42" s="143"/>
      <c r="C42" s="143"/>
      <c r="D42" s="133"/>
      <c r="E42" s="143"/>
      <c r="F42" s="133"/>
      <c r="G42" s="133"/>
      <c r="H42" s="143"/>
      <c r="I42" s="143"/>
      <c r="J42" s="169"/>
      <c r="K42" s="23"/>
    </row>
    <row r="43" spans="1:11" s="18" customFormat="1">
      <c r="A43" s="49"/>
      <c r="B43" s="143"/>
      <c r="C43" s="143"/>
      <c r="D43" s="133"/>
      <c r="E43" s="143"/>
      <c r="F43" s="133"/>
      <c r="G43" s="133"/>
      <c r="H43" s="143"/>
      <c r="I43" s="143"/>
      <c r="J43" s="169"/>
      <c r="K43" s="23"/>
    </row>
    <row r="44" spans="1:11">
      <c r="A44" s="49"/>
      <c r="J44" s="169"/>
    </row>
    <row r="45" spans="1:11">
      <c r="A45" s="49"/>
      <c r="J45" s="169"/>
    </row>
    <row r="46" spans="1:11">
      <c r="A46" s="49"/>
    </row>
    <row r="47" spans="1:11">
      <c r="A47" s="49"/>
    </row>
    <row r="48" spans="1:11">
      <c r="A48" s="49"/>
    </row>
    <row r="49" spans="1:1">
      <c r="A49" s="49"/>
    </row>
  </sheetData>
  <mergeCells count="16">
    <mergeCell ref="B19:G19"/>
    <mergeCell ref="G7:G8"/>
    <mergeCell ref="A5:B6"/>
    <mergeCell ref="C7:C8"/>
    <mergeCell ref="E7:E8"/>
    <mergeCell ref="J2:J6"/>
    <mergeCell ref="B14:G14"/>
    <mergeCell ref="B10:G10"/>
    <mergeCell ref="J7:J8"/>
    <mergeCell ref="H7:I8"/>
    <mergeCell ref="H5:I6"/>
    <mergeCell ref="H2:I4"/>
    <mergeCell ref="D7:D8"/>
    <mergeCell ref="F7:F8"/>
    <mergeCell ref="B2:D2"/>
    <mergeCell ref="E2:G4"/>
  </mergeCells>
  <phoneticPr fontId="0" type="noConversion"/>
  <printOptions horizontalCentered="1"/>
  <pageMargins left="0.75" right="0.75" top="1" bottom="1" header="0.5" footer="0.5"/>
  <pageSetup scale="62" orientation="landscape" r:id="rId1"/>
  <headerFooter alignWithMargins="0">
    <oddHeader>&amp;L&amp;F&amp;C&amp;11&amp;A&amp;R&amp;G</oddHeader>
    <oddFooter>&amp;C&amp;"Tahoma,Italic"Use or disclosure of the data on this page or screen is subject to the restrictions on the title page or opening view screen of this proposal document or file.&amp;R&amp;P of &amp;N</oddFooter>
  </headerFooter>
  <ignoredErrors>
    <ignoredError sqref="B17:C18 E17:E18 B20:C24 E20:E24 B11:E13 B15:E16 B14:G14 B19:G19" unlockedFormula="1"/>
  </ignoredErrors>
  <legacyDrawingHF r:id="rId2"/>
</worksheet>
</file>

<file path=xl/worksheets/sheet4.xml><?xml version="1.0" encoding="utf-8"?>
<worksheet xmlns="http://schemas.openxmlformats.org/spreadsheetml/2006/main" xmlns:r="http://schemas.openxmlformats.org/officeDocument/2006/relationships">
  <sheetPr>
    <pageSetUpPr fitToPage="1"/>
  </sheetPr>
  <dimension ref="A1:P85"/>
  <sheetViews>
    <sheetView zoomScaleNormal="100" zoomScalePageLayoutView="80" workbookViewId="0">
      <selection activeCell="H2" sqref="H2:I6"/>
    </sheetView>
  </sheetViews>
  <sheetFormatPr defaultRowHeight="10.5"/>
  <cols>
    <col min="1" max="1" width="12.1640625" style="8" customWidth="1"/>
    <col min="2" max="2" width="17.6640625" style="8" customWidth="1"/>
    <col min="3" max="3" width="12.83203125" style="8" customWidth="1"/>
    <col min="4" max="4" width="11.5" style="8" hidden="1" customWidth="1"/>
    <col min="5" max="5" width="9.6640625" style="8" customWidth="1"/>
    <col min="6" max="6" width="17.83203125" style="8" bestFit="1" customWidth="1"/>
    <col min="7" max="7" width="11" style="8" hidden="1" customWidth="1"/>
    <col min="8" max="8" width="11.1640625" style="8" customWidth="1"/>
    <col min="9" max="9" width="25.1640625" style="8" customWidth="1"/>
    <col min="10" max="10" width="22.1640625" style="8" customWidth="1"/>
    <col min="11" max="254" width="9.33203125" style="8"/>
    <col min="255" max="255" width="7.5" style="8" customWidth="1"/>
    <col min="256" max="256" width="17.6640625" style="8" customWidth="1"/>
    <col min="257" max="257" width="12.83203125" style="8" customWidth="1"/>
    <col min="258" max="258" width="11.5" style="8" customWidth="1"/>
    <col min="259" max="259" width="9.6640625" style="8" customWidth="1"/>
    <col min="260" max="260" width="17.83203125" style="8" bestFit="1" customWidth="1"/>
    <col min="261" max="261" width="11" style="8" customWidth="1"/>
    <col min="262" max="262" width="13.1640625" style="8" customWidth="1"/>
    <col min="263" max="264" width="11.1640625" style="8" customWidth="1"/>
    <col min="265" max="265" width="25.1640625" style="8" customWidth="1"/>
    <col min="266" max="266" width="22.1640625" style="8" customWidth="1"/>
    <col min="267" max="510" width="9.33203125" style="8"/>
    <col min="511" max="511" width="7.5" style="8" customWidth="1"/>
    <col min="512" max="512" width="17.6640625" style="8" customWidth="1"/>
    <col min="513" max="513" width="12.83203125" style="8" customWidth="1"/>
    <col min="514" max="514" width="11.5" style="8" customWidth="1"/>
    <col min="515" max="515" width="9.6640625" style="8" customWidth="1"/>
    <col min="516" max="516" width="17.83203125" style="8" bestFit="1" customWidth="1"/>
    <col min="517" max="517" width="11" style="8" customWidth="1"/>
    <col min="518" max="518" width="13.1640625" style="8" customWidth="1"/>
    <col min="519" max="520" width="11.1640625" style="8" customWidth="1"/>
    <col min="521" max="521" width="25.1640625" style="8" customWidth="1"/>
    <col min="522" max="522" width="22.1640625" style="8" customWidth="1"/>
    <col min="523" max="766" width="9.33203125" style="8"/>
    <col min="767" max="767" width="7.5" style="8" customWidth="1"/>
    <col min="768" max="768" width="17.6640625" style="8" customWidth="1"/>
    <col min="769" max="769" width="12.83203125" style="8" customWidth="1"/>
    <col min="770" max="770" width="11.5" style="8" customWidth="1"/>
    <col min="771" max="771" width="9.6640625" style="8" customWidth="1"/>
    <col min="772" max="772" width="17.83203125" style="8" bestFit="1" customWidth="1"/>
    <col min="773" max="773" width="11" style="8" customWidth="1"/>
    <col min="774" max="774" width="13.1640625" style="8" customWidth="1"/>
    <col min="775" max="776" width="11.1640625" style="8" customWidth="1"/>
    <col min="777" max="777" width="25.1640625" style="8" customWidth="1"/>
    <col min="778" max="778" width="22.1640625" style="8" customWidth="1"/>
    <col min="779" max="1022" width="9.33203125" style="8"/>
    <col min="1023" max="1023" width="7.5" style="8" customWidth="1"/>
    <col min="1024" max="1024" width="17.6640625" style="8" customWidth="1"/>
    <col min="1025" max="1025" width="12.83203125" style="8" customWidth="1"/>
    <col min="1026" max="1026" width="11.5" style="8" customWidth="1"/>
    <col min="1027" max="1027" width="9.6640625" style="8" customWidth="1"/>
    <col min="1028" max="1028" width="17.83203125" style="8" bestFit="1" customWidth="1"/>
    <col min="1029" max="1029" width="11" style="8" customWidth="1"/>
    <col min="1030" max="1030" width="13.1640625" style="8" customWidth="1"/>
    <col min="1031" max="1032" width="11.1640625" style="8" customWidth="1"/>
    <col min="1033" max="1033" width="25.1640625" style="8" customWidth="1"/>
    <col min="1034" max="1034" width="22.1640625" style="8" customWidth="1"/>
    <col min="1035" max="1278" width="9.33203125" style="8"/>
    <col min="1279" max="1279" width="7.5" style="8" customWidth="1"/>
    <col min="1280" max="1280" width="17.6640625" style="8" customWidth="1"/>
    <col min="1281" max="1281" width="12.83203125" style="8" customWidth="1"/>
    <col min="1282" max="1282" width="11.5" style="8" customWidth="1"/>
    <col min="1283" max="1283" width="9.6640625" style="8" customWidth="1"/>
    <col min="1284" max="1284" width="17.83203125" style="8" bestFit="1" customWidth="1"/>
    <col min="1285" max="1285" width="11" style="8" customWidth="1"/>
    <col min="1286" max="1286" width="13.1640625" style="8" customWidth="1"/>
    <col min="1287" max="1288" width="11.1640625" style="8" customWidth="1"/>
    <col min="1289" max="1289" width="25.1640625" style="8" customWidth="1"/>
    <col min="1290" max="1290" width="22.1640625" style="8" customWidth="1"/>
    <col min="1291" max="1534" width="9.33203125" style="8"/>
    <col min="1535" max="1535" width="7.5" style="8" customWidth="1"/>
    <col min="1536" max="1536" width="17.6640625" style="8" customWidth="1"/>
    <col min="1537" max="1537" width="12.83203125" style="8" customWidth="1"/>
    <col min="1538" max="1538" width="11.5" style="8" customWidth="1"/>
    <col min="1539" max="1539" width="9.6640625" style="8" customWidth="1"/>
    <col min="1540" max="1540" width="17.83203125" style="8" bestFit="1" customWidth="1"/>
    <col min="1541" max="1541" width="11" style="8" customWidth="1"/>
    <col min="1542" max="1542" width="13.1640625" style="8" customWidth="1"/>
    <col min="1543" max="1544" width="11.1640625" style="8" customWidth="1"/>
    <col min="1545" max="1545" width="25.1640625" style="8" customWidth="1"/>
    <col min="1546" max="1546" width="22.1640625" style="8" customWidth="1"/>
    <col min="1547" max="1790" width="9.33203125" style="8"/>
    <col min="1791" max="1791" width="7.5" style="8" customWidth="1"/>
    <col min="1792" max="1792" width="17.6640625" style="8" customWidth="1"/>
    <col min="1793" max="1793" width="12.83203125" style="8" customWidth="1"/>
    <col min="1794" max="1794" width="11.5" style="8" customWidth="1"/>
    <col min="1795" max="1795" width="9.6640625" style="8" customWidth="1"/>
    <col min="1796" max="1796" width="17.83203125" style="8" bestFit="1" customWidth="1"/>
    <col min="1797" max="1797" width="11" style="8" customWidth="1"/>
    <col min="1798" max="1798" width="13.1640625" style="8" customWidth="1"/>
    <col min="1799" max="1800" width="11.1640625" style="8" customWidth="1"/>
    <col min="1801" max="1801" width="25.1640625" style="8" customWidth="1"/>
    <col min="1802" max="1802" width="22.1640625" style="8" customWidth="1"/>
    <col min="1803" max="2046" width="9.33203125" style="8"/>
    <col min="2047" max="2047" width="7.5" style="8" customWidth="1"/>
    <col min="2048" max="2048" width="17.6640625" style="8" customWidth="1"/>
    <col min="2049" max="2049" width="12.83203125" style="8" customWidth="1"/>
    <col min="2050" max="2050" width="11.5" style="8" customWidth="1"/>
    <col min="2051" max="2051" width="9.6640625" style="8" customWidth="1"/>
    <col min="2052" max="2052" width="17.83203125" style="8" bestFit="1" customWidth="1"/>
    <col min="2053" max="2053" width="11" style="8" customWidth="1"/>
    <col min="2054" max="2054" width="13.1640625" style="8" customWidth="1"/>
    <col min="2055" max="2056" width="11.1640625" style="8" customWidth="1"/>
    <col min="2057" max="2057" width="25.1640625" style="8" customWidth="1"/>
    <col min="2058" max="2058" width="22.1640625" style="8" customWidth="1"/>
    <col min="2059" max="2302" width="9.33203125" style="8"/>
    <col min="2303" max="2303" width="7.5" style="8" customWidth="1"/>
    <col min="2304" max="2304" width="17.6640625" style="8" customWidth="1"/>
    <col min="2305" max="2305" width="12.83203125" style="8" customWidth="1"/>
    <col min="2306" max="2306" width="11.5" style="8" customWidth="1"/>
    <col min="2307" max="2307" width="9.6640625" style="8" customWidth="1"/>
    <col min="2308" max="2308" width="17.83203125" style="8" bestFit="1" customWidth="1"/>
    <col min="2309" max="2309" width="11" style="8" customWidth="1"/>
    <col min="2310" max="2310" width="13.1640625" style="8" customWidth="1"/>
    <col min="2311" max="2312" width="11.1640625" style="8" customWidth="1"/>
    <col min="2313" max="2313" width="25.1640625" style="8" customWidth="1"/>
    <col min="2314" max="2314" width="22.1640625" style="8" customWidth="1"/>
    <col min="2315" max="2558" width="9.33203125" style="8"/>
    <col min="2559" max="2559" width="7.5" style="8" customWidth="1"/>
    <col min="2560" max="2560" width="17.6640625" style="8" customWidth="1"/>
    <col min="2561" max="2561" width="12.83203125" style="8" customWidth="1"/>
    <col min="2562" max="2562" width="11.5" style="8" customWidth="1"/>
    <col min="2563" max="2563" width="9.6640625" style="8" customWidth="1"/>
    <col min="2564" max="2564" width="17.83203125" style="8" bestFit="1" customWidth="1"/>
    <col min="2565" max="2565" width="11" style="8" customWidth="1"/>
    <col min="2566" max="2566" width="13.1640625" style="8" customWidth="1"/>
    <col min="2567" max="2568" width="11.1640625" style="8" customWidth="1"/>
    <col min="2569" max="2569" width="25.1640625" style="8" customWidth="1"/>
    <col min="2570" max="2570" width="22.1640625" style="8" customWidth="1"/>
    <col min="2571" max="2814" width="9.33203125" style="8"/>
    <col min="2815" max="2815" width="7.5" style="8" customWidth="1"/>
    <col min="2816" max="2816" width="17.6640625" style="8" customWidth="1"/>
    <col min="2817" max="2817" width="12.83203125" style="8" customWidth="1"/>
    <col min="2818" max="2818" width="11.5" style="8" customWidth="1"/>
    <col min="2819" max="2819" width="9.6640625" style="8" customWidth="1"/>
    <col min="2820" max="2820" width="17.83203125" style="8" bestFit="1" customWidth="1"/>
    <col min="2821" max="2821" width="11" style="8" customWidth="1"/>
    <col min="2822" max="2822" width="13.1640625" style="8" customWidth="1"/>
    <col min="2823" max="2824" width="11.1640625" style="8" customWidth="1"/>
    <col min="2825" max="2825" width="25.1640625" style="8" customWidth="1"/>
    <col min="2826" max="2826" width="22.1640625" style="8" customWidth="1"/>
    <col min="2827" max="3070" width="9.33203125" style="8"/>
    <col min="3071" max="3071" width="7.5" style="8" customWidth="1"/>
    <col min="3072" max="3072" width="17.6640625" style="8" customWidth="1"/>
    <col min="3073" max="3073" width="12.83203125" style="8" customWidth="1"/>
    <col min="3074" max="3074" width="11.5" style="8" customWidth="1"/>
    <col min="3075" max="3075" width="9.6640625" style="8" customWidth="1"/>
    <col min="3076" max="3076" width="17.83203125" style="8" bestFit="1" customWidth="1"/>
    <col min="3077" max="3077" width="11" style="8" customWidth="1"/>
    <col min="3078" max="3078" width="13.1640625" style="8" customWidth="1"/>
    <col min="3079" max="3080" width="11.1640625" style="8" customWidth="1"/>
    <col min="3081" max="3081" width="25.1640625" style="8" customWidth="1"/>
    <col min="3082" max="3082" width="22.1640625" style="8" customWidth="1"/>
    <col min="3083" max="3326" width="9.33203125" style="8"/>
    <col min="3327" max="3327" width="7.5" style="8" customWidth="1"/>
    <col min="3328" max="3328" width="17.6640625" style="8" customWidth="1"/>
    <col min="3329" max="3329" width="12.83203125" style="8" customWidth="1"/>
    <col min="3330" max="3330" width="11.5" style="8" customWidth="1"/>
    <col min="3331" max="3331" width="9.6640625" style="8" customWidth="1"/>
    <col min="3332" max="3332" width="17.83203125" style="8" bestFit="1" customWidth="1"/>
    <col min="3333" max="3333" width="11" style="8" customWidth="1"/>
    <col min="3334" max="3334" width="13.1640625" style="8" customWidth="1"/>
    <col min="3335" max="3336" width="11.1640625" style="8" customWidth="1"/>
    <col min="3337" max="3337" width="25.1640625" style="8" customWidth="1"/>
    <col min="3338" max="3338" width="22.1640625" style="8" customWidth="1"/>
    <col min="3339" max="3582" width="9.33203125" style="8"/>
    <col min="3583" max="3583" width="7.5" style="8" customWidth="1"/>
    <col min="3584" max="3584" width="17.6640625" style="8" customWidth="1"/>
    <col min="3585" max="3585" width="12.83203125" style="8" customWidth="1"/>
    <col min="3586" max="3586" width="11.5" style="8" customWidth="1"/>
    <col min="3587" max="3587" width="9.6640625" style="8" customWidth="1"/>
    <col min="3588" max="3588" width="17.83203125" style="8" bestFit="1" customWidth="1"/>
    <col min="3589" max="3589" width="11" style="8" customWidth="1"/>
    <col min="3590" max="3590" width="13.1640625" style="8" customWidth="1"/>
    <col min="3591" max="3592" width="11.1640625" style="8" customWidth="1"/>
    <col min="3593" max="3593" width="25.1640625" style="8" customWidth="1"/>
    <col min="3594" max="3594" width="22.1640625" style="8" customWidth="1"/>
    <col min="3595" max="3838" width="9.33203125" style="8"/>
    <col min="3839" max="3839" width="7.5" style="8" customWidth="1"/>
    <col min="3840" max="3840" width="17.6640625" style="8" customWidth="1"/>
    <col min="3841" max="3841" width="12.83203125" style="8" customWidth="1"/>
    <col min="3842" max="3842" width="11.5" style="8" customWidth="1"/>
    <col min="3843" max="3843" width="9.6640625" style="8" customWidth="1"/>
    <col min="3844" max="3844" width="17.83203125" style="8" bestFit="1" customWidth="1"/>
    <col min="3845" max="3845" width="11" style="8" customWidth="1"/>
    <col min="3846" max="3846" width="13.1640625" style="8" customWidth="1"/>
    <col min="3847" max="3848" width="11.1640625" style="8" customWidth="1"/>
    <col min="3849" max="3849" width="25.1640625" style="8" customWidth="1"/>
    <col min="3850" max="3850" width="22.1640625" style="8" customWidth="1"/>
    <col min="3851" max="4094" width="9.33203125" style="8"/>
    <col min="4095" max="4095" width="7.5" style="8" customWidth="1"/>
    <col min="4096" max="4096" width="17.6640625" style="8" customWidth="1"/>
    <col min="4097" max="4097" width="12.83203125" style="8" customWidth="1"/>
    <col min="4098" max="4098" width="11.5" style="8" customWidth="1"/>
    <col min="4099" max="4099" width="9.6640625" style="8" customWidth="1"/>
    <col min="4100" max="4100" width="17.83203125" style="8" bestFit="1" customWidth="1"/>
    <col min="4101" max="4101" width="11" style="8" customWidth="1"/>
    <col min="4102" max="4102" width="13.1640625" style="8" customWidth="1"/>
    <col min="4103" max="4104" width="11.1640625" style="8" customWidth="1"/>
    <col min="4105" max="4105" width="25.1640625" style="8" customWidth="1"/>
    <col min="4106" max="4106" width="22.1640625" style="8" customWidth="1"/>
    <col min="4107" max="4350" width="9.33203125" style="8"/>
    <col min="4351" max="4351" width="7.5" style="8" customWidth="1"/>
    <col min="4352" max="4352" width="17.6640625" style="8" customWidth="1"/>
    <col min="4353" max="4353" width="12.83203125" style="8" customWidth="1"/>
    <col min="4354" max="4354" width="11.5" style="8" customWidth="1"/>
    <col min="4355" max="4355" width="9.6640625" style="8" customWidth="1"/>
    <col min="4356" max="4356" width="17.83203125" style="8" bestFit="1" customWidth="1"/>
    <col min="4357" max="4357" width="11" style="8" customWidth="1"/>
    <col min="4358" max="4358" width="13.1640625" style="8" customWidth="1"/>
    <col min="4359" max="4360" width="11.1640625" style="8" customWidth="1"/>
    <col min="4361" max="4361" width="25.1640625" style="8" customWidth="1"/>
    <col min="4362" max="4362" width="22.1640625" style="8" customWidth="1"/>
    <col min="4363" max="4606" width="9.33203125" style="8"/>
    <col min="4607" max="4607" width="7.5" style="8" customWidth="1"/>
    <col min="4608" max="4608" width="17.6640625" style="8" customWidth="1"/>
    <col min="4609" max="4609" width="12.83203125" style="8" customWidth="1"/>
    <col min="4610" max="4610" width="11.5" style="8" customWidth="1"/>
    <col min="4611" max="4611" width="9.6640625" style="8" customWidth="1"/>
    <col min="4612" max="4612" width="17.83203125" style="8" bestFit="1" customWidth="1"/>
    <col min="4613" max="4613" width="11" style="8" customWidth="1"/>
    <col min="4614" max="4614" width="13.1640625" style="8" customWidth="1"/>
    <col min="4615" max="4616" width="11.1640625" style="8" customWidth="1"/>
    <col min="4617" max="4617" width="25.1640625" style="8" customWidth="1"/>
    <col min="4618" max="4618" width="22.1640625" style="8" customWidth="1"/>
    <col min="4619" max="4862" width="9.33203125" style="8"/>
    <col min="4863" max="4863" width="7.5" style="8" customWidth="1"/>
    <col min="4864" max="4864" width="17.6640625" style="8" customWidth="1"/>
    <col min="4865" max="4865" width="12.83203125" style="8" customWidth="1"/>
    <col min="4866" max="4866" width="11.5" style="8" customWidth="1"/>
    <col min="4867" max="4867" width="9.6640625" style="8" customWidth="1"/>
    <col min="4868" max="4868" width="17.83203125" style="8" bestFit="1" customWidth="1"/>
    <col min="4869" max="4869" width="11" style="8" customWidth="1"/>
    <col min="4870" max="4870" width="13.1640625" style="8" customWidth="1"/>
    <col min="4871" max="4872" width="11.1640625" style="8" customWidth="1"/>
    <col min="4873" max="4873" width="25.1640625" style="8" customWidth="1"/>
    <col min="4874" max="4874" width="22.1640625" style="8" customWidth="1"/>
    <col min="4875" max="5118" width="9.33203125" style="8"/>
    <col min="5119" max="5119" width="7.5" style="8" customWidth="1"/>
    <col min="5120" max="5120" width="17.6640625" style="8" customWidth="1"/>
    <col min="5121" max="5121" width="12.83203125" style="8" customWidth="1"/>
    <col min="5122" max="5122" width="11.5" style="8" customWidth="1"/>
    <col min="5123" max="5123" width="9.6640625" style="8" customWidth="1"/>
    <col min="5124" max="5124" width="17.83203125" style="8" bestFit="1" customWidth="1"/>
    <col min="5125" max="5125" width="11" style="8" customWidth="1"/>
    <col min="5126" max="5126" width="13.1640625" style="8" customWidth="1"/>
    <col min="5127" max="5128" width="11.1640625" style="8" customWidth="1"/>
    <col min="5129" max="5129" width="25.1640625" style="8" customWidth="1"/>
    <col min="5130" max="5130" width="22.1640625" style="8" customWidth="1"/>
    <col min="5131" max="5374" width="9.33203125" style="8"/>
    <col min="5375" max="5375" width="7.5" style="8" customWidth="1"/>
    <col min="5376" max="5376" width="17.6640625" style="8" customWidth="1"/>
    <col min="5377" max="5377" width="12.83203125" style="8" customWidth="1"/>
    <col min="5378" max="5378" width="11.5" style="8" customWidth="1"/>
    <col min="5379" max="5379" width="9.6640625" style="8" customWidth="1"/>
    <col min="5380" max="5380" width="17.83203125" style="8" bestFit="1" customWidth="1"/>
    <col min="5381" max="5381" width="11" style="8" customWidth="1"/>
    <col min="5382" max="5382" width="13.1640625" style="8" customWidth="1"/>
    <col min="5383" max="5384" width="11.1640625" style="8" customWidth="1"/>
    <col min="5385" max="5385" width="25.1640625" style="8" customWidth="1"/>
    <col min="5386" max="5386" width="22.1640625" style="8" customWidth="1"/>
    <col min="5387" max="5630" width="9.33203125" style="8"/>
    <col min="5631" max="5631" width="7.5" style="8" customWidth="1"/>
    <col min="5632" max="5632" width="17.6640625" style="8" customWidth="1"/>
    <col min="5633" max="5633" width="12.83203125" style="8" customWidth="1"/>
    <col min="5634" max="5634" width="11.5" style="8" customWidth="1"/>
    <col min="5635" max="5635" width="9.6640625" style="8" customWidth="1"/>
    <col min="5636" max="5636" width="17.83203125" style="8" bestFit="1" customWidth="1"/>
    <col min="5637" max="5637" width="11" style="8" customWidth="1"/>
    <col min="5638" max="5638" width="13.1640625" style="8" customWidth="1"/>
    <col min="5639" max="5640" width="11.1640625" style="8" customWidth="1"/>
    <col min="5641" max="5641" width="25.1640625" style="8" customWidth="1"/>
    <col min="5642" max="5642" width="22.1640625" style="8" customWidth="1"/>
    <col min="5643" max="5886" width="9.33203125" style="8"/>
    <col min="5887" max="5887" width="7.5" style="8" customWidth="1"/>
    <col min="5888" max="5888" width="17.6640625" style="8" customWidth="1"/>
    <col min="5889" max="5889" width="12.83203125" style="8" customWidth="1"/>
    <col min="5890" max="5890" width="11.5" style="8" customWidth="1"/>
    <col min="5891" max="5891" width="9.6640625" style="8" customWidth="1"/>
    <col min="5892" max="5892" width="17.83203125" style="8" bestFit="1" customWidth="1"/>
    <col min="5893" max="5893" width="11" style="8" customWidth="1"/>
    <col min="5894" max="5894" width="13.1640625" style="8" customWidth="1"/>
    <col min="5895" max="5896" width="11.1640625" style="8" customWidth="1"/>
    <col min="5897" max="5897" width="25.1640625" style="8" customWidth="1"/>
    <col min="5898" max="5898" width="22.1640625" style="8" customWidth="1"/>
    <col min="5899" max="6142" width="9.33203125" style="8"/>
    <col min="6143" max="6143" width="7.5" style="8" customWidth="1"/>
    <col min="6144" max="6144" width="17.6640625" style="8" customWidth="1"/>
    <col min="6145" max="6145" width="12.83203125" style="8" customWidth="1"/>
    <col min="6146" max="6146" width="11.5" style="8" customWidth="1"/>
    <col min="6147" max="6147" width="9.6640625" style="8" customWidth="1"/>
    <col min="6148" max="6148" width="17.83203125" style="8" bestFit="1" customWidth="1"/>
    <col min="6149" max="6149" width="11" style="8" customWidth="1"/>
    <col min="6150" max="6150" width="13.1640625" style="8" customWidth="1"/>
    <col min="6151" max="6152" width="11.1640625" style="8" customWidth="1"/>
    <col min="6153" max="6153" width="25.1640625" style="8" customWidth="1"/>
    <col min="6154" max="6154" width="22.1640625" style="8" customWidth="1"/>
    <col min="6155" max="6398" width="9.33203125" style="8"/>
    <col min="6399" max="6399" width="7.5" style="8" customWidth="1"/>
    <col min="6400" max="6400" width="17.6640625" style="8" customWidth="1"/>
    <col min="6401" max="6401" width="12.83203125" style="8" customWidth="1"/>
    <col min="6402" max="6402" width="11.5" style="8" customWidth="1"/>
    <col min="6403" max="6403" width="9.6640625" style="8" customWidth="1"/>
    <col min="6404" max="6404" width="17.83203125" style="8" bestFit="1" customWidth="1"/>
    <col min="6405" max="6405" width="11" style="8" customWidth="1"/>
    <col min="6406" max="6406" width="13.1640625" style="8" customWidth="1"/>
    <col min="6407" max="6408" width="11.1640625" style="8" customWidth="1"/>
    <col min="6409" max="6409" width="25.1640625" style="8" customWidth="1"/>
    <col min="6410" max="6410" width="22.1640625" style="8" customWidth="1"/>
    <col min="6411" max="6654" width="9.33203125" style="8"/>
    <col min="6655" max="6655" width="7.5" style="8" customWidth="1"/>
    <col min="6656" max="6656" width="17.6640625" style="8" customWidth="1"/>
    <col min="6657" max="6657" width="12.83203125" style="8" customWidth="1"/>
    <col min="6658" max="6658" width="11.5" style="8" customWidth="1"/>
    <col min="6659" max="6659" width="9.6640625" style="8" customWidth="1"/>
    <col min="6660" max="6660" width="17.83203125" style="8" bestFit="1" customWidth="1"/>
    <col min="6661" max="6661" width="11" style="8" customWidth="1"/>
    <col min="6662" max="6662" width="13.1640625" style="8" customWidth="1"/>
    <col min="6663" max="6664" width="11.1640625" style="8" customWidth="1"/>
    <col min="6665" max="6665" width="25.1640625" style="8" customWidth="1"/>
    <col min="6666" max="6666" width="22.1640625" style="8" customWidth="1"/>
    <col min="6667" max="6910" width="9.33203125" style="8"/>
    <col min="6911" max="6911" width="7.5" style="8" customWidth="1"/>
    <col min="6912" max="6912" width="17.6640625" style="8" customWidth="1"/>
    <col min="6913" max="6913" width="12.83203125" style="8" customWidth="1"/>
    <col min="6914" max="6914" width="11.5" style="8" customWidth="1"/>
    <col min="6915" max="6915" width="9.6640625" style="8" customWidth="1"/>
    <col min="6916" max="6916" width="17.83203125" style="8" bestFit="1" customWidth="1"/>
    <col min="6917" max="6917" width="11" style="8" customWidth="1"/>
    <col min="6918" max="6918" width="13.1640625" style="8" customWidth="1"/>
    <col min="6919" max="6920" width="11.1640625" style="8" customWidth="1"/>
    <col min="6921" max="6921" width="25.1640625" style="8" customWidth="1"/>
    <col min="6922" max="6922" width="22.1640625" style="8" customWidth="1"/>
    <col min="6923" max="7166" width="9.33203125" style="8"/>
    <col min="7167" max="7167" width="7.5" style="8" customWidth="1"/>
    <col min="7168" max="7168" width="17.6640625" style="8" customWidth="1"/>
    <col min="7169" max="7169" width="12.83203125" style="8" customWidth="1"/>
    <col min="7170" max="7170" width="11.5" style="8" customWidth="1"/>
    <col min="7171" max="7171" width="9.6640625" style="8" customWidth="1"/>
    <col min="7172" max="7172" width="17.83203125" style="8" bestFit="1" customWidth="1"/>
    <col min="7173" max="7173" width="11" style="8" customWidth="1"/>
    <col min="7174" max="7174" width="13.1640625" style="8" customWidth="1"/>
    <col min="7175" max="7176" width="11.1640625" style="8" customWidth="1"/>
    <col min="7177" max="7177" width="25.1640625" style="8" customWidth="1"/>
    <col min="7178" max="7178" width="22.1640625" style="8" customWidth="1"/>
    <col min="7179" max="7422" width="9.33203125" style="8"/>
    <col min="7423" max="7423" width="7.5" style="8" customWidth="1"/>
    <col min="7424" max="7424" width="17.6640625" style="8" customWidth="1"/>
    <col min="7425" max="7425" width="12.83203125" style="8" customWidth="1"/>
    <col min="7426" max="7426" width="11.5" style="8" customWidth="1"/>
    <col min="7427" max="7427" width="9.6640625" style="8" customWidth="1"/>
    <col min="7428" max="7428" width="17.83203125" style="8" bestFit="1" customWidth="1"/>
    <col min="7429" max="7429" width="11" style="8" customWidth="1"/>
    <col min="7430" max="7430" width="13.1640625" style="8" customWidth="1"/>
    <col min="7431" max="7432" width="11.1640625" style="8" customWidth="1"/>
    <col min="7433" max="7433" width="25.1640625" style="8" customWidth="1"/>
    <col min="7434" max="7434" width="22.1640625" style="8" customWidth="1"/>
    <col min="7435" max="7678" width="9.33203125" style="8"/>
    <col min="7679" max="7679" width="7.5" style="8" customWidth="1"/>
    <col min="7680" max="7680" width="17.6640625" style="8" customWidth="1"/>
    <col min="7681" max="7681" width="12.83203125" style="8" customWidth="1"/>
    <col min="7682" max="7682" width="11.5" style="8" customWidth="1"/>
    <col min="7683" max="7683" width="9.6640625" style="8" customWidth="1"/>
    <col min="7684" max="7684" width="17.83203125" style="8" bestFit="1" customWidth="1"/>
    <col min="7685" max="7685" width="11" style="8" customWidth="1"/>
    <col min="7686" max="7686" width="13.1640625" style="8" customWidth="1"/>
    <col min="7687" max="7688" width="11.1640625" style="8" customWidth="1"/>
    <col min="7689" max="7689" width="25.1640625" style="8" customWidth="1"/>
    <col min="7690" max="7690" width="22.1640625" style="8" customWidth="1"/>
    <col min="7691" max="7934" width="9.33203125" style="8"/>
    <col min="7935" max="7935" width="7.5" style="8" customWidth="1"/>
    <col min="7936" max="7936" width="17.6640625" style="8" customWidth="1"/>
    <col min="7937" max="7937" width="12.83203125" style="8" customWidth="1"/>
    <col min="7938" max="7938" width="11.5" style="8" customWidth="1"/>
    <col min="7939" max="7939" width="9.6640625" style="8" customWidth="1"/>
    <col min="7940" max="7940" width="17.83203125" style="8" bestFit="1" customWidth="1"/>
    <col min="7941" max="7941" width="11" style="8" customWidth="1"/>
    <col min="7942" max="7942" width="13.1640625" style="8" customWidth="1"/>
    <col min="7943" max="7944" width="11.1640625" style="8" customWidth="1"/>
    <col min="7945" max="7945" width="25.1640625" style="8" customWidth="1"/>
    <col min="7946" max="7946" width="22.1640625" style="8" customWidth="1"/>
    <col min="7947" max="8190" width="9.33203125" style="8"/>
    <col min="8191" max="8191" width="7.5" style="8" customWidth="1"/>
    <col min="8192" max="8192" width="17.6640625" style="8" customWidth="1"/>
    <col min="8193" max="8193" width="12.83203125" style="8" customWidth="1"/>
    <col min="8194" max="8194" width="11.5" style="8" customWidth="1"/>
    <col min="8195" max="8195" width="9.6640625" style="8" customWidth="1"/>
    <col min="8196" max="8196" width="17.83203125" style="8" bestFit="1" customWidth="1"/>
    <col min="8197" max="8197" width="11" style="8" customWidth="1"/>
    <col min="8198" max="8198" width="13.1640625" style="8" customWidth="1"/>
    <col min="8199" max="8200" width="11.1640625" style="8" customWidth="1"/>
    <col min="8201" max="8201" width="25.1640625" style="8" customWidth="1"/>
    <col min="8202" max="8202" width="22.1640625" style="8" customWidth="1"/>
    <col min="8203" max="8446" width="9.33203125" style="8"/>
    <col min="8447" max="8447" width="7.5" style="8" customWidth="1"/>
    <col min="8448" max="8448" width="17.6640625" style="8" customWidth="1"/>
    <col min="8449" max="8449" width="12.83203125" style="8" customWidth="1"/>
    <col min="8450" max="8450" width="11.5" style="8" customWidth="1"/>
    <col min="8451" max="8451" width="9.6640625" style="8" customWidth="1"/>
    <col min="8452" max="8452" width="17.83203125" style="8" bestFit="1" customWidth="1"/>
    <col min="8453" max="8453" width="11" style="8" customWidth="1"/>
    <col min="8454" max="8454" width="13.1640625" style="8" customWidth="1"/>
    <col min="8455" max="8456" width="11.1640625" style="8" customWidth="1"/>
    <col min="8457" max="8457" width="25.1640625" style="8" customWidth="1"/>
    <col min="8458" max="8458" width="22.1640625" style="8" customWidth="1"/>
    <col min="8459" max="8702" width="9.33203125" style="8"/>
    <col min="8703" max="8703" width="7.5" style="8" customWidth="1"/>
    <col min="8704" max="8704" width="17.6640625" style="8" customWidth="1"/>
    <col min="8705" max="8705" width="12.83203125" style="8" customWidth="1"/>
    <col min="8706" max="8706" width="11.5" style="8" customWidth="1"/>
    <col min="8707" max="8707" width="9.6640625" style="8" customWidth="1"/>
    <col min="8708" max="8708" width="17.83203125" style="8" bestFit="1" customWidth="1"/>
    <col min="8709" max="8709" width="11" style="8" customWidth="1"/>
    <col min="8710" max="8710" width="13.1640625" style="8" customWidth="1"/>
    <col min="8711" max="8712" width="11.1640625" style="8" customWidth="1"/>
    <col min="8713" max="8713" width="25.1640625" style="8" customWidth="1"/>
    <col min="8714" max="8714" width="22.1640625" style="8" customWidth="1"/>
    <col min="8715" max="8958" width="9.33203125" style="8"/>
    <col min="8959" max="8959" width="7.5" style="8" customWidth="1"/>
    <col min="8960" max="8960" width="17.6640625" style="8" customWidth="1"/>
    <col min="8961" max="8961" width="12.83203125" style="8" customWidth="1"/>
    <col min="8962" max="8962" width="11.5" style="8" customWidth="1"/>
    <col min="8963" max="8963" width="9.6640625" style="8" customWidth="1"/>
    <col min="8964" max="8964" width="17.83203125" style="8" bestFit="1" customWidth="1"/>
    <col min="8965" max="8965" width="11" style="8" customWidth="1"/>
    <col min="8966" max="8966" width="13.1640625" style="8" customWidth="1"/>
    <col min="8967" max="8968" width="11.1640625" style="8" customWidth="1"/>
    <col min="8969" max="8969" width="25.1640625" style="8" customWidth="1"/>
    <col min="8970" max="8970" width="22.1640625" style="8" customWidth="1"/>
    <col min="8971" max="9214" width="9.33203125" style="8"/>
    <col min="9215" max="9215" width="7.5" style="8" customWidth="1"/>
    <col min="9216" max="9216" width="17.6640625" style="8" customWidth="1"/>
    <col min="9217" max="9217" width="12.83203125" style="8" customWidth="1"/>
    <col min="9218" max="9218" width="11.5" style="8" customWidth="1"/>
    <col min="9219" max="9219" width="9.6640625" style="8" customWidth="1"/>
    <col min="9220" max="9220" width="17.83203125" style="8" bestFit="1" customWidth="1"/>
    <col min="9221" max="9221" width="11" style="8" customWidth="1"/>
    <col min="9222" max="9222" width="13.1640625" style="8" customWidth="1"/>
    <col min="9223" max="9224" width="11.1640625" style="8" customWidth="1"/>
    <col min="9225" max="9225" width="25.1640625" style="8" customWidth="1"/>
    <col min="9226" max="9226" width="22.1640625" style="8" customWidth="1"/>
    <col min="9227" max="9470" width="9.33203125" style="8"/>
    <col min="9471" max="9471" width="7.5" style="8" customWidth="1"/>
    <col min="9472" max="9472" width="17.6640625" style="8" customWidth="1"/>
    <col min="9473" max="9473" width="12.83203125" style="8" customWidth="1"/>
    <col min="9474" max="9474" width="11.5" style="8" customWidth="1"/>
    <col min="9475" max="9475" width="9.6640625" style="8" customWidth="1"/>
    <col min="9476" max="9476" width="17.83203125" style="8" bestFit="1" customWidth="1"/>
    <col min="9477" max="9477" width="11" style="8" customWidth="1"/>
    <col min="9478" max="9478" width="13.1640625" style="8" customWidth="1"/>
    <col min="9479" max="9480" width="11.1640625" style="8" customWidth="1"/>
    <col min="9481" max="9481" width="25.1640625" style="8" customWidth="1"/>
    <col min="9482" max="9482" width="22.1640625" style="8" customWidth="1"/>
    <col min="9483" max="9726" width="9.33203125" style="8"/>
    <col min="9727" max="9727" width="7.5" style="8" customWidth="1"/>
    <col min="9728" max="9728" width="17.6640625" style="8" customWidth="1"/>
    <col min="9729" max="9729" width="12.83203125" style="8" customWidth="1"/>
    <col min="9730" max="9730" width="11.5" style="8" customWidth="1"/>
    <col min="9731" max="9731" width="9.6640625" style="8" customWidth="1"/>
    <col min="9732" max="9732" width="17.83203125" style="8" bestFit="1" customWidth="1"/>
    <col min="9733" max="9733" width="11" style="8" customWidth="1"/>
    <col min="9734" max="9734" width="13.1640625" style="8" customWidth="1"/>
    <col min="9735" max="9736" width="11.1640625" style="8" customWidth="1"/>
    <col min="9737" max="9737" width="25.1640625" style="8" customWidth="1"/>
    <col min="9738" max="9738" width="22.1640625" style="8" customWidth="1"/>
    <col min="9739" max="9982" width="9.33203125" style="8"/>
    <col min="9983" max="9983" width="7.5" style="8" customWidth="1"/>
    <col min="9984" max="9984" width="17.6640625" style="8" customWidth="1"/>
    <col min="9985" max="9985" width="12.83203125" style="8" customWidth="1"/>
    <col min="9986" max="9986" width="11.5" style="8" customWidth="1"/>
    <col min="9987" max="9987" width="9.6640625" style="8" customWidth="1"/>
    <col min="9988" max="9988" width="17.83203125" style="8" bestFit="1" customWidth="1"/>
    <col min="9989" max="9989" width="11" style="8" customWidth="1"/>
    <col min="9990" max="9990" width="13.1640625" style="8" customWidth="1"/>
    <col min="9991" max="9992" width="11.1640625" style="8" customWidth="1"/>
    <col min="9993" max="9993" width="25.1640625" style="8" customWidth="1"/>
    <col min="9994" max="9994" width="22.1640625" style="8" customWidth="1"/>
    <col min="9995" max="10238" width="9.33203125" style="8"/>
    <col min="10239" max="10239" width="7.5" style="8" customWidth="1"/>
    <col min="10240" max="10240" width="17.6640625" style="8" customWidth="1"/>
    <col min="10241" max="10241" width="12.83203125" style="8" customWidth="1"/>
    <col min="10242" max="10242" width="11.5" style="8" customWidth="1"/>
    <col min="10243" max="10243" width="9.6640625" style="8" customWidth="1"/>
    <col min="10244" max="10244" width="17.83203125" style="8" bestFit="1" customWidth="1"/>
    <col min="10245" max="10245" width="11" style="8" customWidth="1"/>
    <col min="10246" max="10246" width="13.1640625" style="8" customWidth="1"/>
    <col min="10247" max="10248" width="11.1640625" style="8" customWidth="1"/>
    <col min="10249" max="10249" width="25.1640625" style="8" customWidth="1"/>
    <col min="10250" max="10250" width="22.1640625" style="8" customWidth="1"/>
    <col min="10251" max="10494" width="9.33203125" style="8"/>
    <col min="10495" max="10495" width="7.5" style="8" customWidth="1"/>
    <col min="10496" max="10496" width="17.6640625" style="8" customWidth="1"/>
    <col min="10497" max="10497" width="12.83203125" style="8" customWidth="1"/>
    <col min="10498" max="10498" width="11.5" style="8" customWidth="1"/>
    <col min="10499" max="10499" width="9.6640625" style="8" customWidth="1"/>
    <col min="10500" max="10500" width="17.83203125" style="8" bestFit="1" customWidth="1"/>
    <col min="10501" max="10501" width="11" style="8" customWidth="1"/>
    <col min="10502" max="10502" width="13.1640625" style="8" customWidth="1"/>
    <col min="10503" max="10504" width="11.1640625" style="8" customWidth="1"/>
    <col min="10505" max="10505" width="25.1640625" style="8" customWidth="1"/>
    <col min="10506" max="10506" width="22.1640625" style="8" customWidth="1"/>
    <col min="10507" max="10750" width="9.33203125" style="8"/>
    <col min="10751" max="10751" width="7.5" style="8" customWidth="1"/>
    <col min="10752" max="10752" width="17.6640625" style="8" customWidth="1"/>
    <col min="10753" max="10753" width="12.83203125" style="8" customWidth="1"/>
    <col min="10754" max="10754" width="11.5" style="8" customWidth="1"/>
    <col min="10755" max="10755" width="9.6640625" style="8" customWidth="1"/>
    <col min="10756" max="10756" width="17.83203125" style="8" bestFit="1" customWidth="1"/>
    <col min="10757" max="10757" width="11" style="8" customWidth="1"/>
    <col min="10758" max="10758" width="13.1640625" style="8" customWidth="1"/>
    <col min="10759" max="10760" width="11.1640625" style="8" customWidth="1"/>
    <col min="10761" max="10761" width="25.1640625" style="8" customWidth="1"/>
    <col min="10762" max="10762" width="22.1640625" style="8" customWidth="1"/>
    <col min="10763" max="11006" width="9.33203125" style="8"/>
    <col min="11007" max="11007" width="7.5" style="8" customWidth="1"/>
    <col min="11008" max="11008" width="17.6640625" style="8" customWidth="1"/>
    <col min="11009" max="11009" width="12.83203125" style="8" customWidth="1"/>
    <col min="11010" max="11010" width="11.5" style="8" customWidth="1"/>
    <col min="11011" max="11011" width="9.6640625" style="8" customWidth="1"/>
    <col min="11012" max="11012" width="17.83203125" style="8" bestFit="1" customWidth="1"/>
    <col min="11013" max="11013" width="11" style="8" customWidth="1"/>
    <col min="11014" max="11014" width="13.1640625" style="8" customWidth="1"/>
    <col min="11015" max="11016" width="11.1640625" style="8" customWidth="1"/>
    <col min="11017" max="11017" width="25.1640625" style="8" customWidth="1"/>
    <col min="11018" max="11018" width="22.1640625" style="8" customWidth="1"/>
    <col min="11019" max="11262" width="9.33203125" style="8"/>
    <col min="11263" max="11263" width="7.5" style="8" customWidth="1"/>
    <col min="11264" max="11264" width="17.6640625" style="8" customWidth="1"/>
    <col min="11265" max="11265" width="12.83203125" style="8" customWidth="1"/>
    <col min="11266" max="11266" width="11.5" style="8" customWidth="1"/>
    <col min="11267" max="11267" width="9.6640625" style="8" customWidth="1"/>
    <col min="11268" max="11268" width="17.83203125" style="8" bestFit="1" customWidth="1"/>
    <col min="11269" max="11269" width="11" style="8" customWidth="1"/>
    <col min="11270" max="11270" width="13.1640625" style="8" customWidth="1"/>
    <col min="11271" max="11272" width="11.1640625" style="8" customWidth="1"/>
    <col min="11273" max="11273" width="25.1640625" style="8" customWidth="1"/>
    <col min="11274" max="11274" width="22.1640625" style="8" customWidth="1"/>
    <col min="11275" max="11518" width="9.33203125" style="8"/>
    <col min="11519" max="11519" width="7.5" style="8" customWidth="1"/>
    <col min="11520" max="11520" width="17.6640625" style="8" customWidth="1"/>
    <col min="11521" max="11521" width="12.83203125" style="8" customWidth="1"/>
    <col min="11522" max="11522" width="11.5" style="8" customWidth="1"/>
    <col min="11523" max="11523" width="9.6640625" style="8" customWidth="1"/>
    <col min="11524" max="11524" width="17.83203125" style="8" bestFit="1" customWidth="1"/>
    <col min="11525" max="11525" width="11" style="8" customWidth="1"/>
    <col min="11526" max="11526" width="13.1640625" style="8" customWidth="1"/>
    <col min="11527" max="11528" width="11.1640625" style="8" customWidth="1"/>
    <col min="11529" max="11529" width="25.1640625" style="8" customWidth="1"/>
    <col min="11530" max="11530" width="22.1640625" style="8" customWidth="1"/>
    <col min="11531" max="11774" width="9.33203125" style="8"/>
    <col min="11775" max="11775" width="7.5" style="8" customWidth="1"/>
    <col min="11776" max="11776" width="17.6640625" style="8" customWidth="1"/>
    <col min="11777" max="11777" width="12.83203125" style="8" customWidth="1"/>
    <col min="11778" max="11778" width="11.5" style="8" customWidth="1"/>
    <col min="11779" max="11779" width="9.6640625" style="8" customWidth="1"/>
    <col min="11780" max="11780" width="17.83203125" style="8" bestFit="1" customWidth="1"/>
    <col min="11781" max="11781" width="11" style="8" customWidth="1"/>
    <col min="11782" max="11782" width="13.1640625" style="8" customWidth="1"/>
    <col min="11783" max="11784" width="11.1640625" style="8" customWidth="1"/>
    <col min="11785" max="11785" width="25.1640625" style="8" customWidth="1"/>
    <col min="11786" max="11786" width="22.1640625" style="8" customWidth="1"/>
    <col min="11787" max="12030" width="9.33203125" style="8"/>
    <col min="12031" max="12031" width="7.5" style="8" customWidth="1"/>
    <col min="12032" max="12032" width="17.6640625" style="8" customWidth="1"/>
    <col min="12033" max="12033" width="12.83203125" style="8" customWidth="1"/>
    <col min="12034" max="12034" width="11.5" style="8" customWidth="1"/>
    <col min="12035" max="12035" width="9.6640625" style="8" customWidth="1"/>
    <col min="12036" max="12036" width="17.83203125" style="8" bestFit="1" customWidth="1"/>
    <col min="12037" max="12037" width="11" style="8" customWidth="1"/>
    <col min="12038" max="12038" width="13.1640625" style="8" customWidth="1"/>
    <col min="12039" max="12040" width="11.1640625" style="8" customWidth="1"/>
    <col min="12041" max="12041" width="25.1640625" style="8" customWidth="1"/>
    <col min="12042" max="12042" width="22.1640625" style="8" customWidth="1"/>
    <col min="12043" max="12286" width="9.33203125" style="8"/>
    <col min="12287" max="12287" width="7.5" style="8" customWidth="1"/>
    <col min="12288" max="12288" width="17.6640625" style="8" customWidth="1"/>
    <col min="12289" max="12289" width="12.83203125" style="8" customWidth="1"/>
    <col min="12290" max="12290" width="11.5" style="8" customWidth="1"/>
    <col min="12291" max="12291" width="9.6640625" style="8" customWidth="1"/>
    <col min="12292" max="12292" width="17.83203125" style="8" bestFit="1" customWidth="1"/>
    <col min="12293" max="12293" width="11" style="8" customWidth="1"/>
    <col min="12294" max="12294" width="13.1640625" style="8" customWidth="1"/>
    <col min="12295" max="12296" width="11.1640625" style="8" customWidth="1"/>
    <col min="12297" max="12297" width="25.1640625" style="8" customWidth="1"/>
    <col min="12298" max="12298" width="22.1640625" style="8" customWidth="1"/>
    <col min="12299" max="12542" width="9.33203125" style="8"/>
    <col min="12543" max="12543" width="7.5" style="8" customWidth="1"/>
    <col min="12544" max="12544" width="17.6640625" style="8" customWidth="1"/>
    <col min="12545" max="12545" width="12.83203125" style="8" customWidth="1"/>
    <col min="12546" max="12546" width="11.5" style="8" customWidth="1"/>
    <col min="12547" max="12547" width="9.6640625" style="8" customWidth="1"/>
    <col min="12548" max="12548" width="17.83203125" style="8" bestFit="1" customWidth="1"/>
    <col min="12549" max="12549" width="11" style="8" customWidth="1"/>
    <col min="12550" max="12550" width="13.1640625" style="8" customWidth="1"/>
    <col min="12551" max="12552" width="11.1640625" style="8" customWidth="1"/>
    <col min="12553" max="12553" width="25.1640625" style="8" customWidth="1"/>
    <col min="12554" max="12554" width="22.1640625" style="8" customWidth="1"/>
    <col min="12555" max="12798" width="9.33203125" style="8"/>
    <col min="12799" max="12799" width="7.5" style="8" customWidth="1"/>
    <col min="12800" max="12800" width="17.6640625" style="8" customWidth="1"/>
    <col min="12801" max="12801" width="12.83203125" style="8" customWidth="1"/>
    <col min="12802" max="12802" width="11.5" style="8" customWidth="1"/>
    <col min="12803" max="12803" width="9.6640625" style="8" customWidth="1"/>
    <col min="12804" max="12804" width="17.83203125" style="8" bestFit="1" customWidth="1"/>
    <col min="12805" max="12805" width="11" style="8" customWidth="1"/>
    <col min="12806" max="12806" width="13.1640625" style="8" customWidth="1"/>
    <col min="12807" max="12808" width="11.1640625" style="8" customWidth="1"/>
    <col min="12809" max="12809" width="25.1640625" style="8" customWidth="1"/>
    <col min="12810" max="12810" width="22.1640625" style="8" customWidth="1"/>
    <col min="12811" max="13054" width="9.33203125" style="8"/>
    <col min="13055" max="13055" width="7.5" style="8" customWidth="1"/>
    <col min="13056" max="13056" width="17.6640625" style="8" customWidth="1"/>
    <col min="13057" max="13057" width="12.83203125" style="8" customWidth="1"/>
    <col min="13058" max="13058" width="11.5" style="8" customWidth="1"/>
    <col min="13059" max="13059" width="9.6640625" style="8" customWidth="1"/>
    <col min="13060" max="13060" width="17.83203125" style="8" bestFit="1" customWidth="1"/>
    <col min="13061" max="13061" width="11" style="8" customWidth="1"/>
    <col min="13062" max="13062" width="13.1640625" style="8" customWidth="1"/>
    <col min="13063" max="13064" width="11.1640625" style="8" customWidth="1"/>
    <col min="13065" max="13065" width="25.1640625" style="8" customWidth="1"/>
    <col min="13066" max="13066" width="22.1640625" style="8" customWidth="1"/>
    <col min="13067" max="13310" width="9.33203125" style="8"/>
    <col min="13311" max="13311" width="7.5" style="8" customWidth="1"/>
    <col min="13312" max="13312" width="17.6640625" style="8" customWidth="1"/>
    <col min="13313" max="13313" width="12.83203125" style="8" customWidth="1"/>
    <col min="13314" max="13314" width="11.5" style="8" customWidth="1"/>
    <col min="13315" max="13315" width="9.6640625" style="8" customWidth="1"/>
    <col min="13316" max="13316" width="17.83203125" style="8" bestFit="1" customWidth="1"/>
    <col min="13317" max="13317" width="11" style="8" customWidth="1"/>
    <col min="13318" max="13318" width="13.1640625" style="8" customWidth="1"/>
    <col min="13319" max="13320" width="11.1640625" style="8" customWidth="1"/>
    <col min="13321" max="13321" width="25.1640625" style="8" customWidth="1"/>
    <col min="13322" max="13322" width="22.1640625" style="8" customWidth="1"/>
    <col min="13323" max="13566" width="9.33203125" style="8"/>
    <col min="13567" max="13567" width="7.5" style="8" customWidth="1"/>
    <col min="13568" max="13568" width="17.6640625" style="8" customWidth="1"/>
    <col min="13569" max="13569" width="12.83203125" style="8" customWidth="1"/>
    <col min="13570" max="13570" width="11.5" style="8" customWidth="1"/>
    <col min="13571" max="13571" width="9.6640625" style="8" customWidth="1"/>
    <col min="13572" max="13572" width="17.83203125" style="8" bestFit="1" customWidth="1"/>
    <col min="13573" max="13573" width="11" style="8" customWidth="1"/>
    <col min="13574" max="13574" width="13.1640625" style="8" customWidth="1"/>
    <col min="13575" max="13576" width="11.1640625" style="8" customWidth="1"/>
    <col min="13577" max="13577" width="25.1640625" style="8" customWidth="1"/>
    <col min="13578" max="13578" width="22.1640625" style="8" customWidth="1"/>
    <col min="13579" max="13822" width="9.33203125" style="8"/>
    <col min="13823" max="13823" width="7.5" style="8" customWidth="1"/>
    <col min="13824" max="13824" width="17.6640625" style="8" customWidth="1"/>
    <col min="13825" max="13825" width="12.83203125" style="8" customWidth="1"/>
    <col min="13826" max="13826" width="11.5" style="8" customWidth="1"/>
    <col min="13827" max="13827" width="9.6640625" style="8" customWidth="1"/>
    <col min="13828" max="13828" width="17.83203125" style="8" bestFit="1" customWidth="1"/>
    <col min="13829" max="13829" width="11" style="8" customWidth="1"/>
    <col min="13830" max="13830" width="13.1640625" style="8" customWidth="1"/>
    <col min="13831" max="13832" width="11.1640625" style="8" customWidth="1"/>
    <col min="13833" max="13833" width="25.1640625" style="8" customWidth="1"/>
    <col min="13834" max="13834" width="22.1640625" style="8" customWidth="1"/>
    <col min="13835" max="14078" width="9.33203125" style="8"/>
    <col min="14079" max="14079" width="7.5" style="8" customWidth="1"/>
    <col min="14080" max="14080" width="17.6640625" style="8" customWidth="1"/>
    <col min="14081" max="14081" width="12.83203125" style="8" customWidth="1"/>
    <col min="14082" max="14082" width="11.5" style="8" customWidth="1"/>
    <col min="14083" max="14083" width="9.6640625" style="8" customWidth="1"/>
    <col min="14084" max="14084" width="17.83203125" style="8" bestFit="1" customWidth="1"/>
    <col min="14085" max="14085" width="11" style="8" customWidth="1"/>
    <col min="14086" max="14086" width="13.1640625" style="8" customWidth="1"/>
    <col min="14087" max="14088" width="11.1640625" style="8" customWidth="1"/>
    <col min="14089" max="14089" width="25.1640625" style="8" customWidth="1"/>
    <col min="14090" max="14090" width="22.1640625" style="8" customWidth="1"/>
    <col min="14091" max="14334" width="9.33203125" style="8"/>
    <col min="14335" max="14335" width="7.5" style="8" customWidth="1"/>
    <col min="14336" max="14336" width="17.6640625" style="8" customWidth="1"/>
    <col min="14337" max="14337" width="12.83203125" style="8" customWidth="1"/>
    <col min="14338" max="14338" width="11.5" style="8" customWidth="1"/>
    <col min="14339" max="14339" width="9.6640625" style="8" customWidth="1"/>
    <col min="14340" max="14340" width="17.83203125" style="8" bestFit="1" customWidth="1"/>
    <col min="14341" max="14341" width="11" style="8" customWidth="1"/>
    <col min="14342" max="14342" width="13.1640625" style="8" customWidth="1"/>
    <col min="14343" max="14344" width="11.1640625" style="8" customWidth="1"/>
    <col min="14345" max="14345" width="25.1640625" style="8" customWidth="1"/>
    <col min="14346" max="14346" width="22.1640625" style="8" customWidth="1"/>
    <col min="14347" max="14590" width="9.33203125" style="8"/>
    <col min="14591" max="14591" width="7.5" style="8" customWidth="1"/>
    <col min="14592" max="14592" width="17.6640625" style="8" customWidth="1"/>
    <col min="14593" max="14593" width="12.83203125" style="8" customWidth="1"/>
    <col min="14594" max="14594" width="11.5" style="8" customWidth="1"/>
    <col min="14595" max="14595" width="9.6640625" style="8" customWidth="1"/>
    <col min="14596" max="14596" width="17.83203125" style="8" bestFit="1" customWidth="1"/>
    <col min="14597" max="14597" width="11" style="8" customWidth="1"/>
    <col min="14598" max="14598" width="13.1640625" style="8" customWidth="1"/>
    <col min="14599" max="14600" width="11.1640625" style="8" customWidth="1"/>
    <col min="14601" max="14601" width="25.1640625" style="8" customWidth="1"/>
    <col min="14602" max="14602" width="22.1640625" style="8" customWidth="1"/>
    <col min="14603" max="14846" width="9.33203125" style="8"/>
    <col min="14847" max="14847" width="7.5" style="8" customWidth="1"/>
    <col min="14848" max="14848" width="17.6640625" style="8" customWidth="1"/>
    <col min="14849" max="14849" width="12.83203125" style="8" customWidth="1"/>
    <col min="14850" max="14850" width="11.5" style="8" customWidth="1"/>
    <col min="14851" max="14851" width="9.6640625" style="8" customWidth="1"/>
    <col min="14852" max="14852" width="17.83203125" style="8" bestFit="1" customWidth="1"/>
    <col min="14853" max="14853" width="11" style="8" customWidth="1"/>
    <col min="14854" max="14854" width="13.1640625" style="8" customWidth="1"/>
    <col min="14855" max="14856" width="11.1640625" style="8" customWidth="1"/>
    <col min="14857" max="14857" width="25.1640625" style="8" customWidth="1"/>
    <col min="14858" max="14858" width="22.1640625" style="8" customWidth="1"/>
    <col min="14859" max="15102" width="9.33203125" style="8"/>
    <col min="15103" max="15103" width="7.5" style="8" customWidth="1"/>
    <col min="15104" max="15104" width="17.6640625" style="8" customWidth="1"/>
    <col min="15105" max="15105" width="12.83203125" style="8" customWidth="1"/>
    <col min="15106" max="15106" width="11.5" style="8" customWidth="1"/>
    <col min="15107" max="15107" width="9.6640625" style="8" customWidth="1"/>
    <col min="15108" max="15108" width="17.83203125" style="8" bestFit="1" customWidth="1"/>
    <col min="15109" max="15109" width="11" style="8" customWidth="1"/>
    <col min="15110" max="15110" width="13.1640625" style="8" customWidth="1"/>
    <col min="15111" max="15112" width="11.1640625" style="8" customWidth="1"/>
    <col min="15113" max="15113" width="25.1640625" style="8" customWidth="1"/>
    <col min="15114" max="15114" width="22.1640625" style="8" customWidth="1"/>
    <col min="15115" max="15358" width="9.33203125" style="8"/>
    <col min="15359" max="15359" width="7.5" style="8" customWidth="1"/>
    <col min="15360" max="15360" width="17.6640625" style="8" customWidth="1"/>
    <col min="15361" max="15361" width="12.83203125" style="8" customWidth="1"/>
    <col min="15362" max="15362" width="11.5" style="8" customWidth="1"/>
    <col min="15363" max="15363" width="9.6640625" style="8" customWidth="1"/>
    <col min="15364" max="15364" width="17.83203125" style="8" bestFit="1" customWidth="1"/>
    <col min="15365" max="15365" width="11" style="8" customWidth="1"/>
    <col min="15366" max="15366" width="13.1640625" style="8" customWidth="1"/>
    <col min="15367" max="15368" width="11.1640625" style="8" customWidth="1"/>
    <col min="15369" max="15369" width="25.1640625" style="8" customWidth="1"/>
    <col min="15370" max="15370" width="22.1640625" style="8" customWidth="1"/>
    <col min="15371" max="15614" width="9.33203125" style="8"/>
    <col min="15615" max="15615" width="7.5" style="8" customWidth="1"/>
    <col min="15616" max="15616" width="17.6640625" style="8" customWidth="1"/>
    <col min="15617" max="15617" width="12.83203125" style="8" customWidth="1"/>
    <col min="15618" max="15618" width="11.5" style="8" customWidth="1"/>
    <col min="15619" max="15619" width="9.6640625" style="8" customWidth="1"/>
    <col min="15620" max="15620" width="17.83203125" style="8" bestFit="1" customWidth="1"/>
    <col min="15621" max="15621" width="11" style="8" customWidth="1"/>
    <col min="15622" max="15622" width="13.1640625" style="8" customWidth="1"/>
    <col min="15623" max="15624" width="11.1640625" style="8" customWidth="1"/>
    <col min="15625" max="15625" width="25.1640625" style="8" customWidth="1"/>
    <col min="15626" max="15626" width="22.1640625" style="8" customWidth="1"/>
    <col min="15627" max="15870" width="9.33203125" style="8"/>
    <col min="15871" max="15871" width="7.5" style="8" customWidth="1"/>
    <col min="15872" max="15872" width="17.6640625" style="8" customWidth="1"/>
    <col min="15873" max="15873" width="12.83203125" style="8" customWidth="1"/>
    <col min="15874" max="15874" width="11.5" style="8" customWidth="1"/>
    <col min="15875" max="15875" width="9.6640625" style="8" customWidth="1"/>
    <col min="15876" max="15876" width="17.83203125" style="8" bestFit="1" customWidth="1"/>
    <col min="15877" max="15877" width="11" style="8" customWidth="1"/>
    <col min="15878" max="15878" width="13.1640625" style="8" customWidth="1"/>
    <col min="15879" max="15880" width="11.1640625" style="8" customWidth="1"/>
    <col min="15881" max="15881" width="25.1640625" style="8" customWidth="1"/>
    <col min="15882" max="15882" width="22.1640625" style="8" customWidth="1"/>
    <col min="15883" max="16126" width="9.33203125" style="8"/>
    <col min="16127" max="16127" width="7.5" style="8" customWidth="1"/>
    <col min="16128" max="16128" width="17.6640625" style="8" customWidth="1"/>
    <col min="16129" max="16129" width="12.83203125" style="8" customWidth="1"/>
    <col min="16130" max="16130" width="11.5" style="8" customWidth="1"/>
    <col min="16131" max="16131" width="9.6640625" style="8" customWidth="1"/>
    <col min="16132" max="16132" width="17.83203125" style="8" bestFit="1" customWidth="1"/>
    <col min="16133" max="16133" width="11" style="8" customWidth="1"/>
    <col min="16134" max="16134" width="13.1640625" style="8" customWidth="1"/>
    <col min="16135" max="16136" width="11.1640625" style="8" customWidth="1"/>
    <col min="16137" max="16137" width="25.1640625" style="8" customWidth="1"/>
    <col min="16138" max="16138" width="22.1640625" style="8" customWidth="1"/>
    <col min="16139" max="16384" width="9.33203125" style="8"/>
  </cols>
  <sheetData>
    <row r="1" spans="1:16" customFormat="1" ht="23.25" customHeight="1">
      <c r="A1" s="1342" t="s">
        <v>424</v>
      </c>
      <c r="B1" s="1343"/>
      <c r="C1" s="270"/>
      <c r="D1" s="270"/>
      <c r="E1" s="270"/>
      <c r="F1" s="270"/>
      <c r="G1" s="270"/>
      <c r="H1" s="270"/>
      <c r="I1" s="270"/>
      <c r="J1" s="226"/>
    </row>
    <row r="2" spans="1:16" s="81" customFormat="1" ht="11.25" customHeight="1">
      <c r="A2" s="379"/>
      <c r="B2" s="1265" t="s">
        <v>370</v>
      </c>
      <c r="C2" s="1266"/>
      <c r="D2" s="1267"/>
      <c r="E2" s="1248" t="s">
        <v>622</v>
      </c>
      <c r="F2" s="1249"/>
      <c r="G2" s="1249"/>
      <c r="H2" s="1254" t="s">
        <v>623</v>
      </c>
      <c r="I2" s="1263"/>
      <c r="J2" s="1260" t="s">
        <v>631</v>
      </c>
    </row>
    <row r="3" spans="1:16" s="81" customFormat="1" ht="10.5" customHeight="1">
      <c r="A3" s="380" t="s">
        <v>426</v>
      </c>
      <c r="B3" s="381"/>
      <c r="C3" s="381"/>
      <c r="D3" s="382"/>
      <c r="E3" s="1250"/>
      <c r="F3" s="1251"/>
      <c r="G3" s="1251"/>
      <c r="H3" s="1256"/>
      <c r="I3" s="1315"/>
      <c r="J3" s="1261"/>
    </row>
    <row r="4" spans="1:16" s="81" customFormat="1" ht="10.5" customHeight="1">
      <c r="A4" s="383"/>
      <c r="B4" s="384"/>
      <c r="C4" s="384"/>
      <c r="D4" s="385"/>
      <c r="E4" s="1252"/>
      <c r="F4" s="1253"/>
      <c r="G4" s="1253"/>
      <c r="H4" s="1258"/>
      <c r="I4" s="1264"/>
      <c r="J4" s="1261"/>
    </row>
    <row r="5" spans="1:16" s="81" customFormat="1" ht="12" customHeight="1">
      <c r="A5" s="1530" t="s">
        <v>3067</v>
      </c>
      <c r="B5" s="1313"/>
      <c r="C5" s="386"/>
      <c r="D5" s="387"/>
      <c r="E5" s="388"/>
      <c r="F5" s="282"/>
      <c r="G5" s="389"/>
      <c r="H5" s="1263" t="s">
        <v>625</v>
      </c>
      <c r="I5" s="1263"/>
      <c r="J5" s="1261"/>
    </row>
    <row r="6" spans="1:16" customFormat="1" ht="69.75" customHeight="1">
      <c r="A6" s="1313"/>
      <c r="B6" s="1313"/>
      <c r="C6" s="390"/>
      <c r="D6" s="271"/>
      <c r="E6" s="258"/>
      <c r="F6" s="1531"/>
      <c r="G6" s="391"/>
      <c r="H6" s="1264"/>
      <c r="I6" s="1264"/>
      <c r="J6" s="1262"/>
    </row>
    <row r="7" spans="1:16" customFormat="1" ht="21" customHeight="1">
      <c r="A7" s="375" t="s">
        <v>653</v>
      </c>
      <c r="B7" s="330" t="s">
        <v>428</v>
      </c>
      <c r="C7" s="1311" t="s">
        <v>429</v>
      </c>
      <c r="D7" s="1317" t="s">
        <v>620</v>
      </c>
      <c r="E7" s="1318" t="s">
        <v>432</v>
      </c>
      <c r="F7" s="1316" t="s">
        <v>430</v>
      </c>
      <c r="G7" s="1317" t="s">
        <v>621</v>
      </c>
      <c r="H7" s="1287" t="s">
        <v>431</v>
      </c>
      <c r="I7" s="1288"/>
      <c r="J7" s="1272" t="s">
        <v>627</v>
      </c>
    </row>
    <row r="8" spans="1:16" customFormat="1" ht="21" customHeight="1">
      <c r="A8" s="367"/>
      <c r="B8" s="99"/>
      <c r="C8" s="1311"/>
      <c r="D8" s="1317"/>
      <c r="E8" s="1318"/>
      <c r="F8" s="1316"/>
      <c r="G8" s="1317"/>
      <c r="H8" s="1270"/>
      <c r="I8" s="1289"/>
      <c r="J8" s="1273"/>
    </row>
    <row r="9" spans="1:16" s="30" customFormat="1" ht="12.75">
      <c r="A9" s="365"/>
      <c r="B9" s="252" t="s">
        <v>275</v>
      </c>
      <c r="C9" s="366"/>
      <c r="D9" s="366"/>
      <c r="E9" s="330"/>
      <c r="F9" s="330"/>
      <c r="G9" s="330"/>
      <c r="H9" s="330"/>
      <c r="I9" s="330"/>
      <c r="J9" s="330"/>
    </row>
    <row r="10" spans="1:16">
      <c r="A10" s="154"/>
      <c r="B10" s="1307" t="s">
        <v>435</v>
      </c>
      <c r="C10" s="1314"/>
      <c r="D10" s="1314"/>
      <c r="E10" s="1314"/>
      <c r="F10" s="1314"/>
      <c r="G10" s="1314"/>
      <c r="H10" s="374"/>
      <c r="I10" s="201"/>
      <c r="J10" s="152"/>
    </row>
    <row r="11" spans="1:16" s="133" customFormat="1" ht="119.25" customHeight="1">
      <c r="A11" s="57" t="s">
        <v>2173</v>
      </c>
      <c r="B11" s="96" t="s">
        <v>847</v>
      </c>
      <c r="C11" s="177" t="s">
        <v>630</v>
      </c>
      <c r="D11" s="201">
        <v>25.86</v>
      </c>
      <c r="E11" s="201">
        <f>SUM(D11*1.1)</f>
        <v>28.446000000000002</v>
      </c>
      <c r="F11" s="201">
        <f>SUM(G11*1.1)</f>
        <v>49.500000000000007</v>
      </c>
      <c r="G11" s="201">
        <v>45</v>
      </c>
      <c r="H11" s="148" t="s">
        <v>309</v>
      </c>
      <c r="I11" s="149" t="s">
        <v>308</v>
      </c>
      <c r="J11" s="154" t="s">
        <v>813</v>
      </c>
      <c r="K11" s="132"/>
      <c r="L11" s="132"/>
      <c r="M11" s="153"/>
    </row>
    <row r="12" spans="1:16" s="133" customFormat="1" ht="21" hidden="1" customHeight="1">
      <c r="A12" s="154"/>
      <c r="B12" s="155"/>
      <c r="C12" s="96"/>
      <c r="D12" s="201"/>
      <c r="E12" s="201">
        <f t="shared" ref="E12:E20" si="0">SUM(D12*1.1)</f>
        <v>0</v>
      </c>
      <c r="F12" s="201">
        <f t="shared" ref="F12:F22" si="1">SUM(G12*1.1)</f>
        <v>0</v>
      </c>
      <c r="G12" s="201"/>
      <c r="H12" s="148" t="s">
        <v>309</v>
      </c>
      <c r="I12" s="149" t="s">
        <v>336</v>
      </c>
      <c r="J12" s="152"/>
    </row>
    <row r="13" spans="1:16" s="133" customFormat="1" ht="21">
      <c r="A13" s="61" t="s">
        <v>2173</v>
      </c>
      <c r="B13" s="96" t="s">
        <v>307</v>
      </c>
      <c r="C13" s="177" t="s">
        <v>630</v>
      </c>
      <c r="D13" s="201">
        <v>15</v>
      </c>
      <c r="E13" s="201">
        <f t="shared" si="0"/>
        <v>16.5</v>
      </c>
      <c r="F13" s="201" t="s">
        <v>277</v>
      </c>
      <c r="G13" s="201" t="s">
        <v>277</v>
      </c>
      <c r="H13" s="301"/>
      <c r="I13" s="96" t="s">
        <v>1239</v>
      </c>
      <c r="J13" s="154" t="s">
        <v>813</v>
      </c>
    </row>
    <row r="14" spans="1:16" ht="52.5">
      <c r="A14" s="760" t="s">
        <v>2174</v>
      </c>
      <c r="B14" s="374" t="s">
        <v>754</v>
      </c>
      <c r="C14" s="177" t="s">
        <v>630</v>
      </c>
      <c r="D14" s="201">
        <v>35</v>
      </c>
      <c r="E14" s="201">
        <f t="shared" si="0"/>
        <v>38.5</v>
      </c>
      <c r="F14" s="201">
        <f t="shared" si="1"/>
        <v>49.500000000000007</v>
      </c>
      <c r="G14" s="201">
        <v>45</v>
      </c>
      <c r="H14" s="148" t="s">
        <v>341</v>
      </c>
      <c r="I14" s="96" t="s">
        <v>337</v>
      </c>
      <c r="J14" s="154" t="s">
        <v>656</v>
      </c>
      <c r="K14" s="133"/>
      <c r="L14" s="133"/>
      <c r="M14" s="133"/>
      <c r="N14" s="133"/>
      <c r="O14" s="133"/>
      <c r="P14" s="133"/>
    </row>
    <row r="15" spans="1:16" s="98" customFormat="1" ht="73.5">
      <c r="A15" s="61" t="s">
        <v>2175</v>
      </c>
      <c r="B15" s="163" t="s">
        <v>755</v>
      </c>
      <c r="C15" s="177" t="s">
        <v>630</v>
      </c>
      <c r="D15" s="201">
        <v>6.5</v>
      </c>
      <c r="E15" s="201">
        <f t="shared" si="0"/>
        <v>7.15</v>
      </c>
      <c r="F15" s="201">
        <f t="shared" si="1"/>
        <v>3.0250000000000004</v>
      </c>
      <c r="G15" s="201">
        <v>2.75</v>
      </c>
      <c r="H15" s="148" t="s">
        <v>345</v>
      </c>
      <c r="I15" s="149" t="s">
        <v>353</v>
      </c>
      <c r="J15" s="154" t="s">
        <v>656</v>
      </c>
      <c r="K15" s="133"/>
      <c r="L15" s="133"/>
      <c r="M15" s="133"/>
      <c r="N15" s="133"/>
      <c r="O15" s="133"/>
      <c r="P15" s="133"/>
    </row>
    <row r="16" spans="1:16" s="98" customFormat="1" ht="73.5">
      <c r="A16" s="61" t="s">
        <v>2176</v>
      </c>
      <c r="B16" s="163" t="s">
        <v>756</v>
      </c>
      <c r="C16" s="177" t="s">
        <v>630</v>
      </c>
      <c r="D16" s="201">
        <v>5.5</v>
      </c>
      <c r="E16" s="201">
        <f t="shared" si="0"/>
        <v>6.0500000000000007</v>
      </c>
      <c r="F16" s="201">
        <f t="shared" si="1"/>
        <v>3.0250000000000004</v>
      </c>
      <c r="G16" s="201">
        <v>2.75</v>
      </c>
      <c r="H16" s="148" t="s">
        <v>345</v>
      </c>
      <c r="I16" s="149" t="s">
        <v>353</v>
      </c>
      <c r="J16" s="154" t="s">
        <v>656</v>
      </c>
      <c r="K16" s="133"/>
      <c r="L16" s="133"/>
      <c r="M16" s="133"/>
      <c r="N16" s="133"/>
      <c r="O16" s="133"/>
      <c r="P16" s="133"/>
    </row>
    <row r="17" spans="1:16" s="98" customFormat="1" ht="73.5">
      <c r="A17" s="61" t="s">
        <v>2177</v>
      </c>
      <c r="B17" s="163" t="s">
        <v>757</v>
      </c>
      <c r="C17" s="177" t="s">
        <v>630</v>
      </c>
      <c r="D17" s="201">
        <v>4.5</v>
      </c>
      <c r="E17" s="201">
        <f t="shared" si="0"/>
        <v>4.95</v>
      </c>
      <c r="F17" s="201">
        <f t="shared" si="1"/>
        <v>3.0250000000000004</v>
      </c>
      <c r="G17" s="201">
        <v>2.75</v>
      </c>
      <c r="H17" s="148" t="s">
        <v>345</v>
      </c>
      <c r="I17" s="149" t="s">
        <v>353</v>
      </c>
      <c r="J17" s="154" t="s">
        <v>656</v>
      </c>
      <c r="K17" s="133"/>
      <c r="L17" s="133"/>
      <c r="M17" s="133"/>
      <c r="N17" s="133"/>
      <c r="O17" s="133"/>
      <c r="P17" s="133"/>
    </row>
    <row r="18" spans="1:16" s="98" customFormat="1" ht="73.5">
      <c r="A18" s="61" t="s">
        <v>2178</v>
      </c>
      <c r="B18" s="163" t="s">
        <v>758</v>
      </c>
      <c r="C18" s="177" t="s">
        <v>630</v>
      </c>
      <c r="D18" s="201">
        <v>4</v>
      </c>
      <c r="E18" s="201">
        <f t="shared" si="0"/>
        <v>4.4000000000000004</v>
      </c>
      <c r="F18" s="201">
        <f t="shared" si="1"/>
        <v>3.0250000000000004</v>
      </c>
      <c r="G18" s="201">
        <v>2.75</v>
      </c>
      <c r="H18" s="148" t="s">
        <v>345</v>
      </c>
      <c r="I18" s="149" t="s">
        <v>353</v>
      </c>
      <c r="J18" s="154" t="s">
        <v>656</v>
      </c>
      <c r="K18" s="133"/>
      <c r="L18" s="133"/>
      <c r="M18" s="133"/>
      <c r="N18" s="133"/>
      <c r="O18" s="133"/>
      <c r="P18" s="133"/>
    </row>
    <row r="19" spans="1:16" s="98" customFormat="1" ht="73.5">
      <c r="A19" s="61" t="s">
        <v>2179</v>
      </c>
      <c r="B19" s="163" t="s">
        <v>844</v>
      </c>
      <c r="C19" s="177" t="s">
        <v>630</v>
      </c>
      <c r="D19" s="201">
        <v>3</v>
      </c>
      <c r="E19" s="201">
        <f t="shared" si="0"/>
        <v>3.3000000000000003</v>
      </c>
      <c r="F19" s="201">
        <f t="shared" si="1"/>
        <v>3.0250000000000004</v>
      </c>
      <c r="G19" s="201">
        <v>2.75</v>
      </c>
      <c r="H19" s="148" t="s">
        <v>345</v>
      </c>
      <c r="I19" s="149" t="s">
        <v>353</v>
      </c>
      <c r="J19" s="154" t="s">
        <v>656</v>
      </c>
      <c r="K19" s="133"/>
      <c r="L19" s="133"/>
      <c r="M19" s="133"/>
      <c r="N19" s="133"/>
      <c r="O19" s="133"/>
      <c r="P19" s="133"/>
    </row>
    <row r="20" spans="1:16" s="98" customFormat="1" ht="98.25" customHeight="1">
      <c r="A20" s="61" t="s">
        <v>2180</v>
      </c>
      <c r="B20" s="163" t="s">
        <v>759</v>
      </c>
      <c r="C20" s="177" t="s">
        <v>630</v>
      </c>
      <c r="D20" s="201">
        <v>2.5</v>
      </c>
      <c r="E20" s="201">
        <f t="shared" si="0"/>
        <v>2.75</v>
      </c>
      <c r="F20" s="201">
        <f t="shared" si="1"/>
        <v>3.0250000000000004</v>
      </c>
      <c r="G20" s="201">
        <v>2.75</v>
      </c>
      <c r="H20" s="148" t="s">
        <v>345</v>
      </c>
      <c r="I20" s="149" t="s">
        <v>353</v>
      </c>
      <c r="J20" s="154" t="s">
        <v>656</v>
      </c>
      <c r="K20" s="133"/>
      <c r="L20" s="133"/>
      <c r="M20" s="133"/>
      <c r="N20" s="133"/>
      <c r="O20" s="133"/>
      <c r="P20" s="133"/>
    </row>
    <row r="21" spans="1:16" ht="73.5">
      <c r="A21" s="61" t="s">
        <v>2181</v>
      </c>
      <c r="B21" s="96" t="s">
        <v>760</v>
      </c>
      <c r="C21" s="177" t="s">
        <v>630</v>
      </c>
      <c r="D21" s="201" t="s">
        <v>277</v>
      </c>
      <c r="E21" s="201" t="s">
        <v>277</v>
      </c>
      <c r="F21" s="201">
        <f t="shared" si="1"/>
        <v>104.50000000000001</v>
      </c>
      <c r="G21" s="201">
        <v>95</v>
      </c>
      <c r="H21" s="148" t="s">
        <v>340</v>
      </c>
      <c r="I21" s="149" t="s">
        <v>346</v>
      </c>
      <c r="J21" s="154" t="s">
        <v>656</v>
      </c>
      <c r="K21" s="133"/>
      <c r="L21" s="133"/>
      <c r="M21" s="133"/>
      <c r="N21" s="133"/>
      <c r="O21" s="133"/>
      <c r="P21" s="133"/>
    </row>
    <row r="22" spans="1:16" ht="42">
      <c r="A22" s="61" t="s">
        <v>2182</v>
      </c>
      <c r="B22" s="96" t="s">
        <v>761</v>
      </c>
      <c r="C22" s="177" t="s">
        <v>630</v>
      </c>
      <c r="D22" s="201" t="s">
        <v>277</v>
      </c>
      <c r="E22" s="201" t="s">
        <v>277</v>
      </c>
      <c r="F22" s="201">
        <f t="shared" si="1"/>
        <v>214.50000000000003</v>
      </c>
      <c r="G22" s="201">
        <v>195</v>
      </c>
      <c r="H22" s="148" t="s">
        <v>339</v>
      </c>
      <c r="I22" s="96" t="s">
        <v>338</v>
      </c>
      <c r="J22" s="154" t="s">
        <v>656</v>
      </c>
      <c r="K22" s="133"/>
      <c r="L22" s="133"/>
      <c r="M22" s="133"/>
      <c r="N22" s="133"/>
      <c r="O22" s="133"/>
      <c r="P22" s="133"/>
    </row>
    <row r="23" spans="1:16" s="18" customFormat="1" ht="31.5">
      <c r="A23" s="482" t="s">
        <v>3064</v>
      </c>
      <c r="B23" s="804" t="s">
        <v>2715</v>
      </c>
      <c r="C23" s="889" t="s">
        <v>630</v>
      </c>
      <c r="D23" s="806">
        <v>21</v>
      </c>
      <c r="E23" s="358">
        <v>23.1</v>
      </c>
      <c r="F23" s="358">
        <v>286</v>
      </c>
      <c r="G23" s="201">
        <v>260</v>
      </c>
      <c r="H23" s="807" t="s">
        <v>290</v>
      </c>
      <c r="I23" s="802"/>
      <c r="J23" s="808" t="s">
        <v>2716</v>
      </c>
      <c r="K23" s="143"/>
      <c r="L23" s="143"/>
      <c r="M23" s="143"/>
      <c r="N23" s="143"/>
      <c r="O23" s="143"/>
      <c r="P23" s="143"/>
    </row>
    <row r="24" spans="1:16" s="18" customFormat="1">
      <c r="A24" s="151"/>
      <c r="B24" s="144"/>
      <c r="C24" s="143"/>
      <c r="D24" s="143"/>
      <c r="E24" s="143"/>
      <c r="F24" s="143"/>
      <c r="G24" s="143"/>
      <c r="H24" s="143"/>
      <c r="I24" s="143"/>
      <c r="J24" s="143"/>
      <c r="K24" s="143"/>
      <c r="L24" s="143"/>
      <c r="M24" s="143"/>
      <c r="N24" s="143"/>
      <c r="O24" s="143"/>
      <c r="P24" s="143"/>
    </row>
    <row r="25" spans="1:16" s="18" customFormat="1">
      <c r="A25" s="145"/>
      <c r="B25" s="144"/>
      <c r="C25" s="143"/>
      <c r="D25" s="143"/>
      <c r="E25" s="143"/>
      <c r="F25" s="143"/>
      <c r="G25" s="143"/>
      <c r="H25" s="143"/>
      <c r="I25" s="143"/>
      <c r="J25" s="143"/>
      <c r="K25" s="143"/>
      <c r="L25" s="143"/>
      <c r="M25" s="143"/>
      <c r="N25" s="143"/>
      <c r="O25" s="143"/>
      <c r="P25" s="143"/>
    </row>
    <row r="26" spans="1:16" s="18" customFormat="1">
      <c r="A26" s="145"/>
      <c r="B26" s="146"/>
      <c r="C26" s="143"/>
      <c r="D26" s="143"/>
      <c r="E26" s="143"/>
      <c r="F26" s="143"/>
      <c r="G26" s="143"/>
      <c r="H26" s="143"/>
      <c r="I26" s="143"/>
      <c r="J26" s="143"/>
      <c r="K26" s="143"/>
      <c r="L26" s="143"/>
      <c r="M26" s="143"/>
      <c r="N26" s="143"/>
      <c r="O26" s="143"/>
      <c r="P26" s="143"/>
    </row>
    <row r="27" spans="1:16" s="18" customFormat="1" ht="9.75" customHeight="1">
      <c r="A27" s="19"/>
      <c r="B27" s="20"/>
    </row>
    <row r="28" spans="1:16" s="98" customFormat="1" ht="22.5" customHeight="1"/>
    <row r="29" spans="1:16" s="98" customFormat="1"/>
    <row r="36" s="98" customFormat="1"/>
    <row r="37" s="98" customFormat="1"/>
    <row r="38" s="98" customFormat="1"/>
    <row r="39" s="98" customFormat="1"/>
    <row r="40" s="98" customFormat="1"/>
    <row r="41" s="98" customFormat="1"/>
    <row r="42" s="98" customFormat="1"/>
    <row r="43" s="98" customFormat="1"/>
    <row r="44" s="98" customFormat="1"/>
    <row r="45" s="98" customFormat="1"/>
    <row r="46" s="98" customFormat="1"/>
    <row r="47" s="98" customFormat="1"/>
    <row r="48" s="98" customFormat="1"/>
    <row r="49" s="98" customFormat="1"/>
    <row r="50" s="98" customFormat="1"/>
    <row r="51" s="98" customFormat="1"/>
    <row r="52" s="98" customFormat="1"/>
    <row r="53" s="98" customFormat="1"/>
    <row r="54" s="98" customFormat="1"/>
    <row r="55" s="98" customFormat="1"/>
    <row r="56" s="98" customFormat="1"/>
    <row r="57" s="98" customFormat="1"/>
    <row r="58" s="98" customFormat="1"/>
    <row r="59" s="98" customFormat="1"/>
    <row r="60" s="98" customFormat="1"/>
    <row r="61" s="98" customFormat="1"/>
    <row r="62" s="98" customFormat="1"/>
    <row r="63" s="98" customFormat="1"/>
    <row r="64" s="98" customFormat="1"/>
    <row r="65" s="98" customFormat="1"/>
    <row r="66" s="98" customFormat="1"/>
    <row r="67" s="98" customFormat="1"/>
    <row r="68" s="98" customFormat="1"/>
    <row r="69" s="98" customFormat="1"/>
    <row r="70" s="98" customFormat="1"/>
    <row r="71" s="98" customFormat="1"/>
    <row r="72" s="98" customFormat="1"/>
    <row r="73" s="98" customFormat="1"/>
    <row r="74" s="98" customFormat="1"/>
    <row r="75" s="98" customFormat="1"/>
    <row r="76" s="98" customFormat="1"/>
    <row r="77" s="98" customFormat="1"/>
    <row r="78" s="98" customFormat="1"/>
    <row r="79" s="98" customFormat="1"/>
    <row r="80" s="98" customFormat="1"/>
    <row r="81" s="98" customFormat="1"/>
    <row r="82" s="98" customFormat="1"/>
    <row r="83" s="98" customFormat="1"/>
    <row r="84" s="98" customFormat="1"/>
    <row r="85" s="98" customFormat="1"/>
  </sheetData>
  <mergeCells count="15">
    <mergeCell ref="A1:B1"/>
    <mergeCell ref="J7:J8"/>
    <mergeCell ref="J2:J6"/>
    <mergeCell ref="A5:B6"/>
    <mergeCell ref="H5:I6"/>
    <mergeCell ref="B10:G10"/>
    <mergeCell ref="B2:D2"/>
    <mergeCell ref="E2:G4"/>
    <mergeCell ref="H2:I4"/>
    <mergeCell ref="F7:F8"/>
    <mergeCell ref="G7:G8"/>
    <mergeCell ref="H7:I8"/>
    <mergeCell ref="C7:C8"/>
    <mergeCell ref="D7:D8"/>
    <mergeCell ref="E7:E8"/>
  </mergeCells>
  <pageMargins left="0.75" right="0.75" top="1" bottom="1" header="0.5" footer="0.5"/>
  <pageSetup scale="79" fitToHeight="3" orientation="landscape" r:id="rId1"/>
  <headerFooter>
    <oddHeader>&amp;L&amp;F&amp;C&amp;A&amp;R&amp;G</oddHeader>
    <oddFooter>&amp;C&amp;"Tahoma,Italic"Use or disclosure of the data on this page or screen is subject to the restrictions on the title page or opening view screen of this proposal document or file.&amp;R&amp;P of &amp;N</oddFooter>
  </headerFooter>
  <ignoredErrors>
    <ignoredError sqref="E13:F22 E11:F11" unlockedFormula="1"/>
  </ignoredErrors>
  <legacyDrawingHF r:id="rId2"/>
</worksheet>
</file>

<file path=xl/worksheets/sheet5.xml><?xml version="1.0" encoding="utf-8"?>
<worksheet xmlns="http://schemas.openxmlformats.org/spreadsheetml/2006/main" xmlns:r="http://schemas.openxmlformats.org/officeDocument/2006/relationships">
  <sheetPr codeName="Sheet3" enableFormatConditionsCalculation="0">
    <tabColor theme="3" tint="0.79998168889431442"/>
    <pageSetUpPr fitToPage="1"/>
  </sheetPr>
  <dimension ref="A1:P100"/>
  <sheetViews>
    <sheetView zoomScaleNormal="100" zoomScaleSheetLayoutView="100" zoomScalePageLayoutView="90" workbookViewId="0">
      <selection activeCell="H2" sqref="H2:I6"/>
    </sheetView>
  </sheetViews>
  <sheetFormatPr defaultRowHeight="10.5"/>
  <cols>
    <col min="1" max="1" width="15.83203125" customWidth="1"/>
    <col min="2" max="2" width="17.6640625" style="143" customWidth="1"/>
    <col min="3" max="3" width="16" style="143" customWidth="1"/>
    <col min="4" max="4" width="10.6640625" style="198" hidden="1" customWidth="1"/>
    <col min="5" max="5" width="12.33203125" style="143" customWidth="1"/>
    <col min="6" max="6" width="17.83203125" style="143" bestFit="1" customWidth="1"/>
    <col min="7" max="7" width="14" style="205" hidden="1" customWidth="1"/>
    <col min="8" max="8" width="11.1640625" customWidth="1"/>
    <col min="9" max="9" width="25.1640625" customWidth="1"/>
    <col min="10" max="10" width="22.1640625" customWidth="1"/>
  </cols>
  <sheetData>
    <row r="1" spans="1:16" ht="15" customHeight="1">
      <c r="A1" s="117" t="s">
        <v>424</v>
      </c>
      <c r="B1" s="270"/>
      <c r="C1" s="270"/>
      <c r="D1" s="270"/>
      <c r="E1" s="270"/>
      <c r="F1" s="270"/>
      <c r="G1" s="270"/>
      <c r="H1" s="118"/>
      <c r="I1" s="118"/>
      <c r="J1" s="103"/>
    </row>
    <row r="2" spans="1:16" s="81" customFormat="1" ht="11.25" customHeight="1">
      <c r="A2" s="69"/>
      <c r="B2" s="1298" t="s">
        <v>370</v>
      </c>
      <c r="C2" s="1299"/>
      <c r="D2" s="1300"/>
      <c r="E2" s="1301" t="s">
        <v>622</v>
      </c>
      <c r="F2" s="1302"/>
      <c r="G2" s="1302"/>
      <c r="H2" s="1292" t="s">
        <v>623</v>
      </c>
      <c r="I2" s="1290"/>
      <c r="J2" s="1260" t="s">
        <v>631</v>
      </c>
    </row>
    <row r="3" spans="1:16" s="81" customFormat="1" ht="10.5" customHeight="1">
      <c r="A3" s="119" t="s">
        <v>426</v>
      </c>
      <c r="B3" s="120"/>
      <c r="C3" s="120"/>
      <c r="D3" s="121"/>
      <c r="E3" s="1303"/>
      <c r="F3" s="1304"/>
      <c r="G3" s="1304"/>
      <c r="H3" s="1293"/>
      <c r="I3" s="1294"/>
      <c r="J3" s="1261"/>
    </row>
    <row r="4" spans="1:16" s="81" customFormat="1" ht="10.5" customHeight="1">
      <c r="A4" s="122"/>
      <c r="B4" s="123"/>
      <c r="C4" s="123"/>
      <c r="D4" s="124"/>
      <c r="E4" s="1305"/>
      <c r="F4" s="1306"/>
      <c r="G4" s="1306"/>
      <c r="H4" s="1295"/>
      <c r="I4" s="1291"/>
      <c r="J4" s="1261"/>
    </row>
    <row r="5" spans="1:16" s="81" customFormat="1" ht="12" customHeight="1">
      <c r="A5" s="1310" t="s">
        <v>3068</v>
      </c>
      <c r="B5" s="1310"/>
      <c r="C5" s="127"/>
      <c r="D5" s="332"/>
      <c r="E5" s="128"/>
      <c r="F5" s="342"/>
      <c r="G5" s="129"/>
      <c r="H5" s="1290" t="s">
        <v>625</v>
      </c>
      <c r="I5" s="1290"/>
      <c r="J5" s="1261"/>
    </row>
    <row r="6" spans="1:16" ht="69.75" customHeight="1">
      <c r="A6" s="1310"/>
      <c r="B6" s="1310"/>
      <c r="C6" s="325"/>
      <c r="D6" s="125"/>
      <c r="E6" s="126"/>
      <c r="F6" s="809"/>
      <c r="G6" s="130"/>
      <c r="H6" s="1291"/>
      <c r="I6" s="1291"/>
      <c r="J6" s="1262"/>
    </row>
    <row r="7" spans="1:16" ht="21" customHeight="1">
      <c r="A7" s="331" t="s">
        <v>653</v>
      </c>
      <c r="B7" s="330" t="s">
        <v>428</v>
      </c>
      <c r="C7" s="1311" t="s">
        <v>429</v>
      </c>
      <c r="D7" s="1320" t="s">
        <v>620</v>
      </c>
      <c r="E7" s="1312" t="s">
        <v>432</v>
      </c>
      <c r="F7" s="1297" t="s">
        <v>430</v>
      </c>
      <c r="G7" s="1320" t="s">
        <v>621</v>
      </c>
      <c r="H7" s="1287" t="s">
        <v>431</v>
      </c>
      <c r="I7" s="1288"/>
      <c r="J7" s="1272" t="s">
        <v>627</v>
      </c>
    </row>
    <row r="8" spans="1:16" ht="21" customHeight="1">
      <c r="A8" s="326"/>
      <c r="B8" s="99"/>
      <c r="C8" s="1311"/>
      <c r="D8" s="1320"/>
      <c r="E8" s="1312"/>
      <c r="F8" s="1297"/>
      <c r="G8" s="1321"/>
      <c r="H8" s="1270"/>
      <c r="I8" s="1289"/>
      <c r="J8" s="1273"/>
    </row>
    <row r="9" spans="1:16" s="30" customFormat="1" ht="12.75">
      <c r="A9" s="67"/>
      <c r="B9" s="252" t="s">
        <v>275</v>
      </c>
      <c r="C9" s="337"/>
      <c r="D9" s="330"/>
      <c r="E9" s="337"/>
      <c r="F9" s="330"/>
      <c r="G9" s="345"/>
      <c r="H9" s="46"/>
      <c r="I9" s="46"/>
      <c r="J9" s="46"/>
    </row>
    <row r="10" spans="1:16" s="8" customFormat="1" ht="12.75">
      <c r="A10" s="10"/>
      <c r="B10" s="1307" t="s">
        <v>435</v>
      </c>
      <c r="C10" s="1322"/>
      <c r="D10" s="1322"/>
      <c r="E10" s="1322"/>
      <c r="F10" s="1322"/>
      <c r="G10" s="1322"/>
      <c r="H10" s="105"/>
      <c r="I10" s="16"/>
      <c r="J10" s="111"/>
    </row>
    <row r="11" spans="1:16" s="133" customFormat="1" ht="42.75" customHeight="1">
      <c r="A11" s="57" t="s">
        <v>1670</v>
      </c>
      <c r="B11" s="61" t="s">
        <v>1497</v>
      </c>
      <c r="C11" s="177" t="s">
        <v>628</v>
      </c>
      <c r="D11" s="180">
        <v>31.67</v>
      </c>
      <c r="E11" s="180">
        <f>SUM(D11*1.1)</f>
        <v>34.837000000000003</v>
      </c>
      <c r="F11" s="201">
        <v>25.21</v>
      </c>
      <c r="G11" s="201">
        <f t="shared" ref="G11" si="0">(F11-(F11*10%))</f>
        <v>22.689</v>
      </c>
      <c r="H11" s="148" t="s">
        <v>309</v>
      </c>
      <c r="I11" s="209" t="s">
        <v>426</v>
      </c>
      <c r="J11" s="206" t="s">
        <v>682</v>
      </c>
      <c r="K11" s="132"/>
      <c r="L11" s="132"/>
      <c r="M11" s="153"/>
    </row>
    <row r="12" spans="1:16" s="133" customFormat="1" ht="21" hidden="1" customHeight="1">
      <c r="A12" s="1"/>
      <c r="B12" s="155"/>
      <c r="C12" s="96"/>
      <c r="D12" s="201"/>
      <c r="E12" s="180">
        <f t="shared" ref="E12:E21" si="1">SUM(D12*1.1)</f>
        <v>0</v>
      </c>
      <c r="F12" s="201">
        <f t="shared" ref="F12" si="2">SUM(G12*1.1)</f>
        <v>0</v>
      </c>
      <c r="G12" s="346"/>
      <c r="H12" s="148" t="s">
        <v>309</v>
      </c>
      <c r="I12" s="149" t="s">
        <v>336</v>
      </c>
      <c r="J12" s="152"/>
      <c r="K12" s="132"/>
    </row>
    <row r="13" spans="1:16" s="133" customFormat="1" ht="105">
      <c r="A13" s="96" t="s">
        <v>1671</v>
      </c>
      <c r="B13" s="96" t="s">
        <v>307</v>
      </c>
      <c r="C13" s="177" t="s">
        <v>628</v>
      </c>
      <c r="D13" s="241" t="s">
        <v>783</v>
      </c>
      <c r="E13" s="349" t="s">
        <v>783</v>
      </c>
      <c r="F13" s="346" t="s">
        <v>799</v>
      </c>
      <c r="G13" s="346" t="s">
        <v>799</v>
      </c>
      <c r="H13" s="208" t="s">
        <v>426</v>
      </c>
      <c r="I13" s="149" t="s">
        <v>308</v>
      </c>
      <c r="J13" s="818"/>
      <c r="K13" s="132"/>
    </row>
    <row r="14" spans="1:16" s="133" customFormat="1" ht="42">
      <c r="A14" s="96" t="s">
        <v>1767</v>
      </c>
      <c r="B14" s="96" t="s">
        <v>335</v>
      </c>
      <c r="C14" s="177" t="s">
        <v>628</v>
      </c>
      <c r="D14" s="241">
        <v>8</v>
      </c>
      <c r="E14" s="180">
        <f t="shared" si="1"/>
        <v>8.8000000000000007</v>
      </c>
      <c r="F14" s="201">
        <v>0</v>
      </c>
      <c r="G14" s="201">
        <f t="shared" ref="G14:G24" si="3">(F14-(F14*10%))</f>
        <v>0</v>
      </c>
      <c r="H14" s="207" t="s">
        <v>683</v>
      </c>
      <c r="I14" s="209" t="s">
        <v>426</v>
      </c>
      <c r="J14" s="206" t="s">
        <v>682</v>
      </c>
      <c r="K14" s="132"/>
    </row>
    <row r="15" spans="1:16" s="8" customFormat="1" ht="61.15" customHeight="1">
      <c r="A15" s="97" t="s">
        <v>1672</v>
      </c>
      <c r="B15" s="338" t="s">
        <v>754</v>
      </c>
      <c r="C15" s="177" t="s">
        <v>628</v>
      </c>
      <c r="D15" s="201">
        <v>35</v>
      </c>
      <c r="E15" s="180">
        <f t="shared" si="1"/>
        <v>38.5</v>
      </c>
      <c r="F15" s="201">
        <v>45.9</v>
      </c>
      <c r="G15" s="201">
        <f t="shared" si="3"/>
        <v>41.31</v>
      </c>
      <c r="H15" s="148" t="s">
        <v>341</v>
      </c>
      <c r="I15" s="61" t="s">
        <v>337</v>
      </c>
      <c r="J15" s="1235" t="s">
        <v>692</v>
      </c>
      <c r="K15" s="132"/>
      <c r="L15" s="133"/>
      <c r="M15" s="133"/>
      <c r="N15" s="133"/>
      <c r="O15" s="133"/>
      <c r="P15" s="133"/>
    </row>
    <row r="16" spans="1:16" s="98" customFormat="1" ht="73.5">
      <c r="A16" s="452" t="s">
        <v>1673</v>
      </c>
      <c r="B16" s="150" t="s">
        <v>755</v>
      </c>
      <c r="C16" s="177" t="s">
        <v>628</v>
      </c>
      <c r="D16" s="201">
        <v>6.5</v>
      </c>
      <c r="E16" s="180">
        <f t="shared" si="1"/>
        <v>7.15</v>
      </c>
      <c r="F16" s="201">
        <v>2.81</v>
      </c>
      <c r="G16" s="201">
        <f t="shared" si="3"/>
        <v>2.5289999999999999</v>
      </c>
      <c r="H16" s="207" t="s">
        <v>683</v>
      </c>
      <c r="I16" s="149" t="s">
        <v>353</v>
      </c>
      <c r="J16" s="1235" t="s">
        <v>692</v>
      </c>
      <c r="K16" s="132"/>
      <c r="L16" s="133"/>
      <c r="M16" s="133"/>
      <c r="N16" s="133"/>
      <c r="O16" s="133"/>
      <c r="P16" s="133"/>
    </row>
    <row r="17" spans="1:16" s="98" customFormat="1" ht="73.5">
      <c r="A17" s="452" t="s">
        <v>1674</v>
      </c>
      <c r="B17" s="150" t="s">
        <v>756</v>
      </c>
      <c r="C17" s="177" t="s">
        <v>628</v>
      </c>
      <c r="D17" s="201">
        <v>5.5</v>
      </c>
      <c r="E17" s="180">
        <f t="shared" si="1"/>
        <v>6.0500000000000007</v>
      </c>
      <c r="F17" s="201">
        <v>2.81</v>
      </c>
      <c r="G17" s="201">
        <f t="shared" si="3"/>
        <v>2.5289999999999999</v>
      </c>
      <c r="H17" s="148" t="s">
        <v>345</v>
      </c>
      <c r="I17" s="149" t="s">
        <v>353</v>
      </c>
      <c r="J17" s="1235" t="s">
        <v>692</v>
      </c>
      <c r="K17" s="132"/>
      <c r="L17" s="133"/>
      <c r="M17" s="133"/>
      <c r="N17" s="133"/>
      <c r="O17" s="133"/>
      <c r="P17" s="133"/>
    </row>
    <row r="18" spans="1:16" s="98" customFormat="1" ht="73.5">
      <c r="A18" s="452" t="s">
        <v>1675</v>
      </c>
      <c r="B18" s="150" t="s">
        <v>757</v>
      </c>
      <c r="C18" s="177" t="s">
        <v>628</v>
      </c>
      <c r="D18" s="201">
        <v>4.5</v>
      </c>
      <c r="E18" s="180">
        <f t="shared" si="1"/>
        <v>4.95</v>
      </c>
      <c r="F18" s="201">
        <v>2.81</v>
      </c>
      <c r="G18" s="201">
        <f t="shared" si="3"/>
        <v>2.5289999999999999</v>
      </c>
      <c r="H18" s="148" t="s">
        <v>345</v>
      </c>
      <c r="I18" s="149" t="s">
        <v>353</v>
      </c>
      <c r="J18" s="1235" t="s">
        <v>692</v>
      </c>
      <c r="K18" s="132"/>
      <c r="L18" s="133"/>
      <c r="M18" s="133"/>
      <c r="N18" s="133"/>
      <c r="O18" s="133"/>
      <c r="P18" s="133"/>
    </row>
    <row r="19" spans="1:16" s="98" customFormat="1" ht="73.5">
      <c r="A19" s="452" t="s">
        <v>1676</v>
      </c>
      <c r="B19" s="150" t="s">
        <v>758</v>
      </c>
      <c r="C19" s="177" t="s">
        <v>628</v>
      </c>
      <c r="D19" s="201">
        <v>4</v>
      </c>
      <c r="E19" s="180">
        <f t="shared" si="1"/>
        <v>4.4000000000000004</v>
      </c>
      <c r="F19" s="201">
        <v>2.81</v>
      </c>
      <c r="G19" s="201">
        <f t="shared" si="3"/>
        <v>2.5289999999999999</v>
      </c>
      <c r="H19" s="148" t="s">
        <v>345</v>
      </c>
      <c r="I19" s="149" t="s">
        <v>353</v>
      </c>
      <c r="J19" s="1235" t="s">
        <v>692</v>
      </c>
      <c r="K19" s="132"/>
      <c r="L19" s="133"/>
      <c r="M19" s="133"/>
      <c r="N19" s="133"/>
      <c r="O19" s="133"/>
      <c r="P19" s="133"/>
    </row>
    <row r="20" spans="1:16" s="98" customFormat="1" ht="81" customHeight="1">
      <c r="A20" s="452" t="s">
        <v>1677</v>
      </c>
      <c r="B20" s="163" t="s">
        <v>1456</v>
      </c>
      <c r="C20" s="177" t="s">
        <v>628</v>
      </c>
      <c r="D20" s="201">
        <v>3</v>
      </c>
      <c r="E20" s="180">
        <f t="shared" si="1"/>
        <v>3.3000000000000003</v>
      </c>
      <c r="F20" s="201">
        <v>2.81</v>
      </c>
      <c r="G20" s="201">
        <f t="shared" si="3"/>
        <v>2.5289999999999999</v>
      </c>
      <c r="H20" s="148" t="s">
        <v>345</v>
      </c>
      <c r="I20" s="149" t="s">
        <v>353</v>
      </c>
      <c r="J20" s="1235" t="s">
        <v>692</v>
      </c>
      <c r="K20" s="132"/>
      <c r="L20" s="133"/>
      <c r="M20" s="133"/>
      <c r="N20" s="133"/>
      <c r="O20" s="133"/>
      <c r="P20" s="133"/>
    </row>
    <row r="21" spans="1:16" s="98" customFormat="1" ht="98.25" customHeight="1">
      <c r="A21" s="452" t="s">
        <v>1678</v>
      </c>
      <c r="B21" s="150" t="s">
        <v>759</v>
      </c>
      <c r="C21" s="177" t="s">
        <v>628</v>
      </c>
      <c r="D21" s="201">
        <v>2.5</v>
      </c>
      <c r="E21" s="180">
        <f t="shared" si="1"/>
        <v>2.75</v>
      </c>
      <c r="F21" s="201">
        <v>2.81</v>
      </c>
      <c r="G21" s="201">
        <f t="shared" si="3"/>
        <v>2.5289999999999999</v>
      </c>
      <c r="H21" s="148" t="s">
        <v>345</v>
      </c>
      <c r="I21" s="149" t="s">
        <v>353</v>
      </c>
      <c r="J21" s="1235" t="s">
        <v>692</v>
      </c>
      <c r="K21" s="132"/>
      <c r="L21" s="133"/>
      <c r="M21" s="133"/>
      <c r="N21" s="133"/>
      <c r="O21" s="133"/>
      <c r="P21" s="133"/>
    </row>
    <row r="22" spans="1:16" s="8" customFormat="1" ht="73.5">
      <c r="A22" s="452" t="s">
        <v>1679</v>
      </c>
      <c r="B22" s="58" t="s">
        <v>760</v>
      </c>
      <c r="C22" s="177" t="s">
        <v>628</v>
      </c>
      <c r="D22" s="241" t="s">
        <v>277</v>
      </c>
      <c r="E22" s="241" t="s">
        <v>277</v>
      </c>
      <c r="F22" s="201">
        <v>96.9</v>
      </c>
      <c r="G22" s="201">
        <f t="shared" si="3"/>
        <v>87.210000000000008</v>
      </c>
      <c r="H22" s="148" t="s">
        <v>340</v>
      </c>
      <c r="I22" s="149" t="s">
        <v>346</v>
      </c>
      <c r="J22" s="1235" t="s">
        <v>692</v>
      </c>
      <c r="K22" s="132"/>
      <c r="L22" s="133"/>
      <c r="M22" s="133"/>
      <c r="N22" s="133"/>
      <c r="O22" s="133"/>
      <c r="P22" s="133"/>
    </row>
    <row r="23" spans="1:16" s="8" customFormat="1" ht="42">
      <c r="A23" s="96" t="s">
        <v>1703</v>
      </c>
      <c r="B23" s="58" t="s">
        <v>761</v>
      </c>
      <c r="C23" s="177" t="s">
        <v>628</v>
      </c>
      <c r="D23" s="241" t="s">
        <v>277</v>
      </c>
      <c r="E23" s="241" t="s">
        <v>277</v>
      </c>
      <c r="F23" s="201">
        <v>198.9</v>
      </c>
      <c r="G23" s="201">
        <f t="shared" si="3"/>
        <v>179.01</v>
      </c>
      <c r="H23" s="148" t="s">
        <v>339</v>
      </c>
      <c r="I23" s="96" t="s">
        <v>338</v>
      </c>
      <c r="J23" s="1235" t="s">
        <v>692</v>
      </c>
      <c r="K23" s="132"/>
      <c r="L23" s="133"/>
      <c r="M23" s="133"/>
      <c r="N23" s="133"/>
      <c r="O23" s="133"/>
      <c r="P23" s="133"/>
    </row>
    <row r="24" spans="1:16" s="18" customFormat="1" ht="31.5">
      <c r="A24" s="482" t="s">
        <v>2714</v>
      </c>
      <c r="B24" s="804" t="s">
        <v>2715</v>
      </c>
      <c r="C24" s="805" t="s">
        <v>628</v>
      </c>
      <c r="D24" s="806">
        <v>40.75</v>
      </c>
      <c r="E24" s="358">
        <v>44.83</v>
      </c>
      <c r="F24" s="358">
        <v>407</v>
      </c>
      <c r="G24" s="201">
        <f t="shared" si="3"/>
        <v>366.3</v>
      </c>
      <c r="H24" s="807" t="s">
        <v>290</v>
      </c>
      <c r="I24" s="802"/>
      <c r="J24" s="808" t="s">
        <v>2716</v>
      </c>
      <c r="K24" s="133"/>
      <c r="L24" s="143"/>
      <c r="M24" s="143"/>
      <c r="N24" s="143"/>
      <c r="O24" s="143"/>
      <c r="P24" s="143"/>
    </row>
    <row r="25" spans="1:16" s="18" customFormat="1">
      <c r="A25" s="151"/>
      <c r="B25" s="141"/>
      <c r="C25" s="133"/>
      <c r="D25" s="133"/>
      <c r="E25" s="133"/>
      <c r="F25" s="133"/>
      <c r="G25" s="347"/>
      <c r="H25" s="143"/>
      <c r="I25" s="143"/>
      <c r="J25" s="143"/>
      <c r="K25" s="133"/>
      <c r="L25" s="143"/>
      <c r="M25" s="143"/>
      <c r="N25" s="143"/>
      <c r="O25" s="143"/>
      <c r="P25" s="143"/>
    </row>
    <row r="26" spans="1:16" s="18" customFormat="1">
      <c r="A26" s="145"/>
      <c r="B26" s="141"/>
      <c r="C26" s="133"/>
      <c r="D26" s="133"/>
      <c r="E26" s="133"/>
      <c r="F26" s="133"/>
      <c r="G26" s="347"/>
      <c r="H26" s="143"/>
      <c r="I26" s="143"/>
      <c r="J26" s="143"/>
      <c r="K26" s="133"/>
      <c r="L26" s="143"/>
      <c r="M26" s="143"/>
      <c r="N26" s="143"/>
      <c r="O26" s="143"/>
      <c r="P26" s="143"/>
    </row>
    <row r="27" spans="1:16" s="18" customFormat="1">
      <c r="A27" s="145"/>
      <c r="B27" s="171"/>
      <c r="C27" s="133"/>
      <c r="D27" s="133"/>
      <c r="E27" s="133"/>
      <c r="F27" s="133"/>
      <c r="G27" s="347"/>
      <c r="H27" s="143"/>
      <c r="I27" s="143"/>
      <c r="J27" s="143"/>
      <c r="K27" s="133"/>
      <c r="L27" s="143"/>
      <c r="M27" s="143"/>
      <c r="N27" s="143"/>
      <c r="O27" s="143"/>
      <c r="P27" s="143"/>
    </row>
    <row r="28" spans="1:16" s="18" customFormat="1" ht="9.75" customHeight="1">
      <c r="A28" s="19"/>
      <c r="B28" s="171"/>
      <c r="C28" s="133"/>
      <c r="D28" s="133"/>
      <c r="E28" s="133"/>
      <c r="F28" s="133"/>
      <c r="G28" s="347"/>
      <c r="H28" s="98"/>
      <c r="I28" s="98"/>
      <c r="K28" s="23"/>
    </row>
    <row r="29" spans="1:16" s="98" customFormat="1" ht="22.5" customHeight="1">
      <c r="G29" s="347"/>
      <c r="H29" s="8"/>
      <c r="I29" s="8"/>
    </row>
    <row r="30" spans="1:16" s="98" customFormat="1">
      <c r="G30" s="347"/>
      <c r="H30" s="8"/>
      <c r="I30" s="8"/>
    </row>
    <row r="31" spans="1:16" s="8" customFormat="1">
      <c r="B31" s="133"/>
      <c r="C31" s="133"/>
      <c r="D31" s="133"/>
      <c r="E31" s="133"/>
      <c r="F31" s="133"/>
      <c r="G31" s="347"/>
    </row>
    <row r="32" spans="1:16" s="8" customFormat="1">
      <c r="B32" s="133"/>
      <c r="C32" s="133"/>
      <c r="D32" s="133"/>
      <c r="E32" s="133"/>
      <c r="F32" s="133"/>
      <c r="G32" s="347"/>
    </row>
    <row r="33" spans="2:9" s="8" customFormat="1">
      <c r="B33" s="133"/>
      <c r="C33" s="133"/>
      <c r="D33" s="133"/>
      <c r="E33" s="133"/>
      <c r="F33" s="133"/>
      <c r="G33" s="347"/>
    </row>
    <row r="34" spans="2:9" s="8" customFormat="1">
      <c r="B34" s="133"/>
      <c r="C34" s="133"/>
      <c r="D34" s="133"/>
      <c r="E34" s="133"/>
      <c r="F34" s="133"/>
      <c r="G34" s="347"/>
    </row>
    <row r="35" spans="2:9" s="8" customFormat="1">
      <c r="B35" s="133"/>
      <c r="C35" s="133"/>
      <c r="D35" s="133"/>
      <c r="E35" s="133"/>
      <c r="F35" s="133"/>
      <c r="G35" s="347"/>
      <c r="H35" s="98"/>
      <c r="I35" s="98"/>
    </row>
    <row r="36" spans="2:9">
      <c r="B36"/>
      <c r="C36"/>
      <c r="D36"/>
      <c r="E36"/>
      <c r="F36"/>
      <c r="G36"/>
    </row>
    <row r="37" spans="2:9">
      <c r="B37"/>
      <c r="C37"/>
      <c r="D37"/>
      <c r="E37"/>
      <c r="F37"/>
      <c r="G37"/>
    </row>
    <row r="38" spans="2:9">
      <c r="B38"/>
      <c r="C38"/>
      <c r="D38"/>
      <c r="E38"/>
      <c r="F38"/>
      <c r="G38"/>
    </row>
    <row r="39" spans="2:9">
      <c r="B39"/>
      <c r="C39"/>
      <c r="D39"/>
      <c r="E39"/>
      <c r="F39"/>
      <c r="G39"/>
    </row>
    <row r="40" spans="2:9">
      <c r="B40"/>
      <c r="C40"/>
      <c r="D40"/>
      <c r="E40"/>
      <c r="F40"/>
      <c r="G40"/>
    </row>
    <row r="41" spans="2:9">
      <c r="B41"/>
      <c r="C41"/>
      <c r="D41"/>
      <c r="E41"/>
      <c r="F41"/>
      <c r="G41"/>
    </row>
    <row r="42" spans="2:9">
      <c r="B42"/>
      <c r="C42"/>
      <c r="D42"/>
      <c r="E42"/>
      <c r="F42"/>
      <c r="G42"/>
    </row>
    <row r="43" spans="2:9">
      <c r="B43"/>
      <c r="C43"/>
      <c r="D43"/>
      <c r="E43"/>
      <c r="F43"/>
      <c r="G43"/>
    </row>
    <row r="44" spans="2:9">
      <c r="B44"/>
      <c r="C44"/>
      <c r="D44"/>
      <c r="E44"/>
      <c r="F44"/>
      <c r="G44"/>
    </row>
    <row r="45" spans="2:9">
      <c r="B45"/>
      <c r="C45"/>
      <c r="D45"/>
      <c r="E45"/>
      <c r="F45"/>
      <c r="G45"/>
    </row>
    <row r="46" spans="2:9">
      <c r="B46"/>
      <c r="C46"/>
      <c r="D46"/>
      <c r="E46"/>
      <c r="F46"/>
      <c r="G46"/>
    </row>
    <row r="47" spans="2:9">
      <c r="B47"/>
      <c r="C47"/>
      <c r="D47"/>
      <c r="E47"/>
      <c r="F47"/>
      <c r="G47"/>
    </row>
    <row r="48" spans="2:9">
      <c r="B48"/>
      <c r="C48"/>
      <c r="D48"/>
      <c r="E48"/>
      <c r="F48"/>
      <c r="G48"/>
    </row>
    <row r="49" spans="2:7">
      <c r="B49"/>
      <c r="C49"/>
      <c r="D49"/>
      <c r="E49"/>
      <c r="F49"/>
      <c r="G49"/>
    </row>
    <row r="50" spans="2:7">
      <c r="B50"/>
      <c r="C50"/>
      <c r="D50"/>
      <c r="E50"/>
      <c r="F50"/>
      <c r="G50"/>
    </row>
    <row r="51" spans="2:7">
      <c r="B51"/>
      <c r="C51"/>
      <c r="D51"/>
      <c r="E51"/>
      <c r="F51"/>
      <c r="G51"/>
    </row>
    <row r="52" spans="2:7">
      <c r="B52"/>
      <c r="C52"/>
      <c r="D52"/>
      <c r="E52"/>
      <c r="F52"/>
      <c r="G52"/>
    </row>
    <row r="53" spans="2:7">
      <c r="B53"/>
      <c r="C53"/>
      <c r="D53"/>
      <c r="E53"/>
      <c r="F53"/>
      <c r="G53"/>
    </row>
    <row r="54" spans="2:7">
      <c r="B54"/>
      <c r="C54"/>
      <c r="D54"/>
      <c r="E54"/>
      <c r="F54"/>
      <c r="G54"/>
    </row>
    <row r="55" spans="2:7">
      <c r="B55"/>
      <c r="C55"/>
      <c r="D55"/>
      <c r="E55"/>
      <c r="F55"/>
      <c r="G55"/>
    </row>
    <row r="56" spans="2:7">
      <c r="B56"/>
      <c r="C56"/>
      <c r="D56"/>
      <c r="E56"/>
      <c r="F56"/>
      <c r="G56"/>
    </row>
    <row r="57" spans="2:7">
      <c r="B57"/>
      <c r="C57"/>
      <c r="D57"/>
      <c r="E57"/>
      <c r="F57"/>
      <c r="G57"/>
    </row>
    <row r="58" spans="2:7">
      <c r="B58"/>
      <c r="C58"/>
      <c r="D58"/>
      <c r="E58"/>
      <c r="F58"/>
      <c r="G58"/>
    </row>
    <row r="59" spans="2:7">
      <c r="B59"/>
      <c r="C59"/>
      <c r="D59"/>
      <c r="E59"/>
      <c r="F59"/>
      <c r="G59"/>
    </row>
    <row r="60" spans="2:7">
      <c r="B60"/>
      <c r="C60"/>
      <c r="D60"/>
      <c r="E60"/>
      <c r="F60"/>
      <c r="G60"/>
    </row>
    <row r="61" spans="2:7">
      <c r="B61"/>
      <c r="C61"/>
      <c r="D61"/>
      <c r="E61"/>
      <c r="F61"/>
      <c r="G61"/>
    </row>
    <row r="62" spans="2:7">
      <c r="B62"/>
      <c r="C62"/>
      <c r="D62"/>
      <c r="E62"/>
      <c r="F62"/>
      <c r="G62"/>
    </row>
    <row r="63" spans="2:7">
      <c r="B63"/>
      <c r="C63"/>
      <c r="D63"/>
      <c r="E63"/>
      <c r="F63"/>
      <c r="G63"/>
    </row>
    <row r="64" spans="2:7">
      <c r="B64"/>
      <c r="C64"/>
      <c r="D64"/>
      <c r="E64"/>
      <c r="F64"/>
      <c r="G64"/>
    </row>
    <row r="65" spans="2:7">
      <c r="B65"/>
      <c r="C65"/>
      <c r="D65"/>
      <c r="E65"/>
      <c r="F65"/>
      <c r="G65"/>
    </row>
    <row r="66" spans="2:7">
      <c r="B66"/>
      <c r="C66"/>
      <c r="D66"/>
      <c r="E66"/>
      <c r="F66"/>
      <c r="G66"/>
    </row>
    <row r="67" spans="2:7">
      <c r="B67"/>
      <c r="C67"/>
      <c r="D67"/>
      <c r="E67"/>
      <c r="F67"/>
      <c r="G67"/>
    </row>
    <row r="68" spans="2:7">
      <c r="B68"/>
      <c r="C68"/>
      <c r="D68"/>
      <c r="E68"/>
      <c r="F68"/>
      <c r="G68"/>
    </row>
    <row r="69" spans="2:7">
      <c r="B69"/>
      <c r="C69"/>
      <c r="D69"/>
      <c r="E69"/>
      <c r="F69"/>
      <c r="G69"/>
    </row>
    <row r="70" spans="2:7">
      <c r="B70"/>
      <c r="C70"/>
      <c r="D70"/>
      <c r="E70"/>
      <c r="F70"/>
      <c r="G70"/>
    </row>
    <row r="71" spans="2:7">
      <c r="B71"/>
      <c r="C71"/>
      <c r="D71"/>
      <c r="E71"/>
      <c r="F71"/>
      <c r="G71"/>
    </row>
    <row r="72" spans="2:7">
      <c r="B72"/>
      <c r="C72"/>
      <c r="D72"/>
      <c r="E72"/>
      <c r="F72"/>
      <c r="G72"/>
    </row>
    <row r="73" spans="2:7">
      <c r="B73"/>
      <c r="C73"/>
      <c r="D73"/>
      <c r="E73"/>
      <c r="F73"/>
      <c r="G73"/>
    </row>
    <row r="74" spans="2:7">
      <c r="B74"/>
      <c r="C74"/>
      <c r="D74"/>
      <c r="E74"/>
      <c r="F74"/>
      <c r="G74"/>
    </row>
    <row r="75" spans="2:7">
      <c r="B75"/>
      <c r="C75"/>
      <c r="D75"/>
      <c r="E75"/>
      <c r="F75"/>
      <c r="G75"/>
    </row>
    <row r="76" spans="2:7">
      <c r="B76"/>
      <c r="C76"/>
      <c r="D76"/>
      <c r="E76"/>
      <c r="F76"/>
      <c r="G76"/>
    </row>
    <row r="77" spans="2:7">
      <c r="B77"/>
      <c r="C77"/>
      <c r="D77"/>
      <c r="E77"/>
      <c r="F77"/>
      <c r="G77"/>
    </row>
    <row r="78" spans="2:7">
      <c r="B78"/>
      <c r="C78"/>
      <c r="D78"/>
      <c r="E78"/>
      <c r="F78"/>
      <c r="G78"/>
    </row>
    <row r="79" spans="2:7">
      <c r="B79"/>
      <c r="C79"/>
      <c r="D79"/>
      <c r="E79"/>
      <c r="F79"/>
      <c r="G79"/>
    </row>
    <row r="80" spans="2:7">
      <c r="B80"/>
      <c r="C80"/>
      <c r="D80"/>
      <c r="E80"/>
      <c r="F80"/>
      <c r="G80"/>
    </row>
    <row r="81" spans="2:7">
      <c r="B81"/>
      <c r="C81"/>
      <c r="D81"/>
      <c r="E81"/>
      <c r="F81"/>
      <c r="G81"/>
    </row>
    <row r="82" spans="2:7">
      <c r="B82"/>
      <c r="C82"/>
      <c r="D82"/>
      <c r="E82"/>
      <c r="F82"/>
      <c r="G82"/>
    </row>
    <row r="83" spans="2:7">
      <c r="B83"/>
      <c r="C83"/>
      <c r="D83"/>
      <c r="E83"/>
      <c r="F83"/>
      <c r="G83"/>
    </row>
    <row r="84" spans="2:7">
      <c r="B84"/>
      <c r="C84"/>
      <c r="D84"/>
      <c r="E84"/>
      <c r="F84"/>
      <c r="G84"/>
    </row>
    <row r="85" spans="2:7">
      <c r="B85"/>
      <c r="C85"/>
      <c r="D85"/>
      <c r="E85"/>
      <c r="F85"/>
      <c r="G85"/>
    </row>
    <row r="86" spans="2:7">
      <c r="B86"/>
      <c r="C86"/>
      <c r="D86"/>
      <c r="E86"/>
      <c r="F86"/>
      <c r="G86"/>
    </row>
    <row r="87" spans="2:7">
      <c r="B87"/>
      <c r="C87"/>
      <c r="D87"/>
      <c r="E87"/>
      <c r="F87"/>
      <c r="G87"/>
    </row>
    <row r="88" spans="2:7">
      <c r="B88"/>
      <c r="C88"/>
      <c r="D88"/>
      <c r="E88"/>
      <c r="F88"/>
      <c r="G88"/>
    </row>
    <row r="89" spans="2:7">
      <c r="B89"/>
      <c r="C89"/>
      <c r="D89"/>
      <c r="E89"/>
      <c r="F89"/>
      <c r="G89"/>
    </row>
    <row r="90" spans="2:7">
      <c r="B90"/>
      <c r="C90"/>
      <c r="D90"/>
      <c r="E90"/>
      <c r="F90"/>
      <c r="G90"/>
    </row>
    <row r="91" spans="2:7">
      <c r="B91"/>
      <c r="C91"/>
      <c r="D91"/>
      <c r="E91"/>
      <c r="F91"/>
      <c r="G91"/>
    </row>
    <row r="92" spans="2:7">
      <c r="B92"/>
      <c r="C92"/>
      <c r="D92"/>
      <c r="E92"/>
      <c r="F92"/>
      <c r="G92"/>
    </row>
    <row r="93" spans="2:7">
      <c r="B93"/>
      <c r="C93"/>
      <c r="D93"/>
      <c r="E93"/>
      <c r="F93"/>
      <c r="G93"/>
    </row>
    <row r="94" spans="2:7">
      <c r="B94"/>
      <c r="C94"/>
      <c r="D94"/>
      <c r="E94"/>
      <c r="F94"/>
      <c r="G94"/>
    </row>
    <row r="95" spans="2:7">
      <c r="B95"/>
      <c r="C95"/>
      <c r="D95"/>
      <c r="E95"/>
      <c r="F95"/>
      <c r="G95"/>
    </row>
    <row r="96" spans="2:7">
      <c r="B96"/>
      <c r="C96"/>
      <c r="D96"/>
      <c r="E96"/>
      <c r="F96"/>
      <c r="G96"/>
    </row>
    <row r="97" spans="2:7">
      <c r="B97"/>
      <c r="C97"/>
      <c r="D97"/>
      <c r="E97"/>
      <c r="F97"/>
      <c r="G97"/>
    </row>
    <row r="98" spans="2:7">
      <c r="B98"/>
      <c r="C98"/>
      <c r="D98"/>
      <c r="E98"/>
      <c r="F98"/>
      <c r="G98"/>
    </row>
    <row r="99" spans="2:7">
      <c r="B99"/>
      <c r="C99"/>
      <c r="D99"/>
      <c r="E99"/>
      <c r="F99"/>
      <c r="G99"/>
    </row>
    <row r="100" spans="2:7">
      <c r="B100"/>
      <c r="C100"/>
      <c r="D100"/>
      <c r="E100"/>
      <c r="F100"/>
      <c r="G100"/>
    </row>
  </sheetData>
  <mergeCells count="14">
    <mergeCell ref="B10:G10"/>
    <mergeCell ref="J2:J6"/>
    <mergeCell ref="A5:B6"/>
    <mergeCell ref="H5:I6"/>
    <mergeCell ref="C7:C8"/>
    <mergeCell ref="E7:E8"/>
    <mergeCell ref="J7:J8"/>
    <mergeCell ref="H2:I4"/>
    <mergeCell ref="F7:F8"/>
    <mergeCell ref="H7:I8"/>
    <mergeCell ref="B2:D2"/>
    <mergeCell ref="E2:G4"/>
    <mergeCell ref="D7:D8"/>
    <mergeCell ref="G7:G8"/>
  </mergeCells>
  <phoneticPr fontId="0" type="noConversion"/>
  <printOptions horizontalCentered="1"/>
  <pageMargins left="0.75" right="0.75" top="1" bottom="1" header="0.5" footer="0.5"/>
  <pageSetup scale="74" fitToHeight="36" orientation="landscape" r:id="rId1"/>
  <headerFooter alignWithMargins="0">
    <oddHeader>&amp;L&amp;F&amp;C&amp;"Tahoma,Bold"&amp;11&amp;A&amp;R&amp;G</oddHeader>
    <oddFooter>&amp;C&amp;"Tahoma,Italic"Use or disclosure of the data on this page or screen is subject to the restrictions on the title page or opening view screen of this proposal document or file.&amp;R&amp;P of &amp;N</oddFooter>
  </headerFooter>
  <ignoredErrors>
    <ignoredError sqref="F12:G13" unlockedFormula="1"/>
  </ignoredErrors>
  <legacyDrawingHF r:id="rId2"/>
</worksheet>
</file>

<file path=xl/worksheets/sheet6.xml><?xml version="1.0" encoding="utf-8"?>
<worksheet xmlns="http://schemas.openxmlformats.org/spreadsheetml/2006/main" xmlns:r="http://schemas.openxmlformats.org/officeDocument/2006/relationships">
  <sheetPr>
    <tabColor rgb="FFFF0000"/>
  </sheetPr>
  <dimension ref="A1:K102"/>
  <sheetViews>
    <sheetView zoomScaleNormal="100" zoomScalePageLayoutView="75" workbookViewId="0">
      <selection activeCell="H2" sqref="H2:I6"/>
    </sheetView>
  </sheetViews>
  <sheetFormatPr defaultRowHeight="10.5"/>
  <cols>
    <col min="1" max="1" width="16.5" style="4" customWidth="1"/>
    <col min="2" max="2" width="23.1640625" style="190" customWidth="1"/>
    <col min="3" max="3" width="12.83203125" style="9" bestFit="1" customWidth="1"/>
    <col min="4" max="4" width="11.1640625" style="9" hidden="1" customWidth="1"/>
    <col min="5" max="5" width="11.1640625" style="9" customWidth="1"/>
    <col min="6" max="6" width="11.83203125" style="9" customWidth="1"/>
    <col min="7" max="7" width="10.6640625" style="9" hidden="1" customWidth="1"/>
    <col min="8" max="8" width="11.33203125" style="9" customWidth="1"/>
    <col min="9" max="9" width="20.33203125" style="9" customWidth="1"/>
    <col min="10" max="10" width="21" style="9" customWidth="1"/>
    <col min="11" max="254" width="9.33203125" style="4"/>
    <col min="255" max="255" width="16.5" style="4" customWidth="1"/>
    <col min="256" max="256" width="23.1640625" style="4" customWidth="1"/>
    <col min="257" max="257" width="12.83203125" style="4" bestFit="1" customWidth="1"/>
    <col min="258" max="258" width="11.1640625" style="4" customWidth="1"/>
    <col min="259" max="259" width="9.83203125" style="4" bestFit="1" customWidth="1"/>
    <col min="260" max="260" width="8.6640625" style="4" customWidth="1"/>
    <col min="261" max="261" width="10.6640625" style="4" customWidth="1"/>
    <col min="262" max="262" width="12" style="4" customWidth="1"/>
    <col min="263" max="263" width="10.33203125" style="4" bestFit="1" customWidth="1"/>
    <col min="264" max="264" width="11.33203125" style="4" customWidth="1"/>
    <col min="265" max="265" width="20.33203125" style="4" customWidth="1"/>
    <col min="266" max="266" width="21" style="4" customWidth="1"/>
    <col min="267" max="510" width="9.33203125" style="4"/>
    <col min="511" max="511" width="16.5" style="4" customWidth="1"/>
    <col min="512" max="512" width="23.1640625" style="4" customWidth="1"/>
    <col min="513" max="513" width="12.83203125" style="4" bestFit="1" customWidth="1"/>
    <col min="514" max="514" width="11.1640625" style="4" customWidth="1"/>
    <col min="515" max="515" width="9.83203125" style="4" bestFit="1" customWidth="1"/>
    <col min="516" max="516" width="8.6640625" style="4" customWidth="1"/>
    <col min="517" max="517" width="10.6640625" style="4" customWidth="1"/>
    <col min="518" max="518" width="12" style="4" customWidth="1"/>
    <col min="519" max="519" width="10.33203125" style="4" bestFit="1" customWidth="1"/>
    <col min="520" max="520" width="11.33203125" style="4" customWidth="1"/>
    <col min="521" max="521" width="20.33203125" style="4" customWidth="1"/>
    <col min="522" max="522" width="21" style="4" customWidth="1"/>
    <col min="523" max="766" width="9.33203125" style="4"/>
    <col min="767" max="767" width="16.5" style="4" customWidth="1"/>
    <col min="768" max="768" width="23.1640625" style="4" customWidth="1"/>
    <col min="769" max="769" width="12.83203125" style="4" bestFit="1" customWidth="1"/>
    <col min="770" max="770" width="11.1640625" style="4" customWidth="1"/>
    <col min="771" max="771" width="9.83203125" style="4" bestFit="1" customWidth="1"/>
    <col min="772" max="772" width="8.6640625" style="4" customWidth="1"/>
    <col min="773" max="773" width="10.6640625" style="4" customWidth="1"/>
    <col min="774" max="774" width="12" style="4" customWidth="1"/>
    <col min="775" max="775" width="10.33203125" style="4" bestFit="1" customWidth="1"/>
    <col min="776" max="776" width="11.33203125" style="4" customWidth="1"/>
    <col min="777" max="777" width="20.33203125" style="4" customWidth="1"/>
    <col min="778" max="778" width="21" style="4" customWidth="1"/>
    <col min="779" max="1022" width="9.33203125" style="4"/>
    <col min="1023" max="1023" width="16.5" style="4" customWidth="1"/>
    <col min="1024" max="1024" width="23.1640625" style="4" customWidth="1"/>
    <col min="1025" max="1025" width="12.83203125" style="4" bestFit="1" customWidth="1"/>
    <col min="1026" max="1026" width="11.1640625" style="4" customWidth="1"/>
    <col min="1027" max="1027" width="9.83203125" style="4" bestFit="1" customWidth="1"/>
    <col min="1028" max="1028" width="8.6640625" style="4" customWidth="1"/>
    <col min="1029" max="1029" width="10.6640625" style="4" customWidth="1"/>
    <col min="1030" max="1030" width="12" style="4" customWidth="1"/>
    <col min="1031" max="1031" width="10.33203125" style="4" bestFit="1" customWidth="1"/>
    <col min="1032" max="1032" width="11.33203125" style="4" customWidth="1"/>
    <col min="1033" max="1033" width="20.33203125" style="4" customWidth="1"/>
    <col min="1034" max="1034" width="21" style="4" customWidth="1"/>
    <col min="1035" max="1278" width="9.33203125" style="4"/>
    <col min="1279" max="1279" width="16.5" style="4" customWidth="1"/>
    <col min="1280" max="1280" width="23.1640625" style="4" customWidth="1"/>
    <col min="1281" max="1281" width="12.83203125" style="4" bestFit="1" customWidth="1"/>
    <col min="1282" max="1282" width="11.1640625" style="4" customWidth="1"/>
    <col min="1283" max="1283" width="9.83203125" style="4" bestFit="1" customWidth="1"/>
    <col min="1284" max="1284" width="8.6640625" style="4" customWidth="1"/>
    <col min="1285" max="1285" width="10.6640625" style="4" customWidth="1"/>
    <col min="1286" max="1286" width="12" style="4" customWidth="1"/>
    <col min="1287" max="1287" width="10.33203125" style="4" bestFit="1" customWidth="1"/>
    <col min="1288" max="1288" width="11.33203125" style="4" customWidth="1"/>
    <col min="1289" max="1289" width="20.33203125" style="4" customWidth="1"/>
    <col min="1290" max="1290" width="21" style="4" customWidth="1"/>
    <col min="1291" max="1534" width="9.33203125" style="4"/>
    <col min="1535" max="1535" width="16.5" style="4" customWidth="1"/>
    <col min="1536" max="1536" width="23.1640625" style="4" customWidth="1"/>
    <col min="1537" max="1537" width="12.83203125" style="4" bestFit="1" customWidth="1"/>
    <col min="1538" max="1538" width="11.1640625" style="4" customWidth="1"/>
    <col min="1539" max="1539" width="9.83203125" style="4" bestFit="1" customWidth="1"/>
    <col min="1540" max="1540" width="8.6640625" style="4" customWidth="1"/>
    <col min="1541" max="1541" width="10.6640625" style="4" customWidth="1"/>
    <col min="1542" max="1542" width="12" style="4" customWidth="1"/>
    <col min="1543" max="1543" width="10.33203125" style="4" bestFit="1" customWidth="1"/>
    <col min="1544" max="1544" width="11.33203125" style="4" customWidth="1"/>
    <col min="1545" max="1545" width="20.33203125" style="4" customWidth="1"/>
    <col min="1546" max="1546" width="21" style="4" customWidth="1"/>
    <col min="1547" max="1790" width="9.33203125" style="4"/>
    <col min="1791" max="1791" width="16.5" style="4" customWidth="1"/>
    <col min="1792" max="1792" width="23.1640625" style="4" customWidth="1"/>
    <col min="1793" max="1793" width="12.83203125" style="4" bestFit="1" customWidth="1"/>
    <col min="1794" max="1794" width="11.1640625" style="4" customWidth="1"/>
    <col min="1795" max="1795" width="9.83203125" style="4" bestFit="1" customWidth="1"/>
    <col min="1796" max="1796" width="8.6640625" style="4" customWidth="1"/>
    <col min="1797" max="1797" width="10.6640625" style="4" customWidth="1"/>
    <col min="1798" max="1798" width="12" style="4" customWidth="1"/>
    <col min="1799" max="1799" width="10.33203125" style="4" bestFit="1" customWidth="1"/>
    <col min="1800" max="1800" width="11.33203125" style="4" customWidth="1"/>
    <col min="1801" max="1801" width="20.33203125" style="4" customWidth="1"/>
    <col min="1802" max="1802" width="21" style="4" customWidth="1"/>
    <col min="1803" max="2046" width="9.33203125" style="4"/>
    <col min="2047" max="2047" width="16.5" style="4" customWidth="1"/>
    <col min="2048" max="2048" width="23.1640625" style="4" customWidth="1"/>
    <col min="2049" max="2049" width="12.83203125" style="4" bestFit="1" customWidth="1"/>
    <col min="2050" max="2050" width="11.1640625" style="4" customWidth="1"/>
    <col min="2051" max="2051" width="9.83203125" style="4" bestFit="1" customWidth="1"/>
    <col min="2052" max="2052" width="8.6640625" style="4" customWidth="1"/>
    <col min="2053" max="2053" width="10.6640625" style="4" customWidth="1"/>
    <col min="2054" max="2054" width="12" style="4" customWidth="1"/>
    <col min="2055" max="2055" width="10.33203125" style="4" bestFit="1" customWidth="1"/>
    <col min="2056" max="2056" width="11.33203125" style="4" customWidth="1"/>
    <col min="2057" max="2057" width="20.33203125" style="4" customWidth="1"/>
    <col min="2058" max="2058" width="21" style="4" customWidth="1"/>
    <col min="2059" max="2302" width="9.33203125" style="4"/>
    <col min="2303" max="2303" width="16.5" style="4" customWidth="1"/>
    <col min="2304" max="2304" width="23.1640625" style="4" customWidth="1"/>
    <col min="2305" max="2305" width="12.83203125" style="4" bestFit="1" customWidth="1"/>
    <col min="2306" max="2306" width="11.1640625" style="4" customWidth="1"/>
    <col min="2307" max="2307" width="9.83203125" style="4" bestFit="1" customWidth="1"/>
    <col min="2308" max="2308" width="8.6640625" style="4" customWidth="1"/>
    <col min="2309" max="2309" width="10.6640625" style="4" customWidth="1"/>
    <col min="2310" max="2310" width="12" style="4" customWidth="1"/>
    <col min="2311" max="2311" width="10.33203125" style="4" bestFit="1" customWidth="1"/>
    <col min="2312" max="2312" width="11.33203125" style="4" customWidth="1"/>
    <col min="2313" max="2313" width="20.33203125" style="4" customWidth="1"/>
    <col min="2314" max="2314" width="21" style="4" customWidth="1"/>
    <col min="2315" max="2558" width="9.33203125" style="4"/>
    <col min="2559" max="2559" width="16.5" style="4" customWidth="1"/>
    <col min="2560" max="2560" width="23.1640625" style="4" customWidth="1"/>
    <col min="2561" max="2561" width="12.83203125" style="4" bestFit="1" customWidth="1"/>
    <col min="2562" max="2562" width="11.1640625" style="4" customWidth="1"/>
    <col min="2563" max="2563" width="9.83203125" style="4" bestFit="1" customWidth="1"/>
    <col min="2564" max="2564" width="8.6640625" style="4" customWidth="1"/>
    <col min="2565" max="2565" width="10.6640625" style="4" customWidth="1"/>
    <col min="2566" max="2566" width="12" style="4" customWidth="1"/>
    <col min="2567" max="2567" width="10.33203125" style="4" bestFit="1" customWidth="1"/>
    <col min="2568" max="2568" width="11.33203125" style="4" customWidth="1"/>
    <col min="2569" max="2569" width="20.33203125" style="4" customWidth="1"/>
    <col min="2570" max="2570" width="21" style="4" customWidth="1"/>
    <col min="2571" max="2814" width="9.33203125" style="4"/>
    <col min="2815" max="2815" width="16.5" style="4" customWidth="1"/>
    <col min="2816" max="2816" width="23.1640625" style="4" customWidth="1"/>
    <col min="2817" max="2817" width="12.83203125" style="4" bestFit="1" customWidth="1"/>
    <col min="2818" max="2818" width="11.1640625" style="4" customWidth="1"/>
    <col min="2819" max="2819" width="9.83203125" style="4" bestFit="1" customWidth="1"/>
    <col min="2820" max="2820" width="8.6640625" style="4" customWidth="1"/>
    <col min="2821" max="2821" width="10.6640625" style="4" customWidth="1"/>
    <col min="2822" max="2822" width="12" style="4" customWidth="1"/>
    <col min="2823" max="2823" width="10.33203125" style="4" bestFit="1" customWidth="1"/>
    <col min="2824" max="2824" width="11.33203125" style="4" customWidth="1"/>
    <col min="2825" max="2825" width="20.33203125" style="4" customWidth="1"/>
    <col min="2826" max="2826" width="21" style="4" customWidth="1"/>
    <col min="2827" max="3070" width="9.33203125" style="4"/>
    <col min="3071" max="3071" width="16.5" style="4" customWidth="1"/>
    <col min="3072" max="3072" width="23.1640625" style="4" customWidth="1"/>
    <col min="3073" max="3073" width="12.83203125" style="4" bestFit="1" customWidth="1"/>
    <col min="3074" max="3074" width="11.1640625" style="4" customWidth="1"/>
    <col min="3075" max="3075" width="9.83203125" style="4" bestFit="1" customWidth="1"/>
    <col min="3076" max="3076" width="8.6640625" style="4" customWidth="1"/>
    <col min="3077" max="3077" width="10.6640625" style="4" customWidth="1"/>
    <col min="3078" max="3078" width="12" style="4" customWidth="1"/>
    <col min="3079" max="3079" width="10.33203125" style="4" bestFit="1" customWidth="1"/>
    <col min="3080" max="3080" width="11.33203125" style="4" customWidth="1"/>
    <col min="3081" max="3081" width="20.33203125" style="4" customWidth="1"/>
    <col min="3082" max="3082" width="21" style="4" customWidth="1"/>
    <col min="3083" max="3326" width="9.33203125" style="4"/>
    <col min="3327" max="3327" width="16.5" style="4" customWidth="1"/>
    <col min="3328" max="3328" width="23.1640625" style="4" customWidth="1"/>
    <col min="3329" max="3329" width="12.83203125" style="4" bestFit="1" customWidth="1"/>
    <col min="3330" max="3330" width="11.1640625" style="4" customWidth="1"/>
    <col min="3331" max="3331" width="9.83203125" style="4" bestFit="1" customWidth="1"/>
    <col min="3332" max="3332" width="8.6640625" style="4" customWidth="1"/>
    <col min="3333" max="3333" width="10.6640625" style="4" customWidth="1"/>
    <col min="3334" max="3334" width="12" style="4" customWidth="1"/>
    <col min="3335" max="3335" width="10.33203125" style="4" bestFit="1" customWidth="1"/>
    <col min="3336" max="3336" width="11.33203125" style="4" customWidth="1"/>
    <col min="3337" max="3337" width="20.33203125" style="4" customWidth="1"/>
    <col min="3338" max="3338" width="21" style="4" customWidth="1"/>
    <col min="3339" max="3582" width="9.33203125" style="4"/>
    <col min="3583" max="3583" width="16.5" style="4" customWidth="1"/>
    <col min="3584" max="3584" width="23.1640625" style="4" customWidth="1"/>
    <col min="3585" max="3585" width="12.83203125" style="4" bestFit="1" customWidth="1"/>
    <col min="3586" max="3586" width="11.1640625" style="4" customWidth="1"/>
    <col min="3587" max="3587" width="9.83203125" style="4" bestFit="1" customWidth="1"/>
    <col min="3588" max="3588" width="8.6640625" style="4" customWidth="1"/>
    <col min="3589" max="3589" width="10.6640625" style="4" customWidth="1"/>
    <col min="3590" max="3590" width="12" style="4" customWidth="1"/>
    <col min="3591" max="3591" width="10.33203125" style="4" bestFit="1" customWidth="1"/>
    <col min="3592" max="3592" width="11.33203125" style="4" customWidth="1"/>
    <col min="3593" max="3593" width="20.33203125" style="4" customWidth="1"/>
    <col min="3594" max="3594" width="21" style="4" customWidth="1"/>
    <col min="3595" max="3838" width="9.33203125" style="4"/>
    <col min="3839" max="3839" width="16.5" style="4" customWidth="1"/>
    <col min="3840" max="3840" width="23.1640625" style="4" customWidth="1"/>
    <col min="3841" max="3841" width="12.83203125" style="4" bestFit="1" customWidth="1"/>
    <col min="3842" max="3842" width="11.1640625" style="4" customWidth="1"/>
    <col min="3843" max="3843" width="9.83203125" style="4" bestFit="1" customWidth="1"/>
    <col min="3844" max="3844" width="8.6640625" style="4" customWidth="1"/>
    <col min="3845" max="3845" width="10.6640625" style="4" customWidth="1"/>
    <col min="3846" max="3846" width="12" style="4" customWidth="1"/>
    <col min="3847" max="3847" width="10.33203125" style="4" bestFit="1" customWidth="1"/>
    <col min="3848" max="3848" width="11.33203125" style="4" customWidth="1"/>
    <col min="3849" max="3849" width="20.33203125" style="4" customWidth="1"/>
    <col min="3850" max="3850" width="21" style="4" customWidth="1"/>
    <col min="3851" max="4094" width="9.33203125" style="4"/>
    <col min="4095" max="4095" width="16.5" style="4" customWidth="1"/>
    <col min="4096" max="4096" width="23.1640625" style="4" customWidth="1"/>
    <col min="4097" max="4097" width="12.83203125" style="4" bestFit="1" customWidth="1"/>
    <col min="4098" max="4098" width="11.1640625" style="4" customWidth="1"/>
    <col min="4099" max="4099" width="9.83203125" style="4" bestFit="1" customWidth="1"/>
    <col min="4100" max="4100" width="8.6640625" style="4" customWidth="1"/>
    <col min="4101" max="4101" width="10.6640625" style="4" customWidth="1"/>
    <col min="4102" max="4102" width="12" style="4" customWidth="1"/>
    <col min="4103" max="4103" width="10.33203125" style="4" bestFit="1" customWidth="1"/>
    <col min="4104" max="4104" width="11.33203125" style="4" customWidth="1"/>
    <col min="4105" max="4105" width="20.33203125" style="4" customWidth="1"/>
    <col min="4106" max="4106" width="21" style="4" customWidth="1"/>
    <col min="4107" max="4350" width="9.33203125" style="4"/>
    <col min="4351" max="4351" width="16.5" style="4" customWidth="1"/>
    <col min="4352" max="4352" width="23.1640625" style="4" customWidth="1"/>
    <col min="4353" max="4353" width="12.83203125" style="4" bestFit="1" customWidth="1"/>
    <col min="4354" max="4354" width="11.1640625" style="4" customWidth="1"/>
    <col min="4355" max="4355" width="9.83203125" style="4" bestFit="1" customWidth="1"/>
    <col min="4356" max="4356" width="8.6640625" style="4" customWidth="1"/>
    <col min="4357" max="4357" width="10.6640625" style="4" customWidth="1"/>
    <col min="4358" max="4358" width="12" style="4" customWidth="1"/>
    <col min="4359" max="4359" width="10.33203125" style="4" bestFit="1" customWidth="1"/>
    <col min="4360" max="4360" width="11.33203125" style="4" customWidth="1"/>
    <col min="4361" max="4361" width="20.33203125" style="4" customWidth="1"/>
    <col min="4362" max="4362" width="21" style="4" customWidth="1"/>
    <col min="4363" max="4606" width="9.33203125" style="4"/>
    <col min="4607" max="4607" width="16.5" style="4" customWidth="1"/>
    <col min="4608" max="4608" width="23.1640625" style="4" customWidth="1"/>
    <col min="4609" max="4609" width="12.83203125" style="4" bestFit="1" customWidth="1"/>
    <col min="4610" max="4610" width="11.1640625" style="4" customWidth="1"/>
    <col min="4611" max="4611" width="9.83203125" style="4" bestFit="1" customWidth="1"/>
    <col min="4612" max="4612" width="8.6640625" style="4" customWidth="1"/>
    <col min="4613" max="4613" width="10.6640625" style="4" customWidth="1"/>
    <col min="4614" max="4614" width="12" style="4" customWidth="1"/>
    <col min="4615" max="4615" width="10.33203125" style="4" bestFit="1" customWidth="1"/>
    <col min="4616" max="4616" width="11.33203125" style="4" customWidth="1"/>
    <col min="4617" max="4617" width="20.33203125" style="4" customWidth="1"/>
    <col min="4618" max="4618" width="21" style="4" customWidth="1"/>
    <col min="4619" max="4862" width="9.33203125" style="4"/>
    <col min="4863" max="4863" width="16.5" style="4" customWidth="1"/>
    <col min="4864" max="4864" width="23.1640625" style="4" customWidth="1"/>
    <col min="4865" max="4865" width="12.83203125" style="4" bestFit="1" customWidth="1"/>
    <col min="4866" max="4866" width="11.1640625" style="4" customWidth="1"/>
    <col min="4867" max="4867" width="9.83203125" style="4" bestFit="1" customWidth="1"/>
    <col min="4868" max="4868" width="8.6640625" style="4" customWidth="1"/>
    <col min="4869" max="4869" width="10.6640625" style="4" customWidth="1"/>
    <col min="4870" max="4870" width="12" style="4" customWidth="1"/>
    <col min="4871" max="4871" width="10.33203125" style="4" bestFit="1" customWidth="1"/>
    <col min="4872" max="4872" width="11.33203125" style="4" customWidth="1"/>
    <col min="4873" max="4873" width="20.33203125" style="4" customWidth="1"/>
    <col min="4874" max="4874" width="21" style="4" customWidth="1"/>
    <col min="4875" max="5118" width="9.33203125" style="4"/>
    <col min="5119" max="5119" width="16.5" style="4" customWidth="1"/>
    <col min="5120" max="5120" width="23.1640625" style="4" customWidth="1"/>
    <col min="5121" max="5121" width="12.83203125" style="4" bestFit="1" customWidth="1"/>
    <col min="5122" max="5122" width="11.1640625" style="4" customWidth="1"/>
    <col min="5123" max="5123" width="9.83203125" style="4" bestFit="1" customWidth="1"/>
    <col min="5124" max="5124" width="8.6640625" style="4" customWidth="1"/>
    <col min="5125" max="5125" width="10.6640625" style="4" customWidth="1"/>
    <col min="5126" max="5126" width="12" style="4" customWidth="1"/>
    <col min="5127" max="5127" width="10.33203125" style="4" bestFit="1" customWidth="1"/>
    <col min="5128" max="5128" width="11.33203125" style="4" customWidth="1"/>
    <col min="5129" max="5129" width="20.33203125" style="4" customWidth="1"/>
    <col min="5130" max="5130" width="21" style="4" customWidth="1"/>
    <col min="5131" max="5374" width="9.33203125" style="4"/>
    <col min="5375" max="5375" width="16.5" style="4" customWidth="1"/>
    <col min="5376" max="5376" width="23.1640625" style="4" customWidth="1"/>
    <col min="5377" max="5377" width="12.83203125" style="4" bestFit="1" customWidth="1"/>
    <col min="5378" max="5378" width="11.1640625" style="4" customWidth="1"/>
    <col min="5379" max="5379" width="9.83203125" style="4" bestFit="1" customWidth="1"/>
    <col min="5380" max="5380" width="8.6640625" style="4" customWidth="1"/>
    <col min="5381" max="5381" width="10.6640625" style="4" customWidth="1"/>
    <col min="5382" max="5382" width="12" style="4" customWidth="1"/>
    <col min="5383" max="5383" width="10.33203125" style="4" bestFit="1" customWidth="1"/>
    <col min="5384" max="5384" width="11.33203125" style="4" customWidth="1"/>
    <col min="5385" max="5385" width="20.33203125" style="4" customWidth="1"/>
    <col min="5386" max="5386" width="21" style="4" customWidth="1"/>
    <col min="5387" max="5630" width="9.33203125" style="4"/>
    <col min="5631" max="5631" width="16.5" style="4" customWidth="1"/>
    <col min="5632" max="5632" width="23.1640625" style="4" customWidth="1"/>
    <col min="5633" max="5633" width="12.83203125" style="4" bestFit="1" customWidth="1"/>
    <col min="5634" max="5634" width="11.1640625" style="4" customWidth="1"/>
    <col min="5635" max="5635" width="9.83203125" style="4" bestFit="1" customWidth="1"/>
    <col min="5636" max="5636" width="8.6640625" style="4" customWidth="1"/>
    <col min="5637" max="5637" width="10.6640625" style="4" customWidth="1"/>
    <col min="5638" max="5638" width="12" style="4" customWidth="1"/>
    <col min="5639" max="5639" width="10.33203125" style="4" bestFit="1" customWidth="1"/>
    <col min="5640" max="5640" width="11.33203125" style="4" customWidth="1"/>
    <col min="5641" max="5641" width="20.33203125" style="4" customWidth="1"/>
    <col min="5642" max="5642" width="21" style="4" customWidth="1"/>
    <col min="5643" max="5886" width="9.33203125" style="4"/>
    <col min="5887" max="5887" width="16.5" style="4" customWidth="1"/>
    <col min="5888" max="5888" width="23.1640625" style="4" customWidth="1"/>
    <col min="5889" max="5889" width="12.83203125" style="4" bestFit="1" customWidth="1"/>
    <col min="5890" max="5890" width="11.1640625" style="4" customWidth="1"/>
    <col min="5891" max="5891" width="9.83203125" style="4" bestFit="1" customWidth="1"/>
    <col min="5892" max="5892" width="8.6640625" style="4" customWidth="1"/>
    <col min="5893" max="5893" width="10.6640625" style="4" customWidth="1"/>
    <col min="5894" max="5894" width="12" style="4" customWidth="1"/>
    <col min="5895" max="5895" width="10.33203125" style="4" bestFit="1" customWidth="1"/>
    <col min="5896" max="5896" width="11.33203125" style="4" customWidth="1"/>
    <col min="5897" max="5897" width="20.33203125" style="4" customWidth="1"/>
    <col min="5898" max="5898" width="21" style="4" customWidth="1"/>
    <col min="5899" max="6142" width="9.33203125" style="4"/>
    <col min="6143" max="6143" width="16.5" style="4" customWidth="1"/>
    <col min="6144" max="6144" width="23.1640625" style="4" customWidth="1"/>
    <col min="6145" max="6145" width="12.83203125" style="4" bestFit="1" customWidth="1"/>
    <col min="6146" max="6146" width="11.1640625" style="4" customWidth="1"/>
    <col min="6147" max="6147" width="9.83203125" style="4" bestFit="1" customWidth="1"/>
    <col min="6148" max="6148" width="8.6640625" style="4" customWidth="1"/>
    <col min="6149" max="6149" width="10.6640625" style="4" customWidth="1"/>
    <col min="6150" max="6150" width="12" style="4" customWidth="1"/>
    <col min="6151" max="6151" width="10.33203125" style="4" bestFit="1" customWidth="1"/>
    <col min="6152" max="6152" width="11.33203125" style="4" customWidth="1"/>
    <col min="6153" max="6153" width="20.33203125" style="4" customWidth="1"/>
    <col min="6154" max="6154" width="21" style="4" customWidth="1"/>
    <col min="6155" max="6398" width="9.33203125" style="4"/>
    <col min="6399" max="6399" width="16.5" style="4" customWidth="1"/>
    <col min="6400" max="6400" width="23.1640625" style="4" customWidth="1"/>
    <col min="6401" max="6401" width="12.83203125" style="4" bestFit="1" customWidth="1"/>
    <col min="6402" max="6402" width="11.1640625" style="4" customWidth="1"/>
    <col min="6403" max="6403" width="9.83203125" style="4" bestFit="1" customWidth="1"/>
    <col min="6404" max="6404" width="8.6640625" style="4" customWidth="1"/>
    <col min="6405" max="6405" width="10.6640625" style="4" customWidth="1"/>
    <col min="6406" max="6406" width="12" style="4" customWidth="1"/>
    <col min="6407" max="6407" width="10.33203125" style="4" bestFit="1" customWidth="1"/>
    <col min="6408" max="6408" width="11.33203125" style="4" customWidth="1"/>
    <col min="6409" max="6409" width="20.33203125" style="4" customWidth="1"/>
    <col min="6410" max="6410" width="21" style="4" customWidth="1"/>
    <col min="6411" max="6654" width="9.33203125" style="4"/>
    <col min="6655" max="6655" width="16.5" style="4" customWidth="1"/>
    <col min="6656" max="6656" width="23.1640625" style="4" customWidth="1"/>
    <col min="6657" max="6657" width="12.83203125" style="4" bestFit="1" customWidth="1"/>
    <col min="6658" max="6658" width="11.1640625" style="4" customWidth="1"/>
    <col min="6659" max="6659" width="9.83203125" style="4" bestFit="1" customWidth="1"/>
    <col min="6660" max="6660" width="8.6640625" style="4" customWidth="1"/>
    <col min="6661" max="6661" width="10.6640625" style="4" customWidth="1"/>
    <col min="6662" max="6662" width="12" style="4" customWidth="1"/>
    <col min="6663" max="6663" width="10.33203125" style="4" bestFit="1" customWidth="1"/>
    <col min="6664" max="6664" width="11.33203125" style="4" customWidth="1"/>
    <col min="6665" max="6665" width="20.33203125" style="4" customWidth="1"/>
    <col min="6666" max="6666" width="21" style="4" customWidth="1"/>
    <col min="6667" max="6910" width="9.33203125" style="4"/>
    <col min="6911" max="6911" width="16.5" style="4" customWidth="1"/>
    <col min="6912" max="6912" width="23.1640625" style="4" customWidth="1"/>
    <col min="6913" max="6913" width="12.83203125" style="4" bestFit="1" customWidth="1"/>
    <col min="6914" max="6914" width="11.1640625" style="4" customWidth="1"/>
    <col min="6915" max="6915" width="9.83203125" style="4" bestFit="1" customWidth="1"/>
    <col min="6916" max="6916" width="8.6640625" style="4" customWidth="1"/>
    <col min="6917" max="6917" width="10.6640625" style="4" customWidth="1"/>
    <col min="6918" max="6918" width="12" style="4" customWidth="1"/>
    <col min="6919" max="6919" width="10.33203125" style="4" bestFit="1" customWidth="1"/>
    <col min="6920" max="6920" width="11.33203125" style="4" customWidth="1"/>
    <col min="6921" max="6921" width="20.33203125" style="4" customWidth="1"/>
    <col min="6922" max="6922" width="21" style="4" customWidth="1"/>
    <col min="6923" max="7166" width="9.33203125" style="4"/>
    <col min="7167" max="7167" width="16.5" style="4" customWidth="1"/>
    <col min="7168" max="7168" width="23.1640625" style="4" customWidth="1"/>
    <col min="7169" max="7169" width="12.83203125" style="4" bestFit="1" customWidth="1"/>
    <col min="7170" max="7170" width="11.1640625" style="4" customWidth="1"/>
    <col min="7171" max="7171" width="9.83203125" style="4" bestFit="1" customWidth="1"/>
    <col min="7172" max="7172" width="8.6640625" style="4" customWidth="1"/>
    <col min="7173" max="7173" width="10.6640625" style="4" customWidth="1"/>
    <col min="7174" max="7174" width="12" style="4" customWidth="1"/>
    <col min="7175" max="7175" width="10.33203125" style="4" bestFit="1" customWidth="1"/>
    <col min="7176" max="7176" width="11.33203125" style="4" customWidth="1"/>
    <col min="7177" max="7177" width="20.33203125" style="4" customWidth="1"/>
    <col min="7178" max="7178" width="21" style="4" customWidth="1"/>
    <col min="7179" max="7422" width="9.33203125" style="4"/>
    <col min="7423" max="7423" width="16.5" style="4" customWidth="1"/>
    <col min="7424" max="7424" width="23.1640625" style="4" customWidth="1"/>
    <col min="7425" max="7425" width="12.83203125" style="4" bestFit="1" customWidth="1"/>
    <col min="7426" max="7426" width="11.1640625" style="4" customWidth="1"/>
    <col min="7427" max="7427" width="9.83203125" style="4" bestFit="1" customWidth="1"/>
    <col min="7428" max="7428" width="8.6640625" style="4" customWidth="1"/>
    <col min="7429" max="7429" width="10.6640625" style="4" customWidth="1"/>
    <col min="7430" max="7430" width="12" style="4" customWidth="1"/>
    <col min="7431" max="7431" width="10.33203125" style="4" bestFit="1" customWidth="1"/>
    <col min="7432" max="7432" width="11.33203125" style="4" customWidth="1"/>
    <col min="7433" max="7433" width="20.33203125" style="4" customWidth="1"/>
    <col min="7434" max="7434" width="21" style="4" customWidth="1"/>
    <col min="7435" max="7678" width="9.33203125" style="4"/>
    <col min="7679" max="7679" width="16.5" style="4" customWidth="1"/>
    <col min="7680" max="7680" width="23.1640625" style="4" customWidth="1"/>
    <col min="7681" max="7681" width="12.83203125" style="4" bestFit="1" customWidth="1"/>
    <col min="7682" max="7682" width="11.1640625" style="4" customWidth="1"/>
    <col min="7683" max="7683" width="9.83203125" style="4" bestFit="1" customWidth="1"/>
    <col min="7684" max="7684" width="8.6640625" style="4" customWidth="1"/>
    <col min="7685" max="7685" width="10.6640625" style="4" customWidth="1"/>
    <col min="7686" max="7686" width="12" style="4" customWidth="1"/>
    <col min="7687" max="7687" width="10.33203125" style="4" bestFit="1" customWidth="1"/>
    <col min="7688" max="7688" width="11.33203125" style="4" customWidth="1"/>
    <col min="7689" max="7689" width="20.33203125" style="4" customWidth="1"/>
    <col min="7690" max="7690" width="21" style="4" customWidth="1"/>
    <col min="7691" max="7934" width="9.33203125" style="4"/>
    <col min="7935" max="7935" width="16.5" style="4" customWidth="1"/>
    <col min="7936" max="7936" width="23.1640625" style="4" customWidth="1"/>
    <col min="7937" max="7937" width="12.83203125" style="4" bestFit="1" customWidth="1"/>
    <col min="7938" max="7938" width="11.1640625" style="4" customWidth="1"/>
    <col min="7939" max="7939" width="9.83203125" style="4" bestFit="1" customWidth="1"/>
    <col min="7940" max="7940" width="8.6640625" style="4" customWidth="1"/>
    <col min="7941" max="7941" width="10.6640625" style="4" customWidth="1"/>
    <col min="7942" max="7942" width="12" style="4" customWidth="1"/>
    <col min="7943" max="7943" width="10.33203125" style="4" bestFit="1" customWidth="1"/>
    <col min="7944" max="7944" width="11.33203125" style="4" customWidth="1"/>
    <col min="7945" max="7945" width="20.33203125" style="4" customWidth="1"/>
    <col min="7946" max="7946" width="21" style="4" customWidth="1"/>
    <col min="7947" max="8190" width="9.33203125" style="4"/>
    <col min="8191" max="8191" width="16.5" style="4" customWidth="1"/>
    <col min="8192" max="8192" width="23.1640625" style="4" customWidth="1"/>
    <col min="8193" max="8193" width="12.83203125" style="4" bestFit="1" customWidth="1"/>
    <col min="8194" max="8194" width="11.1640625" style="4" customWidth="1"/>
    <col min="8195" max="8195" width="9.83203125" style="4" bestFit="1" customWidth="1"/>
    <col min="8196" max="8196" width="8.6640625" style="4" customWidth="1"/>
    <col min="8197" max="8197" width="10.6640625" style="4" customWidth="1"/>
    <col min="8198" max="8198" width="12" style="4" customWidth="1"/>
    <col min="8199" max="8199" width="10.33203125" style="4" bestFit="1" customWidth="1"/>
    <col min="8200" max="8200" width="11.33203125" style="4" customWidth="1"/>
    <col min="8201" max="8201" width="20.33203125" style="4" customWidth="1"/>
    <col min="8202" max="8202" width="21" style="4" customWidth="1"/>
    <col min="8203" max="8446" width="9.33203125" style="4"/>
    <col min="8447" max="8447" width="16.5" style="4" customWidth="1"/>
    <col min="8448" max="8448" width="23.1640625" style="4" customWidth="1"/>
    <col min="8449" max="8449" width="12.83203125" style="4" bestFit="1" customWidth="1"/>
    <col min="8450" max="8450" width="11.1640625" style="4" customWidth="1"/>
    <col min="8451" max="8451" width="9.83203125" style="4" bestFit="1" customWidth="1"/>
    <col min="8452" max="8452" width="8.6640625" style="4" customWidth="1"/>
    <col min="8453" max="8453" width="10.6640625" style="4" customWidth="1"/>
    <col min="8454" max="8454" width="12" style="4" customWidth="1"/>
    <col min="8455" max="8455" width="10.33203125" style="4" bestFit="1" customWidth="1"/>
    <col min="8456" max="8456" width="11.33203125" style="4" customWidth="1"/>
    <col min="8457" max="8457" width="20.33203125" style="4" customWidth="1"/>
    <col min="8458" max="8458" width="21" style="4" customWidth="1"/>
    <col min="8459" max="8702" width="9.33203125" style="4"/>
    <col min="8703" max="8703" width="16.5" style="4" customWidth="1"/>
    <col min="8704" max="8704" width="23.1640625" style="4" customWidth="1"/>
    <col min="8705" max="8705" width="12.83203125" style="4" bestFit="1" customWidth="1"/>
    <col min="8706" max="8706" width="11.1640625" style="4" customWidth="1"/>
    <col min="8707" max="8707" width="9.83203125" style="4" bestFit="1" customWidth="1"/>
    <col min="8708" max="8708" width="8.6640625" style="4" customWidth="1"/>
    <col min="8709" max="8709" width="10.6640625" style="4" customWidth="1"/>
    <col min="8710" max="8710" width="12" style="4" customWidth="1"/>
    <col min="8711" max="8711" width="10.33203125" style="4" bestFit="1" customWidth="1"/>
    <col min="8712" max="8712" width="11.33203125" style="4" customWidth="1"/>
    <col min="8713" max="8713" width="20.33203125" style="4" customWidth="1"/>
    <col min="8714" max="8714" width="21" style="4" customWidth="1"/>
    <col min="8715" max="8958" width="9.33203125" style="4"/>
    <col min="8959" max="8959" width="16.5" style="4" customWidth="1"/>
    <col min="8960" max="8960" width="23.1640625" style="4" customWidth="1"/>
    <col min="8961" max="8961" width="12.83203125" style="4" bestFit="1" customWidth="1"/>
    <col min="8962" max="8962" width="11.1640625" style="4" customWidth="1"/>
    <col min="8963" max="8963" width="9.83203125" style="4" bestFit="1" customWidth="1"/>
    <col min="8964" max="8964" width="8.6640625" style="4" customWidth="1"/>
    <col min="8965" max="8965" width="10.6640625" style="4" customWidth="1"/>
    <col min="8966" max="8966" width="12" style="4" customWidth="1"/>
    <col min="8967" max="8967" width="10.33203125" style="4" bestFit="1" customWidth="1"/>
    <col min="8968" max="8968" width="11.33203125" style="4" customWidth="1"/>
    <col min="8969" max="8969" width="20.33203125" style="4" customWidth="1"/>
    <col min="8970" max="8970" width="21" style="4" customWidth="1"/>
    <col min="8971" max="9214" width="9.33203125" style="4"/>
    <col min="9215" max="9215" width="16.5" style="4" customWidth="1"/>
    <col min="9216" max="9216" width="23.1640625" style="4" customWidth="1"/>
    <col min="9217" max="9217" width="12.83203125" style="4" bestFit="1" customWidth="1"/>
    <col min="9218" max="9218" width="11.1640625" style="4" customWidth="1"/>
    <col min="9219" max="9219" width="9.83203125" style="4" bestFit="1" customWidth="1"/>
    <col min="9220" max="9220" width="8.6640625" style="4" customWidth="1"/>
    <col min="9221" max="9221" width="10.6640625" style="4" customWidth="1"/>
    <col min="9222" max="9222" width="12" style="4" customWidth="1"/>
    <col min="9223" max="9223" width="10.33203125" style="4" bestFit="1" customWidth="1"/>
    <col min="9224" max="9224" width="11.33203125" style="4" customWidth="1"/>
    <col min="9225" max="9225" width="20.33203125" style="4" customWidth="1"/>
    <col min="9226" max="9226" width="21" style="4" customWidth="1"/>
    <col min="9227" max="9470" width="9.33203125" style="4"/>
    <col min="9471" max="9471" width="16.5" style="4" customWidth="1"/>
    <col min="9472" max="9472" width="23.1640625" style="4" customWidth="1"/>
    <col min="9473" max="9473" width="12.83203125" style="4" bestFit="1" customWidth="1"/>
    <col min="9474" max="9474" width="11.1640625" style="4" customWidth="1"/>
    <col min="9475" max="9475" width="9.83203125" style="4" bestFit="1" customWidth="1"/>
    <col min="9476" max="9476" width="8.6640625" style="4" customWidth="1"/>
    <col min="9477" max="9477" width="10.6640625" style="4" customWidth="1"/>
    <col min="9478" max="9478" width="12" style="4" customWidth="1"/>
    <col min="9479" max="9479" width="10.33203125" style="4" bestFit="1" customWidth="1"/>
    <col min="9480" max="9480" width="11.33203125" style="4" customWidth="1"/>
    <col min="9481" max="9481" width="20.33203125" style="4" customWidth="1"/>
    <col min="9482" max="9482" width="21" style="4" customWidth="1"/>
    <col min="9483" max="9726" width="9.33203125" style="4"/>
    <col min="9727" max="9727" width="16.5" style="4" customWidth="1"/>
    <col min="9728" max="9728" width="23.1640625" style="4" customWidth="1"/>
    <col min="9729" max="9729" width="12.83203125" style="4" bestFit="1" customWidth="1"/>
    <col min="9730" max="9730" width="11.1640625" style="4" customWidth="1"/>
    <col min="9731" max="9731" width="9.83203125" style="4" bestFit="1" customWidth="1"/>
    <col min="9732" max="9732" width="8.6640625" style="4" customWidth="1"/>
    <col min="9733" max="9733" width="10.6640625" style="4" customWidth="1"/>
    <col min="9734" max="9734" width="12" style="4" customWidth="1"/>
    <col min="9735" max="9735" width="10.33203125" style="4" bestFit="1" customWidth="1"/>
    <col min="9736" max="9736" width="11.33203125" style="4" customWidth="1"/>
    <col min="9737" max="9737" width="20.33203125" style="4" customWidth="1"/>
    <col min="9738" max="9738" width="21" style="4" customWidth="1"/>
    <col min="9739" max="9982" width="9.33203125" style="4"/>
    <col min="9983" max="9983" width="16.5" style="4" customWidth="1"/>
    <col min="9984" max="9984" width="23.1640625" style="4" customWidth="1"/>
    <col min="9985" max="9985" width="12.83203125" style="4" bestFit="1" customWidth="1"/>
    <col min="9986" max="9986" width="11.1640625" style="4" customWidth="1"/>
    <col min="9987" max="9987" width="9.83203125" style="4" bestFit="1" customWidth="1"/>
    <col min="9988" max="9988" width="8.6640625" style="4" customWidth="1"/>
    <col min="9989" max="9989" width="10.6640625" style="4" customWidth="1"/>
    <col min="9990" max="9990" width="12" style="4" customWidth="1"/>
    <col min="9991" max="9991" width="10.33203125" style="4" bestFit="1" customWidth="1"/>
    <col min="9992" max="9992" width="11.33203125" style="4" customWidth="1"/>
    <col min="9993" max="9993" width="20.33203125" style="4" customWidth="1"/>
    <col min="9994" max="9994" width="21" style="4" customWidth="1"/>
    <col min="9995" max="10238" width="9.33203125" style="4"/>
    <col min="10239" max="10239" width="16.5" style="4" customWidth="1"/>
    <col min="10240" max="10240" width="23.1640625" style="4" customWidth="1"/>
    <col min="10241" max="10241" width="12.83203125" style="4" bestFit="1" customWidth="1"/>
    <col min="10242" max="10242" width="11.1640625" style="4" customWidth="1"/>
    <col min="10243" max="10243" width="9.83203125" style="4" bestFit="1" customWidth="1"/>
    <col min="10244" max="10244" width="8.6640625" style="4" customWidth="1"/>
    <col min="10245" max="10245" width="10.6640625" style="4" customWidth="1"/>
    <col min="10246" max="10246" width="12" style="4" customWidth="1"/>
    <col min="10247" max="10247" width="10.33203125" style="4" bestFit="1" customWidth="1"/>
    <col min="10248" max="10248" width="11.33203125" style="4" customWidth="1"/>
    <col min="10249" max="10249" width="20.33203125" style="4" customWidth="1"/>
    <col min="10250" max="10250" width="21" style="4" customWidth="1"/>
    <col min="10251" max="10494" width="9.33203125" style="4"/>
    <col min="10495" max="10495" width="16.5" style="4" customWidth="1"/>
    <col min="10496" max="10496" width="23.1640625" style="4" customWidth="1"/>
    <col min="10497" max="10497" width="12.83203125" style="4" bestFit="1" customWidth="1"/>
    <col min="10498" max="10498" width="11.1640625" style="4" customWidth="1"/>
    <col min="10499" max="10499" width="9.83203125" style="4" bestFit="1" customWidth="1"/>
    <col min="10500" max="10500" width="8.6640625" style="4" customWidth="1"/>
    <col min="10501" max="10501" width="10.6640625" style="4" customWidth="1"/>
    <col min="10502" max="10502" width="12" style="4" customWidth="1"/>
    <col min="10503" max="10503" width="10.33203125" style="4" bestFit="1" customWidth="1"/>
    <col min="10504" max="10504" width="11.33203125" style="4" customWidth="1"/>
    <col min="10505" max="10505" width="20.33203125" style="4" customWidth="1"/>
    <col min="10506" max="10506" width="21" style="4" customWidth="1"/>
    <col min="10507" max="10750" width="9.33203125" style="4"/>
    <col min="10751" max="10751" width="16.5" style="4" customWidth="1"/>
    <col min="10752" max="10752" width="23.1640625" style="4" customWidth="1"/>
    <col min="10753" max="10753" width="12.83203125" style="4" bestFit="1" customWidth="1"/>
    <col min="10754" max="10754" width="11.1640625" style="4" customWidth="1"/>
    <col min="10755" max="10755" width="9.83203125" style="4" bestFit="1" customWidth="1"/>
    <col min="10756" max="10756" width="8.6640625" style="4" customWidth="1"/>
    <col min="10757" max="10757" width="10.6640625" style="4" customWidth="1"/>
    <col min="10758" max="10758" width="12" style="4" customWidth="1"/>
    <col min="10759" max="10759" width="10.33203125" style="4" bestFit="1" customWidth="1"/>
    <col min="10760" max="10760" width="11.33203125" style="4" customWidth="1"/>
    <col min="10761" max="10761" width="20.33203125" style="4" customWidth="1"/>
    <col min="10762" max="10762" width="21" style="4" customWidth="1"/>
    <col min="10763" max="11006" width="9.33203125" style="4"/>
    <col min="11007" max="11007" width="16.5" style="4" customWidth="1"/>
    <col min="11008" max="11008" width="23.1640625" style="4" customWidth="1"/>
    <col min="11009" max="11009" width="12.83203125" style="4" bestFit="1" customWidth="1"/>
    <col min="11010" max="11010" width="11.1640625" style="4" customWidth="1"/>
    <col min="11011" max="11011" width="9.83203125" style="4" bestFit="1" customWidth="1"/>
    <col min="11012" max="11012" width="8.6640625" style="4" customWidth="1"/>
    <col min="11013" max="11013" width="10.6640625" style="4" customWidth="1"/>
    <col min="11014" max="11014" width="12" style="4" customWidth="1"/>
    <col min="11015" max="11015" width="10.33203125" style="4" bestFit="1" customWidth="1"/>
    <col min="11016" max="11016" width="11.33203125" style="4" customWidth="1"/>
    <col min="11017" max="11017" width="20.33203125" style="4" customWidth="1"/>
    <col min="11018" max="11018" width="21" style="4" customWidth="1"/>
    <col min="11019" max="11262" width="9.33203125" style="4"/>
    <col min="11263" max="11263" width="16.5" style="4" customWidth="1"/>
    <col min="11264" max="11264" width="23.1640625" style="4" customWidth="1"/>
    <col min="11265" max="11265" width="12.83203125" style="4" bestFit="1" customWidth="1"/>
    <col min="11266" max="11266" width="11.1640625" style="4" customWidth="1"/>
    <col min="11267" max="11267" width="9.83203125" style="4" bestFit="1" customWidth="1"/>
    <col min="11268" max="11268" width="8.6640625" style="4" customWidth="1"/>
    <col min="11269" max="11269" width="10.6640625" style="4" customWidth="1"/>
    <col min="11270" max="11270" width="12" style="4" customWidth="1"/>
    <col min="11271" max="11271" width="10.33203125" style="4" bestFit="1" customWidth="1"/>
    <col min="11272" max="11272" width="11.33203125" style="4" customWidth="1"/>
    <col min="11273" max="11273" width="20.33203125" style="4" customWidth="1"/>
    <col min="11274" max="11274" width="21" style="4" customWidth="1"/>
    <col min="11275" max="11518" width="9.33203125" style="4"/>
    <col min="11519" max="11519" width="16.5" style="4" customWidth="1"/>
    <col min="11520" max="11520" width="23.1640625" style="4" customWidth="1"/>
    <col min="11521" max="11521" width="12.83203125" style="4" bestFit="1" customWidth="1"/>
    <col min="11522" max="11522" width="11.1640625" style="4" customWidth="1"/>
    <col min="11523" max="11523" width="9.83203125" style="4" bestFit="1" customWidth="1"/>
    <col min="11524" max="11524" width="8.6640625" style="4" customWidth="1"/>
    <col min="11525" max="11525" width="10.6640625" style="4" customWidth="1"/>
    <col min="11526" max="11526" width="12" style="4" customWidth="1"/>
    <col min="11527" max="11527" width="10.33203125" style="4" bestFit="1" customWidth="1"/>
    <col min="11528" max="11528" width="11.33203125" style="4" customWidth="1"/>
    <col min="11529" max="11529" width="20.33203125" style="4" customWidth="1"/>
    <col min="11530" max="11530" width="21" style="4" customWidth="1"/>
    <col min="11531" max="11774" width="9.33203125" style="4"/>
    <col min="11775" max="11775" width="16.5" style="4" customWidth="1"/>
    <col min="11776" max="11776" width="23.1640625" style="4" customWidth="1"/>
    <col min="11777" max="11777" width="12.83203125" style="4" bestFit="1" customWidth="1"/>
    <col min="11778" max="11778" width="11.1640625" style="4" customWidth="1"/>
    <col min="11779" max="11779" width="9.83203125" style="4" bestFit="1" customWidth="1"/>
    <col min="11780" max="11780" width="8.6640625" style="4" customWidth="1"/>
    <col min="11781" max="11781" width="10.6640625" style="4" customWidth="1"/>
    <col min="11782" max="11782" width="12" style="4" customWidth="1"/>
    <col min="11783" max="11783" width="10.33203125" style="4" bestFit="1" customWidth="1"/>
    <col min="11784" max="11784" width="11.33203125" style="4" customWidth="1"/>
    <col min="11785" max="11785" width="20.33203125" style="4" customWidth="1"/>
    <col min="11786" max="11786" width="21" style="4" customWidth="1"/>
    <col min="11787" max="12030" width="9.33203125" style="4"/>
    <col min="12031" max="12031" width="16.5" style="4" customWidth="1"/>
    <col min="12032" max="12032" width="23.1640625" style="4" customWidth="1"/>
    <col min="12033" max="12033" width="12.83203125" style="4" bestFit="1" customWidth="1"/>
    <col min="12034" max="12034" width="11.1640625" style="4" customWidth="1"/>
    <col min="12035" max="12035" width="9.83203125" style="4" bestFit="1" customWidth="1"/>
    <col min="12036" max="12036" width="8.6640625" style="4" customWidth="1"/>
    <col min="12037" max="12037" width="10.6640625" style="4" customWidth="1"/>
    <col min="12038" max="12038" width="12" style="4" customWidth="1"/>
    <col min="12039" max="12039" width="10.33203125" style="4" bestFit="1" customWidth="1"/>
    <col min="12040" max="12040" width="11.33203125" style="4" customWidth="1"/>
    <col min="12041" max="12041" width="20.33203125" style="4" customWidth="1"/>
    <col min="12042" max="12042" width="21" style="4" customWidth="1"/>
    <col min="12043" max="12286" width="9.33203125" style="4"/>
    <col min="12287" max="12287" width="16.5" style="4" customWidth="1"/>
    <col min="12288" max="12288" width="23.1640625" style="4" customWidth="1"/>
    <col min="12289" max="12289" width="12.83203125" style="4" bestFit="1" customWidth="1"/>
    <col min="12290" max="12290" width="11.1640625" style="4" customWidth="1"/>
    <col min="12291" max="12291" width="9.83203125" style="4" bestFit="1" customWidth="1"/>
    <col min="12292" max="12292" width="8.6640625" style="4" customWidth="1"/>
    <col min="12293" max="12293" width="10.6640625" style="4" customWidth="1"/>
    <col min="12294" max="12294" width="12" style="4" customWidth="1"/>
    <col min="12295" max="12295" width="10.33203125" style="4" bestFit="1" customWidth="1"/>
    <col min="12296" max="12296" width="11.33203125" style="4" customWidth="1"/>
    <col min="12297" max="12297" width="20.33203125" style="4" customWidth="1"/>
    <col min="12298" max="12298" width="21" style="4" customWidth="1"/>
    <col min="12299" max="12542" width="9.33203125" style="4"/>
    <col min="12543" max="12543" width="16.5" style="4" customWidth="1"/>
    <col min="12544" max="12544" width="23.1640625" style="4" customWidth="1"/>
    <col min="12545" max="12545" width="12.83203125" style="4" bestFit="1" customWidth="1"/>
    <col min="12546" max="12546" width="11.1640625" style="4" customWidth="1"/>
    <col min="12547" max="12547" width="9.83203125" style="4" bestFit="1" customWidth="1"/>
    <col min="12548" max="12548" width="8.6640625" style="4" customWidth="1"/>
    <col min="12549" max="12549" width="10.6640625" style="4" customWidth="1"/>
    <col min="12550" max="12550" width="12" style="4" customWidth="1"/>
    <col min="12551" max="12551" width="10.33203125" style="4" bestFit="1" customWidth="1"/>
    <col min="12552" max="12552" width="11.33203125" style="4" customWidth="1"/>
    <col min="12553" max="12553" width="20.33203125" style="4" customWidth="1"/>
    <col min="12554" max="12554" width="21" style="4" customWidth="1"/>
    <col min="12555" max="12798" width="9.33203125" style="4"/>
    <col min="12799" max="12799" width="16.5" style="4" customWidth="1"/>
    <col min="12800" max="12800" width="23.1640625" style="4" customWidth="1"/>
    <col min="12801" max="12801" width="12.83203125" style="4" bestFit="1" customWidth="1"/>
    <col min="12802" max="12802" width="11.1640625" style="4" customWidth="1"/>
    <col min="12803" max="12803" width="9.83203125" style="4" bestFit="1" customWidth="1"/>
    <col min="12804" max="12804" width="8.6640625" style="4" customWidth="1"/>
    <col min="12805" max="12805" width="10.6640625" style="4" customWidth="1"/>
    <col min="12806" max="12806" width="12" style="4" customWidth="1"/>
    <col min="12807" max="12807" width="10.33203125" style="4" bestFit="1" customWidth="1"/>
    <col min="12808" max="12808" width="11.33203125" style="4" customWidth="1"/>
    <col min="12809" max="12809" width="20.33203125" style="4" customWidth="1"/>
    <col min="12810" max="12810" width="21" style="4" customWidth="1"/>
    <col min="12811" max="13054" width="9.33203125" style="4"/>
    <col min="13055" max="13055" width="16.5" style="4" customWidth="1"/>
    <col min="13056" max="13056" width="23.1640625" style="4" customWidth="1"/>
    <col min="13057" max="13057" width="12.83203125" style="4" bestFit="1" customWidth="1"/>
    <col min="13058" max="13058" width="11.1640625" style="4" customWidth="1"/>
    <col min="13059" max="13059" width="9.83203125" style="4" bestFit="1" customWidth="1"/>
    <col min="13060" max="13060" width="8.6640625" style="4" customWidth="1"/>
    <col min="13061" max="13061" width="10.6640625" style="4" customWidth="1"/>
    <col min="13062" max="13062" width="12" style="4" customWidth="1"/>
    <col min="13063" max="13063" width="10.33203125" style="4" bestFit="1" customWidth="1"/>
    <col min="13064" max="13064" width="11.33203125" style="4" customWidth="1"/>
    <col min="13065" max="13065" width="20.33203125" style="4" customWidth="1"/>
    <col min="13066" max="13066" width="21" style="4" customWidth="1"/>
    <col min="13067" max="13310" width="9.33203125" style="4"/>
    <col min="13311" max="13311" width="16.5" style="4" customWidth="1"/>
    <col min="13312" max="13312" width="23.1640625" style="4" customWidth="1"/>
    <col min="13313" max="13313" width="12.83203125" style="4" bestFit="1" customWidth="1"/>
    <col min="13314" max="13314" width="11.1640625" style="4" customWidth="1"/>
    <col min="13315" max="13315" width="9.83203125" style="4" bestFit="1" customWidth="1"/>
    <col min="13316" max="13316" width="8.6640625" style="4" customWidth="1"/>
    <col min="13317" max="13317" width="10.6640625" style="4" customWidth="1"/>
    <col min="13318" max="13318" width="12" style="4" customWidth="1"/>
    <col min="13319" max="13319" width="10.33203125" style="4" bestFit="1" customWidth="1"/>
    <col min="13320" max="13320" width="11.33203125" style="4" customWidth="1"/>
    <col min="13321" max="13321" width="20.33203125" style="4" customWidth="1"/>
    <col min="13322" max="13322" width="21" style="4" customWidth="1"/>
    <col min="13323" max="13566" width="9.33203125" style="4"/>
    <col min="13567" max="13567" width="16.5" style="4" customWidth="1"/>
    <col min="13568" max="13568" width="23.1640625" style="4" customWidth="1"/>
    <col min="13569" max="13569" width="12.83203125" style="4" bestFit="1" customWidth="1"/>
    <col min="13570" max="13570" width="11.1640625" style="4" customWidth="1"/>
    <col min="13571" max="13571" width="9.83203125" style="4" bestFit="1" customWidth="1"/>
    <col min="13572" max="13572" width="8.6640625" style="4" customWidth="1"/>
    <col min="13573" max="13573" width="10.6640625" style="4" customWidth="1"/>
    <col min="13574" max="13574" width="12" style="4" customWidth="1"/>
    <col min="13575" max="13575" width="10.33203125" style="4" bestFit="1" customWidth="1"/>
    <col min="13576" max="13576" width="11.33203125" style="4" customWidth="1"/>
    <col min="13577" max="13577" width="20.33203125" style="4" customWidth="1"/>
    <col min="13578" max="13578" width="21" style="4" customWidth="1"/>
    <col min="13579" max="13822" width="9.33203125" style="4"/>
    <col min="13823" max="13823" width="16.5" style="4" customWidth="1"/>
    <col min="13824" max="13824" width="23.1640625" style="4" customWidth="1"/>
    <col min="13825" max="13825" width="12.83203125" style="4" bestFit="1" customWidth="1"/>
    <col min="13826" max="13826" width="11.1640625" style="4" customWidth="1"/>
    <col min="13827" max="13827" width="9.83203125" style="4" bestFit="1" customWidth="1"/>
    <col min="13828" max="13828" width="8.6640625" style="4" customWidth="1"/>
    <col min="13829" max="13829" width="10.6640625" style="4" customWidth="1"/>
    <col min="13830" max="13830" width="12" style="4" customWidth="1"/>
    <col min="13831" max="13831" width="10.33203125" style="4" bestFit="1" customWidth="1"/>
    <col min="13832" max="13832" width="11.33203125" style="4" customWidth="1"/>
    <col min="13833" max="13833" width="20.33203125" style="4" customWidth="1"/>
    <col min="13834" max="13834" width="21" style="4" customWidth="1"/>
    <col min="13835" max="14078" width="9.33203125" style="4"/>
    <col min="14079" max="14079" width="16.5" style="4" customWidth="1"/>
    <col min="14080" max="14080" width="23.1640625" style="4" customWidth="1"/>
    <col min="14081" max="14081" width="12.83203125" style="4" bestFit="1" customWidth="1"/>
    <col min="14082" max="14082" width="11.1640625" style="4" customWidth="1"/>
    <col min="14083" max="14083" width="9.83203125" style="4" bestFit="1" customWidth="1"/>
    <col min="14084" max="14084" width="8.6640625" style="4" customWidth="1"/>
    <col min="14085" max="14085" width="10.6640625" style="4" customWidth="1"/>
    <col min="14086" max="14086" width="12" style="4" customWidth="1"/>
    <col min="14087" max="14087" width="10.33203125" style="4" bestFit="1" customWidth="1"/>
    <col min="14088" max="14088" width="11.33203125" style="4" customWidth="1"/>
    <col min="14089" max="14089" width="20.33203125" style="4" customWidth="1"/>
    <col min="14090" max="14090" width="21" style="4" customWidth="1"/>
    <col min="14091" max="14334" width="9.33203125" style="4"/>
    <col min="14335" max="14335" width="16.5" style="4" customWidth="1"/>
    <col min="14336" max="14336" width="23.1640625" style="4" customWidth="1"/>
    <col min="14337" max="14337" width="12.83203125" style="4" bestFit="1" customWidth="1"/>
    <col min="14338" max="14338" width="11.1640625" style="4" customWidth="1"/>
    <col min="14339" max="14339" width="9.83203125" style="4" bestFit="1" customWidth="1"/>
    <col min="14340" max="14340" width="8.6640625" style="4" customWidth="1"/>
    <col min="14341" max="14341" width="10.6640625" style="4" customWidth="1"/>
    <col min="14342" max="14342" width="12" style="4" customWidth="1"/>
    <col min="14343" max="14343" width="10.33203125" style="4" bestFit="1" customWidth="1"/>
    <col min="14344" max="14344" width="11.33203125" style="4" customWidth="1"/>
    <col min="14345" max="14345" width="20.33203125" style="4" customWidth="1"/>
    <col min="14346" max="14346" width="21" style="4" customWidth="1"/>
    <col min="14347" max="14590" width="9.33203125" style="4"/>
    <col min="14591" max="14591" width="16.5" style="4" customWidth="1"/>
    <col min="14592" max="14592" width="23.1640625" style="4" customWidth="1"/>
    <col min="14593" max="14593" width="12.83203125" style="4" bestFit="1" customWidth="1"/>
    <col min="14594" max="14594" width="11.1640625" style="4" customWidth="1"/>
    <col min="14595" max="14595" width="9.83203125" style="4" bestFit="1" customWidth="1"/>
    <col min="14596" max="14596" width="8.6640625" style="4" customWidth="1"/>
    <col min="14597" max="14597" width="10.6640625" style="4" customWidth="1"/>
    <col min="14598" max="14598" width="12" style="4" customWidth="1"/>
    <col min="14599" max="14599" width="10.33203125" style="4" bestFit="1" customWidth="1"/>
    <col min="14600" max="14600" width="11.33203125" style="4" customWidth="1"/>
    <col min="14601" max="14601" width="20.33203125" style="4" customWidth="1"/>
    <col min="14602" max="14602" width="21" style="4" customWidth="1"/>
    <col min="14603" max="14846" width="9.33203125" style="4"/>
    <col min="14847" max="14847" width="16.5" style="4" customWidth="1"/>
    <col min="14848" max="14848" width="23.1640625" style="4" customWidth="1"/>
    <col min="14849" max="14849" width="12.83203125" style="4" bestFit="1" customWidth="1"/>
    <col min="14850" max="14850" width="11.1640625" style="4" customWidth="1"/>
    <col min="14851" max="14851" width="9.83203125" style="4" bestFit="1" customWidth="1"/>
    <col min="14852" max="14852" width="8.6640625" style="4" customWidth="1"/>
    <col min="14853" max="14853" width="10.6640625" style="4" customWidth="1"/>
    <col min="14854" max="14854" width="12" style="4" customWidth="1"/>
    <col min="14855" max="14855" width="10.33203125" style="4" bestFit="1" customWidth="1"/>
    <col min="14856" max="14856" width="11.33203125" style="4" customWidth="1"/>
    <col min="14857" max="14857" width="20.33203125" style="4" customWidth="1"/>
    <col min="14858" max="14858" width="21" style="4" customWidth="1"/>
    <col min="14859" max="15102" width="9.33203125" style="4"/>
    <col min="15103" max="15103" width="16.5" style="4" customWidth="1"/>
    <col min="15104" max="15104" width="23.1640625" style="4" customWidth="1"/>
    <col min="15105" max="15105" width="12.83203125" style="4" bestFit="1" customWidth="1"/>
    <col min="15106" max="15106" width="11.1640625" style="4" customWidth="1"/>
    <col min="15107" max="15107" width="9.83203125" style="4" bestFit="1" customWidth="1"/>
    <col min="15108" max="15108" width="8.6640625" style="4" customWidth="1"/>
    <col min="15109" max="15109" width="10.6640625" style="4" customWidth="1"/>
    <col min="15110" max="15110" width="12" style="4" customWidth="1"/>
    <col min="15111" max="15111" width="10.33203125" style="4" bestFit="1" customWidth="1"/>
    <col min="15112" max="15112" width="11.33203125" style="4" customWidth="1"/>
    <col min="15113" max="15113" width="20.33203125" style="4" customWidth="1"/>
    <col min="15114" max="15114" width="21" style="4" customWidth="1"/>
    <col min="15115" max="15358" width="9.33203125" style="4"/>
    <col min="15359" max="15359" width="16.5" style="4" customWidth="1"/>
    <col min="15360" max="15360" width="23.1640625" style="4" customWidth="1"/>
    <col min="15361" max="15361" width="12.83203125" style="4" bestFit="1" customWidth="1"/>
    <col min="15362" max="15362" width="11.1640625" style="4" customWidth="1"/>
    <col min="15363" max="15363" width="9.83203125" style="4" bestFit="1" customWidth="1"/>
    <col min="15364" max="15364" width="8.6640625" style="4" customWidth="1"/>
    <col min="15365" max="15365" width="10.6640625" style="4" customWidth="1"/>
    <col min="15366" max="15366" width="12" style="4" customWidth="1"/>
    <col min="15367" max="15367" width="10.33203125" style="4" bestFit="1" customWidth="1"/>
    <col min="15368" max="15368" width="11.33203125" style="4" customWidth="1"/>
    <col min="15369" max="15369" width="20.33203125" style="4" customWidth="1"/>
    <col min="15370" max="15370" width="21" style="4" customWidth="1"/>
    <col min="15371" max="15614" width="9.33203125" style="4"/>
    <col min="15615" max="15615" width="16.5" style="4" customWidth="1"/>
    <col min="15616" max="15616" width="23.1640625" style="4" customWidth="1"/>
    <col min="15617" max="15617" width="12.83203125" style="4" bestFit="1" customWidth="1"/>
    <col min="15618" max="15618" width="11.1640625" style="4" customWidth="1"/>
    <col min="15619" max="15619" width="9.83203125" style="4" bestFit="1" customWidth="1"/>
    <col min="15620" max="15620" width="8.6640625" style="4" customWidth="1"/>
    <col min="15621" max="15621" width="10.6640625" style="4" customWidth="1"/>
    <col min="15622" max="15622" width="12" style="4" customWidth="1"/>
    <col min="15623" max="15623" width="10.33203125" style="4" bestFit="1" customWidth="1"/>
    <col min="15624" max="15624" width="11.33203125" style="4" customWidth="1"/>
    <col min="15625" max="15625" width="20.33203125" style="4" customWidth="1"/>
    <col min="15626" max="15626" width="21" style="4" customWidth="1"/>
    <col min="15627" max="15870" width="9.33203125" style="4"/>
    <col min="15871" max="15871" width="16.5" style="4" customWidth="1"/>
    <col min="15872" max="15872" width="23.1640625" style="4" customWidth="1"/>
    <col min="15873" max="15873" width="12.83203125" style="4" bestFit="1" customWidth="1"/>
    <col min="15874" max="15874" width="11.1640625" style="4" customWidth="1"/>
    <col min="15875" max="15875" width="9.83203125" style="4" bestFit="1" customWidth="1"/>
    <col min="15876" max="15876" width="8.6640625" style="4" customWidth="1"/>
    <col min="15877" max="15877" width="10.6640625" style="4" customWidth="1"/>
    <col min="15878" max="15878" width="12" style="4" customWidth="1"/>
    <col min="15879" max="15879" width="10.33203125" style="4" bestFit="1" customWidth="1"/>
    <col min="15880" max="15880" width="11.33203125" style="4" customWidth="1"/>
    <col min="15881" max="15881" width="20.33203125" style="4" customWidth="1"/>
    <col min="15882" max="15882" width="21" style="4" customWidth="1"/>
    <col min="15883" max="16126" width="9.33203125" style="4"/>
    <col min="16127" max="16127" width="16.5" style="4" customWidth="1"/>
    <col min="16128" max="16128" width="23.1640625" style="4" customWidth="1"/>
    <col min="16129" max="16129" width="12.83203125" style="4" bestFit="1" customWidth="1"/>
    <col min="16130" max="16130" width="11.1640625" style="4" customWidth="1"/>
    <col min="16131" max="16131" width="9.83203125" style="4" bestFit="1" customWidth="1"/>
    <col min="16132" max="16132" width="8.6640625" style="4" customWidth="1"/>
    <col min="16133" max="16133" width="10.6640625" style="4" customWidth="1"/>
    <col min="16134" max="16134" width="12" style="4" customWidth="1"/>
    <col min="16135" max="16135" width="10.33203125" style="4" bestFit="1" customWidth="1"/>
    <col min="16136" max="16136" width="11.33203125" style="4" customWidth="1"/>
    <col min="16137" max="16137" width="20.33203125" style="4" customWidth="1"/>
    <col min="16138" max="16138" width="21" style="4" customWidth="1"/>
    <col min="16139" max="16384" width="9.33203125" style="4"/>
  </cols>
  <sheetData>
    <row r="1" spans="1:11" s="8" customFormat="1" ht="15" customHeight="1">
      <c r="A1" s="103" t="s">
        <v>424</v>
      </c>
      <c r="B1" s="490"/>
      <c r="C1" s="103"/>
      <c r="D1" s="103"/>
      <c r="E1" s="103"/>
      <c r="F1" s="103"/>
      <c r="G1" s="103"/>
      <c r="H1" s="103"/>
      <c r="I1" s="103"/>
      <c r="J1" s="103"/>
    </row>
    <row r="2" spans="1:11" s="81" customFormat="1" ht="11.25" customHeight="1">
      <c r="A2" s="69"/>
      <c r="B2" s="1333" t="s">
        <v>370</v>
      </c>
      <c r="C2" s="1333"/>
      <c r="D2" s="1333"/>
      <c r="E2" s="1336" t="s">
        <v>622</v>
      </c>
      <c r="F2" s="1336"/>
      <c r="G2" s="1336"/>
      <c r="H2" s="1334" t="s">
        <v>623</v>
      </c>
      <c r="I2" s="1334"/>
      <c r="J2" s="1335" t="s">
        <v>631</v>
      </c>
      <c r="K2" s="147"/>
    </row>
    <row r="3" spans="1:11" s="81" customFormat="1" ht="10.5" customHeight="1">
      <c r="A3" s="102" t="s">
        <v>426</v>
      </c>
      <c r="B3" s="439"/>
      <c r="C3" s="102"/>
      <c r="D3" s="102"/>
      <c r="E3" s="1336"/>
      <c r="F3" s="1336"/>
      <c r="G3" s="1336"/>
      <c r="H3" s="1334"/>
      <c r="I3" s="1334"/>
      <c r="J3" s="1335"/>
      <c r="K3" s="147"/>
    </row>
    <row r="4" spans="1:11" s="81" customFormat="1" ht="10.5" customHeight="1">
      <c r="A4" s="102"/>
      <c r="B4" s="439"/>
      <c r="C4" s="102"/>
      <c r="D4" s="102"/>
      <c r="E4" s="1336"/>
      <c r="F4" s="1336"/>
      <c r="G4" s="1336"/>
      <c r="H4" s="1334"/>
      <c r="I4" s="1334"/>
      <c r="J4" s="1335"/>
      <c r="K4" s="147"/>
    </row>
    <row r="5" spans="1:11" s="81" customFormat="1" ht="12" customHeight="1">
      <c r="A5" s="1310" t="s">
        <v>633</v>
      </c>
      <c r="B5" s="1310"/>
      <c r="C5" s="127"/>
      <c r="D5" s="844"/>
      <c r="E5" s="844"/>
      <c r="F5" s="1236"/>
      <c r="G5" s="1236"/>
      <c r="H5" s="1334" t="s">
        <v>625</v>
      </c>
      <c r="I5" s="1334"/>
      <c r="J5" s="1335"/>
      <c r="K5" s="147"/>
    </row>
    <row r="6" spans="1:11" customFormat="1" ht="69.75" customHeight="1">
      <c r="A6" s="1310"/>
      <c r="B6" s="1310"/>
      <c r="C6" s="842"/>
      <c r="D6" s="101"/>
      <c r="E6" s="101"/>
      <c r="F6" s="1532"/>
      <c r="G6" s="1532"/>
      <c r="H6" s="1334"/>
      <c r="I6" s="1334"/>
      <c r="J6" s="1335"/>
      <c r="K6" s="4"/>
    </row>
    <row r="7" spans="1:11" customFormat="1" ht="21" customHeight="1">
      <c r="A7" s="848" t="s">
        <v>653</v>
      </c>
      <c r="B7" s="845" t="s">
        <v>428</v>
      </c>
      <c r="C7" s="1311" t="s">
        <v>429</v>
      </c>
      <c r="D7" s="1320" t="s">
        <v>620</v>
      </c>
      <c r="E7" s="1312" t="s">
        <v>432</v>
      </c>
      <c r="F7" s="1319" t="s">
        <v>430</v>
      </c>
      <c r="G7" s="1320" t="s">
        <v>621</v>
      </c>
      <c r="H7" s="1328" t="s">
        <v>431</v>
      </c>
      <c r="I7" s="1328"/>
      <c r="J7" s="1327" t="s">
        <v>627</v>
      </c>
      <c r="K7" s="4"/>
    </row>
    <row r="8" spans="1:11" customFormat="1" ht="21" customHeight="1">
      <c r="A8" s="847"/>
      <c r="B8" s="99"/>
      <c r="C8" s="1311"/>
      <c r="D8" s="1320"/>
      <c r="E8" s="1312"/>
      <c r="F8" s="1319"/>
      <c r="G8" s="1321"/>
      <c r="H8" s="1328"/>
      <c r="I8" s="1328"/>
      <c r="J8" s="1327"/>
      <c r="K8" s="4"/>
    </row>
    <row r="9" spans="1:11" s="30" customFormat="1" ht="12.75">
      <c r="A9" s="70"/>
      <c r="B9" s="440" t="s">
        <v>274</v>
      </c>
      <c r="C9" s="302"/>
      <c r="D9" s="302"/>
      <c r="E9" s="302"/>
      <c r="F9" s="303"/>
      <c r="G9" s="303"/>
      <c r="H9" s="46"/>
      <c r="I9" s="46"/>
      <c r="J9" s="46"/>
    </row>
    <row r="10" spans="1:11" s="8" customFormat="1" ht="20.25" customHeight="1">
      <c r="A10" s="57"/>
      <c r="B10" s="1329" t="s">
        <v>433</v>
      </c>
      <c r="C10" s="1330"/>
      <c r="D10" s="1330"/>
      <c r="E10" s="1330"/>
      <c r="F10" s="1330"/>
      <c r="G10" s="1330"/>
      <c r="H10" s="847"/>
      <c r="I10" s="16"/>
      <c r="J10" s="846"/>
    </row>
    <row r="11" spans="1:11" s="164" customFormat="1" ht="21">
      <c r="A11" s="57" t="s">
        <v>2183</v>
      </c>
      <c r="B11" s="438" t="s">
        <v>848</v>
      </c>
      <c r="C11" s="408" t="s">
        <v>630</v>
      </c>
      <c r="D11" s="409">
        <v>21.58</v>
      </c>
      <c r="E11" s="409">
        <f>SUM(D11*1.1)</f>
        <v>23.738</v>
      </c>
      <c r="F11" s="407" t="s">
        <v>783</v>
      </c>
      <c r="G11" s="407" t="s">
        <v>783</v>
      </c>
      <c r="H11" s="82"/>
      <c r="I11" s="16"/>
      <c r="J11" s="818" t="s">
        <v>813</v>
      </c>
    </row>
    <row r="12" spans="1:11" s="8" customFormat="1" ht="12.75">
      <c r="A12" s="57"/>
      <c r="B12" s="1331" t="s">
        <v>434</v>
      </c>
      <c r="C12" s="1331"/>
      <c r="D12" s="1331"/>
      <c r="E12" s="1331"/>
      <c r="F12" s="1331"/>
      <c r="G12" s="1331"/>
      <c r="H12" s="853"/>
      <c r="I12" s="16"/>
      <c r="J12" s="71"/>
    </row>
    <row r="13" spans="1:11" s="8" customFormat="1" ht="21">
      <c r="A13" s="57" t="s">
        <v>2184</v>
      </c>
      <c r="B13" s="859" t="s">
        <v>849</v>
      </c>
      <c r="C13" s="408" t="s">
        <v>630</v>
      </c>
      <c r="D13" s="409">
        <v>22.89</v>
      </c>
      <c r="E13" s="409">
        <f>SUM(D13*1.1)</f>
        <v>25.179000000000002</v>
      </c>
      <c r="F13" s="407" t="s">
        <v>783</v>
      </c>
      <c r="G13" s="407" t="s">
        <v>783</v>
      </c>
      <c r="H13" s="82"/>
      <c r="I13" s="16"/>
      <c r="J13" s="818" t="s">
        <v>813</v>
      </c>
    </row>
    <row r="14" spans="1:11" ht="12.75">
      <c r="A14" s="57"/>
      <c r="B14" s="306"/>
      <c r="C14" s="306"/>
      <c r="D14" s="306"/>
      <c r="E14" s="306"/>
      <c r="F14" s="305"/>
      <c r="G14" s="305"/>
      <c r="H14" s="85"/>
      <c r="I14" s="16"/>
      <c r="J14" s="71"/>
    </row>
    <row r="15" spans="1:11" s="30" customFormat="1" ht="12.75">
      <c r="A15" s="403"/>
      <c r="B15" s="404" t="s">
        <v>395</v>
      </c>
      <c r="C15" s="405"/>
      <c r="D15" s="405"/>
      <c r="E15" s="405"/>
      <c r="F15" s="361"/>
      <c r="G15" s="361"/>
      <c r="H15" s="406"/>
      <c r="I15" s="330"/>
      <c r="J15" s="330"/>
    </row>
    <row r="16" spans="1:11" s="8" customFormat="1" ht="73.5">
      <c r="A16" s="57" t="s">
        <v>277</v>
      </c>
      <c r="B16" s="160" t="s">
        <v>281</v>
      </c>
      <c r="C16" s="845" t="s">
        <v>630</v>
      </c>
      <c r="D16" s="201" t="s">
        <v>783</v>
      </c>
      <c r="E16" s="201" t="s">
        <v>783</v>
      </c>
      <c r="F16" s="241" t="s">
        <v>783</v>
      </c>
      <c r="G16" s="201" t="s">
        <v>783</v>
      </c>
      <c r="H16" s="219"/>
      <c r="I16" s="160" t="s">
        <v>375</v>
      </c>
      <c r="J16" s="219"/>
    </row>
    <row r="17" spans="1:10" s="8" customFormat="1" ht="31.5">
      <c r="A17" s="57" t="s">
        <v>277</v>
      </c>
      <c r="B17" s="160" t="s">
        <v>282</v>
      </c>
      <c r="C17" s="845" t="s">
        <v>630</v>
      </c>
      <c r="D17" s="201" t="s">
        <v>783</v>
      </c>
      <c r="E17" s="201" t="s">
        <v>783</v>
      </c>
      <c r="F17" s="201" t="s">
        <v>783</v>
      </c>
      <c r="G17" s="201" t="s">
        <v>783</v>
      </c>
      <c r="H17" s="219"/>
      <c r="I17" s="160" t="s">
        <v>283</v>
      </c>
      <c r="J17" s="160"/>
    </row>
    <row r="18" spans="1:10" s="133" customFormat="1" ht="21">
      <c r="A18" s="57" t="s">
        <v>2185</v>
      </c>
      <c r="B18" s="161" t="s">
        <v>1393</v>
      </c>
      <c r="C18" s="845" t="s">
        <v>630</v>
      </c>
      <c r="D18" s="201">
        <v>2.5</v>
      </c>
      <c r="E18" s="407">
        <f t="shared" ref="E18:E72" si="0">SUM(D18*1.1)</f>
        <v>2.75</v>
      </c>
      <c r="F18" s="407">
        <f t="shared" ref="F18:F72" si="1">SUM(G18*1.1)</f>
        <v>20.900000000000002</v>
      </c>
      <c r="G18" s="201">
        <v>19</v>
      </c>
      <c r="H18" s="161" t="s">
        <v>284</v>
      </c>
      <c r="I18" s="160" t="s">
        <v>376</v>
      </c>
      <c r="J18" s="843" t="s">
        <v>843</v>
      </c>
    </row>
    <row r="19" spans="1:10" s="8" customFormat="1" ht="31.5">
      <c r="A19" s="57" t="s">
        <v>2186</v>
      </c>
      <c r="B19" s="161" t="s">
        <v>1394</v>
      </c>
      <c r="C19" s="845" t="s">
        <v>630</v>
      </c>
      <c r="D19" s="201">
        <v>2.5</v>
      </c>
      <c r="E19" s="407">
        <f t="shared" si="0"/>
        <v>2.75</v>
      </c>
      <c r="F19" s="407">
        <f t="shared" si="1"/>
        <v>20.900000000000002</v>
      </c>
      <c r="G19" s="201">
        <v>19</v>
      </c>
      <c r="H19" s="161" t="s">
        <v>284</v>
      </c>
      <c r="I19" s="160" t="s">
        <v>376</v>
      </c>
      <c r="J19" s="843" t="s">
        <v>664</v>
      </c>
    </row>
    <row r="20" spans="1:10" s="8" customFormat="1" ht="52.5">
      <c r="A20" s="57" t="s">
        <v>2187</v>
      </c>
      <c r="B20" s="160" t="s">
        <v>1395</v>
      </c>
      <c r="C20" s="845" t="s">
        <v>630</v>
      </c>
      <c r="D20" s="201">
        <v>2.6</v>
      </c>
      <c r="E20" s="407">
        <f t="shared" si="0"/>
        <v>2.8600000000000003</v>
      </c>
      <c r="F20" s="407">
        <f t="shared" si="1"/>
        <v>29.150000000000002</v>
      </c>
      <c r="G20" s="201">
        <v>26.5</v>
      </c>
      <c r="H20" s="219"/>
      <c r="I20" s="160" t="s">
        <v>377</v>
      </c>
      <c r="J20" s="160" t="s">
        <v>814</v>
      </c>
    </row>
    <row r="21" spans="1:10" ht="73.5">
      <c r="A21" s="57" t="s">
        <v>2188</v>
      </c>
      <c r="B21" s="160" t="s">
        <v>1396</v>
      </c>
      <c r="C21" s="845" t="s">
        <v>630</v>
      </c>
      <c r="D21" s="201">
        <v>5.5</v>
      </c>
      <c r="E21" s="407">
        <f t="shared" si="0"/>
        <v>6.0500000000000007</v>
      </c>
      <c r="F21" s="407">
        <f t="shared" si="1"/>
        <v>29.150000000000002</v>
      </c>
      <c r="G21" s="201">
        <v>26.5</v>
      </c>
      <c r="H21" s="219" t="s">
        <v>289</v>
      </c>
      <c r="I21" s="160" t="s">
        <v>379</v>
      </c>
      <c r="J21" s="160" t="s">
        <v>814</v>
      </c>
    </row>
    <row r="22" spans="1:10" ht="31.5">
      <c r="A22" s="57" t="s">
        <v>277</v>
      </c>
      <c r="B22" s="160" t="s">
        <v>291</v>
      </c>
      <c r="C22" s="845" t="s">
        <v>630</v>
      </c>
      <c r="D22" s="201" t="s">
        <v>783</v>
      </c>
      <c r="E22" s="201" t="s">
        <v>783</v>
      </c>
      <c r="F22" s="201" t="s">
        <v>277</v>
      </c>
      <c r="G22" s="201" t="s">
        <v>277</v>
      </c>
      <c r="H22" s="160"/>
      <c r="I22" s="160" t="s">
        <v>380</v>
      </c>
      <c r="J22" s="160"/>
    </row>
    <row r="23" spans="1:10" ht="40.5" customHeight="1">
      <c r="A23" s="57" t="s">
        <v>277</v>
      </c>
      <c r="B23" s="161" t="s">
        <v>292</v>
      </c>
      <c r="C23" s="845" t="s">
        <v>630</v>
      </c>
      <c r="D23" s="201" t="s">
        <v>783</v>
      </c>
      <c r="E23" s="201" t="s">
        <v>783</v>
      </c>
      <c r="F23" s="201" t="s">
        <v>783</v>
      </c>
      <c r="G23" s="201" t="s">
        <v>783</v>
      </c>
      <c r="H23" s="161" t="s">
        <v>288</v>
      </c>
      <c r="I23" s="160" t="s">
        <v>412</v>
      </c>
      <c r="J23" s="160"/>
    </row>
    <row r="24" spans="1:10" ht="63">
      <c r="A24" s="57" t="s">
        <v>2189</v>
      </c>
      <c r="B24" s="160" t="s">
        <v>1397</v>
      </c>
      <c r="C24" s="845" t="s">
        <v>630</v>
      </c>
      <c r="D24" s="201">
        <v>5.5</v>
      </c>
      <c r="E24" s="407">
        <f t="shared" si="0"/>
        <v>6.0500000000000007</v>
      </c>
      <c r="F24" s="407">
        <f>SUM(G24*1.1)</f>
        <v>29.150000000000002</v>
      </c>
      <c r="G24" s="201">
        <v>26.5</v>
      </c>
      <c r="H24" s="219" t="s">
        <v>289</v>
      </c>
      <c r="I24" s="160" t="s">
        <v>413</v>
      </c>
      <c r="J24" s="160" t="s">
        <v>814</v>
      </c>
    </row>
    <row r="25" spans="1:10" ht="42">
      <c r="A25" s="57" t="s">
        <v>2190</v>
      </c>
      <c r="B25" s="160" t="s">
        <v>1398</v>
      </c>
      <c r="C25" s="845" t="s">
        <v>630</v>
      </c>
      <c r="D25" s="201">
        <v>3.9</v>
      </c>
      <c r="E25" s="407">
        <f t="shared" si="0"/>
        <v>4.29</v>
      </c>
      <c r="F25" s="407">
        <f t="shared" si="1"/>
        <v>29.150000000000002</v>
      </c>
      <c r="G25" s="201">
        <v>26.5</v>
      </c>
      <c r="H25" s="219" t="s">
        <v>365</v>
      </c>
      <c r="I25" s="160" t="s">
        <v>382</v>
      </c>
      <c r="J25" s="160" t="s">
        <v>814</v>
      </c>
    </row>
    <row r="26" spans="1:10" ht="21">
      <c r="A26" s="57" t="s">
        <v>2191</v>
      </c>
      <c r="B26" s="161" t="s">
        <v>1399</v>
      </c>
      <c r="C26" s="845" t="s">
        <v>630</v>
      </c>
      <c r="D26" s="201">
        <v>3</v>
      </c>
      <c r="E26" s="407">
        <f t="shared" si="0"/>
        <v>3.3000000000000003</v>
      </c>
      <c r="F26" s="407">
        <f t="shared" si="1"/>
        <v>29.150000000000002</v>
      </c>
      <c r="G26" s="201">
        <v>26.5</v>
      </c>
      <c r="H26" s="161" t="s">
        <v>288</v>
      </c>
      <c r="I26" s="160"/>
      <c r="J26" s="160" t="s">
        <v>814</v>
      </c>
    </row>
    <row r="27" spans="1:10">
      <c r="A27" s="241" t="s">
        <v>2192</v>
      </c>
      <c r="B27" s="161" t="s">
        <v>1400</v>
      </c>
      <c r="C27" s="845" t="s">
        <v>630</v>
      </c>
      <c r="D27" s="201">
        <v>8.5</v>
      </c>
      <c r="E27" s="407">
        <f t="shared" si="0"/>
        <v>9.3500000000000014</v>
      </c>
      <c r="F27" s="407">
        <f t="shared" si="1"/>
        <v>29.150000000000002</v>
      </c>
      <c r="G27" s="201">
        <v>26.5</v>
      </c>
      <c r="H27" s="161" t="s">
        <v>288</v>
      </c>
      <c r="I27" s="160"/>
      <c r="J27" s="160" t="s">
        <v>814</v>
      </c>
    </row>
    <row r="28" spans="1:10">
      <c r="A28" s="57" t="s">
        <v>2193</v>
      </c>
      <c r="B28" s="160" t="s">
        <v>1401</v>
      </c>
      <c r="C28" s="845" t="s">
        <v>630</v>
      </c>
      <c r="D28" s="201">
        <v>3.9</v>
      </c>
      <c r="E28" s="407">
        <f t="shared" si="0"/>
        <v>4.29</v>
      </c>
      <c r="F28" s="407">
        <f t="shared" si="1"/>
        <v>29.150000000000002</v>
      </c>
      <c r="G28" s="201">
        <v>26.5</v>
      </c>
      <c r="H28" s="219" t="s">
        <v>288</v>
      </c>
      <c r="I28" s="160"/>
      <c r="J28" s="160" t="s">
        <v>814</v>
      </c>
    </row>
    <row r="29" spans="1:10" ht="21">
      <c r="A29" s="57" t="s">
        <v>2194</v>
      </c>
      <c r="B29" s="160" t="s">
        <v>1402</v>
      </c>
      <c r="C29" s="845" t="s">
        <v>630</v>
      </c>
      <c r="D29" s="201">
        <v>5.2</v>
      </c>
      <c r="E29" s="407">
        <f t="shared" si="0"/>
        <v>5.7200000000000006</v>
      </c>
      <c r="F29" s="407">
        <f t="shared" si="1"/>
        <v>29.150000000000002</v>
      </c>
      <c r="G29" s="201">
        <v>26.5</v>
      </c>
      <c r="H29" s="219" t="s">
        <v>288</v>
      </c>
      <c r="I29" s="160"/>
      <c r="J29" s="160" t="s">
        <v>814</v>
      </c>
    </row>
    <row r="30" spans="1:10" ht="21">
      <c r="A30" s="57" t="s">
        <v>2195</v>
      </c>
      <c r="B30" s="160" t="s">
        <v>1403</v>
      </c>
      <c r="C30" s="845" t="s">
        <v>630</v>
      </c>
      <c r="D30" s="201">
        <v>3.9</v>
      </c>
      <c r="E30" s="407">
        <f t="shared" si="0"/>
        <v>4.29</v>
      </c>
      <c r="F30" s="407">
        <f t="shared" si="1"/>
        <v>29.150000000000002</v>
      </c>
      <c r="G30" s="201">
        <v>26.5</v>
      </c>
      <c r="H30" s="219" t="s">
        <v>288</v>
      </c>
      <c r="I30" s="160"/>
      <c r="J30" s="160" t="s">
        <v>814</v>
      </c>
    </row>
    <row r="31" spans="1:10" ht="21">
      <c r="A31" s="57" t="s">
        <v>2196</v>
      </c>
      <c r="B31" s="160" t="s">
        <v>1404</v>
      </c>
      <c r="C31" s="845" t="s">
        <v>630</v>
      </c>
      <c r="D31" s="201">
        <v>1.75</v>
      </c>
      <c r="E31" s="407">
        <f t="shared" si="0"/>
        <v>1.9250000000000003</v>
      </c>
      <c r="F31" s="407">
        <f t="shared" si="1"/>
        <v>3.3000000000000003</v>
      </c>
      <c r="G31" s="201">
        <v>3</v>
      </c>
      <c r="H31" s="219" t="s">
        <v>289</v>
      </c>
      <c r="I31" s="160"/>
      <c r="J31" s="160" t="s">
        <v>599</v>
      </c>
    </row>
    <row r="32" spans="1:10" ht="21">
      <c r="A32" s="57" t="s">
        <v>2197</v>
      </c>
      <c r="B32" s="160" t="s">
        <v>1405</v>
      </c>
      <c r="C32" s="845" t="s">
        <v>630</v>
      </c>
      <c r="D32" s="201">
        <v>2</v>
      </c>
      <c r="E32" s="407">
        <f t="shared" si="0"/>
        <v>2.2000000000000002</v>
      </c>
      <c r="F32" s="407">
        <f t="shared" si="1"/>
        <v>3.3000000000000003</v>
      </c>
      <c r="G32" s="201">
        <v>3</v>
      </c>
      <c r="H32" s="219" t="s">
        <v>289</v>
      </c>
      <c r="I32" s="160"/>
      <c r="J32" s="160" t="s">
        <v>599</v>
      </c>
    </row>
    <row r="33" spans="1:10" ht="21">
      <c r="A33" s="57" t="s">
        <v>2198</v>
      </c>
      <c r="B33" s="160" t="s">
        <v>1406</v>
      </c>
      <c r="C33" s="845" t="s">
        <v>630</v>
      </c>
      <c r="D33" s="201">
        <v>2.2999999999999998</v>
      </c>
      <c r="E33" s="407">
        <f t="shared" si="0"/>
        <v>2.5299999999999998</v>
      </c>
      <c r="F33" s="407">
        <f t="shared" si="1"/>
        <v>3.3000000000000003</v>
      </c>
      <c r="G33" s="201">
        <v>3</v>
      </c>
      <c r="H33" s="219" t="s">
        <v>289</v>
      </c>
      <c r="I33" s="160"/>
      <c r="J33" s="160" t="s">
        <v>599</v>
      </c>
    </row>
    <row r="34" spans="1:10">
      <c r="A34" s="57" t="s">
        <v>277</v>
      </c>
      <c r="B34" s="161" t="s">
        <v>1407</v>
      </c>
      <c r="C34" s="845" t="s">
        <v>630</v>
      </c>
      <c r="D34" s="201">
        <v>17.55</v>
      </c>
      <c r="E34" s="407">
        <f t="shared" si="0"/>
        <v>19.305000000000003</v>
      </c>
      <c r="F34" s="407">
        <f t="shared" si="1"/>
        <v>3.3000000000000003</v>
      </c>
      <c r="G34" s="201">
        <v>3</v>
      </c>
      <c r="H34" s="161" t="s">
        <v>288</v>
      </c>
      <c r="I34" s="160" t="s">
        <v>426</v>
      </c>
      <c r="J34" s="160"/>
    </row>
    <row r="35" spans="1:10" ht="42">
      <c r="A35" s="57" t="s">
        <v>2199</v>
      </c>
      <c r="B35" s="161" t="s">
        <v>1408</v>
      </c>
      <c r="C35" s="845" t="s">
        <v>630</v>
      </c>
      <c r="D35" s="201">
        <v>6.5</v>
      </c>
      <c r="E35" s="407">
        <f t="shared" si="0"/>
        <v>7.15</v>
      </c>
      <c r="F35" s="407">
        <f t="shared" si="1"/>
        <v>29.150000000000002</v>
      </c>
      <c r="G35" s="201">
        <v>26.5</v>
      </c>
      <c r="H35" s="161" t="s">
        <v>288</v>
      </c>
      <c r="I35" s="160" t="s">
        <v>386</v>
      </c>
      <c r="J35" s="160" t="s">
        <v>814</v>
      </c>
    </row>
    <row r="36" spans="1:10" ht="21">
      <c r="A36" s="57" t="s">
        <v>2200</v>
      </c>
      <c r="B36" s="161" t="s">
        <v>1409</v>
      </c>
      <c r="C36" s="845" t="s">
        <v>630</v>
      </c>
      <c r="D36" s="201" t="s">
        <v>783</v>
      </c>
      <c r="E36" s="201" t="s">
        <v>783</v>
      </c>
      <c r="F36" s="407">
        <f t="shared" si="1"/>
        <v>8.8000000000000007</v>
      </c>
      <c r="G36" s="201">
        <v>8</v>
      </c>
      <c r="H36" s="161" t="s">
        <v>288</v>
      </c>
      <c r="I36" s="160" t="s">
        <v>1251</v>
      </c>
      <c r="J36" s="160" t="s">
        <v>814</v>
      </c>
    </row>
    <row r="37" spans="1:10" ht="42">
      <c r="A37" s="57" t="s">
        <v>2201</v>
      </c>
      <c r="B37" s="160" t="s">
        <v>1410</v>
      </c>
      <c r="C37" s="845" t="s">
        <v>630</v>
      </c>
      <c r="D37" s="201">
        <v>15</v>
      </c>
      <c r="E37" s="407">
        <f t="shared" si="0"/>
        <v>16.5</v>
      </c>
      <c r="F37" s="407">
        <f t="shared" si="1"/>
        <v>29.150000000000002</v>
      </c>
      <c r="G37" s="201">
        <v>26.5</v>
      </c>
      <c r="H37" s="219" t="s">
        <v>288</v>
      </c>
      <c r="I37" s="160" t="s">
        <v>387</v>
      </c>
      <c r="J37" s="160" t="s">
        <v>814</v>
      </c>
    </row>
    <row r="38" spans="1:10">
      <c r="A38" s="57" t="s">
        <v>2202</v>
      </c>
      <c r="B38" s="161" t="s">
        <v>1411</v>
      </c>
      <c r="C38" s="845" t="s">
        <v>630</v>
      </c>
      <c r="D38" s="201">
        <v>8.5</v>
      </c>
      <c r="E38" s="407">
        <f t="shared" si="0"/>
        <v>9.3500000000000014</v>
      </c>
      <c r="F38" s="407">
        <f t="shared" si="1"/>
        <v>29.150000000000002</v>
      </c>
      <c r="G38" s="201">
        <v>26.5</v>
      </c>
      <c r="H38" s="161" t="s">
        <v>288</v>
      </c>
      <c r="I38" s="160"/>
      <c r="J38" s="160" t="s">
        <v>814</v>
      </c>
    </row>
    <row r="39" spans="1:10" ht="21">
      <c r="A39" s="770" t="s">
        <v>2203</v>
      </c>
      <c r="B39" s="160" t="s">
        <v>1412</v>
      </c>
      <c r="C39" s="845" t="s">
        <v>630</v>
      </c>
      <c r="D39" s="201">
        <v>9.5</v>
      </c>
      <c r="E39" s="407">
        <f t="shared" si="0"/>
        <v>10.450000000000001</v>
      </c>
      <c r="F39" s="407">
        <f t="shared" si="1"/>
        <v>29.150000000000002</v>
      </c>
      <c r="G39" s="201">
        <v>26.5</v>
      </c>
      <c r="H39" s="160" t="s">
        <v>289</v>
      </c>
      <c r="I39" s="1332" t="s">
        <v>1252</v>
      </c>
      <c r="J39" s="160" t="s">
        <v>814</v>
      </c>
    </row>
    <row r="40" spans="1:10" ht="20.25" customHeight="1">
      <c r="A40" s="770" t="s">
        <v>2204</v>
      </c>
      <c r="B40" s="160" t="s">
        <v>1413</v>
      </c>
      <c r="C40" s="845" t="s">
        <v>630</v>
      </c>
      <c r="D40" s="201">
        <v>10</v>
      </c>
      <c r="E40" s="407">
        <f t="shared" si="0"/>
        <v>11</v>
      </c>
      <c r="F40" s="407">
        <f t="shared" si="1"/>
        <v>29.150000000000002</v>
      </c>
      <c r="G40" s="201">
        <v>26.5</v>
      </c>
      <c r="H40" s="160" t="s">
        <v>289</v>
      </c>
      <c r="I40" s="1332"/>
      <c r="J40" s="160" t="s">
        <v>814</v>
      </c>
    </row>
    <row r="41" spans="1:10" ht="21">
      <c r="A41" s="770" t="s">
        <v>2205</v>
      </c>
      <c r="B41" s="160" t="s">
        <v>1414</v>
      </c>
      <c r="C41" s="845" t="s">
        <v>630</v>
      </c>
      <c r="D41" s="201">
        <v>14.5</v>
      </c>
      <c r="E41" s="407">
        <f t="shared" si="0"/>
        <v>15.950000000000001</v>
      </c>
      <c r="F41" s="407">
        <f t="shared" si="1"/>
        <v>29.150000000000002</v>
      </c>
      <c r="G41" s="201">
        <v>26.5</v>
      </c>
      <c r="H41" s="160" t="s">
        <v>289</v>
      </c>
      <c r="I41" s="1332"/>
      <c r="J41" s="160" t="s">
        <v>814</v>
      </c>
    </row>
    <row r="42" spans="1:10" ht="84">
      <c r="A42" s="57" t="s">
        <v>2206</v>
      </c>
      <c r="B42" s="160" t="s">
        <v>815</v>
      </c>
      <c r="C42" s="845" t="s">
        <v>630</v>
      </c>
      <c r="D42" s="201" t="s">
        <v>783</v>
      </c>
      <c r="E42" s="201" t="s">
        <v>783</v>
      </c>
      <c r="F42" s="201" t="s">
        <v>783</v>
      </c>
      <c r="G42" s="201" t="s">
        <v>783</v>
      </c>
      <c r="H42" s="160" t="s">
        <v>374</v>
      </c>
      <c r="I42" s="160" t="s">
        <v>389</v>
      </c>
      <c r="J42" s="160" t="s">
        <v>814</v>
      </c>
    </row>
    <row r="43" spans="1:10" ht="42">
      <c r="A43" s="57" t="s">
        <v>2207</v>
      </c>
      <c r="B43" s="161" t="s">
        <v>300</v>
      </c>
      <c r="C43" s="845" t="s">
        <v>630</v>
      </c>
      <c r="D43" s="201" t="s">
        <v>539</v>
      </c>
      <c r="E43" s="201" t="s">
        <v>539</v>
      </c>
      <c r="F43" s="201" t="s">
        <v>539</v>
      </c>
      <c r="G43" s="201" t="s">
        <v>539</v>
      </c>
      <c r="H43" s="161" t="s">
        <v>288</v>
      </c>
      <c r="I43" s="160" t="s">
        <v>1253</v>
      </c>
      <c r="J43" s="160"/>
    </row>
    <row r="44" spans="1:10" ht="52.5">
      <c r="A44" s="57" t="s">
        <v>2208</v>
      </c>
      <c r="B44" s="161" t="s">
        <v>302</v>
      </c>
      <c r="C44" s="845" t="s">
        <v>630</v>
      </c>
      <c r="D44" s="201" t="s">
        <v>277</v>
      </c>
      <c r="E44" s="201" t="s">
        <v>277</v>
      </c>
      <c r="F44" s="407" t="b">
        <f>E39=SUM(G44*1.1)</f>
        <v>0</v>
      </c>
      <c r="G44" s="201">
        <v>1.89</v>
      </c>
      <c r="H44" s="161" t="s">
        <v>303</v>
      </c>
      <c r="I44" s="160" t="s">
        <v>868</v>
      </c>
      <c r="J44" s="160" t="s">
        <v>816</v>
      </c>
    </row>
    <row r="45" spans="1:10" ht="52.5">
      <c r="A45" s="57" t="s">
        <v>2209</v>
      </c>
      <c r="B45" s="161" t="s">
        <v>817</v>
      </c>
      <c r="C45" s="845" t="s">
        <v>630</v>
      </c>
      <c r="D45" s="201" t="s">
        <v>783</v>
      </c>
      <c r="E45" s="201" t="s">
        <v>783</v>
      </c>
      <c r="F45" s="407">
        <f t="shared" si="1"/>
        <v>5.5</v>
      </c>
      <c r="G45" s="201">
        <v>5</v>
      </c>
      <c r="H45" s="161" t="s">
        <v>288</v>
      </c>
      <c r="I45" s="160" t="s">
        <v>2</v>
      </c>
      <c r="J45" s="160"/>
    </row>
    <row r="46" spans="1:10" ht="178.5">
      <c r="A46" s="57" t="s">
        <v>277</v>
      </c>
      <c r="B46" s="75" t="s">
        <v>1419</v>
      </c>
      <c r="C46" s="845" t="s">
        <v>630</v>
      </c>
      <c r="D46" s="201" t="s">
        <v>783</v>
      </c>
      <c r="E46" s="201" t="s">
        <v>783</v>
      </c>
      <c r="F46" s="201" t="s">
        <v>783</v>
      </c>
      <c r="G46" s="201" t="s">
        <v>783</v>
      </c>
      <c r="H46" s="160" t="s">
        <v>305</v>
      </c>
      <c r="I46" s="160" t="s">
        <v>1257</v>
      </c>
      <c r="J46" s="160"/>
    </row>
    <row r="47" spans="1:10" s="364" customFormat="1" ht="21">
      <c r="A47" s="57" t="s">
        <v>2210</v>
      </c>
      <c r="B47" s="417" t="s">
        <v>1420</v>
      </c>
      <c r="C47" s="415" t="s">
        <v>630</v>
      </c>
      <c r="D47" s="242" t="s">
        <v>783</v>
      </c>
      <c r="E47" s="412" t="s">
        <v>783</v>
      </c>
      <c r="F47" s="412" t="s">
        <v>783</v>
      </c>
      <c r="G47" s="242" t="s">
        <v>783</v>
      </c>
      <c r="H47" s="413"/>
      <c r="I47" s="413" t="s">
        <v>426</v>
      </c>
      <c r="J47" s="413"/>
    </row>
    <row r="48" spans="1:10" s="364" customFormat="1" ht="73.5">
      <c r="A48" s="57" t="s">
        <v>2211</v>
      </c>
      <c r="B48" s="410" t="s">
        <v>818</v>
      </c>
      <c r="C48" s="411" t="s">
        <v>630</v>
      </c>
      <c r="D48" s="260" t="s">
        <v>277</v>
      </c>
      <c r="E48" s="260" t="s">
        <v>277</v>
      </c>
      <c r="F48" s="412">
        <f>SUM(G48*1.1)</f>
        <v>22</v>
      </c>
      <c r="G48" s="260">
        <v>20</v>
      </c>
      <c r="H48" s="410" t="s">
        <v>426</v>
      </c>
      <c r="I48" s="413" t="s">
        <v>417</v>
      </c>
      <c r="J48" s="413" t="s">
        <v>663</v>
      </c>
    </row>
    <row r="49" spans="1:10" ht="21">
      <c r="A49" s="57" t="s">
        <v>2212</v>
      </c>
      <c r="B49" s="161" t="s">
        <v>359</v>
      </c>
      <c r="C49" s="845" t="s">
        <v>630</v>
      </c>
      <c r="D49" s="201" t="s">
        <v>791</v>
      </c>
      <c r="E49" s="201" t="s">
        <v>791</v>
      </c>
      <c r="F49" s="407">
        <f t="shared" si="1"/>
        <v>6.6000000000000005</v>
      </c>
      <c r="G49" s="201">
        <v>6</v>
      </c>
      <c r="H49" s="161" t="s">
        <v>303</v>
      </c>
      <c r="I49" s="162"/>
      <c r="J49" s="211" t="s">
        <v>663</v>
      </c>
    </row>
    <row r="50" spans="1:10" ht="31.5">
      <c r="A50" s="57" t="s">
        <v>2213</v>
      </c>
      <c r="B50" s="161" t="s">
        <v>361</v>
      </c>
      <c r="C50" s="845" t="s">
        <v>630</v>
      </c>
      <c r="D50" s="201" t="s">
        <v>791</v>
      </c>
      <c r="E50" s="201" t="s">
        <v>791</v>
      </c>
      <c r="F50" s="407">
        <f t="shared" si="1"/>
        <v>7.7000000000000011</v>
      </c>
      <c r="G50" s="201">
        <v>7</v>
      </c>
      <c r="H50" s="161" t="s">
        <v>303</v>
      </c>
      <c r="I50" s="160"/>
      <c r="J50" s="160" t="s">
        <v>663</v>
      </c>
    </row>
    <row r="51" spans="1:10" ht="84">
      <c r="A51" s="57" t="s">
        <v>1700</v>
      </c>
      <c r="B51" s="160" t="s">
        <v>1415</v>
      </c>
      <c r="C51" s="845" t="s">
        <v>630</v>
      </c>
      <c r="D51" s="201">
        <v>7</v>
      </c>
      <c r="E51" s="407">
        <f t="shared" si="0"/>
        <v>7.7000000000000011</v>
      </c>
      <c r="F51" s="407">
        <f t="shared" si="1"/>
        <v>29.150000000000002</v>
      </c>
      <c r="G51" s="201">
        <v>26.5</v>
      </c>
      <c r="H51" s="160"/>
      <c r="I51" s="160" t="s">
        <v>1240</v>
      </c>
      <c r="J51" s="160" t="s">
        <v>814</v>
      </c>
    </row>
    <row r="52" spans="1:10" ht="31.5">
      <c r="A52" s="57" t="s">
        <v>2214</v>
      </c>
      <c r="B52" s="161" t="s">
        <v>362</v>
      </c>
      <c r="C52" s="845" t="s">
        <v>630</v>
      </c>
      <c r="D52" s="407" t="s">
        <v>277</v>
      </c>
      <c r="E52" s="407" t="s">
        <v>277</v>
      </c>
      <c r="F52" s="407">
        <f t="shared" si="1"/>
        <v>0.53900000000000003</v>
      </c>
      <c r="G52" s="201">
        <v>0.49</v>
      </c>
      <c r="H52" s="161" t="s">
        <v>288</v>
      </c>
      <c r="I52" s="160" t="s">
        <v>426</v>
      </c>
      <c r="J52" s="160"/>
    </row>
    <row r="53" spans="1:10" s="8" customFormat="1">
      <c r="A53" s="57" t="s">
        <v>277</v>
      </c>
      <c r="B53" s="160" t="s">
        <v>363</v>
      </c>
      <c r="C53" s="845" t="s">
        <v>630</v>
      </c>
      <c r="D53" s="201" t="s">
        <v>783</v>
      </c>
      <c r="E53" s="201" t="s">
        <v>783</v>
      </c>
      <c r="F53" s="201" t="s">
        <v>783</v>
      </c>
      <c r="G53" s="201" t="s">
        <v>783</v>
      </c>
      <c r="H53" s="160" t="s">
        <v>284</v>
      </c>
      <c r="I53" s="160"/>
      <c r="J53" s="160"/>
    </row>
    <row r="54" spans="1:10" s="8" customFormat="1" ht="31.5">
      <c r="A54" s="57" t="s">
        <v>2215</v>
      </c>
      <c r="B54" s="161" t="s">
        <v>1416</v>
      </c>
      <c r="C54" s="845" t="s">
        <v>630</v>
      </c>
      <c r="D54" s="201">
        <v>7</v>
      </c>
      <c r="E54" s="407">
        <f t="shared" si="0"/>
        <v>7.7000000000000011</v>
      </c>
      <c r="F54" s="407">
        <f t="shared" si="1"/>
        <v>29.150000000000002</v>
      </c>
      <c r="G54" s="201">
        <v>26.5</v>
      </c>
      <c r="H54" s="161" t="s">
        <v>288</v>
      </c>
      <c r="I54" s="160" t="s">
        <v>819</v>
      </c>
      <c r="J54" s="160" t="s">
        <v>814</v>
      </c>
    </row>
    <row r="55" spans="1:10" s="8" customFormat="1" ht="21">
      <c r="A55" s="57" t="s">
        <v>2216</v>
      </c>
      <c r="B55" s="161" t="s">
        <v>1417</v>
      </c>
      <c r="C55" s="845" t="s">
        <v>630</v>
      </c>
      <c r="D55" s="201">
        <v>6.5</v>
      </c>
      <c r="E55" s="407">
        <f t="shared" si="0"/>
        <v>7.15</v>
      </c>
      <c r="F55" s="407">
        <f t="shared" si="1"/>
        <v>29.150000000000002</v>
      </c>
      <c r="G55" s="201">
        <v>26.5</v>
      </c>
      <c r="H55" s="161" t="s">
        <v>288</v>
      </c>
      <c r="I55" s="160" t="s">
        <v>423</v>
      </c>
      <c r="J55" s="160" t="s">
        <v>814</v>
      </c>
    </row>
    <row r="56" spans="1:10" s="8" customFormat="1">
      <c r="A56" s="57" t="s">
        <v>2217</v>
      </c>
      <c r="B56" s="161" t="s">
        <v>1418</v>
      </c>
      <c r="C56" s="845" t="s">
        <v>630</v>
      </c>
      <c r="D56" s="201">
        <v>4.5</v>
      </c>
      <c r="E56" s="407">
        <f t="shared" si="0"/>
        <v>4.95</v>
      </c>
      <c r="F56" s="241" t="s">
        <v>783</v>
      </c>
      <c r="G56" s="241" t="s">
        <v>783</v>
      </c>
      <c r="H56" s="161" t="s">
        <v>368</v>
      </c>
      <c r="I56" s="160" t="s">
        <v>426</v>
      </c>
      <c r="J56" s="160" t="s">
        <v>426</v>
      </c>
    </row>
    <row r="57" spans="1:10" s="8" customFormat="1" ht="21">
      <c r="A57" s="57" t="s">
        <v>2786</v>
      </c>
      <c r="B57" s="161" t="s">
        <v>3056</v>
      </c>
      <c r="C57" s="889" t="s">
        <v>630</v>
      </c>
      <c r="D57" s="201">
        <v>0</v>
      </c>
      <c r="E57" s="1233">
        <v>0</v>
      </c>
      <c r="F57" s="407">
        <v>29.15</v>
      </c>
      <c r="G57" s="201">
        <v>26.5</v>
      </c>
      <c r="H57" s="74" t="s">
        <v>3057</v>
      </c>
      <c r="I57" s="160"/>
      <c r="J57" s="160" t="s">
        <v>3058</v>
      </c>
    </row>
    <row r="58" spans="1:10" s="8" customFormat="1" ht="11.25">
      <c r="A58" s="57" t="s">
        <v>2218</v>
      </c>
      <c r="B58" s="535" t="s">
        <v>1241</v>
      </c>
      <c r="C58" s="845" t="s">
        <v>630</v>
      </c>
      <c r="D58" s="241" t="s">
        <v>539</v>
      </c>
      <c r="E58" s="241" t="s">
        <v>539</v>
      </c>
      <c r="F58" s="241" t="s">
        <v>539</v>
      </c>
      <c r="G58" s="241" t="s">
        <v>539</v>
      </c>
      <c r="H58" s="161"/>
      <c r="I58" s="160"/>
      <c r="J58" s="160"/>
    </row>
    <row r="59" spans="1:10" s="8" customFormat="1" ht="11.25">
      <c r="A59" s="57" t="s">
        <v>3065</v>
      </c>
      <c r="B59" s="535" t="s">
        <v>1242</v>
      </c>
      <c r="C59" s="845" t="s">
        <v>630</v>
      </c>
      <c r="D59" s="241" t="s">
        <v>539</v>
      </c>
      <c r="E59" s="241" t="s">
        <v>539</v>
      </c>
      <c r="F59" s="241" t="s">
        <v>539</v>
      </c>
      <c r="G59" s="241" t="s">
        <v>539</v>
      </c>
      <c r="H59" s="161"/>
      <c r="I59" s="160"/>
      <c r="J59" s="160"/>
    </row>
    <row r="60" spans="1:10" s="8" customFormat="1" ht="11.25">
      <c r="A60" s="57" t="s">
        <v>2219</v>
      </c>
      <c r="B60" s="535" t="s">
        <v>1243</v>
      </c>
      <c r="C60" s="845" t="s">
        <v>630</v>
      </c>
      <c r="D60" s="241" t="s">
        <v>539</v>
      </c>
      <c r="E60" s="241" t="s">
        <v>539</v>
      </c>
      <c r="F60" s="241" t="s">
        <v>539</v>
      </c>
      <c r="G60" s="241" t="s">
        <v>539</v>
      </c>
      <c r="H60" s="161"/>
      <c r="I60" s="160"/>
      <c r="J60" s="160"/>
    </row>
    <row r="61" spans="1:10" ht="11.25">
      <c r="A61" s="57" t="s">
        <v>2220</v>
      </c>
      <c r="B61" s="535" t="s">
        <v>1244</v>
      </c>
      <c r="C61" s="845" t="s">
        <v>630</v>
      </c>
      <c r="D61" s="241" t="s">
        <v>539</v>
      </c>
      <c r="E61" s="241" t="s">
        <v>539</v>
      </c>
      <c r="F61" s="241" t="s">
        <v>539</v>
      </c>
      <c r="G61" s="241" t="s">
        <v>539</v>
      </c>
      <c r="H61" s="161"/>
      <c r="I61" s="160"/>
      <c r="J61" s="160"/>
    </row>
    <row r="62" spans="1:10" ht="33.75">
      <c r="A62" s="57" t="s">
        <v>2221</v>
      </c>
      <c r="B62" s="535" t="s">
        <v>1245</v>
      </c>
      <c r="C62" s="845" t="s">
        <v>630</v>
      </c>
      <c r="D62" s="201">
        <v>4.5</v>
      </c>
      <c r="E62" s="201">
        <f t="shared" ref="E62:E66" si="2">SUM(D62*1.1)</f>
        <v>4.95</v>
      </c>
      <c r="F62" s="241" t="s">
        <v>783</v>
      </c>
      <c r="G62" s="241" t="s">
        <v>783</v>
      </c>
      <c r="H62" s="161"/>
      <c r="I62" s="160"/>
      <c r="J62" s="160"/>
    </row>
    <row r="63" spans="1:10" ht="33.75">
      <c r="A63" s="57" t="s">
        <v>2222</v>
      </c>
      <c r="B63" s="535" t="s">
        <v>1246</v>
      </c>
      <c r="C63" s="845" t="s">
        <v>630</v>
      </c>
      <c r="D63" s="201">
        <v>7.1</v>
      </c>
      <c r="E63" s="201">
        <f t="shared" si="2"/>
        <v>7.8100000000000005</v>
      </c>
      <c r="F63" s="241" t="s">
        <v>783</v>
      </c>
      <c r="G63" s="241" t="s">
        <v>783</v>
      </c>
      <c r="H63" s="161"/>
      <c r="I63" s="160"/>
      <c r="J63" s="160"/>
    </row>
    <row r="64" spans="1:10" ht="33.75">
      <c r="A64" s="57" t="s">
        <v>2223</v>
      </c>
      <c r="B64" s="535" t="s">
        <v>1247</v>
      </c>
      <c r="C64" s="845" t="s">
        <v>630</v>
      </c>
      <c r="D64" s="201">
        <v>3</v>
      </c>
      <c r="E64" s="201">
        <f t="shared" si="2"/>
        <v>3.3000000000000003</v>
      </c>
      <c r="F64" s="241" t="s">
        <v>783</v>
      </c>
      <c r="G64" s="241" t="s">
        <v>783</v>
      </c>
      <c r="H64" s="161"/>
      <c r="I64" s="160"/>
      <c r="J64" s="160"/>
    </row>
    <row r="65" spans="1:10" ht="33.75">
      <c r="A65" s="57" t="s">
        <v>2224</v>
      </c>
      <c r="B65" s="535" t="s">
        <v>1248</v>
      </c>
      <c r="C65" s="845" t="s">
        <v>630</v>
      </c>
      <c r="D65" s="201">
        <v>5</v>
      </c>
      <c r="E65" s="201">
        <f t="shared" si="2"/>
        <v>5.5</v>
      </c>
      <c r="F65" s="241" t="s">
        <v>783</v>
      </c>
      <c r="G65" s="241" t="s">
        <v>783</v>
      </c>
      <c r="H65" s="161"/>
      <c r="I65" s="160"/>
      <c r="J65" s="160"/>
    </row>
    <row r="66" spans="1:10" ht="22.5">
      <c r="A66" s="57" t="s">
        <v>2225</v>
      </c>
      <c r="B66" s="535" t="s">
        <v>1249</v>
      </c>
      <c r="C66" s="845" t="s">
        <v>630</v>
      </c>
      <c r="D66" s="201">
        <v>7.1</v>
      </c>
      <c r="E66" s="201">
        <f t="shared" si="2"/>
        <v>7.8100000000000005</v>
      </c>
      <c r="F66" s="241" t="s">
        <v>783</v>
      </c>
      <c r="G66" s="241" t="s">
        <v>783</v>
      </c>
      <c r="H66" s="161"/>
      <c r="I66" s="160"/>
      <c r="J66" s="160"/>
    </row>
    <row r="67" spans="1:10" ht="168">
      <c r="A67" s="61" t="s">
        <v>2226</v>
      </c>
      <c r="B67" s="96" t="s">
        <v>307</v>
      </c>
      <c r="C67" s="845" t="s">
        <v>630</v>
      </c>
      <c r="D67" s="201">
        <v>8</v>
      </c>
      <c r="E67" s="407">
        <f t="shared" si="0"/>
        <v>8.8000000000000007</v>
      </c>
      <c r="F67" s="201" t="s">
        <v>791</v>
      </c>
      <c r="G67" s="201" t="s">
        <v>791</v>
      </c>
      <c r="H67" s="312"/>
      <c r="I67" s="149" t="s">
        <v>1250</v>
      </c>
      <c r="J67" s="818"/>
    </row>
    <row r="68" spans="1:10" ht="42">
      <c r="A68" s="764" t="s">
        <v>2174</v>
      </c>
      <c r="B68" s="843" t="s">
        <v>1385</v>
      </c>
      <c r="C68" s="845" t="s">
        <v>630</v>
      </c>
      <c r="D68" s="201">
        <v>35</v>
      </c>
      <c r="E68" s="407">
        <f t="shared" si="0"/>
        <v>38.5</v>
      </c>
      <c r="F68" s="407">
        <f t="shared" si="1"/>
        <v>49.500000000000007</v>
      </c>
      <c r="G68" s="201">
        <v>45</v>
      </c>
      <c r="H68" s="161" t="s">
        <v>342</v>
      </c>
      <c r="I68" s="96" t="s">
        <v>337</v>
      </c>
      <c r="J68" s="818" t="s">
        <v>656</v>
      </c>
    </row>
    <row r="69" spans="1:10" ht="73.5">
      <c r="A69" s="61" t="s">
        <v>2175</v>
      </c>
      <c r="B69" s="150" t="s">
        <v>1386</v>
      </c>
      <c r="C69" s="845" t="s">
        <v>630</v>
      </c>
      <c r="D69" s="201">
        <v>6.5</v>
      </c>
      <c r="E69" s="407">
        <f t="shared" si="0"/>
        <v>7.15</v>
      </c>
      <c r="F69" s="407">
        <f t="shared" si="1"/>
        <v>3.0250000000000004</v>
      </c>
      <c r="G69" s="201">
        <v>2.75</v>
      </c>
      <c r="H69" s="149" t="s">
        <v>353</v>
      </c>
      <c r="I69" s="849" t="s">
        <v>345</v>
      </c>
      <c r="J69" s="818" t="s">
        <v>656</v>
      </c>
    </row>
    <row r="70" spans="1:10" ht="73.5">
      <c r="A70" s="61" t="s">
        <v>2176</v>
      </c>
      <c r="B70" s="150" t="s">
        <v>1387</v>
      </c>
      <c r="C70" s="845" t="s">
        <v>630</v>
      </c>
      <c r="D70" s="201">
        <v>5.5</v>
      </c>
      <c r="E70" s="407">
        <f>SUM(D70*1.1)</f>
        <v>6.0500000000000007</v>
      </c>
      <c r="F70" s="407">
        <f t="shared" si="1"/>
        <v>3.0250000000000004</v>
      </c>
      <c r="G70" s="201">
        <v>2.75</v>
      </c>
      <c r="H70" s="149" t="s">
        <v>353</v>
      </c>
      <c r="I70" s="849" t="s">
        <v>345</v>
      </c>
      <c r="J70" s="818" t="s">
        <v>656</v>
      </c>
    </row>
    <row r="71" spans="1:10" ht="73.5">
      <c r="A71" s="61" t="s">
        <v>2177</v>
      </c>
      <c r="B71" s="150" t="s">
        <v>1388</v>
      </c>
      <c r="C71" s="845" t="s">
        <v>630</v>
      </c>
      <c r="D71" s="201">
        <v>4.5</v>
      </c>
      <c r="E71" s="407">
        <f t="shared" si="0"/>
        <v>4.95</v>
      </c>
      <c r="F71" s="407">
        <f t="shared" si="1"/>
        <v>3.0250000000000004</v>
      </c>
      <c r="G71" s="201">
        <v>2.75</v>
      </c>
      <c r="H71" s="149" t="s">
        <v>353</v>
      </c>
      <c r="I71" s="849" t="s">
        <v>345</v>
      </c>
      <c r="J71" s="818" t="s">
        <v>656</v>
      </c>
    </row>
    <row r="72" spans="1:10" ht="73.5">
      <c r="A72" s="61" t="s">
        <v>2178</v>
      </c>
      <c r="B72" s="150" t="s">
        <v>1389</v>
      </c>
      <c r="C72" s="845" t="s">
        <v>630</v>
      </c>
      <c r="D72" s="201">
        <v>4</v>
      </c>
      <c r="E72" s="407">
        <f t="shared" si="0"/>
        <v>4.4000000000000004</v>
      </c>
      <c r="F72" s="407">
        <f t="shared" si="1"/>
        <v>3.0250000000000004</v>
      </c>
      <c r="G72" s="201">
        <v>2.75</v>
      </c>
      <c r="H72" s="149" t="s">
        <v>353</v>
      </c>
      <c r="I72" s="849" t="s">
        <v>345</v>
      </c>
      <c r="J72" s="818" t="s">
        <v>656</v>
      </c>
    </row>
    <row r="73" spans="1:10" ht="73.5">
      <c r="A73" s="61" t="s">
        <v>2179</v>
      </c>
      <c r="B73" s="163" t="s">
        <v>1456</v>
      </c>
      <c r="C73" s="845" t="s">
        <v>630</v>
      </c>
      <c r="D73" s="201">
        <v>3</v>
      </c>
      <c r="E73" s="407">
        <f t="shared" ref="E73:E74" si="3">SUM(D73*1.1)</f>
        <v>3.3000000000000003</v>
      </c>
      <c r="F73" s="407">
        <f t="shared" ref="F73:F77" si="4">SUM(G73*1.1)</f>
        <v>3.0250000000000004</v>
      </c>
      <c r="G73" s="201">
        <v>2.75</v>
      </c>
      <c r="H73" s="149" t="s">
        <v>353</v>
      </c>
      <c r="I73" s="849" t="s">
        <v>345</v>
      </c>
      <c r="J73" s="818" t="s">
        <v>656</v>
      </c>
    </row>
    <row r="74" spans="1:10" ht="73.5">
      <c r="A74" s="61" t="s">
        <v>2180</v>
      </c>
      <c r="B74" s="150" t="s">
        <v>1390</v>
      </c>
      <c r="C74" s="845" t="s">
        <v>630</v>
      </c>
      <c r="D74" s="201">
        <v>2.5</v>
      </c>
      <c r="E74" s="407">
        <f t="shared" si="3"/>
        <v>2.75</v>
      </c>
      <c r="F74" s="407">
        <f t="shared" si="4"/>
        <v>3.0250000000000004</v>
      </c>
      <c r="G74" s="201">
        <v>2.75</v>
      </c>
      <c r="H74" s="149" t="s">
        <v>353</v>
      </c>
      <c r="I74" s="849" t="s">
        <v>345</v>
      </c>
      <c r="J74" s="818" t="s">
        <v>656</v>
      </c>
    </row>
    <row r="75" spans="1:10" ht="52.5">
      <c r="A75" s="61" t="s">
        <v>2181</v>
      </c>
      <c r="B75" s="96" t="s">
        <v>1391</v>
      </c>
      <c r="C75" s="845" t="s">
        <v>630</v>
      </c>
      <c r="D75" s="201" t="s">
        <v>277</v>
      </c>
      <c r="E75" s="201" t="s">
        <v>277</v>
      </c>
      <c r="F75" s="407">
        <f t="shared" si="4"/>
        <v>104.50000000000001</v>
      </c>
      <c r="G75" s="201">
        <v>95</v>
      </c>
      <c r="H75" s="149" t="s">
        <v>344</v>
      </c>
      <c r="I75" s="149" t="s">
        <v>346</v>
      </c>
      <c r="J75" s="818" t="s">
        <v>656</v>
      </c>
    </row>
    <row r="76" spans="1:10" ht="52.5">
      <c r="A76" s="61" t="s">
        <v>2227</v>
      </c>
      <c r="B76" s="96" t="s">
        <v>1392</v>
      </c>
      <c r="C76" s="845" t="s">
        <v>630</v>
      </c>
      <c r="D76" s="201" t="s">
        <v>277</v>
      </c>
      <c r="E76" s="201" t="s">
        <v>277</v>
      </c>
      <c r="F76" s="407">
        <f t="shared" si="4"/>
        <v>214.50000000000003</v>
      </c>
      <c r="G76" s="201">
        <v>195</v>
      </c>
      <c r="H76" s="161" t="s">
        <v>343</v>
      </c>
      <c r="I76" s="96" t="s">
        <v>338</v>
      </c>
      <c r="J76" s="818" t="s">
        <v>656</v>
      </c>
    </row>
    <row r="77" spans="1:10" ht="31.5">
      <c r="A77" s="61" t="s">
        <v>2403</v>
      </c>
      <c r="B77" s="61" t="s">
        <v>2734</v>
      </c>
      <c r="C77" s="845" t="s">
        <v>630</v>
      </c>
      <c r="D77" s="201" t="s">
        <v>277</v>
      </c>
      <c r="E77" s="201" t="s">
        <v>277</v>
      </c>
      <c r="F77" s="407">
        <f t="shared" si="4"/>
        <v>12.65</v>
      </c>
      <c r="G77" s="201">
        <v>11.5</v>
      </c>
      <c r="H77" s="161" t="s">
        <v>288</v>
      </c>
      <c r="I77" s="96" t="s">
        <v>618</v>
      </c>
      <c r="J77" s="149" t="s">
        <v>663</v>
      </c>
    </row>
    <row r="78" spans="1:10" ht="42">
      <c r="A78" s="889" t="s">
        <v>2786</v>
      </c>
      <c r="B78" s="96" t="s">
        <v>2752</v>
      </c>
      <c r="C78" s="889" t="s">
        <v>630</v>
      </c>
      <c r="D78" s="1116">
        <v>3</v>
      </c>
      <c r="E78" s="502">
        <f>SUM(D78*1.1)</f>
        <v>3.3000000000000003</v>
      </c>
      <c r="F78" s="502" t="s">
        <v>783</v>
      </c>
      <c r="G78" s="1116" t="s">
        <v>783</v>
      </c>
      <c r="H78" s="889"/>
      <c r="I78" s="155" t="s">
        <v>2865</v>
      </c>
      <c r="J78" s="894"/>
    </row>
    <row r="79" spans="1:10" ht="21">
      <c r="A79" s="889" t="s">
        <v>2786</v>
      </c>
      <c r="B79" s="96" t="s">
        <v>2753</v>
      </c>
      <c r="C79" s="889" t="s">
        <v>630</v>
      </c>
      <c r="D79" s="1116" t="s">
        <v>783</v>
      </c>
      <c r="E79" s="502" t="s">
        <v>783</v>
      </c>
      <c r="F79" s="502" t="s">
        <v>783</v>
      </c>
      <c r="G79" s="1116" t="s">
        <v>783</v>
      </c>
      <c r="H79" s="895"/>
      <c r="I79" s="155"/>
      <c r="J79" s="818"/>
    </row>
    <row r="80" spans="1:10" ht="42">
      <c r="A80" s="889" t="s">
        <v>2786</v>
      </c>
      <c r="B80" s="160" t="s">
        <v>2754</v>
      </c>
      <c r="C80" s="889" t="s">
        <v>630</v>
      </c>
      <c r="D80" s="1117">
        <v>0.45</v>
      </c>
      <c r="E80" s="502">
        <f>SUM(D80*1.1)</f>
        <v>0.49500000000000005</v>
      </c>
      <c r="F80" s="502" t="s">
        <v>783</v>
      </c>
      <c r="G80" s="1116" t="s">
        <v>783</v>
      </c>
      <c r="H80" s="1118"/>
      <c r="I80" s="155" t="s">
        <v>2755</v>
      </c>
      <c r="J80" s="818"/>
    </row>
    <row r="81" spans="1:10" s="98" customFormat="1" ht="75" customHeight="1">
      <c r="A81" s="889" t="s">
        <v>2786</v>
      </c>
      <c r="B81" s="160" t="s">
        <v>2756</v>
      </c>
      <c r="C81" s="889" t="s">
        <v>630</v>
      </c>
      <c r="D81" s="1116" t="s">
        <v>783</v>
      </c>
      <c r="E81" s="1116" t="s">
        <v>783</v>
      </c>
      <c r="F81" s="502" t="s">
        <v>783</v>
      </c>
      <c r="G81" s="1116" t="s">
        <v>783</v>
      </c>
      <c r="H81" s="1118"/>
      <c r="I81" s="155" t="s">
        <v>2755</v>
      </c>
      <c r="J81" s="818"/>
    </row>
    <row r="82" spans="1:10" s="98" customFormat="1" ht="75" customHeight="1">
      <c r="A82" s="889" t="s">
        <v>2786</v>
      </c>
      <c r="B82" s="160" t="s">
        <v>2757</v>
      </c>
      <c r="C82" s="889" t="s">
        <v>630</v>
      </c>
      <c r="D82" s="1116" t="s">
        <v>783</v>
      </c>
      <c r="E82" s="1116" t="s">
        <v>783</v>
      </c>
      <c r="F82" s="502" t="s">
        <v>783</v>
      </c>
      <c r="G82" s="1116" t="s">
        <v>783</v>
      </c>
      <c r="H82" s="1118"/>
      <c r="I82" s="155" t="s">
        <v>2755</v>
      </c>
      <c r="J82" s="818"/>
    </row>
    <row r="83" spans="1:10" s="98" customFormat="1" ht="75" customHeight="1">
      <c r="A83" s="889" t="s">
        <v>2786</v>
      </c>
      <c r="B83" s="160" t="s">
        <v>2758</v>
      </c>
      <c r="C83" s="889" t="s">
        <v>630</v>
      </c>
      <c r="D83" s="1116">
        <v>1.2</v>
      </c>
      <c r="E83" s="502">
        <f t="shared" ref="E83:E90" si="5">SUM(D83*1.1)</f>
        <v>1.32</v>
      </c>
      <c r="F83" s="502">
        <f t="shared" ref="F83:F90" si="6">SUM(G83*1.1)</f>
        <v>9.9</v>
      </c>
      <c r="G83" s="502">
        <v>9</v>
      </c>
      <c r="H83" s="1118"/>
      <c r="I83" s="155" t="s">
        <v>2755</v>
      </c>
      <c r="J83" s="818"/>
    </row>
    <row r="84" spans="1:10" s="98" customFormat="1" ht="75" customHeight="1">
      <c r="A84" s="889" t="s">
        <v>2786</v>
      </c>
      <c r="B84" s="160" t="s">
        <v>2761</v>
      </c>
      <c r="C84" s="889" t="s">
        <v>630</v>
      </c>
      <c r="D84" s="1117">
        <v>1.2</v>
      </c>
      <c r="E84" s="502">
        <f t="shared" si="5"/>
        <v>1.32</v>
      </c>
      <c r="F84" s="502">
        <f t="shared" si="6"/>
        <v>9.9</v>
      </c>
      <c r="G84" s="502">
        <v>9</v>
      </c>
      <c r="H84" s="889"/>
      <c r="I84" s="160" t="s">
        <v>2790</v>
      </c>
      <c r="J84" s="818"/>
    </row>
    <row r="85" spans="1:10" s="98" customFormat="1" ht="75" customHeight="1">
      <c r="A85" s="889" t="s">
        <v>2786</v>
      </c>
      <c r="B85" s="160" t="s">
        <v>2762</v>
      </c>
      <c r="C85" s="889" t="s">
        <v>630</v>
      </c>
      <c r="D85" s="1117">
        <v>1.2</v>
      </c>
      <c r="E85" s="502">
        <f t="shared" si="5"/>
        <v>1.32</v>
      </c>
      <c r="F85" s="502">
        <f t="shared" si="6"/>
        <v>9.9</v>
      </c>
      <c r="G85" s="502">
        <v>9</v>
      </c>
      <c r="H85" s="889"/>
      <c r="I85" s="160" t="s">
        <v>2791</v>
      </c>
      <c r="J85" s="818"/>
    </row>
    <row r="86" spans="1:10" s="98" customFormat="1" ht="75" customHeight="1">
      <c r="A86" s="889" t="s">
        <v>2786</v>
      </c>
      <c r="B86" s="160" t="s">
        <v>2763</v>
      </c>
      <c r="C86" s="889" t="s">
        <v>630</v>
      </c>
      <c r="D86" s="1117">
        <v>1.6</v>
      </c>
      <c r="E86" s="502">
        <f t="shared" si="5"/>
        <v>1.7600000000000002</v>
      </c>
      <c r="F86" s="502">
        <f t="shared" si="6"/>
        <v>9.9</v>
      </c>
      <c r="G86" s="502">
        <v>9</v>
      </c>
      <c r="H86" s="889"/>
      <c r="I86" s="160" t="s">
        <v>2792</v>
      </c>
      <c r="J86" s="818"/>
    </row>
    <row r="87" spans="1:10" s="98" customFormat="1" ht="75" customHeight="1">
      <c r="A87" s="889" t="s">
        <v>2786</v>
      </c>
      <c r="B87" s="161" t="s">
        <v>2764</v>
      </c>
      <c r="C87" s="889" t="s">
        <v>630</v>
      </c>
      <c r="D87" s="1117">
        <v>1.2</v>
      </c>
      <c r="E87" s="502">
        <f t="shared" si="5"/>
        <v>1.32</v>
      </c>
      <c r="F87" s="502">
        <f t="shared" si="6"/>
        <v>4.4000000000000004</v>
      </c>
      <c r="G87" s="502">
        <v>4</v>
      </c>
      <c r="H87" s="1121"/>
      <c r="I87" s="160" t="s">
        <v>2793</v>
      </c>
      <c r="J87" s="818"/>
    </row>
    <row r="88" spans="1:10" s="98" customFormat="1" ht="75" customHeight="1">
      <c r="A88" s="889" t="s">
        <v>2786</v>
      </c>
      <c r="B88" s="160" t="s">
        <v>2765</v>
      </c>
      <c r="C88" s="889" t="s">
        <v>630</v>
      </c>
      <c r="D88" s="1117">
        <v>1.05</v>
      </c>
      <c r="E88" s="502">
        <f t="shared" si="5"/>
        <v>1.1550000000000002</v>
      </c>
      <c r="F88" s="502">
        <f t="shared" si="6"/>
        <v>9.9</v>
      </c>
      <c r="G88" s="502">
        <v>9</v>
      </c>
      <c r="H88" s="1121"/>
      <c r="I88" s="160" t="s">
        <v>2793</v>
      </c>
      <c r="J88" s="818"/>
    </row>
    <row r="89" spans="1:10" s="98" customFormat="1" ht="75" customHeight="1">
      <c r="A89" s="889" t="s">
        <v>2786</v>
      </c>
      <c r="B89" s="160" t="s">
        <v>2766</v>
      </c>
      <c r="C89" s="889" t="s">
        <v>630</v>
      </c>
      <c r="D89" s="1117">
        <v>1.05</v>
      </c>
      <c r="E89" s="502">
        <f t="shared" si="5"/>
        <v>1.1550000000000002</v>
      </c>
      <c r="F89" s="502">
        <f t="shared" si="6"/>
        <v>9.9</v>
      </c>
      <c r="G89" s="502">
        <v>9</v>
      </c>
      <c r="H89" s="1121"/>
      <c r="I89" s="160" t="s">
        <v>2793</v>
      </c>
      <c r="J89" s="818"/>
    </row>
    <row r="90" spans="1:10" s="98" customFormat="1" ht="75" customHeight="1">
      <c r="A90" s="889" t="s">
        <v>2786</v>
      </c>
      <c r="B90" s="160" t="s">
        <v>2767</v>
      </c>
      <c r="C90" s="889" t="s">
        <v>630</v>
      </c>
      <c r="D90" s="1117">
        <v>1.05</v>
      </c>
      <c r="E90" s="502">
        <f t="shared" si="5"/>
        <v>1.1550000000000002</v>
      </c>
      <c r="F90" s="502">
        <f t="shared" si="6"/>
        <v>9.9</v>
      </c>
      <c r="G90" s="502">
        <v>9</v>
      </c>
      <c r="H90" s="1121"/>
      <c r="I90" s="160" t="s">
        <v>2793</v>
      </c>
      <c r="J90" s="818"/>
    </row>
    <row r="91" spans="1:10" s="98" customFormat="1" ht="36" customHeight="1">
      <c r="A91" s="889" t="s">
        <v>2786</v>
      </c>
      <c r="B91" s="160" t="s">
        <v>615</v>
      </c>
      <c r="C91" s="889" t="s">
        <v>630</v>
      </c>
      <c r="D91" s="1117" t="s">
        <v>783</v>
      </c>
      <c r="E91" s="1117" t="s">
        <v>783</v>
      </c>
      <c r="F91" s="1117" t="s">
        <v>783</v>
      </c>
      <c r="G91" s="1117" t="s">
        <v>783</v>
      </c>
      <c r="H91" s="889" t="s">
        <v>2795</v>
      </c>
      <c r="I91" s="160"/>
      <c r="J91" s="818"/>
    </row>
    <row r="92" spans="1:10" ht="21">
      <c r="A92" s="889" t="s">
        <v>2786</v>
      </c>
      <c r="B92" s="160" t="s">
        <v>2782</v>
      </c>
      <c r="C92" s="889" t="s">
        <v>630</v>
      </c>
      <c r="D92" s="1117" t="s">
        <v>783</v>
      </c>
      <c r="E92" s="1117" t="s">
        <v>783</v>
      </c>
      <c r="F92" s="1117" t="s">
        <v>783</v>
      </c>
      <c r="G92" s="1117" t="s">
        <v>783</v>
      </c>
      <c r="H92" s="889" t="s">
        <v>2795</v>
      </c>
      <c r="I92" s="160"/>
      <c r="J92" s="818"/>
    </row>
    <row r="93" spans="1:10" ht="23.25" customHeight="1">
      <c r="A93" s="889" t="s">
        <v>2786</v>
      </c>
      <c r="B93" s="161" t="s">
        <v>2785</v>
      </c>
      <c r="C93" s="889" t="s">
        <v>630</v>
      </c>
      <c r="D93" s="1117">
        <v>0.7</v>
      </c>
      <c r="E93" s="502">
        <f t="shared" ref="E93:E99" si="7">SUM(D93*1.1)</f>
        <v>0.77</v>
      </c>
      <c r="F93" s="502">
        <f t="shared" ref="F93:F100" si="8">SUM(G93*1.1)</f>
        <v>5.5</v>
      </c>
      <c r="G93" s="502">
        <v>5</v>
      </c>
      <c r="H93" s="161" t="s">
        <v>288</v>
      </c>
      <c r="I93" s="818" t="s">
        <v>2794</v>
      </c>
      <c r="J93" s="818"/>
    </row>
    <row r="94" spans="1:10" ht="31.5">
      <c r="A94" s="889" t="s">
        <v>2786</v>
      </c>
      <c r="B94" s="160" t="s">
        <v>2770</v>
      </c>
      <c r="C94" s="889" t="s">
        <v>630</v>
      </c>
      <c r="D94" s="1117">
        <v>2.8</v>
      </c>
      <c r="E94" s="502">
        <f t="shared" si="7"/>
        <v>3.08</v>
      </c>
      <c r="F94" s="502">
        <f t="shared" si="8"/>
        <v>1.1000000000000001</v>
      </c>
      <c r="G94" s="502">
        <v>1</v>
      </c>
      <c r="H94" s="889" t="s">
        <v>2795</v>
      </c>
      <c r="I94" s="818" t="s">
        <v>2794</v>
      </c>
      <c r="J94" s="818"/>
    </row>
    <row r="95" spans="1:10" ht="21">
      <c r="A95" s="889" t="s">
        <v>2786</v>
      </c>
      <c r="B95" s="161" t="s">
        <v>2771</v>
      </c>
      <c r="C95" s="889" t="s">
        <v>630</v>
      </c>
      <c r="D95" s="1117">
        <v>0.8</v>
      </c>
      <c r="E95" s="502">
        <f t="shared" si="7"/>
        <v>0.88000000000000012</v>
      </c>
      <c r="F95" s="502">
        <f t="shared" si="8"/>
        <v>9.9</v>
      </c>
      <c r="G95" s="502">
        <v>9</v>
      </c>
      <c r="H95" s="889" t="s">
        <v>2795</v>
      </c>
      <c r="I95" s="818" t="s">
        <v>2794</v>
      </c>
      <c r="J95" s="818"/>
    </row>
    <row r="96" spans="1:10" s="19" customFormat="1" ht="31.5">
      <c r="A96" s="889" t="s">
        <v>2786</v>
      </c>
      <c r="B96" s="160" t="s">
        <v>2772</v>
      </c>
      <c r="C96" s="889" t="s">
        <v>630</v>
      </c>
      <c r="D96" s="1117">
        <v>2</v>
      </c>
      <c r="E96" s="502">
        <f t="shared" si="7"/>
        <v>2.2000000000000002</v>
      </c>
      <c r="F96" s="502">
        <f t="shared" si="8"/>
        <v>4.4000000000000004</v>
      </c>
      <c r="G96" s="502">
        <v>4</v>
      </c>
      <c r="H96" s="889" t="s">
        <v>2795</v>
      </c>
      <c r="I96" s="818" t="s">
        <v>2794</v>
      </c>
      <c r="J96" s="818"/>
    </row>
    <row r="97" spans="1:10" ht="31.5">
      <c r="A97" s="889" t="s">
        <v>2786</v>
      </c>
      <c r="B97" s="160" t="s">
        <v>2773</v>
      </c>
      <c r="C97" s="889" t="s">
        <v>630</v>
      </c>
      <c r="D97" s="1117">
        <v>2</v>
      </c>
      <c r="E97" s="502">
        <f t="shared" si="7"/>
        <v>2.2000000000000002</v>
      </c>
      <c r="F97" s="502">
        <f t="shared" si="8"/>
        <v>4.4000000000000004</v>
      </c>
      <c r="G97" s="502">
        <v>4</v>
      </c>
      <c r="H97" s="889" t="s">
        <v>2795</v>
      </c>
      <c r="I97" s="818" t="s">
        <v>2794</v>
      </c>
      <c r="J97" s="818"/>
    </row>
    <row r="98" spans="1:10" ht="31.5">
      <c r="A98" s="889" t="s">
        <v>2786</v>
      </c>
      <c r="B98" s="160" t="s">
        <v>2774</v>
      </c>
      <c r="C98" s="889" t="s">
        <v>630</v>
      </c>
      <c r="D98" s="1116">
        <v>3.6</v>
      </c>
      <c r="E98" s="502">
        <f t="shared" si="7"/>
        <v>3.9600000000000004</v>
      </c>
      <c r="F98" s="502">
        <f t="shared" si="8"/>
        <v>5.5</v>
      </c>
      <c r="G98" s="502">
        <v>5</v>
      </c>
      <c r="H98" s="889" t="s">
        <v>2795</v>
      </c>
      <c r="I98" s="818" t="s">
        <v>2794</v>
      </c>
      <c r="J98" s="818"/>
    </row>
    <row r="99" spans="1:10" ht="25.5" customHeight="1">
      <c r="A99" s="889" t="s">
        <v>2786</v>
      </c>
      <c r="B99" s="160" t="s">
        <v>2760</v>
      </c>
      <c r="C99" s="889" t="s">
        <v>630</v>
      </c>
      <c r="D99" s="1117">
        <v>1.2</v>
      </c>
      <c r="E99" s="502">
        <f t="shared" si="7"/>
        <v>1.32</v>
      </c>
      <c r="F99" s="502">
        <f t="shared" si="8"/>
        <v>4.4000000000000004</v>
      </c>
      <c r="G99" s="1116">
        <v>4</v>
      </c>
      <c r="H99" s="889" t="s">
        <v>2795</v>
      </c>
      <c r="I99" s="818" t="s">
        <v>2794</v>
      </c>
      <c r="J99" s="818"/>
    </row>
    <row r="100" spans="1:10" ht="42">
      <c r="A100" s="889" t="s">
        <v>2786</v>
      </c>
      <c r="B100" s="160" t="s">
        <v>2788</v>
      </c>
      <c r="C100" s="889" t="s">
        <v>630</v>
      </c>
      <c r="D100" s="180" t="s">
        <v>783</v>
      </c>
      <c r="E100" s="502" t="s">
        <v>783</v>
      </c>
      <c r="F100" s="409">
        <f t="shared" si="8"/>
        <v>4.4000000000000004</v>
      </c>
      <c r="G100" s="502">
        <v>4</v>
      </c>
      <c r="H100" s="160"/>
      <c r="I100" s="160" t="s">
        <v>1467</v>
      </c>
      <c r="J100" s="818"/>
    </row>
    <row r="101" spans="1:10">
      <c r="A101" s="889"/>
      <c r="B101" s="1326" t="s">
        <v>2864</v>
      </c>
      <c r="C101" s="1326"/>
      <c r="D101" s="1326"/>
      <c r="E101" s="1326"/>
      <c r="F101" s="1326"/>
      <c r="G101" s="1326"/>
      <c r="H101" s="1326"/>
      <c r="I101" s="1326"/>
      <c r="J101" s="818"/>
    </row>
    <row r="102" spans="1:10" ht="20.25" customHeight="1">
      <c r="A102" s="889"/>
      <c r="B102" s="1323" t="s">
        <v>2775</v>
      </c>
      <c r="C102" s="1324"/>
      <c r="D102" s="1324"/>
      <c r="E102" s="1324"/>
      <c r="F102" s="1324"/>
      <c r="G102" s="1324"/>
      <c r="H102" s="1324"/>
      <c r="I102" s="1325"/>
      <c r="J102" s="818"/>
    </row>
  </sheetData>
  <mergeCells count="19">
    <mergeCell ref="B2:D2"/>
    <mergeCell ref="H2:I4"/>
    <mergeCell ref="J2:J6"/>
    <mergeCell ref="A5:B6"/>
    <mergeCell ref="H5:I6"/>
    <mergeCell ref="F6:G6"/>
    <mergeCell ref="E2:G4"/>
    <mergeCell ref="B102:I102"/>
    <mergeCell ref="B101:I101"/>
    <mergeCell ref="J7:J8"/>
    <mergeCell ref="C7:C8"/>
    <mergeCell ref="D7:D8"/>
    <mergeCell ref="E7:E8"/>
    <mergeCell ref="F7:F8"/>
    <mergeCell ref="G7:G8"/>
    <mergeCell ref="H7:I8"/>
    <mergeCell ref="B10:G10"/>
    <mergeCell ref="B12:G12"/>
    <mergeCell ref="I39:I41"/>
  </mergeCells>
  <pageMargins left="0.75" right="0.75" top="1" bottom="1" header="0.5" footer="0.5"/>
  <pageSetup scale="79" orientation="landscape" r:id="rId1"/>
  <headerFooter>
    <oddHeader>&amp;L&amp;F&amp;C&amp;A&amp;R&amp;G</oddHeader>
    <oddFooter>&amp;C&amp;"Tahoma,Italic"Use or disclosure of the data on this page or screen is subject to the restrictions on the title page or opening view screen of this proposal document or file.&amp;R&amp;P of &amp;N</oddFooter>
  </headerFooter>
  <ignoredErrors>
    <ignoredError sqref="B12:E12 C36 B51:D55 C77 G77 B37:D37 B16:C17 G37:G41 G36 B43:D43 G43 G44 F45:G45 B44:C45 G49:G55 G48 B67:D72 C56 B23:D26 G23:G35 B34:D35 B32:B33 D32:D33 G67:G76 B48:C50 C46 B74:D76 C73:D73 B11:C11 E11 B14:E15 B13:C13 E13 B28:D31 B27:C27 B39:D40 B38:C38 B41:C42 E56 B58:C66 E62:E66 G18:G22 B18:D22 F12:G12 F14:G15" unlockedFormula="1"/>
    <ignoredError sqref="E18:E21 F25:F35 E37:E41 F36 E51 F49:F50 E54:E55 F71:F74 F52 E68:E69 F75:F77 E67 E24 E71:E74 F70 F18:F21 F37:F41 F51 F54:F55 F68:F69 E25:E35" evalError="1" unlockedFormula="1"/>
  </ignoredErrors>
  <legacyDrawingHF r:id="rId2"/>
</worksheet>
</file>

<file path=xl/worksheets/sheet7.xml><?xml version="1.0" encoding="utf-8"?>
<worksheet xmlns="http://schemas.openxmlformats.org/spreadsheetml/2006/main" xmlns:r="http://schemas.openxmlformats.org/officeDocument/2006/relationships">
  <sheetPr>
    <tabColor rgb="FFFF0000"/>
    <pageSetUpPr fitToPage="1"/>
  </sheetPr>
  <dimension ref="A1:R1325"/>
  <sheetViews>
    <sheetView zoomScaleNormal="100" zoomScaleSheetLayoutView="100" workbookViewId="0">
      <selection activeCell="A15" sqref="A15"/>
    </sheetView>
  </sheetViews>
  <sheetFormatPr defaultRowHeight="10.5"/>
  <cols>
    <col min="1" max="1" width="17" style="818" customWidth="1"/>
    <col min="2" max="2" width="23" style="868" customWidth="1"/>
    <col min="3" max="3" width="13.5" style="230" customWidth="1"/>
    <col min="4" max="4" width="13" style="818" hidden="1" customWidth="1"/>
    <col min="5" max="5" width="13.5" style="818" customWidth="1"/>
    <col min="6" max="6" width="10" style="818" customWidth="1"/>
    <col min="7" max="7" width="11.5" style="818" hidden="1" customWidth="1"/>
    <col min="8" max="8" width="12.1640625" style="868" customWidth="1"/>
    <col min="9" max="9" width="18" style="868" customWidth="1"/>
    <col min="10" max="10" width="32.33203125" style="868" customWidth="1"/>
    <col min="11" max="11" width="9.33203125" style="4" customWidth="1"/>
  </cols>
  <sheetData>
    <row r="1" spans="1:18" ht="15" customHeight="1">
      <c r="A1" s="226" t="s">
        <v>424</v>
      </c>
      <c r="B1" s="854"/>
      <c r="C1" s="855"/>
      <c r="D1" s="856"/>
      <c r="E1" s="226"/>
      <c r="F1" s="857"/>
      <c r="G1" s="858"/>
      <c r="H1" s="226"/>
      <c r="I1" s="226"/>
      <c r="J1" s="226"/>
    </row>
    <row r="2" spans="1:18" s="81" customFormat="1" ht="11.25" customHeight="1">
      <c r="A2" s="379" t="s">
        <v>425</v>
      </c>
      <c r="B2" s="1339" t="s">
        <v>370</v>
      </c>
      <c r="C2" s="1339"/>
      <c r="D2" s="1339"/>
      <c r="E2" s="1340" t="s">
        <v>622</v>
      </c>
      <c r="F2" s="1340"/>
      <c r="G2" s="1340"/>
      <c r="H2" s="1341" t="s">
        <v>623</v>
      </c>
      <c r="I2" s="1341"/>
      <c r="J2" s="1335" t="s">
        <v>631</v>
      </c>
      <c r="K2" s="147"/>
    </row>
    <row r="3" spans="1:18" s="81" customFormat="1" ht="10.5" customHeight="1">
      <c r="A3" s="419" t="s">
        <v>426</v>
      </c>
      <c r="B3" s="437"/>
      <c r="C3" s="419"/>
      <c r="D3" s="419"/>
      <c r="E3" s="1340"/>
      <c r="F3" s="1340"/>
      <c r="G3" s="1340"/>
      <c r="H3" s="1341"/>
      <c r="I3" s="1341"/>
      <c r="J3" s="1335"/>
      <c r="K3" s="147"/>
    </row>
    <row r="4" spans="1:18" s="81" customFormat="1" ht="10.5" customHeight="1">
      <c r="A4" s="419"/>
      <c r="B4" s="437"/>
      <c r="C4" s="419"/>
      <c r="D4" s="419"/>
      <c r="E4" s="1340"/>
      <c r="F4" s="1340"/>
      <c r="G4" s="1340"/>
      <c r="H4" s="1341"/>
      <c r="I4" s="1341"/>
      <c r="J4" s="1335"/>
      <c r="K4" s="147"/>
    </row>
    <row r="5" spans="1:18" s="81" customFormat="1" ht="12" customHeight="1">
      <c r="A5" s="1313" t="s">
        <v>1330</v>
      </c>
      <c r="B5" s="1313"/>
      <c r="C5" s="386"/>
      <c r="D5" s="866"/>
      <c r="E5" s="866"/>
      <c r="F5" s="1238"/>
      <c r="G5" s="1238"/>
      <c r="H5" s="1341" t="s">
        <v>625</v>
      </c>
      <c r="I5" s="1341"/>
      <c r="J5" s="1335"/>
      <c r="K5" s="147"/>
    </row>
    <row r="6" spans="1:18" ht="69.75" customHeight="1">
      <c r="A6" s="1313"/>
      <c r="B6" s="1313"/>
      <c r="C6" s="862"/>
      <c r="D6" s="237"/>
      <c r="E6" s="237"/>
      <c r="F6" s="1533"/>
      <c r="G6" s="1533"/>
      <c r="H6" s="1341"/>
      <c r="I6" s="1341"/>
      <c r="J6" s="1335"/>
    </row>
    <row r="7" spans="1:18" ht="21" customHeight="1">
      <c r="A7" s="867" t="s">
        <v>653</v>
      </c>
      <c r="B7" s="864" t="s">
        <v>428</v>
      </c>
      <c r="C7" s="1311" t="s">
        <v>429</v>
      </c>
      <c r="D7" s="1317" t="s">
        <v>620</v>
      </c>
      <c r="E7" s="1318" t="s">
        <v>432</v>
      </c>
      <c r="F7" s="1332" t="s">
        <v>430</v>
      </c>
      <c r="G7" s="1317" t="s">
        <v>621</v>
      </c>
      <c r="H7" s="1328" t="s">
        <v>431</v>
      </c>
      <c r="I7" s="1328"/>
      <c r="J7" s="1327" t="s">
        <v>627</v>
      </c>
    </row>
    <row r="8" spans="1:18" ht="21" customHeight="1">
      <c r="A8" s="860"/>
      <c r="B8" s="99"/>
      <c r="C8" s="1311"/>
      <c r="D8" s="1317"/>
      <c r="E8" s="1318"/>
      <c r="F8" s="1332"/>
      <c r="G8" s="1317"/>
      <c r="H8" s="1328"/>
      <c r="I8" s="1328"/>
      <c r="J8" s="1327"/>
    </row>
    <row r="9" spans="1:18" s="30" customFormat="1" ht="12.75">
      <c r="A9" s="429"/>
      <c r="B9" s="357" t="s">
        <v>274</v>
      </c>
      <c r="C9" s="330"/>
      <c r="D9" s="330"/>
      <c r="E9" s="861"/>
      <c r="F9" s="330"/>
      <c r="G9" s="330"/>
      <c r="H9" s="330"/>
      <c r="I9" s="330"/>
      <c r="J9" s="330"/>
      <c r="K9" s="822"/>
    </row>
    <row r="10" spans="1:18" ht="20.25" customHeight="1">
      <c r="A10" s="135"/>
      <c r="B10" s="1338" t="s">
        <v>433</v>
      </c>
      <c r="C10" s="1314"/>
      <c r="D10" s="1314"/>
      <c r="E10" s="1314"/>
      <c r="F10" s="1314"/>
      <c r="G10" s="1314"/>
      <c r="H10" s="860"/>
      <c r="I10" s="201"/>
      <c r="J10" s="1239"/>
      <c r="K10" s="159"/>
      <c r="L10" s="8"/>
      <c r="M10" s="8"/>
      <c r="N10" s="8"/>
      <c r="O10" s="8"/>
      <c r="P10" s="8"/>
      <c r="Q10" s="8"/>
      <c r="R10" s="8"/>
    </row>
    <row r="11" spans="1:18" s="164" customFormat="1" ht="37.5" customHeight="1">
      <c r="A11" s="57" t="s">
        <v>1680</v>
      </c>
      <c r="B11" s="155" t="s">
        <v>433</v>
      </c>
      <c r="C11" s="864" t="s">
        <v>628</v>
      </c>
      <c r="D11" s="201">
        <v>22</v>
      </c>
      <c r="E11" s="180">
        <f>SUM(D11*1.1)</f>
        <v>24.200000000000003</v>
      </c>
      <c r="F11" s="201">
        <v>25.21</v>
      </c>
      <c r="G11" s="201">
        <f>(F11-(F11*10%))</f>
        <v>22.689</v>
      </c>
      <c r="H11" s="215"/>
      <c r="I11" s="201"/>
      <c r="J11" s="160" t="s">
        <v>684</v>
      </c>
      <c r="K11" s="823"/>
    </row>
    <row r="12" spans="1:18">
      <c r="A12" s="57"/>
      <c r="B12" s="1337" t="s">
        <v>434</v>
      </c>
      <c r="C12" s="1337"/>
      <c r="D12" s="1337"/>
      <c r="E12" s="1337"/>
      <c r="F12" s="1337"/>
      <c r="G12" s="1337"/>
      <c r="H12" s="304"/>
      <c r="I12" s="201"/>
      <c r="J12" s="237"/>
      <c r="K12" s="159"/>
      <c r="L12" s="8"/>
      <c r="M12" s="8"/>
      <c r="N12" s="8"/>
      <c r="O12" s="8"/>
      <c r="P12" s="8"/>
      <c r="Q12" s="8"/>
      <c r="R12" s="8"/>
    </row>
    <row r="13" spans="1:18" ht="24" customHeight="1">
      <c r="A13" s="57" t="s">
        <v>1681</v>
      </c>
      <c r="B13" s="155" t="s">
        <v>434</v>
      </c>
      <c r="C13" s="864" t="s">
        <v>628</v>
      </c>
      <c r="D13" s="180">
        <v>31.74</v>
      </c>
      <c r="E13" s="180">
        <f>SUM(D13*1.1)</f>
        <v>34.914000000000001</v>
      </c>
      <c r="F13" s="201">
        <v>25.21</v>
      </c>
      <c r="G13" s="201">
        <f>(F13-(F13*10%))</f>
        <v>22.689</v>
      </c>
      <c r="H13" s="215"/>
      <c r="I13" s="201"/>
      <c r="J13" s="220" t="s">
        <v>723</v>
      </c>
      <c r="K13" s="159"/>
      <c r="L13" s="8"/>
      <c r="M13" s="8"/>
      <c r="N13" s="8"/>
      <c r="O13" s="8"/>
      <c r="P13" s="8"/>
      <c r="Q13" s="8"/>
      <c r="R13" s="8"/>
    </row>
    <row r="14" spans="1:18" s="4" customFormat="1">
      <c r="A14" s="57"/>
      <c r="B14" s="865"/>
      <c r="C14" s="96"/>
      <c r="D14" s="201"/>
      <c r="E14" s="865"/>
      <c r="F14" s="201"/>
      <c r="G14" s="201"/>
      <c r="H14" s="406"/>
      <c r="I14" s="201"/>
      <c r="J14" s="1240"/>
      <c r="K14" s="159"/>
    </row>
    <row r="15" spans="1:18" s="30" customFormat="1" ht="12.75">
      <c r="A15" s="57"/>
      <c r="B15" s="357" t="s">
        <v>395</v>
      </c>
      <c r="C15" s="864"/>
      <c r="D15" s="864"/>
      <c r="E15" s="852"/>
      <c r="F15" s="864"/>
      <c r="G15" s="864"/>
      <c r="H15" s="406"/>
      <c r="I15" s="330"/>
      <c r="J15" s="330"/>
      <c r="K15" s="159"/>
    </row>
    <row r="16" spans="1:18" s="30" customFormat="1" ht="52.5">
      <c r="A16" s="135" t="s">
        <v>2786</v>
      </c>
      <c r="B16" s="160" t="s">
        <v>3061</v>
      </c>
      <c r="C16" s="889" t="s">
        <v>628</v>
      </c>
      <c r="D16" s="889">
        <v>1.94</v>
      </c>
      <c r="E16" s="180">
        <f>SUM(D16*1.1)</f>
        <v>2.1339999999999999</v>
      </c>
      <c r="F16" s="889" t="s">
        <v>277</v>
      </c>
      <c r="G16" s="889" t="s">
        <v>277</v>
      </c>
      <c r="H16" s="216"/>
      <c r="I16" s="156" t="s">
        <v>3062</v>
      </c>
      <c r="J16" s="88" t="s">
        <v>3063</v>
      </c>
      <c r="K16" s="159"/>
    </row>
    <row r="17" spans="1:18" ht="73.5">
      <c r="A17" s="57" t="s">
        <v>277</v>
      </c>
      <c r="B17" s="160" t="s">
        <v>281</v>
      </c>
      <c r="C17" s="864" t="s">
        <v>628</v>
      </c>
      <c r="D17" s="850" t="s">
        <v>783</v>
      </c>
      <c r="E17" s="850" t="s">
        <v>783</v>
      </c>
      <c r="F17" s="201" t="s">
        <v>783</v>
      </c>
      <c r="G17" s="201" t="s">
        <v>783</v>
      </c>
      <c r="H17" s="219"/>
      <c r="I17" s="160" t="s">
        <v>375</v>
      </c>
      <c r="J17" s="219"/>
      <c r="K17" s="159"/>
      <c r="L17" s="8"/>
      <c r="M17" s="8"/>
      <c r="N17" s="8"/>
      <c r="O17" s="8"/>
      <c r="P17" s="8"/>
      <c r="Q17" s="8"/>
      <c r="R17" s="8"/>
    </row>
    <row r="18" spans="1:18" ht="31.5">
      <c r="A18" s="57" t="s">
        <v>277</v>
      </c>
      <c r="B18" s="160" t="s">
        <v>282</v>
      </c>
      <c r="C18" s="864" t="s">
        <v>628</v>
      </c>
      <c r="D18" s="850" t="s">
        <v>783</v>
      </c>
      <c r="E18" s="850" t="s">
        <v>783</v>
      </c>
      <c r="F18" s="201" t="s">
        <v>783</v>
      </c>
      <c r="G18" s="201" t="s">
        <v>783</v>
      </c>
      <c r="H18" s="219"/>
      <c r="I18" s="160" t="s">
        <v>283</v>
      </c>
      <c r="J18" s="219"/>
      <c r="K18" s="159"/>
      <c r="L18" s="8"/>
      <c r="M18" s="8"/>
      <c r="N18" s="8"/>
      <c r="O18" s="8"/>
      <c r="P18" s="8"/>
      <c r="Q18" s="8"/>
      <c r="R18" s="8"/>
    </row>
    <row r="19" spans="1:18" ht="21">
      <c r="A19" s="57" t="s">
        <v>1682</v>
      </c>
      <c r="B19" s="161" t="s">
        <v>1357</v>
      </c>
      <c r="C19" s="864" t="s">
        <v>628</v>
      </c>
      <c r="D19" s="851">
        <v>5</v>
      </c>
      <c r="E19" s="180">
        <f>SUM(D19*1.1)</f>
        <v>5.5</v>
      </c>
      <c r="F19" s="201">
        <v>9.69</v>
      </c>
      <c r="G19" s="201">
        <f>(F19-(F19*10%))</f>
        <v>8.7210000000000001</v>
      </c>
      <c r="H19" s="161" t="s">
        <v>284</v>
      </c>
      <c r="I19" s="160" t="s">
        <v>376</v>
      </c>
      <c r="J19" s="160" t="s">
        <v>678</v>
      </c>
      <c r="K19" s="159"/>
      <c r="L19" s="8"/>
      <c r="M19" s="8"/>
      <c r="N19" s="8"/>
      <c r="O19" s="8"/>
      <c r="P19" s="8"/>
      <c r="Q19" s="8"/>
      <c r="R19" s="8"/>
    </row>
    <row r="20" spans="1:18" ht="21">
      <c r="A20" s="57" t="s">
        <v>1683</v>
      </c>
      <c r="B20" s="161" t="s">
        <v>1358</v>
      </c>
      <c r="C20" s="864" t="s">
        <v>628</v>
      </c>
      <c r="D20" s="851">
        <v>4.1100000000000003</v>
      </c>
      <c r="E20" s="180">
        <f>SUM(D20*1.1)</f>
        <v>4.5210000000000008</v>
      </c>
      <c r="F20" s="201">
        <v>9.69</v>
      </c>
      <c r="G20" s="201">
        <f>(F20-(F20*10%))</f>
        <v>8.7210000000000001</v>
      </c>
      <c r="H20" s="161" t="s">
        <v>284</v>
      </c>
      <c r="I20" s="160" t="s">
        <v>376</v>
      </c>
      <c r="J20" s="160" t="s">
        <v>677</v>
      </c>
      <c r="K20" s="159"/>
      <c r="L20" s="8"/>
      <c r="M20" s="8"/>
      <c r="N20" s="8"/>
      <c r="O20" s="8"/>
      <c r="P20" s="8"/>
      <c r="Q20" s="8"/>
      <c r="R20" s="8"/>
    </row>
    <row r="21" spans="1:18" ht="63">
      <c r="A21" s="57" t="s">
        <v>1684</v>
      </c>
      <c r="B21" s="160" t="s">
        <v>1359</v>
      </c>
      <c r="C21" s="864" t="s">
        <v>628</v>
      </c>
      <c r="D21" s="851">
        <v>2.1</v>
      </c>
      <c r="E21" s="180">
        <f>SUM(D21*1.1)</f>
        <v>2.3100000000000005</v>
      </c>
      <c r="F21" s="201">
        <v>7.99</v>
      </c>
      <c r="G21" s="201">
        <f>(F21-(F21*10%))</f>
        <v>7.1909999999999998</v>
      </c>
      <c r="H21" s="219"/>
      <c r="I21" s="160" t="s">
        <v>377</v>
      </c>
      <c r="J21" s="160" t="s">
        <v>679</v>
      </c>
      <c r="K21" s="159"/>
      <c r="L21" s="8"/>
      <c r="M21" s="8"/>
      <c r="N21" s="8"/>
      <c r="O21" s="8"/>
      <c r="P21" s="8"/>
      <c r="Q21" s="8"/>
      <c r="R21" s="8"/>
    </row>
    <row r="22" spans="1:18" s="4" customFormat="1" ht="94.5">
      <c r="A22" s="57" t="s">
        <v>1685</v>
      </c>
      <c r="B22" s="160" t="s">
        <v>1360</v>
      </c>
      <c r="C22" s="864" t="s">
        <v>628</v>
      </c>
      <c r="D22" s="851">
        <v>5.56</v>
      </c>
      <c r="E22" s="180">
        <f>SUM(D22*1.1)</f>
        <v>6.1159999999999997</v>
      </c>
      <c r="F22" s="201">
        <v>7.99</v>
      </c>
      <c r="G22" s="201">
        <f>(F22-(F22*10%))</f>
        <v>7.1909999999999998</v>
      </c>
      <c r="H22" s="219" t="s">
        <v>289</v>
      </c>
      <c r="I22" s="160" t="s">
        <v>379</v>
      </c>
      <c r="J22" s="160" t="s">
        <v>681</v>
      </c>
      <c r="K22" s="159"/>
    </row>
    <row r="23" spans="1:18" s="4" customFormat="1" ht="31.5">
      <c r="A23" s="57" t="s">
        <v>277</v>
      </c>
      <c r="B23" s="160" t="s">
        <v>291</v>
      </c>
      <c r="C23" s="864" t="s">
        <v>628</v>
      </c>
      <c r="D23" s="247" t="s">
        <v>783</v>
      </c>
      <c r="E23" s="247" t="s">
        <v>783</v>
      </c>
      <c r="F23" s="247" t="s">
        <v>783</v>
      </c>
      <c r="G23" s="247" t="s">
        <v>783</v>
      </c>
      <c r="H23" s="160"/>
      <c r="I23" s="160" t="s">
        <v>1254</v>
      </c>
      <c r="J23" s="160"/>
      <c r="K23" s="159"/>
    </row>
    <row r="24" spans="1:18" s="4" customFormat="1" ht="42" customHeight="1">
      <c r="A24" s="135"/>
      <c r="B24" s="160" t="s">
        <v>2789</v>
      </c>
      <c r="C24" s="889" t="s">
        <v>628</v>
      </c>
      <c r="D24" s="201">
        <v>3.05</v>
      </c>
      <c r="E24" s="409">
        <f>SUM(D24*1.1)</f>
        <v>3.355</v>
      </c>
      <c r="F24" s="409">
        <f>SUM(G24*1.1)</f>
        <v>16.5</v>
      </c>
      <c r="G24" s="201">
        <v>15</v>
      </c>
      <c r="H24" s="160"/>
      <c r="I24" s="160" t="s">
        <v>2781</v>
      </c>
      <c r="J24" s="160"/>
      <c r="K24" s="159"/>
    </row>
    <row r="25" spans="1:18" s="4" customFormat="1" ht="31.5">
      <c r="A25" s="57" t="s">
        <v>277</v>
      </c>
      <c r="B25" s="161" t="s">
        <v>292</v>
      </c>
      <c r="C25" s="864" t="s">
        <v>628</v>
      </c>
      <c r="D25" s="247" t="s">
        <v>783</v>
      </c>
      <c r="E25" s="247" t="s">
        <v>783</v>
      </c>
      <c r="F25" s="247" t="s">
        <v>783</v>
      </c>
      <c r="G25" s="247" t="s">
        <v>783</v>
      </c>
      <c r="H25" s="161" t="s">
        <v>288</v>
      </c>
      <c r="I25" s="160" t="s">
        <v>412</v>
      </c>
      <c r="J25" s="160"/>
      <c r="K25" s="159"/>
    </row>
    <row r="26" spans="1:18" s="4" customFormat="1" ht="75.75" customHeight="1">
      <c r="A26" s="135" t="s">
        <v>2717</v>
      </c>
      <c r="B26" s="160" t="s">
        <v>1361</v>
      </c>
      <c r="C26" s="864" t="s">
        <v>628</v>
      </c>
      <c r="D26" s="246">
        <v>5.3</v>
      </c>
      <c r="E26" s="180">
        <f t="shared" ref="E26:E31" si="0">SUM(D26*1.1)</f>
        <v>5.83</v>
      </c>
      <c r="F26" s="201">
        <v>7.99</v>
      </c>
      <c r="G26" s="201">
        <f t="shared" ref="G26:G31" si="1">(F26-(F26*10%))</f>
        <v>7.1909999999999998</v>
      </c>
      <c r="H26" s="219" t="s">
        <v>289</v>
      </c>
      <c r="I26" s="160" t="s">
        <v>413</v>
      </c>
      <c r="J26" s="160" t="s">
        <v>681</v>
      </c>
      <c r="K26" s="159"/>
    </row>
    <row r="27" spans="1:18" s="4" customFormat="1" ht="31.5">
      <c r="A27" s="57" t="s">
        <v>2234</v>
      </c>
      <c r="B27" s="161" t="s">
        <v>1362</v>
      </c>
      <c r="C27" s="864" t="s">
        <v>628</v>
      </c>
      <c r="D27" s="246">
        <v>3.11</v>
      </c>
      <c r="E27" s="180">
        <f t="shared" si="0"/>
        <v>3.4210000000000003</v>
      </c>
      <c r="F27" s="201">
        <v>15.96</v>
      </c>
      <c r="G27" s="201">
        <f t="shared" si="1"/>
        <v>14.364000000000001</v>
      </c>
      <c r="H27" s="161" t="s">
        <v>288</v>
      </c>
      <c r="I27" s="160"/>
      <c r="J27" s="160" t="s">
        <v>681</v>
      </c>
      <c r="K27" s="159"/>
    </row>
    <row r="28" spans="1:18" s="4" customFormat="1" ht="31.5">
      <c r="A28" s="57" t="s">
        <v>2232</v>
      </c>
      <c r="B28" s="161" t="s">
        <v>1363</v>
      </c>
      <c r="C28" s="864" t="s">
        <v>628</v>
      </c>
      <c r="D28" s="246">
        <v>8.5</v>
      </c>
      <c r="E28" s="180">
        <f t="shared" si="0"/>
        <v>9.3500000000000014</v>
      </c>
      <c r="F28" s="201">
        <v>7.99</v>
      </c>
      <c r="G28" s="201">
        <f t="shared" si="1"/>
        <v>7.1909999999999998</v>
      </c>
      <c r="H28" s="161" t="s">
        <v>288</v>
      </c>
      <c r="I28" s="160"/>
      <c r="J28" s="160" t="s">
        <v>679</v>
      </c>
      <c r="K28" s="159"/>
    </row>
    <row r="29" spans="1:18" s="4" customFormat="1" ht="31.5">
      <c r="A29" s="57" t="s">
        <v>2233</v>
      </c>
      <c r="B29" s="160" t="s">
        <v>1364</v>
      </c>
      <c r="C29" s="864" t="s">
        <v>628</v>
      </c>
      <c r="D29" s="246">
        <v>3.24</v>
      </c>
      <c r="E29" s="180">
        <f t="shared" si="0"/>
        <v>3.5640000000000005</v>
      </c>
      <c r="F29" s="201">
        <v>16.28</v>
      </c>
      <c r="G29" s="201">
        <f t="shared" si="1"/>
        <v>14.652000000000001</v>
      </c>
      <c r="H29" s="219" t="s">
        <v>288</v>
      </c>
      <c r="I29" s="160"/>
      <c r="J29" s="160" t="s">
        <v>679</v>
      </c>
      <c r="K29" s="159"/>
    </row>
    <row r="30" spans="1:18" s="4" customFormat="1" ht="31.5">
      <c r="A30" s="57" t="s">
        <v>1686</v>
      </c>
      <c r="B30" s="160" t="s">
        <v>1365</v>
      </c>
      <c r="C30" s="864" t="s">
        <v>628</v>
      </c>
      <c r="D30" s="246">
        <v>4.32</v>
      </c>
      <c r="E30" s="180">
        <f t="shared" si="0"/>
        <v>4.7520000000000007</v>
      </c>
      <c r="F30" s="201">
        <v>7.99</v>
      </c>
      <c r="G30" s="201">
        <f t="shared" si="1"/>
        <v>7.1909999999999998</v>
      </c>
      <c r="H30" s="219" t="s">
        <v>288</v>
      </c>
      <c r="I30" s="160"/>
      <c r="J30" s="160" t="s">
        <v>679</v>
      </c>
      <c r="K30" s="159"/>
    </row>
    <row r="31" spans="1:18" s="4" customFormat="1" ht="31.5">
      <c r="A31" s="57" t="s">
        <v>1687</v>
      </c>
      <c r="B31" s="160" t="s">
        <v>1366</v>
      </c>
      <c r="C31" s="864" t="s">
        <v>628</v>
      </c>
      <c r="D31" s="246">
        <v>3.24</v>
      </c>
      <c r="E31" s="180">
        <f t="shared" si="0"/>
        <v>3.5640000000000005</v>
      </c>
      <c r="F31" s="201">
        <v>7.99</v>
      </c>
      <c r="G31" s="201">
        <f t="shared" si="1"/>
        <v>7.1909999999999998</v>
      </c>
      <c r="H31" s="219" t="s">
        <v>288</v>
      </c>
      <c r="I31" s="160"/>
      <c r="J31" s="160" t="s">
        <v>679</v>
      </c>
      <c r="K31" s="159"/>
    </row>
    <row r="32" spans="1:18" s="4" customFormat="1" ht="21">
      <c r="A32" s="57" t="s">
        <v>2231</v>
      </c>
      <c r="B32" s="160" t="s">
        <v>1367</v>
      </c>
      <c r="C32" s="864" t="s">
        <v>628</v>
      </c>
      <c r="D32" s="246" t="s">
        <v>783</v>
      </c>
      <c r="E32" s="246" t="s">
        <v>783</v>
      </c>
      <c r="F32" s="201" t="s">
        <v>783</v>
      </c>
      <c r="G32" s="201" t="s">
        <v>783</v>
      </c>
      <c r="H32" s="219" t="s">
        <v>289</v>
      </c>
      <c r="I32" s="160"/>
      <c r="J32" s="160" t="s">
        <v>680</v>
      </c>
      <c r="K32" s="159"/>
    </row>
    <row r="33" spans="1:18" s="4" customFormat="1" ht="21">
      <c r="A33" s="57" t="s">
        <v>2230</v>
      </c>
      <c r="B33" s="160" t="s">
        <v>1368</v>
      </c>
      <c r="C33" s="864" t="s">
        <v>628</v>
      </c>
      <c r="D33" s="246">
        <v>0.85</v>
      </c>
      <c r="E33" s="246" t="s">
        <v>783</v>
      </c>
      <c r="F33" s="201" t="s">
        <v>783</v>
      </c>
      <c r="G33" s="201" t="s">
        <v>783</v>
      </c>
      <c r="H33" s="219" t="s">
        <v>289</v>
      </c>
      <c r="I33" s="160"/>
      <c r="J33" s="160" t="s">
        <v>680</v>
      </c>
      <c r="K33" s="159"/>
    </row>
    <row r="34" spans="1:18" s="4" customFormat="1" ht="21">
      <c r="A34" s="57" t="s">
        <v>1688</v>
      </c>
      <c r="B34" s="160" t="s">
        <v>1369</v>
      </c>
      <c r="C34" s="864" t="s">
        <v>628</v>
      </c>
      <c r="D34" s="246">
        <v>2.8</v>
      </c>
      <c r="E34" s="246" t="s">
        <v>783</v>
      </c>
      <c r="F34" s="201">
        <f>SUM(G34*1.1)</f>
        <v>0.27500000000000002</v>
      </c>
      <c r="G34" s="201">
        <v>0.25</v>
      </c>
      <c r="H34" s="219" t="s">
        <v>289</v>
      </c>
      <c r="I34" s="160"/>
      <c r="J34" s="160" t="s">
        <v>680</v>
      </c>
      <c r="K34" s="159"/>
    </row>
    <row r="35" spans="1:18" s="4" customFormat="1" ht="31.5">
      <c r="A35" s="57" t="s">
        <v>2229</v>
      </c>
      <c r="B35" s="161" t="s">
        <v>1370</v>
      </c>
      <c r="C35" s="864" t="s">
        <v>628</v>
      </c>
      <c r="D35" s="246">
        <v>20</v>
      </c>
      <c r="E35" s="180">
        <f>SUM(D35*1.1)</f>
        <v>22</v>
      </c>
      <c r="F35" s="201">
        <f>SUM(G35*1.1)</f>
        <v>9.0750000000000011</v>
      </c>
      <c r="G35" s="201">
        <v>8.25</v>
      </c>
      <c r="H35" s="161" t="s">
        <v>288</v>
      </c>
      <c r="I35" s="160" t="s">
        <v>426</v>
      </c>
      <c r="J35" s="160" t="s">
        <v>724</v>
      </c>
      <c r="K35" s="159"/>
    </row>
    <row r="36" spans="1:18" s="4" customFormat="1" ht="31.5">
      <c r="A36" s="135" t="s">
        <v>1689</v>
      </c>
      <c r="B36" s="161" t="s">
        <v>1371</v>
      </c>
      <c r="C36" s="864" t="s">
        <v>628</v>
      </c>
      <c r="D36" s="180">
        <v>6.5</v>
      </c>
      <c r="E36" s="180">
        <f>SUM(D36*1.1)</f>
        <v>7.15</v>
      </c>
      <c r="F36" s="201">
        <v>15.96</v>
      </c>
      <c r="G36" s="201">
        <f>(F36-(F36*10%))</f>
        <v>14.364000000000001</v>
      </c>
      <c r="H36" s="161" t="s">
        <v>288</v>
      </c>
      <c r="I36" s="160"/>
      <c r="J36" s="160" t="s">
        <v>681</v>
      </c>
      <c r="K36" s="159"/>
    </row>
    <row r="37" spans="1:18" s="4" customFormat="1" ht="31.5">
      <c r="A37" s="57" t="s">
        <v>1690</v>
      </c>
      <c r="B37" s="161" t="s">
        <v>1409</v>
      </c>
      <c r="C37" s="864" t="s">
        <v>630</v>
      </c>
      <c r="D37" s="241" t="s">
        <v>783</v>
      </c>
      <c r="E37" s="241" t="s">
        <v>783</v>
      </c>
      <c r="F37" s="409">
        <v>10</v>
      </c>
      <c r="G37" s="409"/>
      <c r="H37" s="161" t="s">
        <v>288</v>
      </c>
      <c r="I37" s="160" t="s">
        <v>1251</v>
      </c>
      <c r="J37" s="75" t="s">
        <v>1469</v>
      </c>
      <c r="K37" s="159"/>
    </row>
    <row r="38" spans="1:18" s="4" customFormat="1" ht="31.5">
      <c r="A38" s="57" t="s">
        <v>1691</v>
      </c>
      <c r="B38" s="160" t="s">
        <v>1372</v>
      </c>
      <c r="C38" s="864" t="s">
        <v>628</v>
      </c>
      <c r="D38" s="246">
        <v>15</v>
      </c>
      <c r="E38" s="180">
        <f>SUM(D38*1.1)</f>
        <v>16.5</v>
      </c>
      <c r="F38" s="201">
        <v>7.99</v>
      </c>
      <c r="G38" s="201">
        <f>(F38-(F38*10%))</f>
        <v>7.1909999999999998</v>
      </c>
      <c r="H38" s="219" t="s">
        <v>288</v>
      </c>
      <c r="I38" s="160"/>
      <c r="J38" s="160" t="s">
        <v>681</v>
      </c>
      <c r="K38" s="159"/>
    </row>
    <row r="39" spans="1:18" s="4" customFormat="1" ht="31.5">
      <c r="A39" s="57" t="s">
        <v>1692</v>
      </c>
      <c r="B39" s="161" t="s">
        <v>1373</v>
      </c>
      <c r="C39" s="864" t="s">
        <v>628</v>
      </c>
      <c r="D39" s="246">
        <v>9.0500000000000007</v>
      </c>
      <c r="E39" s="180">
        <f>SUM(D39*1.1)</f>
        <v>9.9550000000000018</v>
      </c>
      <c r="F39" s="201">
        <v>7.99</v>
      </c>
      <c r="G39" s="201">
        <f>(F39-(F39*10%))</f>
        <v>7.1909999999999998</v>
      </c>
      <c r="H39" s="161" t="s">
        <v>288</v>
      </c>
      <c r="I39" s="160"/>
      <c r="J39" s="160" t="s">
        <v>681</v>
      </c>
      <c r="K39" s="159"/>
    </row>
    <row r="40" spans="1:18" s="4" customFormat="1" ht="31.5">
      <c r="A40" s="57" t="s">
        <v>1693</v>
      </c>
      <c r="B40" s="160" t="s">
        <v>1374</v>
      </c>
      <c r="C40" s="864" t="s">
        <v>628</v>
      </c>
      <c r="D40" s="246">
        <v>9.5</v>
      </c>
      <c r="E40" s="180">
        <f>SUM(D40*1.1)</f>
        <v>10.450000000000001</v>
      </c>
      <c r="F40" s="201">
        <v>7.75</v>
      </c>
      <c r="G40" s="201">
        <f>(F40-(F40*10%))</f>
        <v>6.9749999999999996</v>
      </c>
      <c r="H40" s="160" t="s">
        <v>289</v>
      </c>
      <c r="I40" s="160"/>
      <c r="J40" s="160" t="s">
        <v>681</v>
      </c>
      <c r="K40" s="159"/>
    </row>
    <row r="41" spans="1:18" s="4" customFormat="1" ht="31.5">
      <c r="A41" s="57" t="s">
        <v>1694</v>
      </c>
      <c r="B41" s="160" t="s">
        <v>1375</v>
      </c>
      <c r="C41" s="864" t="s">
        <v>628</v>
      </c>
      <c r="D41" s="693">
        <v>9.9499999999999993</v>
      </c>
      <c r="E41" s="180">
        <f>SUM(D41*1.1)</f>
        <v>10.945</v>
      </c>
      <c r="F41" s="201">
        <v>7.75</v>
      </c>
      <c r="G41" s="201">
        <f>(F41-(F41*10%))</f>
        <v>6.9749999999999996</v>
      </c>
      <c r="H41" s="160" t="s">
        <v>289</v>
      </c>
      <c r="I41" s="160"/>
      <c r="J41" s="160" t="s">
        <v>681</v>
      </c>
      <c r="K41" s="159"/>
    </row>
    <row r="42" spans="1:18" s="4" customFormat="1" ht="31.5">
      <c r="A42" s="57" t="s">
        <v>1695</v>
      </c>
      <c r="B42" s="160" t="s">
        <v>1376</v>
      </c>
      <c r="C42" s="864" t="s">
        <v>628</v>
      </c>
      <c r="D42" s="246">
        <v>14</v>
      </c>
      <c r="E42" s="180">
        <f>SUM(D42*1.1)</f>
        <v>15.400000000000002</v>
      </c>
      <c r="F42" s="201">
        <v>15.5</v>
      </c>
      <c r="G42" s="201">
        <f>(F42-(F42*10%))</f>
        <v>13.95</v>
      </c>
      <c r="H42" s="160" t="s">
        <v>289</v>
      </c>
      <c r="I42" s="160"/>
      <c r="J42" s="160" t="s">
        <v>681</v>
      </c>
      <c r="K42" s="159"/>
    </row>
    <row r="43" spans="1:18" s="4" customFormat="1" ht="94.5">
      <c r="A43" s="57" t="s">
        <v>1696</v>
      </c>
      <c r="B43" s="160" t="s">
        <v>1377</v>
      </c>
      <c r="C43" s="864" t="s">
        <v>628</v>
      </c>
      <c r="D43" s="247" t="s">
        <v>783</v>
      </c>
      <c r="E43" s="180" t="s">
        <v>783</v>
      </c>
      <c r="F43" s="850" t="s">
        <v>783</v>
      </c>
      <c r="G43" s="850" t="s">
        <v>783</v>
      </c>
      <c r="H43" s="160" t="s">
        <v>374</v>
      </c>
      <c r="I43" s="160" t="s">
        <v>389</v>
      </c>
      <c r="J43" s="160"/>
      <c r="K43" s="159"/>
    </row>
    <row r="44" spans="1:18" s="4" customFormat="1" ht="42">
      <c r="A44" s="135" t="s">
        <v>1697</v>
      </c>
      <c r="B44" s="161" t="s">
        <v>300</v>
      </c>
      <c r="C44" s="864" t="s">
        <v>628</v>
      </c>
      <c r="D44" s="246" t="s">
        <v>539</v>
      </c>
      <c r="E44" s="246" t="s">
        <v>539</v>
      </c>
      <c r="F44" s="201" t="s">
        <v>539</v>
      </c>
      <c r="G44" s="201" t="s">
        <v>539</v>
      </c>
      <c r="H44" s="161" t="s">
        <v>288</v>
      </c>
      <c r="I44" s="160" t="s">
        <v>1253</v>
      </c>
      <c r="J44" s="160"/>
      <c r="K44" s="159"/>
    </row>
    <row r="45" spans="1:18" s="4" customFormat="1" ht="61.5" customHeight="1">
      <c r="A45" s="57" t="s">
        <v>1699</v>
      </c>
      <c r="B45" s="161" t="s">
        <v>869</v>
      </c>
      <c r="C45" s="864" t="s">
        <v>628</v>
      </c>
      <c r="D45" s="201" t="s">
        <v>277</v>
      </c>
      <c r="E45" s="201">
        <v>1.38</v>
      </c>
      <c r="F45" s="201" t="s">
        <v>783</v>
      </c>
      <c r="G45" s="201" t="s">
        <v>783</v>
      </c>
      <c r="H45" s="161" t="s">
        <v>303</v>
      </c>
      <c r="I45" s="160" t="s">
        <v>868</v>
      </c>
      <c r="J45" s="160"/>
      <c r="K45" s="159"/>
    </row>
    <row r="46" spans="1:18" ht="79.900000000000006" customHeight="1">
      <c r="A46" s="57" t="s">
        <v>1698</v>
      </c>
      <c r="B46" s="161" t="s">
        <v>1378</v>
      </c>
      <c r="C46" s="864" t="s">
        <v>628</v>
      </c>
      <c r="D46" s="246">
        <v>10</v>
      </c>
      <c r="E46" s="180">
        <f>SUM(D46*1.1)</f>
        <v>11</v>
      </c>
      <c r="F46" s="201">
        <v>50</v>
      </c>
      <c r="G46" s="201">
        <f>(F46-(F46*10%))</f>
        <v>45</v>
      </c>
      <c r="H46" s="161" t="s">
        <v>288</v>
      </c>
      <c r="I46" s="160" t="s">
        <v>2</v>
      </c>
      <c r="J46" s="160" t="s">
        <v>765</v>
      </c>
      <c r="K46" s="159"/>
      <c r="L46" s="8"/>
      <c r="M46" s="8"/>
      <c r="N46" s="8"/>
      <c r="O46" s="8"/>
      <c r="P46" s="8"/>
      <c r="Q46" s="8"/>
      <c r="R46" s="8"/>
    </row>
    <row r="47" spans="1:18" ht="199.5">
      <c r="A47" s="57" t="s">
        <v>1691</v>
      </c>
      <c r="B47" s="160" t="s">
        <v>610</v>
      </c>
      <c r="C47" s="864" t="s">
        <v>628</v>
      </c>
      <c r="D47" s="246" t="s">
        <v>783</v>
      </c>
      <c r="E47" s="246" t="s">
        <v>783</v>
      </c>
      <c r="F47" s="851" t="s">
        <v>783</v>
      </c>
      <c r="G47" s="851" t="s">
        <v>783</v>
      </c>
      <c r="H47" s="160" t="s">
        <v>305</v>
      </c>
      <c r="I47" s="160" t="s">
        <v>1256</v>
      </c>
      <c r="J47" s="160"/>
      <c r="K47" s="159"/>
      <c r="L47" s="8"/>
      <c r="M47" s="8"/>
      <c r="N47" s="8"/>
      <c r="O47" s="8"/>
      <c r="P47" s="8"/>
      <c r="Q47" s="8"/>
      <c r="R47" s="8"/>
    </row>
    <row r="48" spans="1:18" s="204" customFormat="1" ht="31.5">
      <c r="A48" s="135" t="s">
        <v>2718</v>
      </c>
      <c r="B48" s="413" t="s">
        <v>1379</v>
      </c>
      <c r="C48" s="411" t="s">
        <v>628</v>
      </c>
      <c r="D48" s="433" t="s">
        <v>783</v>
      </c>
      <c r="E48" s="434" t="s">
        <v>783</v>
      </c>
      <c r="F48" s="201" t="s">
        <v>783</v>
      </c>
      <c r="G48" s="201" t="s">
        <v>783</v>
      </c>
      <c r="H48" s="417" t="s">
        <v>1356</v>
      </c>
      <c r="I48" s="413" t="s">
        <v>426</v>
      </c>
      <c r="J48" s="413"/>
      <c r="K48" s="159"/>
      <c r="L48" s="8"/>
      <c r="M48" s="8"/>
      <c r="N48" s="8"/>
      <c r="O48" s="8"/>
      <c r="P48" s="8"/>
      <c r="Q48" s="8"/>
      <c r="R48" s="8"/>
    </row>
    <row r="49" spans="1:18" s="364" customFormat="1" ht="94.5">
      <c r="A49" s="135" t="s">
        <v>2721</v>
      </c>
      <c r="B49" s="410" t="s">
        <v>1380</v>
      </c>
      <c r="C49" s="411" t="s">
        <v>628</v>
      </c>
      <c r="D49" s="416" t="s">
        <v>783</v>
      </c>
      <c r="E49" s="434" t="s">
        <v>799</v>
      </c>
      <c r="F49" s="201">
        <v>20.399999999999999</v>
      </c>
      <c r="G49" s="201">
        <f>(F49-(F49*10%))</f>
        <v>18.36</v>
      </c>
      <c r="H49" s="410" t="s">
        <v>767</v>
      </c>
      <c r="I49" s="413" t="s">
        <v>417</v>
      </c>
      <c r="J49" s="413" t="s">
        <v>768</v>
      </c>
      <c r="K49" s="159"/>
      <c r="L49" s="4"/>
      <c r="M49" s="4"/>
      <c r="N49" s="4"/>
      <c r="O49" s="4"/>
      <c r="P49" s="4"/>
      <c r="Q49" s="4"/>
      <c r="R49" s="4"/>
    </row>
    <row r="50" spans="1:18" s="4" customFormat="1" ht="21">
      <c r="A50" s="135" t="s">
        <v>2719</v>
      </c>
      <c r="B50" s="161" t="s">
        <v>359</v>
      </c>
      <c r="C50" s="864" t="s">
        <v>628</v>
      </c>
      <c r="D50" s="246" t="s">
        <v>277</v>
      </c>
      <c r="E50" s="246" t="s">
        <v>277</v>
      </c>
      <c r="F50" s="201">
        <f>SUM(G50*1.1)</f>
        <v>1.6500000000000001</v>
      </c>
      <c r="G50" s="201">
        <v>1.5</v>
      </c>
      <c r="H50" s="161" t="s">
        <v>303</v>
      </c>
      <c r="I50" s="162"/>
      <c r="J50" s="210" t="s">
        <v>722</v>
      </c>
      <c r="K50" s="159"/>
    </row>
    <row r="51" spans="1:18" s="4" customFormat="1" ht="31.5">
      <c r="A51" s="135" t="s">
        <v>2720</v>
      </c>
      <c r="B51" s="161" t="s">
        <v>361</v>
      </c>
      <c r="C51" s="864" t="s">
        <v>628</v>
      </c>
      <c r="D51" s="246" t="s">
        <v>277</v>
      </c>
      <c r="E51" s="246" t="s">
        <v>277</v>
      </c>
      <c r="F51" s="201">
        <f>SUM(G51*1.1)</f>
        <v>2.5410000000000004</v>
      </c>
      <c r="G51" s="201">
        <v>2.31</v>
      </c>
      <c r="H51" s="161" t="s">
        <v>303</v>
      </c>
      <c r="I51" s="160"/>
      <c r="J51" s="210" t="s">
        <v>722</v>
      </c>
      <c r="K51" s="159"/>
    </row>
    <row r="52" spans="1:18" s="4" customFormat="1" ht="84">
      <c r="A52" s="135" t="s">
        <v>1700</v>
      </c>
      <c r="B52" s="160" t="s">
        <v>1381</v>
      </c>
      <c r="C52" s="864" t="s">
        <v>628</v>
      </c>
      <c r="D52" s="246">
        <v>6.8</v>
      </c>
      <c r="E52" s="180">
        <f>SUM(D52*1.1)</f>
        <v>7.48</v>
      </c>
      <c r="F52" s="201">
        <f>SUM(G52*1.1)</f>
        <v>17.215000000000003</v>
      </c>
      <c r="G52" s="201">
        <v>15.65</v>
      </c>
      <c r="H52" s="160"/>
      <c r="I52" s="160" t="s">
        <v>418</v>
      </c>
      <c r="J52" s="160" t="s">
        <v>679</v>
      </c>
      <c r="K52" s="159"/>
    </row>
    <row r="53" spans="1:18" s="4" customFormat="1" ht="105">
      <c r="A53" s="57" t="s">
        <v>1872</v>
      </c>
      <c r="B53" s="161" t="s">
        <v>362</v>
      </c>
      <c r="C53" s="864" t="s">
        <v>628</v>
      </c>
      <c r="D53" s="246" t="s">
        <v>277</v>
      </c>
      <c r="E53" s="246" t="s">
        <v>277</v>
      </c>
      <c r="F53" s="201">
        <f>SUM(G53*1.1)</f>
        <v>0.53900000000000003</v>
      </c>
      <c r="G53" s="201">
        <v>0.49</v>
      </c>
      <c r="H53" s="161" t="s">
        <v>288</v>
      </c>
      <c r="I53" s="160" t="s">
        <v>419</v>
      </c>
      <c r="J53" s="160"/>
      <c r="K53" s="159"/>
    </row>
    <row r="54" spans="1:18" s="4" customFormat="1">
      <c r="A54" s="57" t="s">
        <v>1697</v>
      </c>
      <c r="B54" s="160" t="s">
        <v>363</v>
      </c>
      <c r="C54" s="864" t="s">
        <v>628</v>
      </c>
      <c r="D54" s="247" t="s">
        <v>783</v>
      </c>
      <c r="E54" s="247" t="s">
        <v>783</v>
      </c>
      <c r="F54" s="201" t="s">
        <v>783</v>
      </c>
      <c r="G54" s="201" t="s">
        <v>783</v>
      </c>
      <c r="H54" s="160" t="s">
        <v>284</v>
      </c>
      <c r="I54" s="160"/>
      <c r="J54" s="160"/>
      <c r="K54" s="159"/>
    </row>
    <row r="55" spans="1:18" s="4" customFormat="1" ht="52.5">
      <c r="A55" s="57" t="s">
        <v>1888</v>
      </c>
      <c r="B55" s="161" t="s">
        <v>1382</v>
      </c>
      <c r="C55" s="864" t="s">
        <v>628</v>
      </c>
      <c r="D55" s="180">
        <v>7</v>
      </c>
      <c r="E55" s="180">
        <f>SUM(D55*1.1)</f>
        <v>7.7000000000000011</v>
      </c>
      <c r="F55" s="201">
        <v>7.99</v>
      </c>
      <c r="G55" s="201">
        <f>(F55-(F55*10%))</f>
        <v>7.1909999999999998</v>
      </c>
      <c r="H55" s="161" t="s">
        <v>288</v>
      </c>
      <c r="I55" s="160" t="s">
        <v>778</v>
      </c>
      <c r="J55" s="160" t="s">
        <v>681</v>
      </c>
      <c r="K55" s="159"/>
    </row>
    <row r="56" spans="1:18" s="4" customFormat="1" ht="31.5">
      <c r="A56" s="57" t="s">
        <v>1701</v>
      </c>
      <c r="B56" s="161" t="s">
        <v>1383</v>
      </c>
      <c r="C56" s="864" t="s">
        <v>628</v>
      </c>
      <c r="D56" s="246">
        <v>8</v>
      </c>
      <c r="E56" s="180">
        <f>SUM(D56*1.1)</f>
        <v>8.8000000000000007</v>
      </c>
      <c r="F56" s="201">
        <v>7.99</v>
      </c>
      <c r="G56" s="201">
        <f>(F56-(F56*10%))</f>
        <v>7.1909999999999998</v>
      </c>
      <c r="H56" s="161" t="s">
        <v>288</v>
      </c>
      <c r="I56" s="160" t="s">
        <v>423</v>
      </c>
      <c r="J56" s="160" t="s">
        <v>681</v>
      </c>
      <c r="K56" s="159"/>
    </row>
    <row r="57" spans="1:18" s="4" customFormat="1">
      <c r="A57" s="57" t="s">
        <v>1702</v>
      </c>
      <c r="B57" s="161" t="s">
        <v>1384</v>
      </c>
      <c r="C57" s="864" t="s">
        <v>628</v>
      </c>
      <c r="D57" s="180">
        <v>4.5</v>
      </c>
      <c r="E57" s="180">
        <f>SUM(D57*1.1)</f>
        <v>4.95</v>
      </c>
      <c r="F57" s="201" t="s">
        <v>783</v>
      </c>
      <c r="G57" s="201" t="s">
        <v>783</v>
      </c>
      <c r="H57" s="161" t="s">
        <v>368</v>
      </c>
      <c r="I57" s="160" t="s">
        <v>426</v>
      </c>
      <c r="J57" s="160"/>
      <c r="K57" s="159"/>
    </row>
    <row r="58" spans="1:18" s="4" customFormat="1" ht="21">
      <c r="A58" s="135" t="s">
        <v>2786</v>
      </c>
      <c r="B58" s="161" t="s">
        <v>3059</v>
      </c>
      <c r="C58" s="889" t="s">
        <v>628</v>
      </c>
      <c r="D58" s="180">
        <v>0</v>
      </c>
      <c r="E58" s="180">
        <v>0</v>
      </c>
      <c r="F58" s="201">
        <f t="shared" ref="F58" si="2">SUM(G58*1.1)</f>
        <v>17.215000000000003</v>
      </c>
      <c r="G58" s="201">
        <v>15.65</v>
      </c>
      <c r="H58" s="161" t="s">
        <v>368</v>
      </c>
      <c r="I58" s="160"/>
      <c r="J58" s="1237" t="s">
        <v>3060</v>
      </c>
      <c r="K58" s="159"/>
    </row>
    <row r="59" spans="1:18" s="8" customFormat="1" ht="11.25">
      <c r="A59" s="57" t="s">
        <v>1889</v>
      </c>
      <c r="B59" s="535" t="s">
        <v>1241</v>
      </c>
      <c r="C59" s="864" t="s">
        <v>628</v>
      </c>
      <c r="D59" s="241" t="s">
        <v>539</v>
      </c>
      <c r="E59" s="241" t="s">
        <v>539</v>
      </c>
      <c r="F59" s="201" t="s">
        <v>539</v>
      </c>
      <c r="G59" s="201" t="s">
        <v>539</v>
      </c>
      <c r="H59" s="161"/>
      <c r="I59" s="160"/>
      <c r="J59" s="160"/>
      <c r="K59" s="820"/>
    </row>
    <row r="60" spans="1:18" s="8" customFormat="1" ht="11.25">
      <c r="A60" s="57" t="s">
        <v>1890</v>
      </c>
      <c r="B60" s="535" t="s">
        <v>1242</v>
      </c>
      <c r="C60" s="864" t="s">
        <v>628</v>
      </c>
      <c r="D60" s="241" t="s">
        <v>539</v>
      </c>
      <c r="E60" s="241" t="s">
        <v>539</v>
      </c>
      <c r="F60" s="201" t="s">
        <v>539</v>
      </c>
      <c r="G60" s="201" t="s">
        <v>539</v>
      </c>
      <c r="H60" s="161"/>
      <c r="I60" s="160"/>
      <c r="J60" s="160"/>
      <c r="K60" s="820"/>
    </row>
    <row r="61" spans="1:18" s="8" customFormat="1" ht="11.25">
      <c r="A61" s="57" t="s">
        <v>1891</v>
      </c>
      <c r="B61" s="535" t="s">
        <v>1243</v>
      </c>
      <c r="C61" s="864" t="s">
        <v>628</v>
      </c>
      <c r="D61" s="241" t="s">
        <v>539</v>
      </c>
      <c r="E61" s="241" t="s">
        <v>539</v>
      </c>
      <c r="F61" s="201" t="s">
        <v>539</v>
      </c>
      <c r="G61" s="201" t="s">
        <v>539</v>
      </c>
      <c r="H61" s="161"/>
      <c r="I61" s="160"/>
      <c r="J61" s="160"/>
      <c r="K61" s="820"/>
    </row>
    <row r="62" spans="1:18" s="4" customFormat="1" ht="11.25">
      <c r="A62" s="57" t="s">
        <v>2235</v>
      </c>
      <c r="B62" s="535" t="s">
        <v>1244</v>
      </c>
      <c r="C62" s="864" t="s">
        <v>628</v>
      </c>
      <c r="D62" s="241" t="s">
        <v>539</v>
      </c>
      <c r="E62" s="241" t="s">
        <v>539</v>
      </c>
      <c r="F62" s="201" t="s">
        <v>539</v>
      </c>
      <c r="G62" s="201" t="s">
        <v>539</v>
      </c>
      <c r="H62" s="161"/>
      <c r="I62" s="160"/>
      <c r="J62" s="160"/>
      <c r="K62" s="159"/>
    </row>
    <row r="63" spans="1:18" s="4" customFormat="1" ht="33.75">
      <c r="A63" s="57" t="s">
        <v>1940</v>
      </c>
      <c r="B63" s="535" t="s">
        <v>1245</v>
      </c>
      <c r="C63" s="864" t="s">
        <v>628</v>
      </c>
      <c r="D63" s="201">
        <v>4.5</v>
      </c>
      <c r="E63" s="201">
        <f>SUM(D63*1.1)</f>
        <v>4.95</v>
      </c>
      <c r="F63" s="201" t="s">
        <v>783</v>
      </c>
      <c r="G63" s="201" t="s">
        <v>783</v>
      </c>
      <c r="H63" s="161"/>
      <c r="I63" s="160"/>
      <c r="J63" s="160"/>
      <c r="K63" s="159"/>
    </row>
    <row r="64" spans="1:18" s="4" customFormat="1" ht="33.75">
      <c r="A64" s="57" t="s">
        <v>1893</v>
      </c>
      <c r="B64" s="535" t="s">
        <v>1246</v>
      </c>
      <c r="C64" s="864" t="s">
        <v>628</v>
      </c>
      <c r="D64" s="201">
        <v>7.1</v>
      </c>
      <c r="E64" s="201">
        <f>SUM(D64*1.1)</f>
        <v>7.8100000000000005</v>
      </c>
      <c r="F64" s="201" t="s">
        <v>783</v>
      </c>
      <c r="G64" s="201" t="s">
        <v>783</v>
      </c>
      <c r="H64" s="161"/>
      <c r="I64" s="160"/>
      <c r="J64" s="160"/>
      <c r="K64" s="159"/>
    </row>
    <row r="65" spans="1:11" s="4" customFormat="1" ht="33.75">
      <c r="A65" s="57" t="s">
        <v>1894</v>
      </c>
      <c r="B65" s="535" t="s">
        <v>1247</v>
      </c>
      <c r="C65" s="864" t="s">
        <v>628</v>
      </c>
      <c r="D65" s="201">
        <v>3</v>
      </c>
      <c r="E65" s="201">
        <f>SUM(D65*1.1)</f>
        <v>3.3000000000000003</v>
      </c>
      <c r="F65" s="201" t="s">
        <v>783</v>
      </c>
      <c r="G65" s="201" t="s">
        <v>783</v>
      </c>
      <c r="H65" s="161"/>
      <c r="I65" s="160"/>
      <c r="J65" s="160"/>
      <c r="K65" s="159"/>
    </row>
    <row r="66" spans="1:11" s="4" customFormat="1" ht="33.75">
      <c r="A66" s="57" t="s">
        <v>1897</v>
      </c>
      <c r="B66" s="535" t="s">
        <v>1248</v>
      </c>
      <c r="C66" s="864" t="s">
        <v>628</v>
      </c>
      <c r="D66" s="201">
        <v>5</v>
      </c>
      <c r="E66" s="201">
        <f>SUM(D66*1.1)</f>
        <v>5.5</v>
      </c>
      <c r="F66" s="201" t="s">
        <v>783</v>
      </c>
      <c r="G66" s="201" t="s">
        <v>783</v>
      </c>
      <c r="H66" s="161"/>
      <c r="I66" s="160"/>
      <c r="J66" s="160"/>
      <c r="K66" s="159"/>
    </row>
    <row r="67" spans="1:11" s="4" customFormat="1" ht="22.5">
      <c r="A67" s="57" t="s">
        <v>1898</v>
      </c>
      <c r="B67" s="535" t="s">
        <v>1249</v>
      </c>
      <c r="C67" s="864" t="s">
        <v>628</v>
      </c>
      <c r="D67" s="201">
        <v>7.1</v>
      </c>
      <c r="E67" s="201">
        <f>SUM(D67*1.1)</f>
        <v>7.8100000000000005</v>
      </c>
      <c r="F67" s="201" t="s">
        <v>783</v>
      </c>
      <c r="G67" s="201" t="s">
        <v>783</v>
      </c>
      <c r="H67" s="161"/>
      <c r="I67" s="160"/>
      <c r="J67" s="160"/>
      <c r="K67" s="159"/>
    </row>
    <row r="68" spans="1:11" s="4" customFormat="1" ht="168">
      <c r="A68" s="57" t="s">
        <v>1671</v>
      </c>
      <c r="B68" s="96" t="s">
        <v>307</v>
      </c>
      <c r="C68" s="864" t="s">
        <v>628</v>
      </c>
      <c r="D68" s="241">
        <v>0.53</v>
      </c>
      <c r="E68" s="349" t="s">
        <v>783</v>
      </c>
      <c r="F68" s="201" t="s">
        <v>277</v>
      </c>
      <c r="G68" s="201" t="s">
        <v>277</v>
      </c>
      <c r="H68" s="161" t="s">
        <v>288</v>
      </c>
      <c r="I68" s="149" t="s">
        <v>308</v>
      </c>
      <c r="J68" s="1234" t="s">
        <v>766</v>
      </c>
      <c r="K68" s="159"/>
    </row>
    <row r="69" spans="1:11" s="4" customFormat="1" ht="94.5">
      <c r="A69" s="57" t="s">
        <v>1767</v>
      </c>
      <c r="B69" s="96" t="s">
        <v>335</v>
      </c>
      <c r="C69" s="864" t="s">
        <v>628</v>
      </c>
      <c r="D69" s="180">
        <v>5</v>
      </c>
      <c r="E69" s="180">
        <f t="shared" ref="E69:E76" si="3">SUM(D69*1.1)</f>
        <v>5.5</v>
      </c>
      <c r="F69" s="201" t="s">
        <v>277</v>
      </c>
      <c r="G69" s="201" t="s">
        <v>277</v>
      </c>
      <c r="H69" s="161" t="s">
        <v>288</v>
      </c>
      <c r="I69" s="149" t="s">
        <v>336</v>
      </c>
      <c r="J69" s="149" t="s">
        <v>725</v>
      </c>
      <c r="K69" s="159"/>
    </row>
    <row r="70" spans="1:11" s="4" customFormat="1" ht="42">
      <c r="A70" s="57" t="s">
        <v>1672</v>
      </c>
      <c r="B70" s="863" t="s">
        <v>1385</v>
      </c>
      <c r="C70" s="864" t="s">
        <v>628</v>
      </c>
      <c r="D70" s="201">
        <v>35</v>
      </c>
      <c r="E70" s="180">
        <f t="shared" si="3"/>
        <v>38.5</v>
      </c>
      <c r="F70" s="201">
        <v>45.9</v>
      </c>
      <c r="G70" s="201">
        <f t="shared" ref="G70:G79" si="4">(F70-(F70*10%))</f>
        <v>41.31</v>
      </c>
      <c r="H70" s="161" t="s">
        <v>342</v>
      </c>
      <c r="I70" s="96" t="s">
        <v>337</v>
      </c>
      <c r="J70" s="149" t="s">
        <v>693</v>
      </c>
      <c r="K70" s="159"/>
    </row>
    <row r="71" spans="1:11" s="98" customFormat="1" ht="75" customHeight="1">
      <c r="A71" s="57" t="s">
        <v>1899</v>
      </c>
      <c r="B71" s="150" t="s">
        <v>1386</v>
      </c>
      <c r="C71" s="864" t="s">
        <v>628</v>
      </c>
      <c r="D71" s="201">
        <v>6.5</v>
      </c>
      <c r="E71" s="180">
        <f t="shared" si="3"/>
        <v>7.15</v>
      </c>
      <c r="F71" s="201">
        <v>2.81</v>
      </c>
      <c r="G71" s="201">
        <f t="shared" si="4"/>
        <v>2.5289999999999999</v>
      </c>
      <c r="H71" s="149" t="s">
        <v>353</v>
      </c>
      <c r="I71" s="869" t="s">
        <v>345</v>
      </c>
      <c r="J71" s="149" t="s">
        <v>693</v>
      </c>
      <c r="K71" s="824"/>
    </row>
    <row r="72" spans="1:11" s="98" customFormat="1" ht="75" customHeight="1">
      <c r="A72" s="57" t="s">
        <v>1674</v>
      </c>
      <c r="B72" s="150" t="s">
        <v>1387</v>
      </c>
      <c r="C72" s="864" t="s">
        <v>628</v>
      </c>
      <c r="D72" s="201">
        <v>5.5</v>
      </c>
      <c r="E72" s="180">
        <f t="shared" si="3"/>
        <v>6.0500000000000007</v>
      </c>
      <c r="F72" s="201">
        <v>2.81</v>
      </c>
      <c r="G72" s="201">
        <f t="shared" si="4"/>
        <v>2.5289999999999999</v>
      </c>
      <c r="H72" s="149" t="s">
        <v>353</v>
      </c>
      <c r="I72" s="869" t="s">
        <v>345</v>
      </c>
      <c r="J72" s="149" t="s">
        <v>693</v>
      </c>
      <c r="K72" s="824"/>
    </row>
    <row r="73" spans="1:11" s="98" customFormat="1" ht="75" customHeight="1">
      <c r="A73" s="57" t="s">
        <v>1900</v>
      </c>
      <c r="B73" s="150" t="s">
        <v>1388</v>
      </c>
      <c r="C73" s="864" t="s">
        <v>628</v>
      </c>
      <c r="D73" s="201">
        <v>4.5</v>
      </c>
      <c r="E73" s="180">
        <f t="shared" si="3"/>
        <v>4.95</v>
      </c>
      <c r="F73" s="201">
        <v>2.81</v>
      </c>
      <c r="G73" s="201">
        <f t="shared" si="4"/>
        <v>2.5289999999999999</v>
      </c>
      <c r="H73" s="149" t="s">
        <v>353</v>
      </c>
      <c r="I73" s="869" t="s">
        <v>345</v>
      </c>
      <c r="J73" s="149" t="s">
        <v>693</v>
      </c>
      <c r="K73" s="824"/>
    </row>
    <row r="74" spans="1:11" s="98" customFormat="1" ht="75" customHeight="1">
      <c r="A74" s="57" t="s">
        <v>1676</v>
      </c>
      <c r="B74" s="150" t="s">
        <v>1389</v>
      </c>
      <c r="C74" s="864" t="s">
        <v>628</v>
      </c>
      <c r="D74" s="201">
        <v>4</v>
      </c>
      <c r="E74" s="180">
        <f t="shared" si="3"/>
        <v>4.4000000000000004</v>
      </c>
      <c r="F74" s="201">
        <v>2.81</v>
      </c>
      <c r="G74" s="201">
        <f t="shared" si="4"/>
        <v>2.5289999999999999</v>
      </c>
      <c r="H74" s="149" t="s">
        <v>353</v>
      </c>
      <c r="I74" s="869" t="s">
        <v>345</v>
      </c>
      <c r="J74" s="149" t="s">
        <v>693</v>
      </c>
      <c r="K74" s="824"/>
    </row>
    <row r="75" spans="1:11" s="98" customFormat="1" ht="75" customHeight="1">
      <c r="A75" s="57" t="s">
        <v>1677</v>
      </c>
      <c r="B75" s="163" t="s">
        <v>1498</v>
      </c>
      <c r="C75" s="864" t="s">
        <v>628</v>
      </c>
      <c r="D75" s="201">
        <v>3</v>
      </c>
      <c r="E75" s="180">
        <f t="shared" si="3"/>
        <v>3.3000000000000003</v>
      </c>
      <c r="F75" s="201">
        <v>2.81</v>
      </c>
      <c r="G75" s="201">
        <f t="shared" si="4"/>
        <v>2.5289999999999999</v>
      </c>
      <c r="H75" s="149" t="s">
        <v>353</v>
      </c>
      <c r="I75" s="869" t="s">
        <v>345</v>
      </c>
      <c r="J75" s="149" t="s">
        <v>693</v>
      </c>
      <c r="K75" s="824"/>
    </row>
    <row r="76" spans="1:11" s="98" customFormat="1" ht="75" customHeight="1">
      <c r="A76" s="57" t="s">
        <v>1901</v>
      </c>
      <c r="B76" s="150" t="s">
        <v>1390</v>
      </c>
      <c r="C76" s="864" t="s">
        <v>628</v>
      </c>
      <c r="D76" s="201">
        <v>2.5</v>
      </c>
      <c r="E76" s="180">
        <f t="shared" si="3"/>
        <v>2.75</v>
      </c>
      <c r="F76" s="201">
        <v>2.81</v>
      </c>
      <c r="G76" s="201">
        <f t="shared" si="4"/>
        <v>2.5289999999999999</v>
      </c>
      <c r="H76" s="149" t="s">
        <v>353</v>
      </c>
      <c r="I76" s="869" t="s">
        <v>345</v>
      </c>
      <c r="J76" s="149" t="s">
        <v>693</v>
      </c>
      <c r="K76" s="824"/>
    </row>
    <row r="77" spans="1:11" s="4" customFormat="1" ht="52.5">
      <c r="A77" s="57" t="s">
        <v>1679</v>
      </c>
      <c r="B77" s="96" t="s">
        <v>1391</v>
      </c>
      <c r="C77" s="864" t="s">
        <v>628</v>
      </c>
      <c r="D77" s="201" t="s">
        <v>783</v>
      </c>
      <c r="E77" s="201" t="s">
        <v>783</v>
      </c>
      <c r="F77" s="201">
        <v>96.9</v>
      </c>
      <c r="G77" s="201">
        <f t="shared" si="4"/>
        <v>87.210000000000008</v>
      </c>
      <c r="H77" s="149" t="s">
        <v>344</v>
      </c>
      <c r="I77" s="149" t="s">
        <v>346</v>
      </c>
      <c r="J77" s="149" t="s">
        <v>693</v>
      </c>
      <c r="K77" s="159"/>
    </row>
    <row r="78" spans="1:11" s="4" customFormat="1" ht="63">
      <c r="A78" s="57" t="s">
        <v>1703</v>
      </c>
      <c r="B78" s="96" t="s">
        <v>1392</v>
      </c>
      <c r="C78" s="864" t="s">
        <v>628</v>
      </c>
      <c r="D78" s="201" t="s">
        <v>277</v>
      </c>
      <c r="E78" s="201" t="s">
        <v>277</v>
      </c>
      <c r="F78" s="201">
        <v>198.8</v>
      </c>
      <c r="G78" s="201">
        <f t="shared" si="4"/>
        <v>178.92000000000002</v>
      </c>
      <c r="H78" s="161" t="s">
        <v>343</v>
      </c>
      <c r="I78" s="96" t="s">
        <v>338</v>
      </c>
      <c r="J78" s="149" t="s">
        <v>693</v>
      </c>
      <c r="K78" s="159"/>
    </row>
    <row r="79" spans="1:11" s="4" customFormat="1" ht="31.5">
      <c r="A79" s="61" t="s">
        <v>2733</v>
      </c>
      <c r="B79" s="61" t="s">
        <v>2732</v>
      </c>
      <c r="C79" s="864" t="s">
        <v>628</v>
      </c>
      <c r="D79" s="201" t="s">
        <v>277</v>
      </c>
      <c r="E79" s="201" t="s">
        <v>277</v>
      </c>
      <c r="F79" s="201">
        <v>18.62</v>
      </c>
      <c r="G79" s="201">
        <f t="shared" si="4"/>
        <v>16.758000000000003</v>
      </c>
      <c r="H79" s="161" t="s">
        <v>288</v>
      </c>
      <c r="I79" s="96" t="s">
        <v>618</v>
      </c>
      <c r="J79" s="149" t="s">
        <v>779</v>
      </c>
      <c r="K79" s="159"/>
    </row>
    <row r="80" spans="1:11" s="19" customFormat="1">
      <c r="A80" s="772"/>
      <c r="B80" s="865"/>
      <c r="C80" s="165"/>
      <c r="D80" s="201"/>
      <c r="E80" s="818"/>
      <c r="F80" s="201"/>
      <c r="G80" s="201"/>
      <c r="H80" s="201"/>
      <c r="I80" s="201"/>
      <c r="J80" s="1234"/>
      <c r="K80" s="159"/>
    </row>
    <row r="81" spans="1:11" s="19" customFormat="1" ht="52.5">
      <c r="A81" s="889" t="s">
        <v>2787</v>
      </c>
      <c r="B81" s="96" t="s">
        <v>2752</v>
      </c>
      <c r="C81" s="889" t="s">
        <v>628</v>
      </c>
      <c r="D81" s="1116">
        <v>4.5</v>
      </c>
      <c r="E81" s="502">
        <f>SUM(D81*1.1)</f>
        <v>4.95</v>
      </c>
      <c r="F81" s="1116" t="s">
        <v>783</v>
      </c>
      <c r="G81" s="1116" t="s">
        <v>783</v>
      </c>
      <c r="H81" s="888"/>
      <c r="I81" s="155" t="s">
        <v>2776</v>
      </c>
      <c r="J81" s="1234"/>
      <c r="K81" s="159"/>
    </row>
    <row r="82" spans="1:11" s="19" customFormat="1" ht="31.5">
      <c r="A82" s="889" t="s">
        <v>2787</v>
      </c>
      <c r="B82" s="96" t="s">
        <v>2753</v>
      </c>
      <c r="C82" s="889" t="s">
        <v>628</v>
      </c>
      <c r="D82" s="1116" t="s">
        <v>783</v>
      </c>
      <c r="E82" s="502" t="s">
        <v>783</v>
      </c>
      <c r="F82" s="1116" t="s">
        <v>783</v>
      </c>
      <c r="G82" s="1116" t="s">
        <v>783</v>
      </c>
      <c r="H82" s="888"/>
      <c r="I82" s="155" t="s">
        <v>2777</v>
      </c>
      <c r="J82" s="1234"/>
      <c r="K82" s="159"/>
    </row>
    <row r="83" spans="1:11" s="19" customFormat="1" ht="42">
      <c r="A83" s="889" t="s">
        <v>2787</v>
      </c>
      <c r="B83" s="160" t="s">
        <v>2778</v>
      </c>
      <c r="C83" s="889" t="s">
        <v>628</v>
      </c>
      <c r="D83" s="1117">
        <v>0.3</v>
      </c>
      <c r="E83" s="502">
        <f>SUM(D83*1.1)</f>
        <v>0.33</v>
      </c>
      <c r="F83" s="1116" t="s">
        <v>783</v>
      </c>
      <c r="G83" s="1116" t="s">
        <v>783</v>
      </c>
      <c r="H83" s="1118"/>
      <c r="I83" s="818" t="s">
        <v>2794</v>
      </c>
      <c r="J83" s="1234"/>
      <c r="K83" s="159"/>
    </row>
    <row r="84" spans="1:11" s="19" customFormat="1" ht="42">
      <c r="A84" s="889" t="s">
        <v>2787</v>
      </c>
      <c r="B84" s="160" t="s">
        <v>2756</v>
      </c>
      <c r="C84" s="889" t="s">
        <v>628</v>
      </c>
      <c r="D84" s="1116" t="s">
        <v>783</v>
      </c>
      <c r="E84" s="1116" t="s">
        <v>783</v>
      </c>
      <c r="F84" s="1116" t="s">
        <v>783</v>
      </c>
      <c r="G84" s="1116" t="s">
        <v>783</v>
      </c>
      <c r="H84" s="1118" t="s">
        <v>862</v>
      </c>
      <c r="I84" s="155" t="s">
        <v>2731</v>
      </c>
      <c r="J84" s="1234"/>
      <c r="K84" s="159"/>
    </row>
    <row r="85" spans="1:11" s="4" customFormat="1" ht="52.5">
      <c r="A85" s="889" t="s">
        <v>2787</v>
      </c>
      <c r="B85" s="160" t="s">
        <v>2779</v>
      </c>
      <c r="C85" s="889" t="s">
        <v>628</v>
      </c>
      <c r="D85" s="1116" t="s">
        <v>783</v>
      </c>
      <c r="E85" s="1116" t="s">
        <v>783</v>
      </c>
      <c r="F85" s="1116" t="s">
        <v>783</v>
      </c>
      <c r="G85" s="1116" t="s">
        <v>783</v>
      </c>
      <c r="H85" s="1118" t="s">
        <v>290</v>
      </c>
      <c r="I85" s="155"/>
      <c r="J85" s="1234"/>
      <c r="K85" s="159"/>
    </row>
    <row r="86" spans="1:11" s="4" customFormat="1" ht="31.5">
      <c r="A86" s="889" t="s">
        <v>2787</v>
      </c>
      <c r="B86" s="160" t="s">
        <v>2758</v>
      </c>
      <c r="C86" s="889" t="s">
        <v>628</v>
      </c>
      <c r="D86" s="1116">
        <v>0.5</v>
      </c>
      <c r="E86" s="502">
        <f t="shared" ref="E86:E95" si="5">SUM(D86*1.1)</f>
        <v>0.55000000000000004</v>
      </c>
      <c r="F86" s="502">
        <f t="shared" ref="F86:F95" si="6">SUM(G86*1.1)</f>
        <v>8.25</v>
      </c>
      <c r="G86" s="1116">
        <v>7.5</v>
      </c>
      <c r="H86" s="1118" t="s">
        <v>2731</v>
      </c>
      <c r="I86" s="149" t="s">
        <v>2794</v>
      </c>
      <c r="J86" s="1240"/>
      <c r="K86" s="159"/>
    </row>
    <row r="87" spans="1:11" s="4" customFormat="1" ht="84">
      <c r="A87" s="889" t="s">
        <v>2787</v>
      </c>
      <c r="B87" s="160" t="s">
        <v>2759</v>
      </c>
      <c r="C87" s="889" t="s">
        <v>628</v>
      </c>
      <c r="D87" s="1117">
        <v>1.6</v>
      </c>
      <c r="E87" s="502">
        <f t="shared" si="5"/>
        <v>1.7600000000000002</v>
      </c>
      <c r="F87" s="502">
        <f t="shared" si="6"/>
        <v>4.4000000000000004</v>
      </c>
      <c r="G87" s="1116">
        <v>4</v>
      </c>
      <c r="H87" s="160" t="s">
        <v>289</v>
      </c>
      <c r="I87" s="160" t="s">
        <v>2797</v>
      </c>
      <c r="J87" s="1240"/>
      <c r="K87" s="159"/>
    </row>
    <row r="88" spans="1:11" s="4" customFormat="1" ht="21">
      <c r="A88" s="889" t="s">
        <v>2787</v>
      </c>
      <c r="B88" s="160" t="s">
        <v>2760</v>
      </c>
      <c r="C88" s="889" t="s">
        <v>628</v>
      </c>
      <c r="D88" s="1117">
        <v>1.6</v>
      </c>
      <c r="E88" s="502">
        <f t="shared" si="5"/>
        <v>1.7600000000000002</v>
      </c>
      <c r="F88" s="502">
        <f t="shared" si="6"/>
        <v>4.4000000000000004</v>
      </c>
      <c r="G88" s="1116">
        <v>4</v>
      </c>
      <c r="H88" s="161" t="s">
        <v>2750</v>
      </c>
      <c r="I88" s="160" t="s">
        <v>2794</v>
      </c>
      <c r="J88" s="1240"/>
      <c r="K88" s="159"/>
    </row>
    <row r="89" spans="1:11" s="4" customFormat="1" ht="42">
      <c r="A89" s="889" t="s">
        <v>2787</v>
      </c>
      <c r="B89" s="160" t="s">
        <v>2761</v>
      </c>
      <c r="C89" s="889" t="s">
        <v>628</v>
      </c>
      <c r="D89" s="1117">
        <v>1.2</v>
      </c>
      <c r="E89" s="502">
        <f t="shared" si="5"/>
        <v>1.32</v>
      </c>
      <c r="F89" s="502">
        <f t="shared" si="6"/>
        <v>8.25</v>
      </c>
      <c r="G89" s="1116">
        <v>7.5</v>
      </c>
      <c r="H89" s="161" t="s">
        <v>2750</v>
      </c>
      <c r="I89" s="160" t="s">
        <v>2794</v>
      </c>
      <c r="J89" s="1240"/>
      <c r="K89" s="159"/>
    </row>
    <row r="90" spans="1:11" s="4" customFormat="1" ht="42">
      <c r="A90" s="889" t="s">
        <v>2787</v>
      </c>
      <c r="B90" s="160" t="s">
        <v>2762</v>
      </c>
      <c r="C90" s="889" t="s">
        <v>628</v>
      </c>
      <c r="D90" s="1117">
        <v>1.2</v>
      </c>
      <c r="E90" s="502">
        <f t="shared" si="5"/>
        <v>1.32</v>
      </c>
      <c r="F90" s="502">
        <f t="shared" si="6"/>
        <v>8.25</v>
      </c>
      <c r="G90" s="1116">
        <v>7.5</v>
      </c>
      <c r="H90" s="161" t="s">
        <v>2750</v>
      </c>
      <c r="I90" s="160" t="s">
        <v>2794</v>
      </c>
      <c r="J90" s="1240"/>
      <c r="K90" s="159"/>
    </row>
    <row r="91" spans="1:11" s="4" customFormat="1" ht="42">
      <c r="A91" s="889" t="s">
        <v>2787</v>
      </c>
      <c r="B91" s="160" t="s">
        <v>2763</v>
      </c>
      <c r="C91" s="889" t="s">
        <v>628</v>
      </c>
      <c r="D91" s="1117">
        <v>1.6</v>
      </c>
      <c r="E91" s="502">
        <f t="shared" si="5"/>
        <v>1.7600000000000002</v>
      </c>
      <c r="F91" s="502">
        <f t="shared" si="6"/>
        <v>8.25</v>
      </c>
      <c r="G91" s="1116">
        <v>7.5</v>
      </c>
      <c r="H91" s="161" t="s">
        <v>2750</v>
      </c>
      <c r="I91" s="160" t="s">
        <v>2794</v>
      </c>
      <c r="J91" s="1240"/>
      <c r="K91" s="159"/>
    </row>
    <row r="92" spans="1:11" s="4" customFormat="1" ht="31.5">
      <c r="A92" s="889" t="s">
        <v>2787</v>
      </c>
      <c r="B92" s="161" t="s">
        <v>2780</v>
      </c>
      <c r="C92" s="889" t="s">
        <v>628</v>
      </c>
      <c r="D92" s="1117">
        <v>1.1000000000000001</v>
      </c>
      <c r="E92" s="502">
        <f t="shared" si="5"/>
        <v>1.2100000000000002</v>
      </c>
      <c r="F92" s="502">
        <f t="shared" si="6"/>
        <v>4.4000000000000004</v>
      </c>
      <c r="G92" s="1116">
        <v>4</v>
      </c>
      <c r="H92" s="161" t="s">
        <v>2750</v>
      </c>
      <c r="I92" s="160" t="s">
        <v>2794</v>
      </c>
      <c r="J92" s="1240"/>
      <c r="K92" s="159"/>
    </row>
    <row r="93" spans="1:11" s="4" customFormat="1" ht="42">
      <c r="A93" s="889" t="s">
        <v>2787</v>
      </c>
      <c r="B93" s="160" t="s">
        <v>2765</v>
      </c>
      <c r="C93" s="889" t="s">
        <v>628</v>
      </c>
      <c r="D93" s="1117">
        <v>1</v>
      </c>
      <c r="E93" s="502">
        <f t="shared" si="5"/>
        <v>1.1000000000000001</v>
      </c>
      <c r="F93" s="502">
        <f t="shared" si="6"/>
        <v>8.25</v>
      </c>
      <c r="G93" s="1116">
        <v>7.5</v>
      </c>
      <c r="H93" s="161" t="s">
        <v>2750</v>
      </c>
      <c r="I93" s="160" t="s">
        <v>2794</v>
      </c>
      <c r="J93" s="1240"/>
      <c r="K93" s="159"/>
    </row>
    <row r="94" spans="1:11" s="4" customFormat="1" ht="42">
      <c r="A94" s="889" t="s">
        <v>2787</v>
      </c>
      <c r="B94" s="160" t="s">
        <v>2766</v>
      </c>
      <c r="C94" s="889" t="s">
        <v>628</v>
      </c>
      <c r="D94" s="1117">
        <v>1</v>
      </c>
      <c r="E94" s="502">
        <f t="shared" si="5"/>
        <v>1.1000000000000001</v>
      </c>
      <c r="F94" s="502">
        <f t="shared" si="6"/>
        <v>8.25</v>
      </c>
      <c r="G94" s="1116">
        <v>7.5</v>
      </c>
      <c r="H94" s="161" t="s">
        <v>2750</v>
      </c>
      <c r="I94" s="160" t="s">
        <v>2794</v>
      </c>
      <c r="J94" s="1240"/>
      <c r="K94" s="159"/>
    </row>
    <row r="95" spans="1:11" s="4" customFormat="1" ht="42">
      <c r="A95" s="889" t="s">
        <v>2787</v>
      </c>
      <c r="B95" s="160" t="s">
        <v>2767</v>
      </c>
      <c r="C95" s="889" t="s">
        <v>628</v>
      </c>
      <c r="D95" s="1117">
        <v>1</v>
      </c>
      <c r="E95" s="502">
        <f t="shared" si="5"/>
        <v>1.1000000000000001</v>
      </c>
      <c r="F95" s="502">
        <f t="shared" si="6"/>
        <v>8.25</v>
      </c>
      <c r="G95" s="1116">
        <v>7.5</v>
      </c>
      <c r="H95" s="161" t="s">
        <v>2750</v>
      </c>
      <c r="I95" s="160" t="s">
        <v>2794</v>
      </c>
      <c r="J95" s="1240"/>
      <c r="K95" s="159"/>
    </row>
    <row r="96" spans="1:11" s="4" customFormat="1" ht="21">
      <c r="A96" s="889" t="s">
        <v>2787</v>
      </c>
      <c r="B96" s="160" t="s">
        <v>2783</v>
      </c>
      <c r="C96" s="889" t="s">
        <v>628</v>
      </c>
      <c r="D96" s="1117" t="s">
        <v>783</v>
      </c>
      <c r="E96" s="502" t="s">
        <v>783</v>
      </c>
      <c r="F96" s="1117" t="s">
        <v>783</v>
      </c>
      <c r="G96" s="1117" t="s">
        <v>783</v>
      </c>
      <c r="H96" s="160" t="s">
        <v>2750</v>
      </c>
      <c r="I96" s="160"/>
      <c r="J96" s="1240"/>
    </row>
    <row r="97" spans="1:10" s="4" customFormat="1" ht="31.5">
      <c r="A97" s="889" t="s">
        <v>2787</v>
      </c>
      <c r="B97" s="160" t="s">
        <v>2784</v>
      </c>
      <c r="C97" s="889" t="s">
        <v>628</v>
      </c>
      <c r="D97" s="1117" t="s">
        <v>783</v>
      </c>
      <c r="E97" s="502" t="s">
        <v>783</v>
      </c>
      <c r="F97" s="1117" t="s">
        <v>783</v>
      </c>
      <c r="G97" s="1117" t="s">
        <v>783</v>
      </c>
      <c r="H97" s="160" t="s">
        <v>289</v>
      </c>
      <c r="I97" s="160"/>
      <c r="J97" s="1240"/>
    </row>
    <row r="98" spans="1:10" s="4" customFormat="1" ht="21">
      <c r="A98" s="889" t="s">
        <v>2787</v>
      </c>
      <c r="B98" s="161" t="s">
        <v>2785</v>
      </c>
      <c r="C98" s="889" t="s">
        <v>628</v>
      </c>
      <c r="D98" s="1117">
        <v>0.7</v>
      </c>
      <c r="E98" s="502">
        <f>SUM(D98*1.1)</f>
        <v>0.77</v>
      </c>
      <c r="F98" s="502">
        <f t="shared" ref="F98:F106" si="7">SUM(G98*1.1)</f>
        <v>5.2250000000000005</v>
      </c>
      <c r="G98" s="1116">
        <v>4.75</v>
      </c>
      <c r="H98" s="161" t="s">
        <v>288</v>
      </c>
      <c r="I98" s="160" t="s">
        <v>2794</v>
      </c>
      <c r="J98" s="1240"/>
    </row>
    <row r="99" spans="1:10" s="4" customFormat="1" ht="31.5">
      <c r="A99" s="889" t="s">
        <v>2787</v>
      </c>
      <c r="B99" s="161" t="s">
        <v>2768</v>
      </c>
      <c r="C99" s="889" t="s">
        <v>628</v>
      </c>
      <c r="D99" s="1117">
        <v>1.6</v>
      </c>
      <c r="E99" s="502">
        <f>SUM(D99*1.1)</f>
        <v>1.7600000000000002</v>
      </c>
      <c r="F99" s="502">
        <f t="shared" si="7"/>
        <v>4.4000000000000004</v>
      </c>
      <c r="G99" s="1116">
        <v>4</v>
      </c>
      <c r="H99" s="161" t="s">
        <v>288</v>
      </c>
      <c r="I99" s="160" t="s">
        <v>2798</v>
      </c>
      <c r="J99" s="1240"/>
    </row>
    <row r="100" spans="1:10" s="4" customFormat="1" ht="31.5">
      <c r="A100" s="889" t="s">
        <v>2787</v>
      </c>
      <c r="B100" s="161" t="s">
        <v>2769</v>
      </c>
      <c r="C100" s="889" t="s">
        <v>628</v>
      </c>
      <c r="D100" s="1116" t="s">
        <v>277</v>
      </c>
      <c r="E100" s="1116" t="s">
        <v>277</v>
      </c>
      <c r="F100" s="502">
        <f t="shared" si="7"/>
        <v>4.4000000000000004</v>
      </c>
      <c r="G100" s="1116">
        <v>4</v>
      </c>
      <c r="H100" s="161" t="s">
        <v>288</v>
      </c>
      <c r="I100" s="160" t="s">
        <v>2799</v>
      </c>
      <c r="J100" s="1240"/>
    </row>
    <row r="101" spans="1:10" s="4" customFormat="1" ht="31.5">
      <c r="A101" s="889" t="s">
        <v>2787</v>
      </c>
      <c r="B101" s="160" t="s">
        <v>2770</v>
      </c>
      <c r="C101" s="889" t="s">
        <v>628</v>
      </c>
      <c r="D101" s="1117">
        <v>2.8</v>
      </c>
      <c r="E101" s="502">
        <f>SUM(D101*1.1)</f>
        <v>3.08</v>
      </c>
      <c r="F101" s="502">
        <f t="shared" si="7"/>
        <v>1.1000000000000001</v>
      </c>
      <c r="G101" s="1116">
        <v>1</v>
      </c>
      <c r="H101" s="161" t="s">
        <v>288</v>
      </c>
      <c r="I101" s="160" t="s">
        <v>2794</v>
      </c>
      <c r="J101" s="1240"/>
    </row>
    <row r="102" spans="1:10" s="4" customFormat="1" ht="21">
      <c r="A102" s="889" t="s">
        <v>2787</v>
      </c>
      <c r="B102" s="161" t="s">
        <v>2771</v>
      </c>
      <c r="C102" s="889" t="s">
        <v>628</v>
      </c>
      <c r="D102" s="1117">
        <v>0.45</v>
      </c>
      <c r="E102" s="502">
        <f>SUM(D102*1.1)</f>
        <v>0.49500000000000005</v>
      </c>
      <c r="F102" s="502">
        <f t="shared" si="7"/>
        <v>8.25</v>
      </c>
      <c r="G102" s="1116">
        <v>7.5</v>
      </c>
      <c r="H102" s="161" t="s">
        <v>288</v>
      </c>
      <c r="I102" s="160" t="s">
        <v>2800</v>
      </c>
      <c r="J102" s="1240"/>
    </row>
    <row r="103" spans="1:10" s="4" customFormat="1" ht="31.5">
      <c r="A103" s="889" t="s">
        <v>2787</v>
      </c>
      <c r="B103" s="160" t="s">
        <v>2772</v>
      </c>
      <c r="C103" s="889" t="s">
        <v>628</v>
      </c>
      <c r="D103" s="1117">
        <v>3.4</v>
      </c>
      <c r="E103" s="502">
        <f>SUM(D103*1.1)</f>
        <v>3.74</v>
      </c>
      <c r="F103" s="502">
        <f t="shared" si="7"/>
        <v>4.4000000000000004</v>
      </c>
      <c r="G103" s="1116">
        <v>4</v>
      </c>
      <c r="H103" s="161" t="s">
        <v>288</v>
      </c>
      <c r="I103" s="160" t="s">
        <v>2800</v>
      </c>
      <c r="J103" s="1240"/>
    </row>
    <row r="104" spans="1:10" s="4" customFormat="1" ht="31.5">
      <c r="A104" s="889" t="s">
        <v>2787</v>
      </c>
      <c r="B104" s="160" t="s">
        <v>2773</v>
      </c>
      <c r="C104" s="889" t="s">
        <v>628</v>
      </c>
      <c r="D104" s="1117">
        <v>3.4</v>
      </c>
      <c r="E104" s="502">
        <f>SUM(D104*1.1)</f>
        <v>3.74</v>
      </c>
      <c r="F104" s="502">
        <f t="shared" si="7"/>
        <v>4.4000000000000004</v>
      </c>
      <c r="G104" s="1116">
        <v>4</v>
      </c>
      <c r="H104" s="161" t="s">
        <v>288</v>
      </c>
      <c r="I104" s="160" t="s">
        <v>2800</v>
      </c>
      <c r="J104" s="1240"/>
    </row>
    <row r="105" spans="1:10" s="4" customFormat="1" ht="31.5">
      <c r="A105" s="889" t="s">
        <v>2787</v>
      </c>
      <c r="B105" s="160" t="s">
        <v>2774</v>
      </c>
      <c r="C105" s="889" t="s">
        <v>628</v>
      </c>
      <c r="D105" s="1116">
        <v>3.8</v>
      </c>
      <c r="E105" s="502">
        <f>SUM(D105*1.1)</f>
        <v>4.18</v>
      </c>
      <c r="F105" s="502">
        <f t="shared" si="7"/>
        <v>6.6000000000000005</v>
      </c>
      <c r="G105" s="1116">
        <v>6</v>
      </c>
      <c r="H105" s="161" t="s">
        <v>288</v>
      </c>
      <c r="I105" s="160" t="s">
        <v>2800</v>
      </c>
      <c r="J105" s="1240"/>
    </row>
    <row r="106" spans="1:10" s="4" customFormat="1" ht="42">
      <c r="A106" s="889" t="s">
        <v>2787</v>
      </c>
      <c r="B106" s="160" t="s">
        <v>2788</v>
      </c>
      <c r="C106" s="889" t="s">
        <v>628</v>
      </c>
      <c r="D106" s="1117" t="s">
        <v>783</v>
      </c>
      <c r="E106" s="502" t="s">
        <v>783</v>
      </c>
      <c r="F106" s="502">
        <f t="shared" si="7"/>
        <v>4.4000000000000004</v>
      </c>
      <c r="G106" s="502">
        <v>4</v>
      </c>
      <c r="H106" s="160"/>
      <c r="I106" s="160" t="s">
        <v>2796</v>
      </c>
      <c r="J106" s="1240"/>
    </row>
    <row r="107" spans="1:10" s="4" customFormat="1">
      <c r="A107" s="818"/>
      <c r="B107" s="1534" t="s">
        <v>2864</v>
      </c>
      <c r="C107" s="1535"/>
      <c r="D107" s="1535"/>
      <c r="E107" s="1535"/>
      <c r="F107" s="1535"/>
      <c r="G107" s="1535"/>
      <c r="H107" s="1535"/>
      <c r="I107" s="1535"/>
      <c r="J107" s="1536"/>
    </row>
    <row r="108" spans="1:10" s="4" customFormat="1" ht="22.5" customHeight="1">
      <c r="A108" s="818"/>
      <c r="B108" s="1323" t="s">
        <v>2775</v>
      </c>
      <c r="C108" s="1324"/>
      <c r="D108" s="1324"/>
      <c r="E108" s="1324"/>
      <c r="F108" s="1324"/>
      <c r="G108" s="1324"/>
      <c r="H108" s="1324"/>
      <c r="I108" s="1324"/>
      <c r="J108" s="1325"/>
    </row>
    <row r="109" spans="1:10" s="4" customFormat="1">
      <c r="A109" s="145"/>
      <c r="B109" s="1119"/>
      <c r="C109" s="1119"/>
      <c r="D109" s="1120"/>
      <c r="E109" s="1119"/>
      <c r="F109" s="1119"/>
      <c r="G109" s="1119"/>
      <c r="H109" s="1119"/>
      <c r="I109" s="1119"/>
      <c r="J109" s="870"/>
    </row>
    <row r="110" spans="1:10" s="4" customFormat="1">
      <c r="A110" s="145"/>
      <c r="B110" s="431"/>
      <c r="C110" s="151"/>
      <c r="D110" s="249"/>
      <c r="E110" s="142"/>
      <c r="F110" s="249"/>
      <c r="G110" s="249"/>
      <c r="H110" s="249"/>
      <c r="I110" s="249"/>
      <c r="J110" s="870"/>
    </row>
    <row r="111" spans="1:10" s="4" customFormat="1">
      <c r="A111" s="145"/>
      <c r="B111" s="431"/>
      <c r="C111" s="151"/>
      <c r="D111" s="249"/>
      <c r="E111" s="142"/>
      <c r="F111" s="249"/>
      <c r="G111" s="249"/>
      <c r="H111" s="249"/>
      <c r="I111" s="249"/>
      <c r="J111" s="870"/>
    </row>
    <row r="112" spans="1:10" s="4" customFormat="1">
      <c r="A112" s="145"/>
      <c r="B112" s="431"/>
      <c r="C112" s="151"/>
      <c r="D112" s="249"/>
      <c r="E112" s="142"/>
      <c r="F112" s="249"/>
      <c r="G112" s="249"/>
      <c r="H112" s="249"/>
      <c r="I112" s="249"/>
      <c r="J112" s="870"/>
    </row>
    <row r="113" spans="1:10" s="4" customFormat="1">
      <c r="A113" s="145"/>
      <c r="B113" s="431"/>
      <c r="C113" s="151"/>
      <c r="D113" s="249"/>
      <c r="E113" s="142"/>
      <c r="F113" s="249"/>
      <c r="G113" s="249"/>
      <c r="H113" s="249"/>
      <c r="I113" s="249"/>
      <c r="J113" s="870"/>
    </row>
    <row r="114" spans="1:10" s="4" customFormat="1">
      <c r="A114" s="145"/>
      <c r="B114" s="431"/>
      <c r="C114" s="151"/>
      <c r="D114" s="249"/>
      <c r="E114" s="142"/>
      <c r="F114" s="249"/>
      <c r="G114" s="249"/>
      <c r="H114" s="249"/>
      <c r="I114" s="249"/>
      <c r="J114" s="870"/>
    </row>
    <row r="115" spans="1:10" s="4" customFormat="1">
      <c r="A115" s="145"/>
      <c r="B115" s="431"/>
      <c r="C115" s="151"/>
      <c r="D115" s="249"/>
      <c r="E115" s="142"/>
      <c r="F115" s="249"/>
      <c r="G115" s="249"/>
      <c r="H115" s="249"/>
      <c r="I115" s="249"/>
      <c r="J115" s="870"/>
    </row>
    <row r="116" spans="1:10" s="4" customFormat="1">
      <c r="A116" s="145"/>
      <c r="B116" s="431"/>
      <c r="C116" s="151"/>
      <c r="D116" s="249"/>
      <c r="E116" s="142"/>
      <c r="F116" s="249"/>
      <c r="G116" s="249"/>
      <c r="H116" s="249"/>
      <c r="I116" s="249"/>
      <c r="J116" s="870"/>
    </row>
    <row r="117" spans="1:10" s="4" customFormat="1">
      <c r="A117" s="145"/>
      <c r="B117" s="431"/>
      <c r="C117" s="151"/>
      <c r="D117" s="249"/>
      <c r="E117" s="142"/>
      <c r="F117" s="249"/>
      <c r="G117" s="249"/>
      <c r="H117" s="249"/>
      <c r="I117" s="249"/>
      <c r="J117" s="870"/>
    </row>
    <row r="118" spans="1:10" s="4" customFormat="1">
      <c r="A118" s="145"/>
      <c r="B118" s="431"/>
      <c r="C118" s="151"/>
      <c r="D118" s="249"/>
      <c r="E118" s="142"/>
      <c r="F118" s="249"/>
      <c r="G118" s="249"/>
      <c r="H118" s="249"/>
      <c r="I118" s="249"/>
      <c r="J118" s="870"/>
    </row>
    <row r="119" spans="1:10" s="4" customFormat="1">
      <c r="A119" s="145"/>
      <c r="B119" s="431"/>
      <c r="C119" s="151"/>
      <c r="D119" s="249"/>
      <c r="E119" s="142"/>
      <c r="F119" s="249"/>
      <c r="G119" s="249"/>
      <c r="H119" s="249"/>
      <c r="I119" s="249"/>
      <c r="J119" s="870"/>
    </row>
    <row r="120" spans="1:10" s="4" customFormat="1">
      <c r="A120" s="145"/>
      <c r="B120" s="145"/>
      <c r="C120" s="151"/>
      <c r="D120" s="249"/>
      <c r="E120" s="142"/>
      <c r="F120" s="249"/>
      <c r="G120" s="249"/>
      <c r="H120" s="249"/>
      <c r="I120" s="249"/>
      <c r="J120" s="870"/>
    </row>
    <row r="121" spans="1:10" s="4" customFormat="1">
      <c r="A121" s="145"/>
      <c r="B121" s="431"/>
      <c r="C121" s="151"/>
      <c r="D121" s="249"/>
      <c r="E121" s="142"/>
      <c r="F121" s="249"/>
      <c r="G121" s="249"/>
      <c r="H121" s="249"/>
      <c r="I121" s="249"/>
      <c r="J121" s="870"/>
    </row>
    <row r="122" spans="1:10" s="4" customFormat="1">
      <c r="A122" s="145"/>
      <c r="B122" s="141"/>
      <c r="C122" s="151"/>
      <c r="D122" s="249"/>
      <c r="E122" s="142"/>
      <c r="F122" s="249"/>
      <c r="G122" s="249"/>
      <c r="H122" s="249"/>
      <c r="I122" s="249"/>
      <c r="J122" s="870"/>
    </row>
    <row r="123" spans="1:10" s="4" customFormat="1">
      <c r="A123" s="145"/>
      <c r="B123" s="141"/>
      <c r="C123" s="151"/>
      <c r="D123" s="249"/>
      <c r="E123" s="142"/>
      <c r="F123" s="249"/>
      <c r="G123" s="249"/>
      <c r="H123" s="249"/>
      <c r="I123" s="249"/>
      <c r="J123" s="870"/>
    </row>
    <row r="124" spans="1:10" s="4" customFormat="1">
      <c r="A124" s="145"/>
      <c r="B124" s="141"/>
      <c r="C124" s="151"/>
      <c r="D124" s="249"/>
      <c r="E124" s="142"/>
      <c r="F124" s="249"/>
      <c r="G124" s="249"/>
      <c r="H124" s="249"/>
      <c r="I124" s="249"/>
      <c r="J124" s="870"/>
    </row>
    <row r="125" spans="1:10" s="4" customFormat="1">
      <c r="A125" s="145"/>
      <c r="B125" s="141"/>
      <c r="C125" s="151"/>
      <c r="D125" s="249"/>
      <c r="E125" s="142"/>
      <c r="F125" s="249"/>
      <c r="G125" s="249"/>
      <c r="H125" s="249"/>
      <c r="I125" s="249"/>
      <c r="J125" s="870"/>
    </row>
    <row r="126" spans="1:10" s="4" customFormat="1">
      <c r="A126" s="145"/>
      <c r="B126" s="141"/>
      <c r="C126" s="151"/>
      <c r="D126" s="249"/>
      <c r="E126" s="142"/>
      <c r="F126" s="249"/>
      <c r="G126" s="249"/>
      <c r="H126" s="249"/>
      <c r="I126" s="249"/>
      <c r="J126" s="870"/>
    </row>
    <row r="127" spans="1:10" s="4" customFormat="1">
      <c r="A127" s="145"/>
      <c r="B127" s="145"/>
      <c r="C127" s="151"/>
      <c r="D127" s="249"/>
      <c r="E127" s="142"/>
      <c r="F127" s="249"/>
      <c r="G127" s="249"/>
      <c r="H127" s="249"/>
      <c r="I127" s="249"/>
      <c r="J127" s="870"/>
    </row>
    <row r="128" spans="1:10" s="4" customFormat="1">
      <c r="A128" s="145"/>
      <c r="B128" s="431"/>
      <c r="C128" s="151"/>
      <c r="D128" s="249"/>
      <c r="E128" s="142"/>
      <c r="F128" s="249"/>
      <c r="G128" s="249"/>
      <c r="H128" s="249"/>
      <c r="I128" s="249"/>
      <c r="J128" s="870"/>
    </row>
    <row r="129" spans="1:10" s="4" customFormat="1">
      <c r="A129" s="145"/>
      <c r="B129" s="431"/>
      <c r="C129" s="151"/>
      <c r="D129" s="249"/>
      <c r="E129" s="142"/>
      <c r="F129" s="249"/>
      <c r="G129" s="249"/>
      <c r="H129" s="249"/>
      <c r="I129" s="249"/>
      <c r="J129" s="870"/>
    </row>
    <row r="130" spans="1:10" s="4" customFormat="1">
      <c r="A130" s="145"/>
      <c r="B130" s="141"/>
      <c r="C130" s="151"/>
      <c r="D130" s="249"/>
      <c r="E130" s="142"/>
      <c r="F130" s="249"/>
      <c r="G130" s="249"/>
      <c r="H130" s="249"/>
      <c r="I130" s="249"/>
      <c r="J130" s="870"/>
    </row>
    <row r="131" spans="1:10" s="4" customFormat="1">
      <c r="A131" s="145"/>
      <c r="B131" s="141"/>
      <c r="C131" s="151"/>
      <c r="D131" s="249"/>
      <c r="E131" s="142"/>
      <c r="F131" s="249"/>
      <c r="G131" s="249"/>
      <c r="H131" s="249"/>
      <c r="I131" s="249"/>
      <c r="J131" s="870"/>
    </row>
    <row r="132" spans="1:10" s="4" customFormat="1">
      <c r="A132" s="145"/>
      <c r="B132" s="141"/>
      <c r="C132" s="151"/>
      <c r="D132" s="249"/>
      <c r="E132" s="142"/>
      <c r="F132" s="249"/>
      <c r="G132" s="249"/>
      <c r="H132" s="249"/>
      <c r="I132" s="249"/>
      <c r="J132" s="870"/>
    </row>
    <row r="133" spans="1:10" s="4" customFormat="1">
      <c r="A133" s="145"/>
      <c r="B133" s="141"/>
      <c r="C133" s="151"/>
      <c r="D133" s="249"/>
      <c r="E133" s="142"/>
      <c r="F133" s="249"/>
      <c r="G133" s="249"/>
      <c r="H133" s="249"/>
      <c r="I133" s="249"/>
      <c r="J133" s="870"/>
    </row>
    <row r="134" spans="1:10" s="4" customFormat="1">
      <c r="A134" s="145"/>
      <c r="B134" s="141"/>
      <c r="C134" s="151"/>
      <c r="D134" s="249"/>
      <c r="E134" s="142"/>
      <c r="F134" s="249"/>
      <c r="G134" s="249"/>
      <c r="H134" s="249"/>
      <c r="I134" s="249"/>
      <c r="J134" s="870"/>
    </row>
    <row r="135" spans="1:10" s="4" customFormat="1">
      <c r="A135" s="145"/>
      <c r="B135" s="141"/>
      <c r="C135" s="151"/>
      <c r="D135" s="249"/>
      <c r="E135" s="142"/>
      <c r="F135" s="249"/>
      <c r="G135" s="249"/>
      <c r="H135" s="249"/>
      <c r="I135" s="249"/>
      <c r="J135" s="870"/>
    </row>
    <row r="136" spans="1:10" s="4" customFormat="1">
      <c r="A136" s="145"/>
      <c r="B136" s="141"/>
      <c r="C136" s="151"/>
      <c r="D136" s="249"/>
      <c r="E136" s="142"/>
      <c r="F136" s="249"/>
      <c r="G136" s="249"/>
      <c r="H136" s="249"/>
      <c r="I136" s="249"/>
      <c r="J136" s="870"/>
    </row>
    <row r="137" spans="1:10" s="4" customFormat="1">
      <c r="A137" s="145"/>
      <c r="B137" s="141"/>
      <c r="C137" s="151"/>
      <c r="D137" s="249"/>
      <c r="E137" s="142"/>
      <c r="F137" s="249"/>
      <c r="G137" s="249"/>
      <c r="H137" s="249"/>
      <c r="I137" s="249"/>
      <c r="J137" s="870"/>
    </row>
    <row r="138" spans="1:10" s="4" customFormat="1">
      <c r="A138" s="145"/>
      <c r="B138" s="431"/>
      <c r="C138" s="151"/>
      <c r="D138" s="249"/>
      <c r="E138" s="142"/>
      <c r="F138" s="249"/>
      <c r="G138" s="249"/>
      <c r="H138" s="249"/>
      <c r="I138" s="249"/>
      <c r="J138" s="870"/>
    </row>
    <row r="139" spans="1:10" s="4" customFormat="1">
      <c r="A139" s="145"/>
      <c r="B139" s="431"/>
      <c r="C139" s="151"/>
      <c r="D139" s="249"/>
      <c r="E139" s="142"/>
      <c r="F139" s="249"/>
      <c r="G139" s="249"/>
      <c r="H139" s="249"/>
      <c r="I139" s="249"/>
      <c r="J139" s="870"/>
    </row>
    <row r="140" spans="1:10" s="4" customFormat="1">
      <c r="A140" s="145"/>
      <c r="B140" s="431"/>
      <c r="C140" s="151"/>
      <c r="D140" s="249"/>
      <c r="E140" s="142"/>
      <c r="F140" s="249"/>
      <c r="G140" s="249"/>
      <c r="H140" s="249"/>
      <c r="I140" s="249"/>
      <c r="J140" s="870"/>
    </row>
    <row r="141" spans="1:10" s="4" customFormat="1">
      <c r="A141" s="145"/>
      <c r="B141" s="431"/>
      <c r="C141" s="151"/>
      <c r="D141" s="249"/>
      <c r="E141" s="142"/>
      <c r="F141" s="249"/>
      <c r="G141" s="249"/>
      <c r="H141" s="249"/>
      <c r="I141" s="249"/>
      <c r="J141" s="870"/>
    </row>
    <row r="142" spans="1:10" s="4" customFormat="1">
      <c r="A142" s="145"/>
      <c r="B142" s="431"/>
      <c r="C142" s="151"/>
      <c r="D142" s="249"/>
      <c r="E142" s="142"/>
      <c r="F142" s="249"/>
      <c r="G142" s="249"/>
      <c r="H142" s="249"/>
      <c r="I142" s="249"/>
      <c r="J142" s="870"/>
    </row>
    <row r="143" spans="1:10" s="4" customFormat="1">
      <c r="A143" s="145"/>
      <c r="B143" s="431"/>
      <c r="C143" s="151"/>
      <c r="D143" s="249"/>
      <c r="E143" s="142"/>
      <c r="F143" s="249"/>
      <c r="G143" s="249"/>
      <c r="H143" s="249"/>
      <c r="I143" s="249"/>
      <c r="J143" s="870"/>
    </row>
    <row r="144" spans="1:10" s="4" customFormat="1">
      <c r="A144" s="145"/>
      <c r="B144" s="431"/>
      <c r="C144" s="151"/>
      <c r="D144" s="249"/>
      <c r="E144" s="142"/>
      <c r="F144" s="249"/>
      <c r="G144" s="249"/>
      <c r="H144" s="249"/>
      <c r="I144" s="249"/>
      <c r="J144" s="870"/>
    </row>
    <row r="145" spans="1:10" s="4" customFormat="1">
      <c r="A145" s="145"/>
      <c r="B145" s="431"/>
      <c r="C145" s="151"/>
      <c r="D145" s="249"/>
      <c r="E145" s="142"/>
      <c r="F145" s="249"/>
      <c r="G145" s="249"/>
      <c r="H145" s="249"/>
      <c r="I145" s="249"/>
      <c r="J145" s="870"/>
    </row>
    <row r="146" spans="1:10" s="4" customFormat="1">
      <c r="A146" s="145"/>
      <c r="B146" s="431"/>
      <c r="C146" s="151"/>
      <c r="D146" s="249"/>
      <c r="E146" s="142"/>
      <c r="F146" s="249"/>
      <c r="G146" s="249"/>
      <c r="H146" s="249"/>
      <c r="I146" s="249"/>
      <c r="J146" s="870"/>
    </row>
    <row r="147" spans="1:10" s="4" customFormat="1">
      <c r="A147" s="145"/>
      <c r="B147" s="431"/>
      <c r="C147" s="151"/>
      <c r="D147" s="249"/>
      <c r="E147" s="142"/>
      <c r="F147" s="249"/>
      <c r="G147" s="249"/>
      <c r="H147" s="249"/>
      <c r="I147" s="249"/>
      <c r="J147" s="870"/>
    </row>
    <row r="148" spans="1:10" s="4" customFormat="1">
      <c r="A148" s="145"/>
      <c r="B148" s="431"/>
      <c r="C148" s="151"/>
      <c r="D148" s="249"/>
      <c r="E148" s="142"/>
      <c r="F148" s="249"/>
      <c r="G148" s="249"/>
      <c r="H148" s="249"/>
      <c r="I148" s="249"/>
      <c r="J148" s="870"/>
    </row>
    <row r="149" spans="1:10" s="4" customFormat="1">
      <c r="A149" s="145"/>
      <c r="B149" s="431"/>
      <c r="C149" s="151"/>
      <c r="D149" s="249"/>
      <c r="E149" s="142"/>
      <c r="F149" s="249"/>
      <c r="G149" s="249"/>
      <c r="H149" s="249"/>
      <c r="I149" s="249"/>
      <c r="J149" s="870"/>
    </row>
    <row r="150" spans="1:10" s="4" customFormat="1">
      <c r="A150" s="145"/>
      <c r="B150" s="431"/>
      <c r="C150" s="151"/>
      <c r="D150" s="249"/>
      <c r="E150" s="142"/>
      <c r="F150" s="249"/>
      <c r="G150" s="249"/>
      <c r="H150" s="249"/>
      <c r="I150" s="249"/>
      <c r="J150" s="870"/>
    </row>
    <row r="151" spans="1:10" s="4" customFormat="1">
      <c r="A151" s="145"/>
      <c r="B151" s="431"/>
      <c r="C151" s="151"/>
      <c r="D151" s="249"/>
      <c r="E151" s="142"/>
      <c r="F151" s="249"/>
      <c r="G151" s="249"/>
      <c r="H151" s="249"/>
      <c r="I151" s="249"/>
      <c r="J151" s="870"/>
    </row>
    <row r="152" spans="1:10" s="4" customFormat="1">
      <c r="A152" s="145"/>
      <c r="B152" s="431"/>
      <c r="C152" s="151"/>
      <c r="D152" s="249"/>
      <c r="E152" s="142"/>
      <c r="F152" s="249"/>
      <c r="G152" s="249"/>
      <c r="H152" s="249"/>
      <c r="I152" s="249"/>
      <c r="J152" s="870"/>
    </row>
    <row r="153" spans="1:10" s="4" customFormat="1">
      <c r="A153" s="145"/>
      <c r="B153" s="431"/>
      <c r="C153" s="151"/>
      <c r="D153" s="249"/>
      <c r="E153" s="142"/>
      <c r="F153" s="249"/>
      <c r="G153" s="249"/>
      <c r="H153" s="249"/>
      <c r="I153" s="249"/>
      <c r="J153" s="870"/>
    </row>
    <row r="154" spans="1:10" s="4" customFormat="1">
      <c r="A154" s="145"/>
      <c r="B154" s="431"/>
      <c r="C154" s="151"/>
      <c r="D154" s="249"/>
      <c r="E154" s="142"/>
      <c r="F154" s="249"/>
      <c r="G154" s="249"/>
      <c r="H154" s="249"/>
      <c r="I154" s="249"/>
      <c r="J154" s="870"/>
    </row>
    <row r="155" spans="1:10" s="4" customFormat="1">
      <c r="A155" s="145"/>
      <c r="B155" s="431"/>
      <c r="C155" s="151"/>
      <c r="D155" s="249"/>
      <c r="E155" s="142"/>
      <c r="F155" s="249"/>
      <c r="G155" s="249"/>
      <c r="H155" s="249"/>
      <c r="I155" s="249"/>
      <c r="J155" s="870"/>
    </row>
    <row r="156" spans="1:10" s="4" customFormat="1">
      <c r="A156" s="145"/>
      <c r="B156" s="431"/>
      <c r="C156" s="151"/>
      <c r="D156" s="249"/>
      <c r="E156" s="142"/>
      <c r="F156" s="249"/>
      <c r="G156" s="249"/>
      <c r="H156" s="249"/>
      <c r="I156" s="249"/>
      <c r="J156" s="870"/>
    </row>
    <row r="157" spans="1:10" s="4" customFormat="1">
      <c r="A157" s="145"/>
      <c r="B157" s="431"/>
      <c r="C157" s="151"/>
      <c r="D157" s="249"/>
      <c r="E157" s="142"/>
      <c r="F157" s="249"/>
      <c r="G157" s="249"/>
      <c r="H157" s="249"/>
      <c r="I157" s="249"/>
      <c r="J157" s="870"/>
    </row>
    <row r="158" spans="1:10" s="4" customFormat="1">
      <c r="A158" s="145"/>
      <c r="B158" s="141"/>
      <c r="C158" s="151"/>
      <c r="D158" s="249"/>
      <c r="E158" s="142"/>
      <c r="F158" s="249"/>
      <c r="G158" s="249"/>
      <c r="H158" s="249"/>
      <c r="I158" s="249"/>
      <c r="J158" s="870"/>
    </row>
    <row r="159" spans="1:10" s="4" customFormat="1">
      <c r="A159" s="145"/>
      <c r="B159" s="141"/>
      <c r="C159" s="188"/>
      <c r="D159" s="145"/>
      <c r="E159" s="145"/>
      <c r="F159" s="145"/>
      <c r="G159" s="145"/>
      <c r="H159" s="145"/>
      <c r="I159" s="145"/>
      <c r="J159" s="145"/>
    </row>
    <row r="160" spans="1:10" s="4" customFormat="1">
      <c r="A160" s="145"/>
      <c r="B160" s="141"/>
      <c r="C160" s="188"/>
      <c r="D160" s="145"/>
      <c r="E160" s="145"/>
      <c r="F160" s="145"/>
      <c r="G160" s="145"/>
      <c r="H160" s="145"/>
      <c r="I160" s="145"/>
      <c r="J160" s="145"/>
    </row>
    <row r="161" spans="1:10" s="4" customFormat="1">
      <c r="A161" s="145"/>
      <c r="B161" s="141"/>
      <c r="C161" s="188"/>
      <c r="D161" s="145"/>
      <c r="E161" s="145"/>
      <c r="F161" s="145"/>
      <c r="G161" s="145"/>
      <c r="H161" s="145"/>
      <c r="I161" s="145"/>
      <c r="J161" s="145"/>
    </row>
    <row r="162" spans="1:10" s="4" customFormat="1">
      <c r="A162" s="145"/>
      <c r="B162" s="141"/>
      <c r="C162" s="188"/>
      <c r="D162" s="145"/>
      <c r="E162" s="145"/>
      <c r="F162" s="145"/>
      <c r="G162" s="145"/>
      <c r="H162" s="145"/>
      <c r="I162" s="145"/>
      <c r="J162" s="145"/>
    </row>
    <row r="163" spans="1:10" s="4" customFormat="1">
      <c r="A163" s="145"/>
      <c r="B163" s="141"/>
      <c r="C163" s="188"/>
      <c r="D163" s="145"/>
      <c r="E163" s="145"/>
      <c r="F163" s="145"/>
      <c r="G163" s="145"/>
      <c r="H163" s="145"/>
      <c r="I163" s="145"/>
      <c r="J163" s="145"/>
    </row>
    <row r="164" spans="1:10" s="4" customFormat="1">
      <c r="A164" s="145"/>
      <c r="B164" s="141"/>
      <c r="C164" s="188"/>
      <c r="D164" s="145"/>
      <c r="E164" s="145"/>
      <c r="F164" s="145"/>
      <c r="G164" s="145"/>
      <c r="H164" s="145"/>
      <c r="I164" s="145"/>
      <c r="J164" s="145"/>
    </row>
    <row r="165" spans="1:10" s="4" customFormat="1">
      <c r="A165" s="145"/>
      <c r="B165" s="141"/>
      <c r="C165" s="188"/>
      <c r="D165" s="145"/>
      <c r="E165" s="145"/>
      <c r="F165" s="145"/>
      <c r="G165" s="145"/>
      <c r="H165" s="145"/>
      <c r="I165" s="145"/>
      <c r="J165" s="145"/>
    </row>
    <row r="166" spans="1:10" s="4" customFormat="1">
      <c r="A166" s="145"/>
      <c r="B166" s="141"/>
      <c r="C166" s="188"/>
      <c r="D166" s="145"/>
      <c r="E166" s="145"/>
      <c r="F166" s="145"/>
      <c r="G166" s="145"/>
      <c r="H166" s="145"/>
      <c r="I166" s="145"/>
      <c r="J166" s="145"/>
    </row>
    <row r="167" spans="1:10" s="4" customFormat="1">
      <c r="A167" s="145"/>
      <c r="B167" s="141"/>
      <c r="C167" s="188"/>
      <c r="D167" s="145"/>
      <c r="E167" s="145"/>
      <c r="F167" s="145"/>
      <c r="G167" s="145"/>
      <c r="H167" s="145"/>
      <c r="I167" s="145"/>
      <c r="J167" s="145"/>
    </row>
    <row r="168" spans="1:10" s="4" customFormat="1">
      <c r="A168" s="145"/>
      <c r="B168" s="141"/>
      <c r="C168" s="188"/>
      <c r="D168" s="145"/>
      <c r="E168" s="145"/>
      <c r="F168" s="145"/>
      <c r="G168" s="145"/>
      <c r="H168" s="145"/>
      <c r="I168" s="145"/>
      <c r="J168" s="145"/>
    </row>
    <row r="169" spans="1:10" s="4" customFormat="1">
      <c r="A169" s="145"/>
      <c r="B169" s="141"/>
      <c r="C169" s="188"/>
      <c r="D169" s="145"/>
      <c r="E169" s="145"/>
      <c r="F169" s="145"/>
      <c r="G169" s="145"/>
      <c r="H169" s="145"/>
      <c r="I169" s="145"/>
      <c r="J169" s="145"/>
    </row>
    <row r="170" spans="1:10" s="4" customFormat="1">
      <c r="A170" s="145"/>
      <c r="B170" s="145"/>
      <c r="C170" s="188"/>
      <c r="D170" s="145"/>
      <c r="E170" s="145"/>
      <c r="F170" s="145"/>
      <c r="G170" s="145"/>
      <c r="H170" s="145"/>
      <c r="I170" s="145"/>
      <c r="J170" s="145"/>
    </row>
    <row r="171" spans="1:10" s="4" customFormat="1">
      <c r="A171" s="145"/>
      <c r="B171" s="145"/>
      <c r="C171" s="188"/>
      <c r="D171" s="145"/>
      <c r="E171" s="145"/>
      <c r="F171" s="145"/>
      <c r="G171" s="145"/>
      <c r="H171" s="145"/>
      <c r="I171" s="145"/>
      <c r="J171" s="145"/>
    </row>
    <row r="172" spans="1:10" s="4" customFormat="1">
      <c r="A172" s="145"/>
      <c r="B172" s="145"/>
      <c r="C172" s="188"/>
      <c r="D172" s="145"/>
      <c r="E172" s="145"/>
      <c r="F172" s="145"/>
      <c r="G172" s="145"/>
      <c r="H172" s="145"/>
      <c r="I172" s="145"/>
      <c r="J172" s="145"/>
    </row>
    <row r="173" spans="1:10" s="4" customFormat="1">
      <c r="A173" s="145"/>
      <c r="B173" s="145"/>
      <c r="C173" s="188"/>
      <c r="D173" s="145"/>
      <c r="E173" s="145"/>
      <c r="F173" s="145"/>
      <c r="G173" s="145"/>
      <c r="H173" s="145"/>
      <c r="I173" s="145"/>
      <c r="J173" s="145"/>
    </row>
    <row r="174" spans="1:10" s="4" customFormat="1">
      <c r="A174" s="145"/>
      <c r="B174" s="145"/>
      <c r="C174" s="188"/>
      <c r="D174" s="145"/>
      <c r="E174" s="145"/>
      <c r="F174" s="145"/>
      <c r="G174" s="145"/>
      <c r="H174" s="145"/>
      <c r="I174" s="145"/>
      <c r="J174" s="145"/>
    </row>
    <row r="175" spans="1:10" s="4" customFormat="1">
      <c r="A175" s="145"/>
      <c r="B175" s="145"/>
      <c r="C175" s="188"/>
      <c r="D175" s="145"/>
      <c r="E175" s="145"/>
      <c r="F175" s="145"/>
      <c r="G175" s="145"/>
      <c r="H175" s="145"/>
      <c r="I175" s="145"/>
      <c r="J175" s="145"/>
    </row>
    <row r="176" spans="1:10" s="4" customFormat="1">
      <c r="A176" s="145"/>
      <c r="B176" s="145"/>
      <c r="C176" s="188"/>
      <c r="D176" s="145"/>
      <c r="E176" s="145"/>
      <c r="F176" s="145"/>
      <c r="G176" s="145"/>
      <c r="H176" s="145"/>
      <c r="I176" s="145"/>
      <c r="J176" s="145"/>
    </row>
    <row r="177" spans="1:10" s="4" customFormat="1">
      <c r="A177" s="145"/>
      <c r="B177" s="145"/>
      <c r="C177" s="188"/>
      <c r="D177" s="145"/>
      <c r="E177" s="145"/>
      <c r="F177" s="145"/>
      <c r="G177" s="145"/>
      <c r="H177" s="145"/>
      <c r="I177" s="145"/>
      <c r="J177" s="145"/>
    </row>
    <row r="178" spans="1:10" s="4" customFormat="1">
      <c r="A178" s="145"/>
      <c r="B178" s="145"/>
      <c r="C178" s="188"/>
      <c r="D178" s="145"/>
      <c r="E178" s="145"/>
      <c r="F178" s="145"/>
      <c r="G178" s="145"/>
      <c r="H178" s="145"/>
      <c r="I178" s="145"/>
      <c r="J178" s="145"/>
    </row>
    <row r="179" spans="1:10" s="4" customFormat="1">
      <c r="A179" s="145"/>
      <c r="B179" s="145"/>
      <c r="C179" s="188"/>
      <c r="D179" s="145"/>
      <c r="E179" s="145"/>
      <c r="F179" s="145"/>
      <c r="G179" s="145"/>
      <c r="H179" s="145"/>
      <c r="I179" s="145"/>
      <c r="J179" s="145"/>
    </row>
    <row r="180" spans="1:10" s="4" customFormat="1">
      <c r="A180" s="145"/>
      <c r="B180" s="145"/>
      <c r="C180" s="188"/>
      <c r="D180" s="145"/>
      <c r="E180" s="145"/>
      <c r="F180" s="145"/>
      <c r="G180" s="145"/>
      <c r="H180" s="145"/>
      <c r="I180" s="145"/>
      <c r="J180" s="145"/>
    </row>
    <row r="181" spans="1:10" s="4" customFormat="1">
      <c r="A181" s="145"/>
      <c r="B181" s="145"/>
      <c r="C181" s="188"/>
      <c r="D181" s="145"/>
      <c r="E181" s="145"/>
      <c r="F181" s="145"/>
      <c r="G181" s="145"/>
      <c r="H181" s="145"/>
      <c r="I181" s="145"/>
      <c r="J181" s="145"/>
    </row>
    <row r="182" spans="1:10" s="4" customFormat="1">
      <c r="A182" s="145"/>
      <c r="B182" s="145"/>
      <c r="C182" s="188"/>
      <c r="D182" s="145"/>
      <c r="E182" s="145"/>
      <c r="F182" s="145"/>
      <c r="G182" s="145"/>
      <c r="H182" s="145"/>
      <c r="I182" s="145"/>
      <c r="J182" s="145"/>
    </row>
    <row r="183" spans="1:10" s="4" customFormat="1">
      <c r="A183" s="145"/>
      <c r="B183" s="145"/>
      <c r="C183" s="188"/>
      <c r="D183" s="145"/>
      <c r="E183" s="145"/>
      <c r="F183" s="145"/>
      <c r="G183" s="145"/>
      <c r="H183" s="145"/>
      <c r="I183" s="145"/>
      <c r="J183" s="145"/>
    </row>
    <row r="184" spans="1:10" s="4" customFormat="1">
      <c r="A184" s="145"/>
      <c r="B184" s="145"/>
      <c r="C184" s="188"/>
      <c r="D184" s="145"/>
      <c r="E184" s="145"/>
      <c r="F184" s="145"/>
      <c r="G184" s="145"/>
      <c r="H184" s="145"/>
      <c r="I184" s="145"/>
      <c r="J184" s="145"/>
    </row>
    <row r="185" spans="1:10" s="4" customFormat="1">
      <c r="A185" s="145"/>
      <c r="B185" s="145"/>
      <c r="C185" s="188"/>
      <c r="D185" s="145"/>
      <c r="E185" s="145"/>
      <c r="F185" s="145"/>
      <c r="G185" s="145"/>
      <c r="H185" s="145"/>
      <c r="I185" s="145"/>
      <c r="J185" s="145"/>
    </row>
    <row r="186" spans="1:10" s="4" customFormat="1">
      <c r="A186" s="145"/>
      <c r="B186" s="145"/>
      <c r="C186" s="188"/>
      <c r="D186" s="145"/>
      <c r="E186" s="145"/>
      <c r="F186" s="145"/>
      <c r="G186" s="145"/>
      <c r="H186" s="145"/>
      <c r="I186" s="145"/>
      <c r="J186" s="145"/>
    </row>
    <row r="187" spans="1:10" s="4" customFormat="1">
      <c r="A187" s="145"/>
      <c r="B187" s="145"/>
      <c r="C187" s="188"/>
      <c r="D187" s="145"/>
      <c r="E187" s="145"/>
      <c r="F187" s="145"/>
      <c r="G187" s="145"/>
      <c r="H187" s="145"/>
      <c r="I187" s="145"/>
      <c r="J187" s="145"/>
    </row>
    <row r="188" spans="1:10" s="4" customFormat="1">
      <c r="A188" s="145"/>
      <c r="B188" s="145"/>
      <c r="C188" s="188"/>
      <c r="D188" s="145"/>
      <c r="E188" s="145"/>
      <c r="F188" s="145"/>
      <c r="G188" s="145"/>
      <c r="H188" s="145"/>
      <c r="I188" s="145"/>
      <c r="J188" s="145"/>
    </row>
    <row r="189" spans="1:10" s="4" customFormat="1">
      <c r="A189" s="145"/>
      <c r="B189" s="145"/>
      <c r="C189" s="188"/>
      <c r="D189" s="145"/>
      <c r="E189" s="145"/>
      <c r="F189" s="145"/>
      <c r="G189" s="145"/>
      <c r="H189" s="145"/>
      <c r="I189" s="145"/>
      <c r="J189" s="145"/>
    </row>
    <row r="190" spans="1:10" s="4" customFormat="1">
      <c r="A190" s="145"/>
      <c r="B190" s="145"/>
      <c r="C190" s="188"/>
      <c r="D190" s="145"/>
      <c r="E190" s="145"/>
      <c r="F190" s="145"/>
      <c r="G190" s="145"/>
      <c r="H190" s="145"/>
      <c r="I190" s="145"/>
      <c r="J190" s="145"/>
    </row>
    <row r="191" spans="1:10" s="4" customFormat="1">
      <c r="A191" s="145"/>
      <c r="B191" s="145"/>
      <c r="C191" s="188"/>
      <c r="D191" s="145"/>
      <c r="E191" s="145"/>
      <c r="F191" s="145"/>
      <c r="G191" s="145"/>
      <c r="H191" s="145"/>
      <c r="I191" s="145"/>
      <c r="J191" s="145"/>
    </row>
    <row r="192" spans="1:10" s="4" customFormat="1">
      <c r="A192" s="145"/>
      <c r="B192" s="145"/>
      <c r="C192" s="188"/>
      <c r="D192" s="145"/>
      <c r="E192" s="145"/>
      <c r="F192" s="145"/>
      <c r="G192" s="145"/>
      <c r="H192" s="145"/>
      <c r="I192" s="145"/>
      <c r="J192" s="145"/>
    </row>
    <row r="193" spans="1:11" s="4" customFormat="1">
      <c r="A193" s="145"/>
      <c r="B193" s="145"/>
      <c r="C193" s="188"/>
      <c r="D193" s="145"/>
      <c r="E193" s="145"/>
      <c r="F193" s="145"/>
      <c r="G193" s="145"/>
      <c r="H193" s="145"/>
      <c r="I193" s="145"/>
      <c r="J193" s="145"/>
    </row>
    <row r="194" spans="1:11" s="4" customFormat="1">
      <c r="A194" s="145"/>
      <c r="B194" s="145"/>
      <c r="C194" s="188"/>
      <c r="D194" s="145"/>
      <c r="E194" s="145"/>
      <c r="F194" s="145"/>
      <c r="G194" s="145"/>
      <c r="H194" s="145"/>
      <c r="I194" s="145"/>
      <c r="J194" s="145"/>
    </row>
    <row r="195" spans="1:11" s="4" customFormat="1">
      <c r="A195" s="145"/>
      <c r="B195" s="145"/>
      <c r="C195" s="188"/>
      <c r="D195" s="145"/>
      <c r="E195" s="145"/>
      <c r="F195" s="145"/>
      <c r="G195" s="145"/>
      <c r="H195" s="145"/>
      <c r="I195" s="145"/>
      <c r="J195" s="145"/>
    </row>
    <row r="196" spans="1:11" s="9" customFormat="1">
      <c r="A196" s="145"/>
      <c r="B196" s="190"/>
      <c r="C196" s="432"/>
      <c r="D196" s="145"/>
      <c r="E196" s="145"/>
      <c r="F196" s="145"/>
      <c r="G196" s="145"/>
      <c r="H196" s="190"/>
      <c r="I196" s="190"/>
      <c r="J196" s="190"/>
      <c r="K196" s="4"/>
    </row>
    <row r="197" spans="1:11" s="9" customFormat="1">
      <c r="A197" s="145"/>
      <c r="B197" s="190"/>
      <c r="C197" s="432"/>
      <c r="D197" s="145"/>
      <c r="E197" s="145"/>
      <c r="F197" s="145"/>
      <c r="G197" s="145"/>
      <c r="H197" s="190"/>
      <c r="I197" s="190"/>
      <c r="J197" s="190"/>
      <c r="K197" s="4"/>
    </row>
    <row r="198" spans="1:11" s="9" customFormat="1">
      <c r="A198" s="145"/>
      <c r="B198" s="190"/>
      <c r="C198" s="432"/>
      <c r="D198" s="145"/>
      <c r="E198" s="145"/>
      <c r="F198" s="145"/>
      <c r="G198" s="145"/>
      <c r="H198" s="190"/>
      <c r="I198" s="190"/>
      <c r="J198" s="190"/>
      <c r="K198" s="4"/>
    </row>
    <row r="199" spans="1:11" s="9" customFormat="1">
      <c r="A199" s="145"/>
      <c r="B199" s="190"/>
      <c r="C199" s="432"/>
      <c r="D199" s="145"/>
      <c r="E199" s="145"/>
      <c r="F199" s="145"/>
      <c r="G199" s="145"/>
      <c r="H199" s="190"/>
      <c r="I199" s="190"/>
      <c r="J199" s="190"/>
      <c r="K199" s="4"/>
    </row>
    <row r="200" spans="1:11" s="9" customFormat="1">
      <c r="A200" s="145"/>
      <c r="B200" s="190"/>
      <c r="C200" s="432"/>
      <c r="D200" s="145"/>
      <c r="E200" s="145"/>
      <c r="F200" s="145"/>
      <c r="G200" s="145"/>
      <c r="H200" s="190"/>
      <c r="I200" s="190"/>
      <c r="J200" s="190"/>
      <c r="K200" s="4"/>
    </row>
    <row r="201" spans="1:11" s="9" customFormat="1">
      <c r="A201" s="145"/>
      <c r="B201" s="190"/>
      <c r="C201" s="432"/>
      <c r="D201" s="145"/>
      <c r="E201" s="145"/>
      <c r="F201" s="145"/>
      <c r="G201" s="145"/>
      <c r="H201" s="190"/>
      <c r="I201" s="190"/>
      <c r="J201" s="190"/>
      <c r="K201" s="4"/>
    </row>
    <row r="202" spans="1:11" s="9" customFormat="1">
      <c r="A202" s="145"/>
      <c r="B202" s="190"/>
      <c r="C202" s="432"/>
      <c r="D202" s="145"/>
      <c r="E202" s="145"/>
      <c r="F202" s="145"/>
      <c r="G202" s="145"/>
      <c r="H202" s="190"/>
      <c r="I202" s="190"/>
      <c r="J202" s="190"/>
      <c r="K202" s="4"/>
    </row>
    <row r="203" spans="1:11" s="9" customFormat="1">
      <c r="A203" s="145"/>
      <c r="B203" s="190"/>
      <c r="C203" s="432"/>
      <c r="D203" s="145"/>
      <c r="E203" s="145"/>
      <c r="F203" s="145"/>
      <c r="G203" s="145"/>
      <c r="H203" s="190"/>
      <c r="I203" s="190"/>
      <c r="J203" s="190"/>
      <c r="K203" s="4"/>
    </row>
    <row r="204" spans="1:11" s="9" customFormat="1">
      <c r="A204" s="145"/>
      <c r="B204" s="190"/>
      <c r="C204" s="432"/>
      <c r="D204" s="145"/>
      <c r="E204" s="145"/>
      <c r="F204" s="145"/>
      <c r="G204" s="145"/>
      <c r="H204" s="190"/>
      <c r="I204" s="190"/>
      <c r="J204" s="190"/>
      <c r="K204" s="4"/>
    </row>
    <row r="205" spans="1:11" s="9" customFormat="1">
      <c r="A205" s="145"/>
      <c r="B205" s="190"/>
      <c r="C205" s="432"/>
      <c r="D205" s="145"/>
      <c r="E205" s="145"/>
      <c r="F205" s="145"/>
      <c r="G205" s="145"/>
      <c r="H205" s="190"/>
      <c r="I205" s="190"/>
      <c r="J205" s="190"/>
      <c r="K205" s="4"/>
    </row>
    <row r="206" spans="1:11" s="9" customFormat="1">
      <c r="A206" s="145"/>
      <c r="B206" s="190"/>
      <c r="C206" s="432"/>
      <c r="D206" s="145"/>
      <c r="E206" s="145"/>
      <c r="F206" s="145"/>
      <c r="G206" s="145"/>
      <c r="H206" s="190"/>
      <c r="I206" s="190"/>
      <c r="J206" s="190"/>
      <c r="K206" s="4"/>
    </row>
    <row r="207" spans="1:11" s="9" customFormat="1">
      <c r="A207" s="145"/>
      <c r="B207" s="190"/>
      <c r="C207" s="432"/>
      <c r="D207" s="145"/>
      <c r="E207" s="145"/>
      <c r="F207" s="145"/>
      <c r="G207" s="145"/>
      <c r="H207" s="190"/>
      <c r="I207" s="190"/>
      <c r="J207" s="190"/>
      <c r="K207" s="4"/>
    </row>
    <row r="208" spans="1:11" s="9" customFormat="1">
      <c r="A208" s="145"/>
      <c r="B208" s="190"/>
      <c r="C208" s="432"/>
      <c r="D208" s="145"/>
      <c r="E208" s="145"/>
      <c r="F208" s="145"/>
      <c r="G208" s="145"/>
      <c r="H208" s="190"/>
      <c r="I208" s="190"/>
      <c r="J208" s="190"/>
      <c r="K208" s="4"/>
    </row>
    <row r="209" spans="1:11" s="9" customFormat="1">
      <c r="A209" s="145"/>
      <c r="B209" s="190"/>
      <c r="C209" s="432"/>
      <c r="D209" s="145"/>
      <c r="E209" s="145"/>
      <c r="F209" s="145"/>
      <c r="G209" s="145"/>
      <c r="H209" s="190"/>
      <c r="I209" s="190"/>
      <c r="J209" s="190"/>
      <c r="K209" s="4"/>
    </row>
    <row r="210" spans="1:11" s="9" customFormat="1">
      <c r="A210" s="145"/>
      <c r="B210" s="190"/>
      <c r="C210" s="432"/>
      <c r="D210" s="145"/>
      <c r="E210" s="145"/>
      <c r="F210" s="145"/>
      <c r="G210" s="145"/>
      <c r="H210" s="190"/>
      <c r="I210" s="190"/>
      <c r="J210" s="190"/>
      <c r="K210" s="4"/>
    </row>
    <row r="211" spans="1:11" s="9" customFormat="1">
      <c r="A211" s="145"/>
      <c r="B211" s="190"/>
      <c r="C211" s="432"/>
      <c r="D211" s="145"/>
      <c r="E211" s="145"/>
      <c r="F211" s="145"/>
      <c r="G211" s="145"/>
      <c r="H211" s="190"/>
      <c r="I211" s="190"/>
      <c r="J211" s="190"/>
      <c r="K211" s="4"/>
    </row>
    <row r="212" spans="1:11" s="9" customFormat="1">
      <c r="A212" s="145"/>
      <c r="B212" s="190"/>
      <c r="C212" s="432"/>
      <c r="D212" s="145"/>
      <c r="E212" s="145"/>
      <c r="F212" s="145"/>
      <c r="G212" s="145"/>
      <c r="H212" s="190"/>
      <c r="I212" s="190"/>
      <c r="J212" s="190"/>
      <c r="K212" s="4"/>
    </row>
    <row r="213" spans="1:11" s="9" customFormat="1">
      <c r="A213" s="145"/>
      <c r="B213" s="190"/>
      <c r="C213" s="432"/>
      <c r="D213" s="145"/>
      <c r="E213" s="145"/>
      <c r="F213" s="145"/>
      <c r="G213" s="145"/>
      <c r="H213" s="190"/>
      <c r="I213" s="190"/>
      <c r="J213" s="190"/>
      <c r="K213" s="4"/>
    </row>
    <row r="214" spans="1:11" s="9" customFormat="1">
      <c r="A214" s="145"/>
      <c r="B214" s="190"/>
      <c r="C214" s="432"/>
      <c r="D214" s="145"/>
      <c r="E214" s="145"/>
      <c r="F214" s="145"/>
      <c r="G214" s="145"/>
      <c r="H214" s="190"/>
      <c r="I214" s="190"/>
      <c r="J214" s="190"/>
      <c r="K214" s="4"/>
    </row>
    <row r="215" spans="1:11" s="9" customFormat="1">
      <c r="A215" s="145"/>
      <c r="B215" s="190"/>
      <c r="C215" s="432"/>
      <c r="D215" s="145"/>
      <c r="E215" s="145"/>
      <c r="F215" s="145"/>
      <c r="G215" s="145"/>
      <c r="H215" s="190"/>
      <c r="I215" s="190"/>
      <c r="J215" s="190"/>
      <c r="K215" s="4"/>
    </row>
    <row r="216" spans="1:11" s="9" customFormat="1">
      <c r="A216" s="145"/>
      <c r="B216" s="190"/>
      <c r="C216" s="432"/>
      <c r="D216" s="145"/>
      <c r="E216" s="145"/>
      <c r="F216" s="145"/>
      <c r="G216" s="145"/>
      <c r="H216" s="190"/>
      <c r="I216" s="190"/>
      <c r="J216" s="190"/>
      <c r="K216" s="4"/>
    </row>
    <row r="217" spans="1:11" s="9" customFormat="1">
      <c r="A217" s="145"/>
      <c r="B217" s="190"/>
      <c r="C217" s="432"/>
      <c r="D217" s="145"/>
      <c r="E217" s="145"/>
      <c r="F217" s="145"/>
      <c r="G217" s="145"/>
      <c r="H217" s="190"/>
      <c r="I217" s="190"/>
      <c r="J217" s="190"/>
      <c r="K217" s="4"/>
    </row>
    <row r="218" spans="1:11" s="9" customFormat="1">
      <c r="A218" s="145"/>
      <c r="B218" s="190"/>
      <c r="C218" s="432"/>
      <c r="D218" s="145"/>
      <c r="E218" s="145"/>
      <c r="F218" s="145"/>
      <c r="G218" s="145"/>
      <c r="H218" s="190"/>
      <c r="I218" s="190"/>
      <c r="J218" s="190"/>
      <c r="K218" s="4"/>
    </row>
    <row r="219" spans="1:11" s="9" customFormat="1">
      <c r="A219" s="145"/>
      <c r="B219" s="190"/>
      <c r="C219" s="432"/>
      <c r="D219" s="145"/>
      <c r="E219" s="145"/>
      <c r="F219" s="145"/>
      <c r="G219" s="145"/>
      <c r="H219" s="190"/>
      <c r="I219" s="190"/>
      <c r="J219" s="190"/>
      <c r="K219" s="4"/>
    </row>
    <row r="220" spans="1:11" s="9" customFormat="1">
      <c r="A220" s="145"/>
      <c r="B220" s="190"/>
      <c r="C220" s="432"/>
      <c r="D220" s="145"/>
      <c r="E220" s="145"/>
      <c r="F220" s="145"/>
      <c r="G220" s="145"/>
      <c r="H220" s="190"/>
      <c r="I220" s="190"/>
      <c r="J220" s="190"/>
      <c r="K220" s="4"/>
    </row>
    <row r="221" spans="1:11" s="9" customFormat="1">
      <c r="A221" s="145"/>
      <c r="B221" s="190"/>
      <c r="C221" s="432"/>
      <c r="D221" s="145"/>
      <c r="E221" s="145"/>
      <c r="F221" s="145"/>
      <c r="G221" s="145"/>
      <c r="H221" s="190"/>
      <c r="I221" s="190"/>
      <c r="J221" s="190"/>
      <c r="K221" s="4"/>
    </row>
    <row r="222" spans="1:11" s="9" customFormat="1">
      <c r="A222" s="145"/>
      <c r="B222" s="190"/>
      <c r="C222" s="432"/>
      <c r="D222" s="145"/>
      <c r="E222" s="145"/>
      <c r="F222" s="145"/>
      <c r="G222" s="145"/>
      <c r="H222" s="190"/>
      <c r="I222" s="190"/>
      <c r="J222" s="190"/>
      <c r="K222" s="4"/>
    </row>
    <row r="223" spans="1:11" s="9" customFormat="1">
      <c r="A223" s="145"/>
      <c r="B223" s="190"/>
      <c r="C223" s="432"/>
      <c r="D223" s="145"/>
      <c r="E223" s="145"/>
      <c r="F223" s="145"/>
      <c r="G223" s="145"/>
      <c r="H223" s="190"/>
      <c r="I223" s="190"/>
      <c r="J223" s="190"/>
      <c r="K223" s="4"/>
    </row>
    <row r="224" spans="1:11" s="9" customFormat="1">
      <c r="A224" s="145"/>
      <c r="B224" s="190"/>
      <c r="C224" s="432"/>
      <c r="D224" s="145"/>
      <c r="E224" s="145"/>
      <c r="F224" s="145"/>
      <c r="G224" s="145"/>
      <c r="H224" s="190"/>
      <c r="I224" s="190"/>
      <c r="J224" s="190"/>
      <c r="K224" s="4"/>
    </row>
    <row r="225" spans="1:11" s="9" customFormat="1">
      <c r="A225" s="145"/>
      <c r="B225" s="190"/>
      <c r="C225" s="432"/>
      <c r="D225" s="145"/>
      <c r="E225" s="145"/>
      <c r="F225" s="145"/>
      <c r="G225" s="145"/>
      <c r="H225" s="190"/>
      <c r="I225" s="190"/>
      <c r="J225" s="190"/>
      <c r="K225" s="4"/>
    </row>
    <row r="226" spans="1:11" s="9" customFormat="1">
      <c r="A226" s="145"/>
      <c r="B226" s="190"/>
      <c r="C226" s="432"/>
      <c r="D226" s="145"/>
      <c r="E226" s="145"/>
      <c r="F226" s="145"/>
      <c r="G226" s="145"/>
      <c r="H226" s="190"/>
      <c r="I226" s="190"/>
      <c r="J226" s="190"/>
      <c r="K226" s="4"/>
    </row>
    <row r="227" spans="1:11" s="9" customFormat="1">
      <c r="A227" s="145"/>
      <c r="B227" s="190"/>
      <c r="C227" s="432"/>
      <c r="D227" s="145"/>
      <c r="E227" s="145"/>
      <c r="F227" s="145"/>
      <c r="G227" s="145"/>
      <c r="H227" s="190"/>
      <c r="I227" s="190"/>
      <c r="J227" s="190"/>
      <c r="K227" s="4"/>
    </row>
    <row r="228" spans="1:11" s="9" customFormat="1">
      <c r="A228" s="145"/>
      <c r="B228" s="190"/>
      <c r="C228" s="432"/>
      <c r="D228" s="145"/>
      <c r="E228" s="145"/>
      <c r="F228" s="145"/>
      <c r="G228" s="145"/>
      <c r="H228" s="190"/>
      <c r="I228" s="190"/>
      <c r="J228" s="190"/>
      <c r="K228" s="4"/>
    </row>
    <row r="229" spans="1:11" s="9" customFormat="1">
      <c r="A229" s="145"/>
      <c r="B229" s="190"/>
      <c r="C229" s="432"/>
      <c r="D229" s="145"/>
      <c r="E229" s="145"/>
      <c r="F229" s="145"/>
      <c r="G229" s="145"/>
      <c r="H229" s="190"/>
      <c r="I229" s="190"/>
      <c r="J229" s="190"/>
      <c r="K229" s="4"/>
    </row>
    <row r="230" spans="1:11" s="9" customFormat="1">
      <c r="A230" s="145"/>
      <c r="B230" s="190"/>
      <c r="C230" s="432"/>
      <c r="D230" s="145"/>
      <c r="E230" s="145"/>
      <c r="F230" s="145"/>
      <c r="G230" s="145"/>
      <c r="H230" s="190"/>
      <c r="I230" s="190"/>
      <c r="J230" s="190"/>
      <c r="K230" s="4"/>
    </row>
    <row r="231" spans="1:11" s="9" customFormat="1">
      <c r="A231" s="145"/>
      <c r="B231" s="190"/>
      <c r="C231" s="432"/>
      <c r="D231" s="145"/>
      <c r="E231" s="145"/>
      <c r="F231" s="145"/>
      <c r="G231" s="145"/>
      <c r="H231" s="190"/>
      <c r="I231" s="190"/>
      <c r="J231" s="190"/>
      <c r="K231" s="4"/>
    </row>
    <row r="232" spans="1:11" s="9" customFormat="1">
      <c r="A232" s="145"/>
      <c r="B232" s="190"/>
      <c r="C232" s="432"/>
      <c r="D232" s="145"/>
      <c r="E232" s="145"/>
      <c r="F232" s="145"/>
      <c r="G232" s="145"/>
      <c r="H232" s="190"/>
      <c r="I232" s="190"/>
      <c r="J232" s="190"/>
      <c r="K232" s="4"/>
    </row>
    <row r="233" spans="1:11" s="9" customFormat="1">
      <c r="A233" s="145"/>
      <c r="B233" s="190"/>
      <c r="C233" s="432"/>
      <c r="D233" s="145"/>
      <c r="E233" s="145"/>
      <c r="F233" s="145"/>
      <c r="G233" s="145"/>
      <c r="H233" s="190"/>
      <c r="I233" s="190"/>
      <c r="J233" s="190"/>
      <c r="K233" s="4"/>
    </row>
    <row r="234" spans="1:11" s="9" customFormat="1">
      <c r="A234" s="145"/>
      <c r="B234" s="190"/>
      <c r="C234" s="432"/>
      <c r="D234" s="145"/>
      <c r="E234" s="145"/>
      <c r="F234" s="145"/>
      <c r="G234" s="145"/>
      <c r="H234" s="190"/>
      <c r="I234" s="190"/>
      <c r="J234" s="190"/>
      <c r="K234" s="4"/>
    </row>
    <row r="235" spans="1:11" s="9" customFormat="1">
      <c r="A235" s="145"/>
      <c r="B235" s="190"/>
      <c r="C235" s="432"/>
      <c r="D235" s="145"/>
      <c r="E235" s="145"/>
      <c r="F235" s="145"/>
      <c r="G235" s="145"/>
      <c r="H235" s="190"/>
      <c r="I235" s="190"/>
      <c r="J235" s="190"/>
      <c r="K235" s="4"/>
    </row>
    <row r="236" spans="1:11" s="9" customFormat="1">
      <c r="A236" s="145"/>
      <c r="B236" s="190"/>
      <c r="C236" s="432"/>
      <c r="D236" s="145"/>
      <c r="E236" s="145"/>
      <c r="F236" s="145"/>
      <c r="G236" s="145"/>
      <c r="H236" s="190"/>
      <c r="I236" s="190"/>
      <c r="J236" s="190"/>
      <c r="K236" s="4"/>
    </row>
    <row r="237" spans="1:11" s="9" customFormat="1">
      <c r="A237" s="145"/>
      <c r="B237" s="190"/>
      <c r="C237" s="432"/>
      <c r="D237" s="145"/>
      <c r="E237" s="145"/>
      <c r="F237" s="145"/>
      <c r="G237" s="145"/>
      <c r="H237" s="190"/>
      <c r="I237" s="190"/>
      <c r="J237" s="190"/>
      <c r="K237" s="4"/>
    </row>
    <row r="238" spans="1:11" s="9" customFormat="1">
      <c r="A238" s="145"/>
      <c r="B238" s="190"/>
      <c r="C238" s="432"/>
      <c r="D238" s="145"/>
      <c r="E238" s="145"/>
      <c r="F238" s="145"/>
      <c r="G238" s="145"/>
      <c r="H238" s="190"/>
      <c r="I238" s="190"/>
      <c r="J238" s="190"/>
      <c r="K238" s="4"/>
    </row>
    <row r="239" spans="1:11" s="9" customFormat="1">
      <c r="A239" s="145"/>
      <c r="B239" s="190"/>
      <c r="C239" s="432"/>
      <c r="D239" s="145"/>
      <c r="E239" s="145"/>
      <c r="F239" s="145"/>
      <c r="G239" s="145"/>
      <c r="H239" s="190"/>
      <c r="I239" s="190"/>
      <c r="J239" s="190"/>
      <c r="K239" s="4"/>
    </row>
    <row r="240" spans="1:11" s="9" customFormat="1">
      <c r="A240" s="145"/>
      <c r="B240" s="190"/>
      <c r="C240" s="432"/>
      <c r="D240" s="145"/>
      <c r="E240" s="145"/>
      <c r="F240" s="145"/>
      <c r="G240" s="145"/>
      <c r="H240" s="190"/>
      <c r="I240" s="190"/>
      <c r="J240" s="190"/>
      <c r="K240" s="4"/>
    </row>
    <row r="241" spans="1:11" s="9" customFormat="1">
      <c r="A241" s="145"/>
      <c r="B241" s="190"/>
      <c r="C241" s="432"/>
      <c r="D241" s="145"/>
      <c r="E241" s="145"/>
      <c r="F241" s="145"/>
      <c r="G241" s="145"/>
      <c r="H241" s="190"/>
      <c r="I241" s="190"/>
      <c r="J241" s="190"/>
      <c r="K241" s="4"/>
    </row>
    <row r="242" spans="1:11" s="9" customFormat="1">
      <c r="A242" s="145"/>
      <c r="B242" s="190"/>
      <c r="C242" s="432"/>
      <c r="D242" s="145"/>
      <c r="E242" s="145"/>
      <c r="F242" s="145"/>
      <c r="G242" s="145"/>
      <c r="H242" s="190"/>
      <c r="I242" s="190"/>
      <c r="J242" s="190"/>
      <c r="K242" s="4"/>
    </row>
    <row r="243" spans="1:11" s="9" customFormat="1">
      <c r="A243" s="145"/>
      <c r="B243" s="190"/>
      <c r="C243" s="432"/>
      <c r="D243" s="145"/>
      <c r="E243" s="145"/>
      <c r="F243" s="145"/>
      <c r="G243" s="145"/>
      <c r="H243" s="190"/>
      <c r="I243" s="190"/>
      <c r="J243" s="190"/>
      <c r="K243" s="4"/>
    </row>
    <row r="244" spans="1:11" s="9" customFormat="1">
      <c r="A244" s="145"/>
      <c r="B244" s="190"/>
      <c r="C244" s="432"/>
      <c r="D244" s="145"/>
      <c r="E244" s="145"/>
      <c r="F244" s="145"/>
      <c r="G244" s="145"/>
      <c r="H244" s="190"/>
      <c r="I244" s="190"/>
      <c r="J244" s="190"/>
      <c r="K244" s="4"/>
    </row>
    <row r="245" spans="1:11" s="9" customFormat="1">
      <c r="A245" s="145"/>
      <c r="B245" s="190"/>
      <c r="C245" s="432"/>
      <c r="D245" s="145"/>
      <c r="E245" s="145"/>
      <c r="F245" s="145"/>
      <c r="G245" s="145"/>
      <c r="H245" s="190"/>
      <c r="I245" s="190"/>
      <c r="J245" s="190"/>
      <c r="K245" s="4"/>
    </row>
    <row r="246" spans="1:11" s="9" customFormat="1">
      <c r="A246" s="145"/>
      <c r="B246" s="190"/>
      <c r="C246" s="432"/>
      <c r="D246" s="145"/>
      <c r="E246" s="145"/>
      <c r="F246" s="145"/>
      <c r="G246" s="145"/>
      <c r="H246" s="190"/>
      <c r="I246" s="190"/>
      <c r="J246" s="190"/>
      <c r="K246" s="4"/>
    </row>
    <row r="247" spans="1:11" s="9" customFormat="1">
      <c r="A247" s="145"/>
      <c r="B247" s="190"/>
      <c r="C247" s="432"/>
      <c r="D247" s="145"/>
      <c r="E247" s="145"/>
      <c r="F247" s="145"/>
      <c r="G247" s="145"/>
      <c r="H247" s="190"/>
      <c r="I247" s="190"/>
      <c r="J247" s="190"/>
      <c r="K247" s="4"/>
    </row>
    <row r="248" spans="1:11" s="9" customFormat="1">
      <c r="A248" s="145"/>
      <c r="B248" s="190"/>
      <c r="C248" s="432"/>
      <c r="D248" s="145"/>
      <c r="E248" s="145"/>
      <c r="F248" s="145"/>
      <c r="G248" s="145"/>
      <c r="H248" s="190"/>
      <c r="I248" s="190"/>
      <c r="J248" s="190"/>
      <c r="K248" s="4"/>
    </row>
    <row r="249" spans="1:11" s="9" customFormat="1">
      <c r="A249" s="145"/>
      <c r="B249" s="190"/>
      <c r="C249" s="432"/>
      <c r="D249" s="145"/>
      <c r="E249" s="145"/>
      <c r="F249" s="145"/>
      <c r="G249" s="145"/>
      <c r="H249" s="190"/>
      <c r="I249" s="190"/>
      <c r="J249" s="190"/>
      <c r="K249" s="4"/>
    </row>
    <row r="250" spans="1:11" s="9" customFormat="1">
      <c r="A250" s="145"/>
      <c r="B250" s="190"/>
      <c r="C250" s="432"/>
      <c r="D250" s="145"/>
      <c r="E250" s="145"/>
      <c r="F250" s="145"/>
      <c r="G250" s="145"/>
      <c r="H250" s="190"/>
      <c r="I250" s="190"/>
      <c r="J250" s="190"/>
      <c r="K250" s="4"/>
    </row>
    <row r="251" spans="1:11" s="9" customFormat="1">
      <c r="A251" s="145"/>
      <c r="B251" s="190"/>
      <c r="C251" s="432"/>
      <c r="D251" s="145"/>
      <c r="E251" s="145"/>
      <c r="F251" s="145"/>
      <c r="G251" s="145"/>
      <c r="H251" s="190"/>
      <c r="I251" s="190"/>
      <c r="J251" s="190"/>
      <c r="K251" s="4"/>
    </row>
    <row r="252" spans="1:11" s="9" customFormat="1">
      <c r="A252" s="145"/>
      <c r="B252" s="190"/>
      <c r="C252" s="432"/>
      <c r="D252" s="145"/>
      <c r="E252" s="145"/>
      <c r="F252" s="145"/>
      <c r="G252" s="145"/>
      <c r="H252" s="190"/>
      <c r="I252" s="190"/>
      <c r="J252" s="190"/>
      <c r="K252" s="4"/>
    </row>
    <row r="253" spans="1:11" s="9" customFormat="1">
      <c r="A253" s="145"/>
      <c r="B253" s="190"/>
      <c r="C253" s="432"/>
      <c r="D253" s="145"/>
      <c r="E253" s="145"/>
      <c r="F253" s="145"/>
      <c r="G253" s="145"/>
      <c r="H253" s="190"/>
      <c r="I253" s="190"/>
      <c r="J253" s="190"/>
      <c r="K253" s="4"/>
    </row>
    <row r="254" spans="1:11" s="9" customFormat="1">
      <c r="A254" s="145"/>
      <c r="B254" s="190"/>
      <c r="C254" s="432"/>
      <c r="D254" s="145"/>
      <c r="E254" s="145"/>
      <c r="F254" s="145"/>
      <c r="G254" s="145"/>
      <c r="H254" s="190"/>
      <c r="I254" s="190"/>
      <c r="J254" s="190"/>
      <c r="K254" s="4"/>
    </row>
    <row r="255" spans="1:11" s="9" customFormat="1">
      <c r="A255" s="145"/>
      <c r="B255" s="190"/>
      <c r="C255" s="432"/>
      <c r="D255" s="145"/>
      <c r="E255" s="145"/>
      <c r="F255" s="145"/>
      <c r="G255" s="145"/>
      <c r="H255" s="190"/>
      <c r="I255" s="190"/>
      <c r="J255" s="190"/>
      <c r="K255" s="4"/>
    </row>
    <row r="256" spans="1:11" s="9" customFormat="1">
      <c r="A256" s="145"/>
      <c r="B256" s="190"/>
      <c r="C256" s="432"/>
      <c r="D256" s="145"/>
      <c r="E256" s="145"/>
      <c r="F256" s="145"/>
      <c r="G256" s="145"/>
      <c r="H256" s="190"/>
      <c r="I256" s="190"/>
      <c r="J256" s="190"/>
      <c r="K256" s="4"/>
    </row>
    <row r="257" spans="1:11" s="9" customFormat="1">
      <c r="A257" s="145"/>
      <c r="B257" s="190"/>
      <c r="C257" s="432"/>
      <c r="D257" s="145"/>
      <c r="E257" s="145"/>
      <c r="F257" s="145"/>
      <c r="G257" s="145"/>
      <c r="H257" s="190"/>
      <c r="I257" s="190"/>
      <c r="J257" s="190"/>
      <c r="K257" s="4"/>
    </row>
    <row r="258" spans="1:11" s="9" customFormat="1">
      <c r="A258" s="145"/>
      <c r="B258" s="190"/>
      <c r="C258" s="432"/>
      <c r="D258" s="145"/>
      <c r="E258" s="145"/>
      <c r="F258" s="145"/>
      <c r="G258" s="145"/>
      <c r="H258" s="190"/>
      <c r="I258" s="190"/>
      <c r="J258" s="190"/>
      <c r="K258" s="4"/>
    </row>
    <row r="259" spans="1:11" s="9" customFormat="1">
      <c r="A259" s="145"/>
      <c r="B259" s="190"/>
      <c r="C259" s="432"/>
      <c r="D259" s="145"/>
      <c r="E259" s="145"/>
      <c r="F259" s="145"/>
      <c r="G259" s="145"/>
      <c r="H259" s="190"/>
      <c r="I259" s="190"/>
      <c r="J259" s="190"/>
      <c r="K259" s="4"/>
    </row>
    <row r="260" spans="1:11" s="9" customFormat="1">
      <c r="A260" s="145"/>
      <c r="B260" s="190"/>
      <c r="C260" s="432"/>
      <c r="D260" s="145"/>
      <c r="E260" s="145"/>
      <c r="F260" s="145"/>
      <c r="G260" s="145"/>
      <c r="H260" s="190"/>
      <c r="I260" s="190"/>
      <c r="J260" s="190"/>
      <c r="K260" s="4"/>
    </row>
    <row r="261" spans="1:11" s="9" customFormat="1">
      <c r="A261" s="145"/>
      <c r="B261" s="190"/>
      <c r="C261" s="432"/>
      <c r="D261" s="145"/>
      <c r="E261" s="145"/>
      <c r="F261" s="145"/>
      <c r="G261" s="145"/>
      <c r="H261" s="190"/>
      <c r="I261" s="190"/>
      <c r="J261" s="190"/>
      <c r="K261" s="4"/>
    </row>
    <row r="262" spans="1:11" s="9" customFormat="1">
      <c r="A262" s="145"/>
      <c r="B262" s="190"/>
      <c r="C262" s="432"/>
      <c r="D262" s="145"/>
      <c r="E262" s="145"/>
      <c r="F262" s="145"/>
      <c r="G262" s="145"/>
      <c r="H262" s="190"/>
      <c r="I262" s="190"/>
      <c r="J262" s="190"/>
      <c r="K262" s="4"/>
    </row>
    <row r="263" spans="1:11" s="9" customFormat="1">
      <c r="A263" s="145"/>
      <c r="B263" s="190"/>
      <c r="C263" s="432"/>
      <c r="D263" s="145"/>
      <c r="E263" s="145"/>
      <c r="F263" s="145"/>
      <c r="G263" s="145"/>
      <c r="H263" s="190"/>
      <c r="I263" s="190"/>
      <c r="J263" s="190"/>
      <c r="K263" s="4"/>
    </row>
    <row r="264" spans="1:11" s="9" customFormat="1">
      <c r="A264" s="145"/>
      <c r="B264" s="190"/>
      <c r="C264" s="432"/>
      <c r="D264" s="145"/>
      <c r="E264" s="145"/>
      <c r="F264" s="145"/>
      <c r="G264" s="145"/>
      <c r="H264" s="190"/>
      <c r="I264" s="190"/>
      <c r="J264" s="190"/>
      <c r="K264" s="4"/>
    </row>
    <row r="265" spans="1:11" s="9" customFormat="1">
      <c r="A265" s="145"/>
      <c r="B265" s="190"/>
      <c r="C265" s="432"/>
      <c r="D265" s="145"/>
      <c r="E265" s="145"/>
      <c r="F265" s="145"/>
      <c r="G265" s="145"/>
      <c r="H265" s="190"/>
      <c r="I265" s="190"/>
      <c r="J265" s="190"/>
      <c r="K265" s="4"/>
    </row>
    <row r="266" spans="1:11" s="9" customFormat="1">
      <c r="A266" s="145"/>
      <c r="B266" s="190"/>
      <c r="C266" s="432"/>
      <c r="D266" s="145"/>
      <c r="E266" s="145"/>
      <c r="F266" s="145"/>
      <c r="G266" s="145"/>
      <c r="H266" s="190"/>
      <c r="I266" s="190"/>
      <c r="J266" s="190"/>
      <c r="K266" s="4"/>
    </row>
    <row r="267" spans="1:11" s="9" customFormat="1">
      <c r="A267" s="145"/>
      <c r="B267" s="190"/>
      <c r="C267" s="432"/>
      <c r="D267" s="145"/>
      <c r="E267" s="145"/>
      <c r="F267" s="145"/>
      <c r="G267" s="145"/>
      <c r="H267" s="190"/>
      <c r="I267" s="190"/>
      <c r="J267" s="190"/>
      <c r="K267" s="4"/>
    </row>
    <row r="268" spans="1:11" s="9" customFormat="1">
      <c r="A268" s="145"/>
      <c r="B268" s="190"/>
      <c r="C268" s="432"/>
      <c r="D268" s="145"/>
      <c r="E268" s="145"/>
      <c r="F268" s="145"/>
      <c r="G268" s="145"/>
      <c r="H268" s="190"/>
      <c r="I268" s="190"/>
      <c r="J268" s="190"/>
      <c r="K268" s="4"/>
    </row>
    <row r="269" spans="1:11" s="9" customFormat="1">
      <c r="A269" s="145"/>
      <c r="B269" s="190"/>
      <c r="C269" s="432"/>
      <c r="D269" s="145"/>
      <c r="E269" s="145"/>
      <c r="F269" s="145"/>
      <c r="G269" s="145"/>
      <c r="H269" s="190"/>
      <c r="I269" s="190"/>
      <c r="J269" s="190"/>
      <c r="K269" s="4"/>
    </row>
    <row r="270" spans="1:11" s="9" customFormat="1">
      <c r="A270" s="145"/>
      <c r="B270" s="190"/>
      <c r="C270" s="432"/>
      <c r="D270" s="145"/>
      <c r="E270" s="145"/>
      <c r="F270" s="145"/>
      <c r="G270" s="145"/>
      <c r="H270" s="190"/>
      <c r="I270" s="190"/>
      <c r="J270" s="190"/>
      <c r="K270" s="4"/>
    </row>
    <row r="271" spans="1:11" s="9" customFormat="1">
      <c r="A271" s="145"/>
      <c r="B271" s="190"/>
      <c r="C271" s="432"/>
      <c r="D271" s="145"/>
      <c r="E271" s="145"/>
      <c r="F271" s="145"/>
      <c r="G271" s="145"/>
      <c r="H271" s="190"/>
      <c r="I271" s="190"/>
      <c r="J271" s="190"/>
      <c r="K271" s="4"/>
    </row>
    <row r="272" spans="1:11" s="9" customFormat="1">
      <c r="A272" s="145"/>
      <c r="B272" s="190"/>
      <c r="C272" s="432"/>
      <c r="D272" s="145"/>
      <c r="E272" s="145"/>
      <c r="F272" s="145"/>
      <c r="G272" s="145"/>
      <c r="H272" s="190"/>
      <c r="I272" s="190"/>
      <c r="J272" s="190"/>
      <c r="K272" s="4"/>
    </row>
    <row r="273" spans="1:11" s="9" customFormat="1">
      <c r="A273" s="145"/>
      <c r="B273" s="190"/>
      <c r="C273" s="432"/>
      <c r="D273" s="145"/>
      <c r="E273" s="145"/>
      <c r="F273" s="145"/>
      <c r="G273" s="145"/>
      <c r="H273" s="190"/>
      <c r="I273" s="190"/>
      <c r="J273" s="190"/>
      <c r="K273" s="4"/>
    </row>
    <row r="274" spans="1:11" s="9" customFormat="1">
      <c r="A274" s="145"/>
      <c r="B274" s="190"/>
      <c r="C274" s="432"/>
      <c r="D274" s="145"/>
      <c r="E274" s="145"/>
      <c r="F274" s="145"/>
      <c r="G274" s="145"/>
      <c r="H274" s="190"/>
      <c r="I274" s="190"/>
      <c r="J274" s="190"/>
      <c r="K274" s="4"/>
    </row>
    <row r="275" spans="1:11" s="9" customFormat="1">
      <c r="A275" s="145"/>
      <c r="B275" s="190"/>
      <c r="C275" s="432"/>
      <c r="D275" s="145"/>
      <c r="E275" s="145"/>
      <c r="F275" s="145"/>
      <c r="G275" s="145"/>
      <c r="H275" s="190"/>
      <c r="I275" s="190"/>
      <c r="J275" s="190"/>
      <c r="K275" s="4"/>
    </row>
    <row r="276" spans="1:11" s="9" customFormat="1">
      <c r="A276" s="145"/>
      <c r="B276" s="190"/>
      <c r="C276" s="432"/>
      <c r="D276" s="145"/>
      <c r="E276" s="145"/>
      <c r="F276" s="145"/>
      <c r="G276" s="145"/>
      <c r="H276" s="190"/>
      <c r="I276" s="190"/>
      <c r="J276" s="190"/>
      <c r="K276" s="4"/>
    </row>
    <row r="277" spans="1:11" s="9" customFormat="1">
      <c r="A277" s="145"/>
      <c r="B277" s="190"/>
      <c r="C277" s="432"/>
      <c r="D277" s="145"/>
      <c r="E277" s="145"/>
      <c r="F277" s="145"/>
      <c r="G277" s="145"/>
      <c r="H277" s="190"/>
      <c r="I277" s="190"/>
      <c r="J277" s="190"/>
      <c r="K277" s="4"/>
    </row>
    <row r="278" spans="1:11" s="9" customFormat="1">
      <c r="A278" s="145"/>
      <c r="B278" s="190"/>
      <c r="C278" s="432"/>
      <c r="D278" s="145"/>
      <c r="E278" s="145"/>
      <c r="F278" s="145"/>
      <c r="G278" s="145"/>
      <c r="H278" s="190"/>
      <c r="I278" s="190"/>
      <c r="J278" s="190"/>
      <c r="K278" s="4"/>
    </row>
    <row r="279" spans="1:11" s="9" customFormat="1">
      <c r="A279" s="145"/>
      <c r="B279" s="190"/>
      <c r="C279" s="432"/>
      <c r="D279" s="145"/>
      <c r="E279" s="145"/>
      <c r="F279" s="145"/>
      <c r="G279" s="145"/>
      <c r="H279" s="190"/>
      <c r="I279" s="190"/>
      <c r="J279" s="190"/>
      <c r="K279" s="4"/>
    </row>
    <row r="280" spans="1:11" s="9" customFormat="1">
      <c r="A280" s="145"/>
      <c r="B280" s="190"/>
      <c r="C280" s="432"/>
      <c r="D280" s="145"/>
      <c r="E280" s="145"/>
      <c r="F280" s="145"/>
      <c r="G280" s="145"/>
      <c r="H280" s="190"/>
      <c r="I280" s="190"/>
      <c r="J280" s="190"/>
      <c r="K280" s="4"/>
    </row>
    <row r="281" spans="1:11" s="9" customFormat="1">
      <c r="A281" s="145"/>
      <c r="B281" s="190"/>
      <c r="C281" s="432"/>
      <c r="D281" s="145"/>
      <c r="E281" s="145"/>
      <c r="F281" s="145"/>
      <c r="G281" s="145"/>
      <c r="H281" s="190"/>
      <c r="I281" s="190"/>
      <c r="J281" s="190"/>
      <c r="K281" s="4"/>
    </row>
    <row r="282" spans="1:11" s="9" customFormat="1">
      <c r="A282" s="145"/>
      <c r="B282" s="190"/>
      <c r="C282" s="432"/>
      <c r="D282" s="145"/>
      <c r="E282" s="145"/>
      <c r="F282" s="145"/>
      <c r="G282" s="145"/>
      <c r="H282" s="190"/>
      <c r="I282" s="190"/>
      <c r="J282" s="190"/>
      <c r="K282" s="4"/>
    </row>
    <row r="283" spans="1:11" s="9" customFormat="1">
      <c r="A283" s="145"/>
      <c r="B283" s="190"/>
      <c r="C283" s="432"/>
      <c r="D283" s="145"/>
      <c r="E283" s="145"/>
      <c r="F283" s="145"/>
      <c r="G283" s="145"/>
      <c r="H283" s="190"/>
      <c r="I283" s="190"/>
      <c r="J283" s="190"/>
      <c r="K283" s="4"/>
    </row>
    <row r="284" spans="1:11" s="9" customFormat="1">
      <c r="A284" s="145"/>
      <c r="B284" s="190"/>
      <c r="C284" s="432"/>
      <c r="D284" s="145"/>
      <c r="E284" s="145"/>
      <c r="F284" s="145"/>
      <c r="G284" s="145"/>
      <c r="H284" s="190"/>
      <c r="I284" s="190"/>
      <c r="J284" s="190"/>
      <c r="K284" s="4"/>
    </row>
    <row r="285" spans="1:11" s="9" customFormat="1">
      <c r="A285" s="145"/>
      <c r="B285" s="190"/>
      <c r="C285" s="432"/>
      <c r="D285" s="145"/>
      <c r="E285" s="145"/>
      <c r="F285" s="145"/>
      <c r="G285" s="145"/>
      <c r="H285" s="190"/>
      <c r="I285" s="190"/>
      <c r="J285" s="190"/>
      <c r="K285" s="4"/>
    </row>
    <row r="286" spans="1:11" s="9" customFormat="1">
      <c r="A286" s="145"/>
      <c r="B286" s="190"/>
      <c r="C286" s="432"/>
      <c r="D286" s="145"/>
      <c r="E286" s="145"/>
      <c r="F286" s="145"/>
      <c r="G286" s="145"/>
      <c r="H286" s="190"/>
      <c r="I286" s="190"/>
      <c r="J286" s="190"/>
      <c r="K286" s="4"/>
    </row>
    <row r="287" spans="1:11" s="9" customFormat="1">
      <c r="A287" s="145"/>
      <c r="B287" s="190"/>
      <c r="C287" s="432"/>
      <c r="D287" s="145"/>
      <c r="E287" s="145"/>
      <c r="F287" s="145"/>
      <c r="G287" s="145"/>
      <c r="H287" s="190"/>
      <c r="I287" s="190"/>
      <c r="J287" s="190"/>
      <c r="K287" s="4"/>
    </row>
    <row r="288" spans="1:11" s="9" customFormat="1">
      <c r="A288" s="145"/>
      <c r="B288" s="190"/>
      <c r="C288" s="432"/>
      <c r="D288" s="145"/>
      <c r="E288" s="145"/>
      <c r="F288" s="145"/>
      <c r="G288" s="145"/>
      <c r="H288" s="190"/>
      <c r="I288" s="190"/>
      <c r="J288" s="190"/>
      <c r="K288" s="4"/>
    </row>
    <row r="289" spans="1:11" s="9" customFormat="1">
      <c r="A289" s="145"/>
      <c r="B289" s="190"/>
      <c r="C289" s="432"/>
      <c r="D289" s="145"/>
      <c r="E289" s="145"/>
      <c r="F289" s="145"/>
      <c r="G289" s="145"/>
      <c r="H289" s="190"/>
      <c r="I289" s="190"/>
      <c r="J289" s="190"/>
      <c r="K289" s="4"/>
    </row>
    <row r="290" spans="1:11" s="9" customFormat="1">
      <c r="A290" s="145"/>
      <c r="B290" s="190"/>
      <c r="C290" s="432"/>
      <c r="D290" s="145"/>
      <c r="E290" s="145"/>
      <c r="F290" s="145"/>
      <c r="G290" s="145"/>
      <c r="H290" s="190"/>
      <c r="I290" s="190"/>
      <c r="J290" s="190"/>
      <c r="K290" s="4"/>
    </row>
    <row r="291" spans="1:11" s="9" customFormat="1">
      <c r="A291" s="145"/>
      <c r="B291" s="190"/>
      <c r="C291" s="432"/>
      <c r="D291" s="145"/>
      <c r="E291" s="145"/>
      <c r="F291" s="145"/>
      <c r="G291" s="145"/>
      <c r="H291" s="190"/>
      <c r="I291" s="190"/>
      <c r="J291" s="190"/>
      <c r="K291" s="4"/>
    </row>
    <row r="292" spans="1:11" s="9" customFormat="1">
      <c r="A292" s="145"/>
      <c r="B292" s="190"/>
      <c r="C292" s="432"/>
      <c r="D292" s="145"/>
      <c r="E292" s="145"/>
      <c r="F292" s="145"/>
      <c r="G292" s="145"/>
      <c r="H292" s="190"/>
      <c r="I292" s="190"/>
      <c r="J292" s="190"/>
      <c r="K292" s="4"/>
    </row>
    <row r="293" spans="1:11" s="9" customFormat="1">
      <c r="A293" s="145"/>
      <c r="B293" s="190"/>
      <c r="C293" s="432"/>
      <c r="D293" s="145"/>
      <c r="E293" s="145"/>
      <c r="F293" s="145"/>
      <c r="G293" s="145"/>
      <c r="H293" s="190"/>
      <c r="I293" s="190"/>
      <c r="J293" s="190"/>
      <c r="K293" s="4"/>
    </row>
    <row r="294" spans="1:11" s="9" customFormat="1">
      <c r="A294" s="145"/>
      <c r="B294" s="190"/>
      <c r="C294" s="432"/>
      <c r="D294" s="145"/>
      <c r="E294" s="145"/>
      <c r="F294" s="145"/>
      <c r="G294" s="145"/>
      <c r="H294" s="190"/>
      <c r="I294" s="190"/>
      <c r="J294" s="190"/>
      <c r="K294" s="4"/>
    </row>
    <row r="295" spans="1:11" s="9" customFormat="1">
      <c r="A295" s="145"/>
      <c r="B295" s="190"/>
      <c r="C295" s="432"/>
      <c r="D295" s="145"/>
      <c r="E295" s="145"/>
      <c r="F295" s="145"/>
      <c r="G295" s="145"/>
      <c r="H295" s="190"/>
      <c r="I295" s="190"/>
      <c r="J295" s="190"/>
      <c r="K295" s="4"/>
    </row>
    <row r="296" spans="1:11" s="9" customFormat="1">
      <c r="A296" s="145"/>
      <c r="B296" s="190"/>
      <c r="C296" s="432"/>
      <c r="D296" s="145"/>
      <c r="E296" s="145"/>
      <c r="F296" s="145"/>
      <c r="G296" s="145"/>
      <c r="H296" s="190"/>
      <c r="I296" s="190"/>
      <c r="J296" s="190"/>
      <c r="K296" s="4"/>
    </row>
    <row r="297" spans="1:11" s="9" customFormat="1">
      <c r="A297" s="145"/>
      <c r="B297" s="190"/>
      <c r="C297" s="432"/>
      <c r="D297" s="145"/>
      <c r="E297" s="145"/>
      <c r="F297" s="145"/>
      <c r="G297" s="145"/>
      <c r="H297" s="190"/>
      <c r="I297" s="190"/>
      <c r="J297" s="190"/>
      <c r="K297" s="4"/>
    </row>
    <row r="298" spans="1:11" s="9" customFormat="1">
      <c r="A298" s="145"/>
      <c r="B298" s="190"/>
      <c r="C298" s="432"/>
      <c r="D298" s="145"/>
      <c r="E298" s="145"/>
      <c r="F298" s="145"/>
      <c r="G298" s="145"/>
      <c r="H298" s="190"/>
      <c r="I298" s="190"/>
      <c r="J298" s="190"/>
      <c r="K298" s="4"/>
    </row>
    <row r="299" spans="1:11" s="9" customFormat="1">
      <c r="A299" s="145"/>
      <c r="B299" s="190"/>
      <c r="C299" s="432"/>
      <c r="D299" s="145"/>
      <c r="E299" s="145"/>
      <c r="F299" s="145"/>
      <c r="G299" s="145"/>
      <c r="H299" s="190"/>
      <c r="I299" s="190"/>
      <c r="J299" s="190"/>
      <c r="K299" s="4"/>
    </row>
    <row r="300" spans="1:11" s="9" customFormat="1">
      <c r="A300" s="145"/>
      <c r="B300" s="190"/>
      <c r="C300" s="432"/>
      <c r="D300" s="145"/>
      <c r="E300" s="145"/>
      <c r="F300" s="145"/>
      <c r="G300" s="145"/>
      <c r="H300" s="190"/>
      <c r="I300" s="190"/>
      <c r="J300" s="190"/>
      <c r="K300" s="4"/>
    </row>
    <row r="301" spans="1:11" s="9" customFormat="1">
      <c r="A301" s="145"/>
      <c r="B301" s="190"/>
      <c r="C301" s="432"/>
      <c r="D301" s="145"/>
      <c r="E301" s="145"/>
      <c r="F301" s="145"/>
      <c r="G301" s="145"/>
      <c r="H301" s="190"/>
      <c r="I301" s="190"/>
      <c r="J301" s="190"/>
      <c r="K301" s="4"/>
    </row>
    <row r="302" spans="1:11" s="9" customFormat="1">
      <c r="A302" s="145"/>
      <c r="B302" s="190"/>
      <c r="C302" s="432"/>
      <c r="D302" s="145"/>
      <c r="E302" s="145"/>
      <c r="F302" s="145"/>
      <c r="G302" s="145"/>
      <c r="H302" s="190"/>
      <c r="I302" s="190"/>
      <c r="J302" s="190"/>
      <c r="K302" s="4"/>
    </row>
    <row r="303" spans="1:11" s="9" customFormat="1">
      <c r="A303" s="145"/>
      <c r="B303" s="190"/>
      <c r="C303" s="432"/>
      <c r="D303" s="145"/>
      <c r="E303" s="145"/>
      <c r="F303" s="145"/>
      <c r="G303" s="145"/>
      <c r="H303" s="190"/>
      <c r="I303" s="190"/>
      <c r="J303" s="190"/>
      <c r="K303" s="4"/>
    </row>
    <row r="304" spans="1:11" s="9" customFormat="1">
      <c r="A304" s="145"/>
      <c r="B304" s="190"/>
      <c r="C304" s="432"/>
      <c r="D304" s="145"/>
      <c r="E304" s="145"/>
      <c r="F304" s="145"/>
      <c r="G304" s="145"/>
      <c r="H304" s="190"/>
      <c r="I304" s="190"/>
      <c r="J304" s="190"/>
      <c r="K304" s="4"/>
    </row>
    <row r="305" spans="1:11" s="9" customFormat="1">
      <c r="A305" s="145"/>
      <c r="B305" s="190"/>
      <c r="C305" s="432"/>
      <c r="D305" s="145"/>
      <c r="E305" s="145"/>
      <c r="F305" s="145"/>
      <c r="G305" s="145"/>
      <c r="H305" s="190"/>
      <c r="I305" s="190"/>
      <c r="J305" s="190"/>
      <c r="K305" s="4"/>
    </row>
    <row r="306" spans="1:11" s="9" customFormat="1">
      <c r="A306" s="145"/>
      <c r="B306" s="190"/>
      <c r="C306" s="432"/>
      <c r="D306" s="145"/>
      <c r="E306" s="145"/>
      <c r="F306" s="145"/>
      <c r="G306" s="145"/>
      <c r="H306" s="190"/>
      <c r="I306" s="190"/>
      <c r="J306" s="190"/>
      <c r="K306" s="4"/>
    </row>
    <row r="307" spans="1:11" s="9" customFormat="1">
      <c r="A307" s="145"/>
      <c r="B307" s="190"/>
      <c r="C307" s="432"/>
      <c r="D307" s="145"/>
      <c r="E307" s="145"/>
      <c r="F307" s="145"/>
      <c r="G307" s="145"/>
      <c r="H307" s="190"/>
      <c r="I307" s="190"/>
      <c r="J307" s="190"/>
      <c r="K307" s="4"/>
    </row>
    <row r="308" spans="1:11" s="9" customFormat="1">
      <c r="A308" s="145"/>
      <c r="B308" s="190"/>
      <c r="C308" s="432"/>
      <c r="D308" s="145"/>
      <c r="E308" s="145"/>
      <c r="F308" s="145"/>
      <c r="G308" s="145"/>
      <c r="H308" s="190"/>
      <c r="I308" s="190"/>
      <c r="J308" s="190"/>
      <c r="K308" s="4"/>
    </row>
    <row r="309" spans="1:11" s="9" customFormat="1">
      <c r="A309" s="145"/>
      <c r="B309" s="190"/>
      <c r="C309" s="432"/>
      <c r="D309" s="145"/>
      <c r="E309" s="145"/>
      <c r="F309" s="145"/>
      <c r="G309" s="145"/>
      <c r="H309" s="190"/>
      <c r="I309" s="190"/>
      <c r="J309" s="190"/>
      <c r="K309" s="4"/>
    </row>
    <row r="310" spans="1:11" s="9" customFormat="1">
      <c r="A310" s="145"/>
      <c r="B310" s="190"/>
      <c r="C310" s="432"/>
      <c r="D310" s="145"/>
      <c r="E310" s="145"/>
      <c r="F310" s="145"/>
      <c r="G310" s="145"/>
      <c r="H310" s="190"/>
      <c r="I310" s="190"/>
      <c r="J310" s="190"/>
      <c r="K310" s="4"/>
    </row>
    <row r="311" spans="1:11" s="9" customFormat="1">
      <c r="A311" s="145"/>
      <c r="B311" s="190"/>
      <c r="C311" s="432"/>
      <c r="D311" s="145"/>
      <c r="E311" s="145"/>
      <c r="F311" s="145"/>
      <c r="G311" s="145"/>
      <c r="H311" s="190"/>
      <c r="I311" s="190"/>
      <c r="J311" s="190"/>
      <c r="K311" s="4"/>
    </row>
    <row r="312" spans="1:11" s="9" customFormat="1">
      <c r="A312" s="145"/>
      <c r="B312" s="190"/>
      <c r="C312" s="432"/>
      <c r="D312" s="145"/>
      <c r="E312" s="145"/>
      <c r="F312" s="145"/>
      <c r="G312" s="145"/>
      <c r="H312" s="190"/>
      <c r="I312" s="190"/>
      <c r="J312" s="190"/>
      <c r="K312" s="4"/>
    </row>
    <row r="313" spans="1:11" s="9" customFormat="1">
      <c r="A313" s="145"/>
      <c r="B313" s="190"/>
      <c r="C313" s="432"/>
      <c r="D313" s="145"/>
      <c r="E313" s="145"/>
      <c r="F313" s="145"/>
      <c r="G313" s="145"/>
      <c r="H313" s="190"/>
      <c r="I313" s="190"/>
      <c r="J313" s="190"/>
      <c r="K313" s="4"/>
    </row>
    <row r="314" spans="1:11" s="9" customFormat="1">
      <c r="A314" s="145"/>
      <c r="B314" s="190"/>
      <c r="C314" s="432"/>
      <c r="D314" s="145"/>
      <c r="E314" s="145"/>
      <c r="F314" s="145"/>
      <c r="G314" s="145"/>
      <c r="H314" s="190"/>
      <c r="I314" s="190"/>
      <c r="J314" s="190"/>
      <c r="K314" s="4"/>
    </row>
    <row r="315" spans="1:11" s="9" customFormat="1">
      <c r="A315" s="145"/>
      <c r="B315" s="190"/>
      <c r="C315" s="432"/>
      <c r="D315" s="145"/>
      <c r="E315" s="145"/>
      <c r="F315" s="145"/>
      <c r="G315" s="145"/>
      <c r="H315" s="190"/>
      <c r="I315" s="190"/>
      <c r="J315" s="190"/>
      <c r="K315" s="4"/>
    </row>
    <row r="316" spans="1:11" s="9" customFormat="1">
      <c r="A316" s="145"/>
      <c r="B316" s="190"/>
      <c r="C316" s="432"/>
      <c r="D316" s="145"/>
      <c r="E316" s="145"/>
      <c r="F316" s="145"/>
      <c r="G316" s="145"/>
      <c r="H316" s="190"/>
      <c r="I316" s="190"/>
      <c r="J316" s="190"/>
      <c r="K316" s="4"/>
    </row>
    <row r="317" spans="1:11" s="9" customFormat="1">
      <c r="A317" s="145"/>
      <c r="B317" s="190"/>
      <c r="C317" s="432"/>
      <c r="D317" s="145"/>
      <c r="E317" s="145"/>
      <c r="F317" s="145"/>
      <c r="G317" s="145"/>
      <c r="H317" s="190"/>
      <c r="I317" s="190"/>
      <c r="J317" s="190"/>
      <c r="K317" s="4"/>
    </row>
    <row r="318" spans="1:11" s="9" customFormat="1">
      <c r="A318" s="145"/>
      <c r="B318" s="190"/>
      <c r="C318" s="432"/>
      <c r="D318" s="145"/>
      <c r="E318" s="145"/>
      <c r="F318" s="145"/>
      <c r="G318" s="145"/>
      <c r="H318" s="190"/>
      <c r="I318" s="190"/>
      <c r="J318" s="190"/>
      <c r="K318" s="4"/>
    </row>
    <row r="319" spans="1:11" s="9" customFormat="1">
      <c r="A319" s="145"/>
      <c r="B319" s="190"/>
      <c r="C319" s="432"/>
      <c r="D319" s="145"/>
      <c r="E319" s="145"/>
      <c r="F319" s="145"/>
      <c r="G319" s="145"/>
      <c r="H319" s="190"/>
      <c r="I319" s="190"/>
      <c r="J319" s="190"/>
      <c r="K319" s="4"/>
    </row>
    <row r="320" spans="1:11" s="9" customFormat="1">
      <c r="A320" s="145"/>
      <c r="B320" s="190"/>
      <c r="C320" s="432"/>
      <c r="D320" s="145"/>
      <c r="E320" s="145"/>
      <c r="F320" s="145"/>
      <c r="G320" s="145"/>
      <c r="H320" s="190"/>
      <c r="I320" s="190"/>
      <c r="J320" s="190"/>
      <c r="K320" s="4"/>
    </row>
    <row r="321" spans="1:11" s="9" customFormat="1">
      <c r="A321" s="145"/>
      <c r="B321" s="190"/>
      <c r="C321" s="432"/>
      <c r="D321" s="145"/>
      <c r="E321" s="145"/>
      <c r="F321" s="145"/>
      <c r="G321" s="145"/>
      <c r="H321" s="190"/>
      <c r="I321" s="190"/>
      <c r="J321" s="190"/>
      <c r="K321" s="4"/>
    </row>
    <row r="322" spans="1:11" s="9" customFormat="1">
      <c r="A322" s="145"/>
      <c r="B322" s="190"/>
      <c r="C322" s="432"/>
      <c r="D322" s="145"/>
      <c r="E322" s="145"/>
      <c r="F322" s="145"/>
      <c r="G322" s="145"/>
      <c r="H322" s="190"/>
      <c r="I322" s="190"/>
      <c r="J322" s="190"/>
      <c r="K322" s="4"/>
    </row>
    <row r="323" spans="1:11" s="9" customFormat="1">
      <c r="A323" s="145"/>
      <c r="B323" s="190"/>
      <c r="C323" s="432"/>
      <c r="D323" s="145"/>
      <c r="E323" s="145"/>
      <c r="F323" s="145"/>
      <c r="G323" s="145"/>
      <c r="H323" s="190"/>
      <c r="I323" s="190"/>
      <c r="J323" s="190"/>
      <c r="K323" s="4"/>
    </row>
    <row r="324" spans="1:11" s="9" customFormat="1">
      <c r="A324" s="145"/>
      <c r="B324" s="190"/>
      <c r="C324" s="432"/>
      <c r="D324" s="145"/>
      <c r="E324" s="145"/>
      <c r="F324" s="145"/>
      <c r="G324" s="145"/>
      <c r="H324" s="190"/>
      <c r="I324" s="190"/>
      <c r="J324" s="190"/>
      <c r="K324" s="4"/>
    </row>
    <row r="325" spans="1:11" s="9" customFormat="1">
      <c r="A325" s="145"/>
      <c r="B325" s="190"/>
      <c r="C325" s="432"/>
      <c r="D325" s="145"/>
      <c r="E325" s="145"/>
      <c r="F325" s="145"/>
      <c r="G325" s="145"/>
      <c r="H325" s="190"/>
      <c r="I325" s="190"/>
      <c r="J325" s="190"/>
      <c r="K325" s="4"/>
    </row>
    <row r="326" spans="1:11" s="9" customFormat="1">
      <c r="A326" s="145"/>
      <c r="B326" s="190"/>
      <c r="C326" s="432"/>
      <c r="D326" s="145"/>
      <c r="E326" s="145"/>
      <c r="F326" s="145"/>
      <c r="G326" s="145"/>
      <c r="H326" s="190"/>
      <c r="I326" s="190"/>
      <c r="J326" s="190"/>
      <c r="K326" s="4"/>
    </row>
    <row r="327" spans="1:11" s="9" customFormat="1">
      <c r="A327" s="145"/>
      <c r="B327" s="190"/>
      <c r="C327" s="432"/>
      <c r="D327" s="145"/>
      <c r="E327" s="145"/>
      <c r="F327" s="145"/>
      <c r="G327" s="145"/>
      <c r="H327" s="190"/>
      <c r="I327" s="190"/>
      <c r="J327" s="190"/>
      <c r="K327" s="4"/>
    </row>
    <row r="328" spans="1:11" s="9" customFormat="1">
      <c r="A328" s="145"/>
      <c r="B328" s="190"/>
      <c r="C328" s="432"/>
      <c r="D328" s="145"/>
      <c r="E328" s="145"/>
      <c r="F328" s="145"/>
      <c r="G328" s="145"/>
      <c r="H328" s="190"/>
      <c r="I328" s="190"/>
      <c r="J328" s="190"/>
      <c r="K328" s="4"/>
    </row>
    <row r="329" spans="1:11" s="9" customFormat="1">
      <c r="A329" s="145"/>
      <c r="B329" s="190"/>
      <c r="C329" s="432"/>
      <c r="D329" s="145"/>
      <c r="E329" s="145"/>
      <c r="F329" s="145"/>
      <c r="G329" s="145"/>
      <c r="H329" s="190"/>
      <c r="I329" s="190"/>
      <c r="J329" s="190"/>
      <c r="K329" s="4"/>
    </row>
    <row r="330" spans="1:11" s="9" customFormat="1">
      <c r="A330" s="145"/>
      <c r="B330" s="190"/>
      <c r="C330" s="432"/>
      <c r="D330" s="145"/>
      <c r="E330" s="145"/>
      <c r="F330" s="145"/>
      <c r="G330" s="145"/>
      <c r="H330" s="190"/>
      <c r="I330" s="190"/>
      <c r="J330" s="190"/>
      <c r="K330" s="4"/>
    </row>
    <row r="331" spans="1:11" s="9" customFormat="1">
      <c r="A331" s="145"/>
      <c r="B331" s="190"/>
      <c r="C331" s="432"/>
      <c r="D331" s="145"/>
      <c r="E331" s="145"/>
      <c r="F331" s="145"/>
      <c r="G331" s="145"/>
      <c r="H331" s="190"/>
      <c r="I331" s="190"/>
      <c r="J331" s="190"/>
      <c r="K331" s="4"/>
    </row>
    <row r="332" spans="1:11" s="9" customFormat="1">
      <c r="A332" s="145"/>
      <c r="B332" s="190"/>
      <c r="C332" s="432"/>
      <c r="D332" s="145"/>
      <c r="E332" s="145"/>
      <c r="F332" s="145"/>
      <c r="G332" s="145"/>
      <c r="H332" s="190"/>
      <c r="I332" s="190"/>
      <c r="J332" s="190"/>
      <c r="K332" s="4"/>
    </row>
    <row r="333" spans="1:11" s="9" customFormat="1">
      <c r="A333" s="145"/>
      <c r="B333" s="190"/>
      <c r="C333" s="432"/>
      <c r="D333" s="145"/>
      <c r="E333" s="145"/>
      <c r="F333" s="145"/>
      <c r="G333" s="145"/>
      <c r="H333" s="190"/>
      <c r="I333" s="190"/>
      <c r="J333" s="190"/>
      <c r="K333" s="4"/>
    </row>
    <row r="334" spans="1:11" s="9" customFormat="1">
      <c r="A334" s="145"/>
      <c r="B334" s="190"/>
      <c r="C334" s="432"/>
      <c r="D334" s="145"/>
      <c r="E334" s="145"/>
      <c r="F334" s="145"/>
      <c r="G334" s="145"/>
      <c r="H334" s="190"/>
      <c r="I334" s="190"/>
      <c r="J334" s="190"/>
      <c r="K334" s="4"/>
    </row>
    <row r="335" spans="1:11" s="9" customFormat="1">
      <c r="A335" s="145"/>
      <c r="B335" s="190"/>
      <c r="C335" s="432"/>
      <c r="D335" s="145"/>
      <c r="E335" s="145"/>
      <c r="F335" s="145"/>
      <c r="G335" s="145"/>
      <c r="H335" s="190"/>
      <c r="I335" s="190"/>
      <c r="J335" s="190"/>
      <c r="K335" s="4"/>
    </row>
    <row r="336" spans="1:11" s="9" customFormat="1">
      <c r="A336" s="145"/>
      <c r="B336" s="190"/>
      <c r="C336" s="432"/>
      <c r="D336" s="145"/>
      <c r="E336" s="145"/>
      <c r="F336" s="145"/>
      <c r="G336" s="145"/>
      <c r="H336" s="190"/>
      <c r="I336" s="190"/>
      <c r="J336" s="190"/>
      <c r="K336" s="4"/>
    </row>
    <row r="337" spans="1:11" s="9" customFormat="1">
      <c r="A337" s="145"/>
      <c r="B337" s="190"/>
      <c r="C337" s="432"/>
      <c r="D337" s="145"/>
      <c r="E337" s="145"/>
      <c r="F337" s="145"/>
      <c r="G337" s="145"/>
      <c r="H337" s="190"/>
      <c r="I337" s="190"/>
      <c r="J337" s="190"/>
      <c r="K337" s="4"/>
    </row>
    <row r="338" spans="1:11" s="9" customFormat="1">
      <c r="A338" s="145"/>
      <c r="B338" s="190"/>
      <c r="C338" s="432"/>
      <c r="D338" s="145"/>
      <c r="E338" s="145"/>
      <c r="F338" s="145"/>
      <c r="G338" s="145"/>
      <c r="H338" s="190"/>
      <c r="I338" s="190"/>
      <c r="J338" s="190"/>
      <c r="K338" s="4"/>
    </row>
    <row r="339" spans="1:11" s="9" customFormat="1">
      <c r="A339" s="145"/>
      <c r="B339" s="190"/>
      <c r="C339" s="432"/>
      <c r="D339" s="145"/>
      <c r="E339" s="145"/>
      <c r="F339" s="145"/>
      <c r="G339" s="145"/>
      <c r="H339" s="190"/>
      <c r="I339" s="190"/>
      <c r="J339" s="190"/>
      <c r="K339" s="4"/>
    </row>
    <row r="340" spans="1:11" s="9" customFormat="1">
      <c r="A340" s="145"/>
      <c r="B340" s="190"/>
      <c r="C340" s="432"/>
      <c r="D340" s="145"/>
      <c r="E340" s="145"/>
      <c r="F340" s="145"/>
      <c r="G340" s="145"/>
      <c r="H340" s="190"/>
      <c r="I340" s="190"/>
      <c r="J340" s="190"/>
      <c r="K340" s="4"/>
    </row>
    <row r="341" spans="1:11" s="9" customFormat="1">
      <c r="A341" s="145"/>
      <c r="B341" s="190"/>
      <c r="C341" s="432"/>
      <c r="D341" s="145"/>
      <c r="E341" s="145"/>
      <c r="F341" s="145"/>
      <c r="G341" s="145"/>
      <c r="H341" s="190"/>
      <c r="I341" s="190"/>
      <c r="J341" s="190"/>
      <c r="K341" s="4"/>
    </row>
    <row r="342" spans="1:11" s="9" customFormat="1">
      <c r="A342" s="145"/>
      <c r="B342" s="190"/>
      <c r="C342" s="432"/>
      <c r="D342" s="145"/>
      <c r="E342" s="145"/>
      <c r="F342" s="145"/>
      <c r="G342" s="145"/>
      <c r="H342" s="190"/>
      <c r="I342" s="190"/>
      <c r="J342" s="190"/>
      <c r="K342" s="4"/>
    </row>
    <row r="343" spans="1:11" s="9" customFormat="1">
      <c r="A343" s="145"/>
      <c r="B343" s="190"/>
      <c r="C343" s="432"/>
      <c r="D343" s="145"/>
      <c r="E343" s="145"/>
      <c r="F343" s="145"/>
      <c r="G343" s="145"/>
      <c r="H343" s="190"/>
      <c r="I343" s="190"/>
      <c r="J343" s="190"/>
      <c r="K343" s="4"/>
    </row>
    <row r="344" spans="1:11" s="9" customFormat="1">
      <c r="A344" s="145"/>
      <c r="B344" s="190"/>
      <c r="C344" s="432"/>
      <c r="D344" s="145"/>
      <c r="E344" s="145"/>
      <c r="F344" s="145"/>
      <c r="G344" s="145"/>
      <c r="H344" s="190"/>
      <c r="I344" s="190"/>
      <c r="J344" s="190"/>
      <c r="K344" s="4"/>
    </row>
    <row r="345" spans="1:11" s="9" customFormat="1">
      <c r="A345" s="145"/>
      <c r="B345" s="190"/>
      <c r="C345" s="432"/>
      <c r="D345" s="145"/>
      <c r="E345" s="145"/>
      <c r="F345" s="145"/>
      <c r="G345" s="145"/>
      <c r="H345" s="190"/>
      <c r="I345" s="190"/>
      <c r="J345" s="190"/>
      <c r="K345" s="4"/>
    </row>
    <row r="346" spans="1:11" s="9" customFormat="1">
      <c r="A346" s="145"/>
      <c r="B346" s="190"/>
      <c r="C346" s="432"/>
      <c r="D346" s="145"/>
      <c r="E346" s="145"/>
      <c r="F346" s="145"/>
      <c r="G346" s="145"/>
      <c r="H346" s="190"/>
      <c r="I346" s="190"/>
      <c r="J346" s="190"/>
      <c r="K346" s="4"/>
    </row>
    <row r="347" spans="1:11" s="9" customFormat="1">
      <c r="A347" s="145"/>
      <c r="B347" s="190"/>
      <c r="C347" s="432"/>
      <c r="D347" s="145"/>
      <c r="E347" s="145"/>
      <c r="F347" s="145"/>
      <c r="G347" s="145"/>
      <c r="H347" s="190"/>
      <c r="I347" s="190"/>
      <c r="J347" s="190"/>
      <c r="K347" s="4"/>
    </row>
    <row r="348" spans="1:11" s="9" customFormat="1">
      <c r="A348" s="145"/>
      <c r="B348" s="190"/>
      <c r="C348" s="432"/>
      <c r="D348" s="145"/>
      <c r="E348" s="145"/>
      <c r="F348" s="145"/>
      <c r="G348" s="145"/>
      <c r="H348" s="190"/>
      <c r="I348" s="190"/>
      <c r="J348" s="190"/>
      <c r="K348" s="4"/>
    </row>
    <row r="349" spans="1:11" s="9" customFormat="1">
      <c r="A349" s="145"/>
      <c r="B349" s="190"/>
      <c r="C349" s="432"/>
      <c r="D349" s="145"/>
      <c r="E349" s="145"/>
      <c r="F349" s="145"/>
      <c r="G349" s="145"/>
      <c r="H349" s="190"/>
      <c r="I349" s="190"/>
      <c r="J349" s="190"/>
      <c r="K349" s="4"/>
    </row>
    <row r="350" spans="1:11" s="9" customFormat="1">
      <c r="A350" s="145"/>
      <c r="B350" s="190"/>
      <c r="C350" s="432"/>
      <c r="D350" s="145"/>
      <c r="E350" s="145"/>
      <c r="F350" s="145"/>
      <c r="G350" s="145"/>
      <c r="H350" s="190"/>
      <c r="I350" s="190"/>
      <c r="J350" s="190"/>
      <c r="K350" s="4"/>
    </row>
    <row r="351" spans="1:11" s="9" customFormat="1">
      <c r="A351" s="145"/>
      <c r="B351" s="190"/>
      <c r="C351" s="432"/>
      <c r="D351" s="145"/>
      <c r="E351" s="145"/>
      <c r="F351" s="145"/>
      <c r="G351" s="145"/>
      <c r="H351" s="190"/>
      <c r="I351" s="190"/>
      <c r="J351" s="190"/>
      <c r="K351" s="4"/>
    </row>
    <row r="352" spans="1:11" s="9" customFormat="1">
      <c r="A352" s="145"/>
      <c r="B352" s="190"/>
      <c r="C352" s="432"/>
      <c r="D352" s="145"/>
      <c r="E352" s="145"/>
      <c r="F352" s="145"/>
      <c r="G352" s="145"/>
      <c r="H352" s="190"/>
      <c r="I352" s="190"/>
      <c r="J352" s="190"/>
      <c r="K352" s="4"/>
    </row>
    <row r="353" spans="1:11" s="9" customFormat="1">
      <c r="A353" s="145"/>
      <c r="B353" s="190"/>
      <c r="C353" s="432"/>
      <c r="D353" s="145"/>
      <c r="E353" s="145"/>
      <c r="F353" s="145"/>
      <c r="G353" s="145"/>
      <c r="H353" s="190"/>
      <c r="I353" s="190"/>
      <c r="J353" s="190"/>
      <c r="K353" s="4"/>
    </row>
    <row r="354" spans="1:11" s="9" customFormat="1">
      <c r="A354" s="145"/>
      <c r="B354" s="190"/>
      <c r="C354" s="432"/>
      <c r="D354" s="145"/>
      <c r="E354" s="145"/>
      <c r="F354" s="145"/>
      <c r="G354" s="145"/>
      <c r="H354" s="190"/>
      <c r="I354" s="190"/>
      <c r="J354" s="190"/>
      <c r="K354" s="4"/>
    </row>
    <row r="355" spans="1:11" s="9" customFormat="1">
      <c r="A355" s="145"/>
      <c r="B355" s="190"/>
      <c r="C355" s="432"/>
      <c r="D355" s="145"/>
      <c r="E355" s="145"/>
      <c r="F355" s="145"/>
      <c r="G355" s="145"/>
      <c r="H355" s="190"/>
      <c r="I355" s="190"/>
      <c r="J355" s="190"/>
      <c r="K355" s="4"/>
    </row>
    <row r="356" spans="1:11" s="9" customFormat="1">
      <c r="A356" s="145"/>
      <c r="B356" s="190"/>
      <c r="C356" s="432"/>
      <c r="D356" s="145"/>
      <c r="E356" s="145"/>
      <c r="F356" s="145"/>
      <c r="G356" s="145"/>
      <c r="H356" s="190"/>
      <c r="I356" s="190"/>
      <c r="J356" s="190"/>
      <c r="K356" s="4"/>
    </row>
    <row r="357" spans="1:11" s="9" customFormat="1">
      <c r="A357" s="145"/>
      <c r="B357" s="190"/>
      <c r="C357" s="432"/>
      <c r="D357" s="145"/>
      <c r="E357" s="145"/>
      <c r="F357" s="145"/>
      <c r="G357" s="145"/>
      <c r="H357" s="190"/>
      <c r="I357" s="190"/>
      <c r="J357" s="190"/>
      <c r="K357" s="4"/>
    </row>
    <row r="358" spans="1:11" s="9" customFormat="1">
      <c r="A358" s="145"/>
      <c r="B358" s="190"/>
      <c r="C358" s="432"/>
      <c r="D358" s="145"/>
      <c r="E358" s="145"/>
      <c r="F358" s="145"/>
      <c r="G358" s="145"/>
      <c r="H358" s="190"/>
      <c r="I358" s="190"/>
      <c r="J358" s="190"/>
      <c r="K358" s="4"/>
    </row>
    <row r="359" spans="1:11" s="9" customFormat="1">
      <c r="A359" s="145"/>
      <c r="B359" s="190"/>
      <c r="C359" s="432"/>
      <c r="D359" s="145"/>
      <c r="E359" s="145"/>
      <c r="F359" s="145"/>
      <c r="G359" s="145"/>
      <c r="H359" s="190"/>
      <c r="I359" s="190"/>
      <c r="J359" s="190"/>
      <c r="K359" s="4"/>
    </row>
    <row r="360" spans="1:11" s="9" customFormat="1">
      <c r="A360" s="145"/>
      <c r="B360" s="190"/>
      <c r="C360" s="432"/>
      <c r="D360" s="145"/>
      <c r="E360" s="145"/>
      <c r="F360" s="145"/>
      <c r="G360" s="145"/>
      <c r="H360" s="190"/>
      <c r="I360" s="190"/>
      <c r="J360" s="190"/>
      <c r="K360" s="4"/>
    </row>
    <row r="361" spans="1:11" s="9" customFormat="1">
      <c r="A361" s="145"/>
      <c r="B361" s="190"/>
      <c r="C361" s="432"/>
      <c r="D361" s="145"/>
      <c r="E361" s="145"/>
      <c r="F361" s="145"/>
      <c r="G361" s="145"/>
      <c r="H361" s="190"/>
      <c r="I361" s="190"/>
      <c r="J361" s="190"/>
      <c r="K361" s="4"/>
    </row>
    <row r="362" spans="1:11" s="9" customFormat="1">
      <c r="A362" s="145"/>
      <c r="B362" s="190"/>
      <c r="C362" s="432"/>
      <c r="D362" s="145"/>
      <c r="E362" s="145"/>
      <c r="F362" s="145"/>
      <c r="G362" s="145"/>
      <c r="H362" s="190"/>
      <c r="I362" s="190"/>
      <c r="J362" s="190"/>
      <c r="K362" s="4"/>
    </row>
    <row r="363" spans="1:11" s="9" customFormat="1">
      <c r="A363" s="145"/>
      <c r="B363" s="190"/>
      <c r="C363" s="432"/>
      <c r="D363" s="145"/>
      <c r="E363" s="145"/>
      <c r="F363" s="145"/>
      <c r="G363" s="145"/>
      <c r="H363" s="190"/>
      <c r="I363" s="190"/>
      <c r="J363" s="190"/>
      <c r="K363" s="4"/>
    </row>
    <row r="364" spans="1:11" s="9" customFormat="1">
      <c r="A364" s="145"/>
      <c r="B364" s="190"/>
      <c r="C364" s="432"/>
      <c r="D364" s="145"/>
      <c r="E364" s="145"/>
      <c r="F364" s="145"/>
      <c r="G364" s="145"/>
      <c r="H364" s="190"/>
      <c r="I364" s="190"/>
      <c r="J364" s="190"/>
      <c r="K364" s="4"/>
    </row>
    <row r="365" spans="1:11" s="9" customFormat="1">
      <c r="A365" s="145"/>
      <c r="B365" s="190"/>
      <c r="C365" s="432"/>
      <c r="D365" s="145"/>
      <c r="E365" s="145"/>
      <c r="F365" s="145"/>
      <c r="G365" s="145"/>
      <c r="H365" s="190"/>
      <c r="I365" s="190"/>
      <c r="J365" s="190"/>
      <c r="K365" s="4"/>
    </row>
    <row r="366" spans="1:11" s="9" customFormat="1">
      <c r="A366" s="145"/>
      <c r="B366" s="190"/>
      <c r="C366" s="432"/>
      <c r="D366" s="145"/>
      <c r="E366" s="145"/>
      <c r="F366" s="145"/>
      <c r="G366" s="145"/>
      <c r="H366" s="190"/>
      <c r="I366" s="190"/>
      <c r="J366" s="190"/>
      <c r="K366" s="4"/>
    </row>
    <row r="367" spans="1:11" s="9" customFormat="1">
      <c r="A367" s="145"/>
      <c r="B367" s="190"/>
      <c r="C367" s="432"/>
      <c r="D367" s="145"/>
      <c r="E367" s="145"/>
      <c r="F367" s="145"/>
      <c r="G367" s="145"/>
      <c r="H367" s="190"/>
      <c r="I367" s="190"/>
      <c r="J367" s="190"/>
      <c r="K367" s="4"/>
    </row>
    <row r="368" spans="1:11" s="9" customFormat="1">
      <c r="A368" s="145"/>
      <c r="B368" s="190"/>
      <c r="C368" s="432"/>
      <c r="D368" s="145"/>
      <c r="E368" s="145"/>
      <c r="F368" s="145"/>
      <c r="G368" s="145"/>
      <c r="H368" s="190"/>
      <c r="I368" s="190"/>
      <c r="J368" s="190"/>
      <c r="K368" s="4"/>
    </row>
    <row r="369" spans="1:11" s="9" customFormat="1">
      <c r="A369" s="145"/>
      <c r="B369" s="190"/>
      <c r="C369" s="432"/>
      <c r="D369" s="145"/>
      <c r="E369" s="145"/>
      <c r="F369" s="145"/>
      <c r="G369" s="145"/>
      <c r="H369" s="190"/>
      <c r="I369" s="190"/>
      <c r="J369" s="190"/>
      <c r="K369" s="4"/>
    </row>
    <row r="370" spans="1:11" s="9" customFormat="1">
      <c r="A370" s="145"/>
      <c r="B370" s="190"/>
      <c r="C370" s="432"/>
      <c r="D370" s="145"/>
      <c r="E370" s="145"/>
      <c r="F370" s="145"/>
      <c r="G370" s="145"/>
      <c r="H370" s="190"/>
      <c r="I370" s="190"/>
      <c r="J370" s="190"/>
      <c r="K370" s="4"/>
    </row>
    <row r="371" spans="1:11" s="9" customFormat="1">
      <c r="A371" s="145"/>
      <c r="B371" s="190"/>
      <c r="C371" s="432"/>
      <c r="D371" s="145"/>
      <c r="E371" s="145"/>
      <c r="F371" s="145"/>
      <c r="G371" s="145"/>
      <c r="H371" s="190"/>
      <c r="I371" s="190"/>
      <c r="J371" s="190"/>
      <c r="K371" s="4"/>
    </row>
    <row r="372" spans="1:11" s="9" customFormat="1">
      <c r="A372" s="145"/>
      <c r="B372" s="190"/>
      <c r="C372" s="432"/>
      <c r="D372" s="145"/>
      <c r="E372" s="145"/>
      <c r="F372" s="145"/>
      <c r="G372" s="145"/>
      <c r="H372" s="190"/>
      <c r="I372" s="190"/>
      <c r="J372" s="190"/>
      <c r="K372" s="4"/>
    </row>
    <row r="373" spans="1:11" s="9" customFormat="1">
      <c r="A373" s="145"/>
      <c r="B373" s="190"/>
      <c r="C373" s="432"/>
      <c r="D373" s="145"/>
      <c r="E373" s="145"/>
      <c r="F373" s="145"/>
      <c r="G373" s="145"/>
      <c r="H373" s="190"/>
      <c r="I373" s="190"/>
      <c r="J373" s="190"/>
      <c r="K373" s="4"/>
    </row>
    <row r="374" spans="1:11" s="9" customFormat="1">
      <c r="A374" s="145"/>
      <c r="B374" s="190"/>
      <c r="C374" s="432"/>
      <c r="D374" s="145"/>
      <c r="E374" s="145"/>
      <c r="F374" s="145"/>
      <c r="G374" s="145"/>
      <c r="H374" s="190"/>
      <c r="I374" s="190"/>
      <c r="J374" s="190"/>
      <c r="K374" s="4"/>
    </row>
    <row r="375" spans="1:11" s="9" customFormat="1">
      <c r="A375" s="145"/>
      <c r="B375" s="190"/>
      <c r="C375" s="432"/>
      <c r="D375" s="145"/>
      <c r="E375" s="145"/>
      <c r="F375" s="145"/>
      <c r="G375" s="145"/>
      <c r="H375" s="190"/>
      <c r="I375" s="190"/>
      <c r="J375" s="190"/>
      <c r="K375" s="4"/>
    </row>
    <row r="376" spans="1:11" s="9" customFormat="1">
      <c r="A376" s="145"/>
      <c r="B376" s="190"/>
      <c r="C376" s="432"/>
      <c r="D376" s="145"/>
      <c r="E376" s="145"/>
      <c r="F376" s="145"/>
      <c r="G376" s="145"/>
      <c r="H376" s="190"/>
      <c r="I376" s="190"/>
      <c r="J376" s="190"/>
      <c r="K376" s="4"/>
    </row>
    <row r="377" spans="1:11" s="9" customFormat="1">
      <c r="A377" s="145"/>
      <c r="B377" s="190"/>
      <c r="C377" s="432"/>
      <c r="D377" s="145"/>
      <c r="E377" s="145"/>
      <c r="F377" s="145"/>
      <c r="G377" s="145"/>
      <c r="H377" s="190"/>
      <c r="I377" s="190"/>
      <c r="J377" s="190"/>
      <c r="K377" s="4"/>
    </row>
    <row r="378" spans="1:11" s="9" customFormat="1">
      <c r="A378" s="145"/>
      <c r="B378" s="190"/>
      <c r="C378" s="432"/>
      <c r="D378" s="145"/>
      <c r="E378" s="145"/>
      <c r="F378" s="145"/>
      <c r="G378" s="145"/>
      <c r="H378" s="190"/>
      <c r="I378" s="190"/>
      <c r="J378" s="190"/>
      <c r="K378" s="4"/>
    </row>
    <row r="379" spans="1:11" s="9" customFormat="1">
      <c r="A379" s="145"/>
      <c r="B379" s="190"/>
      <c r="C379" s="432"/>
      <c r="D379" s="145"/>
      <c r="E379" s="145"/>
      <c r="F379" s="145"/>
      <c r="G379" s="145"/>
      <c r="H379" s="190"/>
      <c r="I379" s="190"/>
      <c r="J379" s="190"/>
      <c r="K379" s="4"/>
    </row>
    <row r="380" spans="1:11" s="9" customFormat="1">
      <c r="A380" s="145"/>
      <c r="B380" s="190"/>
      <c r="C380" s="432"/>
      <c r="D380" s="145"/>
      <c r="E380" s="145"/>
      <c r="F380" s="145"/>
      <c r="G380" s="145"/>
      <c r="H380" s="190"/>
      <c r="I380" s="190"/>
      <c r="J380" s="190"/>
      <c r="K380" s="4"/>
    </row>
    <row r="381" spans="1:11" s="9" customFormat="1">
      <c r="A381" s="145"/>
      <c r="B381" s="190"/>
      <c r="C381" s="432"/>
      <c r="D381" s="145"/>
      <c r="E381" s="145"/>
      <c r="F381" s="145"/>
      <c r="G381" s="145"/>
      <c r="H381" s="190"/>
      <c r="I381" s="190"/>
      <c r="J381" s="190"/>
      <c r="K381" s="4"/>
    </row>
    <row r="382" spans="1:11" s="9" customFormat="1">
      <c r="A382" s="145"/>
      <c r="B382" s="190"/>
      <c r="C382" s="432"/>
      <c r="D382" s="145"/>
      <c r="E382" s="145"/>
      <c r="F382" s="145"/>
      <c r="G382" s="145"/>
      <c r="H382" s="190"/>
      <c r="I382" s="190"/>
      <c r="J382" s="190"/>
      <c r="K382" s="4"/>
    </row>
    <row r="383" spans="1:11" s="9" customFormat="1">
      <c r="A383" s="145"/>
      <c r="B383" s="190"/>
      <c r="C383" s="432"/>
      <c r="D383" s="145"/>
      <c r="E383" s="145"/>
      <c r="F383" s="145"/>
      <c r="G383" s="145"/>
      <c r="H383" s="190"/>
      <c r="I383" s="190"/>
      <c r="J383" s="190"/>
      <c r="K383" s="4"/>
    </row>
    <row r="384" spans="1:11" s="9" customFormat="1">
      <c r="A384" s="145"/>
      <c r="B384" s="190"/>
      <c r="C384" s="432"/>
      <c r="D384" s="145"/>
      <c r="E384" s="145"/>
      <c r="F384" s="145"/>
      <c r="G384" s="145"/>
      <c r="H384" s="190"/>
      <c r="I384" s="190"/>
      <c r="J384" s="190"/>
      <c r="K384" s="4"/>
    </row>
    <row r="385" spans="1:11" s="9" customFormat="1">
      <c r="A385" s="145"/>
      <c r="B385" s="190"/>
      <c r="C385" s="432"/>
      <c r="D385" s="145"/>
      <c r="E385" s="145"/>
      <c r="F385" s="145"/>
      <c r="G385" s="145"/>
      <c r="H385" s="190"/>
      <c r="I385" s="190"/>
      <c r="J385" s="190"/>
      <c r="K385" s="4"/>
    </row>
    <row r="386" spans="1:11" s="9" customFormat="1">
      <c r="A386" s="145"/>
      <c r="B386" s="190"/>
      <c r="C386" s="432"/>
      <c r="D386" s="145"/>
      <c r="E386" s="145"/>
      <c r="F386" s="145"/>
      <c r="G386" s="145"/>
      <c r="H386" s="190"/>
      <c r="I386" s="190"/>
      <c r="J386" s="190"/>
      <c r="K386" s="4"/>
    </row>
    <row r="387" spans="1:11" s="9" customFormat="1">
      <c r="A387" s="145"/>
      <c r="B387" s="190"/>
      <c r="C387" s="432"/>
      <c r="D387" s="145"/>
      <c r="E387" s="145"/>
      <c r="F387" s="145"/>
      <c r="G387" s="145"/>
      <c r="H387" s="190"/>
      <c r="I387" s="190"/>
      <c r="J387" s="190"/>
      <c r="K387" s="4"/>
    </row>
    <row r="388" spans="1:11" s="9" customFormat="1">
      <c r="A388" s="145"/>
      <c r="B388" s="190"/>
      <c r="C388" s="432"/>
      <c r="D388" s="145"/>
      <c r="E388" s="145"/>
      <c r="F388" s="145"/>
      <c r="G388" s="145"/>
      <c r="H388" s="190"/>
      <c r="I388" s="190"/>
      <c r="J388" s="190"/>
      <c r="K388" s="4"/>
    </row>
    <row r="389" spans="1:11" s="9" customFormat="1">
      <c r="A389" s="145"/>
      <c r="B389" s="190"/>
      <c r="C389" s="432"/>
      <c r="D389" s="145"/>
      <c r="E389" s="145"/>
      <c r="F389" s="145"/>
      <c r="G389" s="145"/>
      <c r="H389" s="190"/>
      <c r="I389" s="190"/>
      <c r="J389" s="190"/>
      <c r="K389" s="4"/>
    </row>
    <row r="390" spans="1:11" s="9" customFormat="1">
      <c r="A390" s="145"/>
      <c r="B390" s="190"/>
      <c r="C390" s="432"/>
      <c r="D390" s="145"/>
      <c r="E390" s="145"/>
      <c r="F390" s="145"/>
      <c r="G390" s="145"/>
      <c r="H390" s="190"/>
      <c r="I390" s="190"/>
      <c r="J390" s="190"/>
      <c r="K390" s="4"/>
    </row>
    <row r="391" spans="1:11" s="9" customFormat="1">
      <c r="A391" s="145"/>
      <c r="B391" s="190"/>
      <c r="C391" s="432"/>
      <c r="D391" s="145"/>
      <c r="E391" s="145"/>
      <c r="F391" s="145"/>
      <c r="G391" s="145"/>
      <c r="H391" s="190"/>
      <c r="I391" s="190"/>
      <c r="J391" s="190"/>
      <c r="K391" s="4"/>
    </row>
    <row r="392" spans="1:11" s="9" customFormat="1">
      <c r="A392" s="145"/>
      <c r="B392" s="190"/>
      <c r="C392" s="432"/>
      <c r="D392" s="145"/>
      <c r="E392" s="145"/>
      <c r="F392" s="145"/>
      <c r="G392" s="145"/>
      <c r="H392" s="190"/>
      <c r="I392" s="190"/>
      <c r="J392" s="190"/>
      <c r="K392" s="4"/>
    </row>
    <row r="393" spans="1:11" s="9" customFormat="1">
      <c r="A393" s="145"/>
      <c r="B393" s="190"/>
      <c r="C393" s="432"/>
      <c r="D393" s="145"/>
      <c r="E393" s="145"/>
      <c r="F393" s="145"/>
      <c r="G393" s="145"/>
      <c r="H393" s="190"/>
      <c r="I393" s="190"/>
      <c r="J393" s="190"/>
      <c r="K393" s="4"/>
    </row>
    <row r="394" spans="1:11" s="9" customFormat="1">
      <c r="A394" s="145"/>
      <c r="B394" s="190"/>
      <c r="C394" s="432"/>
      <c r="D394" s="145"/>
      <c r="E394" s="145"/>
      <c r="F394" s="145"/>
      <c r="G394" s="145"/>
      <c r="H394" s="190"/>
      <c r="I394" s="190"/>
      <c r="J394" s="190"/>
      <c r="K394" s="4"/>
    </row>
    <row r="395" spans="1:11" s="9" customFormat="1">
      <c r="A395" s="145"/>
      <c r="B395" s="190"/>
      <c r="C395" s="432"/>
      <c r="D395" s="145"/>
      <c r="E395" s="145"/>
      <c r="F395" s="145"/>
      <c r="G395" s="145"/>
      <c r="H395" s="190"/>
      <c r="I395" s="190"/>
      <c r="J395" s="190"/>
      <c r="K395" s="4"/>
    </row>
    <row r="396" spans="1:11" s="9" customFormat="1">
      <c r="A396" s="145"/>
      <c r="B396" s="190"/>
      <c r="C396" s="432"/>
      <c r="D396" s="145"/>
      <c r="E396" s="145"/>
      <c r="F396" s="145"/>
      <c r="G396" s="145"/>
      <c r="H396" s="190"/>
      <c r="I396" s="190"/>
      <c r="J396" s="190"/>
      <c r="K396" s="4"/>
    </row>
    <row r="397" spans="1:11" s="9" customFormat="1">
      <c r="A397" s="145"/>
      <c r="B397" s="190"/>
      <c r="C397" s="432"/>
      <c r="D397" s="145"/>
      <c r="E397" s="145"/>
      <c r="F397" s="145"/>
      <c r="G397" s="145"/>
      <c r="H397" s="190"/>
      <c r="I397" s="190"/>
      <c r="J397" s="190"/>
      <c r="K397" s="4"/>
    </row>
    <row r="398" spans="1:11" s="9" customFormat="1">
      <c r="A398" s="145"/>
      <c r="B398" s="190"/>
      <c r="C398" s="432"/>
      <c r="D398" s="145"/>
      <c r="E398" s="145"/>
      <c r="F398" s="145"/>
      <c r="G398" s="145"/>
      <c r="H398" s="190"/>
      <c r="I398" s="190"/>
      <c r="J398" s="190"/>
      <c r="K398" s="4"/>
    </row>
    <row r="399" spans="1:11" s="9" customFormat="1">
      <c r="A399" s="145"/>
      <c r="B399" s="190"/>
      <c r="C399" s="432"/>
      <c r="D399" s="145"/>
      <c r="E399" s="145"/>
      <c r="F399" s="145"/>
      <c r="G399" s="145"/>
      <c r="H399" s="190"/>
      <c r="I399" s="190"/>
      <c r="J399" s="190"/>
      <c r="K399" s="4"/>
    </row>
    <row r="400" spans="1:11" s="9" customFormat="1">
      <c r="A400" s="145"/>
      <c r="B400" s="190"/>
      <c r="C400" s="432"/>
      <c r="D400" s="145"/>
      <c r="E400" s="145"/>
      <c r="F400" s="145"/>
      <c r="G400" s="145"/>
      <c r="H400" s="190"/>
      <c r="I400" s="190"/>
      <c r="J400" s="190"/>
      <c r="K400" s="4"/>
    </row>
    <row r="401" spans="1:11" s="9" customFormat="1">
      <c r="A401" s="145"/>
      <c r="B401" s="190"/>
      <c r="C401" s="432"/>
      <c r="D401" s="145"/>
      <c r="E401" s="145"/>
      <c r="F401" s="145"/>
      <c r="G401" s="145"/>
      <c r="H401" s="190"/>
      <c r="I401" s="190"/>
      <c r="J401" s="190"/>
      <c r="K401" s="4"/>
    </row>
    <row r="402" spans="1:11" s="9" customFormat="1">
      <c r="A402" s="145"/>
      <c r="B402" s="190"/>
      <c r="C402" s="432"/>
      <c r="D402" s="145"/>
      <c r="E402" s="145"/>
      <c r="F402" s="145"/>
      <c r="G402" s="145"/>
      <c r="H402" s="190"/>
      <c r="I402" s="190"/>
      <c r="J402" s="190"/>
      <c r="K402" s="4"/>
    </row>
    <row r="403" spans="1:11" s="9" customFormat="1">
      <c r="A403" s="145"/>
      <c r="B403" s="190"/>
      <c r="C403" s="432"/>
      <c r="D403" s="145"/>
      <c r="E403" s="145"/>
      <c r="F403" s="145"/>
      <c r="G403" s="145"/>
      <c r="H403" s="190"/>
      <c r="I403" s="190"/>
      <c r="J403" s="190"/>
      <c r="K403" s="4"/>
    </row>
    <row r="404" spans="1:11" s="9" customFormat="1">
      <c r="A404" s="145"/>
      <c r="B404" s="190"/>
      <c r="C404" s="432"/>
      <c r="D404" s="145"/>
      <c r="E404" s="145"/>
      <c r="F404" s="145"/>
      <c r="G404" s="145"/>
      <c r="H404" s="190"/>
      <c r="I404" s="190"/>
      <c r="J404" s="190"/>
      <c r="K404" s="4"/>
    </row>
    <row r="405" spans="1:11" s="9" customFormat="1">
      <c r="A405" s="145"/>
      <c r="B405" s="190"/>
      <c r="C405" s="432"/>
      <c r="D405" s="145"/>
      <c r="E405" s="145"/>
      <c r="F405" s="145"/>
      <c r="G405" s="145"/>
      <c r="H405" s="190"/>
      <c r="I405" s="190"/>
      <c r="J405" s="190"/>
      <c r="K405" s="4"/>
    </row>
    <row r="406" spans="1:11" s="9" customFormat="1">
      <c r="A406" s="145"/>
      <c r="B406" s="190"/>
      <c r="C406" s="432"/>
      <c r="D406" s="145"/>
      <c r="E406" s="145"/>
      <c r="F406" s="145"/>
      <c r="G406" s="145"/>
      <c r="H406" s="190"/>
      <c r="I406" s="190"/>
      <c r="J406" s="190"/>
      <c r="K406" s="4"/>
    </row>
    <row r="407" spans="1:11" s="9" customFormat="1">
      <c r="A407" s="145"/>
      <c r="B407" s="190"/>
      <c r="C407" s="432"/>
      <c r="D407" s="145"/>
      <c r="E407" s="145"/>
      <c r="F407" s="145"/>
      <c r="G407" s="145"/>
      <c r="H407" s="190"/>
      <c r="I407" s="190"/>
      <c r="J407" s="190"/>
      <c r="K407" s="4"/>
    </row>
    <row r="408" spans="1:11" s="9" customFormat="1">
      <c r="A408" s="145"/>
      <c r="B408" s="190"/>
      <c r="C408" s="432"/>
      <c r="D408" s="145"/>
      <c r="E408" s="145"/>
      <c r="F408" s="145"/>
      <c r="G408" s="145"/>
      <c r="H408" s="190"/>
      <c r="I408" s="190"/>
      <c r="J408" s="190"/>
      <c r="K408" s="4"/>
    </row>
    <row r="409" spans="1:11" s="9" customFormat="1">
      <c r="A409" s="145"/>
      <c r="B409" s="190"/>
      <c r="C409" s="432"/>
      <c r="D409" s="145"/>
      <c r="E409" s="145"/>
      <c r="F409" s="145"/>
      <c r="G409" s="145"/>
      <c r="H409" s="190"/>
      <c r="I409" s="190"/>
      <c r="J409" s="190"/>
      <c r="K409" s="4"/>
    </row>
    <row r="410" spans="1:11" s="9" customFormat="1">
      <c r="A410" s="145"/>
      <c r="B410" s="190"/>
      <c r="C410" s="432"/>
      <c r="D410" s="145"/>
      <c r="E410" s="145"/>
      <c r="F410" s="145"/>
      <c r="G410" s="145"/>
      <c r="H410" s="190"/>
      <c r="I410" s="190"/>
      <c r="J410" s="190"/>
      <c r="K410" s="4"/>
    </row>
    <row r="411" spans="1:11" s="9" customFormat="1">
      <c r="A411" s="145"/>
      <c r="B411" s="190"/>
      <c r="C411" s="432"/>
      <c r="D411" s="145"/>
      <c r="E411" s="145"/>
      <c r="F411" s="145"/>
      <c r="G411" s="145"/>
      <c r="H411" s="190"/>
      <c r="I411" s="190"/>
      <c r="J411" s="190"/>
      <c r="K411" s="4"/>
    </row>
    <row r="412" spans="1:11" s="9" customFormat="1">
      <c r="A412" s="145"/>
      <c r="B412" s="190"/>
      <c r="C412" s="432"/>
      <c r="D412" s="145"/>
      <c r="E412" s="145"/>
      <c r="F412" s="145"/>
      <c r="G412" s="145"/>
      <c r="H412" s="190"/>
      <c r="I412" s="190"/>
      <c r="J412" s="190"/>
      <c r="K412" s="4"/>
    </row>
    <row r="413" spans="1:11" s="9" customFormat="1">
      <c r="A413" s="145"/>
      <c r="B413" s="190"/>
      <c r="C413" s="432"/>
      <c r="D413" s="145"/>
      <c r="E413" s="145"/>
      <c r="F413" s="145"/>
      <c r="G413" s="145"/>
      <c r="H413" s="190"/>
      <c r="I413" s="190"/>
      <c r="J413" s="190"/>
      <c r="K413" s="4"/>
    </row>
    <row r="414" spans="1:11" s="9" customFormat="1">
      <c r="A414" s="145"/>
      <c r="B414" s="190"/>
      <c r="C414" s="432"/>
      <c r="D414" s="145"/>
      <c r="E414" s="145"/>
      <c r="F414" s="145"/>
      <c r="G414" s="145"/>
      <c r="H414" s="190"/>
      <c r="I414" s="190"/>
      <c r="J414" s="190"/>
      <c r="K414" s="4"/>
    </row>
    <row r="415" spans="1:11" s="9" customFormat="1">
      <c r="A415" s="145"/>
      <c r="B415" s="190"/>
      <c r="C415" s="432"/>
      <c r="D415" s="145"/>
      <c r="E415" s="145"/>
      <c r="F415" s="145"/>
      <c r="G415" s="145"/>
      <c r="H415" s="190"/>
      <c r="I415" s="190"/>
      <c r="J415" s="190"/>
      <c r="K415" s="4"/>
    </row>
    <row r="416" spans="1:11" s="9" customFormat="1">
      <c r="A416" s="145"/>
      <c r="B416" s="190"/>
      <c r="C416" s="432"/>
      <c r="D416" s="145"/>
      <c r="E416" s="145"/>
      <c r="F416" s="145"/>
      <c r="G416" s="145"/>
      <c r="H416" s="190"/>
      <c r="I416" s="190"/>
      <c r="J416" s="190"/>
      <c r="K416" s="4"/>
    </row>
    <row r="417" spans="1:11" s="9" customFormat="1">
      <c r="A417" s="145"/>
      <c r="B417" s="190"/>
      <c r="C417" s="432"/>
      <c r="D417" s="145"/>
      <c r="E417" s="145"/>
      <c r="F417" s="145"/>
      <c r="G417" s="145"/>
      <c r="H417" s="190"/>
      <c r="I417" s="190"/>
      <c r="J417" s="190"/>
      <c r="K417" s="4"/>
    </row>
    <row r="418" spans="1:11" s="9" customFormat="1">
      <c r="A418" s="145"/>
      <c r="B418" s="190"/>
      <c r="C418" s="432"/>
      <c r="D418" s="145"/>
      <c r="E418" s="145"/>
      <c r="F418" s="145"/>
      <c r="G418" s="145"/>
      <c r="H418" s="190"/>
      <c r="I418" s="190"/>
      <c r="J418" s="190"/>
      <c r="K418" s="4"/>
    </row>
    <row r="419" spans="1:11" s="9" customFormat="1">
      <c r="A419" s="145"/>
      <c r="B419" s="190"/>
      <c r="C419" s="432"/>
      <c r="D419" s="145"/>
      <c r="E419" s="145"/>
      <c r="F419" s="145"/>
      <c r="G419" s="145"/>
      <c r="H419" s="190"/>
      <c r="I419" s="190"/>
      <c r="J419" s="190"/>
      <c r="K419" s="4"/>
    </row>
    <row r="420" spans="1:11" s="9" customFormat="1">
      <c r="A420" s="145"/>
      <c r="B420" s="190"/>
      <c r="C420" s="432"/>
      <c r="D420" s="145"/>
      <c r="E420" s="145"/>
      <c r="F420" s="145"/>
      <c r="G420" s="145"/>
      <c r="H420" s="190"/>
      <c r="I420" s="190"/>
      <c r="J420" s="190"/>
      <c r="K420" s="4"/>
    </row>
    <row r="421" spans="1:11" s="9" customFormat="1">
      <c r="A421" s="145"/>
      <c r="B421" s="190"/>
      <c r="C421" s="432"/>
      <c r="D421" s="145"/>
      <c r="E421" s="145"/>
      <c r="F421" s="145"/>
      <c r="G421" s="145"/>
      <c r="H421" s="190"/>
      <c r="I421" s="190"/>
      <c r="J421" s="190"/>
      <c r="K421" s="4"/>
    </row>
    <row r="422" spans="1:11" s="9" customFormat="1">
      <c r="A422" s="145"/>
      <c r="B422" s="190"/>
      <c r="C422" s="432"/>
      <c r="D422" s="145"/>
      <c r="E422" s="145"/>
      <c r="F422" s="145"/>
      <c r="G422" s="145"/>
      <c r="H422" s="190"/>
      <c r="I422" s="190"/>
      <c r="J422" s="190"/>
      <c r="K422" s="4"/>
    </row>
    <row r="423" spans="1:11" s="9" customFormat="1">
      <c r="A423" s="145"/>
      <c r="B423" s="190"/>
      <c r="C423" s="432"/>
      <c r="D423" s="145"/>
      <c r="E423" s="145"/>
      <c r="F423" s="145"/>
      <c r="G423" s="145"/>
      <c r="H423" s="190"/>
      <c r="I423" s="190"/>
      <c r="J423" s="190"/>
      <c r="K423" s="4"/>
    </row>
    <row r="424" spans="1:11" s="9" customFormat="1">
      <c r="A424" s="145"/>
      <c r="B424" s="190"/>
      <c r="C424" s="432"/>
      <c r="D424" s="145"/>
      <c r="E424" s="145"/>
      <c r="F424" s="145"/>
      <c r="G424" s="145"/>
      <c r="H424" s="190"/>
      <c r="I424" s="190"/>
      <c r="J424" s="190"/>
      <c r="K424" s="4"/>
    </row>
    <row r="425" spans="1:11" s="9" customFormat="1">
      <c r="A425" s="145"/>
      <c r="B425" s="190"/>
      <c r="C425" s="432"/>
      <c r="D425" s="145"/>
      <c r="E425" s="145"/>
      <c r="F425" s="145"/>
      <c r="G425" s="145"/>
      <c r="H425" s="190"/>
      <c r="I425" s="190"/>
      <c r="J425" s="190"/>
      <c r="K425" s="4"/>
    </row>
    <row r="426" spans="1:11" s="9" customFormat="1">
      <c r="A426" s="145"/>
      <c r="B426" s="190"/>
      <c r="C426" s="432"/>
      <c r="D426" s="145"/>
      <c r="E426" s="145"/>
      <c r="F426" s="145"/>
      <c r="G426" s="145"/>
      <c r="H426" s="190"/>
      <c r="I426" s="190"/>
      <c r="J426" s="190"/>
      <c r="K426" s="4"/>
    </row>
    <row r="427" spans="1:11" s="9" customFormat="1">
      <c r="A427" s="145"/>
      <c r="B427" s="190"/>
      <c r="C427" s="432"/>
      <c r="D427" s="145"/>
      <c r="E427" s="145"/>
      <c r="F427" s="145"/>
      <c r="G427" s="145"/>
      <c r="H427" s="190"/>
      <c r="I427" s="190"/>
      <c r="J427" s="190"/>
      <c r="K427" s="4"/>
    </row>
    <row r="428" spans="1:11" s="9" customFormat="1">
      <c r="A428" s="145"/>
      <c r="B428" s="190"/>
      <c r="C428" s="432"/>
      <c r="D428" s="145"/>
      <c r="E428" s="145"/>
      <c r="F428" s="145"/>
      <c r="G428" s="145"/>
      <c r="H428" s="190"/>
      <c r="I428" s="190"/>
      <c r="J428" s="190"/>
      <c r="K428" s="4"/>
    </row>
    <row r="429" spans="1:11" s="9" customFormat="1">
      <c r="A429" s="145"/>
      <c r="B429" s="190"/>
      <c r="C429" s="432"/>
      <c r="D429" s="145"/>
      <c r="E429" s="145"/>
      <c r="F429" s="145"/>
      <c r="G429" s="145"/>
      <c r="H429" s="190"/>
      <c r="I429" s="190"/>
      <c r="J429" s="190"/>
      <c r="K429" s="4"/>
    </row>
    <row r="430" spans="1:11" s="9" customFormat="1">
      <c r="A430" s="145"/>
      <c r="B430" s="190"/>
      <c r="C430" s="432"/>
      <c r="D430" s="145"/>
      <c r="E430" s="145"/>
      <c r="F430" s="145"/>
      <c r="G430" s="145"/>
      <c r="H430" s="190"/>
      <c r="I430" s="190"/>
      <c r="J430" s="190"/>
      <c r="K430" s="4"/>
    </row>
    <row r="431" spans="1:11" s="9" customFormat="1">
      <c r="A431" s="145"/>
      <c r="B431" s="190"/>
      <c r="C431" s="432"/>
      <c r="D431" s="145"/>
      <c r="E431" s="145"/>
      <c r="F431" s="145"/>
      <c r="G431" s="145"/>
      <c r="H431" s="190"/>
      <c r="I431" s="190"/>
      <c r="J431" s="190"/>
      <c r="K431" s="4"/>
    </row>
    <row r="432" spans="1:11" s="9" customFormat="1">
      <c r="A432" s="145"/>
      <c r="B432" s="190"/>
      <c r="C432" s="432"/>
      <c r="D432" s="145"/>
      <c r="E432" s="145"/>
      <c r="F432" s="145"/>
      <c r="G432" s="145"/>
      <c r="H432" s="190"/>
      <c r="I432" s="190"/>
      <c r="J432" s="190"/>
      <c r="K432" s="4"/>
    </row>
    <row r="433" spans="1:11" s="9" customFormat="1">
      <c r="A433" s="145"/>
      <c r="B433" s="190"/>
      <c r="C433" s="432"/>
      <c r="D433" s="145"/>
      <c r="E433" s="145"/>
      <c r="F433" s="145"/>
      <c r="G433" s="145"/>
      <c r="H433" s="190"/>
      <c r="I433" s="190"/>
      <c r="J433" s="190"/>
      <c r="K433" s="4"/>
    </row>
    <row r="434" spans="1:11" s="9" customFormat="1">
      <c r="A434" s="145"/>
      <c r="B434" s="190"/>
      <c r="C434" s="432"/>
      <c r="D434" s="145"/>
      <c r="E434" s="145"/>
      <c r="F434" s="145"/>
      <c r="G434" s="145"/>
      <c r="H434" s="190"/>
      <c r="I434" s="190"/>
      <c r="J434" s="190"/>
      <c r="K434" s="4"/>
    </row>
    <row r="435" spans="1:11" s="9" customFormat="1">
      <c r="A435" s="145"/>
      <c r="B435" s="190"/>
      <c r="C435" s="432"/>
      <c r="D435" s="145"/>
      <c r="E435" s="145"/>
      <c r="F435" s="145"/>
      <c r="G435" s="145"/>
      <c r="H435" s="190"/>
      <c r="I435" s="190"/>
      <c r="J435" s="190"/>
      <c r="K435" s="4"/>
    </row>
    <row r="436" spans="1:11" s="9" customFormat="1">
      <c r="A436" s="145"/>
      <c r="B436" s="190"/>
      <c r="C436" s="432"/>
      <c r="D436" s="145"/>
      <c r="E436" s="145"/>
      <c r="F436" s="145"/>
      <c r="G436" s="145"/>
      <c r="H436" s="190"/>
      <c r="I436" s="190"/>
      <c r="J436" s="190"/>
      <c r="K436" s="4"/>
    </row>
    <row r="437" spans="1:11" s="9" customFormat="1">
      <c r="A437" s="145"/>
      <c r="B437" s="190"/>
      <c r="C437" s="432"/>
      <c r="D437" s="145"/>
      <c r="E437" s="145"/>
      <c r="F437" s="145"/>
      <c r="G437" s="145"/>
      <c r="H437" s="190"/>
      <c r="I437" s="190"/>
      <c r="J437" s="190"/>
      <c r="K437" s="4"/>
    </row>
    <row r="438" spans="1:11" s="9" customFormat="1">
      <c r="A438" s="145"/>
      <c r="B438" s="190"/>
      <c r="C438" s="432"/>
      <c r="D438" s="145"/>
      <c r="E438" s="145"/>
      <c r="F438" s="145"/>
      <c r="G438" s="145"/>
      <c r="H438" s="190"/>
      <c r="I438" s="190"/>
      <c r="J438" s="190"/>
      <c r="K438" s="4"/>
    </row>
    <row r="439" spans="1:11" s="9" customFormat="1">
      <c r="A439" s="145"/>
      <c r="B439" s="190"/>
      <c r="C439" s="432"/>
      <c r="D439" s="145"/>
      <c r="E439" s="145"/>
      <c r="F439" s="145"/>
      <c r="G439" s="145"/>
      <c r="H439" s="190"/>
      <c r="I439" s="190"/>
      <c r="J439" s="190"/>
      <c r="K439" s="4"/>
    </row>
    <row r="440" spans="1:11" s="9" customFormat="1">
      <c r="A440" s="145"/>
      <c r="B440" s="190"/>
      <c r="C440" s="432"/>
      <c r="D440" s="145"/>
      <c r="E440" s="145"/>
      <c r="F440" s="145"/>
      <c r="G440" s="145"/>
      <c r="H440" s="190"/>
      <c r="I440" s="190"/>
      <c r="J440" s="190"/>
      <c r="K440" s="4"/>
    </row>
    <row r="441" spans="1:11" s="9" customFormat="1">
      <c r="A441" s="145"/>
      <c r="B441" s="190"/>
      <c r="C441" s="432"/>
      <c r="D441" s="145"/>
      <c r="E441" s="145"/>
      <c r="F441" s="145"/>
      <c r="G441" s="145"/>
      <c r="H441" s="190"/>
      <c r="I441" s="190"/>
      <c r="J441" s="190"/>
      <c r="K441" s="4"/>
    </row>
    <row r="442" spans="1:11" s="9" customFormat="1">
      <c r="A442" s="145"/>
      <c r="B442" s="190"/>
      <c r="C442" s="432"/>
      <c r="D442" s="145"/>
      <c r="E442" s="145"/>
      <c r="F442" s="145"/>
      <c r="G442" s="145"/>
      <c r="H442" s="190"/>
      <c r="I442" s="190"/>
      <c r="J442" s="190"/>
      <c r="K442" s="4"/>
    </row>
    <row r="443" spans="1:11" s="9" customFormat="1">
      <c r="A443" s="145"/>
      <c r="B443" s="190"/>
      <c r="C443" s="432"/>
      <c r="D443" s="145"/>
      <c r="E443" s="145"/>
      <c r="F443" s="145"/>
      <c r="G443" s="145"/>
      <c r="H443" s="190"/>
      <c r="I443" s="190"/>
      <c r="J443" s="190"/>
      <c r="K443" s="4"/>
    </row>
    <row r="444" spans="1:11" s="9" customFormat="1">
      <c r="A444" s="145"/>
      <c r="B444" s="190"/>
      <c r="C444" s="432"/>
      <c r="D444" s="145"/>
      <c r="E444" s="145"/>
      <c r="F444" s="145"/>
      <c r="G444" s="145"/>
      <c r="H444" s="190"/>
      <c r="I444" s="190"/>
      <c r="J444" s="190"/>
      <c r="K444" s="4"/>
    </row>
    <row r="445" spans="1:11" s="9" customFormat="1">
      <c r="A445" s="145"/>
      <c r="B445" s="190"/>
      <c r="C445" s="432"/>
      <c r="D445" s="145"/>
      <c r="E445" s="145"/>
      <c r="F445" s="145"/>
      <c r="G445" s="145"/>
      <c r="H445" s="190"/>
      <c r="I445" s="190"/>
      <c r="J445" s="190"/>
      <c r="K445" s="4"/>
    </row>
    <row r="446" spans="1:11" s="9" customFormat="1">
      <c r="A446" s="145"/>
      <c r="B446" s="190"/>
      <c r="C446" s="432"/>
      <c r="D446" s="145"/>
      <c r="E446" s="145"/>
      <c r="F446" s="145"/>
      <c r="G446" s="145"/>
      <c r="H446" s="190"/>
      <c r="I446" s="190"/>
      <c r="J446" s="190"/>
      <c r="K446" s="4"/>
    </row>
    <row r="447" spans="1:11" s="9" customFormat="1">
      <c r="A447" s="145"/>
      <c r="B447" s="190"/>
      <c r="C447" s="432"/>
      <c r="D447" s="145"/>
      <c r="E447" s="145"/>
      <c r="F447" s="145"/>
      <c r="G447" s="145"/>
      <c r="H447" s="190"/>
      <c r="I447" s="190"/>
      <c r="J447" s="190"/>
      <c r="K447" s="4"/>
    </row>
    <row r="448" spans="1:11" s="9" customFormat="1">
      <c r="A448" s="145"/>
      <c r="B448" s="190"/>
      <c r="C448" s="432"/>
      <c r="D448" s="145"/>
      <c r="E448" s="145"/>
      <c r="F448" s="145"/>
      <c r="G448" s="145"/>
      <c r="H448" s="190"/>
      <c r="I448" s="190"/>
      <c r="J448" s="190"/>
      <c r="K448" s="4"/>
    </row>
    <row r="449" spans="1:11" s="9" customFormat="1">
      <c r="A449" s="145"/>
      <c r="B449" s="190"/>
      <c r="C449" s="432"/>
      <c r="D449" s="145"/>
      <c r="E449" s="145"/>
      <c r="F449" s="145"/>
      <c r="G449" s="145"/>
      <c r="H449" s="190"/>
      <c r="I449" s="190"/>
      <c r="J449" s="190"/>
      <c r="K449" s="4"/>
    </row>
    <row r="450" spans="1:11" s="9" customFormat="1">
      <c r="A450" s="145"/>
      <c r="B450" s="190"/>
      <c r="C450" s="432"/>
      <c r="D450" s="145"/>
      <c r="E450" s="145"/>
      <c r="F450" s="145"/>
      <c r="G450" s="145"/>
      <c r="H450" s="190"/>
      <c r="I450" s="190"/>
      <c r="J450" s="190"/>
      <c r="K450" s="4"/>
    </row>
    <row r="451" spans="1:11" s="9" customFormat="1">
      <c r="A451" s="145"/>
      <c r="B451" s="190"/>
      <c r="C451" s="432"/>
      <c r="D451" s="145"/>
      <c r="E451" s="145"/>
      <c r="F451" s="145"/>
      <c r="G451" s="145"/>
      <c r="H451" s="190"/>
      <c r="I451" s="190"/>
      <c r="J451" s="190"/>
      <c r="K451" s="4"/>
    </row>
    <row r="452" spans="1:11" s="9" customFormat="1">
      <c r="A452" s="145"/>
      <c r="B452" s="190"/>
      <c r="C452" s="432"/>
      <c r="D452" s="145"/>
      <c r="E452" s="145"/>
      <c r="F452" s="145"/>
      <c r="G452" s="145"/>
      <c r="H452" s="190"/>
      <c r="I452" s="190"/>
      <c r="J452" s="190"/>
      <c r="K452" s="4"/>
    </row>
    <row r="453" spans="1:11" s="9" customFormat="1">
      <c r="A453" s="145"/>
      <c r="B453" s="190"/>
      <c r="C453" s="432"/>
      <c r="D453" s="145"/>
      <c r="E453" s="145"/>
      <c r="F453" s="145"/>
      <c r="G453" s="145"/>
      <c r="H453" s="190"/>
      <c r="I453" s="190"/>
      <c r="J453" s="190"/>
      <c r="K453" s="4"/>
    </row>
    <row r="454" spans="1:11" s="9" customFormat="1">
      <c r="A454" s="145"/>
      <c r="B454" s="190"/>
      <c r="C454" s="432"/>
      <c r="D454" s="145"/>
      <c r="E454" s="145"/>
      <c r="F454" s="145"/>
      <c r="G454" s="145"/>
      <c r="H454" s="190"/>
      <c r="I454" s="190"/>
      <c r="J454" s="190"/>
      <c r="K454" s="4"/>
    </row>
    <row r="455" spans="1:11" s="9" customFormat="1">
      <c r="A455" s="145"/>
      <c r="B455" s="190"/>
      <c r="C455" s="432"/>
      <c r="D455" s="145"/>
      <c r="E455" s="145"/>
      <c r="F455" s="145"/>
      <c r="G455" s="145"/>
      <c r="H455" s="190"/>
      <c r="I455" s="190"/>
      <c r="J455" s="190"/>
      <c r="K455" s="4"/>
    </row>
    <row r="456" spans="1:11" s="9" customFormat="1">
      <c r="A456" s="145"/>
      <c r="B456" s="190"/>
      <c r="C456" s="432"/>
      <c r="D456" s="145"/>
      <c r="E456" s="145"/>
      <c r="F456" s="145"/>
      <c r="G456" s="145"/>
      <c r="H456" s="190"/>
      <c r="I456" s="190"/>
      <c r="J456" s="190"/>
      <c r="K456" s="4"/>
    </row>
    <row r="457" spans="1:11" s="9" customFormat="1">
      <c r="A457" s="145"/>
      <c r="B457" s="190"/>
      <c r="C457" s="432"/>
      <c r="D457" s="145"/>
      <c r="E457" s="145"/>
      <c r="F457" s="145"/>
      <c r="G457" s="145"/>
      <c r="H457" s="190"/>
      <c r="I457" s="190"/>
      <c r="J457" s="190"/>
      <c r="K457" s="4"/>
    </row>
    <row r="458" spans="1:11" s="9" customFormat="1">
      <c r="A458" s="145"/>
      <c r="B458" s="190"/>
      <c r="C458" s="432"/>
      <c r="D458" s="145"/>
      <c r="E458" s="145"/>
      <c r="F458" s="145"/>
      <c r="G458" s="145"/>
      <c r="H458" s="190"/>
      <c r="I458" s="190"/>
      <c r="J458" s="190"/>
      <c r="K458" s="4"/>
    </row>
    <row r="459" spans="1:11" s="9" customFormat="1">
      <c r="A459" s="145"/>
      <c r="B459" s="190"/>
      <c r="C459" s="432"/>
      <c r="D459" s="145"/>
      <c r="E459" s="145"/>
      <c r="F459" s="145"/>
      <c r="G459" s="145"/>
      <c r="H459" s="190"/>
      <c r="I459" s="190"/>
      <c r="J459" s="190"/>
      <c r="K459" s="4"/>
    </row>
    <row r="460" spans="1:11" s="9" customFormat="1">
      <c r="A460" s="145"/>
      <c r="B460" s="190"/>
      <c r="C460" s="432"/>
      <c r="D460" s="145"/>
      <c r="E460" s="145"/>
      <c r="F460" s="145"/>
      <c r="G460" s="145"/>
      <c r="H460" s="190"/>
      <c r="I460" s="190"/>
      <c r="J460" s="190"/>
      <c r="K460" s="4"/>
    </row>
    <row r="461" spans="1:11" s="9" customFormat="1">
      <c r="A461" s="145"/>
      <c r="B461" s="190"/>
      <c r="C461" s="432"/>
      <c r="D461" s="145"/>
      <c r="E461" s="145"/>
      <c r="F461" s="145"/>
      <c r="G461" s="145"/>
      <c r="H461" s="190"/>
      <c r="I461" s="190"/>
      <c r="J461" s="190"/>
      <c r="K461" s="4"/>
    </row>
    <row r="462" spans="1:11" s="9" customFormat="1">
      <c r="A462" s="145"/>
      <c r="B462" s="190"/>
      <c r="C462" s="432"/>
      <c r="D462" s="145"/>
      <c r="E462" s="145"/>
      <c r="F462" s="145"/>
      <c r="G462" s="145"/>
      <c r="H462" s="190"/>
      <c r="I462" s="190"/>
      <c r="J462" s="190"/>
      <c r="K462" s="4"/>
    </row>
    <row r="463" spans="1:11" s="9" customFormat="1">
      <c r="A463" s="145"/>
      <c r="B463" s="190"/>
      <c r="C463" s="432"/>
      <c r="D463" s="145"/>
      <c r="E463" s="145"/>
      <c r="F463" s="145"/>
      <c r="G463" s="145"/>
      <c r="H463" s="190"/>
      <c r="I463" s="190"/>
      <c r="J463" s="190"/>
      <c r="K463" s="4"/>
    </row>
    <row r="464" spans="1:11" s="9" customFormat="1">
      <c r="A464" s="145"/>
      <c r="B464" s="190"/>
      <c r="C464" s="432"/>
      <c r="D464" s="145"/>
      <c r="E464" s="145"/>
      <c r="F464" s="145"/>
      <c r="G464" s="145"/>
      <c r="H464" s="190"/>
      <c r="I464" s="190"/>
      <c r="J464" s="190"/>
      <c r="K464" s="4"/>
    </row>
    <row r="465" spans="1:11" s="9" customFormat="1">
      <c r="A465" s="145"/>
      <c r="B465" s="190"/>
      <c r="C465" s="432"/>
      <c r="D465" s="145"/>
      <c r="E465" s="145"/>
      <c r="F465" s="145"/>
      <c r="G465" s="145"/>
      <c r="H465" s="190"/>
      <c r="I465" s="190"/>
      <c r="J465" s="190"/>
      <c r="K465" s="4"/>
    </row>
    <row r="466" spans="1:11" s="9" customFormat="1">
      <c r="A466" s="145"/>
      <c r="B466" s="190"/>
      <c r="C466" s="432"/>
      <c r="D466" s="145"/>
      <c r="E466" s="145"/>
      <c r="F466" s="145"/>
      <c r="G466" s="145"/>
      <c r="H466" s="190"/>
      <c r="I466" s="190"/>
      <c r="J466" s="190"/>
      <c r="K466" s="4"/>
    </row>
    <row r="467" spans="1:11" s="9" customFormat="1">
      <c r="A467" s="145"/>
      <c r="B467" s="190"/>
      <c r="C467" s="432"/>
      <c r="D467" s="145"/>
      <c r="E467" s="145"/>
      <c r="F467" s="145"/>
      <c r="G467" s="145"/>
      <c r="H467" s="190"/>
      <c r="I467" s="190"/>
      <c r="J467" s="190"/>
      <c r="K467" s="4"/>
    </row>
    <row r="468" spans="1:11" s="9" customFormat="1">
      <c r="A468" s="145"/>
      <c r="B468" s="190"/>
      <c r="C468" s="432"/>
      <c r="D468" s="145"/>
      <c r="E468" s="145"/>
      <c r="F468" s="145"/>
      <c r="G468" s="145"/>
      <c r="H468" s="190"/>
      <c r="I468" s="190"/>
      <c r="J468" s="190"/>
      <c r="K468" s="4"/>
    </row>
    <row r="469" spans="1:11" s="9" customFormat="1">
      <c r="A469" s="145"/>
      <c r="B469" s="190"/>
      <c r="C469" s="432"/>
      <c r="D469" s="145"/>
      <c r="E469" s="145"/>
      <c r="F469" s="145"/>
      <c r="G469" s="145"/>
      <c r="H469" s="190"/>
      <c r="I469" s="190"/>
      <c r="J469" s="190"/>
      <c r="K469" s="4"/>
    </row>
    <row r="470" spans="1:11" s="9" customFormat="1">
      <c r="A470" s="145"/>
      <c r="B470" s="190"/>
      <c r="C470" s="432"/>
      <c r="D470" s="145"/>
      <c r="E470" s="145"/>
      <c r="F470" s="145"/>
      <c r="G470" s="145"/>
      <c r="H470" s="190"/>
      <c r="I470" s="190"/>
      <c r="J470" s="190"/>
      <c r="K470" s="4"/>
    </row>
    <row r="471" spans="1:11" s="9" customFormat="1">
      <c r="A471" s="145"/>
      <c r="B471" s="190"/>
      <c r="C471" s="432"/>
      <c r="D471" s="145"/>
      <c r="E471" s="145"/>
      <c r="F471" s="145"/>
      <c r="G471" s="145"/>
      <c r="H471" s="190"/>
      <c r="I471" s="190"/>
      <c r="J471" s="190"/>
      <c r="K471" s="4"/>
    </row>
    <row r="472" spans="1:11" s="9" customFormat="1">
      <c r="A472" s="145"/>
      <c r="B472" s="190"/>
      <c r="C472" s="432"/>
      <c r="D472" s="145"/>
      <c r="E472" s="145"/>
      <c r="F472" s="145"/>
      <c r="G472" s="145"/>
      <c r="H472" s="190"/>
      <c r="I472" s="190"/>
      <c r="J472" s="190"/>
      <c r="K472" s="4"/>
    </row>
    <row r="473" spans="1:11" s="9" customFormat="1">
      <c r="A473" s="145"/>
      <c r="B473" s="190"/>
      <c r="C473" s="432"/>
      <c r="D473" s="145"/>
      <c r="E473" s="145"/>
      <c r="F473" s="145"/>
      <c r="G473" s="145"/>
      <c r="H473" s="190"/>
      <c r="I473" s="190"/>
      <c r="J473" s="190"/>
      <c r="K473" s="4"/>
    </row>
    <row r="474" spans="1:11" s="9" customFormat="1">
      <c r="A474" s="145"/>
      <c r="B474" s="190"/>
      <c r="C474" s="432"/>
      <c r="D474" s="145"/>
      <c r="E474" s="145"/>
      <c r="F474" s="145"/>
      <c r="G474" s="145"/>
      <c r="H474" s="190"/>
      <c r="I474" s="190"/>
      <c r="J474" s="190"/>
      <c r="K474" s="4"/>
    </row>
    <row r="475" spans="1:11" s="9" customFormat="1">
      <c r="A475" s="145"/>
      <c r="B475" s="190"/>
      <c r="C475" s="432"/>
      <c r="D475" s="145"/>
      <c r="E475" s="145"/>
      <c r="F475" s="145"/>
      <c r="G475" s="145"/>
      <c r="H475" s="190"/>
      <c r="I475" s="190"/>
      <c r="J475" s="190"/>
      <c r="K475" s="4"/>
    </row>
    <row r="476" spans="1:11" s="9" customFormat="1">
      <c r="A476" s="145"/>
      <c r="B476" s="190"/>
      <c r="C476" s="432"/>
      <c r="D476" s="145"/>
      <c r="E476" s="145"/>
      <c r="F476" s="145"/>
      <c r="G476" s="145"/>
      <c r="H476" s="190"/>
      <c r="I476" s="190"/>
      <c r="J476" s="190"/>
      <c r="K476" s="4"/>
    </row>
    <row r="477" spans="1:11" s="9" customFormat="1">
      <c r="A477" s="145"/>
      <c r="B477" s="190"/>
      <c r="C477" s="432"/>
      <c r="D477" s="145"/>
      <c r="E477" s="145"/>
      <c r="F477" s="145"/>
      <c r="G477" s="145"/>
      <c r="H477" s="190"/>
      <c r="I477" s="190"/>
      <c r="J477" s="190"/>
      <c r="K477" s="4"/>
    </row>
    <row r="478" spans="1:11" s="9" customFormat="1">
      <c r="A478" s="145"/>
      <c r="B478" s="190"/>
      <c r="C478" s="432"/>
      <c r="D478" s="145"/>
      <c r="E478" s="145"/>
      <c r="F478" s="145"/>
      <c r="G478" s="145"/>
      <c r="H478" s="190"/>
      <c r="I478" s="190"/>
      <c r="J478" s="190"/>
      <c r="K478" s="4"/>
    </row>
    <row r="479" spans="1:11" s="9" customFormat="1">
      <c r="A479" s="145"/>
      <c r="B479" s="190"/>
      <c r="C479" s="432"/>
      <c r="D479" s="145"/>
      <c r="E479" s="145"/>
      <c r="F479" s="145"/>
      <c r="G479" s="145"/>
      <c r="H479" s="190"/>
      <c r="I479" s="190"/>
      <c r="J479" s="190"/>
      <c r="K479" s="4"/>
    </row>
    <row r="480" spans="1:11" s="9" customFormat="1">
      <c r="A480" s="145"/>
      <c r="B480" s="190"/>
      <c r="C480" s="432"/>
      <c r="D480" s="145"/>
      <c r="E480" s="145"/>
      <c r="F480" s="145"/>
      <c r="G480" s="145"/>
      <c r="H480" s="190"/>
      <c r="I480" s="190"/>
      <c r="J480" s="190"/>
      <c r="K480" s="4"/>
    </row>
    <row r="481" spans="1:11" s="9" customFormat="1">
      <c r="A481" s="145"/>
      <c r="B481" s="190"/>
      <c r="C481" s="432"/>
      <c r="D481" s="145"/>
      <c r="E481" s="145"/>
      <c r="F481" s="145"/>
      <c r="G481" s="145"/>
      <c r="H481" s="190"/>
      <c r="I481" s="190"/>
      <c r="J481" s="190"/>
      <c r="K481" s="4"/>
    </row>
    <row r="482" spans="1:11" s="9" customFormat="1">
      <c r="A482" s="145"/>
      <c r="B482" s="190"/>
      <c r="C482" s="432"/>
      <c r="D482" s="145"/>
      <c r="E482" s="145"/>
      <c r="F482" s="145"/>
      <c r="G482" s="145"/>
      <c r="H482" s="190"/>
      <c r="I482" s="190"/>
      <c r="J482" s="190"/>
      <c r="K482" s="4"/>
    </row>
    <row r="483" spans="1:11" s="9" customFormat="1">
      <c r="A483" s="145"/>
      <c r="B483" s="190"/>
      <c r="C483" s="432"/>
      <c r="D483" s="145"/>
      <c r="E483" s="145"/>
      <c r="F483" s="145"/>
      <c r="G483" s="145"/>
      <c r="H483" s="190"/>
      <c r="I483" s="190"/>
      <c r="J483" s="190"/>
      <c r="K483" s="4"/>
    </row>
    <row r="484" spans="1:11" s="9" customFormat="1">
      <c r="A484" s="145"/>
      <c r="B484" s="190"/>
      <c r="C484" s="432"/>
      <c r="D484" s="145"/>
      <c r="E484" s="145"/>
      <c r="F484" s="145"/>
      <c r="G484" s="145"/>
      <c r="H484" s="190"/>
      <c r="I484" s="190"/>
      <c r="J484" s="190"/>
      <c r="K484" s="4"/>
    </row>
    <row r="485" spans="1:11" s="9" customFormat="1">
      <c r="A485" s="145"/>
      <c r="B485" s="190"/>
      <c r="C485" s="432"/>
      <c r="D485" s="145"/>
      <c r="E485" s="145"/>
      <c r="F485" s="145"/>
      <c r="G485" s="145"/>
      <c r="H485" s="190"/>
      <c r="I485" s="190"/>
      <c r="J485" s="190"/>
      <c r="K485" s="4"/>
    </row>
    <row r="486" spans="1:11" s="9" customFormat="1">
      <c r="A486" s="145"/>
      <c r="B486" s="190"/>
      <c r="C486" s="432"/>
      <c r="D486" s="145"/>
      <c r="E486" s="145"/>
      <c r="F486" s="145"/>
      <c r="G486" s="145"/>
      <c r="H486" s="190"/>
      <c r="I486" s="190"/>
      <c r="J486" s="190"/>
      <c r="K486" s="4"/>
    </row>
    <row r="487" spans="1:11" s="9" customFormat="1">
      <c r="A487" s="145"/>
      <c r="B487" s="190"/>
      <c r="C487" s="432"/>
      <c r="D487" s="145"/>
      <c r="E487" s="145"/>
      <c r="F487" s="145"/>
      <c r="G487" s="145"/>
      <c r="H487" s="190"/>
      <c r="I487" s="190"/>
      <c r="J487" s="190"/>
      <c r="K487" s="4"/>
    </row>
    <row r="488" spans="1:11" s="9" customFormat="1">
      <c r="A488" s="145"/>
      <c r="B488" s="190"/>
      <c r="C488" s="432"/>
      <c r="D488" s="145"/>
      <c r="E488" s="145"/>
      <c r="F488" s="145"/>
      <c r="G488" s="145"/>
      <c r="H488" s="190"/>
      <c r="I488" s="190"/>
      <c r="J488" s="190"/>
      <c r="K488" s="4"/>
    </row>
    <row r="489" spans="1:11" s="9" customFormat="1">
      <c r="A489" s="145"/>
      <c r="B489" s="190"/>
      <c r="C489" s="432"/>
      <c r="D489" s="145"/>
      <c r="E489" s="145"/>
      <c r="F489" s="145"/>
      <c r="G489" s="145"/>
      <c r="H489" s="190"/>
      <c r="I489" s="190"/>
      <c r="J489" s="190"/>
      <c r="K489" s="4"/>
    </row>
    <row r="490" spans="1:11" s="9" customFormat="1">
      <c r="A490" s="145"/>
      <c r="B490" s="190"/>
      <c r="C490" s="432"/>
      <c r="D490" s="145"/>
      <c r="E490" s="145"/>
      <c r="F490" s="145"/>
      <c r="G490" s="145"/>
      <c r="H490" s="190"/>
      <c r="I490" s="190"/>
      <c r="J490" s="190"/>
      <c r="K490" s="4"/>
    </row>
    <row r="491" spans="1:11" s="9" customFormat="1">
      <c r="A491" s="145"/>
      <c r="B491" s="190"/>
      <c r="C491" s="432"/>
      <c r="D491" s="145"/>
      <c r="E491" s="145"/>
      <c r="F491" s="145"/>
      <c r="G491" s="145"/>
      <c r="H491" s="190"/>
      <c r="I491" s="190"/>
      <c r="J491" s="190"/>
      <c r="K491" s="4"/>
    </row>
    <row r="492" spans="1:11" s="9" customFormat="1">
      <c r="A492" s="145"/>
      <c r="B492" s="190"/>
      <c r="C492" s="432"/>
      <c r="D492" s="145"/>
      <c r="E492" s="145"/>
      <c r="F492" s="145"/>
      <c r="G492" s="145"/>
      <c r="H492" s="190"/>
      <c r="I492" s="190"/>
      <c r="J492" s="190"/>
      <c r="K492" s="4"/>
    </row>
    <row r="493" spans="1:11" s="9" customFormat="1">
      <c r="A493" s="145"/>
      <c r="B493" s="190"/>
      <c r="C493" s="432"/>
      <c r="D493" s="145"/>
      <c r="E493" s="145"/>
      <c r="F493" s="145"/>
      <c r="G493" s="145"/>
      <c r="H493" s="190"/>
      <c r="I493" s="190"/>
      <c r="J493" s="190"/>
      <c r="K493" s="4"/>
    </row>
    <row r="494" spans="1:11" s="9" customFormat="1">
      <c r="A494" s="145"/>
      <c r="B494" s="190"/>
      <c r="C494" s="432"/>
      <c r="D494" s="145"/>
      <c r="E494" s="145"/>
      <c r="F494" s="145"/>
      <c r="G494" s="145"/>
      <c r="H494" s="190"/>
      <c r="I494" s="190"/>
      <c r="J494" s="190"/>
      <c r="K494" s="4"/>
    </row>
    <row r="495" spans="1:11" s="9" customFormat="1">
      <c r="A495" s="145"/>
      <c r="B495" s="190"/>
      <c r="C495" s="432"/>
      <c r="D495" s="145"/>
      <c r="E495" s="145"/>
      <c r="F495" s="145"/>
      <c r="G495" s="145"/>
      <c r="H495" s="190"/>
      <c r="I495" s="190"/>
      <c r="J495" s="190"/>
      <c r="K495" s="4"/>
    </row>
    <row r="496" spans="1:11" s="9" customFormat="1">
      <c r="A496" s="145"/>
      <c r="B496" s="190"/>
      <c r="C496" s="432"/>
      <c r="D496" s="145"/>
      <c r="E496" s="145"/>
      <c r="F496" s="145"/>
      <c r="G496" s="145"/>
      <c r="H496" s="190"/>
      <c r="I496" s="190"/>
      <c r="J496" s="190"/>
      <c r="K496" s="4"/>
    </row>
    <row r="497" spans="1:11" s="9" customFormat="1">
      <c r="A497" s="145"/>
      <c r="B497" s="190"/>
      <c r="C497" s="432"/>
      <c r="D497" s="145"/>
      <c r="E497" s="145"/>
      <c r="F497" s="145"/>
      <c r="G497" s="145"/>
      <c r="H497" s="190"/>
      <c r="I497" s="190"/>
      <c r="J497" s="190"/>
      <c r="K497" s="4"/>
    </row>
    <row r="498" spans="1:11" s="9" customFormat="1">
      <c r="A498" s="145"/>
      <c r="B498" s="190"/>
      <c r="C498" s="432"/>
      <c r="D498" s="145"/>
      <c r="E498" s="145"/>
      <c r="F498" s="145"/>
      <c r="G498" s="145"/>
      <c r="H498" s="190"/>
      <c r="I498" s="190"/>
      <c r="J498" s="190"/>
      <c r="K498" s="4"/>
    </row>
    <row r="499" spans="1:11" s="9" customFormat="1">
      <c r="A499" s="145"/>
      <c r="B499" s="190"/>
      <c r="C499" s="432"/>
      <c r="D499" s="145"/>
      <c r="E499" s="145"/>
      <c r="F499" s="145"/>
      <c r="G499" s="145"/>
      <c r="H499" s="190"/>
      <c r="I499" s="190"/>
      <c r="J499" s="190"/>
      <c r="K499" s="4"/>
    </row>
    <row r="500" spans="1:11" s="9" customFormat="1">
      <c r="A500" s="145"/>
      <c r="B500" s="190"/>
      <c r="C500" s="432"/>
      <c r="D500" s="145"/>
      <c r="E500" s="145"/>
      <c r="F500" s="145"/>
      <c r="G500" s="145"/>
      <c r="H500" s="190"/>
      <c r="I500" s="190"/>
      <c r="J500" s="190"/>
      <c r="K500" s="4"/>
    </row>
    <row r="501" spans="1:11" s="9" customFormat="1">
      <c r="A501" s="145"/>
      <c r="B501" s="190"/>
      <c r="C501" s="432"/>
      <c r="D501" s="145"/>
      <c r="E501" s="145"/>
      <c r="F501" s="145"/>
      <c r="G501" s="145"/>
      <c r="H501" s="190"/>
      <c r="I501" s="190"/>
      <c r="J501" s="190"/>
      <c r="K501" s="4"/>
    </row>
    <row r="502" spans="1:11" s="9" customFormat="1">
      <c r="A502" s="145"/>
      <c r="B502" s="190"/>
      <c r="C502" s="432"/>
      <c r="D502" s="145"/>
      <c r="E502" s="145"/>
      <c r="F502" s="145"/>
      <c r="G502" s="145"/>
      <c r="H502" s="190"/>
      <c r="I502" s="190"/>
      <c r="J502" s="190"/>
      <c r="K502" s="4"/>
    </row>
    <row r="503" spans="1:11" s="9" customFormat="1">
      <c r="A503" s="145"/>
      <c r="B503" s="190"/>
      <c r="C503" s="432"/>
      <c r="D503" s="145"/>
      <c r="E503" s="145"/>
      <c r="F503" s="145"/>
      <c r="G503" s="145"/>
      <c r="H503" s="190"/>
      <c r="I503" s="190"/>
      <c r="J503" s="190"/>
      <c r="K503" s="4"/>
    </row>
    <row r="504" spans="1:11" s="9" customFormat="1">
      <c r="A504" s="145"/>
      <c r="B504" s="190"/>
      <c r="C504" s="432"/>
      <c r="D504" s="145"/>
      <c r="E504" s="145"/>
      <c r="F504" s="145"/>
      <c r="G504" s="145"/>
      <c r="H504" s="190"/>
      <c r="I504" s="190"/>
      <c r="J504" s="190"/>
      <c r="K504" s="4"/>
    </row>
    <row r="505" spans="1:11" s="9" customFormat="1">
      <c r="A505" s="145"/>
      <c r="B505" s="190"/>
      <c r="C505" s="432"/>
      <c r="D505" s="145"/>
      <c r="E505" s="145"/>
      <c r="F505" s="145"/>
      <c r="G505" s="145"/>
      <c r="H505" s="190"/>
      <c r="I505" s="190"/>
      <c r="J505" s="190"/>
      <c r="K505" s="4"/>
    </row>
    <row r="506" spans="1:11" s="9" customFormat="1">
      <c r="A506" s="145"/>
      <c r="B506" s="190"/>
      <c r="C506" s="432"/>
      <c r="D506" s="145"/>
      <c r="E506" s="145"/>
      <c r="F506" s="145"/>
      <c r="G506" s="145"/>
      <c r="H506" s="190"/>
      <c r="I506" s="190"/>
      <c r="J506" s="190"/>
      <c r="K506" s="4"/>
    </row>
    <row r="507" spans="1:11" s="9" customFormat="1">
      <c r="A507" s="145"/>
      <c r="B507" s="190"/>
      <c r="C507" s="432"/>
      <c r="D507" s="145"/>
      <c r="E507" s="145"/>
      <c r="F507" s="145"/>
      <c r="G507" s="145"/>
      <c r="H507" s="190"/>
      <c r="I507" s="190"/>
      <c r="J507" s="190"/>
      <c r="K507" s="4"/>
    </row>
    <row r="508" spans="1:11" s="9" customFormat="1">
      <c r="A508" s="145"/>
      <c r="B508" s="190"/>
      <c r="C508" s="432"/>
      <c r="D508" s="145"/>
      <c r="E508" s="145"/>
      <c r="F508" s="145"/>
      <c r="G508" s="145"/>
      <c r="H508" s="190"/>
      <c r="I508" s="190"/>
      <c r="J508" s="190"/>
      <c r="K508" s="4"/>
    </row>
    <row r="509" spans="1:11" s="9" customFormat="1">
      <c r="A509" s="145"/>
      <c r="B509" s="190"/>
      <c r="C509" s="432"/>
      <c r="D509" s="145"/>
      <c r="E509" s="145"/>
      <c r="F509" s="145"/>
      <c r="G509" s="145"/>
      <c r="H509" s="190"/>
      <c r="I509" s="190"/>
      <c r="J509" s="190"/>
      <c r="K509" s="4"/>
    </row>
    <row r="510" spans="1:11" s="9" customFormat="1">
      <c r="A510" s="145"/>
      <c r="B510" s="190"/>
      <c r="C510" s="432"/>
      <c r="D510" s="145"/>
      <c r="E510" s="145"/>
      <c r="F510" s="145"/>
      <c r="G510" s="145"/>
      <c r="H510" s="190"/>
      <c r="I510" s="190"/>
      <c r="J510" s="190"/>
      <c r="K510" s="4"/>
    </row>
    <row r="511" spans="1:11" s="9" customFormat="1">
      <c r="A511" s="145"/>
      <c r="B511" s="190"/>
      <c r="C511" s="432"/>
      <c r="D511" s="145"/>
      <c r="E511" s="145"/>
      <c r="F511" s="145"/>
      <c r="G511" s="145"/>
      <c r="H511" s="190"/>
      <c r="I511" s="190"/>
      <c r="J511" s="190"/>
      <c r="K511" s="4"/>
    </row>
    <row r="512" spans="1:11" s="9" customFormat="1">
      <c r="A512" s="145"/>
      <c r="B512" s="190"/>
      <c r="C512" s="432"/>
      <c r="D512" s="145"/>
      <c r="E512" s="145"/>
      <c r="F512" s="145"/>
      <c r="G512" s="145"/>
      <c r="H512" s="190"/>
      <c r="I512" s="190"/>
      <c r="J512" s="190"/>
      <c r="K512" s="4"/>
    </row>
    <row r="513" spans="1:11" s="9" customFormat="1">
      <c r="A513" s="145"/>
      <c r="B513" s="190"/>
      <c r="C513" s="432"/>
      <c r="D513" s="145"/>
      <c r="E513" s="145"/>
      <c r="F513" s="145"/>
      <c r="G513" s="145"/>
      <c r="H513" s="190"/>
      <c r="I513" s="190"/>
      <c r="J513" s="190"/>
      <c r="K513" s="4"/>
    </row>
    <row r="514" spans="1:11" s="9" customFormat="1">
      <c r="A514" s="145"/>
      <c r="B514" s="190"/>
      <c r="C514" s="432"/>
      <c r="D514" s="145"/>
      <c r="E514" s="145"/>
      <c r="F514" s="145"/>
      <c r="G514" s="145"/>
      <c r="H514" s="190"/>
      <c r="I514" s="190"/>
      <c r="J514" s="190"/>
      <c r="K514" s="4"/>
    </row>
    <row r="515" spans="1:11" s="9" customFormat="1">
      <c r="A515" s="145"/>
      <c r="B515" s="190"/>
      <c r="C515" s="432"/>
      <c r="D515" s="145"/>
      <c r="E515" s="145"/>
      <c r="F515" s="145"/>
      <c r="G515" s="145"/>
      <c r="H515" s="190"/>
      <c r="I515" s="190"/>
      <c r="J515" s="190"/>
      <c r="K515" s="4"/>
    </row>
    <row r="516" spans="1:11" s="9" customFormat="1">
      <c r="A516" s="145"/>
      <c r="B516" s="190"/>
      <c r="C516" s="432"/>
      <c r="D516" s="145"/>
      <c r="E516" s="145"/>
      <c r="F516" s="145"/>
      <c r="G516" s="145"/>
      <c r="H516" s="190"/>
      <c r="I516" s="190"/>
      <c r="J516" s="190"/>
      <c r="K516" s="4"/>
    </row>
    <row r="517" spans="1:11" s="9" customFormat="1">
      <c r="A517" s="145"/>
      <c r="B517" s="190"/>
      <c r="C517" s="432"/>
      <c r="D517" s="145"/>
      <c r="E517" s="145"/>
      <c r="F517" s="145"/>
      <c r="G517" s="145"/>
      <c r="H517" s="190"/>
      <c r="I517" s="190"/>
      <c r="J517" s="190"/>
      <c r="K517" s="4"/>
    </row>
    <row r="518" spans="1:11" s="9" customFormat="1">
      <c r="A518" s="145"/>
      <c r="B518" s="190"/>
      <c r="C518" s="432"/>
      <c r="D518" s="145"/>
      <c r="E518" s="145"/>
      <c r="F518" s="145"/>
      <c r="G518" s="145"/>
      <c r="H518" s="190"/>
      <c r="I518" s="190"/>
      <c r="J518" s="190"/>
      <c r="K518" s="4"/>
    </row>
    <row r="519" spans="1:11" s="9" customFormat="1">
      <c r="A519" s="145"/>
      <c r="B519" s="190"/>
      <c r="C519" s="432"/>
      <c r="D519" s="145"/>
      <c r="E519" s="145"/>
      <c r="F519" s="145"/>
      <c r="G519" s="145"/>
      <c r="H519" s="190"/>
      <c r="I519" s="190"/>
      <c r="J519" s="190"/>
      <c r="K519" s="4"/>
    </row>
    <row r="520" spans="1:11" s="9" customFormat="1">
      <c r="A520" s="145"/>
      <c r="B520" s="190"/>
      <c r="C520" s="432"/>
      <c r="D520" s="145"/>
      <c r="E520" s="145"/>
      <c r="F520" s="145"/>
      <c r="G520" s="145"/>
      <c r="H520" s="190"/>
      <c r="I520" s="190"/>
      <c r="J520" s="190"/>
      <c r="K520" s="4"/>
    </row>
    <row r="521" spans="1:11" s="9" customFormat="1">
      <c r="A521" s="145"/>
      <c r="B521" s="190"/>
      <c r="C521" s="432"/>
      <c r="D521" s="145"/>
      <c r="E521" s="145"/>
      <c r="F521" s="145"/>
      <c r="G521" s="145"/>
      <c r="H521" s="190"/>
      <c r="I521" s="190"/>
      <c r="J521" s="190"/>
      <c r="K521" s="4"/>
    </row>
    <row r="522" spans="1:11" s="9" customFormat="1">
      <c r="A522" s="145"/>
      <c r="B522" s="190"/>
      <c r="C522" s="432"/>
      <c r="D522" s="145"/>
      <c r="E522" s="145"/>
      <c r="F522" s="145"/>
      <c r="G522" s="145"/>
      <c r="H522" s="190"/>
      <c r="I522" s="190"/>
      <c r="J522" s="190"/>
      <c r="K522" s="4"/>
    </row>
    <row r="523" spans="1:11" s="9" customFormat="1">
      <c r="A523" s="145"/>
      <c r="B523" s="190"/>
      <c r="C523" s="432"/>
      <c r="D523" s="145"/>
      <c r="E523" s="145"/>
      <c r="F523" s="145"/>
      <c r="G523" s="145"/>
      <c r="H523" s="190"/>
      <c r="I523" s="190"/>
      <c r="J523" s="190"/>
      <c r="K523" s="4"/>
    </row>
    <row r="524" spans="1:11" s="9" customFormat="1">
      <c r="A524" s="145"/>
      <c r="B524" s="190"/>
      <c r="C524" s="432"/>
      <c r="D524" s="145"/>
      <c r="E524" s="145"/>
      <c r="F524" s="145"/>
      <c r="G524" s="145"/>
      <c r="H524" s="190"/>
      <c r="I524" s="190"/>
      <c r="J524" s="190"/>
      <c r="K524" s="4"/>
    </row>
    <row r="525" spans="1:11" s="9" customFormat="1">
      <c r="A525" s="145"/>
      <c r="B525" s="190"/>
      <c r="C525" s="432"/>
      <c r="D525" s="145"/>
      <c r="E525" s="145"/>
      <c r="F525" s="145"/>
      <c r="G525" s="145"/>
      <c r="H525" s="190"/>
      <c r="I525" s="190"/>
      <c r="J525" s="190"/>
      <c r="K525" s="4"/>
    </row>
    <row r="526" spans="1:11" s="9" customFormat="1">
      <c r="A526" s="145"/>
      <c r="B526" s="190"/>
      <c r="C526" s="432"/>
      <c r="D526" s="145"/>
      <c r="E526" s="145"/>
      <c r="F526" s="145"/>
      <c r="G526" s="145"/>
      <c r="H526" s="190"/>
      <c r="I526" s="190"/>
      <c r="J526" s="190"/>
      <c r="K526" s="4"/>
    </row>
    <row r="527" spans="1:11" s="9" customFormat="1">
      <c r="A527" s="145"/>
      <c r="B527" s="190"/>
      <c r="C527" s="432"/>
      <c r="D527" s="145"/>
      <c r="E527" s="145"/>
      <c r="F527" s="145"/>
      <c r="G527" s="145"/>
      <c r="H527" s="190"/>
      <c r="I527" s="190"/>
      <c r="J527" s="190"/>
      <c r="K527" s="4"/>
    </row>
    <row r="528" spans="1:11" s="9" customFormat="1">
      <c r="A528" s="145"/>
      <c r="B528" s="190"/>
      <c r="C528" s="432"/>
      <c r="D528" s="145"/>
      <c r="E528" s="145"/>
      <c r="F528" s="145"/>
      <c r="G528" s="145"/>
      <c r="H528" s="190"/>
      <c r="I528" s="190"/>
      <c r="J528" s="190"/>
      <c r="K528" s="4"/>
    </row>
    <row r="529" spans="1:11" s="9" customFormat="1">
      <c r="A529" s="145"/>
      <c r="B529" s="190"/>
      <c r="C529" s="432"/>
      <c r="D529" s="145"/>
      <c r="E529" s="145"/>
      <c r="F529" s="145"/>
      <c r="G529" s="145"/>
      <c r="H529" s="190"/>
      <c r="I529" s="190"/>
      <c r="J529" s="190"/>
      <c r="K529" s="4"/>
    </row>
    <row r="530" spans="1:11" s="9" customFormat="1">
      <c r="A530" s="145"/>
      <c r="B530" s="190"/>
      <c r="C530" s="432"/>
      <c r="D530" s="145"/>
      <c r="E530" s="145"/>
      <c r="F530" s="145"/>
      <c r="G530" s="145"/>
      <c r="H530" s="190"/>
      <c r="I530" s="190"/>
      <c r="J530" s="190"/>
      <c r="K530" s="4"/>
    </row>
    <row r="531" spans="1:11" s="9" customFormat="1">
      <c r="A531" s="145"/>
      <c r="B531" s="190"/>
      <c r="C531" s="432"/>
      <c r="D531" s="145"/>
      <c r="E531" s="145"/>
      <c r="F531" s="145"/>
      <c r="G531" s="145"/>
      <c r="H531" s="190"/>
      <c r="I531" s="190"/>
      <c r="J531" s="190"/>
      <c r="K531" s="4"/>
    </row>
    <row r="532" spans="1:11" s="9" customFormat="1">
      <c r="A532" s="145"/>
      <c r="B532" s="190"/>
      <c r="C532" s="432"/>
      <c r="D532" s="145"/>
      <c r="E532" s="145"/>
      <c r="F532" s="145"/>
      <c r="G532" s="145"/>
      <c r="H532" s="190"/>
      <c r="I532" s="190"/>
      <c r="J532" s="190"/>
      <c r="K532" s="4"/>
    </row>
    <row r="533" spans="1:11" s="9" customFormat="1">
      <c r="A533" s="145"/>
      <c r="B533" s="190"/>
      <c r="C533" s="432"/>
      <c r="D533" s="145"/>
      <c r="E533" s="145"/>
      <c r="F533" s="145"/>
      <c r="G533" s="145"/>
      <c r="H533" s="190"/>
      <c r="I533" s="190"/>
      <c r="J533" s="190"/>
      <c r="K533" s="4"/>
    </row>
    <row r="534" spans="1:11" s="9" customFormat="1">
      <c r="A534" s="145"/>
      <c r="B534" s="190"/>
      <c r="C534" s="432"/>
      <c r="D534" s="145"/>
      <c r="E534" s="145"/>
      <c r="F534" s="145"/>
      <c r="G534" s="145"/>
      <c r="H534" s="190"/>
      <c r="I534" s="190"/>
      <c r="J534" s="190"/>
      <c r="K534" s="4"/>
    </row>
    <row r="535" spans="1:11" s="9" customFormat="1">
      <c r="A535" s="145"/>
      <c r="B535" s="190"/>
      <c r="C535" s="432"/>
      <c r="D535" s="145"/>
      <c r="E535" s="145"/>
      <c r="F535" s="145"/>
      <c r="G535" s="145"/>
      <c r="H535" s="190"/>
      <c r="I535" s="190"/>
      <c r="J535" s="190"/>
      <c r="K535" s="4"/>
    </row>
    <row r="536" spans="1:11" s="9" customFormat="1">
      <c r="A536" s="145"/>
      <c r="B536" s="190"/>
      <c r="C536" s="432"/>
      <c r="D536" s="145"/>
      <c r="E536" s="145"/>
      <c r="F536" s="145"/>
      <c r="G536" s="145"/>
      <c r="H536" s="190"/>
      <c r="I536" s="190"/>
      <c r="J536" s="190"/>
      <c r="K536" s="4"/>
    </row>
    <row r="537" spans="1:11" s="9" customFormat="1">
      <c r="A537" s="145"/>
      <c r="B537" s="190"/>
      <c r="C537" s="432"/>
      <c r="D537" s="145"/>
      <c r="E537" s="145"/>
      <c r="F537" s="145"/>
      <c r="G537" s="145"/>
      <c r="H537" s="190"/>
      <c r="I537" s="190"/>
      <c r="J537" s="190"/>
      <c r="K537" s="4"/>
    </row>
    <row r="538" spans="1:11" s="9" customFormat="1">
      <c r="A538" s="145"/>
      <c r="B538" s="190"/>
      <c r="C538" s="432"/>
      <c r="D538" s="145"/>
      <c r="E538" s="145"/>
      <c r="F538" s="145"/>
      <c r="G538" s="145"/>
      <c r="H538" s="190"/>
      <c r="I538" s="190"/>
      <c r="J538" s="190"/>
      <c r="K538" s="4"/>
    </row>
    <row r="539" spans="1:11" s="9" customFormat="1">
      <c r="A539" s="145"/>
      <c r="B539" s="190"/>
      <c r="C539" s="432"/>
      <c r="D539" s="145"/>
      <c r="E539" s="145"/>
      <c r="F539" s="145"/>
      <c r="G539" s="145"/>
      <c r="H539" s="190"/>
      <c r="I539" s="190"/>
      <c r="J539" s="190"/>
      <c r="K539" s="4"/>
    </row>
    <row r="540" spans="1:11" s="9" customFormat="1">
      <c r="A540" s="145"/>
      <c r="B540" s="190"/>
      <c r="C540" s="432"/>
      <c r="D540" s="145"/>
      <c r="E540" s="145"/>
      <c r="F540" s="145"/>
      <c r="G540" s="145"/>
      <c r="H540" s="190"/>
      <c r="I540" s="190"/>
      <c r="J540" s="190"/>
      <c r="K540" s="4"/>
    </row>
    <row r="541" spans="1:11" s="9" customFormat="1">
      <c r="A541" s="145"/>
      <c r="B541" s="190"/>
      <c r="C541" s="432"/>
      <c r="D541" s="145"/>
      <c r="E541" s="145"/>
      <c r="F541" s="145"/>
      <c r="G541" s="145"/>
      <c r="H541" s="190"/>
      <c r="I541" s="190"/>
      <c r="J541" s="190"/>
      <c r="K541" s="4"/>
    </row>
    <row r="542" spans="1:11" s="9" customFormat="1">
      <c r="A542" s="145"/>
      <c r="B542" s="190"/>
      <c r="C542" s="432"/>
      <c r="D542" s="145"/>
      <c r="E542" s="145"/>
      <c r="F542" s="145"/>
      <c r="G542" s="145"/>
      <c r="H542" s="190"/>
      <c r="I542" s="190"/>
      <c r="J542" s="190"/>
      <c r="K542" s="4"/>
    </row>
    <row r="543" spans="1:11" s="9" customFormat="1">
      <c r="A543" s="145"/>
      <c r="B543" s="190"/>
      <c r="C543" s="432"/>
      <c r="D543" s="145"/>
      <c r="E543" s="145"/>
      <c r="F543" s="145"/>
      <c r="G543" s="145"/>
      <c r="H543" s="190"/>
      <c r="I543" s="190"/>
      <c r="J543" s="190"/>
      <c r="K543" s="4"/>
    </row>
    <row r="544" spans="1:11" s="9" customFormat="1">
      <c r="A544" s="145"/>
      <c r="B544" s="190"/>
      <c r="C544" s="432"/>
      <c r="D544" s="145"/>
      <c r="E544" s="145"/>
      <c r="F544" s="145"/>
      <c r="G544" s="145"/>
      <c r="H544" s="190"/>
      <c r="I544" s="190"/>
      <c r="J544" s="190"/>
      <c r="K544" s="4"/>
    </row>
    <row r="545" spans="1:11" s="9" customFormat="1">
      <c r="A545" s="145"/>
      <c r="B545" s="190"/>
      <c r="C545" s="432"/>
      <c r="D545" s="145"/>
      <c r="E545" s="145"/>
      <c r="F545" s="145"/>
      <c r="G545" s="145"/>
      <c r="H545" s="190"/>
      <c r="I545" s="190"/>
      <c r="J545" s="190"/>
      <c r="K545" s="4"/>
    </row>
    <row r="546" spans="1:11" s="9" customFormat="1">
      <c r="A546" s="145"/>
      <c r="B546" s="190"/>
      <c r="C546" s="432"/>
      <c r="D546" s="145"/>
      <c r="E546" s="145"/>
      <c r="F546" s="145"/>
      <c r="G546" s="145"/>
      <c r="H546" s="190"/>
      <c r="I546" s="190"/>
      <c r="J546" s="190"/>
      <c r="K546" s="4"/>
    </row>
    <row r="547" spans="1:11" s="9" customFormat="1">
      <c r="A547" s="145"/>
      <c r="B547" s="190"/>
      <c r="C547" s="432"/>
      <c r="D547" s="145"/>
      <c r="E547" s="145"/>
      <c r="F547" s="145"/>
      <c r="G547" s="145"/>
      <c r="H547" s="190"/>
      <c r="I547" s="190"/>
      <c r="J547" s="190"/>
      <c r="K547" s="4"/>
    </row>
    <row r="548" spans="1:11" s="9" customFormat="1">
      <c r="A548" s="145"/>
      <c r="B548" s="190"/>
      <c r="C548" s="432"/>
      <c r="D548" s="145"/>
      <c r="E548" s="145"/>
      <c r="F548" s="145"/>
      <c r="G548" s="145"/>
      <c r="H548" s="190"/>
      <c r="I548" s="190"/>
      <c r="J548" s="190"/>
      <c r="K548" s="4"/>
    </row>
    <row r="549" spans="1:11" s="9" customFormat="1">
      <c r="A549" s="145"/>
      <c r="B549" s="190"/>
      <c r="C549" s="432"/>
      <c r="D549" s="145"/>
      <c r="E549" s="145"/>
      <c r="F549" s="145"/>
      <c r="G549" s="145"/>
      <c r="H549" s="190"/>
      <c r="I549" s="190"/>
      <c r="J549" s="190"/>
      <c r="K549" s="4"/>
    </row>
    <row r="550" spans="1:11" s="9" customFormat="1">
      <c r="A550" s="145"/>
      <c r="B550" s="190"/>
      <c r="C550" s="432"/>
      <c r="D550" s="145"/>
      <c r="E550" s="145"/>
      <c r="F550" s="145"/>
      <c r="G550" s="145"/>
      <c r="H550" s="190"/>
      <c r="I550" s="190"/>
      <c r="J550" s="190"/>
      <c r="K550" s="4"/>
    </row>
    <row r="551" spans="1:11" s="9" customFormat="1">
      <c r="A551" s="145"/>
      <c r="B551" s="190"/>
      <c r="C551" s="432"/>
      <c r="D551" s="145"/>
      <c r="E551" s="145"/>
      <c r="F551" s="145"/>
      <c r="G551" s="145"/>
      <c r="H551" s="190"/>
      <c r="I551" s="190"/>
      <c r="J551" s="190"/>
      <c r="K551" s="4"/>
    </row>
    <row r="552" spans="1:11" s="9" customFormat="1">
      <c r="A552" s="145"/>
      <c r="B552" s="190"/>
      <c r="C552" s="432"/>
      <c r="D552" s="145"/>
      <c r="E552" s="145"/>
      <c r="F552" s="145"/>
      <c r="G552" s="145"/>
      <c r="H552" s="190"/>
      <c r="I552" s="190"/>
      <c r="J552" s="190"/>
      <c r="K552" s="4"/>
    </row>
    <row r="553" spans="1:11" s="9" customFormat="1">
      <c r="A553" s="145"/>
      <c r="B553" s="190"/>
      <c r="C553" s="432"/>
      <c r="D553" s="145"/>
      <c r="E553" s="145"/>
      <c r="F553" s="145"/>
      <c r="G553" s="145"/>
      <c r="H553" s="190"/>
      <c r="I553" s="190"/>
      <c r="J553" s="190"/>
      <c r="K553" s="4"/>
    </row>
    <row r="554" spans="1:11" s="9" customFormat="1">
      <c r="A554" s="145"/>
      <c r="B554" s="190"/>
      <c r="C554" s="432"/>
      <c r="D554" s="145"/>
      <c r="E554" s="145"/>
      <c r="F554" s="145"/>
      <c r="G554" s="145"/>
      <c r="H554" s="190"/>
      <c r="I554" s="190"/>
      <c r="J554" s="190"/>
      <c r="K554" s="4"/>
    </row>
    <row r="555" spans="1:11" s="9" customFormat="1">
      <c r="A555" s="145"/>
      <c r="B555" s="190"/>
      <c r="C555" s="432"/>
      <c r="D555" s="145"/>
      <c r="E555" s="145"/>
      <c r="F555" s="145"/>
      <c r="G555" s="145"/>
      <c r="H555" s="190"/>
      <c r="I555" s="190"/>
      <c r="J555" s="190"/>
      <c r="K555" s="4"/>
    </row>
    <row r="556" spans="1:11" s="9" customFormat="1">
      <c r="A556" s="145"/>
      <c r="B556" s="190"/>
      <c r="C556" s="432"/>
      <c r="D556" s="145"/>
      <c r="E556" s="145"/>
      <c r="F556" s="145"/>
      <c r="G556" s="145"/>
      <c r="H556" s="190"/>
      <c r="I556" s="190"/>
      <c r="J556" s="190"/>
      <c r="K556" s="4"/>
    </row>
    <row r="557" spans="1:11" s="9" customFormat="1">
      <c r="A557" s="145"/>
      <c r="B557" s="190"/>
      <c r="C557" s="432"/>
      <c r="D557" s="145"/>
      <c r="E557" s="145"/>
      <c r="F557" s="145"/>
      <c r="G557" s="145"/>
      <c r="H557" s="190"/>
      <c r="I557" s="190"/>
      <c r="J557" s="190"/>
      <c r="K557" s="4"/>
    </row>
    <row r="558" spans="1:11" s="9" customFormat="1">
      <c r="A558" s="145"/>
      <c r="B558" s="190"/>
      <c r="C558" s="432"/>
      <c r="D558" s="145"/>
      <c r="E558" s="145"/>
      <c r="F558" s="145"/>
      <c r="G558" s="145"/>
      <c r="H558" s="190"/>
      <c r="I558" s="190"/>
      <c r="J558" s="190"/>
      <c r="K558" s="4"/>
    </row>
    <row r="559" spans="1:11" s="9" customFormat="1">
      <c r="A559" s="145"/>
      <c r="B559" s="190"/>
      <c r="C559" s="432"/>
      <c r="D559" s="145"/>
      <c r="E559" s="145"/>
      <c r="F559" s="145"/>
      <c r="G559" s="145"/>
      <c r="H559" s="190"/>
      <c r="I559" s="190"/>
      <c r="J559" s="190"/>
      <c r="K559" s="4"/>
    </row>
    <row r="560" spans="1:11" s="9" customFormat="1">
      <c r="A560" s="145"/>
      <c r="B560" s="190"/>
      <c r="C560" s="432"/>
      <c r="D560" s="145"/>
      <c r="E560" s="145"/>
      <c r="F560" s="145"/>
      <c r="G560" s="145"/>
      <c r="H560" s="190"/>
      <c r="I560" s="190"/>
      <c r="J560" s="190"/>
      <c r="K560" s="4"/>
    </row>
    <row r="561" spans="1:11" s="9" customFormat="1">
      <c r="A561" s="145"/>
      <c r="B561" s="190"/>
      <c r="C561" s="432"/>
      <c r="D561" s="145"/>
      <c r="E561" s="145"/>
      <c r="F561" s="145"/>
      <c r="G561" s="145"/>
      <c r="H561" s="190"/>
      <c r="I561" s="190"/>
      <c r="J561" s="190"/>
      <c r="K561" s="4"/>
    </row>
    <row r="562" spans="1:11" s="9" customFormat="1">
      <c r="A562" s="145"/>
      <c r="B562" s="190"/>
      <c r="C562" s="432"/>
      <c r="D562" s="145"/>
      <c r="E562" s="145"/>
      <c r="F562" s="145"/>
      <c r="G562" s="145"/>
      <c r="H562" s="190"/>
      <c r="I562" s="190"/>
      <c r="J562" s="190"/>
      <c r="K562" s="4"/>
    </row>
    <row r="563" spans="1:11" s="9" customFormat="1">
      <c r="A563" s="145"/>
      <c r="B563" s="190"/>
      <c r="C563" s="432"/>
      <c r="D563" s="145"/>
      <c r="E563" s="145"/>
      <c r="F563" s="145"/>
      <c r="G563" s="145"/>
      <c r="H563" s="190"/>
      <c r="I563" s="190"/>
      <c r="J563" s="190"/>
      <c r="K563" s="4"/>
    </row>
    <row r="564" spans="1:11" s="9" customFormat="1">
      <c r="A564" s="145"/>
      <c r="B564" s="190"/>
      <c r="C564" s="432"/>
      <c r="D564" s="145"/>
      <c r="E564" s="145"/>
      <c r="F564" s="145"/>
      <c r="G564" s="145"/>
      <c r="H564" s="190"/>
      <c r="I564" s="190"/>
      <c r="J564" s="190"/>
      <c r="K564" s="4"/>
    </row>
    <row r="565" spans="1:11" s="9" customFormat="1">
      <c r="A565" s="145"/>
      <c r="B565" s="190"/>
      <c r="C565" s="432"/>
      <c r="D565" s="145"/>
      <c r="E565" s="145"/>
      <c r="F565" s="145"/>
      <c r="G565" s="145"/>
      <c r="H565" s="190"/>
      <c r="I565" s="190"/>
      <c r="J565" s="190"/>
      <c r="K565" s="4"/>
    </row>
    <row r="566" spans="1:11" s="9" customFormat="1">
      <c r="A566" s="145"/>
      <c r="B566" s="190"/>
      <c r="C566" s="432"/>
      <c r="D566" s="145"/>
      <c r="E566" s="145"/>
      <c r="F566" s="145"/>
      <c r="G566" s="145"/>
      <c r="H566" s="190"/>
      <c r="I566" s="190"/>
      <c r="J566" s="190"/>
      <c r="K566" s="4"/>
    </row>
    <row r="567" spans="1:11" s="9" customFormat="1">
      <c r="A567" s="145"/>
      <c r="B567" s="190"/>
      <c r="C567" s="432"/>
      <c r="D567" s="145"/>
      <c r="E567" s="145"/>
      <c r="F567" s="145"/>
      <c r="G567" s="145"/>
      <c r="H567" s="190"/>
      <c r="I567" s="190"/>
      <c r="J567" s="190"/>
      <c r="K567" s="4"/>
    </row>
    <row r="568" spans="1:11" s="9" customFormat="1">
      <c r="A568" s="145"/>
      <c r="B568" s="190"/>
      <c r="C568" s="432"/>
      <c r="D568" s="145"/>
      <c r="E568" s="145"/>
      <c r="F568" s="145"/>
      <c r="G568" s="145"/>
      <c r="H568" s="190"/>
      <c r="I568" s="190"/>
      <c r="J568" s="190"/>
      <c r="K568" s="4"/>
    </row>
    <row r="569" spans="1:11" s="9" customFormat="1">
      <c r="A569" s="145"/>
      <c r="B569" s="190"/>
      <c r="C569" s="432"/>
      <c r="D569" s="145"/>
      <c r="E569" s="145"/>
      <c r="F569" s="145"/>
      <c r="G569" s="145"/>
      <c r="H569" s="190"/>
      <c r="I569" s="190"/>
      <c r="J569" s="190"/>
      <c r="K569" s="4"/>
    </row>
    <row r="570" spans="1:11" s="9" customFormat="1">
      <c r="A570" s="145"/>
      <c r="B570" s="190"/>
      <c r="C570" s="432"/>
      <c r="D570" s="145"/>
      <c r="E570" s="145"/>
      <c r="F570" s="145"/>
      <c r="G570" s="145"/>
      <c r="H570" s="190"/>
      <c r="I570" s="190"/>
      <c r="J570" s="190"/>
      <c r="K570" s="4"/>
    </row>
    <row r="571" spans="1:11" s="9" customFormat="1">
      <c r="A571" s="145"/>
      <c r="B571" s="190"/>
      <c r="C571" s="432"/>
      <c r="D571" s="145"/>
      <c r="E571" s="145"/>
      <c r="F571" s="145"/>
      <c r="G571" s="145"/>
      <c r="H571" s="190"/>
      <c r="I571" s="190"/>
      <c r="J571" s="190"/>
      <c r="K571" s="4"/>
    </row>
    <row r="572" spans="1:11" s="9" customFormat="1">
      <c r="A572" s="145"/>
      <c r="B572" s="190"/>
      <c r="C572" s="432"/>
      <c r="D572" s="145"/>
      <c r="E572" s="145"/>
      <c r="F572" s="145"/>
      <c r="G572" s="145"/>
      <c r="H572" s="190"/>
      <c r="I572" s="190"/>
      <c r="J572" s="190"/>
      <c r="K572" s="4"/>
    </row>
    <row r="573" spans="1:11" s="9" customFormat="1">
      <c r="A573" s="145"/>
      <c r="B573" s="190"/>
      <c r="C573" s="432"/>
      <c r="D573" s="145"/>
      <c r="E573" s="145"/>
      <c r="F573" s="145"/>
      <c r="G573" s="145"/>
      <c r="H573" s="190"/>
      <c r="I573" s="190"/>
      <c r="J573" s="190"/>
      <c r="K573" s="4"/>
    </row>
    <row r="574" spans="1:11" s="9" customFormat="1">
      <c r="A574" s="145"/>
      <c r="B574" s="190"/>
      <c r="C574" s="432"/>
      <c r="D574" s="145"/>
      <c r="E574" s="145"/>
      <c r="F574" s="145"/>
      <c r="G574" s="145"/>
      <c r="H574" s="190"/>
      <c r="I574" s="190"/>
      <c r="J574" s="190"/>
      <c r="K574" s="4"/>
    </row>
    <row r="575" spans="1:11" s="9" customFormat="1">
      <c r="A575" s="145"/>
      <c r="B575" s="190"/>
      <c r="C575" s="432"/>
      <c r="D575" s="145"/>
      <c r="E575" s="145"/>
      <c r="F575" s="145"/>
      <c r="G575" s="145"/>
      <c r="H575" s="190"/>
      <c r="I575" s="190"/>
      <c r="J575" s="190"/>
      <c r="K575" s="4"/>
    </row>
    <row r="576" spans="1:11" s="9" customFormat="1">
      <c r="A576" s="145"/>
      <c r="B576" s="190"/>
      <c r="C576" s="432"/>
      <c r="D576" s="145"/>
      <c r="E576" s="145"/>
      <c r="F576" s="145"/>
      <c r="G576" s="145"/>
      <c r="H576" s="190"/>
      <c r="I576" s="190"/>
      <c r="J576" s="190"/>
      <c r="K576" s="4"/>
    </row>
    <row r="577" spans="1:11" s="9" customFormat="1">
      <c r="A577" s="145"/>
      <c r="B577" s="190"/>
      <c r="C577" s="432"/>
      <c r="D577" s="145"/>
      <c r="E577" s="145"/>
      <c r="F577" s="145"/>
      <c r="G577" s="145"/>
      <c r="H577" s="190"/>
      <c r="I577" s="190"/>
      <c r="J577" s="190"/>
      <c r="K577" s="4"/>
    </row>
    <row r="578" spans="1:11" s="9" customFormat="1">
      <c r="A578" s="145"/>
      <c r="B578" s="190"/>
      <c r="C578" s="432"/>
      <c r="D578" s="145"/>
      <c r="E578" s="145"/>
      <c r="F578" s="145"/>
      <c r="G578" s="145"/>
      <c r="H578" s="190"/>
      <c r="I578" s="190"/>
      <c r="J578" s="190"/>
      <c r="K578" s="4"/>
    </row>
    <row r="579" spans="1:11" s="9" customFormat="1">
      <c r="A579" s="145"/>
      <c r="B579" s="190"/>
      <c r="C579" s="432"/>
      <c r="D579" s="145"/>
      <c r="E579" s="145"/>
      <c r="F579" s="145"/>
      <c r="G579" s="145"/>
      <c r="H579" s="190"/>
      <c r="I579" s="190"/>
      <c r="J579" s="190"/>
      <c r="K579" s="4"/>
    </row>
    <row r="580" spans="1:11" s="9" customFormat="1">
      <c r="A580" s="145"/>
      <c r="B580" s="190"/>
      <c r="C580" s="432"/>
      <c r="D580" s="145"/>
      <c r="E580" s="145"/>
      <c r="F580" s="145"/>
      <c r="G580" s="145"/>
      <c r="H580" s="190"/>
      <c r="I580" s="190"/>
      <c r="J580" s="190"/>
      <c r="K580" s="4"/>
    </row>
    <row r="581" spans="1:11" s="9" customFormat="1">
      <c r="A581" s="145"/>
      <c r="B581" s="190"/>
      <c r="C581" s="432"/>
      <c r="D581" s="145"/>
      <c r="E581" s="145"/>
      <c r="F581" s="145"/>
      <c r="G581" s="145"/>
      <c r="H581" s="190"/>
      <c r="I581" s="190"/>
      <c r="J581" s="190"/>
      <c r="K581" s="4"/>
    </row>
    <row r="582" spans="1:11" s="9" customFormat="1">
      <c r="A582" s="145"/>
      <c r="B582" s="190"/>
      <c r="C582" s="432"/>
      <c r="D582" s="145"/>
      <c r="E582" s="145"/>
      <c r="F582" s="145"/>
      <c r="G582" s="145"/>
      <c r="H582" s="190"/>
      <c r="I582" s="190"/>
      <c r="J582" s="190"/>
      <c r="K582" s="4"/>
    </row>
    <row r="583" spans="1:11" s="9" customFormat="1">
      <c r="A583" s="145"/>
      <c r="B583" s="190"/>
      <c r="C583" s="432"/>
      <c r="D583" s="145"/>
      <c r="E583" s="145"/>
      <c r="F583" s="145"/>
      <c r="G583" s="145"/>
      <c r="H583" s="190"/>
      <c r="I583" s="190"/>
      <c r="J583" s="190"/>
      <c r="K583" s="4"/>
    </row>
    <row r="584" spans="1:11" s="9" customFormat="1">
      <c r="A584" s="145"/>
      <c r="B584" s="190"/>
      <c r="C584" s="432"/>
      <c r="D584" s="145"/>
      <c r="E584" s="145"/>
      <c r="F584" s="145"/>
      <c r="G584" s="145"/>
      <c r="H584" s="190"/>
      <c r="I584" s="190"/>
      <c r="J584" s="190"/>
      <c r="K584" s="4"/>
    </row>
    <row r="585" spans="1:11" s="9" customFormat="1">
      <c r="A585" s="145"/>
      <c r="B585" s="190"/>
      <c r="C585" s="432"/>
      <c r="D585" s="145"/>
      <c r="E585" s="145"/>
      <c r="F585" s="145"/>
      <c r="G585" s="145"/>
      <c r="H585" s="190"/>
      <c r="I585" s="190"/>
      <c r="J585" s="190"/>
      <c r="K585" s="4"/>
    </row>
    <row r="586" spans="1:11" s="9" customFormat="1">
      <c r="A586" s="145"/>
      <c r="B586" s="190"/>
      <c r="C586" s="432"/>
      <c r="D586" s="145"/>
      <c r="E586" s="145"/>
      <c r="F586" s="145"/>
      <c r="G586" s="145"/>
      <c r="H586" s="190"/>
      <c r="I586" s="190"/>
      <c r="J586" s="190"/>
      <c r="K586" s="4"/>
    </row>
    <row r="587" spans="1:11" s="9" customFormat="1">
      <c r="A587" s="145"/>
      <c r="B587" s="190"/>
      <c r="C587" s="432"/>
      <c r="D587" s="145"/>
      <c r="E587" s="145"/>
      <c r="F587" s="145"/>
      <c r="G587" s="145"/>
      <c r="H587" s="190"/>
      <c r="I587" s="190"/>
      <c r="J587" s="190"/>
      <c r="K587" s="4"/>
    </row>
    <row r="588" spans="1:11" s="9" customFormat="1">
      <c r="A588" s="145"/>
      <c r="B588" s="190"/>
      <c r="C588" s="432"/>
      <c r="D588" s="145"/>
      <c r="E588" s="145"/>
      <c r="F588" s="145"/>
      <c r="G588" s="145"/>
      <c r="H588" s="190"/>
      <c r="I588" s="190"/>
      <c r="J588" s="190"/>
      <c r="K588" s="4"/>
    </row>
    <row r="589" spans="1:11" s="9" customFormat="1">
      <c r="A589" s="145"/>
      <c r="B589" s="190"/>
      <c r="C589" s="432"/>
      <c r="D589" s="145"/>
      <c r="E589" s="145"/>
      <c r="F589" s="145"/>
      <c r="G589" s="145"/>
      <c r="H589" s="190"/>
      <c r="I589" s="190"/>
      <c r="J589" s="190"/>
      <c r="K589" s="4"/>
    </row>
    <row r="590" spans="1:11" s="9" customFormat="1">
      <c r="A590" s="145"/>
      <c r="B590" s="190"/>
      <c r="C590" s="432"/>
      <c r="D590" s="145"/>
      <c r="E590" s="145"/>
      <c r="F590" s="145"/>
      <c r="G590" s="145"/>
      <c r="H590" s="190"/>
      <c r="I590" s="190"/>
      <c r="J590" s="190"/>
      <c r="K590" s="4"/>
    </row>
    <row r="591" spans="1:11" s="9" customFormat="1">
      <c r="A591" s="145"/>
      <c r="B591" s="190"/>
      <c r="C591" s="432"/>
      <c r="D591" s="145"/>
      <c r="E591" s="145"/>
      <c r="F591" s="145"/>
      <c r="G591" s="145"/>
      <c r="H591" s="190"/>
      <c r="I591" s="190"/>
      <c r="J591" s="190"/>
      <c r="K591" s="4"/>
    </row>
    <row r="592" spans="1:11" s="9" customFormat="1">
      <c r="A592" s="145"/>
      <c r="B592" s="190"/>
      <c r="C592" s="432"/>
      <c r="D592" s="145"/>
      <c r="E592" s="145"/>
      <c r="F592" s="145"/>
      <c r="G592" s="145"/>
      <c r="H592" s="190"/>
      <c r="I592" s="190"/>
      <c r="J592" s="190"/>
      <c r="K592" s="4"/>
    </row>
    <row r="593" spans="1:11" s="9" customFormat="1">
      <c r="A593" s="145"/>
      <c r="B593" s="190"/>
      <c r="C593" s="432"/>
      <c r="D593" s="145"/>
      <c r="E593" s="145"/>
      <c r="F593" s="145"/>
      <c r="G593" s="145"/>
      <c r="H593" s="190"/>
      <c r="I593" s="190"/>
      <c r="J593" s="190"/>
      <c r="K593" s="4"/>
    </row>
    <row r="594" spans="1:11" s="9" customFormat="1">
      <c r="A594" s="145"/>
      <c r="B594" s="190"/>
      <c r="C594" s="432"/>
      <c r="D594" s="145"/>
      <c r="E594" s="145"/>
      <c r="F594" s="145"/>
      <c r="G594" s="145"/>
      <c r="H594" s="190"/>
      <c r="I594" s="190"/>
      <c r="J594" s="190"/>
      <c r="K594" s="4"/>
    </row>
    <row r="595" spans="1:11" s="9" customFormat="1">
      <c r="A595" s="145"/>
      <c r="B595" s="190"/>
      <c r="C595" s="432"/>
      <c r="D595" s="145"/>
      <c r="E595" s="145"/>
      <c r="F595" s="145"/>
      <c r="G595" s="145"/>
      <c r="H595" s="190"/>
      <c r="I595" s="190"/>
      <c r="J595" s="190"/>
      <c r="K595" s="4"/>
    </row>
    <row r="596" spans="1:11" s="9" customFormat="1">
      <c r="A596" s="145"/>
      <c r="B596" s="190"/>
      <c r="C596" s="432"/>
      <c r="D596" s="145"/>
      <c r="E596" s="145"/>
      <c r="F596" s="145"/>
      <c r="G596" s="145"/>
      <c r="H596" s="190"/>
      <c r="I596" s="190"/>
      <c r="J596" s="190"/>
      <c r="K596" s="4"/>
    </row>
    <row r="597" spans="1:11" s="9" customFormat="1">
      <c r="A597" s="145"/>
      <c r="B597" s="190"/>
      <c r="C597" s="432"/>
      <c r="D597" s="145"/>
      <c r="E597" s="145"/>
      <c r="F597" s="145"/>
      <c r="G597" s="145"/>
      <c r="H597" s="190"/>
      <c r="I597" s="190"/>
      <c r="J597" s="190"/>
      <c r="K597" s="4"/>
    </row>
    <row r="598" spans="1:11" s="9" customFormat="1">
      <c r="A598" s="145"/>
      <c r="B598" s="190"/>
      <c r="C598" s="432"/>
      <c r="D598" s="145"/>
      <c r="E598" s="145"/>
      <c r="F598" s="145"/>
      <c r="G598" s="145"/>
      <c r="H598" s="190"/>
      <c r="I598" s="190"/>
      <c r="J598" s="190"/>
      <c r="K598" s="4"/>
    </row>
    <row r="599" spans="1:11" s="9" customFormat="1">
      <c r="A599" s="145"/>
      <c r="B599" s="190"/>
      <c r="C599" s="432"/>
      <c r="D599" s="145"/>
      <c r="E599" s="145"/>
      <c r="F599" s="145"/>
      <c r="G599" s="145"/>
      <c r="H599" s="190"/>
      <c r="I599" s="190"/>
      <c r="J599" s="190"/>
      <c r="K599" s="4"/>
    </row>
    <row r="600" spans="1:11" s="9" customFormat="1">
      <c r="A600" s="145"/>
      <c r="B600" s="190"/>
      <c r="C600" s="432"/>
      <c r="D600" s="145"/>
      <c r="E600" s="145"/>
      <c r="F600" s="145"/>
      <c r="G600" s="145"/>
      <c r="H600" s="190"/>
      <c r="I600" s="190"/>
      <c r="J600" s="190"/>
      <c r="K600" s="4"/>
    </row>
    <row r="601" spans="1:11" s="9" customFormat="1">
      <c r="A601" s="145"/>
      <c r="B601" s="190"/>
      <c r="C601" s="432"/>
      <c r="D601" s="145"/>
      <c r="E601" s="145"/>
      <c r="F601" s="145"/>
      <c r="G601" s="145"/>
      <c r="H601" s="190"/>
      <c r="I601" s="190"/>
      <c r="J601" s="190"/>
      <c r="K601" s="4"/>
    </row>
    <row r="602" spans="1:11" s="9" customFormat="1">
      <c r="A602" s="145"/>
      <c r="B602" s="190"/>
      <c r="C602" s="432"/>
      <c r="D602" s="145"/>
      <c r="E602" s="145"/>
      <c r="F602" s="145"/>
      <c r="G602" s="145"/>
      <c r="H602" s="190"/>
      <c r="I602" s="190"/>
      <c r="J602" s="190"/>
      <c r="K602" s="4"/>
    </row>
    <row r="603" spans="1:11" s="9" customFormat="1">
      <c r="A603" s="145"/>
      <c r="B603" s="190"/>
      <c r="C603" s="432"/>
      <c r="D603" s="145"/>
      <c r="E603" s="145"/>
      <c r="F603" s="145"/>
      <c r="G603" s="145"/>
      <c r="H603" s="190"/>
      <c r="I603" s="190"/>
      <c r="J603" s="190"/>
      <c r="K603" s="4"/>
    </row>
    <row r="604" spans="1:11" s="9" customFormat="1">
      <c r="A604" s="145"/>
      <c r="B604" s="190"/>
      <c r="C604" s="432"/>
      <c r="D604" s="145"/>
      <c r="E604" s="145"/>
      <c r="F604" s="145"/>
      <c r="G604" s="145"/>
      <c r="H604" s="190"/>
      <c r="I604" s="190"/>
      <c r="J604" s="190"/>
      <c r="K604" s="4"/>
    </row>
    <row r="605" spans="1:11" s="9" customFormat="1">
      <c r="A605" s="145"/>
      <c r="B605" s="190"/>
      <c r="C605" s="432"/>
      <c r="D605" s="145"/>
      <c r="E605" s="145"/>
      <c r="F605" s="145"/>
      <c r="G605" s="145"/>
      <c r="H605" s="190"/>
      <c r="I605" s="190"/>
      <c r="J605" s="190"/>
      <c r="K605" s="4"/>
    </row>
    <row r="606" spans="1:11" s="9" customFormat="1">
      <c r="A606" s="145"/>
      <c r="B606" s="190"/>
      <c r="C606" s="432"/>
      <c r="D606" s="145"/>
      <c r="E606" s="145"/>
      <c r="F606" s="145"/>
      <c r="G606" s="145"/>
      <c r="H606" s="190"/>
      <c r="I606" s="190"/>
      <c r="J606" s="190"/>
      <c r="K606" s="4"/>
    </row>
    <row r="607" spans="1:11" s="9" customFormat="1">
      <c r="A607" s="145"/>
      <c r="B607" s="190"/>
      <c r="C607" s="432"/>
      <c r="D607" s="145"/>
      <c r="E607" s="145"/>
      <c r="F607" s="145"/>
      <c r="G607" s="145"/>
      <c r="H607" s="190"/>
      <c r="I607" s="190"/>
      <c r="J607" s="190"/>
      <c r="K607" s="4"/>
    </row>
    <row r="608" spans="1:11" s="9" customFormat="1">
      <c r="A608" s="145"/>
      <c r="B608" s="190"/>
      <c r="C608" s="432"/>
      <c r="D608" s="145"/>
      <c r="E608" s="145"/>
      <c r="F608" s="145"/>
      <c r="G608" s="145"/>
      <c r="H608" s="190"/>
      <c r="I608" s="190"/>
      <c r="J608" s="190"/>
      <c r="K608" s="4"/>
    </row>
    <row r="609" spans="1:11" s="9" customFormat="1">
      <c r="A609" s="145"/>
      <c r="B609" s="190"/>
      <c r="C609" s="432"/>
      <c r="D609" s="145"/>
      <c r="E609" s="145"/>
      <c r="F609" s="145"/>
      <c r="G609" s="145"/>
      <c r="H609" s="190"/>
      <c r="I609" s="190"/>
      <c r="J609" s="190"/>
      <c r="K609" s="4"/>
    </row>
    <row r="610" spans="1:11" s="9" customFormat="1">
      <c r="A610" s="145"/>
      <c r="B610" s="190"/>
      <c r="C610" s="432"/>
      <c r="D610" s="145"/>
      <c r="E610" s="145"/>
      <c r="F610" s="145"/>
      <c r="G610" s="145"/>
      <c r="H610" s="190"/>
      <c r="I610" s="190"/>
      <c r="J610" s="190"/>
      <c r="K610" s="4"/>
    </row>
    <row r="611" spans="1:11" s="9" customFormat="1">
      <c r="A611" s="145"/>
      <c r="B611" s="190"/>
      <c r="C611" s="432"/>
      <c r="D611" s="145"/>
      <c r="E611" s="145"/>
      <c r="F611" s="145"/>
      <c r="G611" s="145"/>
      <c r="H611" s="190"/>
      <c r="I611" s="190"/>
      <c r="J611" s="190"/>
      <c r="K611" s="4"/>
    </row>
    <row r="612" spans="1:11" s="9" customFormat="1">
      <c r="A612" s="145"/>
      <c r="B612" s="190"/>
      <c r="C612" s="432"/>
      <c r="D612" s="145"/>
      <c r="E612" s="145"/>
      <c r="F612" s="145"/>
      <c r="G612" s="145"/>
      <c r="H612" s="190"/>
      <c r="I612" s="190"/>
      <c r="J612" s="190"/>
      <c r="K612" s="4"/>
    </row>
    <row r="613" spans="1:11" s="9" customFormat="1">
      <c r="A613" s="145"/>
      <c r="B613" s="190"/>
      <c r="C613" s="432"/>
      <c r="D613" s="145"/>
      <c r="E613" s="145"/>
      <c r="F613" s="145"/>
      <c r="G613" s="145"/>
      <c r="H613" s="190"/>
      <c r="I613" s="190"/>
      <c r="J613" s="190"/>
      <c r="K613" s="4"/>
    </row>
    <row r="614" spans="1:11" s="9" customFormat="1">
      <c r="A614" s="145"/>
      <c r="B614" s="190"/>
      <c r="C614" s="432"/>
      <c r="D614" s="145"/>
      <c r="E614" s="145"/>
      <c r="F614" s="145"/>
      <c r="G614" s="145"/>
      <c r="H614" s="190"/>
      <c r="I614" s="190"/>
      <c r="J614" s="190"/>
      <c r="K614" s="4"/>
    </row>
    <row r="615" spans="1:11" s="9" customFormat="1">
      <c r="A615" s="145"/>
      <c r="B615" s="190"/>
      <c r="C615" s="432"/>
      <c r="D615" s="145"/>
      <c r="E615" s="145"/>
      <c r="F615" s="145"/>
      <c r="G615" s="145"/>
      <c r="H615" s="190"/>
      <c r="I615" s="190"/>
      <c r="J615" s="190"/>
      <c r="K615" s="4"/>
    </row>
    <row r="616" spans="1:11" s="9" customFormat="1">
      <c r="A616" s="145"/>
      <c r="B616" s="190"/>
      <c r="C616" s="432"/>
      <c r="D616" s="145"/>
      <c r="E616" s="145"/>
      <c r="F616" s="145"/>
      <c r="G616" s="145"/>
      <c r="H616" s="190"/>
      <c r="I616" s="190"/>
      <c r="J616" s="190"/>
      <c r="K616" s="4"/>
    </row>
    <row r="617" spans="1:11" s="9" customFormat="1">
      <c r="A617" s="145"/>
      <c r="B617" s="190"/>
      <c r="C617" s="432"/>
      <c r="D617" s="145"/>
      <c r="E617" s="145"/>
      <c r="F617" s="145"/>
      <c r="G617" s="145"/>
      <c r="H617" s="190"/>
      <c r="I617" s="190"/>
      <c r="J617" s="190"/>
      <c r="K617" s="4"/>
    </row>
    <row r="618" spans="1:11" s="9" customFormat="1">
      <c r="A618" s="145"/>
      <c r="B618" s="190"/>
      <c r="C618" s="432"/>
      <c r="D618" s="145"/>
      <c r="E618" s="145"/>
      <c r="F618" s="145"/>
      <c r="G618" s="145"/>
      <c r="H618" s="190"/>
      <c r="I618" s="190"/>
      <c r="J618" s="190"/>
      <c r="K618" s="4"/>
    </row>
    <row r="619" spans="1:11" s="9" customFormat="1">
      <c r="A619" s="145"/>
      <c r="B619" s="190"/>
      <c r="C619" s="432"/>
      <c r="D619" s="145"/>
      <c r="E619" s="145"/>
      <c r="F619" s="145"/>
      <c r="G619" s="145"/>
      <c r="H619" s="190"/>
      <c r="I619" s="190"/>
      <c r="J619" s="190"/>
      <c r="K619" s="4"/>
    </row>
    <row r="620" spans="1:11" s="9" customFormat="1">
      <c r="A620" s="145"/>
      <c r="B620" s="190"/>
      <c r="C620" s="432"/>
      <c r="D620" s="145"/>
      <c r="E620" s="145"/>
      <c r="F620" s="145"/>
      <c r="G620" s="145"/>
      <c r="H620" s="190"/>
      <c r="I620" s="190"/>
      <c r="J620" s="190"/>
      <c r="K620" s="4"/>
    </row>
    <row r="621" spans="1:11" s="9" customFormat="1">
      <c r="A621" s="145"/>
      <c r="B621" s="190"/>
      <c r="C621" s="432"/>
      <c r="D621" s="145"/>
      <c r="E621" s="145"/>
      <c r="F621" s="145"/>
      <c r="G621" s="145"/>
      <c r="H621" s="190"/>
      <c r="I621" s="190"/>
      <c r="J621" s="190"/>
      <c r="K621" s="4"/>
    </row>
    <row r="622" spans="1:11" s="9" customFormat="1">
      <c r="A622" s="145"/>
      <c r="B622" s="190"/>
      <c r="C622" s="432"/>
      <c r="D622" s="145"/>
      <c r="E622" s="145"/>
      <c r="F622" s="145"/>
      <c r="G622" s="145"/>
      <c r="H622" s="190"/>
      <c r="I622" s="190"/>
      <c r="J622" s="190"/>
      <c r="K622" s="4"/>
    </row>
    <row r="623" spans="1:11" s="9" customFormat="1">
      <c r="A623" s="145"/>
      <c r="B623" s="190"/>
      <c r="C623" s="432"/>
      <c r="D623" s="145"/>
      <c r="E623" s="145"/>
      <c r="F623" s="145"/>
      <c r="G623" s="145"/>
      <c r="H623" s="190"/>
      <c r="I623" s="190"/>
      <c r="J623" s="190"/>
      <c r="K623" s="4"/>
    </row>
    <row r="624" spans="1:11" s="9" customFormat="1">
      <c r="A624" s="145"/>
      <c r="B624" s="190"/>
      <c r="C624" s="432"/>
      <c r="D624" s="145"/>
      <c r="E624" s="145"/>
      <c r="F624" s="145"/>
      <c r="G624" s="145"/>
      <c r="H624" s="190"/>
      <c r="I624" s="190"/>
      <c r="J624" s="190"/>
      <c r="K624" s="4"/>
    </row>
    <row r="625" spans="1:11" s="9" customFormat="1">
      <c r="A625" s="145"/>
      <c r="B625" s="190"/>
      <c r="C625" s="432"/>
      <c r="D625" s="145"/>
      <c r="E625" s="145"/>
      <c r="F625" s="145"/>
      <c r="G625" s="145"/>
      <c r="H625" s="190"/>
      <c r="I625" s="190"/>
      <c r="J625" s="190"/>
      <c r="K625" s="4"/>
    </row>
    <row r="626" spans="1:11" s="9" customFormat="1">
      <c r="A626" s="145"/>
      <c r="B626" s="190"/>
      <c r="C626" s="432"/>
      <c r="D626" s="145"/>
      <c r="E626" s="145"/>
      <c r="F626" s="145"/>
      <c r="G626" s="145"/>
      <c r="H626" s="190"/>
      <c r="I626" s="190"/>
      <c r="J626" s="190"/>
      <c r="K626" s="4"/>
    </row>
    <row r="627" spans="1:11" s="9" customFormat="1">
      <c r="A627" s="145"/>
      <c r="B627" s="190"/>
      <c r="C627" s="432"/>
      <c r="D627" s="145"/>
      <c r="E627" s="145"/>
      <c r="F627" s="145"/>
      <c r="G627" s="145"/>
      <c r="H627" s="190"/>
      <c r="I627" s="190"/>
      <c r="J627" s="190"/>
      <c r="K627" s="4"/>
    </row>
    <row r="628" spans="1:11" s="9" customFormat="1">
      <c r="A628" s="145"/>
      <c r="B628" s="190"/>
      <c r="C628" s="432"/>
      <c r="D628" s="145"/>
      <c r="E628" s="145"/>
      <c r="F628" s="145"/>
      <c r="G628" s="145"/>
      <c r="H628" s="190"/>
      <c r="I628" s="190"/>
      <c r="J628" s="190"/>
      <c r="K628" s="4"/>
    </row>
    <row r="629" spans="1:11" s="9" customFormat="1">
      <c r="A629" s="145"/>
      <c r="B629" s="190"/>
      <c r="C629" s="432"/>
      <c r="D629" s="145"/>
      <c r="E629" s="145"/>
      <c r="F629" s="145"/>
      <c r="G629" s="145"/>
      <c r="H629" s="190"/>
      <c r="I629" s="190"/>
      <c r="J629" s="190"/>
      <c r="K629" s="4"/>
    </row>
    <row r="630" spans="1:11" s="9" customFormat="1">
      <c r="A630" s="145"/>
      <c r="B630" s="190"/>
      <c r="C630" s="432"/>
      <c r="D630" s="145"/>
      <c r="E630" s="145"/>
      <c r="F630" s="145"/>
      <c r="G630" s="145"/>
      <c r="H630" s="190"/>
      <c r="I630" s="190"/>
      <c r="J630" s="190"/>
      <c r="K630" s="4"/>
    </row>
    <row r="631" spans="1:11" s="9" customFormat="1">
      <c r="A631" s="145"/>
      <c r="B631" s="190"/>
      <c r="C631" s="432"/>
      <c r="D631" s="145"/>
      <c r="E631" s="145"/>
      <c r="F631" s="145"/>
      <c r="G631" s="145"/>
      <c r="H631" s="190"/>
      <c r="I631" s="190"/>
      <c r="J631" s="190"/>
      <c r="K631" s="4"/>
    </row>
    <row r="632" spans="1:11" s="9" customFormat="1">
      <c r="A632" s="145"/>
      <c r="B632" s="190"/>
      <c r="C632" s="432"/>
      <c r="D632" s="145"/>
      <c r="E632" s="145"/>
      <c r="F632" s="145"/>
      <c r="G632" s="145"/>
      <c r="H632" s="190"/>
      <c r="I632" s="190"/>
      <c r="J632" s="190"/>
      <c r="K632" s="4"/>
    </row>
    <row r="633" spans="1:11" s="9" customFormat="1">
      <c r="A633" s="145"/>
      <c r="B633" s="190"/>
      <c r="C633" s="432"/>
      <c r="D633" s="145"/>
      <c r="E633" s="145"/>
      <c r="F633" s="145"/>
      <c r="G633" s="145"/>
      <c r="H633" s="190"/>
      <c r="I633" s="190"/>
      <c r="J633" s="190"/>
      <c r="K633" s="4"/>
    </row>
    <row r="634" spans="1:11" s="9" customFormat="1">
      <c r="A634" s="145"/>
      <c r="B634" s="190"/>
      <c r="C634" s="432"/>
      <c r="D634" s="145"/>
      <c r="E634" s="145"/>
      <c r="F634" s="145"/>
      <c r="G634" s="145"/>
      <c r="H634" s="190"/>
      <c r="I634" s="190"/>
      <c r="J634" s="190"/>
      <c r="K634" s="4"/>
    </row>
    <row r="635" spans="1:11" s="9" customFormat="1">
      <c r="A635" s="145"/>
      <c r="B635" s="190"/>
      <c r="C635" s="432"/>
      <c r="D635" s="145"/>
      <c r="E635" s="145"/>
      <c r="F635" s="145"/>
      <c r="G635" s="145"/>
      <c r="H635" s="190"/>
      <c r="I635" s="190"/>
      <c r="J635" s="190"/>
      <c r="K635" s="4"/>
    </row>
    <row r="636" spans="1:11" s="9" customFormat="1">
      <c r="A636" s="145"/>
      <c r="B636" s="190"/>
      <c r="C636" s="432"/>
      <c r="D636" s="145"/>
      <c r="E636" s="145"/>
      <c r="F636" s="145"/>
      <c r="G636" s="145"/>
      <c r="H636" s="190"/>
      <c r="I636" s="190"/>
      <c r="J636" s="190"/>
      <c r="K636" s="4"/>
    </row>
    <row r="637" spans="1:11" s="9" customFormat="1">
      <c r="A637" s="145"/>
      <c r="B637" s="190"/>
      <c r="C637" s="432"/>
      <c r="D637" s="145"/>
      <c r="E637" s="145"/>
      <c r="F637" s="145"/>
      <c r="G637" s="145"/>
      <c r="H637" s="190"/>
      <c r="I637" s="190"/>
      <c r="J637" s="190"/>
      <c r="K637" s="4"/>
    </row>
    <row r="638" spans="1:11" s="9" customFormat="1">
      <c r="A638" s="145"/>
      <c r="B638" s="190"/>
      <c r="C638" s="432"/>
      <c r="D638" s="145"/>
      <c r="E638" s="145"/>
      <c r="F638" s="145"/>
      <c r="G638" s="145"/>
      <c r="H638" s="190"/>
      <c r="I638" s="190"/>
      <c r="J638" s="190"/>
      <c r="K638" s="4"/>
    </row>
    <row r="639" spans="1:11" s="9" customFormat="1">
      <c r="A639" s="145"/>
      <c r="B639" s="190"/>
      <c r="C639" s="432"/>
      <c r="D639" s="145"/>
      <c r="E639" s="145"/>
      <c r="F639" s="145"/>
      <c r="G639" s="145"/>
      <c r="H639" s="190"/>
      <c r="I639" s="190"/>
      <c r="J639" s="190"/>
      <c r="K639" s="4"/>
    </row>
    <row r="640" spans="1:11" s="9" customFormat="1">
      <c r="A640" s="145"/>
      <c r="B640" s="190"/>
      <c r="C640" s="432"/>
      <c r="D640" s="145"/>
      <c r="E640" s="145"/>
      <c r="F640" s="145"/>
      <c r="G640" s="145"/>
      <c r="H640" s="190"/>
      <c r="I640" s="190"/>
      <c r="J640" s="190"/>
      <c r="K640" s="4"/>
    </row>
    <row r="641" spans="1:11" s="9" customFormat="1">
      <c r="A641" s="145"/>
      <c r="B641" s="190"/>
      <c r="C641" s="432"/>
      <c r="D641" s="145"/>
      <c r="E641" s="145"/>
      <c r="F641" s="145"/>
      <c r="G641" s="145"/>
      <c r="H641" s="190"/>
      <c r="I641" s="190"/>
      <c r="J641" s="190"/>
      <c r="K641" s="4"/>
    </row>
    <row r="642" spans="1:11" s="9" customFormat="1">
      <c r="A642" s="145"/>
      <c r="B642" s="190"/>
      <c r="C642" s="432"/>
      <c r="D642" s="145"/>
      <c r="E642" s="145"/>
      <c r="F642" s="145"/>
      <c r="G642" s="145"/>
      <c r="H642" s="190"/>
      <c r="I642" s="190"/>
      <c r="J642" s="190"/>
      <c r="K642" s="4"/>
    </row>
    <row r="643" spans="1:11" s="9" customFormat="1">
      <c r="A643" s="145"/>
      <c r="B643" s="190"/>
      <c r="C643" s="432"/>
      <c r="D643" s="145"/>
      <c r="E643" s="145"/>
      <c r="F643" s="145"/>
      <c r="G643" s="145"/>
      <c r="H643" s="190"/>
      <c r="I643" s="190"/>
      <c r="J643" s="190"/>
      <c r="K643" s="4"/>
    </row>
    <row r="644" spans="1:11" s="9" customFormat="1">
      <c r="A644" s="145"/>
      <c r="B644" s="190"/>
      <c r="C644" s="432"/>
      <c r="D644" s="145"/>
      <c r="E644" s="145"/>
      <c r="F644" s="145"/>
      <c r="G644" s="145"/>
      <c r="H644" s="190"/>
      <c r="I644" s="190"/>
      <c r="J644" s="190"/>
      <c r="K644" s="4"/>
    </row>
    <row r="645" spans="1:11" s="9" customFormat="1">
      <c r="A645" s="145"/>
      <c r="B645" s="190"/>
      <c r="C645" s="432"/>
      <c r="D645" s="145"/>
      <c r="E645" s="145"/>
      <c r="F645" s="145"/>
      <c r="G645" s="145"/>
      <c r="H645" s="190"/>
      <c r="I645" s="190"/>
      <c r="J645" s="190"/>
      <c r="K645" s="4"/>
    </row>
    <row r="646" spans="1:11" s="9" customFormat="1">
      <c r="A646" s="145"/>
      <c r="B646" s="190"/>
      <c r="C646" s="432"/>
      <c r="D646" s="145"/>
      <c r="E646" s="145"/>
      <c r="F646" s="145"/>
      <c r="G646" s="145"/>
      <c r="H646" s="190"/>
      <c r="I646" s="190"/>
      <c r="J646" s="190"/>
      <c r="K646" s="4"/>
    </row>
    <row r="647" spans="1:11" s="9" customFormat="1">
      <c r="A647" s="145"/>
      <c r="B647" s="190"/>
      <c r="C647" s="432"/>
      <c r="D647" s="145"/>
      <c r="E647" s="145"/>
      <c r="F647" s="145"/>
      <c r="G647" s="145"/>
      <c r="H647" s="190"/>
      <c r="I647" s="190"/>
      <c r="J647" s="190"/>
      <c r="K647" s="4"/>
    </row>
    <row r="648" spans="1:11" s="9" customFormat="1">
      <c r="A648" s="145"/>
      <c r="B648" s="190"/>
      <c r="C648" s="432"/>
      <c r="D648" s="145"/>
      <c r="E648" s="145"/>
      <c r="F648" s="145"/>
      <c r="G648" s="145"/>
      <c r="H648" s="190"/>
      <c r="I648" s="190"/>
      <c r="J648" s="190"/>
      <c r="K648" s="4"/>
    </row>
    <row r="649" spans="1:11" s="9" customFormat="1">
      <c r="A649" s="145"/>
      <c r="B649" s="190"/>
      <c r="C649" s="432"/>
      <c r="D649" s="145"/>
      <c r="E649" s="145"/>
      <c r="F649" s="145"/>
      <c r="G649" s="145"/>
      <c r="H649" s="190"/>
      <c r="I649" s="190"/>
      <c r="J649" s="190"/>
      <c r="K649" s="4"/>
    </row>
    <row r="650" spans="1:11" s="9" customFormat="1">
      <c r="A650" s="145"/>
      <c r="B650" s="190"/>
      <c r="C650" s="432"/>
      <c r="D650" s="145"/>
      <c r="E650" s="145"/>
      <c r="F650" s="145"/>
      <c r="G650" s="145"/>
      <c r="H650" s="190"/>
      <c r="I650" s="190"/>
      <c r="J650" s="190"/>
      <c r="K650" s="4"/>
    </row>
    <row r="651" spans="1:11" s="9" customFormat="1">
      <c r="A651" s="145"/>
      <c r="B651" s="190"/>
      <c r="C651" s="432"/>
      <c r="D651" s="145"/>
      <c r="E651" s="145"/>
      <c r="F651" s="145"/>
      <c r="G651" s="145"/>
      <c r="H651" s="190"/>
      <c r="I651" s="190"/>
      <c r="J651" s="190"/>
      <c r="K651" s="4"/>
    </row>
    <row r="652" spans="1:11" s="9" customFormat="1">
      <c r="A652" s="145"/>
      <c r="B652" s="190"/>
      <c r="C652" s="432"/>
      <c r="D652" s="145"/>
      <c r="E652" s="145"/>
      <c r="F652" s="145"/>
      <c r="G652" s="145"/>
      <c r="H652" s="190"/>
      <c r="I652" s="190"/>
      <c r="J652" s="190"/>
      <c r="K652" s="4"/>
    </row>
    <row r="653" spans="1:11" s="9" customFormat="1">
      <c r="A653" s="145"/>
      <c r="B653" s="190"/>
      <c r="C653" s="432"/>
      <c r="D653" s="145"/>
      <c r="E653" s="145"/>
      <c r="F653" s="145"/>
      <c r="G653" s="145"/>
      <c r="H653" s="190"/>
      <c r="I653" s="190"/>
      <c r="J653" s="190"/>
      <c r="K653" s="4"/>
    </row>
    <row r="654" spans="1:11" s="9" customFormat="1">
      <c r="A654" s="145"/>
      <c r="B654" s="190"/>
      <c r="C654" s="432"/>
      <c r="D654" s="145"/>
      <c r="E654" s="145"/>
      <c r="F654" s="145"/>
      <c r="G654" s="145"/>
      <c r="H654" s="190"/>
      <c r="I654" s="190"/>
      <c r="J654" s="190"/>
      <c r="K654" s="4"/>
    </row>
    <row r="655" spans="1:11" s="9" customFormat="1">
      <c r="A655" s="145"/>
      <c r="B655" s="190"/>
      <c r="C655" s="432"/>
      <c r="D655" s="145"/>
      <c r="E655" s="145"/>
      <c r="F655" s="145"/>
      <c r="G655" s="145"/>
      <c r="H655" s="190"/>
      <c r="I655" s="190"/>
      <c r="J655" s="190"/>
      <c r="K655" s="4"/>
    </row>
    <row r="656" spans="1:11" s="9" customFormat="1">
      <c r="A656" s="145"/>
      <c r="B656" s="190"/>
      <c r="C656" s="432"/>
      <c r="D656" s="145"/>
      <c r="E656" s="145"/>
      <c r="F656" s="145"/>
      <c r="G656" s="145"/>
      <c r="H656" s="190"/>
      <c r="I656" s="190"/>
      <c r="J656" s="190"/>
      <c r="K656" s="4"/>
    </row>
    <row r="657" spans="1:11" s="9" customFormat="1">
      <c r="A657" s="145"/>
      <c r="B657" s="190"/>
      <c r="C657" s="432"/>
      <c r="D657" s="145"/>
      <c r="E657" s="145"/>
      <c r="F657" s="145"/>
      <c r="G657" s="145"/>
      <c r="H657" s="190"/>
      <c r="I657" s="190"/>
      <c r="J657" s="190"/>
      <c r="K657" s="4"/>
    </row>
    <row r="658" spans="1:11" s="9" customFormat="1">
      <c r="A658" s="145"/>
      <c r="B658" s="190"/>
      <c r="C658" s="432"/>
      <c r="D658" s="145"/>
      <c r="E658" s="145"/>
      <c r="F658" s="145"/>
      <c r="G658" s="145"/>
      <c r="H658" s="190"/>
      <c r="I658" s="190"/>
      <c r="J658" s="190"/>
      <c r="K658" s="4"/>
    </row>
    <row r="659" spans="1:11" s="9" customFormat="1">
      <c r="A659" s="145"/>
      <c r="B659" s="190"/>
      <c r="C659" s="432"/>
      <c r="D659" s="145"/>
      <c r="E659" s="145"/>
      <c r="F659" s="145"/>
      <c r="G659" s="145"/>
      <c r="H659" s="190"/>
      <c r="I659" s="190"/>
      <c r="J659" s="190"/>
      <c r="K659" s="4"/>
    </row>
    <row r="660" spans="1:11" s="9" customFormat="1">
      <c r="A660" s="145"/>
      <c r="B660" s="190"/>
      <c r="C660" s="432"/>
      <c r="D660" s="145"/>
      <c r="E660" s="145"/>
      <c r="F660" s="145"/>
      <c r="G660" s="145"/>
      <c r="H660" s="190"/>
      <c r="I660" s="190"/>
      <c r="J660" s="190"/>
      <c r="K660" s="4"/>
    </row>
    <row r="661" spans="1:11" s="9" customFormat="1">
      <c r="A661" s="145"/>
      <c r="B661" s="190"/>
      <c r="C661" s="432"/>
      <c r="D661" s="145"/>
      <c r="E661" s="145"/>
      <c r="F661" s="145"/>
      <c r="G661" s="145"/>
      <c r="H661" s="190"/>
      <c r="I661" s="190"/>
      <c r="J661" s="190"/>
      <c r="K661" s="4"/>
    </row>
    <row r="662" spans="1:11" s="9" customFormat="1">
      <c r="A662" s="145"/>
      <c r="B662" s="190"/>
      <c r="C662" s="432"/>
      <c r="D662" s="145"/>
      <c r="E662" s="145"/>
      <c r="F662" s="145"/>
      <c r="G662" s="145"/>
      <c r="H662" s="190"/>
      <c r="I662" s="190"/>
      <c r="J662" s="190"/>
      <c r="K662" s="4"/>
    </row>
    <row r="663" spans="1:11" s="9" customFormat="1">
      <c r="A663" s="145"/>
      <c r="B663" s="190"/>
      <c r="C663" s="432"/>
      <c r="D663" s="145"/>
      <c r="E663" s="145"/>
      <c r="F663" s="145"/>
      <c r="G663" s="145"/>
      <c r="H663" s="190"/>
      <c r="I663" s="190"/>
      <c r="J663" s="190"/>
      <c r="K663" s="4"/>
    </row>
    <row r="664" spans="1:11" s="9" customFormat="1">
      <c r="A664" s="145"/>
      <c r="B664" s="190"/>
      <c r="C664" s="432"/>
      <c r="D664" s="145"/>
      <c r="E664" s="145"/>
      <c r="F664" s="145"/>
      <c r="G664" s="145"/>
      <c r="H664" s="190"/>
      <c r="I664" s="190"/>
      <c r="J664" s="190"/>
      <c r="K664" s="4"/>
    </row>
    <row r="665" spans="1:11" s="9" customFormat="1">
      <c r="A665" s="145"/>
      <c r="B665" s="190"/>
      <c r="C665" s="432"/>
      <c r="D665" s="145"/>
      <c r="E665" s="145"/>
      <c r="F665" s="145"/>
      <c r="G665" s="145"/>
      <c r="H665" s="190"/>
      <c r="I665" s="190"/>
      <c r="J665" s="190"/>
      <c r="K665" s="4"/>
    </row>
    <row r="666" spans="1:11" s="9" customFormat="1">
      <c r="A666" s="145"/>
      <c r="B666" s="190"/>
      <c r="C666" s="432"/>
      <c r="D666" s="145"/>
      <c r="E666" s="145"/>
      <c r="F666" s="145"/>
      <c r="G666" s="145"/>
      <c r="H666" s="190"/>
      <c r="I666" s="190"/>
      <c r="J666" s="190"/>
      <c r="K666" s="4"/>
    </row>
    <row r="667" spans="1:11" s="9" customFormat="1">
      <c r="A667" s="145"/>
      <c r="B667" s="190"/>
      <c r="C667" s="432"/>
      <c r="D667" s="145"/>
      <c r="E667" s="145"/>
      <c r="F667" s="145"/>
      <c r="G667" s="145"/>
      <c r="H667" s="190"/>
      <c r="I667" s="190"/>
      <c r="J667" s="190"/>
      <c r="K667" s="4"/>
    </row>
    <row r="668" spans="1:11" s="9" customFormat="1">
      <c r="A668" s="145"/>
      <c r="B668" s="190"/>
      <c r="C668" s="432"/>
      <c r="D668" s="145"/>
      <c r="E668" s="145"/>
      <c r="F668" s="145"/>
      <c r="G668" s="145"/>
      <c r="H668" s="190"/>
      <c r="I668" s="190"/>
      <c r="J668" s="190"/>
      <c r="K668" s="4"/>
    </row>
    <row r="669" spans="1:11" s="9" customFormat="1">
      <c r="A669" s="145"/>
      <c r="B669" s="190"/>
      <c r="C669" s="432"/>
      <c r="D669" s="145"/>
      <c r="E669" s="145"/>
      <c r="F669" s="145"/>
      <c r="G669" s="145"/>
      <c r="H669" s="190"/>
      <c r="I669" s="190"/>
      <c r="J669" s="190"/>
      <c r="K669" s="4"/>
    </row>
    <row r="670" spans="1:11" s="9" customFormat="1">
      <c r="A670" s="145"/>
      <c r="B670" s="190"/>
      <c r="C670" s="432"/>
      <c r="D670" s="145"/>
      <c r="E670" s="145"/>
      <c r="F670" s="145"/>
      <c r="G670" s="145"/>
      <c r="H670" s="190"/>
      <c r="I670" s="190"/>
      <c r="J670" s="190"/>
      <c r="K670" s="4"/>
    </row>
    <row r="671" spans="1:11" s="9" customFormat="1">
      <c r="A671" s="145"/>
      <c r="B671" s="190"/>
      <c r="C671" s="432"/>
      <c r="D671" s="145"/>
      <c r="E671" s="145"/>
      <c r="F671" s="145"/>
      <c r="G671" s="145"/>
      <c r="H671" s="190"/>
      <c r="I671" s="190"/>
      <c r="J671" s="190"/>
      <c r="K671" s="4"/>
    </row>
    <row r="672" spans="1:11" s="9" customFormat="1">
      <c r="A672" s="145"/>
      <c r="B672" s="190"/>
      <c r="C672" s="432"/>
      <c r="D672" s="145"/>
      <c r="E672" s="145"/>
      <c r="F672" s="145"/>
      <c r="G672" s="145"/>
      <c r="H672" s="190"/>
      <c r="I672" s="190"/>
      <c r="J672" s="190"/>
      <c r="K672" s="4"/>
    </row>
    <row r="673" spans="1:11" s="9" customFormat="1">
      <c r="A673" s="145"/>
      <c r="B673" s="190"/>
      <c r="C673" s="432"/>
      <c r="D673" s="145"/>
      <c r="E673" s="145"/>
      <c r="F673" s="145"/>
      <c r="G673" s="145"/>
      <c r="H673" s="190"/>
      <c r="I673" s="190"/>
      <c r="J673" s="190"/>
      <c r="K673" s="4"/>
    </row>
    <row r="674" spans="1:11" s="9" customFormat="1">
      <c r="A674" s="145"/>
      <c r="B674" s="190"/>
      <c r="C674" s="432"/>
      <c r="D674" s="145"/>
      <c r="E674" s="145"/>
      <c r="F674" s="145"/>
      <c r="G674" s="145"/>
      <c r="H674" s="190"/>
      <c r="I674" s="190"/>
      <c r="J674" s="190"/>
      <c r="K674" s="4"/>
    </row>
    <row r="675" spans="1:11" s="9" customFormat="1">
      <c r="A675" s="145"/>
      <c r="B675" s="190"/>
      <c r="C675" s="432"/>
      <c r="D675" s="145"/>
      <c r="E675" s="145"/>
      <c r="F675" s="145"/>
      <c r="G675" s="145"/>
      <c r="H675" s="190"/>
      <c r="I675" s="190"/>
      <c r="J675" s="190"/>
      <c r="K675" s="4"/>
    </row>
    <row r="676" spans="1:11" s="9" customFormat="1">
      <c r="A676" s="145"/>
      <c r="B676" s="190"/>
      <c r="C676" s="432"/>
      <c r="D676" s="145"/>
      <c r="E676" s="145"/>
      <c r="F676" s="145"/>
      <c r="G676" s="145"/>
      <c r="H676" s="190"/>
      <c r="I676" s="190"/>
      <c r="J676" s="190"/>
      <c r="K676" s="4"/>
    </row>
    <row r="677" spans="1:11" s="9" customFormat="1">
      <c r="A677" s="145"/>
      <c r="B677" s="190"/>
      <c r="C677" s="432"/>
      <c r="D677" s="145"/>
      <c r="E677" s="145"/>
      <c r="F677" s="145"/>
      <c r="G677" s="145"/>
      <c r="H677" s="190"/>
      <c r="I677" s="190"/>
      <c r="J677" s="190"/>
      <c r="K677" s="4"/>
    </row>
    <row r="678" spans="1:11" s="9" customFormat="1">
      <c r="A678" s="145"/>
      <c r="B678" s="190"/>
      <c r="C678" s="432"/>
      <c r="D678" s="145"/>
      <c r="E678" s="145"/>
      <c r="F678" s="145"/>
      <c r="G678" s="145"/>
      <c r="H678" s="190"/>
      <c r="I678" s="190"/>
      <c r="J678" s="190"/>
      <c r="K678" s="4"/>
    </row>
    <row r="679" spans="1:11" s="9" customFormat="1">
      <c r="A679" s="145"/>
      <c r="B679" s="190"/>
      <c r="C679" s="432"/>
      <c r="D679" s="145"/>
      <c r="E679" s="145"/>
      <c r="F679" s="145"/>
      <c r="G679" s="145"/>
      <c r="H679" s="190"/>
      <c r="I679" s="190"/>
      <c r="J679" s="190"/>
      <c r="K679" s="4"/>
    </row>
    <row r="680" spans="1:11" s="9" customFormat="1">
      <c r="A680" s="145"/>
      <c r="B680" s="190"/>
      <c r="C680" s="432"/>
      <c r="D680" s="145"/>
      <c r="E680" s="145"/>
      <c r="F680" s="145"/>
      <c r="G680" s="145"/>
      <c r="H680" s="190"/>
      <c r="I680" s="190"/>
      <c r="J680" s="190"/>
      <c r="K680" s="4"/>
    </row>
    <row r="681" spans="1:11" s="9" customFormat="1">
      <c r="A681" s="145"/>
      <c r="B681" s="190"/>
      <c r="C681" s="432"/>
      <c r="D681" s="145"/>
      <c r="E681" s="145"/>
      <c r="F681" s="145"/>
      <c r="G681" s="145"/>
      <c r="H681" s="190"/>
      <c r="I681" s="190"/>
      <c r="J681" s="190"/>
      <c r="K681" s="4"/>
    </row>
    <row r="682" spans="1:11" s="9" customFormat="1">
      <c r="A682" s="145"/>
      <c r="B682" s="190"/>
      <c r="C682" s="432"/>
      <c r="D682" s="145"/>
      <c r="E682" s="145"/>
      <c r="F682" s="145"/>
      <c r="G682" s="145"/>
      <c r="H682" s="190"/>
      <c r="I682" s="190"/>
      <c r="J682" s="190"/>
      <c r="K682" s="4"/>
    </row>
    <row r="683" spans="1:11" s="9" customFormat="1">
      <c r="A683" s="145"/>
      <c r="B683" s="190"/>
      <c r="C683" s="432"/>
      <c r="D683" s="145"/>
      <c r="E683" s="145"/>
      <c r="F683" s="145"/>
      <c r="G683" s="145"/>
      <c r="H683" s="190"/>
      <c r="I683" s="190"/>
      <c r="J683" s="190"/>
      <c r="K683" s="4"/>
    </row>
    <row r="684" spans="1:11" s="9" customFormat="1">
      <c r="A684" s="145"/>
      <c r="B684" s="190"/>
      <c r="C684" s="432"/>
      <c r="D684" s="145"/>
      <c r="E684" s="145"/>
      <c r="F684" s="145"/>
      <c r="G684" s="145"/>
      <c r="H684" s="190"/>
      <c r="I684" s="190"/>
      <c r="J684" s="190"/>
      <c r="K684" s="4"/>
    </row>
    <row r="685" spans="1:11" s="9" customFormat="1">
      <c r="A685" s="145"/>
      <c r="B685" s="190"/>
      <c r="C685" s="432"/>
      <c r="D685" s="145"/>
      <c r="E685" s="145"/>
      <c r="F685" s="145"/>
      <c r="G685" s="145"/>
      <c r="H685" s="190"/>
      <c r="I685" s="190"/>
      <c r="J685" s="190"/>
      <c r="K685" s="4"/>
    </row>
    <row r="686" spans="1:11" s="9" customFormat="1">
      <c r="A686" s="145"/>
      <c r="B686" s="190"/>
      <c r="C686" s="432"/>
      <c r="D686" s="145"/>
      <c r="E686" s="145"/>
      <c r="F686" s="145"/>
      <c r="G686" s="145"/>
      <c r="H686" s="190"/>
      <c r="I686" s="190"/>
      <c r="J686" s="190"/>
      <c r="K686" s="4"/>
    </row>
    <row r="687" spans="1:11" s="9" customFormat="1">
      <c r="A687" s="145"/>
      <c r="B687" s="190"/>
      <c r="C687" s="432"/>
      <c r="D687" s="145"/>
      <c r="E687" s="145"/>
      <c r="F687" s="145"/>
      <c r="G687" s="145"/>
      <c r="H687" s="190"/>
      <c r="I687" s="190"/>
      <c r="J687" s="190"/>
      <c r="K687" s="4"/>
    </row>
    <row r="688" spans="1:11" s="9" customFormat="1">
      <c r="A688" s="145"/>
      <c r="B688" s="190"/>
      <c r="C688" s="432"/>
      <c r="D688" s="145"/>
      <c r="E688" s="145"/>
      <c r="F688" s="145"/>
      <c r="G688" s="145"/>
      <c r="H688" s="190"/>
      <c r="I688" s="190"/>
      <c r="J688" s="190"/>
      <c r="K688" s="4"/>
    </row>
    <row r="689" spans="1:11" s="9" customFormat="1">
      <c r="A689" s="145"/>
      <c r="B689" s="190"/>
      <c r="C689" s="432"/>
      <c r="D689" s="145"/>
      <c r="E689" s="145"/>
      <c r="F689" s="145"/>
      <c r="G689" s="145"/>
      <c r="H689" s="190"/>
      <c r="I689" s="190"/>
      <c r="J689" s="190"/>
      <c r="K689" s="4"/>
    </row>
    <row r="690" spans="1:11" s="9" customFormat="1">
      <c r="A690" s="145"/>
      <c r="B690" s="190"/>
      <c r="C690" s="432"/>
      <c r="D690" s="145"/>
      <c r="E690" s="145"/>
      <c r="F690" s="145"/>
      <c r="G690" s="145"/>
      <c r="H690" s="190"/>
      <c r="I690" s="190"/>
      <c r="J690" s="190"/>
      <c r="K690" s="4"/>
    </row>
    <row r="691" spans="1:11" s="9" customFormat="1">
      <c r="A691" s="145"/>
      <c r="B691" s="190"/>
      <c r="C691" s="432"/>
      <c r="D691" s="145"/>
      <c r="E691" s="145"/>
      <c r="F691" s="145"/>
      <c r="G691" s="145"/>
      <c r="H691" s="190"/>
      <c r="I691" s="190"/>
      <c r="J691" s="190"/>
      <c r="K691" s="4"/>
    </row>
    <row r="692" spans="1:11" s="9" customFormat="1">
      <c r="A692" s="145"/>
      <c r="B692" s="190"/>
      <c r="C692" s="432"/>
      <c r="D692" s="145"/>
      <c r="E692" s="145"/>
      <c r="F692" s="145"/>
      <c r="G692" s="145"/>
      <c r="H692" s="190"/>
      <c r="I692" s="190"/>
      <c r="J692" s="190"/>
      <c r="K692" s="4"/>
    </row>
    <row r="693" spans="1:11" s="9" customFormat="1">
      <c r="A693" s="145"/>
      <c r="B693" s="190"/>
      <c r="C693" s="432"/>
      <c r="D693" s="145"/>
      <c r="E693" s="145"/>
      <c r="F693" s="145"/>
      <c r="G693" s="145"/>
      <c r="H693" s="190"/>
      <c r="I693" s="190"/>
      <c r="J693" s="190"/>
      <c r="K693" s="4"/>
    </row>
    <row r="694" spans="1:11" s="9" customFormat="1">
      <c r="A694" s="145"/>
      <c r="B694" s="190"/>
      <c r="C694" s="432"/>
      <c r="D694" s="145"/>
      <c r="E694" s="145"/>
      <c r="F694" s="145"/>
      <c r="G694" s="145"/>
      <c r="H694" s="190"/>
      <c r="I694" s="190"/>
      <c r="J694" s="190"/>
      <c r="K694" s="4"/>
    </row>
    <row r="695" spans="1:11" s="9" customFormat="1">
      <c r="A695" s="145"/>
      <c r="B695" s="190"/>
      <c r="C695" s="432"/>
      <c r="D695" s="145"/>
      <c r="E695" s="145"/>
      <c r="F695" s="145"/>
      <c r="G695" s="145"/>
      <c r="H695" s="190"/>
      <c r="I695" s="190"/>
      <c r="J695" s="190"/>
      <c r="K695" s="4"/>
    </row>
    <row r="696" spans="1:11" s="9" customFormat="1">
      <c r="A696" s="145"/>
      <c r="B696" s="190"/>
      <c r="C696" s="432"/>
      <c r="D696" s="145"/>
      <c r="E696" s="145"/>
      <c r="F696" s="145"/>
      <c r="G696" s="145"/>
      <c r="H696" s="190"/>
      <c r="I696" s="190"/>
      <c r="J696" s="190"/>
      <c r="K696" s="4"/>
    </row>
    <row r="697" spans="1:11" s="9" customFormat="1">
      <c r="A697" s="145"/>
      <c r="B697" s="190"/>
      <c r="C697" s="432"/>
      <c r="D697" s="145"/>
      <c r="E697" s="145"/>
      <c r="F697" s="145"/>
      <c r="G697" s="145"/>
      <c r="H697" s="190"/>
      <c r="I697" s="190"/>
      <c r="J697" s="190"/>
      <c r="K697" s="4"/>
    </row>
    <row r="698" spans="1:11" s="9" customFormat="1">
      <c r="A698" s="145"/>
      <c r="B698" s="190"/>
      <c r="C698" s="432"/>
      <c r="D698" s="145"/>
      <c r="E698" s="145"/>
      <c r="F698" s="145"/>
      <c r="G698" s="145"/>
      <c r="H698" s="190"/>
      <c r="I698" s="190"/>
      <c r="J698" s="190"/>
      <c r="K698" s="4"/>
    </row>
    <row r="699" spans="1:11" s="9" customFormat="1">
      <c r="A699" s="145"/>
      <c r="B699" s="190"/>
      <c r="C699" s="432"/>
      <c r="D699" s="145"/>
      <c r="E699" s="145"/>
      <c r="F699" s="145"/>
      <c r="G699" s="145"/>
      <c r="H699" s="190"/>
      <c r="I699" s="190"/>
      <c r="J699" s="190"/>
      <c r="K699" s="4"/>
    </row>
    <row r="700" spans="1:11" s="9" customFormat="1">
      <c r="A700" s="145"/>
      <c r="B700" s="190"/>
      <c r="C700" s="432"/>
      <c r="D700" s="145"/>
      <c r="E700" s="145"/>
      <c r="F700" s="145"/>
      <c r="G700" s="145"/>
      <c r="H700" s="190"/>
      <c r="I700" s="190"/>
      <c r="J700" s="190"/>
      <c r="K700" s="4"/>
    </row>
    <row r="701" spans="1:11" s="9" customFormat="1">
      <c r="A701" s="145"/>
      <c r="B701" s="190"/>
      <c r="C701" s="432"/>
      <c r="D701" s="145"/>
      <c r="E701" s="145"/>
      <c r="F701" s="145"/>
      <c r="G701" s="145"/>
      <c r="H701" s="190"/>
      <c r="I701" s="190"/>
      <c r="J701" s="190"/>
      <c r="K701" s="4"/>
    </row>
    <row r="702" spans="1:11" s="9" customFormat="1">
      <c r="A702" s="145"/>
      <c r="B702" s="190"/>
      <c r="C702" s="432"/>
      <c r="D702" s="145"/>
      <c r="E702" s="145"/>
      <c r="F702" s="145"/>
      <c r="G702" s="145"/>
      <c r="H702" s="190"/>
      <c r="I702" s="190"/>
      <c r="J702" s="190"/>
      <c r="K702" s="4"/>
    </row>
    <row r="703" spans="1:11" s="9" customFormat="1">
      <c r="A703" s="145"/>
      <c r="B703" s="190"/>
      <c r="C703" s="432"/>
      <c r="D703" s="145"/>
      <c r="E703" s="145"/>
      <c r="F703" s="145"/>
      <c r="G703" s="145"/>
      <c r="H703" s="190"/>
      <c r="I703" s="190"/>
      <c r="J703" s="190"/>
      <c r="K703" s="4"/>
    </row>
    <row r="704" spans="1:11" s="9" customFormat="1">
      <c r="A704" s="145"/>
      <c r="B704" s="190"/>
      <c r="C704" s="432"/>
      <c r="D704" s="145"/>
      <c r="E704" s="145"/>
      <c r="F704" s="145"/>
      <c r="G704" s="145"/>
      <c r="H704" s="190"/>
      <c r="I704" s="190"/>
      <c r="J704" s="190"/>
      <c r="K704" s="4"/>
    </row>
    <row r="705" spans="1:11" s="9" customFormat="1">
      <c r="A705" s="145"/>
      <c r="B705" s="190"/>
      <c r="C705" s="432"/>
      <c r="D705" s="145"/>
      <c r="E705" s="145"/>
      <c r="F705" s="145"/>
      <c r="G705" s="145"/>
      <c r="H705" s="190"/>
      <c r="I705" s="190"/>
      <c r="J705" s="190"/>
      <c r="K705" s="4"/>
    </row>
    <row r="706" spans="1:11" s="9" customFormat="1">
      <c r="A706" s="145"/>
      <c r="B706" s="190"/>
      <c r="C706" s="432"/>
      <c r="D706" s="145"/>
      <c r="E706" s="145"/>
      <c r="F706" s="145"/>
      <c r="G706" s="145"/>
      <c r="H706" s="190"/>
      <c r="I706" s="190"/>
      <c r="J706" s="190"/>
      <c r="K706" s="4"/>
    </row>
    <row r="707" spans="1:11" s="9" customFormat="1">
      <c r="A707" s="145"/>
      <c r="B707" s="190"/>
      <c r="C707" s="432"/>
      <c r="D707" s="145"/>
      <c r="E707" s="145"/>
      <c r="F707" s="145"/>
      <c r="G707" s="145"/>
      <c r="H707" s="190"/>
      <c r="I707" s="190"/>
      <c r="J707" s="190"/>
      <c r="K707" s="4"/>
    </row>
    <row r="708" spans="1:11" s="9" customFormat="1">
      <c r="A708" s="145"/>
      <c r="B708" s="190"/>
      <c r="C708" s="432"/>
      <c r="D708" s="145"/>
      <c r="E708" s="145"/>
      <c r="F708" s="145"/>
      <c r="G708" s="145"/>
      <c r="H708" s="190"/>
      <c r="I708" s="190"/>
      <c r="J708" s="190"/>
      <c r="K708" s="4"/>
    </row>
    <row r="709" spans="1:11" s="9" customFormat="1">
      <c r="A709" s="145"/>
      <c r="B709" s="190"/>
      <c r="C709" s="432"/>
      <c r="D709" s="145"/>
      <c r="E709" s="145"/>
      <c r="F709" s="145"/>
      <c r="G709" s="145"/>
      <c r="H709" s="190"/>
      <c r="I709" s="190"/>
      <c r="J709" s="190"/>
      <c r="K709" s="4"/>
    </row>
    <row r="710" spans="1:11" s="9" customFormat="1">
      <c r="A710" s="145"/>
      <c r="B710" s="190"/>
      <c r="C710" s="432"/>
      <c r="D710" s="145"/>
      <c r="E710" s="145"/>
      <c r="F710" s="145"/>
      <c r="G710" s="145"/>
      <c r="H710" s="190"/>
      <c r="I710" s="190"/>
      <c r="J710" s="190"/>
      <c r="K710" s="4"/>
    </row>
    <row r="711" spans="1:11" s="9" customFormat="1">
      <c r="A711" s="145"/>
      <c r="B711" s="190"/>
      <c r="C711" s="432"/>
      <c r="D711" s="145"/>
      <c r="E711" s="145"/>
      <c r="F711" s="145"/>
      <c r="G711" s="145"/>
      <c r="H711" s="190"/>
      <c r="I711" s="190"/>
      <c r="J711" s="190"/>
      <c r="K711" s="4"/>
    </row>
    <row r="712" spans="1:11" s="9" customFormat="1">
      <c r="A712" s="145"/>
      <c r="B712" s="190"/>
      <c r="C712" s="432"/>
      <c r="D712" s="145"/>
      <c r="E712" s="145"/>
      <c r="F712" s="145"/>
      <c r="G712" s="145"/>
      <c r="H712" s="190"/>
      <c r="I712" s="190"/>
      <c r="J712" s="190"/>
      <c r="K712" s="4"/>
    </row>
    <row r="713" spans="1:11" s="9" customFormat="1">
      <c r="A713" s="145"/>
      <c r="B713" s="190"/>
      <c r="C713" s="432"/>
      <c r="D713" s="145"/>
      <c r="E713" s="145"/>
      <c r="F713" s="145"/>
      <c r="G713" s="145"/>
      <c r="H713" s="190"/>
      <c r="I713" s="190"/>
      <c r="J713" s="190"/>
      <c r="K713" s="4"/>
    </row>
    <row r="714" spans="1:11" s="9" customFormat="1">
      <c r="A714" s="145"/>
      <c r="B714" s="190"/>
      <c r="C714" s="432"/>
      <c r="D714" s="145"/>
      <c r="E714" s="145"/>
      <c r="F714" s="145"/>
      <c r="G714" s="145"/>
      <c r="H714" s="190"/>
      <c r="I714" s="190"/>
      <c r="J714" s="190"/>
      <c r="K714" s="4"/>
    </row>
    <row r="715" spans="1:11" s="9" customFormat="1">
      <c r="A715" s="145"/>
      <c r="B715" s="190"/>
      <c r="C715" s="432"/>
      <c r="D715" s="145"/>
      <c r="E715" s="145"/>
      <c r="F715" s="145"/>
      <c r="G715" s="145"/>
      <c r="H715" s="190"/>
      <c r="I715" s="190"/>
      <c r="J715" s="190"/>
      <c r="K715" s="4"/>
    </row>
    <row r="716" spans="1:11" s="9" customFormat="1">
      <c r="A716" s="145"/>
      <c r="B716" s="190"/>
      <c r="C716" s="432"/>
      <c r="D716" s="145"/>
      <c r="E716" s="145"/>
      <c r="F716" s="145"/>
      <c r="G716" s="145"/>
      <c r="H716" s="190"/>
      <c r="I716" s="190"/>
      <c r="J716" s="190"/>
      <c r="K716" s="4"/>
    </row>
    <row r="717" spans="1:11" s="9" customFormat="1">
      <c r="A717" s="145"/>
      <c r="B717" s="190"/>
      <c r="C717" s="432"/>
      <c r="D717" s="145"/>
      <c r="E717" s="145"/>
      <c r="F717" s="145"/>
      <c r="G717" s="145"/>
      <c r="H717" s="190"/>
      <c r="I717" s="190"/>
      <c r="J717" s="190"/>
      <c r="K717" s="4"/>
    </row>
    <row r="718" spans="1:11" s="9" customFormat="1">
      <c r="A718" s="145"/>
      <c r="B718" s="190"/>
      <c r="C718" s="432"/>
      <c r="D718" s="145"/>
      <c r="E718" s="145"/>
      <c r="F718" s="145"/>
      <c r="G718" s="145"/>
      <c r="H718" s="190"/>
      <c r="I718" s="190"/>
      <c r="J718" s="190"/>
      <c r="K718" s="4"/>
    </row>
    <row r="719" spans="1:11" s="9" customFormat="1">
      <c r="A719" s="145"/>
      <c r="B719" s="190"/>
      <c r="C719" s="432"/>
      <c r="D719" s="145"/>
      <c r="E719" s="145"/>
      <c r="F719" s="145"/>
      <c r="G719" s="145"/>
      <c r="H719" s="190"/>
      <c r="I719" s="190"/>
      <c r="J719" s="190"/>
      <c r="K719" s="4"/>
    </row>
    <row r="720" spans="1:11" s="9" customFormat="1">
      <c r="A720" s="145"/>
      <c r="B720" s="190"/>
      <c r="C720" s="432"/>
      <c r="D720" s="145"/>
      <c r="E720" s="145"/>
      <c r="F720" s="145"/>
      <c r="G720" s="145"/>
      <c r="H720" s="190"/>
      <c r="I720" s="190"/>
      <c r="J720" s="190"/>
      <c r="K720" s="4"/>
    </row>
    <row r="721" spans="1:11" s="9" customFormat="1">
      <c r="A721" s="145"/>
      <c r="B721" s="190"/>
      <c r="C721" s="432"/>
      <c r="D721" s="145"/>
      <c r="E721" s="145"/>
      <c r="F721" s="145"/>
      <c r="G721" s="145"/>
      <c r="H721" s="190"/>
      <c r="I721" s="190"/>
      <c r="J721" s="190"/>
      <c r="K721" s="4"/>
    </row>
    <row r="722" spans="1:11" s="9" customFormat="1">
      <c r="A722" s="145"/>
      <c r="B722" s="190"/>
      <c r="C722" s="432"/>
      <c r="D722" s="145"/>
      <c r="E722" s="145"/>
      <c r="F722" s="145"/>
      <c r="G722" s="145"/>
      <c r="H722" s="190"/>
      <c r="I722" s="190"/>
      <c r="J722" s="190"/>
      <c r="K722" s="4"/>
    </row>
    <row r="723" spans="1:11" s="9" customFormat="1">
      <c r="A723" s="145"/>
      <c r="B723" s="190"/>
      <c r="C723" s="432"/>
      <c r="D723" s="145"/>
      <c r="E723" s="145"/>
      <c r="F723" s="145"/>
      <c r="G723" s="145"/>
      <c r="H723" s="190"/>
      <c r="I723" s="190"/>
      <c r="J723" s="190"/>
      <c r="K723" s="4"/>
    </row>
    <row r="724" spans="1:11" s="9" customFormat="1">
      <c r="A724" s="145"/>
      <c r="B724" s="190"/>
      <c r="C724" s="432"/>
      <c r="D724" s="145"/>
      <c r="E724" s="145"/>
      <c r="F724" s="145"/>
      <c r="G724" s="145"/>
      <c r="H724" s="190"/>
      <c r="I724" s="190"/>
      <c r="J724" s="190"/>
      <c r="K724" s="4"/>
    </row>
    <row r="725" spans="1:11" s="9" customFormat="1">
      <c r="A725" s="145"/>
      <c r="B725" s="190"/>
      <c r="C725" s="432"/>
      <c r="D725" s="145"/>
      <c r="E725" s="145"/>
      <c r="F725" s="145"/>
      <c r="G725" s="145"/>
      <c r="H725" s="190"/>
      <c r="I725" s="190"/>
      <c r="J725" s="190"/>
      <c r="K725" s="4"/>
    </row>
    <row r="726" spans="1:11" s="9" customFormat="1">
      <c r="A726" s="145"/>
      <c r="B726" s="190"/>
      <c r="C726" s="432"/>
      <c r="D726" s="145"/>
      <c r="E726" s="145"/>
      <c r="F726" s="145"/>
      <c r="G726" s="145"/>
      <c r="H726" s="190"/>
      <c r="I726" s="190"/>
      <c r="J726" s="190"/>
      <c r="K726" s="4"/>
    </row>
    <row r="727" spans="1:11" s="9" customFormat="1">
      <c r="A727" s="145"/>
      <c r="B727" s="190"/>
      <c r="C727" s="432"/>
      <c r="D727" s="145"/>
      <c r="E727" s="145"/>
      <c r="F727" s="145"/>
      <c r="G727" s="145"/>
      <c r="H727" s="190"/>
      <c r="I727" s="190"/>
      <c r="J727" s="190"/>
      <c r="K727" s="4"/>
    </row>
    <row r="728" spans="1:11" s="9" customFormat="1">
      <c r="A728" s="145"/>
      <c r="B728" s="190"/>
      <c r="C728" s="432"/>
      <c r="D728" s="145"/>
      <c r="E728" s="145"/>
      <c r="F728" s="145"/>
      <c r="G728" s="145"/>
      <c r="H728" s="190"/>
      <c r="I728" s="190"/>
      <c r="J728" s="190"/>
      <c r="K728" s="4"/>
    </row>
    <row r="729" spans="1:11" s="9" customFormat="1">
      <c r="A729" s="145"/>
      <c r="B729" s="190"/>
      <c r="C729" s="432"/>
      <c r="D729" s="145"/>
      <c r="E729" s="145"/>
      <c r="F729" s="145"/>
      <c r="G729" s="145"/>
      <c r="H729" s="190"/>
      <c r="I729" s="190"/>
      <c r="J729" s="190"/>
      <c r="K729" s="4"/>
    </row>
    <row r="730" spans="1:11" s="9" customFormat="1">
      <c r="A730" s="145"/>
      <c r="B730" s="190"/>
      <c r="C730" s="432"/>
      <c r="D730" s="145"/>
      <c r="E730" s="145"/>
      <c r="F730" s="145"/>
      <c r="G730" s="145"/>
      <c r="H730" s="190"/>
      <c r="I730" s="190"/>
      <c r="J730" s="190"/>
      <c r="K730" s="4"/>
    </row>
    <row r="731" spans="1:11" s="9" customFormat="1">
      <c r="A731" s="145"/>
      <c r="B731" s="190"/>
      <c r="C731" s="432"/>
      <c r="D731" s="145"/>
      <c r="E731" s="145"/>
      <c r="F731" s="145"/>
      <c r="G731" s="145"/>
      <c r="H731" s="190"/>
      <c r="I731" s="190"/>
      <c r="J731" s="190"/>
      <c r="K731" s="4"/>
    </row>
    <row r="732" spans="1:11" s="9" customFormat="1">
      <c r="A732" s="145"/>
      <c r="B732" s="190"/>
      <c r="C732" s="432"/>
      <c r="D732" s="145"/>
      <c r="E732" s="145"/>
      <c r="F732" s="145"/>
      <c r="G732" s="145"/>
      <c r="H732" s="190"/>
      <c r="I732" s="190"/>
      <c r="J732" s="190"/>
      <c r="K732" s="4"/>
    </row>
    <row r="733" spans="1:11" s="9" customFormat="1">
      <c r="A733" s="145"/>
      <c r="B733" s="190"/>
      <c r="C733" s="432"/>
      <c r="D733" s="145"/>
      <c r="E733" s="145"/>
      <c r="F733" s="145"/>
      <c r="G733" s="145"/>
      <c r="H733" s="190"/>
      <c r="I733" s="190"/>
      <c r="J733" s="190"/>
      <c r="K733" s="4"/>
    </row>
    <row r="734" spans="1:11" s="9" customFormat="1">
      <c r="A734" s="145"/>
      <c r="B734" s="190"/>
      <c r="C734" s="432"/>
      <c r="D734" s="145"/>
      <c r="E734" s="145"/>
      <c r="F734" s="145"/>
      <c r="G734" s="145"/>
      <c r="H734" s="190"/>
      <c r="I734" s="190"/>
      <c r="J734" s="190"/>
      <c r="K734" s="4"/>
    </row>
    <row r="735" spans="1:11" s="9" customFormat="1">
      <c r="A735" s="145"/>
      <c r="B735" s="190"/>
      <c r="C735" s="432"/>
      <c r="D735" s="145"/>
      <c r="E735" s="145"/>
      <c r="F735" s="145"/>
      <c r="G735" s="145"/>
      <c r="H735" s="190"/>
      <c r="I735" s="190"/>
      <c r="J735" s="190"/>
      <c r="K735" s="4"/>
    </row>
    <row r="736" spans="1:11" s="9" customFormat="1">
      <c r="A736" s="145"/>
      <c r="B736" s="190"/>
      <c r="C736" s="432"/>
      <c r="D736" s="145"/>
      <c r="E736" s="145"/>
      <c r="F736" s="145"/>
      <c r="G736" s="145"/>
      <c r="H736" s="190"/>
      <c r="I736" s="190"/>
      <c r="J736" s="190"/>
      <c r="K736" s="4"/>
    </row>
    <row r="737" spans="1:11" s="9" customFormat="1">
      <c r="A737" s="145"/>
      <c r="B737" s="190"/>
      <c r="C737" s="432"/>
      <c r="D737" s="145"/>
      <c r="E737" s="145"/>
      <c r="F737" s="145"/>
      <c r="G737" s="145"/>
      <c r="H737" s="190"/>
      <c r="I737" s="190"/>
      <c r="J737" s="190"/>
      <c r="K737" s="4"/>
    </row>
    <row r="738" spans="1:11" s="9" customFormat="1">
      <c r="A738" s="145"/>
      <c r="B738" s="190"/>
      <c r="C738" s="432"/>
      <c r="D738" s="145"/>
      <c r="E738" s="145"/>
      <c r="F738" s="145"/>
      <c r="G738" s="145"/>
      <c r="H738" s="190"/>
      <c r="I738" s="190"/>
      <c r="J738" s="190"/>
      <c r="K738" s="4"/>
    </row>
    <row r="739" spans="1:11" s="9" customFormat="1">
      <c r="A739" s="145"/>
      <c r="B739" s="190"/>
      <c r="C739" s="432"/>
      <c r="D739" s="145"/>
      <c r="E739" s="145"/>
      <c r="F739" s="145"/>
      <c r="G739" s="145"/>
      <c r="H739" s="190"/>
      <c r="I739" s="190"/>
      <c r="J739" s="190"/>
      <c r="K739" s="4"/>
    </row>
    <row r="740" spans="1:11" s="9" customFormat="1">
      <c r="A740" s="145"/>
      <c r="B740" s="190"/>
      <c r="C740" s="432"/>
      <c r="D740" s="145"/>
      <c r="E740" s="145"/>
      <c r="F740" s="145"/>
      <c r="G740" s="145"/>
      <c r="H740" s="190"/>
      <c r="I740" s="190"/>
      <c r="J740" s="190"/>
      <c r="K740" s="4"/>
    </row>
    <row r="741" spans="1:11" s="9" customFormat="1">
      <c r="A741" s="145"/>
      <c r="B741" s="190"/>
      <c r="C741" s="432"/>
      <c r="D741" s="145"/>
      <c r="E741" s="145"/>
      <c r="F741" s="145"/>
      <c r="G741" s="145"/>
      <c r="H741" s="190"/>
      <c r="I741" s="190"/>
      <c r="J741" s="190"/>
      <c r="K741" s="4"/>
    </row>
    <row r="742" spans="1:11" s="9" customFormat="1">
      <c r="A742" s="145"/>
      <c r="B742" s="190"/>
      <c r="C742" s="432"/>
      <c r="D742" s="145"/>
      <c r="E742" s="145"/>
      <c r="F742" s="145"/>
      <c r="G742" s="145"/>
      <c r="H742" s="190"/>
      <c r="I742" s="190"/>
      <c r="J742" s="190"/>
      <c r="K742" s="4"/>
    </row>
    <row r="743" spans="1:11" s="9" customFormat="1">
      <c r="A743" s="145"/>
      <c r="B743" s="190"/>
      <c r="C743" s="432"/>
      <c r="D743" s="145"/>
      <c r="E743" s="145"/>
      <c r="F743" s="145"/>
      <c r="G743" s="145"/>
      <c r="H743" s="190"/>
      <c r="I743" s="190"/>
      <c r="J743" s="190"/>
      <c r="K743" s="4"/>
    </row>
    <row r="744" spans="1:11" s="9" customFormat="1">
      <c r="A744" s="145"/>
      <c r="B744" s="190"/>
      <c r="C744" s="432"/>
      <c r="D744" s="145"/>
      <c r="E744" s="145"/>
      <c r="F744" s="145"/>
      <c r="G744" s="145"/>
      <c r="H744" s="190"/>
      <c r="I744" s="190"/>
      <c r="J744" s="190"/>
      <c r="K744" s="4"/>
    </row>
    <row r="745" spans="1:11" s="9" customFormat="1">
      <c r="A745" s="145"/>
      <c r="B745" s="190"/>
      <c r="C745" s="432"/>
      <c r="D745" s="145"/>
      <c r="E745" s="145"/>
      <c r="F745" s="145"/>
      <c r="G745" s="145"/>
      <c r="H745" s="190"/>
      <c r="I745" s="190"/>
      <c r="J745" s="190"/>
      <c r="K745" s="4"/>
    </row>
    <row r="746" spans="1:11" s="9" customFormat="1">
      <c r="A746" s="145"/>
      <c r="B746" s="190"/>
      <c r="C746" s="432"/>
      <c r="D746" s="145"/>
      <c r="E746" s="145"/>
      <c r="F746" s="145"/>
      <c r="G746" s="145"/>
      <c r="H746" s="190"/>
      <c r="I746" s="190"/>
      <c r="J746" s="190"/>
      <c r="K746" s="4"/>
    </row>
    <row r="747" spans="1:11" s="9" customFormat="1">
      <c r="A747" s="145"/>
      <c r="B747" s="190"/>
      <c r="C747" s="432"/>
      <c r="D747" s="145"/>
      <c r="E747" s="145"/>
      <c r="F747" s="145"/>
      <c r="G747" s="145"/>
      <c r="H747" s="190"/>
      <c r="I747" s="190"/>
      <c r="J747" s="190"/>
      <c r="K747" s="4"/>
    </row>
    <row r="748" spans="1:11" s="9" customFormat="1">
      <c r="A748" s="145"/>
      <c r="B748" s="190"/>
      <c r="C748" s="432"/>
      <c r="D748" s="145"/>
      <c r="E748" s="145"/>
      <c r="F748" s="145"/>
      <c r="G748" s="145"/>
      <c r="H748" s="190"/>
      <c r="I748" s="190"/>
      <c r="J748" s="190"/>
      <c r="K748" s="4"/>
    </row>
    <row r="749" spans="1:11" s="9" customFormat="1">
      <c r="A749" s="145"/>
      <c r="B749" s="190"/>
      <c r="C749" s="432"/>
      <c r="D749" s="145"/>
      <c r="E749" s="145"/>
      <c r="F749" s="145"/>
      <c r="G749" s="145"/>
      <c r="H749" s="190"/>
      <c r="I749" s="190"/>
      <c r="J749" s="190"/>
      <c r="K749" s="4"/>
    </row>
    <row r="750" spans="1:11" s="9" customFormat="1">
      <c r="A750" s="145"/>
      <c r="B750" s="190"/>
      <c r="C750" s="432"/>
      <c r="D750" s="145"/>
      <c r="E750" s="145"/>
      <c r="F750" s="145"/>
      <c r="G750" s="145"/>
      <c r="H750" s="190"/>
      <c r="I750" s="190"/>
      <c r="J750" s="190"/>
      <c r="K750" s="4"/>
    </row>
    <row r="751" spans="1:11" s="9" customFormat="1">
      <c r="A751" s="145"/>
      <c r="B751" s="190"/>
      <c r="C751" s="432"/>
      <c r="D751" s="145"/>
      <c r="E751" s="145"/>
      <c r="F751" s="145"/>
      <c r="G751" s="145"/>
      <c r="H751" s="190"/>
      <c r="I751" s="190"/>
      <c r="J751" s="190"/>
      <c r="K751" s="4"/>
    </row>
    <row r="752" spans="1:11" s="9" customFormat="1">
      <c r="A752" s="145"/>
      <c r="B752" s="190"/>
      <c r="C752" s="432"/>
      <c r="D752" s="145"/>
      <c r="E752" s="145"/>
      <c r="F752" s="145"/>
      <c r="G752" s="145"/>
      <c r="H752" s="190"/>
      <c r="I752" s="190"/>
      <c r="J752" s="190"/>
      <c r="K752" s="4"/>
    </row>
    <row r="753" spans="1:11" s="9" customFormat="1">
      <c r="A753" s="145"/>
      <c r="B753" s="190"/>
      <c r="C753" s="432"/>
      <c r="D753" s="145"/>
      <c r="E753" s="145"/>
      <c r="F753" s="145"/>
      <c r="G753" s="145"/>
      <c r="H753" s="190"/>
      <c r="I753" s="190"/>
      <c r="J753" s="190"/>
      <c r="K753" s="4"/>
    </row>
    <row r="754" spans="1:11" s="9" customFormat="1">
      <c r="A754" s="145"/>
      <c r="B754" s="190"/>
      <c r="C754" s="432"/>
      <c r="D754" s="145"/>
      <c r="E754" s="145"/>
      <c r="F754" s="145"/>
      <c r="G754" s="145"/>
      <c r="H754" s="190"/>
      <c r="I754" s="190"/>
      <c r="J754" s="190"/>
      <c r="K754" s="4"/>
    </row>
    <row r="755" spans="1:11" s="9" customFormat="1">
      <c r="A755" s="145"/>
      <c r="B755" s="190"/>
      <c r="C755" s="432"/>
      <c r="D755" s="145"/>
      <c r="E755" s="145"/>
      <c r="F755" s="145"/>
      <c r="G755" s="145"/>
      <c r="H755" s="190"/>
      <c r="I755" s="190"/>
      <c r="J755" s="190"/>
      <c r="K755" s="4"/>
    </row>
    <row r="756" spans="1:11" s="9" customFormat="1">
      <c r="A756" s="145"/>
      <c r="B756" s="190"/>
      <c r="C756" s="432"/>
      <c r="D756" s="145"/>
      <c r="E756" s="145"/>
      <c r="F756" s="145"/>
      <c r="G756" s="145"/>
      <c r="H756" s="190"/>
      <c r="I756" s="190"/>
      <c r="J756" s="190"/>
      <c r="K756" s="4"/>
    </row>
    <row r="757" spans="1:11" s="9" customFormat="1">
      <c r="A757" s="145"/>
      <c r="B757" s="190"/>
      <c r="C757" s="432"/>
      <c r="D757" s="145"/>
      <c r="E757" s="145"/>
      <c r="F757" s="145"/>
      <c r="G757" s="145"/>
      <c r="H757" s="190"/>
      <c r="I757" s="190"/>
      <c r="J757" s="190"/>
      <c r="K757" s="4"/>
    </row>
    <row r="758" spans="1:11" s="9" customFormat="1">
      <c r="A758" s="145"/>
      <c r="B758" s="190"/>
      <c r="C758" s="432"/>
      <c r="D758" s="145"/>
      <c r="E758" s="145"/>
      <c r="F758" s="145"/>
      <c r="G758" s="145"/>
      <c r="H758" s="190"/>
      <c r="I758" s="190"/>
      <c r="J758" s="190"/>
      <c r="K758" s="4"/>
    </row>
    <row r="759" spans="1:11" s="9" customFormat="1">
      <c r="A759" s="145"/>
      <c r="B759" s="190"/>
      <c r="C759" s="432"/>
      <c r="D759" s="145"/>
      <c r="E759" s="145"/>
      <c r="F759" s="145"/>
      <c r="G759" s="145"/>
      <c r="H759" s="190"/>
      <c r="I759" s="190"/>
      <c r="J759" s="190"/>
      <c r="K759" s="4"/>
    </row>
    <row r="760" spans="1:11" s="9" customFormat="1">
      <c r="A760" s="145"/>
      <c r="B760" s="190"/>
      <c r="C760" s="432"/>
      <c r="D760" s="145"/>
      <c r="E760" s="145"/>
      <c r="F760" s="145"/>
      <c r="G760" s="145"/>
      <c r="H760" s="190"/>
      <c r="I760" s="190"/>
      <c r="J760" s="190"/>
      <c r="K760" s="4"/>
    </row>
    <row r="761" spans="1:11" s="9" customFormat="1">
      <c r="A761" s="145"/>
      <c r="B761" s="190"/>
      <c r="C761" s="432"/>
      <c r="D761" s="145"/>
      <c r="E761" s="145"/>
      <c r="F761" s="145"/>
      <c r="G761" s="145"/>
      <c r="H761" s="190"/>
      <c r="I761" s="190"/>
      <c r="J761" s="190"/>
      <c r="K761" s="4"/>
    </row>
    <row r="762" spans="1:11" s="9" customFormat="1">
      <c r="A762" s="145"/>
      <c r="B762" s="190"/>
      <c r="C762" s="432"/>
      <c r="D762" s="145"/>
      <c r="E762" s="145"/>
      <c r="F762" s="145"/>
      <c r="G762" s="145"/>
      <c r="H762" s="190"/>
      <c r="I762" s="190"/>
      <c r="J762" s="190"/>
      <c r="K762" s="4"/>
    </row>
    <row r="763" spans="1:11" s="9" customFormat="1">
      <c r="A763" s="145"/>
      <c r="B763" s="190"/>
      <c r="C763" s="432"/>
      <c r="D763" s="145"/>
      <c r="E763" s="145"/>
      <c r="F763" s="145"/>
      <c r="G763" s="145"/>
      <c r="H763" s="190"/>
      <c r="I763" s="190"/>
      <c r="J763" s="190"/>
      <c r="K763" s="4"/>
    </row>
    <row r="764" spans="1:11" s="9" customFormat="1">
      <c r="A764" s="145"/>
      <c r="B764" s="190"/>
      <c r="C764" s="432"/>
      <c r="D764" s="145"/>
      <c r="E764" s="145"/>
      <c r="F764" s="145"/>
      <c r="G764" s="145"/>
      <c r="H764" s="190"/>
      <c r="I764" s="190"/>
      <c r="J764" s="190"/>
      <c r="K764" s="4"/>
    </row>
    <row r="765" spans="1:11" s="9" customFormat="1">
      <c r="A765" s="145"/>
      <c r="B765" s="190"/>
      <c r="C765" s="432"/>
      <c r="D765" s="145"/>
      <c r="E765" s="145"/>
      <c r="F765" s="145"/>
      <c r="G765" s="145"/>
      <c r="H765" s="190"/>
      <c r="I765" s="190"/>
      <c r="J765" s="190"/>
      <c r="K765" s="4"/>
    </row>
    <row r="766" spans="1:11" s="9" customFormat="1">
      <c r="A766" s="145"/>
      <c r="B766" s="190"/>
      <c r="C766" s="432"/>
      <c r="D766" s="145"/>
      <c r="E766" s="145"/>
      <c r="F766" s="145"/>
      <c r="G766" s="145"/>
      <c r="H766" s="190"/>
      <c r="I766" s="190"/>
      <c r="J766" s="190"/>
      <c r="K766" s="4"/>
    </row>
    <row r="767" spans="1:11" s="9" customFormat="1">
      <c r="A767" s="145"/>
      <c r="B767" s="190"/>
      <c r="C767" s="432"/>
      <c r="D767" s="145"/>
      <c r="E767" s="145"/>
      <c r="F767" s="145"/>
      <c r="G767" s="145"/>
      <c r="H767" s="190"/>
      <c r="I767" s="190"/>
      <c r="J767" s="190"/>
      <c r="K767" s="4"/>
    </row>
    <row r="768" spans="1:11" s="9" customFormat="1">
      <c r="A768" s="145"/>
      <c r="B768" s="190"/>
      <c r="C768" s="432"/>
      <c r="D768" s="145"/>
      <c r="E768" s="145"/>
      <c r="F768" s="145"/>
      <c r="G768" s="145"/>
      <c r="H768" s="190"/>
      <c r="I768" s="190"/>
      <c r="J768" s="190"/>
      <c r="K768" s="4"/>
    </row>
    <row r="769" spans="1:11" s="9" customFormat="1">
      <c r="A769" s="145"/>
      <c r="B769" s="190"/>
      <c r="C769" s="432"/>
      <c r="D769" s="145"/>
      <c r="E769" s="145"/>
      <c r="F769" s="145"/>
      <c r="G769" s="145"/>
      <c r="H769" s="190"/>
      <c r="I769" s="190"/>
      <c r="J769" s="190"/>
      <c r="K769" s="4"/>
    </row>
    <row r="770" spans="1:11" s="9" customFormat="1">
      <c r="A770" s="145"/>
      <c r="B770" s="190"/>
      <c r="C770" s="432"/>
      <c r="D770" s="145"/>
      <c r="E770" s="145"/>
      <c r="F770" s="145"/>
      <c r="G770" s="145"/>
      <c r="H770" s="190"/>
      <c r="I770" s="190"/>
      <c r="J770" s="190"/>
      <c r="K770" s="4"/>
    </row>
    <row r="771" spans="1:11" s="9" customFormat="1">
      <c r="A771" s="145"/>
      <c r="B771" s="190"/>
      <c r="C771" s="432"/>
      <c r="D771" s="145"/>
      <c r="E771" s="145"/>
      <c r="F771" s="145"/>
      <c r="G771" s="145"/>
      <c r="H771" s="190"/>
      <c r="I771" s="190"/>
      <c r="J771" s="190"/>
      <c r="K771" s="4"/>
    </row>
    <row r="772" spans="1:11" s="9" customFormat="1">
      <c r="A772" s="145"/>
      <c r="B772" s="190"/>
      <c r="C772" s="432"/>
      <c r="D772" s="145"/>
      <c r="E772" s="145"/>
      <c r="F772" s="145"/>
      <c r="G772" s="145"/>
      <c r="H772" s="190"/>
      <c r="I772" s="190"/>
      <c r="J772" s="190"/>
      <c r="K772" s="4"/>
    </row>
    <row r="773" spans="1:11" s="9" customFormat="1">
      <c r="A773" s="145"/>
      <c r="B773" s="190"/>
      <c r="C773" s="432"/>
      <c r="D773" s="145"/>
      <c r="E773" s="145"/>
      <c r="F773" s="145"/>
      <c r="G773" s="145"/>
      <c r="H773" s="190"/>
      <c r="I773" s="190"/>
      <c r="J773" s="190"/>
      <c r="K773" s="4"/>
    </row>
    <row r="774" spans="1:11" s="9" customFormat="1">
      <c r="A774" s="145"/>
      <c r="B774" s="190"/>
      <c r="C774" s="432"/>
      <c r="D774" s="145"/>
      <c r="E774" s="145"/>
      <c r="F774" s="145"/>
      <c r="G774" s="145"/>
      <c r="H774" s="190"/>
      <c r="I774" s="190"/>
      <c r="J774" s="190"/>
      <c r="K774" s="4"/>
    </row>
    <row r="775" spans="1:11" s="9" customFormat="1">
      <c r="A775" s="145"/>
      <c r="B775" s="190"/>
      <c r="C775" s="432"/>
      <c r="D775" s="145"/>
      <c r="E775" s="145"/>
      <c r="F775" s="145"/>
      <c r="G775" s="145"/>
      <c r="H775" s="190"/>
      <c r="I775" s="190"/>
      <c r="J775" s="190"/>
      <c r="K775" s="4"/>
    </row>
    <row r="776" spans="1:11" s="9" customFormat="1">
      <c r="A776" s="145"/>
      <c r="B776" s="190"/>
      <c r="C776" s="432"/>
      <c r="D776" s="145"/>
      <c r="E776" s="145"/>
      <c r="F776" s="145"/>
      <c r="G776" s="145"/>
      <c r="H776" s="190"/>
      <c r="I776" s="190"/>
      <c r="J776" s="190"/>
      <c r="K776" s="4"/>
    </row>
    <row r="777" spans="1:11" s="9" customFormat="1">
      <c r="A777" s="145"/>
      <c r="B777" s="190"/>
      <c r="C777" s="432"/>
      <c r="D777" s="145"/>
      <c r="E777" s="145"/>
      <c r="F777" s="145"/>
      <c r="G777" s="145"/>
      <c r="H777" s="190"/>
      <c r="I777" s="190"/>
      <c r="J777" s="190"/>
      <c r="K777" s="4"/>
    </row>
    <row r="778" spans="1:11" s="9" customFormat="1">
      <c r="A778" s="145"/>
      <c r="B778" s="190"/>
      <c r="C778" s="432"/>
      <c r="D778" s="145"/>
      <c r="E778" s="145"/>
      <c r="F778" s="145"/>
      <c r="G778" s="145"/>
      <c r="H778" s="190"/>
      <c r="I778" s="190"/>
      <c r="J778" s="190"/>
      <c r="K778" s="4"/>
    </row>
    <row r="779" spans="1:11" s="9" customFormat="1">
      <c r="A779" s="145"/>
      <c r="B779" s="190"/>
      <c r="C779" s="432"/>
      <c r="D779" s="145"/>
      <c r="E779" s="145"/>
      <c r="F779" s="145"/>
      <c r="G779" s="145"/>
      <c r="H779" s="190"/>
      <c r="I779" s="190"/>
      <c r="J779" s="190"/>
      <c r="K779" s="4"/>
    </row>
    <row r="780" spans="1:11" s="9" customFormat="1">
      <c r="A780" s="145"/>
      <c r="B780" s="190"/>
      <c r="C780" s="432"/>
      <c r="D780" s="145"/>
      <c r="E780" s="145"/>
      <c r="F780" s="145"/>
      <c r="G780" s="145"/>
      <c r="H780" s="190"/>
      <c r="I780" s="190"/>
      <c r="J780" s="190"/>
      <c r="K780" s="4"/>
    </row>
    <row r="781" spans="1:11" s="9" customFormat="1">
      <c r="A781" s="145"/>
      <c r="B781" s="190"/>
      <c r="C781" s="432"/>
      <c r="D781" s="145"/>
      <c r="E781" s="145"/>
      <c r="F781" s="145"/>
      <c r="G781" s="145"/>
      <c r="H781" s="190"/>
      <c r="I781" s="190"/>
      <c r="J781" s="190"/>
      <c r="K781" s="4"/>
    </row>
    <row r="782" spans="1:11" s="9" customFormat="1">
      <c r="A782" s="145"/>
      <c r="B782" s="190"/>
      <c r="C782" s="432"/>
      <c r="D782" s="145"/>
      <c r="E782" s="145"/>
      <c r="F782" s="145"/>
      <c r="G782" s="145"/>
      <c r="H782" s="190"/>
      <c r="I782" s="190"/>
      <c r="J782" s="190"/>
      <c r="K782" s="4"/>
    </row>
    <row r="783" spans="1:11" s="9" customFormat="1">
      <c r="A783" s="145"/>
      <c r="B783" s="190"/>
      <c r="C783" s="432"/>
      <c r="D783" s="145"/>
      <c r="E783" s="145"/>
      <c r="F783" s="145"/>
      <c r="G783" s="145"/>
      <c r="H783" s="190"/>
      <c r="I783" s="190"/>
      <c r="J783" s="190"/>
      <c r="K783" s="4"/>
    </row>
    <row r="784" spans="1:11" s="9" customFormat="1">
      <c r="A784" s="145"/>
      <c r="B784" s="190"/>
      <c r="C784" s="432"/>
      <c r="D784" s="145"/>
      <c r="E784" s="145"/>
      <c r="F784" s="145"/>
      <c r="G784" s="145"/>
      <c r="H784" s="190"/>
      <c r="I784" s="190"/>
      <c r="J784" s="190"/>
      <c r="K784" s="4"/>
    </row>
    <row r="785" spans="1:11" s="9" customFormat="1">
      <c r="A785" s="145"/>
      <c r="B785" s="190"/>
      <c r="C785" s="432"/>
      <c r="D785" s="145"/>
      <c r="E785" s="145"/>
      <c r="F785" s="145"/>
      <c r="G785" s="145"/>
      <c r="H785" s="190"/>
      <c r="I785" s="190"/>
      <c r="J785" s="190"/>
      <c r="K785" s="4"/>
    </row>
    <row r="786" spans="1:11" s="9" customFormat="1">
      <c r="A786" s="145"/>
      <c r="B786" s="190"/>
      <c r="C786" s="432"/>
      <c r="D786" s="145"/>
      <c r="E786" s="145"/>
      <c r="F786" s="145"/>
      <c r="G786" s="145"/>
      <c r="H786" s="190"/>
      <c r="I786" s="190"/>
      <c r="J786" s="190"/>
      <c r="K786" s="4"/>
    </row>
    <row r="787" spans="1:11" s="9" customFormat="1">
      <c r="A787" s="145"/>
      <c r="B787" s="190"/>
      <c r="C787" s="432"/>
      <c r="D787" s="145"/>
      <c r="E787" s="145"/>
      <c r="F787" s="145"/>
      <c r="G787" s="145"/>
      <c r="H787" s="190"/>
      <c r="I787" s="190"/>
      <c r="J787" s="190"/>
      <c r="K787" s="4"/>
    </row>
    <row r="788" spans="1:11" s="9" customFormat="1">
      <c r="A788" s="145"/>
      <c r="B788" s="190"/>
      <c r="C788" s="432"/>
      <c r="D788" s="145"/>
      <c r="E788" s="145"/>
      <c r="F788" s="145"/>
      <c r="G788" s="145"/>
      <c r="H788" s="190"/>
      <c r="I788" s="190"/>
      <c r="J788" s="190"/>
      <c r="K788" s="4"/>
    </row>
    <row r="789" spans="1:11" s="9" customFormat="1">
      <c r="A789" s="145"/>
      <c r="B789" s="190"/>
      <c r="C789" s="432"/>
      <c r="D789" s="145"/>
      <c r="E789" s="145"/>
      <c r="F789" s="145"/>
      <c r="G789" s="145"/>
      <c r="H789" s="190"/>
      <c r="I789" s="190"/>
      <c r="J789" s="190"/>
      <c r="K789" s="4"/>
    </row>
    <row r="790" spans="1:11" s="9" customFormat="1">
      <c r="A790" s="145"/>
      <c r="B790" s="190"/>
      <c r="C790" s="432"/>
      <c r="D790" s="145"/>
      <c r="E790" s="145"/>
      <c r="F790" s="145"/>
      <c r="G790" s="145"/>
      <c r="H790" s="190"/>
      <c r="I790" s="190"/>
      <c r="J790" s="190"/>
      <c r="K790" s="4"/>
    </row>
    <row r="791" spans="1:11" s="9" customFormat="1">
      <c r="A791" s="145"/>
      <c r="B791" s="190"/>
      <c r="C791" s="432"/>
      <c r="D791" s="145"/>
      <c r="E791" s="145"/>
      <c r="F791" s="145"/>
      <c r="G791" s="145"/>
      <c r="H791" s="190"/>
      <c r="I791" s="190"/>
      <c r="J791" s="190"/>
      <c r="K791" s="4"/>
    </row>
    <row r="792" spans="1:11" s="9" customFormat="1">
      <c r="A792" s="145"/>
      <c r="B792" s="190"/>
      <c r="C792" s="432"/>
      <c r="D792" s="145"/>
      <c r="E792" s="145"/>
      <c r="F792" s="145"/>
      <c r="G792" s="145"/>
      <c r="H792" s="190"/>
      <c r="I792" s="190"/>
      <c r="J792" s="190"/>
      <c r="K792" s="4"/>
    </row>
    <row r="793" spans="1:11" s="9" customFormat="1">
      <c r="A793" s="145"/>
      <c r="B793" s="190"/>
      <c r="C793" s="432"/>
      <c r="D793" s="145"/>
      <c r="E793" s="145"/>
      <c r="F793" s="145"/>
      <c r="G793" s="145"/>
      <c r="H793" s="190"/>
      <c r="I793" s="190"/>
      <c r="J793" s="190"/>
      <c r="K793" s="4"/>
    </row>
    <row r="794" spans="1:11" s="9" customFormat="1">
      <c r="A794" s="145"/>
      <c r="B794" s="190"/>
      <c r="C794" s="432"/>
      <c r="D794" s="145"/>
      <c r="E794" s="145"/>
      <c r="F794" s="145"/>
      <c r="G794" s="145"/>
      <c r="H794" s="190"/>
      <c r="I794" s="190"/>
      <c r="J794" s="190"/>
      <c r="K794" s="4"/>
    </row>
    <row r="795" spans="1:11" s="9" customFormat="1">
      <c r="A795" s="145"/>
      <c r="B795" s="190"/>
      <c r="C795" s="432"/>
      <c r="D795" s="145"/>
      <c r="E795" s="145"/>
      <c r="F795" s="145"/>
      <c r="G795" s="145"/>
      <c r="H795" s="190"/>
      <c r="I795" s="190"/>
      <c r="J795" s="190"/>
      <c r="K795" s="4"/>
    </row>
    <row r="796" spans="1:11" s="9" customFormat="1">
      <c r="A796" s="145"/>
      <c r="B796" s="190"/>
      <c r="C796" s="432"/>
      <c r="D796" s="145"/>
      <c r="E796" s="145"/>
      <c r="F796" s="145"/>
      <c r="G796" s="145"/>
      <c r="H796" s="190"/>
      <c r="I796" s="190"/>
      <c r="J796" s="190"/>
      <c r="K796" s="4"/>
    </row>
    <row r="797" spans="1:11" s="9" customFormat="1">
      <c r="A797" s="145"/>
      <c r="B797" s="190"/>
      <c r="C797" s="432"/>
      <c r="D797" s="145"/>
      <c r="E797" s="145"/>
      <c r="F797" s="145"/>
      <c r="G797" s="145"/>
      <c r="H797" s="190"/>
      <c r="I797" s="190"/>
      <c r="J797" s="190"/>
      <c r="K797" s="4"/>
    </row>
    <row r="798" spans="1:11" s="9" customFormat="1">
      <c r="A798" s="145"/>
      <c r="B798" s="190"/>
      <c r="C798" s="432"/>
      <c r="D798" s="145"/>
      <c r="E798" s="145"/>
      <c r="F798" s="145"/>
      <c r="G798" s="145"/>
      <c r="H798" s="190"/>
      <c r="I798" s="190"/>
      <c r="J798" s="190"/>
      <c r="K798" s="4"/>
    </row>
    <row r="799" spans="1:11" s="9" customFormat="1">
      <c r="A799" s="145"/>
      <c r="B799" s="190"/>
      <c r="C799" s="432"/>
      <c r="D799" s="145"/>
      <c r="E799" s="145"/>
      <c r="F799" s="145"/>
      <c r="G799" s="145"/>
      <c r="H799" s="190"/>
      <c r="I799" s="190"/>
      <c r="J799" s="190"/>
      <c r="K799" s="4"/>
    </row>
    <row r="800" spans="1:11" s="9" customFormat="1">
      <c r="A800" s="145"/>
      <c r="B800" s="190"/>
      <c r="C800" s="432"/>
      <c r="D800" s="145"/>
      <c r="E800" s="145"/>
      <c r="F800" s="145"/>
      <c r="G800" s="145"/>
      <c r="H800" s="190"/>
      <c r="I800" s="190"/>
      <c r="J800" s="190"/>
      <c r="K800" s="4"/>
    </row>
    <row r="801" spans="1:11" s="9" customFormat="1">
      <c r="A801" s="145"/>
      <c r="B801" s="190"/>
      <c r="C801" s="432"/>
      <c r="D801" s="145"/>
      <c r="E801" s="145"/>
      <c r="F801" s="145"/>
      <c r="G801" s="145"/>
      <c r="H801" s="190"/>
      <c r="I801" s="190"/>
      <c r="J801" s="190"/>
      <c r="K801" s="4"/>
    </row>
    <row r="802" spans="1:11" s="9" customFormat="1">
      <c r="A802" s="145"/>
      <c r="B802" s="190"/>
      <c r="C802" s="432"/>
      <c r="D802" s="145"/>
      <c r="E802" s="145"/>
      <c r="F802" s="145"/>
      <c r="G802" s="145"/>
      <c r="H802" s="190"/>
      <c r="I802" s="190"/>
      <c r="J802" s="190"/>
      <c r="K802" s="4"/>
    </row>
    <row r="803" spans="1:11" s="9" customFormat="1">
      <c r="A803" s="145"/>
      <c r="B803" s="190"/>
      <c r="C803" s="432"/>
      <c r="D803" s="145"/>
      <c r="E803" s="145"/>
      <c r="F803" s="145"/>
      <c r="G803" s="145"/>
      <c r="H803" s="190"/>
      <c r="I803" s="190"/>
      <c r="J803" s="190"/>
      <c r="K803" s="4"/>
    </row>
    <row r="804" spans="1:11" s="9" customFormat="1">
      <c r="A804" s="145"/>
      <c r="B804" s="190"/>
      <c r="C804" s="432"/>
      <c r="D804" s="145"/>
      <c r="E804" s="145"/>
      <c r="F804" s="145"/>
      <c r="G804" s="145"/>
      <c r="H804" s="190"/>
      <c r="I804" s="190"/>
      <c r="J804" s="190"/>
      <c r="K804" s="4"/>
    </row>
    <row r="805" spans="1:11" s="9" customFormat="1">
      <c r="A805" s="145"/>
      <c r="B805" s="190"/>
      <c r="C805" s="432"/>
      <c r="D805" s="145"/>
      <c r="E805" s="145"/>
      <c r="F805" s="145"/>
      <c r="G805" s="145"/>
      <c r="H805" s="190"/>
      <c r="I805" s="190"/>
      <c r="J805" s="190"/>
      <c r="K805" s="4"/>
    </row>
    <row r="806" spans="1:11" s="9" customFormat="1">
      <c r="A806" s="145"/>
      <c r="B806" s="190"/>
      <c r="C806" s="432"/>
      <c r="D806" s="145"/>
      <c r="E806" s="145"/>
      <c r="F806" s="145"/>
      <c r="G806" s="145"/>
      <c r="H806" s="190"/>
      <c r="I806" s="190"/>
      <c r="J806" s="190"/>
      <c r="K806" s="4"/>
    </row>
    <row r="807" spans="1:11" s="9" customFormat="1">
      <c r="A807" s="145"/>
      <c r="B807" s="190"/>
      <c r="C807" s="432"/>
      <c r="D807" s="145"/>
      <c r="E807" s="145"/>
      <c r="F807" s="145"/>
      <c r="G807" s="145"/>
      <c r="H807" s="190"/>
      <c r="I807" s="190"/>
      <c r="J807" s="190"/>
      <c r="K807" s="4"/>
    </row>
    <row r="808" spans="1:11" s="9" customFormat="1">
      <c r="A808" s="145"/>
      <c r="B808" s="190"/>
      <c r="C808" s="432"/>
      <c r="D808" s="145"/>
      <c r="E808" s="145"/>
      <c r="F808" s="145"/>
      <c r="G808" s="145"/>
      <c r="H808" s="190"/>
      <c r="I808" s="190"/>
      <c r="J808" s="190"/>
      <c r="K808" s="4"/>
    </row>
    <row r="809" spans="1:11" s="9" customFormat="1">
      <c r="A809" s="145"/>
      <c r="B809" s="190"/>
      <c r="C809" s="432"/>
      <c r="D809" s="145"/>
      <c r="E809" s="145"/>
      <c r="F809" s="145"/>
      <c r="G809" s="145"/>
      <c r="H809" s="190"/>
      <c r="I809" s="190"/>
      <c r="J809" s="190"/>
      <c r="K809" s="4"/>
    </row>
    <row r="810" spans="1:11" s="9" customFormat="1">
      <c r="A810" s="145"/>
      <c r="B810" s="190"/>
      <c r="C810" s="432"/>
      <c r="D810" s="145"/>
      <c r="E810" s="145"/>
      <c r="F810" s="145"/>
      <c r="G810" s="145"/>
      <c r="H810" s="190"/>
      <c r="I810" s="190"/>
      <c r="J810" s="190"/>
      <c r="K810" s="4"/>
    </row>
    <row r="811" spans="1:11" s="9" customFormat="1">
      <c r="A811" s="145"/>
      <c r="B811" s="190"/>
      <c r="C811" s="432"/>
      <c r="D811" s="145"/>
      <c r="E811" s="145"/>
      <c r="F811" s="145"/>
      <c r="G811" s="145"/>
      <c r="H811" s="190"/>
      <c r="I811" s="190"/>
      <c r="J811" s="190"/>
      <c r="K811" s="4"/>
    </row>
    <row r="812" spans="1:11" s="9" customFormat="1">
      <c r="A812" s="145"/>
      <c r="B812" s="190"/>
      <c r="C812" s="432"/>
      <c r="D812" s="145"/>
      <c r="E812" s="145"/>
      <c r="F812" s="145"/>
      <c r="G812" s="145"/>
      <c r="H812" s="190"/>
      <c r="I812" s="190"/>
      <c r="J812" s="190"/>
      <c r="K812" s="4"/>
    </row>
    <row r="813" spans="1:11" s="9" customFormat="1">
      <c r="A813" s="145"/>
      <c r="B813" s="190"/>
      <c r="C813" s="432"/>
      <c r="D813" s="145"/>
      <c r="E813" s="145"/>
      <c r="F813" s="145"/>
      <c r="G813" s="145"/>
      <c r="H813" s="190"/>
      <c r="I813" s="190"/>
      <c r="J813" s="190"/>
      <c r="K813" s="4"/>
    </row>
    <row r="814" spans="1:11" s="9" customFormat="1">
      <c r="A814" s="145"/>
      <c r="B814" s="190"/>
      <c r="C814" s="432"/>
      <c r="D814" s="145"/>
      <c r="E814" s="145"/>
      <c r="F814" s="145"/>
      <c r="G814" s="145"/>
      <c r="H814" s="190"/>
      <c r="I814" s="190"/>
      <c r="J814" s="190"/>
      <c r="K814" s="4"/>
    </row>
    <row r="815" spans="1:11" s="9" customFormat="1">
      <c r="A815" s="145"/>
      <c r="B815" s="190"/>
      <c r="C815" s="432"/>
      <c r="D815" s="145"/>
      <c r="E815" s="145"/>
      <c r="F815" s="145"/>
      <c r="G815" s="145"/>
      <c r="H815" s="190"/>
      <c r="I815" s="190"/>
      <c r="J815" s="190"/>
      <c r="K815" s="4"/>
    </row>
    <row r="816" spans="1:11" s="9" customFormat="1">
      <c r="A816" s="145"/>
      <c r="B816" s="190"/>
      <c r="C816" s="432"/>
      <c r="D816" s="145"/>
      <c r="E816" s="145"/>
      <c r="F816" s="145"/>
      <c r="G816" s="145"/>
      <c r="H816" s="190"/>
      <c r="I816" s="190"/>
      <c r="J816" s="190"/>
      <c r="K816" s="4"/>
    </row>
    <row r="817" spans="1:11" s="9" customFormat="1">
      <c r="A817" s="145"/>
      <c r="B817" s="190"/>
      <c r="C817" s="432"/>
      <c r="D817" s="145"/>
      <c r="E817" s="145"/>
      <c r="F817" s="145"/>
      <c r="G817" s="145"/>
      <c r="H817" s="190"/>
      <c r="I817" s="190"/>
      <c r="J817" s="190"/>
      <c r="K817" s="4"/>
    </row>
    <row r="818" spans="1:11" s="9" customFormat="1">
      <c r="A818" s="145"/>
      <c r="B818" s="190"/>
      <c r="C818" s="432"/>
      <c r="D818" s="145"/>
      <c r="E818" s="145"/>
      <c r="F818" s="145"/>
      <c r="G818" s="145"/>
      <c r="H818" s="190"/>
      <c r="I818" s="190"/>
      <c r="J818" s="190"/>
      <c r="K818" s="4"/>
    </row>
    <row r="819" spans="1:11" s="9" customFormat="1">
      <c r="A819" s="145"/>
      <c r="B819" s="190"/>
      <c r="C819" s="432"/>
      <c r="D819" s="145"/>
      <c r="E819" s="145"/>
      <c r="F819" s="145"/>
      <c r="G819" s="145"/>
      <c r="H819" s="190"/>
      <c r="I819" s="190"/>
      <c r="J819" s="190"/>
      <c r="K819" s="4"/>
    </row>
    <row r="820" spans="1:11" s="9" customFormat="1">
      <c r="A820" s="145"/>
      <c r="B820" s="190"/>
      <c r="C820" s="432"/>
      <c r="D820" s="145"/>
      <c r="E820" s="145"/>
      <c r="F820" s="145"/>
      <c r="G820" s="145"/>
      <c r="H820" s="190"/>
      <c r="I820" s="190"/>
      <c r="J820" s="190"/>
      <c r="K820" s="4"/>
    </row>
    <row r="821" spans="1:11" s="9" customFormat="1">
      <c r="A821" s="145"/>
      <c r="B821" s="190"/>
      <c r="C821" s="432"/>
      <c r="D821" s="145"/>
      <c r="E821" s="145"/>
      <c r="F821" s="145"/>
      <c r="G821" s="145"/>
      <c r="H821" s="190"/>
      <c r="I821" s="190"/>
      <c r="J821" s="190"/>
      <c r="K821" s="4"/>
    </row>
    <row r="822" spans="1:11" s="9" customFormat="1">
      <c r="A822" s="145"/>
      <c r="B822" s="190"/>
      <c r="C822" s="432"/>
      <c r="D822" s="145"/>
      <c r="E822" s="145"/>
      <c r="F822" s="145"/>
      <c r="G822" s="145"/>
      <c r="H822" s="190"/>
      <c r="I822" s="190"/>
      <c r="J822" s="190"/>
      <c r="K822" s="4"/>
    </row>
    <row r="823" spans="1:11" s="9" customFormat="1">
      <c r="A823" s="145"/>
      <c r="B823" s="190"/>
      <c r="C823" s="432"/>
      <c r="D823" s="145"/>
      <c r="E823" s="145"/>
      <c r="F823" s="145"/>
      <c r="G823" s="145"/>
      <c r="H823" s="190"/>
      <c r="I823" s="190"/>
      <c r="J823" s="190"/>
      <c r="K823" s="4"/>
    </row>
    <row r="824" spans="1:11" s="9" customFormat="1">
      <c r="A824" s="145"/>
      <c r="B824" s="190"/>
      <c r="C824" s="432"/>
      <c r="D824" s="145"/>
      <c r="E824" s="145"/>
      <c r="F824" s="145"/>
      <c r="G824" s="145"/>
      <c r="H824" s="190"/>
      <c r="I824" s="190"/>
      <c r="J824" s="190"/>
      <c r="K824" s="4"/>
    </row>
    <row r="825" spans="1:11" s="9" customFormat="1">
      <c r="A825" s="145"/>
      <c r="B825" s="190"/>
      <c r="C825" s="432"/>
      <c r="D825" s="145"/>
      <c r="E825" s="145"/>
      <c r="F825" s="145"/>
      <c r="G825" s="145"/>
      <c r="H825" s="190"/>
      <c r="I825" s="190"/>
      <c r="J825" s="190"/>
      <c r="K825" s="4"/>
    </row>
    <row r="826" spans="1:11" s="9" customFormat="1">
      <c r="A826" s="145"/>
      <c r="B826" s="190"/>
      <c r="C826" s="432"/>
      <c r="D826" s="145"/>
      <c r="E826" s="145"/>
      <c r="F826" s="145"/>
      <c r="G826" s="145"/>
      <c r="H826" s="190"/>
      <c r="I826" s="190"/>
      <c r="J826" s="190"/>
      <c r="K826" s="4"/>
    </row>
    <row r="827" spans="1:11" s="9" customFormat="1">
      <c r="A827" s="145"/>
      <c r="B827" s="190"/>
      <c r="C827" s="432"/>
      <c r="D827" s="145"/>
      <c r="E827" s="145"/>
      <c r="F827" s="145"/>
      <c r="G827" s="145"/>
      <c r="H827" s="190"/>
      <c r="I827" s="190"/>
      <c r="J827" s="190"/>
      <c r="K827" s="4"/>
    </row>
    <row r="828" spans="1:11" s="9" customFormat="1">
      <c r="A828" s="145"/>
      <c r="B828" s="190"/>
      <c r="C828" s="432"/>
      <c r="D828" s="145"/>
      <c r="E828" s="145"/>
      <c r="F828" s="145"/>
      <c r="G828" s="145"/>
      <c r="H828" s="190"/>
      <c r="I828" s="190"/>
      <c r="J828" s="190"/>
      <c r="K828" s="4"/>
    </row>
    <row r="829" spans="1:11" s="9" customFormat="1">
      <c r="A829" s="145"/>
      <c r="B829" s="190"/>
      <c r="C829" s="432"/>
      <c r="D829" s="145"/>
      <c r="E829" s="145"/>
      <c r="F829" s="145"/>
      <c r="G829" s="145"/>
      <c r="H829" s="190"/>
      <c r="I829" s="190"/>
      <c r="J829" s="190"/>
      <c r="K829" s="4"/>
    </row>
    <row r="830" spans="1:11" s="9" customFormat="1">
      <c r="A830" s="145"/>
      <c r="B830" s="190"/>
      <c r="C830" s="432"/>
      <c r="D830" s="145"/>
      <c r="E830" s="145"/>
      <c r="F830" s="145"/>
      <c r="G830" s="145"/>
      <c r="H830" s="190"/>
      <c r="I830" s="190"/>
      <c r="J830" s="190"/>
      <c r="K830" s="4"/>
    </row>
    <row r="831" spans="1:11" s="9" customFormat="1">
      <c r="A831" s="145"/>
      <c r="B831" s="190"/>
      <c r="C831" s="432"/>
      <c r="D831" s="145"/>
      <c r="E831" s="145"/>
      <c r="F831" s="145"/>
      <c r="G831" s="145"/>
      <c r="H831" s="190"/>
      <c r="I831" s="190"/>
      <c r="J831" s="190"/>
      <c r="K831" s="4"/>
    </row>
    <row r="832" spans="1:11" s="9" customFormat="1">
      <c r="A832" s="145"/>
      <c r="B832" s="190"/>
      <c r="C832" s="432"/>
      <c r="D832" s="145"/>
      <c r="E832" s="145"/>
      <c r="F832" s="145"/>
      <c r="G832" s="145"/>
      <c r="H832" s="190"/>
      <c r="I832" s="190"/>
      <c r="J832" s="190"/>
      <c r="K832" s="4"/>
    </row>
    <row r="833" spans="1:11" s="9" customFormat="1">
      <c r="A833" s="145"/>
      <c r="B833" s="190"/>
      <c r="C833" s="432"/>
      <c r="D833" s="145"/>
      <c r="E833" s="145"/>
      <c r="F833" s="145"/>
      <c r="G833" s="145"/>
      <c r="H833" s="190"/>
      <c r="I833" s="190"/>
      <c r="J833" s="190"/>
      <c r="K833" s="4"/>
    </row>
    <row r="834" spans="1:11" s="9" customFormat="1">
      <c r="A834" s="145"/>
      <c r="B834" s="190"/>
      <c r="C834" s="432"/>
      <c r="D834" s="145"/>
      <c r="E834" s="145"/>
      <c r="F834" s="145"/>
      <c r="G834" s="145"/>
      <c r="H834" s="190"/>
      <c r="I834" s="190"/>
      <c r="J834" s="190"/>
      <c r="K834" s="4"/>
    </row>
    <row r="835" spans="1:11" s="9" customFormat="1">
      <c r="A835" s="145"/>
      <c r="B835" s="190"/>
      <c r="C835" s="432"/>
      <c r="D835" s="145"/>
      <c r="E835" s="145"/>
      <c r="F835" s="145"/>
      <c r="G835" s="145"/>
      <c r="H835" s="190"/>
      <c r="I835" s="190"/>
      <c r="J835" s="190"/>
      <c r="K835" s="4"/>
    </row>
    <row r="836" spans="1:11" s="9" customFormat="1">
      <c r="A836" s="145"/>
      <c r="B836" s="190"/>
      <c r="C836" s="432"/>
      <c r="D836" s="145"/>
      <c r="E836" s="145"/>
      <c r="F836" s="145"/>
      <c r="G836" s="145"/>
      <c r="H836" s="190"/>
      <c r="I836" s="190"/>
      <c r="J836" s="190"/>
      <c r="K836" s="4"/>
    </row>
    <row r="837" spans="1:11" s="9" customFormat="1">
      <c r="A837" s="145"/>
      <c r="B837" s="190"/>
      <c r="C837" s="432"/>
      <c r="D837" s="145"/>
      <c r="E837" s="145"/>
      <c r="F837" s="145"/>
      <c r="G837" s="145"/>
      <c r="H837" s="190"/>
      <c r="I837" s="190"/>
      <c r="J837" s="190"/>
      <c r="K837" s="4"/>
    </row>
    <row r="838" spans="1:11" s="9" customFormat="1">
      <c r="A838" s="145"/>
      <c r="B838" s="190"/>
      <c r="C838" s="432"/>
      <c r="D838" s="145"/>
      <c r="E838" s="145"/>
      <c r="F838" s="145"/>
      <c r="G838" s="145"/>
      <c r="H838" s="190"/>
      <c r="I838" s="190"/>
      <c r="J838" s="190"/>
      <c r="K838" s="4"/>
    </row>
    <row r="839" spans="1:11" s="9" customFormat="1">
      <c r="A839" s="145"/>
      <c r="B839" s="190"/>
      <c r="C839" s="432"/>
      <c r="D839" s="145"/>
      <c r="E839" s="145"/>
      <c r="F839" s="145"/>
      <c r="G839" s="145"/>
      <c r="H839" s="190"/>
      <c r="I839" s="190"/>
      <c r="J839" s="190"/>
      <c r="K839" s="4"/>
    </row>
    <row r="840" spans="1:11" s="9" customFormat="1">
      <c r="A840" s="145"/>
      <c r="B840" s="190"/>
      <c r="C840" s="432"/>
      <c r="D840" s="145"/>
      <c r="E840" s="145"/>
      <c r="F840" s="145"/>
      <c r="G840" s="145"/>
      <c r="H840" s="190"/>
      <c r="I840" s="190"/>
      <c r="J840" s="190"/>
      <c r="K840" s="4"/>
    </row>
    <row r="841" spans="1:11" s="9" customFormat="1">
      <c r="A841" s="145"/>
      <c r="B841" s="190"/>
      <c r="C841" s="432"/>
      <c r="D841" s="145"/>
      <c r="E841" s="145"/>
      <c r="F841" s="145"/>
      <c r="G841" s="145"/>
      <c r="H841" s="190"/>
      <c r="I841" s="190"/>
      <c r="J841" s="190"/>
      <c r="K841" s="4"/>
    </row>
    <row r="842" spans="1:11" s="9" customFormat="1">
      <c r="A842" s="145"/>
      <c r="B842" s="190"/>
      <c r="C842" s="432"/>
      <c r="D842" s="145"/>
      <c r="E842" s="145"/>
      <c r="F842" s="145"/>
      <c r="G842" s="145"/>
      <c r="H842" s="190"/>
      <c r="I842" s="190"/>
      <c r="J842" s="190"/>
      <c r="K842" s="4"/>
    </row>
    <row r="843" spans="1:11" s="9" customFormat="1">
      <c r="A843" s="145"/>
      <c r="B843" s="190"/>
      <c r="C843" s="432"/>
      <c r="D843" s="145"/>
      <c r="E843" s="145"/>
      <c r="F843" s="145"/>
      <c r="G843" s="145"/>
      <c r="H843" s="190"/>
      <c r="I843" s="190"/>
      <c r="J843" s="190"/>
      <c r="K843" s="4"/>
    </row>
    <row r="844" spans="1:11" s="9" customFormat="1">
      <c r="A844" s="145"/>
      <c r="B844" s="190"/>
      <c r="C844" s="432"/>
      <c r="D844" s="145"/>
      <c r="E844" s="145"/>
      <c r="F844" s="145"/>
      <c r="G844" s="145"/>
      <c r="H844" s="190"/>
      <c r="I844" s="190"/>
      <c r="J844" s="190"/>
      <c r="K844" s="4"/>
    </row>
    <row r="845" spans="1:11" s="9" customFormat="1">
      <c r="A845" s="145"/>
      <c r="B845" s="190"/>
      <c r="C845" s="432"/>
      <c r="D845" s="145"/>
      <c r="E845" s="145"/>
      <c r="F845" s="145"/>
      <c r="G845" s="145"/>
      <c r="H845" s="190"/>
      <c r="I845" s="190"/>
      <c r="J845" s="190"/>
      <c r="K845" s="4"/>
    </row>
    <row r="846" spans="1:11" s="9" customFormat="1">
      <c r="A846" s="145"/>
      <c r="B846" s="190"/>
      <c r="C846" s="432"/>
      <c r="D846" s="145"/>
      <c r="E846" s="145"/>
      <c r="F846" s="145"/>
      <c r="G846" s="145"/>
      <c r="H846" s="190"/>
      <c r="I846" s="190"/>
      <c r="J846" s="190"/>
      <c r="K846" s="4"/>
    </row>
    <row r="847" spans="1:11" s="9" customFormat="1">
      <c r="A847" s="145"/>
      <c r="B847" s="190"/>
      <c r="C847" s="432"/>
      <c r="D847" s="145"/>
      <c r="E847" s="145"/>
      <c r="F847" s="145"/>
      <c r="G847" s="145"/>
      <c r="H847" s="190"/>
      <c r="I847" s="190"/>
      <c r="J847" s="190"/>
      <c r="K847" s="4"/>
    </row>
    <row r="848" spans="1:11" s="9" customFormat="1">
      <c r="A848" s="145"/>
      <c r="B848" s="190"/>
      <c r="C848" s="432"/>
      <c r="D848" s="145"/>
      <c r="E848" s="145"/>
      <c r="F848" s="145"/>
      <c r="G848" s="145"/>
      <c r="H848" s="190"/>
      <c r="I848" s="190"/>
      <c r="J848" s="190"/>
      <c r="K848" s="4"/>
    </row>
    <row r="849" spans="1:11" s="9" customFormat="1">
      <c r="A849" s="145"/>
      <c r="B849" s="190"/>
      <c r="C849" s="432"/>
      <c r="D849" s="145"/>
      <c r="E849" s="145"/>
      <c r="F849" s="145"/>
      <c r="G849" s="145"/>
      <c r="H849" s="190"/>
      <c r="I849" s="190"/>
      <c r="J849" s="190"/>
      <c r="K849" s="4"/>
    </row>
    <row r="850" spans="1:11" s="9" customFormat="1">
      <c r="A850" s="145"/>
      <c r="B850" s="190"/>
      <c r="C850" s="432"/>
      <c r="D850" s="145"/>
      <c r="E850" s="145"/>
      <c r="F850" s="145"/>
      <c r="G850" s="145"/>
      <c r="H850" s="190"/>
      <c r="I850" s="190"/>
      <c r="J850" s="190"/>
      <c r="K850" s="4"/>
    </row>
    <row r="851" spans="1:11" s="9" customFormat="1">
      <c r="A851" s="145"/>
      <c r="B851" s="190"/>
      <c r="C851" s="432"/>
      <c r="D851" s="145"/>
      <c r="E851" s="145"/>
      <c r="F851" s="145"/>
      <c r="G851" s="145"/>
      <c r="H851" s="190"/>
      <c r="I851" s="190"/>
      <c r="J851" s="190"/>
      <c r="K851" s="4"/>
    </row>
    <row r="852" spans="1:11" s="9" customFormat="1">
      <c r="A852" s="145"/>
      <c r="B852" s="190"/>
      <c r="C852" s="432"/>
      <c r="D852" s="145"/>
      <c r="E852" s="145"/>
      <c r="F852" s="145"/>
      <c r="G852" s="145"/>
      <c r="H852" s="190"/>
      <c r="I852" s="190"/>
      <c r="J852" s="190"/>
      <c r="K852" s="4"/>
    </row>
    <row r="853" spans="1:11" s="9" customFormat="1">
      <c r="A853" s="145"/>
      <c r="B853" s="190"/>
      <c r="C853" s="432"/>
      <c r="D853" s="145"/>
      <c r="E853" s="145"/>
      <c r="F853" s="145"/>
      <c r="G853" s="145"/>
      <c r="H853" s="190"/>
      <c r="I853" s="190"/>
      <c r="J853" s="190"/>
      <c r="K853" s="4"/>
    </row>
    <row r="854" spans="1:11" s="9" customFormat="1">
      <c r="A854" s="145"/>
      <c r="B854" s="190"/>
      <c r="C854" s="432"/>
      <c r="D854" s="145"/>
      <c r="E854" s="145"/>
      <c r="F854" s="145"/>
      <c r="G854" s="145"/>
      <c r="H854" s="190"/>
      <c r="I854" s="190"/>
      <c r="J854" s="190"/>
      <c r="K854" s="4"/>
    </row>
    <row r="855" spans="1:11" s="9" customFormat="1">
      <c r="A855" s="145"/>
      <c r="B855" s="190"/>
      <c r="C855" s="432"/>
      <c r="D855" s="145"/>
      <c r="E855" s="145"/>
      <c r="F855" s="145"/>
      <c r="G855" s="145"/>
      <c r="H855" s="190"/>
      <c r="I855" s="190"/>
      <c r="J855" s="190"/>
      <c r="K855" s="4"/>
    </row>
    <row r="856" spans="1:11" s="9" customFormat="1">
      <c r="A856" s="145"/>
      <c r="B856" s="190"/>
      <c r="C856" s="432"/>
      <c r="D856" s="145"/>
      <c r="E856" s="145"/>
      <c r="F856" s="145"/>
      <c r="G856" s="145"/>
      <c r="H856" s="190"/>
      <c r="I856" s="190"/>
      <c r="J856" s="190"/>
      <c r="K856" s="4"/>
    </row>
    <row r="857" spans="1:11" s="9" customFormat="1">
      <c r="A857" s="145"/>
      <c r="B857" s="190"/>
      <c r="C857" s="432"/>
      <c r="D857" s="145"/>
      <c r="E857" s="145"/>
      <c r="F857" s="145"/>
      <c r="G857" s="145"/>
      <c r="H857" s="190"/>
      <c r="I857" s="190"/>
      <c r="J857" s="190"/>
      <c r="K857" s="4"/>
    </row>
    <row r="858" spans="1:11" s="9" customFormat="1">
      <c r="A858" s="145"/>
      <c r="B858" s="190"/>
      <c r="C858" s="432"/>
      <c r="D858" s="145"/>
      <c r="E858" s="145"/>
      <c r="F858" s="145"/>
      <c r="G858" s="145"/>
      <c r="H858" s="190"/>
      <c r="I858" s="190"/>
      <c r="J858" s="190"/>
      <c r="K858" s="4"/>
    </row>
    <row r="859" spans="1:11" s="9" customFormat="1">
      <c r="A859" s="145"/>
      <c r="B859" s="190"/>
      <c r="C859" s="432"/>
      <c r="D859" s="145"/>
      <c r="E859" s="145"/>
      <c r="F859" s="145"/>
      <c r="G859" s="145"/>
      <c r="H859" s="190"/>
      <c r="I859" s="190"/>
      <c r="J859" s="190"/>
      <c r="K859" s="4"/>
    </row>
    <row r="860" spans="1:11" s="9" customFormat="1">
      <c r="A860" s="145"/>
      <c r="B860" s="190"/>
      <c r="C860" s="432"/>
      <c r="D860" s="145"/>
      <c r="E860" s="145"/>
      <c r="F860" s="145"/>
      <c r="G860" s="145"/>
      <c r="H860" s="190"/>
      <c r="I860" s="190"/>
      <c r="J860" s="190"/>
      <c r="K860" s="4"/>
    </row>
    <row r="861" spans="1:11" s="9" customFormat="1">
      <c r="A861" s="145"/>
      <c r="B861" s="190"/>
      <c r="C861" s="432"/>
      <c r="D861" s="145"/>
      <c r="E861" s="145"/>
      <c r="F861" s="145"/>
      <c r="G861" s="145"/>
      <c r="H861" s="190"/>
      <c r="I861" s="190"/>
      <c r="J861" s="190"/>
      <c r="K861" s="4"/>
    </row>
    <row r="862" spans="1:11" s="9" customFormat="1">
      <c r="A862" s="145"/>
      <c r="B862" s="190"/>
      <c r="C862" s="432"/>
      <c r="D862" s="145"/>
      <c r="E862" s="145"/>
      <c r="F862" s="145"/>
      <c r="G862" s="145"/>
      <c r="H862" s="190"/>
      <c r="I862" s="190"/>
      <c r="J862" s="190"/>
      <c r="K862" s="4"/>
    </row>
    <row r="863" spans="1:11" s="9" customFormat="1">
      <c r="A863" s="145"/>
      <c r="B863" s="190"/>
      <c r="C863" s="432"/>
      <c r="D863" s="145"/>
      <c r="E863" s="145"/>
      <c r="F863" s="145"/>
      <c r="G863" s="145"/>
      <c r="H863" s="190"/>
      <c r="I863" s="190"/>
      <c r="J863" s="190"/>
      <c r="K863" s="4"/>
    </row>
    <row r="864" spans="1:11" s="9" customFormat="1">
      <c r="A864" s="145"/>
      <c r="B864" s="190"/>
      <c r="C864" s="432"/>
      <c r="D864" s="145"/>
      <c r="E864" s="145"/>
      <c r="F864" s="145"/>
      <c r="G864" s="145"/>
      <c r="H864" s="190"/>
      <c r="I864" s="190"/>
      <c r="J864" s="190"/>
      <c r="K864" s="4"/>
    </row>
    <row r="865" spans="1:11" s="9" customFormat="1">
      <c r="A865" s="145"/>
      <c r="B865" s="190"/>
      <c r="C865" s="432"/>
      <c r="D865" s="145"/>
      <c r="E865" s="145"/>
      <c r="F865" s="145"/>
      <c r="G865" s="145"/>
      <c r="H865" s="190"/>
      <c r="I865" s="190"/>
      <c r="J865" s="190"/>
      <c r="K865" s="4"/>
    </row>
    <row r="866" spans="1:11" s="9" customFormat="1">
      <c r="A866" s="145"/>
      <c r="B866" s="190"/>
      <c r="C866" s="432"/>
      <c r="D866" s="145"/>
      <c r="E866" s="145"/>
      <c r="F866" s="145"/>
      <c r="G866" s="145"/>
      <c r="H866" s="190"/>
      <c r="I866" s="190"/>
      <c r="J866" s="190"/>
      <c r="K866" s="4"/>
    </row>
    <row r="867" spans="1:11" s="9" customFormat="1">
      <c r="A867" s="145"/>
      <c r="B867" s="190"/>
      <c r="C867" s="432"/>
      <c r="D867" s="145"/>
      <c r="E867" s="145"/>
      <c r="F867" s="145"/>
      <c r="G867" s="145"/>
      <c r="H867" s="190"/>
      <c r="I867" s="190"/>
      <c r="J867" s="190"/>
      <c r="K867" s="4"/>
    </row>
    <row r="868" spans="1:11" s="9" customFormat="1">
      <c r="A868" s="145"/>
      <c r="B868" s="190"/>
      <c r="C868" s="432"/>
      <c r="D868" s="145"/>
      <c r="E868" s="145"/>
      <c r="F868" s="145"/>
      <c r="G868" s="145"/>
      <c r="H868" s="190"/>
      <c r="I868" s="190"/>
      <c r="J868" s="190"/>
      <c r="K868" s="4"/>
    </row>
    <row r="869" spans="1:11" s="9" customFormat="1">
      <c r="A869" s="145"/>
      <c r="B869" s="190"/>
      <c r="C869" s="432"/>
      <c r="D869" s="145"/>
      <c r="E869" s="145"/>
      <c r="F869" s="145"/>
      <c r="G869" s="145"/>
      <c r="H869" s="190"/>
      <c r="I869" s="190"/>
      <c r="J869" s="190"/>
      <c r="K869" s="4"/>
    </row>
    <row r="870" spans="1:11" s="9" customFormat="1">
      <c r="A870" s="145"/>
      <c r="B870" s="190"/>
      <c r="C870" s="432"/>
      <c r="D870" s="145"/>
      <c r="E870" s="145"/>
      <c r="F870" s="145"/>
      <c r="G870" s="145"/>
      <c r="H870" s="190"/>
      <c r="I870" s="190"/>
      <c r="J870" s="190"/>
      <c r="K870" s="4"/>
    </row>
    <row r="871" spans="1:11" s="9" customFormat="1">
      <c r="A871" s="145"/>
      <c r="B871" s="190"/>
      <c r="C871" s="432"/>
      <c r="D871" s="145"/>
      <c r="E871" s="145"/>
      <c r="F871" s="145"/>
      <c r="G871" s="145"/>
      <c r="H871" s="190"/>
      <c r="I871" s="190"/>
      <c r="J871" s="190"/>
      <c r="K871" s="4"/>
    </row>
    <row r="872" spans="1:11" s="9" customFormat="1">
      <c r="A872" s="145"/>
      <c r="B872" s="190"/>
      <c r="C872" s="432"/>
      <c r="D872" s="145"/>
      <c r="E872" s="145"/>
      <c r="F872" s="145"/>
      <c r="G872" s="145"/>
      <c r="H872" s="190"/>
      <c r="I872" s="190"/>
      <c r="J872" s="190"/>
      <c r="K872" s="4"/>
    </row>
    <row r="873" spans="1:11" s="9" customFormat="1">
      <c r="A873" s="145"/>
      <c r="B873" s="190"/>
      <c r="C873" s="432"/>
      <c r="D873" s="145"/>
      <c r="E873" s="145"/>
      <c r="F873" s="145"/>
      <c r="G873" s="145"/>
      <c r="H873" s="190"/>
      <c r="I873" s="190"/>
      <c r="J873" s="190"/>
      <c r="K873" s="4"/>
    </row>
    <row r="874" spans="1:11" s="9" customFormat="1">
      <c r="A874" s="145"/>
      <c r="B874" s="190"/>
      <c r="C874" s="432"/>
      <c r="D874" s="145"/>
      <c r="E874" s="145"/>
      <c r="F874" s="145"/>
      <c r="G874" s="145"/>
      <c r="H874" s="190"/>
      <c r="I874" s="190"/>
      <c r="J874" s="190"/>
      <c r="K874" s="4"/>
    </row>
    <row r="875" spans="1:11" s="9" customFormat="1">
      <c r="A875" s="145"/>
      <c r="B875" s="190"/>
      <c r="C875" s="432"/>
      <c r="D875" s="145"/>
      <c r="E875" s="145"/>
      <c r="F875" s="145"/>
      <c r="G875" s="145"/>
      <c r="H875" s="190"/>
      <c r="I875" s="190"/>
      <c r="J875" s="190"/>
      <c r="K875" s="4"/>
    </row>
    <row r="876" spans="1:11" s="9" customFormat="1">
      <c r="A876" s="145"/>
      <c r="B876" s="190"/>
      <c r="C876" s="432"/>
      <c r="D876" s="145"/>
      <c r="E876" s="145"/>
      <c r="F876" s="145"/>
      <c r="G876" s="145"/>
      <c r="H876" s="190"/>
      <c r="I876" s="190"/>
      <c r="J876" s="190"/>
      <c r="K876" s="4"/>
    </row>
    <row r="877" spans="1:11" s="9" customFormat="1">
      <c r="A877" s="145"/>
      <c r="B877" s="190"/>
      <c r="C877" s="432"/>
      <c r="D877" s="145"/>
      <c r="E877" s="145"/>
      <c r="F877" s="145"/>
      <c r="G877" s="145"/>
      <c r="H877" s="190"/>
      <c r="I877" s="190"/>
      <c r="J877" s="190"/>
      <c r="K877" s="4"/>
    </row>
    <row r="878" spans="1:11" s="9" customFormat="1">
      <c r="A878" s="145"/>
      <c r="B878" s="190"/>
      <c r="C878" s="432"/>
      <c r="D878" s="145"/>
      <c r="E878" s="145"/>
      <c r="F878" s="145"/>
      <c r="G878" s="145"/>
      <c r="H878" s="190"/>
      <c r="I878" s="190"/>
      <c r="J878" s="190"/>
      <c r="K878" s="4"/>
    </row>
    <row r="879" spans="1:11" s="9" customFormat="1">
      <c r="A879" s="145"/>
      <c r="B879" s="190"/>
      <c r="C879" s="432"/>
      <c r="D879" s="145"/>
      <c r="E879" s="145"/>
      <c r="F879" s="145"/>
      <c r="G879" s="145"/>
      <c r="H879" s="190"/>
      <c r="I879" s="190"/>
      <c r="J879" s="190"/>
      <c r="K879" s="4"/>
    </row>
    <row r="880" spans="1:11" s="9" customFormat="1">
      <c r="A880" s="145"/>
      <c r="B880" s="190"/>
      <c r="C880" s="432"/>
      <c r="D880" s="145"/>
      <c r="E880" s="145"/>
      <c r="F880" s="145"/>
      <c r="G880" s="145"/>
      <c r="H880" s="190"/>
      <c r="I880" s="190"/>
      <c r="J880" s="190"/>
      <c r="K880" s="4"/>
    </row>
    <row r="881" spans="1:11" s="9" customFormat="1">
      <c r="A881" s="145"/>
      <c r="B881" s="190"/>
      <c r="C881" s="432"/>
      <c r="D881" s="145"/>
      <c r="E881" s="145"/>
      <c r="F881" s="145"/>
      <c r="G881" s="145"/>
      <c r="H881" s="190"/>
      <c r="I881" s="190"/>
      <c r="J881" s="190"/>
      <c r="K881" s="4"/>
    </row>
    <row r="882" spans="1:11" s="9" customFormat="1">
      <c r="A882" s="145"/>
      <c r="B882" s="190"/>
      <c r="C882" s="432"/>
      <c r="D882" s="145"/>
      <c r="E882" s="145"/>
      <c r="F882" s="145"/>
      <c r="G882" s="145"/>
      <c r="H882" s="190"/>
      <c r="I882" s="190"/>
      <c r="J882" s="190"/>
      <c r="K882" s="4"/>
    </row>
    <row r="883" spans="1:11" s="9" customFormat="1">
      <c r="A883" s="145"/>
      <c r="B883" s="190"/>
      <c r="C883" s="432"/>
      <c r="D883" s="145"/>
      <c r="E883" s="145"/>
      <c r="F883" s="145"/>
      <c r="G883" s="145"/>
      <c r="H883" s="190"/>
      <c r="I883" s="190"/>
      <c r="J883" s="190"/>
      <c r="K883" s="4"/>
    </row>
    <row r="884" spans="1:11" s="9" customFormat="1">
      <c r="A884" s="145"/>
      <c r="B884" s="190"/>
      <c r="C884" s="432"/>
      <c r="D884" s="145"/>
      <c r="E884" s="145"/>
      <c r="F884" s="145"/>
      <c r="G884" s="145"/>
      <c r="H884" s="190"/>
      <c r="I884" s="190"/>
      <c r="J884" s="190"/>
      <c r="K884" s="4"/>
    </row>
    <row r="885" spans="1:11" s="9" customFormat="1">
      <c r="A885" s="145"/>
      <c r="B885" s="190"/>
      <c r="C885" s="432"/>
      <c r="D885" s="145"/>
      <c r="E885" s="145"/>
      <c r="F885" s="145"/>
      <c r="G885" s="145"/>
      <c r="H885" s="190"/>
      <c r="I885" s="190"/>
      <c r="J885" s="190"/>
      <c r="K885" s="4"/>
    </row>
    <row r="886" spans="1:11" s="9" customFormat="1">
      <c r="A886" s="145"/>
      <c r="B886" s="190"/>
      <c r="C886" s="432"/>
      <c r="D886" s="145"/>
      <c r="E886" s="145"/>
      <c r="F886" s="145"/>
      <c r="G886" s="145"/>
      <c r="H886" s="190"/>
      <c r="I886" s="190"/>
      <c r="J886" s="190"/>
      <c r="K886" s="4"/>
    </row>
    <row r="887" spans="1:11" s="9" customFormat="1">
      <c r="A887" s="145"/>
      <c r="B887" s="190"/>
      <c r="C887" s="432"/>
      <c r="D887" s="145"/>
      <c r="E887" s="145"/>
      <c r="F887" s="145"/>
      <c r="G887" s="145"/>
      <c r="H887" s="190"/>
      <c r="I887" s="190"/>
      <c r="J887" s="190"/>
      <c r="K887" s="4"/>
    </row>
    <row r="888" spans="1:11" s="9" customFormat="1">
      <c r="A888" s="145"/>
      <c r="B888" s="190"/>
      <c r="C888" s="432"/>
      <c r="D888" s="145"/>
      <c r="E888" s="145"/>
      <c r="F888" s="145"/>
      <c r="G888" s="145"/>
      <c r="H888" s="190"/>
      <c r="I888" s="190"/>
      <c r="J888" s="190"/>
      <c r="K888" s="4"/>
    </row>
    <row r="889" spans="1:11" s="9" customFormat="1">
      <c r="A889" s="145"/>
      <c r="B889" s="190"/>
      <c r="C889" s="432"/>
      <c r="D889" s="145"/>
      <c r="E889" s="145"/>
      <c r="F889" s="145"/>
      <c r="G889" s="145"/>
      <c r="H889" s="190"/>
      <c r="I889" s="190"/>
      <c r="J889" s="190"/>
      <c r="K889" s="4"/>
    </row>
    <row r="890" spans="1:11" s="9" customFormat="1">
      <c r="A890" s="145"/>
      <c r="B890" s="190"/>
      <c r="C890" s="432"/>
      <c r="D890" s="145"/>
      <c r="E890" s="145"/>
      <c r="F890" s="145"/>
      <c r="G890" s="145"/>
      <c r="H890" s="190"/>
      <c r="I890" s="190"/>
      <c r="J890" s="190"/>
      <c r="K890" s="4"/>
    </row>
    <row r="891" spans="1:11" s="9" customFormat="1">
      <c r="A891" s="145"/>
      <c r="B891" s="190"/>
      <c r="C891" s="432"/>
      <c r="D891" s="145"/>
      <c r="E891" s="145"/>
      <c r="F891" s="145"/>
      <c r="G891" s="145"/>
      <c r="H891" s="190"/>
      <c r="I891" s="190"/>
      <c r="J891" s="190"/>
      <c r="K891" s="4"/>
    </row>
    <row r="892" spans="1:11" s="9" customFormat="1">
      <c r="A892" s="145"/>
      <c r="B892" s="190"/>
      <c r="C892" s="432"/>
      <c r="D892" s="145"/>
      <c r="E892" s="145"/>
      <c r="F892" s="145"/>
      <c r="G892" s="145"/>
      <c r="H892" s="190"/>
      <c r="I892" s="190"/>
      <c r="J892" s="190"/>
      <c r="K892" s="4"/>
    </row>
    <row r="893" spans="1:11" s="9" customFormat="1">
      <c r="A893" s="145"/>
      <c r="B893" s="190"/>
      <c r="C893" s="432"/>
      <c r="D893" s="145"/>
      <c r="E893" s="145"/>
      <c r="F893" s="145"/>
      <c r="G893" s="145"/>
      <c r="H893" s="190"/>
      <c r="I893" s="190"/>
      <c r="J893" s="190"/>
      <c r="K893" s="4"/>
    </row>
    <row r="894" spans="1:11" s="9" customFormat="1">
      <c r="A894" s="145"/>
      <c r="B894" s="190"/>
      <c r="C894" s="432"/>
      <c r="D894" s="145"/>
      <c r="E894" s="145"/>
      <c r="F894" s="145"/>
      <c r="G894" s="145"/>
      <c r="H894" s="190"/>
      <c r="I894" s="190"/>
      <c r="J894" s="190"/>
      <c r="K894" s="4"/>
    </row>
    <row r="895" spans="1:11" s="9" customFormat="1">
      <c r="A895" s="145"/>
      <c r="B895" s="190"/>
      <c r="C895" s="432"/>
      <c r="D895" s="145"/>
      <c r="E895" s="145"/>
      <c r="F895" s="145"/>
      <c r="G895" s="145"/>
      <c r="H895" s="190"/>
      <c r="I895" s="190"/>
      <c r="J895" s="190"/>
      <c r="K895" s="4"/>
    </row>
    <row r="896" spans="1:11" s="9" customFormat="1">
      <c r="A896" s="145"/>
      <c r="B896" s="190"/>
      <c r="C896" s="432"/>
      <c r="D896" s="145"/>
      <c r="E896" s="145"/>
      <c r="F896" s="145"/>
      <c r="G896" s="145"/>
      <c r="H896" s="190"/>
      <c r="I896" s="190"/>
      <c r="J896" s="190"/>
      <c r="K896" s="4"/>
    </row>
    <row r="897" spans="1:11" s="9" customFormat="1">
      <c r="A897" s="145"/>
      <c r="B897" s="190"/>
      <c r="C897" s="432"/>
      <c r="D897" s="145"/>
      <c r="E897" s="145"/>
      <c r="F897" s="145"/>
      <c r="G897" s="145"/>
      <c r="H897" s="190"/>
      <c r="I897" s="190"/>
      <c r="J897" s="190"/>
      <c r="K897" s="4"/>
    </row>
    <row r="898" spans="1:11" s="9" customFormat="1">
      <c r="A898" s="145"/>
      <c r="B898" s="190"/>
      <c r="C898" s="432"/>
      <c r="D898" s="145"/>
      <c r="E898" s="145"/>
      <c r="F898" s="145"/>
      <c r="G898" s="145"/>
      <c r="H898" s="190"/>
      <c r="I898" s="190"/>
      <c r="J898" s="190"/>
      <c r="K898" s="4"/>
    </row>
    <row r="899" spans="1:11" s="9" customFormat="1">
      <c r="A899" s="145"/>
      <c r="B899" s="190"/>
      <c r="C899" s="432"/>
      <c r="D899" s="145"/>
      <c r="E899" s="145"/>
      <c r="F899" s="145"/>
      <c r="G899" s="145"/>
      <c r="H899" s="190"/>
      <c r="I899" s="190"/>
      <c r="J899" s="190"/>
      <c r="K899" s="4"/>
    </row>
    <row r="900" spans="1:11" s="9" customFormat="1">
      <c r="A900" s="145"/>
      <c r="B900" s="190"/>
      <c r="C900" s="432"/>
      <c r="D900" s="145"/>
      <c r="E900" s="145"/>
      <c r="F900" s="145"/>
      <c r="G900" s="145"/>
      <c r="H900" s="190"/>
      <c r="I900" s="190"/>
      <c r="J900" s="190"/>
      <c r="K900" s="4"/>
    </row>
    <row r="901" spans="1:11" s="9" customFormat="1">
      <c r="A901" s="145"/>
      <c r="B901" s="190"/>
      <c r="C901" s="432"/>
      <c r="D901" s="145"/>
      <c r="E901" s="145"/>
      <c r="F901" s="145"/>
      <c r="G901" s="145"/>
      <c r="H901" s="190"/>
      <c r="I901" s="190"/>
      <c r="J901" s="190"/>
      <c r="K901" s="4"/>
    </row>
    <row r="902" spans="1:11" s="9" customFormat="1">
      <c r="A902" s="145"/>
      <c r="B902" s="190"/>
      <c r="C902" s="432"/>
      <c r="D902" s="145"/>
      <c r="E902" s="145"/>
      <c r="F902" s="145"/>
      <c r="G902" s="145"/>
      <c r="H902" s="190"/>
      <c r="I902" s="190"/>
      <c r="J902" s="190"/>
      <c r="K902" s="4"/>
    </row>
    <row r="903" spans="1:11" s="9" customFormat="1">
      <c r="A903" s="145"/>
      <c r="B903" s="190"/>
      <c r="C903" s="432"/>
      <c r="D903" s="145"/>
      <c r="E903" s="145"/>
      <c r="F903" s="145"/>
      <c r="G903" s="145"/>
      <c r="H903" s="190"/>
      <c r="I903" s="190"/>
      <c r="J903" s="190"/>
      <c r="K903" s="4"/>
    </row>
    <row r="904" spans="1:11" s="9" customFormat="1">
      <c r="A904" s="145"/>
      <c r="B904" s="190"/>
      <c r="C904" s="432"/>
      <c r="D904" s="145"/>
      <c r="E904" s="145"/>
      <c r="F904" s="145"/>
      <c r="G904" s="145"/>
      <c r="H904" s="190"/>
      <c r="I904" s="190"/>
      <c r="J904" s="190"/>
      <c r="K904" s="4"/>
    </row>
    <row r="905" spans="1:11" s="9" customFormat="1">
      <c r="A905" s="145"/>
      <c r="B905" s="190"/>
      <c r="C905" s="432"/>
      <c r="D905" s="145"/>
      <c r="E905" s="145"/>
      <c r="F905" s="145"/>
      <c r="G905" s="145"/>
      <c r="H905" s="190"/>
      <c r="I905" s="190"/>
      <c r="J905" s="190"/>
      <c r="K905" s="4"/>
    </row>
    <row r="906" spans="1:11" s="9" customFormat="1">
      <c r="A906" s="145"/>
      <c r="B906" s="190"/>
      <c r="C906" s="432"/>
      <c r="D906" s="145"/>
      <c r="E906" s="145"/>
      <c r="F906" s="145"/>
      <c r="G906" s="145"/>
      <c r="H906" s="190"/>
      <c r="I906" s="190"/>
      <c r="J906" s="190"/>
      <c r="K906" s="4"/>
    </row>
    <row r="907" spans="1:11" s="9" customFormat="1">
      <c r="A907" s="145"/>
      <c r="B907" s="190"/>
      <c r="C907" s="432"/>
      <c r="D907" s="145"/>
      <c r="E907" s="145"/>
      <c r="F907" s="145"/>
      <c r="G907" s="145"/>
      <c r="H907" s="190"/>
      <c r="I907" s="190"/>
      <c r="J907" s="190"/>
      <c r="K907" s="4"/>
    </row>
    <row r="908" spans="1:11" s="9" customFormat="1">
      <c r="A908" s="145"/>
      <c r="B908" s="190"/>
      <c r="C908" s="432"/>
      <c r="D908" s="145"/>
      <c r="E908" s="145"/>
      <c r="F908" s="145"/>
      <c r="G908" s="145"/>
      <c r="H908" s="190"/>
      <c r="I908" s="190"/>
      <c r="J908" s="190"/>
      <c r="K908" s="4"/>
    </row>
    <row r="909" spans="1:11" s="9" customFormat="1">
      <c r="A909" s="145"/>
      <c r="B909" s="190"/>
      <c r="C909" s="432"/>
      <c r="D909" s="145"/>
      <c r="E909" s="145"/>
      <c r="F909" s="145"/>
      <c r="G909" s="145"/>
      <c r="H909" s="190"/>
      <c r="I909" s="190"/>
      <c r="J909" s="190"/>
      <c r="K909" s="4"/>
    </row>
    <row r="910" spans="1:11" s="9" customFormat="1">
      <c r="A910" s="145"/>
      <c r="B910" s="190"/>
      <c r="C910" s="432"/>
      <c r="D910" s="145"/>
      <c r="E910" s="145"/>
      <c r="F910" s="145"/>
      <c r="G910" s="145"/>
      <c r="H910" s="190"/>
      <c r="I910" s="190"/>
      <c r="J910" s="190"/>
      <c r="K910" s="4"/>
    </row>
    <row r="911" spans="1:11" s="9" customFormat="1">
      <c r="A911" s="145"/>
      <c r="B911" s="190"/>
      <c r="C911" s="432"/>
      <c r="D911" s="145"/>
      <c r="E911" s="145"/>
      <c r="F911" s="145"/>
      <c r="G911" s="145"/>
      <c r="H911" s="190"/>
      <c r="I911" s="190"/>
      <c r="J911" s="190"/>
      <c r="K911" s="4"/>
    </row>
    <row r="912" spans="1:11" s="9" customFormat="1">
      <c r="A912" s="145"/>
      <c r="B912" s="190"/>
      <c r="C912" s="432"/>
      <c r="D912" s="145"/>
      <c r="E912" s="145"/>
      <c r="F912" s="145"/>
      <c r="G912" s="145"/>
      <c r="H912" s="190"/>
      <c r="I912" s="190"/>
      <c r="J912" s="190"/>
      <c r="K912" s="4"/>
    </row>
    <row r="913" spans="1:11" s="9" customFormat="1">
      <c r="A913" s="145"/>
      <c r="B913" s="190"/>
      <c r="C913" s="432"/>
      <c r="D913" s="145"/>
      <c r="E913" s="145"/>
      <c r="F913" s="145"/>
      <c r="G913" s="145"/>
      <c r="H913" s="190"/>
      <c r="I913" s="190"/>
      <c r="J913" s="190"/>
      <c r="K913" s="4"/>
    </row>
    <row r="914" spans="1:11" s="9" customFormat="1">
      <c r="A914" s="145"/>
      <c r="B914" s="190"/>
      <c r="C914" s="432"/>
      <c r="D914" s="145"/>
      <c r="E914" s="145"/>
      <c r="F914" s="145"/>
      <c r="G914" s="145"/>
      <c r="H914" s="190"/>
      <c r="I914" s="190"/>
      <c r="J914" s="190"/>
      <c r="K914" s="4"/>
    </row>
    <row r="915" spans="1:11" s="9" customFormat="1">
      <c r="A915" s="145"/>
      <c r="B915" s="190"/>
      <c r="C915" s="432"/>
      <c r="D915" s="145"/>
      <c r="E915" s="145"/>
      <c r="F915" s="145"/>
      <c r="G915" s="145"/>
      <c r="H915" s="190"/>
      <c r="I915" s="190"/>
      <c r="J915" s="190"/>
      <c r="K915" s="4"/>
    </row>
    <row r="916" spans="1:11" s="9" customFormat="1">
      <c r="A916" s="145"/>
      <c r="B916" s="190"/>
      <c r="C916" s="432"/>
      <c r="D916" s="145"/>
      <c r="E916" s="145"/>
      <c r="F916" s="145"/>
      <c r="G916" s="145"/>
      <c r="H916" s="190"/>
      <c r="I916" s="190"/>
      <c r="J916" s="190"/>
      <c r="K916" s="4"/>
    </row>
    <row r="917" spans="1:11" s="9" customFormat="1">
      <c r="A917" s="145"/>
      <c r="B917" s="190"/>
      <c r="C917" s="432"/>
      <c r="D917" s="145"/>
      <c r="E917" s="145"/>
      <c r="F917" s="145"/>
      <c r="G917" s="145"/>
      <c r="H917" s="190"/>
      <c r="I917" s="190"/>
      <c r="J917" s="190"/>
      <c r="K917" s="4"/>
    </row>
    <row r="918" spans="1:11" s="9" customFormat="1">
      <c r="A918" s="145"/>
      <c r="B918" s="190"/>
      <c r="C918" s="432"/>
      <c r="D918" s="145"/>
      <c r="E918" s="145"/>
      <c r="F918" s="145"/>
      <c r="G918" s="145"/>
      <c r="H918" s="190"/>
      <c r="I918" s="190"/>
      <c r="J918" s="190"/>
      <c r="K918" s="4"/>
    </row>
    <row r="919" spans="1:11" s="9" customFormat="1">
      <c r="A919" s="145"/>
      <c r="B919" s="190"/>
      <c r="C919" s="432"/>
      <c r="D919" s="145"/>
      <c r="E919" s="145"/>
      <c r="F919" s="145"/>
      <c r="G919" s="145"/>
      <c r="H919" s="190"/>
      <c r="I919" s="190"/>
      <c r="J919" s="190"/>
      <c r="K919" s="4"/>
    </row>
    <row r="920" spans="1:11" s="9" customFormat="1">
      <c r="A920" s="145"/>
      <c r="B920" s="190"/>
      <c r="C920" s="432"/>
      <c r="D920" s="145"/>
      <c r="E920" s="145"/>
      <c r="F920" s="145"/>
      <c r="G920" s="145"/>
      <c r="H920" s="190"/>
      <c r="I920" s="190"/>
      <c r="J920" s="190"/>
      <c r="K920" s="4"/>
    </row>
    <row r="921" spans="1:11" s="9" customFormat="1">
      <c r="A921" s="145"/>
      <c r="B921" s="190"/>
      <c r="C921" s="432"/>
      <c r="D921" s="145"/>
      <c r="E921" s="145"/>
      <c r="F921" s="145"/>
      <c r="G921" s="145"/>
      <c r="H921" s="190"/>
      <c r="I921" s="190"/>
      <c r="J921" s="190"/>
      <c r="K921" s="4"/>
    </row>
    <row r="922" spans="1:11" s="9" customFormat="1">
      <c r="A922" s="145"/>
      <c r="B922" s="190"/>
      <c r="C922" s="432"/>
      <c r="D922" s="145"/>
      <c r="E922" s="145"/>
      <c r="F922" s="145"/>
      <c r="G922" s="145"/>
      <c r="H922" s="190"/>
      <c r="I922" s="190"/>
      <c r="J922" s="190"/>
      <c r="K922" s="4"/>
    </row>
    <row r="923" spans="1:11" s="9" customFormat="1">
      <c r="A923" s="145"/>
      <c r="B923" s="190"/>
      <c r="C923" s="432"/>
      <c r="D923" s="145"/>
      <c r="E923" s="145"/>
      <c r="F923" s="145"/>
      <c r="G923" s="145"/>
      <c r="H923" s="190"/>
      <c r="I923" s="190"/>
      <c r="J923" s="190"/>
      <c r="K923" s="4"/>
    </row>
    <row r="924" spans="1:11" s="9" customFormat="1">
      <c r="A924" s="145"/>
      <c r="B924" s="190"/>
      <c r="C924" s="432"/>
      <c r="D924" s="145"/>
      <c r="E924" s="145"/>
      <c r="F924" s="145"/>
      <c r="G924" s="145"/>
      <c r="H924" s="190"/>
      <c r="I924" s="190"/>
      <c r="J924" s="190"/>
      <c r="K924" s="4"/>
    </row>
    <row r="925" spans="1:11" s="9" customFormat="1">
      <c r="A925" s="145"/>
      <c r="B925" s="190"/>
      <c r="C925" s="432"/>
      <c r="D925" s="145"/>
      <c r="E925" s="145"/>
      <c r="F925" s="145"/>
      <c r="G925" s="145"/>
      <c r="H925" s="190"/>
      <c r="I925" s="190"/>
      <c r="J925" s="190"/>
      <c r="K925" s="4"/>
    </row>
    <row r="926" spans="1:11" s="9" customFormat="1">
      <c r="A926" s="145"/>
      <c r="B926" s="190"/>
      <c r="C926" s="432"/>
      <c r="D926" s="145"/>
      <c r="E926" s="145"/>
      <c r="F926" s="145"/>
      <c r="G926" s="145"/>
      <c r="H926" s="190"/>
      <c r="I926" s="190"/>
      <c r="J926" s="190"/>
      <c r="K926" s="4"/>
    </row>
    <row r="927" spans="1:11" s="9" customFormat="1">
      <c r="A927" s="145"/>
      <c r="B927" s="190"/>
      <c r="C927" s="432"/>
      <c r="D927" s="145"/>
      <c r="E927" s="145"/>
      <c r="F927" s="145"/>
      <c r="G927" s="145"/>
      <c r="H927" s="190"/>
      <c r="I927" s="190"/>
      <c r="J927" s="190"/>
      <c r="K927" s="4"/>
    </row>
    <row r="928" spans="1:11" s="9" customFormat="1">
      <c r="A928" s="145"/>
      <c r="B928" s="190"/>
      <c r="C928" s="432"/>
      <c r="D928" s="145"/>
      <c r="E928" s="145"/>
      <c r="F928" s="145"/>
      <c r="G928" s="145"/>
      <c r="H928" s="190"/>
      <c r="I928" s="190"/>
      <c r="J928" s="190"/>
      <c r="K928" s="4"/>
    </row>
    <row r="929" spans="1:11" s="9" customFormat="1">
      <c r="A929" s="145"/>
      <c r="B929" s="190"/>
      <c r="C929" s="432"/>
      <c r="D929" s="145"/>
      <c r="E929" s="145"/>
      <c r="F929" s="145"/>
      <c r="G929" s="145"/>
      <c r="H929" s="190"/>
      <c r="I929" s="190"/>
      <c r="J929" s="190"/>
      <c r="K929" s="4"/>
    </row>
    <row r="930" spans="1:11" s="9" customFormat="1">
      <c r="A930" s="145"/>
      <c r="B930" s="190"/>
      <c r="C930" s="432"/>
      <c r="D930" s="145"/>
      <c r="E930" s="145"/>
      <c r="F930" s="145"/>
      <c r="G930" s="145"/>
      <c r="H930" s="190"/>
      <c r="I930" s="190"/>
      <c r="J930" s="190"/>
      <c r="K930" s="4"/>
    </row>
    <row r="931" spans="1:11" s="9" customFormat="1">
      <c r="A931" s="145"/>
      <c r="B931" s="190"/>
      <c r="C931" s="432"/>
      <c r="D931" s="145"/>
      <c r="E931" s="145"/>
      <c r="F931" s="145"/>
      <c r="G931" s="145"/>
      <c r="H931" s="190"/>
      <c r="I931" s="190"/>
      <c r="J931" s="190"/>
      <c r="K931" s="4"/>
    </row>
    <row r="932" spans="1:11" s="9" customFormat="1">
      <c r="A932" s="145"/>
      <c r="B932" s="190"/>
      <c r="C932" s="432"/>
      <c r="D932" s="145"/>
      <c r="E932" s="145"/>
      <c r="F932" s="145"/>
      <c r="G932" s="145"/>
      <c r="H932" s="190"/>
      <c r="I932" s="190"/>
      <c r="J932" s="190"/>
      <c r="K932" s="4"/>
    </row>
    <row r="933" spans="1:11" s="9" customFormat="1">
      <c r="A933" s="145"/>
      <c r="B933" s="190"/>
      <c r="C933" s="432"/>
      <c r="D933" s="145"/>
      <c r="E933" s="145"/>
      <c r="F933" s="145"/>
      <c r="G933" s="145"/>
      <c r="H933" s="190"/>
      <c r="I933" s="190"/>
      <c r="J933" s="190"/>
      <c r="K933" s="4"/>
    </row>
    <row r="934" spans="1:11" s="9" customFormat="1">
      <c r="A934" s="145"/>
      <c r="B934" s="190"/>
      <c r="C934" s="432"/>
      <c r="D934" s="145"/>
      <c r="E934" s="145"/>
      <c r="F934" s="145"/>
      <c r="G934" s="145"/>
      <c r="H934" s="190"/>
      <c r="I934" s="190"/>
      <c r="J934" s="190"/>
      <c r="K934" s="4"/>
    </row>
    <row r="935" spans="1:11" s="9" customFormat="1">
      <c r="A935" s="145"/>
      <c r="B935" s="190"/>
      <c r="C935" s="432"/>
      <c r="D935" s="145"/>
      <c r="E935" s="145"/>
      <c r="F935" s="145"/>
      <c r="G935" s="145"/>
      <c r="H935" s="190"/>
      <c r="I935" s="190"/>
      <c r="J935" s="190"/>
      <c r="K935" s="4"/>
    </row>
    <row r="936" spans="1:11" s="9" customFormat="1">
      <c r="A936" s="145"/>
      <c r="B936" s="190"/>
      <c r="C936" s="432"/>
      <c r="D936" s="145"/>
      <c r="E936" s="145"/>
      <c r="F936" s="145"/>
      <c r="G936" s="145"/>
      <c r="H936" s="190"/>
      <c r="I936" s="190"/>
      <c r="J936" s="190"/>
      <c r="K936" s="4"/>
    </row>
    <row r="937" spans="1:11" s="9" customFormat="1">
      <c r="A937" s="145"/>
      <c r="B937" s="190"/>
      <c r="C937" s="432"/>
      <c r="D937" s="145"/>
      <c r="E937" s="145"/>
      <c r="F937" s="145"/>
      <c r="G937" s="145"/>
      <c r="H937" s="190"/>
      <c r="I937" s="190"/>
      <c r="J937" s="190"/>
      <c r="K937" s="4"/>
    </row>
    <row r="938" spans="1:11" s="9" customFormat="1">
      <c r="A938" s="145"/>
      <c r="B938" s="190"/>
      <c r="C938" s="432"/>
      <c r="D938" s="145"/>
      <c r="E938" s="145"/>
      <c r="F938" s="145"/>
      <c r="G938" s="145"/>
      <c r="H938" s="190"/>
      <c r="I938" s="190"/>
      <c r="J938" s="190"/>
      <c r="K938" s="4"/>
    </row>
    <row r="939" spans="1:11" s="9" customFormat="1">
      <c r="A939" s="145"/>
      <c r="B939" s="190"/>
      <c r="C939" s="432"/>
      <c r="D939" s="145"/>
      <c r="E939" s="145"/>
      <c r="F939" s="145"/>
      <c r="G939" s="145"/>
      <c r="H939" s="190"/>
      <c r="I939" s="190"/>
      <c r="J939" s="190"/>
      <c r="K939" s="4"/>
    </row>
    <row r="940" spans="1:11" s="9" customFormat="1">
      <c r="A940" s="145"/>
      <c r="B940" s="190"/>
      <c r="C940" s="432"/>
      <c r="D940" s="145"/>
      <c r="E940" s="145"/>
      <c r="F940" s="145"/>
      <c r="G940" s="145"/>
      <c r="H940" s="190"/>
      <c r="I940" s="190"/>
      <c r="J940" s="190"/>
      <c r="K940" s="4"/>
    </row>
    <row r="941" spans="1:11" s="9" customFormat="1">
      <c r="A941" s="145"/>
      <c r="B941" s="190"/>
      <c r="C941" s="432"/>
      <c r="D941" s="145"/>
      <c r="E941" s="145"/>
      <c r="F941" s="145"/>
      <c r="G941" s="145"/>
      <c r="H941" s="190"/>
      <c r="I941" s="190"/>
      <c r="J941" s="190"/>
      <c r="K941" s="4"/>
    </row>
    <row r="942" spans="1:11" s="9" customFormat="1">
      <c r="A942" s="145"/>
      <c r="B942" s="190"/>
      <c r="C942" s="432"/>
      <c r="D942" s="145"/>
      <c r="E942" s="145"/>
      <c r="F942" s="145"/>
      <c r="G942" s="145"/>
      <c r="H942" s="190"/>
      <c r="I942" s="190"/>
      <c r="J942" s="190"/>
      <c r="K942" s="4"/>
    </row>
    <row r="943" spans="1:11" s="9" customFormat="1">
      <c r="A943" s="145"/>
      <c r="B943" s="190"/>
      <c r="C943" s="432"/>
      <c r="D943" s="145"/>
      <c r="E943" s="145"/>
      <c r="F943" s="145"/>
      <c r="G943" s="145"/>
      <c r="H943" s="190"/>
      <c r="I943" s="190"/>
      <c r="J943" s="190"/>
      <c r="K943" s="4"/>
    </row>
    <row r="944" spans="1:11" s="9" customFormat="1">
      <c r="A944" s="145"/>
      <c r="B944" s="190"/>
      <c r="C944" s="432"/>
      <c r="D944" s="145"/>
      <c r="E944" s="145"/>
      <c r="F944" s="145"/>
      <c r="G944" s="145"/>
      <c r="H944" s="190"/>
      <c r="I944" s="190"/>
      <c r="J944" s="190"/>
      <c r="K944" s="4"/>
    </row>
    <row r="945" spans="1:11" s="9" customFormat="1">
      <c r="A945" s="145"/>
      <c r="B945" s="190"/>
      <c r="C945" s="432"/>
      <c r="D945" s="145"/>
      <c r="E945" s="145"/>
      <c r="F945" s="145"/>
      <c r="G945" s="145"/>
      <c r="H945" s="190"/>
      <c r="I945" s="190"/>
      <c r="J945" s="190"/>
      <c r="K945" s="4"/>
    </row>
    <row r="946" spans="1:11" s="9" customFormat="1">
      <c r="A946" s="145"/>
      <c r="B946" s="190"/>
      <c r="C946" s="432"/>
      <c r="D946" s="145"/>
      <c r="E946" s="145"/>
      <c r="F946" s="145"/>
      <c r="G946" s="145"/>
      <c r="H946" s="190"/>
      <c r="I946" s="190"/>
      <c r="J946" s="190"/>
      <c r="K946" s="4"/>
    </row>
    <row r="947" spans="1:11" s="9" customFormat="1">
      <c r="A947" s="145"/>
      <c r="B947" s="190"/>
      <c r="C947" s="432"/>
      <c r="D947" s="145"/>
      <c r="E947" s="145"/>
      <c r="F947" s="145"/>
      <c r="G947" s="145"/>
      <c r="H947" s="190"/>
      <c r="I947" s="190"/>
      <c r="J947" s="190"/>
      <c r="K947" s="4"/>
    </row>
    <row r="948" spans="1:11" s="9" customFormat="1">
      <c r="A948" s="145"/>
      <c r="B948" s="190"/>
      <c r="C948" s="432"/>
      <c r="D948" s="145"/>
      <c r="E948" s="145"/>
      <c r="F948" s="145"/>
      <c r="G948" s="145"/>
      <c r="H948" s="190"/>
      <c r="I948" s="190"/>
      <c r="J948" s="190"/>
      <c r="K948" s="4"/>
    </row>
    <row r="949" spans="1:11" s="9" customFormat="1">
      <c r="A949" s="145"/>
      <c r="B949" s="190"/>
      <c r="C949" s="432"/>
      <c r="D949" s="145"/>
      <c r="E949" s="145"/>
      <c r="F949" s="145"/>
      <c r="G949" s="145"/>
      <c r="H949" s="190"/>
      <c r="I949" s="190"/>
      <c r="J949" s="190"/>
      <c r="K949" s="4"/>
    </row>
    <row r="950" spans="1:11" s="9" customFormat="1">
      <c r="A950" s="145"/>
      <c r="B950" s="190"/>
      <c r="C950" s="432"/>
      <c r="D950" s="145"/>
      <c r="E950" s="145"/>
      <c r="F950" s="145"/>
      <c r="G950" s="145"/>
      <c r="H950" s="190"/>
      <c r="I950" s="190"/>
      <c r="J950" s="190"/>
      <c r="K950" s="4"/>
    </row>
    <row r="951" spans="1:11" s="9" customFormat="1">
      <c r="A951" s="145"/>
      <c r="B951" s="190"/>
      <c r="C951" s="432"/>
      <c r="D951" s="145"/>
      <c r="E951" s="145"/>
      <c r="F951" s="145"/>
      <c r="G951" s="145"/>
      <c r="H951" s="190"/>
      <c r="I951" s="190"/>
      <c r="J951" s="190"/>
      <c r="K951" s="4"/>
    </row>
    <row r="952" spans="1:11" s="9" customFormat="1">
      <c r="A952" s="145"/>
      <c r="B952" s="190"/>
      <c r="C952" s="432"/>
      <c r="D952" s="145"/>
      <c r="E952" s="145"/>
      <c r="F952" s="145"/>
      <c r="G952" s="145"/>
      <c r="H952" s="190"/>
      <c r="I952" s="190"/>
      <c r="J952" s="190"/>
      <c r="K952" s="4"/>
    </row>
    <row r="953" spans="1:11" s="9" customFormat="1">
      <c r="A953" s="145"/>
      <c r="B953" s="190"/>
      <c r="C953" s="432"/>
      <c r="D953" s="145"/>
      <c r="E953" s="145"/>
      <c r="F953" s="145"/>
      <c r="G953" s="145"/>
      <c r="H953" s="190"/>
      <c r="I953" s="190"/>
      <c r="J953" s="190"/>
      <c r="K953" s="4"/>
    </row>
    <row r="954" spans="1:11" s="9" customFormat="1">
      <c r="A954" s="145"/>
      <c r="B954" s="190"/>
      <c r="C954" s="432"/>
      <c r="D954" s="145"/>
      <c r="E954" s="145"/>
      <c r="F954" s="145"/>
      <c r="G954" s="145"/>
      <c r="H954" s="190"/>
      <c r="I954" s="190"/>
      <c r="J954" s="190"/>
      <c r="K954" s="4"/>
    </row>
    <row r="955" spans="1:11" s="9" customFormat="1">
      <c r="A955" s="145"/>
      <c r="B955" s="190"/>
      <c r="C955" s="432"/>
      <c r="D955" s="145"/>
      <c r="E955" s="145"/>
      <c r="F955" s="145"/>
      <c r="G955" s="145"/>
      <c r="H955" s="190"/>
      <c r="I955" s="190"/>
      <c r="J955" s="190"/>
      <c r="K955" s="4"/>
    </row>
    <row r="956" spans="1:11" s="9" customFormat="1">
      <c r="A956" s="145"/>
      <c r="B956" s="190"/>
      <c r="C956" s="432"/>
      <c r="D956" s="145"/>
      <c r="E956" s="145"/>
      <c r="F956" s="145"/>
      <c r="G956" s="145"/>
      <c r="H956" s="190"/>
      <c r="I956" s="190"/>
      <c r="J956" s="190"/>
      <c r="K956" s="4"/>
    </row>
    <row r="957" spans="1:11" s="9" customFormat="1">
      <c r="A957" s="145"/>
      <c r="B957" s="190"/>
      <c r="C957" s="432"/>
      <c r="D957" s="145"/>
      <c r="E957" s="145"/>
      <c r="F957" s="145"/>
      <c r="G957" s="145"/>
      <c r="H957" s="190"/>
      <c r="I957" s="190"/>
      <c r="J957" s="190"/>
      <c r="K957" s="4"/>
    </row>
    <row r="958" spans="1:11" s="9" customFormat="1">
      <c r="A958" s="145"/>
      <c r="B958" s="190"/>
      <c r="C958" s="432"/>
      <c r="D958" s="145"/>
      <c r="E958" s="145"/>
      <c r="F958" s="145"/>
      <c r="G958" s="145"/>
      <c r="H958" s="190"/>
      <c r="I958" s="190"/>
      <c r="J958" s="190"/>
      <c r="K958" s="4"/>
    </row>
    <row r="959" spans="1:11" s="9" customFormat="1">
      <c r="A959" s="145"/>
      <c r="B959" s="190"/>
      <c r="C959" s="432"/>
      <c r="D959" s="145"/>
      <c r="E959" s="145"/>
      <c r="F959" s="145"/>
      <c r="G959" s="145"/>
      <c r="H959" s="190"/>
      <c r="I959" s="190"/>
      <c r="J959" s="190"/>
      <c r="K959" s="4"/>
    </row>
    <row r="960" spans="1:11" s="9" customFormat="1">
      <c r="A960" s="145"/>
      <c r="B960" s="190"/>
      <c r="C960" s="432"/>
      <c r="D960" s="145"/>
      <c r="E960" s="145"/>
      <c r="F960" s="145"/>
      <c r="G960" s="145"/>
      <c r="H960" s="190"/>
      <c r="I960" s="190"/>
      <c r="J960" s="190"/>
      <c r="K960" s="4"/>
    </row>
    <row r="961" spans="1:11" s="9" customFormat="1">
      <c r="A961" s="145"/>
      <c r="B961" s="190"/>
      <c r="C961" s="432"/>
      <c r="D961" s="145"/>
      <c r="E961" s="145"/>
      <c r="F961" s="145"/>
      <c r="G961" s="145"/>
      <c r="H961" s="190"/>
      <c r="I961" s="190"/>
      <c r="J961" s="190"/>
      <c r="K961" s="4"/>
    </row>
    <row r="962" spans="1:11" s="9" customFormat="1">
      <c r="A962" s="145"/>
      <c r="B962" s="190"/>
      <c r="C962" s="432"/>
      <c r="D962" s="145"/>
      <c r="E962" s="145"/>
      <c r="F962" s="145"/>
      <c r="G962" s="145"/>
      <c r="H962" s="190"/>
      <c r="I962" s="190"/>
      <c r="J962" s="190"/>
      <c r="K962" s="4"/>
    </row>
    <row r="963" spans="1:11" s="9" customFormat="1">
      <c r="A963" s="145"/>
      <c r="B963" s="190"/>
      <c r="C963" s="432"/>
      <c r="D963" s="145"/>
      <c r="E963" s="145"/>
      <c r="F963" s="145"/>
      <c r="G963" s="145"/>
      <c r="H963" s="190"/>
      <c r="I963" s="190"/>
      <c r="J963" s="190"/>
      <c r="K963" s="4"/>
    </row>
    <row r="964" spans="1:11" s="9" customFormat="1">
      <c r="A964" s="145"/>
      <c r="B964" s="190"/>
      <c r="C964" s="432"/>
      <c r="D964" s="145"/>
      <c r="E964" s="145"/>
      <c r="F964" s="145"/>
      <c r="G964" s="145"/>
      <c r="H964" s="190"/>
      <c r="I964" s="190"/>
      <c r="J964" s="190"/>
      <c r="K964" s="4"/>
    </row>
    <row r="965" spans="1:11" s="9" customFormat="1">
      <c r="A965" s="145"/>
      <c r="B965" s="190"/>
      <c r="C965" s="432"/>
      <c r="D965" s="145"/>
      <c r="E965" s="145"/>
      <c r="F965" s="145"/>
      <c r="G965" s="145"/>
      <c r="H965" s="190"/>
      <c r="I965" s="190"/>
      <c r="J965" s="190"/>
      <c r="K965" s="4"/>
    </row>
    <row r="966" spans="1:11" s="9" customFormat="1">
      <c r="A966" s="145"/>
      <c r="B966" s="190"/>
      <c r="C966" s="432"/>
      <c r="D966" s="145"/>
      <c r="E966" s="145"/>
      <c r="F966" s="145"/>
      <c r="G966" s="145"/>
      <c r="H966" s="190"/>
      <c r="I966" s="190"/>
      <c r="J966" s="190"/>
      <c r="K966" s="4"/>
    </row>
    <row r="967" spans="1:11" s="9" customFormat="1">
      <c r="A967" s="145"/>
      <c r="B967" s="190"/>
      <c r="C967" s="432"/>
      <c r="D967" s="145"/>
      <c r="E967" s="145"/>
      <c r="F967" s="145"/>
      <c r="G967" s="145"/>
      <c r="H967" s="190"/>
      <c r="I967" s="190"/>
      <c r="J967" s="190"/>
      <c r="K967" s="4"/>
    </row>
    <row r="968" spans="1:11" s="9" customFormat="1">
      <c r="A968" s="145"/>
      <c r="B968" s="190"/>
      <c r="C968" s="432"/>
      <c r="D968" s="145"/>
      <c r="E968" s="145"/>
      <c r="F968" s="145"/>
      <c r="G968" s="145"/>
      <c r="H968" s="190"/>
      <c r="I968" s="190"/>
      <c r="J968" s="190"/>
      <c r="K968" s="4"/>
    </row>
    <row r="969" spans="1:11" s="9" customFormat="1">
      <c r="A969" s="145"/>
      <c r="B969" s="190"/>
      <c r="C969" s="432"/>
      <c r="D969" s="145"/>
      <c r="E969" s="145"/>
      <c r="F969" s="145"/>
      <c r="G969" s="145"/>
      <c r="H969" s="190"/>
      <c r="I969" s="190"/>
      <c r="J969" s="190"/>
      <c r="K969" s="4"/>
    </row>
    <row r="970" spans="1:11" s="9" customFormat="1">
      <c r="A970" s="145"/>
      <c r="B970" s="190"/>
      <c r="C970" s="432"/>
      <c r="D970" s="145"/>
      <c r="E970" s="145"/>
      <c r="F970" s="145"/>
      <c r="G970" s="145"/>
      <c r="H970" s="190"/>
      <c r="I970" s="190"/>
      <c r="J970" s="190"/>
      <c r="K970" s="4"/>
    </row>
    <row r="971" spans="1:11" s="9" customFormat="1">
      <c r="A971" s="145"/>
      <c r="B971" s="190"/>
      <c r="C971" s="432"/>
      <c r="D971" s="145"/>
      <c r="E971" s="145"/>
      <c r="F971" s="145"/>
      <c r="G971" s="145"/>
      <c r="H971" s="190"/>
      <c r="I971" s="190"/>
      <c r="J971" s="190"/>
      <c r="K971" s="4"/>
    </row>
    <row r="972" spans="1:11" s="9" customFormat="1">
      <c r="A972" s="145"/>
      <c r="B972" s="190"/>
      <c r="C972" s="432"/>
      <c r="D972" s="145"/>
      <c r="E972" s="145"/>
      <c r="F972" s="145"/>
      <c r="G972" s="145"/>
      <c r="H972" s="190"/>
      <c r="I972" s="190"/>
      <c r="J972" s="190"/>
      <c r="K972" s="4"/>
    </row>
    <row r="973" spans="1:11" s="9" customFormat="1">
      <c r="A973" s="145"/>
      <c r="B973" s="190"/>
      <c r="C973" s="432"/>
      <c r="D973" s="145"/>
      <c r="E973" s="145"/>
      <c r="F973" s="145"/>
      <c r="G973" s="145"/>
      <c r="H973" s="190"/>
      <c r="I973" s="190"/>
      <c r="J973" s="190"/>
      <c r="K973" s="4"/>
    </row>
    <row r="974" spans="1:11" s="9" customFormat="1">
      <c r="A974" s="145"/>
      <c r="B974" s="190"/>
      <c r="C974" s="432"/>
      <c r="D974" s="145"/>
      <c r="E974" s="145"/>
      <c r="F974" s="145"/>
      <c r="G974" s="145"/>
      <c r="H974" s="190"/>
      <c r="I974" s="190"/>
      <c r="J974" s="190"/>
      <c r="K974" s="4"/>
    </row>
    <row r="975" spans="1:11" s="9" customFormat="1">
      <c r="A975" s="145"/>
      <c r="B975" s="190"/>
      <c r="C975" s="432"/>
      <c r="D975" s="145"/>
      <c r="E975" s="145"/>
      <c r="F975" s="145"/>
      <c r="G975" s="145"/>
      <c r="H975" s="190"/>
      <c r="I975" s="190"/>
      <c r="J975" s="190"/>
      <c r="K975" s="4"/>
    </row>
    <row r="976" spans="1:11" s="9" customFormat="1">
      <c r="A976" s="145"/>
      <c r="B976" s="190"/>
      <c r="C976" s="432"/>
      <c r="D976" s="145"/>
      <c r="E976" s="145"/>
      <c r="F976" s="145"/>
      <c r="G976" s="145"/>
      <c r="H976" s="190"/>
      <c r="I976" s="190"/>
      <c r="J976" s="190"/>
      <c r="K976" s="4"/>
    </row>
    <row r="977" spans="1:11" s="9" customFormat="1">
      <c r="A977" s="145"/>
      <c r="B977" s="190"/>
      <c r="C977" s="432"/>
      <c r="D977" s="145"/>
      <c r="E977" s="145"/>
      <c r="F977" s="145"/>
      <c r="G977" s="145"/>
      <c r="H977" s="190"/>
      <c r="I977" s="190"/>
      <c r="J977" s="190"/>
      <c r="K977" s="4"/>
    </row>
    <row r="978" spans="1:11" s="9" customFormat="1">
      <c r="A978" s="145"/>
      <c r="B978" s="190"/>
      <c r="C978" s="432"/>
      <c r="D978" s="145"/>
      <c r="E978" s="145"/>
      <c r="F978" s="145"/>
      <c r="G978" s="145"/>
      <c r="H978" s="190"/>
      <c r="I978" s="190"/>
      <c r="J978" s="190"/>
      <c r="K978" s="4"/>
    </row>
    <row r="979" spans="1:11" s="9" customFormat="1">
      <c r="A979" s="145"/>
      <c r="B979" s="190"/>
      <c r="C979" s="432"/>
      <c r="D979" s="145"/>
      <c r="E979" s="145"/>
      <c r="F979" s="145"/>
      <c r="G979" s="145"/>
      <c r="H979" s="190"/>
      <c r="I979" s="190"/>
      <c r="J979" s="190"/>
      <c r="K979" s="4"/>
    </row>
    <row r="980" spans="1:11" s="9" customFormat="1">
      <c r="A980" s="145"/>
      <c r="B980" s="190"/>
      <c r="C980" s="432"/>
      <c r="D980" s="145"/>
      <c r="E980" s="145"/>
      <c r="F980" s="145"/>
      <c r="G980" s="145"/>
      <c r="H980" s="190"/>
      <c r="I980" s="190"/>
      <c r="J980" s="190"/>
      <c r="K980" s="4"/>
    </row>
    <row r="981" spans="1:11" s="9" customFormat="1">
      <c r="A981" s="145"/>
      <c r="B981" s="190"/>
      <c r="C981" s="432"/>
      <c r="D981" s="145"/>
      <c r="E981" s="145"/>
      <c r="F981" s="145"/>
      <c r="G981" s="145"/>
      <c r="H981" s="190"/>
      <c r="I981" s="190"/>
      <c r="J981" s="190"/>
      <c r="K981" s="4"/>
    </row>
    <row r="982" spans="1:11" s="9" customFormat="1">
      <c r="A982" s="145"/>
      <c r="B982" s="190"/>
      <c r="C982" s="432"/>
      <c r="D982" s="145"/>
      <c r="E982" s="145"/>
      <c r="F982" s="145"/>
      <c r="G982" s="145"/>
      <c r="H982" s="190"/>
      <c r="I982" s="190"/>
      <c r="J982" s="190"/>
      <c r="K982" s="4"/>
    </row>
    <row r="983" spans="1:11" s="9" customFormat="1">
      <c r="A983" s="145"/>
      <c r="B983" s="190"/>
      <c r="C983" s="432"/>
      <c r="D983" s="145"/>
      <c r="E983" s="145"/>
      <c r="F983" s="145"/>
      <c r="G983" s="145"/>
      <c r="H983" s="190"/>
      <c r="I983" s="190"/>
      <c r="J983" s="190"/>
      <c r="K983" s="4"/>
    </row>
    <row r="984" spans="1:11" s="9" customFormat="1">
      <c r="A984" s="145"/>
      <c r="B984" s="190"/>
      <c r="C984" s="432"/>
      <c r="D984" s="145"/>
      <c r="E984" s="145"/>
      <c r="F984" s="145"/>
      <c r="G984" s="145"/>
      <c r="H984" s="190"/>
      <c r="I984" s="190"/>
      <c r="J984" s="190"/>
      <c r="K984" s="4"/>
    </row>
    <row r="985" spans="1:11" s="9" customFormat="1">
      <c r="A985" s="145"/>
      <c r="B985" s="190"/>
      <c r="C985" s="432"/>
      <c r="D985" s="145"/>
      <c r="E985" s="145"/>
      <c r="F985" s="145"/>
      <c r="G985" s="145"/>
      <c r="H985" s="190"/>
      <c r="I985" s="190"/>
      <c r="J985" s="190"/>
      <c r="K985" s="4"/>
    </row>
    <row r="986" spans="1:11" s="9" customFormat="1">
      <c r="A986" s="145"/>
      <c r="B986" s="190"/>
      <c r="C986" s="432"/>
      <c r="D986" s="145"/>
      <c r="E986" s="145"/>
      <c r="F986" s="145"/>
      <c r="G986" s="145"/>
      <c r="H986" s="190"/>
      <c r="I986" s="190"/>
      <c r="J986" s="190"/>
      <c r="K986" s="4"/>
    </row>
    <row r="987" spans="1:11" s="9" customFormat="1">
      <c r="A987" s="145"/>
      <c r="B987" s="190"/>
      <c r="C987" s="432"/>
      <c r="D987" s="145"/>
      <c r="E987" s="145"/>
      <c r="F987" s="145"/>
      <c r="G987" s="145"/>
      <c r="H987" s="190"/>
      <c r="I987" s="190"/>
      <c r="J987" s="190"/>
      <c r="K987" s="4"/>
    </row>
    <row r="988" spans="1:11" s="9" customFormat="1">
      <c r="A988" s="145"/>
      <c r="B988" s="190"/>
      <c r="C988" s="432"/>
      <c r="D988" s="145"/>
      <c r="E988" s="145"/>
      <c r="F988" s="145"/>
      <c r="G988" s="145"/>
      <c r="H988" s="190"/>
      <c r="I988" s="190"/>
      <c r="J988" s="190"/>
      <c r="K988" s="4"/>
    </row>
    <row r="989" spans="1:11" s="9" customFormat="1">
      <c r="A989" s="145"/>
      <c r="B989" s="190"/>
      <c r="C989" s="432"/>
      <c r="D989" s="145"/>
      <c r="E989" s="145"/>
      <c r="F989" s="145"/>
      <c r="G989" s="145"/>
      <c r="H989" s="190"/>
      <c r="I989" s="190"/>
      <c r="J989" s="190"/>
      <c r="K989" s="4"/>
    </row>
    <row r="990" spans="1:11" s="9" customFormat="1">
      <c r="A990" s="145"/>
      <c r="B990" s="190"/>
      <c r="C990" s="432"/>
      <c r="D990" s="145"/>
      <c r="E990" s="145"/>
      <c r="F990" s="145"/>
      <c r="G990" s="145"/>
      <c r="H990" s="190"/>
      <c r="I990" s="190"/>
      <c r="J990" s="190"/>
      <c r="K990" s="4"/>
    </row>
    <row r="991" spans="1:11" s="9" customFormat="1">
      <c r="A991" s="145"/>
      <c r="B991" s="190"/>
      <c r="C991" s="432"/>
      <c r="D991" s="145"/>
      <c r="E991" s="145"/>
      <c r="F991" s="145"/>
      <c r="G991" s="145"/>
      <c r="H991" s="190"/>
      <c r="I991" s="190"/>
      <c r="J991" s="190"/>
      <c r="K991" s="4"/>
    </row>
    <row r="992" spans="1:11" s="9" customFormat="1">
      <c r="A992" s="145"/>
      <c r="B992" s="190"/>
      <c r="C992" s="432"/>
      <c r="D992" s="145"/>
      <c r="E992" s="145"/>
      <c r="F992" s="145"/>
      <c r="G992" s="145"/>
      <c r="H992" s="190"/>
      <c r="I992" s="190"/>
      <c r="J992" s="190"/>
      <c r="K992" s="4"/>
    </row>
    <row r="993" spans="1:11" s="9" customFormat="1">
      <c r="A993" s="145"/>
      <c r="B993" s="190"/>
      <c r="C993" s="432"/>
      <c r="D993" s="145"/>
      <c r="E993" s="145"/>
      <c r="F993" s="145"/>
      <c r="G993" s="145"/>
      <c r="H993" s="190"/>
      <c r="I993" s="190"/>
      <c r="J993" s="190"/>
      <c r="K993" s="4"/>
    </row>
    <row r="994" spans="1:11" s="9" customFormat="1">
      <c r="A994" s="145"/>
      <c r="B994" s="190"/>
      <c r="C994" s="432"/>
      <c r="D994" s="145"/>
      <c r="E994" s="145"/>
      <c r="F994" s="145"/>
      <c r="G994" s="145"/>
      <c r="H994" s="190"/>
      <c r="I994" s="190"/>
      <c r="J994" s="190"/>
      <c r="K994" s="4"/>
    </row>
    <row r="995" spans="1:11" s="9" customFormat="1">
      <c r="A995" s="145"/>
      <c r="B995" s="190"/>
      <c r="C995" s="432"/>
      <c r="D995" s="145"/>
      <c r="E995" s="145"/>
      <c r="F995" s="145"/>
      <c r="G995" s="145"/>
      <c r="H995" s="190"/>
      <c r="I995" s="190"/>
      <c r="J995" s="190"/>
      <c r="K995" s="4"/>
    </row>
    <row r="996" spans="1:11" s="9" customFormat="1">
      <c r="A996" s="145"/>
      <c r="B996" s="190"/>
      <c r="C996" s="432"/>
      <c r="D996" s="145"/>
      <c r="E996" s="145"/>
      <c r="F996" s="145"/>
      <c r="G996" s="145"/>
      <c r="H996" s="190"/>
      <c r="I996" s="190"/>
      <c r="J996" s="190"/>
      <c r="K996" s="4"/>
    </row>
    <row r="997" spans="1:11" s="9" customFormat="1">
      <c r="A997" s="145"/>
      <c r="B997" s="190"/>
      <c r="C997" s="432"/>
      <c r="D997" s="145"/>
      <c r="E997" s="145"/>
      <c r="F997" s="145"/>
      <c r="G997" s="145"/>
      <c r="H997" s="190"/>
      <c r="I997" s="190"/>
      <c r="J997" s="190"/>
      <c r="K997" s="4"/>
    </row>
    <row r="998" spans="1:11" s="9" customFormat="1">
      <c r="A998" s="145"/>
      <c r="B998" s="190"/>
      <c r="C998" s="432"/>
      <c r="D998" s="145"/>
      <c r="E998" s="145"/>
      <c r="F998" s="145"/>
      <c r="G998" s="145"/>
      <c r="H998" s="190"/>
      <c r="I998" s="190"/>
      <c r="J998" s="190"/>
      <c r="K998" s="4"/>
    </row>
    <row r="999" spans="1:11" s="9" customFormat="1">
      <c r="A999" s="145"/>
      <c r="B999" s="190"/>
      <c r="C999" s="432"/>
      <c r="D999" s="145"/>
      <c r="E999" s="145"/>
      <c r="F999" s="145"/>
      <c r="G999" s="145"/>
      <c r="H999" s="190"/>
      <c r="I999" s="190"/>
      <c r="J999" s="190"/>
      <c r="K999" s="4"/>
    </row>
    <row r="1000" spans="1:11" s="9" customFormat="1">
      <c r="A1000" s="145"/>
      <c r="B1000" s="190"/>
      <c r="C1000" s="432"/>
      <c r="D1000" s="145"/>
      <c r="E1000" s="145"/>
      <c r="F1000" s="145"/>
      <c r="G1000" s="145"/>
      <c r="H1000" s="190"/>
      <c r="I1000" s="190"/>
      <c r="J1000" s="190"/>
      <c r="K1000" s="4"/>
    </row>
    <row r="1001" spans="1:11" s="9" customFormat="1">
      <c r="A1001" s="145"/>
      <c r="B1001" s="190"/>
      <c r="C1001" s="432"/>
      <c r="D1001" s="145"/>
      <c r="E1001" s="145"/>
      <c r="F1001" s="145"/>
      <c r="G1001" s="145"/>
      <c r="H1001" s="190"/>
      <c r="I1001" s="190"/>
      <c r="J1001" s="190"/>
      <c r="K1001" s="4"/>
    </row>
    <row r="1002" spans="1:11" s="9" customFormat="1">
      <c r="A1002" s="145"/>
      <c r="B1002" s="190"/>
      <c r="C1002" s="432"/>
      <c r="D1002" s="145"/>
      <c r="E1002" s="145"/>
      <c r="F1002" s="145"/>
      <c r="G1002" s="145"/>
      <c r="H1002" s="190"/>
      <c r="I1002" s="190"/>
      <c r="J1002" s="190"/>
      <c r="K1002" s="4"/>
    </row>
    <row r="1003" spans="1:11" s="9" customFormat="1">
      <c r="A1003" s="145"/>
      <c r="B1003" s="190"/>
      <c r="C1003" s="432"/>
      <c r="D1003" s="145"/>
      <c r="E1003" s="145"/>
      <c r="F1003" s="145"/>
      <c r="G1003" s="145"/>
      <c r="H1003" s="190"/>
      <c r="I1003" s="190"/>
      <c r="J1003" s="190"/>
      <c r="K1003" s="4"/>
    </row>
    <row r="1004" spans="1:11" s="9" customFormat="1">
      <c r="A1004" s="145"/>
      <c r="B1004" s="190"/>
      <c r="C1004" s="432"/>
      <c r="D1004" s="145"/>
      <c r="E1004" s="145"/>
      <c r="F1004" s="145"/>
      <c r="G1004" s="145"/>
      <c r="H1004" s="190"/>
      <c r="I1004" s="190"/>
      <c r="J1004" s="190"/>
      <c r="K1004" s="4"/>
    </row>
    <row r="1005" spans="1:11" s="9" customFormat="1">
      <c r="A1005" s="145"/>
      <c r="B1005" s="190"/>
      <c r="C1005" s="432"/>
      <c r="D1005" s="145"/>
      <c r="E1005" s="145"/>
      <c r="F1005" s="145"/>
      <c r="G1005" s="145"/>
      <c r="H1005" s="190"/>
      <c r="I1005" s="190"/>
      <c r="J1005" s="190"/>
      <c r="K1005" s="4"/>
    </row>
    <row r="1006" spans="1:11" s="9" customFormat="1">
      <c r="A1006" s="145"/>
      <c r="B1006" s="190"/>
      <c r="C1006" s="432"/>
      <c r="D1006" s="145"/>
      <c r="E1006" s="145"/>
      <c r="F1006" s="145"/>
      <c r="G1006" s="145"/>
      <c r="H1006" s="190"/>
      <c r="I1006" s="190"/>
      <c r="J1006" s="190"/>
      <c r="K1006" s="4"/>
    </row>
    <row r="1007" spans="1:11" s="9" customFormat="1">
      <c r="A1007" s="145"/>
      <c r="B1007" s="190"/>
      <c r="C1007" s="432"/>
      <c r="D1007" s="145"/>
      <c r="E1007" s="145"/>
      <c r="F1007" s="145"/>
      <c r="G1007" s="145"/>
      <c r="H1007" s="190"/>
      <c r="I1007" s="190"/>
      <c r="J1007" s="190"/>
      <c r="K1007" s="4"/>
    </row>
    <row r="1008" spans="1:11" s="9" customFormat="1">
      <c r="A1008" s="145"/>
      <c r="B1008" s="190"/>
      <c r="C1008" s="432"/>
      <c r="D1008" s="145"/>
      <c r="E1008" s="145"/>
      <c r="F1008" s="145"/>
      <c r="G1008" s="145"/>
      <c r="H1008" s="190"/>
      <c r="I1008" s="190"/>
      <c r="J1008" s="190"/>
      <c r="K1008" s="4"/>
    </row>
    <row r="1009" spans="1:11" s="9" customFormat="1">
      <c r="A1009" s="145"/>
      <c r="B1009" s="190"/>
      <c r="C1009" s="432"/>
      <c r="D1009" s="145"/>
      <c r="E1009" s="145"/>
      <c r="F1009" s="145"/>
      <c r="G1009" s="145"/>
      <c r="H1009" s="190"/>
      <c r="I1009" s="190"/>
      <c r="J1009" s="190"/>
      <c r="K1009" s="4"/>
    </row>
    <row r="1010" spans="1:11" s="9" customFormat="1">
      <c r="A1010" s="145"/>
      <c r="B1010" s="190"/>
      <c r="C1010" s="432"/>
      <c r="D1010" s="145"/>
      <c r="E1010" s="145"/>
      <c r="F1010" s="145"/>
      <c r="G1010" s="145"/>
      <c r="H1010" s="190"/>
      <c r="I1010" s="190"/>
      <c r="J1010" s="190"/>
      <c r="K1010" s="4"/>
    </row>
    <row r="1011" spans="1:11" s="9" customFormat="1">
      <c r="A1011" s="145"/>
      <c r="B1011" s="190"/>
      <c r="C1011" s="432"/>
      <c r="D1011" s="145"/>
      <c r="E1011" s="145"/>
      <c r="F1011" s="145"/>
      <c r="G1011" s="145"/>
      <c r="H1011" s="190"/>
      <c r="I1011" s="190"/>
      <c r="J1011" s="190"/>
      <c r="K1011" s="4"/>
    </row>
    <row r="1012" spans="1:11" s="9" customFormat="1">
      <c r="A1012" s="145"/>
      <c r="B1012" s="190"/>
      <c r="C1012" s="432"/>
      <c r="D1012" s="145"/>
      <c r="E1012" s="145"/>
      <c r="F1012" s="145"/>
      <c r="G1012" s="145"/>
      <c r="H1012" s="190"/>
      <c r="I1012" s="190"/>
      <c r="J1012" s="190"/>
      <c r="K1012" s="4"/>
    </row>
    <row r="1013" spans="1:11" s="9" customFormat="1">
      <c r="A1013" s="145"/>
      <c r="B1013" s="190"/>
      <c r="C1013" s="432"/>
      <c r="D1013" s="145"/>
      <c r="E1013" s="145"/>
      <c r="F1013" s="145"/>
      <c r="G1013" s="145"/>
      <c r="H1013" s="190"/>
      <c r="I1013" s="190"/>
      <c r="J1013" s="190"/>
      <c r="K1013" s="4"/>
    </row>
    <row r="1014" spans="1:11" s="9" customFormat="1">
      <c r="A1014" s="145"/>
      <c r="B1014" s="190"/>
      <c r="C1014" s="432"/>
      <c r="D1014" s="145"/>
      <c r="E1014" s="145"/>
      <c r="F1014" s="145"/>
      <c r="G1014" s="145"/>
      <c r="H1014" s="190"/>
      <c r="I1014" s="190"/>
      <c r="J1014" s="190"/>
      <c r="K1014" s="4"/>
    </row>
    <row r="1015" spans="1:11" s="9" customFormat="1">
      <c r="A1015" s="145"/>
      <c r="B1015" s="190"/>
      <c r="C1015" s="432"/>
      <c r="D1015" s="145"/>
      <c r="E1015" s="145"/>
      <c r="F1015" s="145"/>
      <c r="G1015" s="145"/>
      <c r="H1015" s="190"/>
      <c r="I1015" s="190"/>
      <c r="J1015" s="190"/>
      <c r="K1015" s="4"/>
    </row>
    <row r="1016" spans="1:11" s="9" customFormat="1">
      <c r="A1016" s="145"/>
      <c r="B1016" s="190"/>
      <c r="C1016" s="432"/>
      <c r="D1016" s="145"/>
      <c r="E1016" s="145"/>
      <c r="F1016" s="145"/>
      <c r="G1016" s="145"/>
      <c r="H1016" s="190"/>
      <c r="I1016" s="190"/>
      <c r="J1016" s="190"/>
      <c r="K1016" s="4"/>
    </row>
    <row r="1017" spans="1:11" s="9" customFormat="1">
      <c r="A1017" s="145"/>
      <c r="B1017" s="190"/>
      <c r="C1017" s="432"/>
      <c r="D1017" s="145"/>
      <c r="E1017" s="145"/>
      <c r="F1017" s="145"/>
      <c r="G1017" s="145"/>
      <c r="H1017" s="190"/>
      <c r="I1017" s="190"/>
      <c r="J1017" s="190"/>
      <c r="K1017" s="4"/>
    </row>
    <row r="1018" spans="1:11" s="9" customFormat="1">
      <c r="A1018" s="145"/>
      <c r="B1018" s="190"/>
      <c r="C1018" s="432"/>
      <c r="D1018" s="145"/>
      <c r="E1018" s="145"/>
      <c r="F1018" s="145"/>
      <c r="G1018" s="145"/>
      <c r="H1018" s="190"/>
      <c r="I1018" s="190"/>
      <c r="J1018" s="190"/>
      <c r="K1018" s="4"/>
    </row>
    <row r="1019" spans="1:11" s="9" customFormat="1">
      <c r="A1019" s="145"/>
      <c r="B1019" s="190"/>
      <c r="C1019" s="432"/>
      <c r="D1019" s="145"/>
      <c r="E1019" s="145"/>
      <c r="F1019" s="145"/>
      <c r="G1019" s="145"/>
      <c r="H1019" s="190"/>
      <c r="I1019" s="190"/>
      <c r="J1019" s="190"/>
      <c r="K1019" s="4"/>
    </row>
    <row r="1020" spans="1:11" s="9" customFormat="1">
      <c r="A1020" s="145"/>
      <c r="B1020" s="190"/>
      <c r="C1020" s="432"/>
      <c r="D1020" s="145"/>
      <c r="E1020" s="145"/>
      <c r="F1020" s="145"/>
      <c r="G1020" s="145"/>
      <c r="H1020" s="190"/>
      <c r="I1020" s="190"/>
      <c r="J1020" s="190"/>
      <c r="K1020" s="4"/>
    </row>
    <row r="1021" spans="1:11" s="9" customFormat="1">
      <c r="A1021" s="145"/>
      <c r="B1021" s="190"/>
      <c r="C1021" s="432"/>
      <c r="D1021" s="145"/>
      <c r="E1021" s="145"/>
      <c r="F1021" s="145"/>
      <c r="G1021" s="145"/>
      <c r="H1021" s="190"/>
      <c r="I1021" s="190"/>
      <c r="J1021" s="190"/>
      <c r="K1021" s="4"/>
    </row>
    <row r="1022" spans="1:11" s="9" customFormat="1">
      <c r="A1022" s="145"/>
      <c r="B1022" s="190"/>
      <c r="C1022" s="432"/>
      <c r="D1022" s="145"/>
      <c r="E1022" s="145"/>
      <c r="F1022" s="145"/>
      <c r="G1022" s="145"/>
      <c r="H1022" s="190"/>
      <c r="I1022" s="190"/>
      <c r="J1022" s="190"/>
      <c r="K1022" s="4"/>
    </row>
    <row r="1023" spans="1:11" s="9" customFormat="1">
      <c r="A1023" s="145"/>
      <c r="B1023" s="190"/>
      <c r="C1023" s="432"/>
      <c r="D1023" s="145"/>
      <c r="E1023" s="145"/>
      <c r="F1023" s="145"/>
      <c r="G1023" s="145"/>
      <c r="H1023" s="190"/>
      <c r="I1023" s="190"/>
      <c r="J1023" s="190"/>
      <c r="K1023" s="4"/>
    </row>
    <row r="1024" spans="1:11" s="9" customFormat="1">
      <c r="A1024" s="145"/>
      <c r="B1024" s="190"/>
      <c r="C1024" s="432"/>
      <c r="D1024" s="145"/>
      <c r="E1024" s="145"/>
      <c r="F1024" s="145"/>
      <c r="G1024" s="145"/>
      <c r="H1024" s="190"/>
      <c r="I1024" s="190"/>
      <c r="J1024" s="190"/>
      <c r="K1024" s="4"/>
    </row>
    <row r="1025" spans="1:11" s="9" customFormat="1">
      <c r="A1025" s="145"/>
      <c r="B1025" s="190"/>
      <c r="C1025" s="432"/>
      <c r="D1025" s="145"/>
      <c r="E1025" s="145"/>
      <c r="F1025" s="145"/>
      <c r="G1025" s="145"/>
      <c r="H1025" s="190"/>
      <c r="I1025" s="190"/>
      <c r="J1025" s="190"/>
      <c r="K1025" s="4"/>
    </row>
    <row r="1026" spans="1:11" s="9" customFormat="1">
      <c r="A1026" s="145"/>
      <c r="B1026" s="190"/>
      <c r="C1026" s="432"/>
      <c r="D1026" s="145"/>
      <c r="E1026" s="145"/>
      <c r="F1026" s="145"/>
      <c r="G1026" s="145"/>
      <c r="H1026" s="190"/>
      <c r="I1026" s="190"/>
      <c r="J1026" s="190"/>
      <c r="K1026" s="4"/>
    </row>
    <row r="1027" spans="1:11" s="9" customFormat="1">
      <c r="A1027" s="145"/>
      <c r="B1027" s="190"/>
      <c r="C1027" s="432"/>
      <c r="D1027" s="145"/>
      <c r="E1027" s="145"/>
      <c r="F1027" s="145"/>
      <c r="G1027" s="145"/>
      <c r="H1027" s="190"/>
      <c r="I1027" s="190"/>
      <c r="J1027" s="190"/>
      <c r="K1027" s="4"/>
    </row>
    <row r="1028" spans="1:11" s="9" customFormat="1">
      <c r="A1028" s="145"/>
      <c r="B1028" s="190"/>
      <c r="C1028" s="432"/>
      <c r="D1028" s="145"/>
      <c r="E1028" s="145"/>
      <c r="F1028" s="145"/>
      <c r="G1028" s="145"/>
      <c r="H1028" s="190"/>
      <c r="I1028" s="190"/>
      <c r="J1028" s="190"/>
      <c r="K1028" s="4"/>
    </row>
    <row r="1029" spans="1:11" s="9" customFormat="1">
      <c r="A1029" s="145"/>
      <c r="B1029" s="190"/>
      <c r="C1029" s="432"/>
      <c r="D1029" s="145"/>
      <c r="E1029" s="145"/>
      <c r="F1029" s="145"/>
      <c r="G1029" s="145"/>
      <c r="H1029" s="190"/>
      <c r="I1029" s="190"/>
      <c r="J1029" s="190"/>
      <c r="K1029" s="4"/>
    </row>
    <row r="1030" spans="1:11" s="9" customFormat="1">
      <c r="A1030" s="145"/>
      <c r="B1030" s="190"/>
      <c r="C1030" s="432"/>
      <c r="D1030" s="145"/>
      <c r="E1030" s="145"/>
      <c r="F1030" s="145"/>
      <c r="G1030" s="145"/>
      <c r="H1030" s="190"/>
      <c r="I1030" s="190"/>
      <c r="J1030" s="190"/>
      <c r="K1030" s="4"/>
    </row>
    <row r="1031" spans="1:11" s="9" customFormat="1">
      <c r="A1031" s="145"/>
      <c r="B1031" s="190"/>
      <c r="C1031" s="432"/>
      <c r="D1031" s="145"/>
      <c r="E1031" s="145"/>
      <c r="F1031" s="145"/>
      <c r="G1031" s="145"/>
      <c r="H1031" s="190"/>
      <c r="I1031" s="190"/>
      <c r="J1031" s="190"/>
      <c r="K1031" s="4"/>
    </row>
    <row r="1032" spans="1:11" s="9" customFormat="1">
      <c r="A1032" s="145"/>
      <c r="B1032" s="190"/>
      <c r="C1032" s="432"/>
      <c r="D1032" s="145"/>
      <c r="E1032" s="145"/>
      <c r="F1032" s="145"/>
      <c r="G1032" s="145"/>
      <c r="H1032" s="190"/>
      <c r="I1032" s="190"/>
      <c r="J1032" s="190"/>
      <c r="K1032" s="4"/>
    </row>
    <row r="1033" spans="1:11" s="9" customFormat="1">
      <c r="A1033" s="145"/>
      <c r="B1033" s="190"/>
      <c r="C1033" s="432"/>
      <c r="D1033" s="145"/>
      <c r="E1033" s="145"/>
      <c r="F1033" s="145"/>
      <c r="G1033" s="145"/>
      <c r="H1033" s="190"/>
      <c r="I1033" s="190"/>
      <c r="J1033" s="190"/>
      <c r="K1033" s="4"/>
    </row>
    <row r="1034" spans="1:11" s="9" customFormat="1">
      <c r="A1034" s="145"/>
      <c r="B1034" s="190"/>
      <c r="C1034" s="432"/>
      <c r="D1034" s="145"/>
      <c r="E1034" s="145"/>
      <c r="F1034" s="145"/>
      <c r="G1034" s="145"/>
      <c r="H1034" s="190"/>
      <c r="I1034" s="190"/>
      <c r="J1034" s="190"/>
      <c r="K1034" s="4"/>
    </row>
    <row r="1035" spans="1:11" s="9" customFormat="1">
      <c r="A1035" s="145"/>
      <c r="B1035" s="190"/>
      <c r="C1035" s="432"/>
      <c r="D1035" s="145"/>
      <c r="E1035" s="145"/>
      <c r="F1035" s="145"/>
      <c r="G1035" s="145"/>
      <c r="H1035" s="190"/>
      <c r="I1035" s="190"/>
      <c r="J1035" s="190"/>
      <c r="K1035" s="4"/>
    </row>
    <row r="1036" spans="1:11" s="9" customFormat="1">
      <c r="A1036" s="145"/>
      <c r="B1036" s="190"/>
      <c r="C1036" s="432"/>
      <c r="D1036" s="145"/>
      <c r="E1036" s="145"/>
      <c r="F1036" s="145"/>
      <c r="G1036" s="145"/>
      <c r="H1036" s="190"/>
      <c r="I1036" s="190"/>
      <c r="J1036" s="190"/>
      <c r="K1036" s="4"/>
    </row>
    <row r="1037" spans="1:11" s="9" customFormat="1">
      <c r="A1037" s="145"/>
      <c r="B1037" s="190"/>
      <c r="C1037" s="432"/>
      <c r="D1037" s="145"/>
      <c r="E1037" s="145"/>
      <c r="F1037" s="145"/>
      <c r="G1037" s="145"/>
      <c r="H1037" s="190"/>
      <c r="I1037" s="190"/>
      <c r="J1037" s="190"/>
      <c r="K1037" s="4"/>
    </row>
    <row r="1038" spans="1:11" s="9" customFormat="1">
      <c r="A1038" s="145"/>
      <c r="B1038" s="190"/>
      <c r="C1038" s="432"/>
      <c r="D1038" s="145"/>
      <c r="E1038" s="145"/>
      <c r="F1038" s="145"/>
      <c r="G1038" s="145"/>
      <c r="H1038" s="190"/>
      <c r="I1038" s="190"/>
      <c r="J1038" s="190"/>
      <c r="K1038" s="4"/>
    </row>
    <row r="1039" spans="1:11" s="9" customFormat="1">
      <c r="A1039" s="145"/>
      <c r="B1039" s="190"/>
      <c r="C1039" s="432"/>
      <c r="D1039" s="145"/>
      <c r="E1039" s="145"/>
      <c r="F1039" s="145"/>
      <c r="G1039" s="145"/>
      <c r="H1039" s="190"/>
      <c r="I1039" s="190"/>
      <c r="J1039" s="190"/>
      <c r="K1039" s="4"/>
    </row>
    <row r="1040" spans="1:11" s="9" customFormat="1">
      <c r="A1040" s="145"/>
      <c r="B1040" s="190"/>
      <c r="C1040" s="432"/>
      <c r="D1040" s="145"/>
      <c r="E1040" s="145"/>
      <c r="F1040" s="145"/>
      <c r="G1040" s="145"/>
      <c r="H1040" s="190"/>
      <c r="I1040" s="190"/>
      <c r="J1040" s="190"/>
      <c r="K1040" s="4"/>
    </row>
    <row r="1041" spans="1:11" s="9" customFormat="1">
      <c r="A1041" s="145"/>
      <c r="B1041" s="190"/>
      <c r="C1041" s="432"/>
      <c r="D1041" s="145"/>
      <c r="E1041" s="145"/>
      <c r="F1041" s="145"/>
      <c r="G1041" s="145"/>
      <c r="H1041" s="190"/>
      <c r="I1041" s="190"/>
      <c r="J1041" s="190"/>
      <c r="K1041" s="4"/>
    </row>
    <row r="1042" spans="1:11" s="9" customFormat="1">
      <c r="A1042" s="145"/>
      <c r="B1042" s="190"/>
      <c r="C1042" s="432"/>
      <c r="D1042" s="145"/>
      <c r="E1042" s="145"/>
      <c r="F1042" s="145"/>
      <c r="G1042" s="145"/>
      <c r="H1042" s="190"/>
      <c r="I1042" s="190"/>
      <c r="J1042" s="190"/>
      <c r="K1042" s="4"/>
    </row>
    <row r="1043" spans="1:11" s="9" customFormat="1">
      <c r="A1043" s="145"/>
      <c r="B1043" s="190"/>
      <c r="C1043" s="432"/>
      <c r="D1043" s="145"/>
      <c r="E1043" s="145"/>
      <c r="F1043" s="145"/>
      <c r="G1043" s="145"/>
      <c r="H1043" s="190"/>
      <c r="I1043" s="190"/>
      <c r="J1043" s="190"/>
      <c r="K1043" s="4"/>
    </row>
    <row r="1044" spans="1:11" s="9" customFormat="1">
      <c r="A1044" s="145"/>
      <c r="B1044" s="190"/>
      <c r="C1044" s="432"/>
      <c r="D1044" s="145"/>
      <c r="E1044" s="145"/>
      <c r="F1044" s="145"/>
      <c r="G1044" s="145"/>
      <c r="H1044" s="190"/>
      <c r="I1044" s="190"/>
      <c r="J1044" s="190"/>
      <c r="K1044" s="4"/>
    </row>
    <row r="1045" spans="1:11" s="9" customFormat="1">
      <c r="A1045" s="145"/>
      <c r="B1045" s="190"/>
      <c r="C1045" s="432"/>
      <c r="D1045" s="145"/>
      <c r="E1045" s="145"/>
      <c r="F1045" s="145"/>
      <c r="G1045" s="145"/>
      <c r="H1045" s="190"/>
      <c r="I1045" s="190"/>
      <c r="J1045" s="190"/>
      <c r="K1045" s="4"/>
    </row>
    <row r="1046" spans="1:11" s="9" customFormat="1">
      <c r="A1046" s="145"/>
      <c r="B1046" s="190"/>
      <c r="C1046" s="432"/>
      <c r="D1046" s="145"/>
      <c r="E1046" s="145"/>
      <c r="F1046" s="145"/>
      <c r="G1046" s="145"/>
      <c r="H1046" s="190"/>
      <c r="I1046" s="190"/>
      <c r="J1046" s="190"/>
      <c r="K1046" s="4"/>
    </row>
    <row r="1047" spans="1:11" s="9" customFormat="1">
      <c r="A1047" s="145"/>
      <c r="B1047" s="190"/>
      <c r="C1047" s="432"/>
      <c r="D1047" s="145"/>
      <c r="E1047" s="145"/>
      <c r="F1047" s="145"/>
      <c r="G1047" s="145"/>
      <c r="H1047" s="190"/>
      <c r="I1047" s="190"/>
      <c r="J1047" s="190"/>
      <c r="K1047" s="4"/>
    </row>
    <row r="1048" spans="1:11" s="9" customFormat="1">
      <c r="A1048" s="145"/>
      <c r="B1048" s="190"/>
      <c r="C1048" s="432"/>
      <c r="D1048" s="145"/>
      <c r="E1048" s="145"/>
      <c r="F1048" s="145"/>
      <c r="G1048" s="145"/>
      <c r="H1048" s="190"/>
      <c r="I1048" s="190"/>
      <c r="J1048" s="190"/>
      <c r="K1048" s="4"/>
    </row>
    <row r="1049" spans="1:11" s="9" customFormat="1">
      <c r="A1049" s="145"/>
      <c r="B1049" s="190"/>
      <c r="C1049" s="432"/>
      <c r="D1049" s="145"/>
      <c r="E1049" s="145"/>
      <c r="F1049" s="145"/>
      <c r="G1049" s="145"/>
      <c r="H1049" s="190"/>
      <c r="I1049" s="190"/>
      <c r="J1049" s="190"/>
      <c r="K1049" s="4"/>
    </row>
    <row r="1050" spans="1:11" s="9" customFormat="1">
      <c r="A1050" s="145"/>
      <c r="B1050" s="190"/>
      <c r="C1050" s="432"/>
      <c r="D1050" s="145"/>
      <c r="E1050" s="145"/>
      <c r="F1050" s="145"/>
      <c r="G1050" s="145"/>
      <c r="H1050" s="190"/>
      <c r="I1050" s="190"/>
      <c r="J1050" s="190"/>
      <c r="K1050" s="4"/>
    </row>
    <row r="1051" spans="1:11" s="9" customFormat="1">
      <c r="A1051" s="145"/>
      <c r="B1051" s="190"/>
      <c r="C1051" s="432"/>
      <c r="D1051" s="145"/>
      <c r="E1051" s="145"/>
      <c r="F1051" s="145"/>
      <c r="G1051" s="145"/>
      <c r="H1051" s="190"/>
      <c r="I1051" s="190"/>
      <c r="J1051" s="190"/>
      <c r="K1051" s="4"/>
    </row>
    <row r="1052" spans="1:11" s="9" customFormat="1">
      <c r="A1052" s="145"/>
      <c r="B1052" s="190"/>
      <c r="C1052" s="432"/>
      <c r="D1052" s="145"/>
      <c r="E1052" s="145"/>
      <c r="F1052" s="145"/>
      <c r="G1052" s="145"/>
      <c r="H1052" s="190"/>
      <c r="I1052" s="190"/>
      <c r="J1052" s="190"/>
      <c r="K1052" s="4"/>
    </row>
    <row r="1053" spans="1:11" s="9" customFormat="1">
      <c r="A1053" s="145"/>
      <c r="B1053" s="190"/>
      <c r="C1053" s="432"/>
      <c r="D1053" s="145"/>
      <c r="E1053" s="145"/>
      <c r="F1053" s="145"/>
      <c r="G1053" s="145"/>
      <c r="H1053" s="190"/>
      <c r="I1053" s="190"/>
      <c r="J1053" s="190"/>
      <c r="K1053" s="4"/>
    </row>
    <row r="1054" spans="1:11" s="9" customFormat="1">
      <c r="A1054" s="145"/>
      <c r="B1054" s="190"/>
      <c r="C1054" s="432"/>
      <c r="D1054" s="145"/>
      <c r="E1054" s="145"/>
      <c r="F1054" s="145"/>
      <c r="G1054" s="145"/>
      <c r="H1054" s="190"/>
      <c r="I1054" s="190"/>
      <c r="J1054" s="190"/>
      <c r="K1054" s="4"/>
    </row>
    <row r="1055" spans="1:11" s="9" customFormat="1">
      <c r="A1055" s="145"/>
      <c r="B1055" s="190"/>
      <c r="C1055" s="432"/>
      <c r="D1055" s="145"/>
      <c r="E1055" s="145"/>
      <c r="F1055" s="145"/>
      <c r="G1055" s="145"/>
      <c r="H1055" s="190"/>
      <c r="I1055" s="190"/>
      <c r="J1055" s="190"/>
      <c r="K1055" s="4"/>
    </row>
    <row r="1056" spans="1:11" s="9" customFormat="1">
      <c r="A1056" s="145"/>
      <c r="B1056" s="190"/>
      <c r="C1056" s="432"/>
      <c r="D1056" s="145"/>
      <c r="E1056" s="145"/>
      <c r="F1056" s="145"/>
      <c r="G1056" s="145"/>
      <c r="H1056" s="190"/>
      <c r="I1056" s="190"/>
      <c r="J1056" s="190"/>
      <c r="K1056" s="4"/>
    </row>
    <row r="1057" spans="1:11" s="9" customFormat="1">
      <c r="A1057" s="145"/>
      <c r="B1057" s="190"/>
      <c r="C1057" s="432"/>
      <c r="D1057" s="145"/>
      <c r="E1057" s="145"/>
      <c r="F1057" s="145"/>
      <c r="G1057" s="145"/>
      <c r="H1057" s="190"/>
      <c r="I1057" s="190"/>
      <c r="J1057" s="190"/>
      <c r="K1057" s="4"/>
    </row>
    <row r="1058" spans="1:11" s="9" customFormat="1">
      <c r="A1058" s="145"/>
      <c r="B1058" s="190"/>
      <c r="C1058" s="432"/>
      <c r="D1058" s="145"/>
      <c r="E1058" s="145"/>
      <c r="F1058" s="145"/>
      <c r="G1058" s="145"/>
      <c r="H1058" s="190"/>
      <c r="I1058" s="190"/>
      <c r="J1058" s="190"/>
      <c r="K1058" s="4"/>
    </row>
    <row r="1059" spans="1:11" s="9" customFormat="1">
      <c r="A1059" s="145"/>
      <c r="B1059" s="190"/>
      <c r="C1059" s="432"/>
      <c r="D1059" s="145"/>
      <c r="E1059" s="145"/>
      <c r="F1059" s="145"/>
      <c r="G1059" s="145"/>
      <c r="H1059" s="190"/>
      <c r="I1059" s="190"/>
      <c r="J1059" s="190"/>
      <c r="K1059" s="4"/>
    </row>
    <row r="1060" spans="1:11" s="9" customFormat="1">
      <c r="A1060" s="145"/>
      <c r="B1060" s="190"/>
      <c r="C1060" s="432"/>
      <c r="D1060" s="145"/>
      <c r="E1060" s="145"/>
      <c r="F1060" s="145"/>
      <c r="G1060" s="145"/>
      <c r="H1060" s="190"/>
      <c r="I1060" s="190"/>
      <c r="J1060" s="190"/>
      <c r="K1060" s="4"/>
    </row>
    <row r="1061" spans="1:11" s="9" customFormat="1">
      <c r="A1061" s="145"/>
      <c r="B1061" s="190"/>
      <c r="C1061" s="432"/>
      <c r="D1061" s="145"/>
      <c r="E1061" s="145"/>
      <c r="F1061" s="145"/>
      <c r="G1061" s="145"/>
      <c r="H1061" s="190"/>
      <c r="I1061" s="190"/>
      <c r="J1061" s="190"/>
      <c r="K1061" s="4"/>
    </row>
    <row r="1062" spans="1:11" s="9" customFormat="1">
      <c r="A1062" s="145"/>
      <c r="B1062" s="190"/>
      <c r="C1062" s="432"/>
      <c r="D1062" s="145"/>
      <c r="E1062" s="145"/>
      <c r="F1062" s="145"/>
      <c r="G1062" s="145"/>
      <c r="H1062" s="190"/>
      <c r="I1062" s="190"/>
      <c r="J1062" s="190"/>
      <c r="K1062" s="4"/>
    </row>
    <row r="1063" spans="1:11" s="9" customFormat="1">
      <c r="A1063" s="145"/>
      <c r="B1063" s="190"/>
      <c r="C1063" s="432"/>
      <c r="D1063" s="145"/>
      <c r="E1063" s="145"/>
      <c r="F1063" s="145"/>
      <c r="G1063" s="145"/>
      <c r="H1063" s="190"/>
      <c r="I1063" s="190"/>
      <c r="J1063" s="190"/>
      <c r="K1063" s="4"/>
    </row>
    <row r="1064" spans="1:11" s="9" customFormat="1">
      <c r="A1064" s="145"/>
      <c r="B1064" s="190"/>
      <c r="C1064" s="432"/>
      <c r="D1064" s="145"/>
      <c r="E1064" s="145"/>
      <c r="F1064" s="145"/>
      <c r="G1064" s="145"/>
      <c r="H1064" s="190"/>
      <c r="I1064" s="190"/>
      <c r="J1064" s="190"/>
      <c r="K1064" s="4"/>
    </row>
    <row r="1065" spans="1:11" s="9" customFormat="1">
      <c r="A1065" s="145"/>
      <c r="B1065" s="190"/>
      <c r="C1065" s="432"/>
      <c r="D1065" s="145"/>
      <c r="E1065" s="145"/>
      <c r="F1065" s="145"/>
      <c r="G1065" s="145"/>
      <c r="H1065" s="190"/>
      <c r="I1065" s="190"/>
      <c r="J1065" s="190"/>
      <c r="K1065" s="4"/>
    </row>
    <row r="1066" spans="1:11" s="9" customFormat="1">
      <c r="A1066" s="145"/>
      <c r="B1066" s="190"/>
      <c r="C1066" s="432"/>
      <c r="D1066" s="145"/>
      <c r="E1066" s="145"/>
      <c r="F1066" s="145"/>
      <c r="G1066" s="145"/>
      <c r="H1066" s="190"/>
      <c r="I1066" s="190"/>
      <c r="J1066" s="190"/>
      <c r="K1066" s="4"/>
    </row>
    <row r="1067" spans="1:11" s="9" customFormat="1">
      <c r="A1067" s="145"/>
      <c r="B1067" s="190"/>
      <c r="C1067" s="432"/>
      <c r="D1067" s="145"/>
      <c r="E1067" s="145"/>
      <c r="F1067" s="145"/>
      <c r="G1067" s="145"/>
      <c r="H1067" s="190"/>
      <c r="I1067" s="190"/>
      <c r="J1067" s="190"/>
      <c r="K1067" s="4"/>
    </row>
    <row r="1068" spans="1:11" s="9" customFormat="1">
      <c r="A1068" s="145"/>
      <c r="B1068" s="190"/>
      <c r="C1068" s="432"/>
      <c r="D1068" s="145"/>
      <c r="E1068" s="145"/>
      <c r="F1068" s="145"/>
      <c r="G1068" s="145"/>
      <c r="H1068" s="190"/>
      <c r="I1068" s="190"/>
      <c r="J1068" s="190"/>
      <c r="K1068" s="4"/>
    </row>
    <row r="1069" spans="1:11" s="9" customFormat="1">
      <c r="A1069" s="145"/>
      <c r="B1069" s="190"/>
      <c r="C1069" s="432"/>
      <c r="D1069" s="145"/>
      <c r="E1069" s="145"/>
      <c r="F1069" s="145"/>
      <c r="G1069" s="145"/>
      <c r="H1069" s="190"/>
      <c r="I1069" s="190"/>
      <c r="J1069" s="190"/>
      <c r="K1069" s="4"/>
    </row>
    <row r="1070" spans="1:11" s="9" customFormat="1">
      <c r="A1070" s="145"/>
      <c r="B1070" s="190"/>
      <c r="C1070" s="432"/>
      <c r="D1070" s="145"/>
      <c r="E1070" s="145"/>
      <c r="F1070" s="145"/>
      <c r="G1070" s="145"/>
      <c r="H1070" s="190"/>
      <c r="I1070" s="190"/>
      <c r="J1070" s="190"/>
      <c r="K1070" s="4"/>
    </row>
    <row r="1071" spans="1:11" s="9" customFormat="1">
      <c r="A1071" s="145"/>
      <c r="B1071" s="190"/>
      <c r="C1071" s="432"/>
      <c r="D1071" s="145"/>
      <c r="E1071" s="145"/>
      <c r="F1071" s="145"/>
      <c r="G1071" s="145"/>
      <c r="H1071" s="190"/>
      <c r="I1071" s="190"/>
      <c r="J1071" s="190"/>
      <c r="K1071" s="4"/>
    </row>
    <row r="1072" spans="1:11" s="9" customFormat="1">
      <c r="A1072" s="145"/>
      <c r="B1072" s="190"/>
      <c r="C1072" s="432"/>
      <c r="D1072" s="145"/>
      <c r="E1072" s="145"/>
      <c r="F1072" s="145"/>
      <c r="G1072" s="145"/>
      <c r="H1072" s="190"/>
      <c r="I1072" s="190"/>
      <c r="J1072" s="190"/>
      <c r="K1072" s="4"/>
    </row>
    <row r="1073" spans="1:11" s="9" customFormat="1">
      <c r="A1073" s="145"/>
      <c r="B1073" s="190"/>
      <c r="C1073" s="432"/>
      <c r="D1073" s="145"/>
      <c r="E1073" s="145"/>
      <c r="F1073" s="145"/>
      <c r="G1073" s="145"/>
      <c r="H1073" s="190"/>
      <c r="I1073" s="190"/>
      <c r="J1073" s="190"/>
      <c r="K1073" s="4"/>
    </row>
    <row r="1074" spans="1:11" s="9" customFormat="1">
      <c r="A1074" s="145"/>
      <c r="B1074" s="190"/>
      <c r="C1074" s="432"/>
      <c r="D1074" s="145"/>
      <c r="E1074" s="145"/>
      <c r="F1074" s="145"/>
      <c r="G1074" s="145"/>
      <c r="H1074" s="190"/>
      <c r="I1074" s="190"/>
      <c r="J1074" s="190"/>
      <c r="K1074" s="4"/>
    </row>
    <row r="1075" spans="1:11" s="9" customFormat="1">
      <c r="A1075" s="145"/>
      <c r="B1075" s="190"/>
      <c r="C1075" s="432"/>
      <c r="D1075" s="145"/>
      <c r="E1075" s="145"/>
      <c r="F1075" s="145"/>
      <c r="G1075" s="145"/>
      <c r="H1075" s="190"/>
      <c r="I1075" s="190"/>
      <c r="J1075" s="190"/>
      <c r="K1075" s="4"/>
    </row>
    <row r="1076" spans="1:11" s="9" customFormat="1">
      <c r="A1076" s="145"/>
      <c r="B1076" s="190"/>
      <c r="C1076" s="432"/>
      <c r="D1076" s="145"/>
      <c r="E1076" s="145"/>
      <c r="F1076" s="145"/>
      <c r="G1076" s="145"/>
      <c r="H1076" s="190"/>
      <c r="I1076" s="190"/>
      <c r="J1076" s="190"/>
      <c r="K1076" s="4"/>
    </row>
    <row r="1077" spans="1:11" s="9" customFormat="1">
      <c r="A1077" s="145"/>
      <c r="B1077" s="190"/>
      <c r="C1077" s="432"/>
      <c r="D1077" s="145"/>
      <c r="E1077" s="145"/>
      <c r="F1077" s="145"/>
      <c r="G1077" s="145"/>
      <c r="H1077" s="190"/>
      <c r="I1077" s="190"/>
      <c r="J1077" s="190"/>
      <c r="K1077" s="4"/>
    </row>
    <row r="1078" spans="1:11" s="9" customFormat="1">
      <c r="A1078" s="145"/>
      <c r="B1078" s="190"/>
      <c r="C1078" s="432"/>
      <c r="D1078" s="145"/>
      <c r="E1078" s="145"/>
      <c r="F1078" s="145"/>
      <c r="G1078" s="145"/>
      <c r="H1078" s="190"/>
      <c r="I1078" s="190"/>
      <c r="J1078" s="190"/>
      <c r="K1078" s="4"/>
    </row>
    <row r="1079" spans="1:11" s="9" customFormat="1">
      <c r="A1079" s="145"/>
      <c r="B1079" s="190"/>
      <c r="C1079" s="432"/>
      <c r="D1079" s="145"/>
      <c r="E1079" s="145"/>
      <c r="F1079" s="145"/>
      <c r="G1079" s="145"/>
      <c r="H1079" s="190"/>
      <c r="I1079" s="190"/>
      <c r="J1079" s="190"/>
      <c r="K1079" s="4"/>
    </row>
    <row r="1080" spans="1:11" s="9" customFormat="1">
      <c r="A1080" s="145"/>
      <c r="B1080" s="190"/>
      <c r="C1080" s="432"/>
      <c r="D1080" s="145"/>
      <c r="E1080" s="145"/>
      <c r="F1080" s="145"/>
      <c r="G1080" s="145"/>
      <c r="H1080" s="190"/>
      <c r="I1080" s="190"/>
      <c r="J1080" s="190"/>
      <c r="K1080" s="4"/>
    </row>
    <row r="1081" spans="1:11" s="9" customFormat="1">
      <c r="A1081" s="145"/>
      <c r="B1081" s="190"/>
      <c r="C1081" s="432"/>
      <c r="D1081" s="145"/>
      <c r="E1081" s="145"/>
      <c r="F1081" s="145"/>
      <c r="G1081" s="145"/>
      <c r="H1081" s="190"/>
      <c r="I1081" s="190"/>
      <c r="J1081" s="190"/>
      <c r="K1081" s="4"/>
    </row>
    <row r="1082" spans="1:11" s="9" customFormat="1">
      <c r="A1082" s="145"/>
      <c r="B1082" s="190"/>
      <c r="C1082" s="432"/>
      <c r="D1082" s="145"/>
      <c r="E1082" s="145"/>
      <c r="F1082" s="145"/>
      <c r="G1082" s="145"/>
      <c r="H1082" s="190"/>
      <c r="I1082" s="190"/>
      <c r="J1082" s="190"/>
      <c r="K1082" s="4"/>
    </row>
    <row r="1083" spans="1:11" s="9" customFormat="1">
      <c r="A1083" s="145"/>
      <c r="B1083" s="190"/>
      <c r="C1083" s="432"/>
      <c r="D1083" s="145"/>
      <c r="E1083" s="145"/>
      <c r="F1083" s="145"/>
      <c r="G1083" s="145"/>
      <c r="H1083" s="190"/>
      <c r="I1083" s="190"/>
      <c r="J1083" s="190"/>
      <c r="K1083" s="4"/>
    </row>
    <row r="1084" spans="1:11" s="9" customFormat="1">
      <c r="A1084" s="145"/>
      <c r="B1084" s="190"/>
      <c r="C1084" s="432"/>
      <c r="D1084" s="145"/>
      <c r="E1084" s="145"/>
      <c r="F1084" s="145"/>
      <c r="G1084" s="145"/>
      <c r="H1084" s="190"/>
      <c r="I1084" s="190"/>
      <c r="J1084" s="190"/>
      <c r="K1084" s="4"/>
    </row>
    <row r="1085" spans="1:11" s="9" customFormat="1">
      <c r="A1085" s="145"/>
      <c r="B1085" s="190"/>
      <c r="C1085" s="432"/>
      <c r="D1085" s="145"/>
      <c r="E1085" s="145"/>
      <c r="F1085" s="145"/>
      <c r="G1085" s="145"/>
      <c r="H1085" s="190"/>
      <c r="I1085" s="190"/>
      <c r="J1085" s="190"/>
      <c r="K1085" s="4"/>
    </row>
    <row r="1086" spans="1:11" s="9" customFormat="1">
      <c r="A1086" s="145"/>
      <c r="B1086" s="190"/>
      <c r="C1086" s="432"/>
      <c r="D1086" s="145"/>
      <c r="E1086" s="145"/>
      <c r="F1086" s="145"/>
      <c r="G1086" s="145"/>
      <c r="H1086" s="190"/>
      <c r="I1086" s="190"/>
      <c r="J1086" s="190"/>
      <c r="K1086" s="4"/>
    </row>
    <row r="1087" spans="1:11" s="9" customFormat="1">
      <c r="A1087" s="145"/>
      <c r="B1087" s="190"/>
      <c r="C1087" s="432"/>
      <c r="D1087" s="145"/>
      <c r="E1087" s="145"/>
      <c r="F1087" s="145"/>
      <c r="G1087" s="145"/>
      <c r="H1087" s="190"/>
      <c r="I1087" s="190"/>
      <c r="J1087" s="190"/>
      <c r="K1087" s="4"/>
    </row>
    <row r="1088" spans="1:11" s="9" customFormat="1">
      <c r="A1088" s="145"/>
      <c r="B1088" s="190"/>
      <c r="C1088" s="432"/>
      <c r="D1088" s="145"/>
      <c r="E1088" s="145"/>
      <c r="F1088" s="145"/>
      <c r="G1088" s="145"/>
      <c r="H1088" s="190"/>
      <c r="I1088" s="190"/>
      <c r="J1088" s="190"/>
      <c r="K1088" s="4"/>
    </row>
    <row r="1089" spans="1:11" s="9" customFormat="1">
      <c r="A1089" s="145"/>
      <c r="B1089" s="190"/>
      <c r="C1089" s="432"/>
      <c r="D1089" s="145"/>
      <c r="E1089" s="145"/>
      <c r="F1089" s="145"/>
      <c r="G1089" s="145"/>
      <c r="H1089" s="190"/>
      <c r="I1089" s="190"/>
      <c r="J1089" s="190"/>
      <c r="K1089" s="4"/>
    </row>
    <row r="1090" spans="1:11" s="9" customFormat="1">
      <c r="A1090" s="145"/>
      <c r="B1090" s="190"/>
      <c r="C1090" s="432"/>
      <c r="D1090" s="145"/>
      <c r="E1090" s="145"/>
      <c r="F1090" s="145"/>
      <c r="G1090" s="145"/>
      <c r="H1090" s="190"/>
      <c r="I1090" s="190"/>
      <c r="J1090" s="190"/>
      <c r="K1090" s="4"/>
    </row>
    <row r="1091" spans="1:11" s="9" customFormat="1">
      <c r="A1091" s="145"/>
      <c r="B1091" s="190"/>
      <c r="C1091" s="432"/>
      <c r="D1091" s="145"/>
      <c r="E1091" s="145"/>
      <c r="F1091" s="145"/>
      <c r="G1091" s="145"/>
      <c r="H1091" s="190"/>
      <c r="I1091" s="190"/>
      <c r="J1091" s="190"/>
      <c r="K1091" s="4"/>
    </row>
    <row r="1092" spans="1:11" s="9" customFormat="1">
      <c r="A1092" s="145"/>
      <c r="B1092" s="190"/>
      <c r="C1092" s="432"/>
      <c r="D1092" s="145"/>
      <c r="E1092" s="145"/>
      <c r="F1092" s="145"/>
      <c r="G1092" s="145"/>
      <c r="H1092" s="190"/>
      <c r="I1092" s="190"/>
      <c r="J1092" s="190"/>
      <c r="K1092" s="4"/>
    </row>
    <row r="1093" spans="1:11" s="9" customFormat="1">
      <c r="A1093" s="145"/>
      <c r="B1093" s="190"/>
      <c r="C1093" s="432"/>
      <c r="D1093" s="145"/>
      <c r="E1093" s="145"/>
      <c r="F1093" s="145"/>
      <c r="G1093" s="145"/>
      <c r="H1093" s="190"/>
      <c r="I1093" s="190"/>
      <c r="J1093" s="190"/>
      <c r="K1093" s="4"/>
    </row>
    <row r="1094" spans="1:11" s="9" customFormat="1">
      <c r="A1094" s="145"/>
      <c r="B1094" s="190"/>
      <c r="C1094" s="432"/>
      <c r="D1094" s="145"/>
      <c r="E1094" s="145"/>
      <c r="F1094" s="145"/>
      <c r="G1094" s="145"/>
      <c r="H1094" s="190"/>
      <c r="I1094" s="190"/>
      <c r="J1094" s="190"/>
      <c r="K1094" s="4"/>
    </row>
    <row r="1095" spans="1:11" s="9" customFormat="1">
      <c r="A1095" s="145"/>
      <c r="B1095" s="190"/>
      <c r="C1095" s="432"/>
      <c r="D1095" s="145"/>
      <c r="E1095" s="145"/>
      <c r="F1095" s="145"/>
      <c r="G1095" s="145"/>
      <c r="H1095" s="190"/>
      <c r="I1095" s="190"/>
      <c r="J1095" s="190"/>
      <c r="K1095" s="4"/>
    </row>
    <row r="1096" spans="1:11" s="9" customFormat="1">
      <c r="A1096" s="145"/>
      <c r="B1096" s="190"/>
      <c r="C1096" s="432"/>
      <c r="D1096" s="145"/>
      <c r="E1096" s="145"/>
      <c r="F1096" s="145"/>
      <c r="G1096" s="145"/>
      <c r="H1096" s="190"/>
      <c r="I1096" s="190"/>
      <c r="J1096" s="190"/>
      <c r="K1096" s="4"/>
    </row>
    <row r="1097" spans="1:11" s="9" customFormat="1">
      <c r="A1097" s="145"/>
      <c r="B1097" s="190"/>
      <c r="C1097" s="432"/>
      <c r="D1097" s="145"/>
      <c r="E1097" s="145"/>
      <c r="F1097" s="145"/>
      <c r="G1097" s="145"/>
      <c r="H1097" s="190"/>
      <c r="I1097" s="190"/>
      <c r="J1097" s="190"/>
      <c r="K1097" s="4"/>
    </row>
    <row r="1098" spans="1:11" s="9" customFormat="1">
      <c r="A1098" s="145"/>
      <c r="B1098" s="190"/>
      <c r="C1098" s="432"/>
      <c r="D1098" s="145"/>
      <c r="E1098" s="145"/>
      <c r="F1098" s="145"/>
      <c r="G1098" s="145"/>
      <c r="H1098" s="190"/>
      <c r="I1098" s="190"/>
      <c r="J1098" s="190"/>
      <c r="K1098" s="4"/>
    </row>
    <row r="1099" spans="1:11" s="9" customFormat="1">
      <c r="A1099" s="145"/>
      <c r="B1099" s="190"/>
      <c r="C1099" s="432"/>
      <c r="D1099" s="145"/>
      <c r="E1099" s="145"/>
      <c r="F1099" s="145"/>
      <c r="G1099" s="145"/>
      <c r="H1099" s="190"/>
      <c r="I1099" s="190"/>
      <c r="J1099" s="190"/>
      <c r="K1099" s="4"/>
    </row>
    <row r="1100" spans="1:11" s="9" customFormat="1">
      <c r="A1100" s="145"/>
      <c r="B1100" s="190"/>
      <c r="C1100" s="432"/>
      <c r="D1100" s="145"/>
      <c r="E1100" s="145"/>
      <c r="F1100" s="145"/>
      <c r="G1100" s="145"/>
      <c r="H1100" s="190"/>
      <c r="I1100" s="190"/>
      <c r="J1100" s="190"/>
      <c r="K1100" s="4"/>
    </row>
    <row r="1101" spans="1:11" s="9" customFormat="1">
      <c r="A1101" s="145"/>
      <c r="B1101" s="190"/>
      <c r="C1101" s="432"/>
      <c r="D1101" s="145"/>
      <c r="E1101" s="145"/>
      <c r="F1101" s="145"/>
      <c r="G1101" s="145"/>
      <c r="H1101" s="190"/>
      <c r="I1101" s="190"/>
      <c r="J1101" s="190"/>
      <c r="K1101" s="4"/>
    </row>
    <row r="1102" spans="1:11" s="9" customFormat="1">
      <c r="A1102" s="145"/>
      <c r="B1102" s="190"/>
      <c r="C1102" s="432"/>
      <c r="D1102" s="145"/>
      <c r="E1102" s="145"/>
      <c r="F1102" s="145"/>
      <c r="G1102" s="145"/>
      <c r="H1102" s="190"/>
      <c r="I1102" s="190"/>
      <c r="J1102" s="190"/>
      <c r="K1102" s="4"/>
    </row>
    <row r="1103" spans="1:11" s="9" customFormat="1">
      <c r="A1103" s="145"/>
      <c r="B1103" s="190"/>
      <c r="C1103" s="432"/>
      <c r="D1103" s="145"/>
      <c r="E1103" s="145"/>
      <c r="F1103" s="145"/>
      <c r="G1103" s="145"/>
      <c r="H1103" s="190"/>
      <c r="I1103" s="190"/>
      <c r="J1103" s="190"/>
      <c r="K1103" s="4"/>
    </row>
    <row r="1104" spans="1:11" s="9" customFormat="1">
      <c r="A1104" s="145"/>
      <c r="B1104" s="190"/>
      <c r="C1104" s="432"/>
      <c r="D1104" s="145"/>
      <c r="E1104" s="145"/>
      <c r="F1104" s="145"/>
      <c r="G1104" s="145"/>
      <c r="H1104" s="190"/>
      <c r="I1104" s="190"/>
      <c r="J1104" s="190"/>
      <c r="K1104" s="4"/>
    </row>
    <row r="1105" spans="1:11" s="9" customFormat="1">
      <c r="A1105" s="145"/>
      <c r="B1105" s="190"/>
      <c r="C1105" s="432"/>
      <c r="D1105" s="145"/>
      <c r="E1105" s="145"/>
      <c r="F1105" s="145"/>
      <c r="G1105" s="145"/>
      <c r="H1105" s="190"/>
      <c r="I1105" s="190"/>
      <c r="J1105" s="190"/>
      <c r="K1105" s="4"/>
    </row>
    <row r="1106" spans="1:11" s="9" customFormat="1">
      <c r="A1106" s="145"/>
      <c r="B1106" s="190"/>
      <c r="C1106" s="432"/>
      <c r="D1106" s="145"/>
      <c r="E1106" s="145"/>
      <c r="F1106" s="145"/>
      <c r="G1106" s="145"/>
      <c r="H1106" s="190"/>
      <c r="I1106" s="190"/>
      <c r="J1106" s="190"/>
      <c r="K1106" s="4"/>
    </row>
    <row r="1107" spans="1:11" s="9" customFormat="1">
      <c r="A1107" s="145"/>
      <c r="B1107" s="190"/>
      <c r="C1107" s="432"/>
      <c r="D1107" s="145"/>
      <c r="E1107" s="145"/>
      <c r="F1107" s="145"/>
      <c r="G1107" s="145"/>
      <c r="H1107" s="190"/>
      <c r="I1107" s="190"/>
      <c r="J1107" s="190"/>
      <c r="K1107" s="4"/>
    </row>
    <row r="1108" spans="1:11" s="9" customFormat="1">
      <c r="A1108" s="145"/>
      <c r="B1108" s="190"/>
      <c r="C1108" s="432"/>
      <c r="D1108" s="145"/>
      <c r="E1108" s="145"/>
      <c r="F1108" s="145"/>
      <c r="G1108" s="145"/>
      <c r="H1108" s="190"/>
      <c r="I1108" s="190"/>
      <c r="J1108" s="190"/>
      <c r="K1108" s="4"/>
    </row>
    <row r="1109" spans="1:11" s="9" customFormat="1">
      <c r="A1109" s="145"/>
      <c r="B1109" s="190"/>
      <c r="C1109" s="432"/>
      <c r="D1109" s="145"/>
      <c r="E1109" s="145"/>
      <c r="F1109" s="145"/>
      <c r="G1109" s="145"/>
      <c r="H1109" s="190"/>
      <c r="I1109" s="190"/>
      <c r="J1109" s="190"/>
      <c r="K1109" s="4"/>
    </row>
    <row r="1110" spans="1:11" s="9" customFormat="1">
      <c r="A1110" s="145"/>
      <c r="B1110" s="190"/>
      <c r="C1110" s="432"/>
      <c r="D1110" s="145"/>
      <c r="E1110" s="145"/>
      <c r="F1110" s="145"/>
      <c r="G1110" s="145"/>
      <c r="H1110" s="190"/>
      <c r="I1110" s="190"/>
      <c r="J1110" s="190"/>
      <c r="K1110" s="4"/>
    </row>
    <row r="1111" spans="1:11" s="9" customFormat="1">
      <c r="A1111" s="145"/>
      <c r="B1111" s="190"/>
      <c r="C1111" s="432"/>
      <c r="D1111" s="145"/>
      <c r="E1111" s="145"/>
      <c r="F1111" s="145"/>
      <c r="G1111" s="145"/>
      <c r="H1111" s="190"/>
      <c r="I1111" s="190"/>
      <c r="J1111" s="190"/>
      <c r="K1111" s="4"/>
    </row>
    <row r="1112" spans="1:11" s="9" customFormat="1">
      <c r="A1112" s="145"/>
      <c r="B1112" s="190"/>
      <c r="C1112" s="432"/>
      <c r="D1112" s="145"/>
      <c r="E1112" s="145"/>
      <c r="F1112" s="145"/>
      <c r="G1112" s="145"/>
      <c r="H1112" s="190"/>
      <c r="I1112" s="190"/>
      <c r="J1112" s="190"/>
      <c r="K1112" s="4"/>
    </row>
    <row r="1113" spans="1:11" s="9" customFormat="1">
      <c r="A1113" s="145"/>
      <c r="B1113" s="190"/>
      <c r="C1113" s="432"/>
      <c r="D1113" s="145"/>
      <c r="E1113" s="145"/>
      <c r="F1113" s="145"/>
      <c r="G1113" s="145"/>
      <c r="H1113" s="190"/>
      <c r="I1113" s="190"/>
      <c r="J1113" s="190"/>
      <c r="K1113" s="4"/>
    </row>
    <row r="1114" spans="1:11" s="9" customFormat="1">
      <c r="A1114" s="145"/>
      <c r="B1114" s="190"/>
      <c r="C1114" s="432"/>
      <c r="D1114" s="145"/>
      <c r="E1114" s="145"/>
      <c r="F1114" s="145"/>
      <c r="G1114" s="145"/>
      <c r="H1114" s="190"/>
      <c r="I1114" s="190"/>
      <c r="J1114" s="190"/>
      <c r="K1114" s="4"/>
    </row>
    <row r="1115" spans="1:11" s="9" customFormat="1">
      <c r="A1115" s="145"/>
      <c r="B1115" s="190"/>
      <c r="C1115" s="432"/>
      <c r="D1115" s="145"/>
      <c r="E1115" s="145"/>
      <c r="F1115" s="145"/>
      <c r="G1115" s="145"/>
      <c r="H1115" s="190"/>
      <c r="I1115" s="190"/>
      <c r="J1115" s="190"/>
      <c r="K1115" s="4"/>
    </row>
    <row r="1116" spans="1:11" s="9" customFormat="1">
      <c r="A1116" s="145"/>
      <c r="B1116" s="190"/>
      <c r="C1116" s="432"/>
      <c r="D1116" s="145"/>
      <c r="E1116" s="145"/>
      <c r="F1116" s="145"/>
      <c r="G1116" s="145"/>
      <c r="H1116" s="190"/>
      <c r="I1116" s="190"/>
      <c r="J1116" s="190"/>
      <c r="K1116" s="4"/>
    </row>
    <row r="1117" spans="1:11" s="9" customFormat="1">
      <c r="A1117" s="145"/>
      <c r="B1117" s="190"/>
      <c r="C1117" s="432"/>
      <c r="D1117" s="145"/>
      <c r="E1117" s="145"/>
      <c r="F1117" s="145"/>
      <c r="G1117" s="145"/>
      <c r="H1117" s="190"/>
      <c r="I1117" s="190"/>
      <c r="J1117" s="190"/>
      <c r="K1117" s="4"/>
    </row>
    <row r="1118" spans="1:11" s="9" customFormat="1">
      <c r="A1118" s="145"/>
      <c r="B1118" s="190"/>
      <c r="C1118" s="432"/>
      <c r="D1118" s="145"/>
      <c r="E1118" s="145"/>
      <c r="F1118" s="145"/>
      <c r="G1118" s="145"/>
      <c r="H1118" s="190"/>
      <c r="I1118" s="190"/>
      <c r="J1118" s="190"/>
      <c r="K1118" s="4"/>
    </row>
    <row r="1119" spans="1:11" s="9" customFormat="1">
      <c r="A1119" s="145"/>
      <c r="B1119" s="190"/>
      <c r="C1119" s="432"/>
      <c r="D1119" s="145"/>
      <c r="E1119" s="145"/>
      <c r="F1119" s="145"/>
      <c r="G1119" s="145"/>
      <c r="H1119" s="190"/>
      <c r="I1119" s="190"/>
      <c r="J1119" s="190"/>
      <c r="K1119" s="4"/>
    </row>
    <row r="1120" spans="1:11" s="9" customFormat="1">
      <c r="A1120" s="145"/>
      <c r="B1120" s="190"/>
      <c r="C1120" s="432"/>
      <c r="D1120" s="145"/>
      <c r="E1120" s="145"/>
      <c r="F1120" s="145"/>
      <c r="G1120" s="145"/>
      <c r="H1120" s="190"/>
      <c r="I1120" s="190"/>
      <c r="J1120" s="190"/>
      <c r="K1120" s="4"/>
    </row>
    <row r="1121" spans="1:11" s="9" customFormat="1">
      <c r="A1121" s="145"/>
      <c r="B1121" s="190"/>
      <c r="C1121" s="432"/>
      <c r="D1121" s="145"/>
      <c r="E1121" s="145"/>
      <c r="F1121" s="145"/>
      <c r="G1121" s="145"/>
      <c r="H1121" s="190"/>
      <c r="I1121" s="190"/>
      <c r="J1121" s="190"/>
      <c r="K1121" s="4"/>
    </row>
    <row r="1122" spans="1:11" s="9" customFormat="1">
      <c r="A1122" s="145"/>
      <c r="B1122" s="190"/>
      <c r="C1122" s="432"/>
      <c r="D1122" s="145"/>
      <c r="E1122" s="145"/>
      <c r="F1122" s="145"/>
      <c r="G1122" s="145"/>
      <c r="H1122" s="190"/>
      <c r="I1122" s="190"/>
      <c r="J1122" s="190"/>
      <c r="K1122" s="4"/>
    </row>
    <row r="1123" spans="1:11" s="9" customFormat="1">
      <c r="A1123" s="145"/>
      <c r="B1123" s="190"/>
      <c r="C1123" s="432"/>
      <c r="D1123" s="145"/>
      <c r="E1123" s="145"/>
      <c r="F1123" s="145"/>
      <c r="G1123" s="145"/>
      <c r="H1123" s="190"/>
      <c r="I1123" s="190"/>
      <c r="J1123" s="190"/>
      <c r="K1123" s="4"/>
    </row>
    <row r="1124" spans="1:11" s="9" customFormat="1">
      <c r="A1124" s="145"/>
      <c r="B1124" s="190"/>
      <c r="C1124" s="432"/>
      <c r="D1124" s="145"/>
      <c r="E1124" s="145"/>
      <c r="F1124" s="145"/>
      <c r="G1124" s="145"/>
      <c r="H1124" s="190"/>
      <c r="I1124" s="190"/>
      <c r="J1124" s="190"/>
      <c r="K1124" s="4"/>
    </row>
    <row r="1125" spans="1:11" s="9" customFormat="1">
      <c r="A1125" s="145"/>
      <c r="B1125" s="190"/>
      <c r="C1125" s="432"/>
      <c r="D1125" s="145"/>
      <c r="E1125" s="145"/>
      <c r="F1125" s="145"/>
      <c r="G1125" s="145"/>
      <c r="H1125" s="190"/>
      <c r="I1125" s="190"/>
      <c r="J1125" s="190"/>
      <c r="K1125" s="4"/>
    </row>
    <row r="1126" spans="1:11" s="9" customFormat="1">
      <c r="A1126" s="145"/>
      <c r="B1126" s="190"/>
      <c r="C1126" s="432"/>
      <c r="D1126" s="145"/>
      <c r="E1126" s="145"/>
      <c r="F1126" s="145"/>
      <c r="G1126" s="145"/>
      <c r="H1126" s="190"/>
      <c r="I1126" s="190"/>
      <c r="J1126" s="190"/>
      <c r="K1126" s="4"/>
    </row>
    <row r="1127" spans="1:11" s="9" customFormat="1">
      <c r="A1127" s="145"/>
      <c r="B1127" s="190"/>
      <c r="C1127" s="432"/>
      <c r="D1127" s="145"/>
      <c r="E1127" s="145"/>
      <c r="F1127" s="145"/>
      <c r="G1127" s="145"/>
      <c r="H1127" s="190"/>
      <c r="I1127" s="190"/>
      <c r="J1127" s="190"/>
      <c r="K1127" s="4"/>
    </row>
    <row r="1128" spans="1:11" s="9" customFormat="1">
      <c r="A1128" s="145"/>
      <c r="B1128" s="190"/>
      <c r="C1128" s="432"/>
      <c r="D1128" s="145"/>
      <c r="E1128" s="145"/>
      <c r="F1128" s="145"/>
      <c r="G1128" s="145"/>
      <c r="H1128" s="190"/>
      <c r="I1128" s="190"/>
      <c r="J1128" s="190"/>
      <c r="K1128" s="4"/>
    </row>
    <row r="1129" spans="1:11" s="9" customFormat="1">
      <c r="A1129" s="145"/>
      <c r="B1129" s="190"/>
      <c r="C1129" s="432"/>
      <c r="D1129" s="145"/>
      <c r="E1129" s="145"/>
      <c r="F1129" s="145"/>
      <c r="G1129" s="145"/>
      <c r="H1129" s="190"/>
      <c r="I1129" s="190"/>
      <c r="J1129" s="190"/>
      <c r="K1129" s="4"/>
    </row>
    <row r="1130" spans="1:11" s="9" customFormat="1">
      <c r="A1130" s="145"/>
      <c r="B1130" s="190"/>
      <c r="C1130" s="432"/>
      <c r="D1130" s="145"/>
      <c r="E1130" s="145"/>
      <c r="F1130" s="145"/>
      <c r="G1130" s="145"/>
      <c r="H1130" s="190"/>
      <c r="I1130" s="190"/>
      <c r="J1130" s="190"/>
      <c r="K1130" s="4"/>
    </row>
    <row r="1131" spans="1:11" s="9" customFormat="1">
      <c r="A1131" s="145"/>
      <c r="B1131" s="190"/>
      <c r="C1131" s="432"/>
      <c r="D1131" s="145"/>
      <c r="E1131" s="145"/>
      <c r="F1131" s="145"/>
      <c r="G1131" s="145"/>
      <c r="H1131" s="190"/>
      <c r="I1131" s="190"/>
      <c r="J1131" s="190"/>
      <c r="K1131" s="4"/>
    </row>
    <row r="1132" spans="1:11" s="9" customFormat="1">
      <c r="A1132" s="145"/>
      <c r="B1132" s="190"/>
      <c r="C1132" s="432"/>
      <c r="D1132" s="145"/>
      <c r="E1132" s="145"/>
      <c r="F1132" s="145"/>
      <c r="G1132" s="145"/>
      <c r="H1132" s="190"/>
      <c r="I1132" s="190"/>
      <c r="J1132" s="190"/>
      <c r="K1132" s="4"/>
    </row>
    <row r="1133" spans="1:11" s="9" customFormat="1">
      <c r="A1133" s="145"/>
      <c r="B1133" s="190"/>
      <c r="C1133" s="432"/>
      <c r="D1133" s="145"/>
      <c r="E1133" s="145"/>
      <c r="F1133" s="145"/>
      <c r="G1133" s="145"/>
      <c r="H1133" s="190"/>
      <c r="I1133" s="190"/>
      <c r="J1133" s="190"/>
      <c r="K1133" s="4"/>
    </row>
    <row r="1134" spans="1:11" s="9" customFormat="1">
      <c r="A1134" s="145"/>
      <c r="B1134" s="190"/>
      <c r="C1134" s="432"/>
      <c r="D1134" s="145"/>
      <c r="E1134" s="145"/>
      <c r="F1134" s="145"/>
      <c r="G1134" s="145"/>
      <c r="H1134" s="190"/>
      <c r="I1134" s="190"/>
      <c r="J1134" s="190"/>
      <c r="K1134" s="4"/>
    </row>
    <row r="1135" spans="1:11" s="9" customFormat="1">
      <c r="A1135" s="145"/>
      <c r="B1135" s="190"/>
      <c r="C1135" s="432"/>
      <c r="D1135" s="145"/>
      <c r="E1135" s="145"/>
      <c r="F1135" s="145"/>
      <c r="G1135" s="145"/>
      <c r="H1135" s="190"/>
      <c r="I1135" s="190"/>
      <c r="J1135" s="190"/>
      <c r="K1135" s="4"/>
    </row>
    <row r="1136" spans="1:11" s="9" customFormat="1">
      <c r="A1136" s="145"/>
      <c r="B1136" s="190"/>
      <c r="C1136" s="432"/>
      <c r="D1136" s="145"/>
      <c r="E1136" s="145"/>
      <c r="F1136" s="145"/>
      <c r="G1136" s="145"/>
      <c r="H1136" s="190"/>
      <c r="I1136" s="190"/>
      <c r="J1136" s="190"/>
      <c r="K1136" s="4"/>
    </row>
    <row r="1137" spans="1:11" s="9" customFormat="1">
      <c r="A1137" s="145"/>
      <c r="B1137" s="190"/>
      <c r="C1137" s="432"/>
      <c r="D1137" s="145"/>
      <c r="E1137" s="145"/>
      <c r="F1137" s="145"/>
      <c r="G1137" s="145"/>
      <c r="H1137" s="190"/>
      <c r="I1137" s="190"/>
      <c r="J1137" s="190"/>
      <c r="K1137" s="4"/>
    </row>
    <row r="1138" spans="1:11" s="9" customFormat="1">
      <c r="A1138" s="145"/>
      <c r="B1138" s="190"/>
      <c r="C1138" s="432"/>
      <c r="D1138" s="145"/>
      <c r="E1138" s="145"/>
      <c r="F1138" s="145"/>
      <c r="G1138" s="145"/>
      <c r="H1138" s="190"/>
      <c r="I1138" s="190"/>
      <c r="J1138" s="190"/>
      <c r="K1138" s="4"/>
    </row>
    <row r="1139" spans="1:11" s="9" customFormat="1">
      <c r="A1139" s="145"/>
      <c r="B1139" s="190"/>
      <c r="C1139" s="432"/>
      <c r="D1139" s="145"/>
      <c r="E1139" s="145"/>
      <c r="F1139" s="145"/>
      <c r="G1139" s="145"/>
      <c r="H1139" s="190"/>
      <c r="I1139" s="190"/>
      <c r="J1139" s="190"/>
      <c r="K1139" s="4"/>
    </row>
    <row r="1140" spans="1:11" s="9" customFormat="1">
      <c r="A1140" s="145"/>
      <c r="B1140" s="190"/>
      <c r="C1140" s="432"/>
      <c r="D1140" s="145"/>
      <c r="E1140" s="145"/>
      <c r="F1140" s="145"/>
      <c r="G1140" s="145"/>
      <c r="H1140" s="190"/>
      <c r="I1140" s="190"/>
      <c r="J1140" s="190"/>
      <c r="K1140" s="4"/>
    </row>
    <row r="1141" spans="1:11" s="9" customFormat="1">
      <c r="A1141" s="145"/>
      <c r="B1141" s="190"/>
      <c r="C1141" s="432"/>
      <c r="D1141" s="145"/>
      <c r="E1141" s="145"/>
      <c r="F1141" s="145"/>
      <c r="G1141" s="145"/>
      <c r="H1141" s="190"/>
      <c r="I1141" s="190"/>
      <c r="J1141" s="190"/>
      <c r="K1141" s="4"/>
    </row>
    <row r="1142" spans="1:11" s="9" customFormat="1">
      <c r="A1142" s="145"/>
      <c r="B1142" s="190"/>
      <c r="C1142" s="432"/>
      <c r="D1142" s="145"/>
      <c r="E1142" s="145"/>
      <c r="F1142" s="145"/>
      <c r="G1142" s="145"/>
      <c r="H1142" s="190"/>
      <c r="I1142" s="190"/>
      <c r="J1142" s="190"/>
      <c r="K1142" s="4"/>
    </row>
    <row r="1143" spans="1:11" s="9" customFormat="1">
      <c r="A1143" s="145"/>
      <c r="B1143" s="190"/>
      <c r="C1143" s="432"/>
      <c r="D1143" s="145"/>
      <c r="E1143" s="145"/>
      <c r="F1143" s="145"/>
      <c r="G1143" s="145"/>
      <c r="H1143" s="190"/>
      <c r="I1143" s="190"/>
      <c r="J1143" s="190"/>
      <c r="K1143" s="4"/>
    </row>
    <row r="1144" spans="1:11" s="9" customFormat="1">
      <c r="A1144" s="145"/>
      <c r="B1144" s="190"/>
      <c r="C1144" s="432"/>
      <c r="D1144" s="145"/>
      <c r="E1144" s="145"/>
      <c r="F1144" s="145"/>
      <c r="G1144" s="145"/>
      <c r="H1144" s="190"/>
      <c r="I1144" s="190"/>
      <c r="J1144" s="190"/>
      <c r="K1144" s="4"/>
    </row>
    <row r="1145" spans="1:11" s="9" customFormat="1">
      <c r="A1145" s="145"/>
      <c r="B1145" s="190"/>
      <c r="C1145" s="432"/>
      <c r="D1145" s="145"/>
      <c r="E1145" s="145"/>
      <c r="F1145" s="145"/>
      <c r="G1145" s="145"/>
      <c r="H1145" s="190"/>
      <c r="I1145" s="190"/>
      <c r="J1145" s="190"/>
      <c r="K1145" s="4"/>
    </row>
    <row r="1146" spans="1:11" s="9" customFormat="1">
      <c r="A1146" s="145"/>
      <c r="B1146" s="190"/>
      <c r="C1146" s="432"/>
      <c r="D1146" s="145"/>
      <c r="E1146" s="145"/>
      <c r="F1146" s="145"/>
      <c r="G1146" s="145"/>
      <c r="H1146" s="190"/>
      <c r="I1146" s="190"/>
      <c r="J1146" s="190"/>
      <c r="K1146" s="4"/>
    </row>
    <row r="1147" spans="1:11" s="9" customFormat="1">
      <c r="A1147" s="145"/>
      <c r="B1147" s="190"/>
      <c r="C1147" s="432"/>
      <c r="D1147" s="145"/>
      <c r="E1147" s="145"/>
      <c r="F1147" s="145"/>
      <c r="G1147" s="145"/>
      <c r="H1147" s="190"/>
      <c r="I1147" s="190"/>
      <c r="J1147" s="190"/>
      <c r="K1147" s="4"/>
    </row>
    <row r="1148" spans="1:11" s="9" customFormat="1">
      <c r="A1148" s="145"/>
      <c r="B1148" s="190"/>
      <c r="C1148" s="432"/>
      <c r="D1148" s="145"/>
      <c r="E1148" s="145"/>
      <c r="F1148" s="145"/>
      <c r="G1148" s="145"/>
      <c r="H1148" s="190"/>
      <c r="I1148" s="190"/>
      <c r="J1148" s="190"/>
      <c r="K1148" s="4"/>
    </row>
    <row r="1149" spans="1:11" s="9" customFormat="1">
      <c r="A1149" s="145"/>
      <c r="B1149" s="190"/>
      <c r="C1149" s="432"/>
      <c r="D1149" s="145"/>
      <c r="E1149" s="145"/>
      <c r="F1149" s="145"/>
      <c r="G1149" s="145"/>
      <c r="H1149" s="190"/>
      <c r="I1149" s="190"/>
      <c r="J1149" s="190"/>
      <c r="K1149" s="4"/>
    </row>
    <row r="1150" spans="1:11" s="9" customFormat="1">
      <c r="A1150" s="145"/>
      <c r="B1150" s="190"/>
      <c r="C1150" s="432"/>
      <c r="D1150" s="145"/>
      <c r="E1150" s="145"/>
      <c r="F1150" s="145"/>
      <c r="G1150" s="145"/>
      <c r="H1150" s="190"/>
      <c r="I1150" s="190"/>
      <c r="J1150" s="190"/>
      <c r="K1150" s="4"/>
    </row>
    <row r="1151" spans="1:11" s="9" customFormat="1">
      <c r="A1151" s="145"/>
      <c r="B1151" s="190"/>
      <c r="C1151" s="432"/>
      <c r="D1151" s="145"/>
      <c r="E1151" s="145"/>
      <c r="F1151" s="145"/>
      <c r="G1151" s="145"/>
      <c r="H1151" s="190"/>
      <c r="I1151" s="190"/>
      <c r="J1151" s="190"/>
      <c r="K1151" s="4"/>
    </row>
    <row r="1152" spans="1:11" s="9" customFormat="1">
      <c r="A1152" s="145"/>
      <c r="B1152" s="190"/>
      <c r="C1152" s="432"/>
      <c r="D1152" s="145"/>
      <c r="E1152" s="145"/>
      <c r="F1152" s="145"/>
      <c r="G1152" s="145"/>
      <c r="H1152" s="190"/>
      <c r="I1152" s="190"/>
      <c r="J1152" s="190"/>
      <c r="K1152" s="4"/>
    </row>
    <row r="1153" spans="1:11" s="9" customFormat="1">
      <c r="A1153" s="145"/>
      <c r="B1153" s="190"/>
      <c r="C1153" s="432"/>
      <c r="D1153" s="145"/>
      <c r="E1153" s="145"/>
      <c r="F1153" s="145"/>
      <c r="G1153" s="145"/>
      <c r="H1153" s="190"/>
      <c r="I1153" s="190"/>
      <c r="J1153" s="190"/>
      <c r="K1153" s="4"/>
    </row>
    <row r="1154" spans="1:11" s="9" customFormat="1">
      <c r="A1154" s="145"/>
      <c r="B1154" s="190"/>
      <c r="C1154" s="432"/>
      <c r="D1154" s="145"/>
      <c r="E1154" s="145"/>
      <c r="F1154" s="145"/>
      <c r="G1154" s="145"/>
      <c r="H1154" s="190"/>
      <c r="I1154" s="190"/>
      <c r="J1154" s="190"/>
      <c r="K1154" s="4"/>
    </row>
    <row r="1155" spans="1:11" s="9" customFormat="1">
      <c r="A1155" s="145"/>
      <c r="B1155" s="190"/>
      <c r="C1155" s="432"/>
      <c r="D1155" s="145"/>
      <c r="E1155" s="145"/>
      <c r="F1155" s="145"/>
      <c r="G1155" s="145"/>
      <c r="H1155" s="190"/>
      <c r="I1155" s="190"/>
      <c r="J1155" s="190"/>
      <c r="K1155" s="4"/>
    </row>
    <row r="1156" spans="1:11" s="9" customFormat="1">
      <c r="A1156" s="145"/>
      <c r="B1156" s="190"/>
      <c r="C1156" s="432"/>
      <c r="D1156" s="145"/>
      <c r="E1156" s="145"/>
      <c r="F1156" s="145"/>
      <c r="G1156" s="145"/>
      <c r="H1156" s="190"/>
      <c r="I1156" s="190"/>
      <c r="J1156" s="190"/>
      <c r="K1156" s="4"/>
    </row>
    <row r="1157" spans="1:11" s="9" customFormat="1">
      <c r="A1157" s="145"/>
      <c r="B1157" s="190"/>
      <c r="C1157" s="432"/>
      <c r="D1157" s="145"/>
      <c r="E1157" s="145"/>
      <c r="F1157" s="145"/>
      <c r="G1157" s="145"/>
      <c r="H1157" s="190"/>
      <c r="I1157" s="190"/>
      <c r="J1157" s="190"/>
      <c r="K1157" s="4"/>
    </row>
    <row r="1158" spans="1:11" s="9" customFormat="1">
      <c r="A1158" s="145"/>
      <c r="B1158" s="190"/>
      <c r="C1158" s="432"/>
      <c r="D1158" s="145"/>
      <c r="E1158" s="145"/>
      <c r="F1158" s="145"/>
      <c r="G1158" s="145"/>
      <c r="H1158" s="190"/>
      <c r="I1158" s="190"/>
      <c r="J1158" s="190"/>
      <c r="K1158" s="4"/>
    </row>
    <row r="1159" spans="1:11" s="9" customFormat="1">
      <c r="A1159" s="145"/>
      <c r="B1159" s="190"/>
      <c r="C1159" s="432"/>
      <c r="D1159" s="145"/>
      <c r="E1159" s="145"/>
      <c r="F1159" s="145"/>
      <c r="G1159" s="145"/>
      <c r="H1159" s="190"/>
      <c r="I1159" s="190"/>
      <c r="J1159" s="190"/>
      <c r="K1159" s="4"/>
    </row>
    <row r="1160" spans="1:11" s="9" customFormat="1">
      <c r="A1160" s="145"/>
      <c r="B1160" s="190"/>
      <c r="C1160" s="432"/>
      <c r="D1160" s="145"/>
      <c r="E1160" s="145"/>
      <c r="F1160" s="145"/>
      <c r="G1160" s="145"/>
      <c r="H1160" s="190"/>
      <c r="I1160" s="190"/>
      <c r="J1160" s="190"/>
      <c r="K1160" s="4"/>
    </row>
    <row r="1161" spans="1:11" s="9" customFormat="1">
      <c r="A1161" s="145"/>
      <c r="B1161" s="190"/>
      <c r="C1161" s="432"/>
      <c r="D1161" s="145"/>
      <c r="E1161" s="145"/>
      <c r="F1161" s="145"/>
      <c r="G1161" s="145"/>
      <c r="H1161" s="190"/>
      <c r="I1161" s="190"/>
      <c r="J1161" s="190"/>
      <c r="K1161" s="4"/>
    </row>
    <row r="1162" spans="1:11" s="9" customFormat="1">
      <c r="A1162" s="145"/>
      <c r="B1162" s="190"/>
      <c r="C1162" s="432"/>
      <c r="D1162" s="145"/>
      <c r="E1162" s="145"/>
      <c r="F1162" s="145"/>
      <c r="G1162" s="145"/>
      <c r="H1162" s="190"/>
      <c r="I1162" s="190"/>
      <c r="J1162" s="190"/>
      <c r="K1162" s="4"/>
    </row>
    <row r="1163" spans="1:11" s="9" customFormat="1">
      <c r="A1163" s="145"/>
      <c r="B1163" s="190"/>
      <c r="C1163" s="432"/>
      <c r="D1163" s="145"/>
      <c r="E1163" s="145"/>
      <c r="F1163" s="145"/>
      <c r="G1163" s="145"/>
      <c r="H1163" s="190"/>
      <c r="I1163" s="190"/>
      <c r="J1163" s="190"/>
      <c r="K1163" s="4"/>
    </row>
    <row r="1164" spans="1:11" s="9" customFormat="1">
      <c r="A1164" s="145"/>
      <c r="B1164" s="190"/>
      <c r="C1164" s="432"/>
      <c r="D1164" s="145"/>
      <c r="E1164" s="145"/>
      <c r="F1164" s="145"/>
      <c r="G1164" s="145"/>
      <c r="H1164" s="190"/>
      <c r="I1164" s="190"/>
      <c r="J1164" s="190"/>
      <c r="K1164" s="4"/>
    </row>
    <row r="1165" spans="1:11" s="9" customFormat="1">
      <c r="A1165" s="145"/>
      <c r="B1165" s="190"/>
      <c r="C1165" s="432"/>
      <c r="D1165" s="145"/>
      <c r="E1165" s="145"/>
      <c r="F1165" s="145"/>
      <c r="G1165" s="145"/>
      <c r="H1165" s="190"/>
      <c r="I1165" s="190"/>
      <c r="J1165" s="190"/>
      <c r="K1165" s="4"/>
    </row>
    <row r="1166" spans="1:11" s="9" customFormat="1">
      <c r="A1166" s="145"/>
      <c r="B1166" s="190"/>
      <c r="C1166" s="432"/>
      <c r="D1166" s="145"/>
      <c r="E1166" s="145"/>
      <c r="F1166" s="145"/>
      <c r="G1166" s="145"/>
      <c r="H1166" s="190"/>
      <c r="I1166" s="190"/>
      <c r="J1166" s="190"/>
      <c r="K1166" s="4"/>
    </row>
    <row r="1167" spans="1:11" s="9" customFormat="1">
      <c r="A1167" s="145"/>
      <c r="B1167" s="190"/>
      <c r="C1167" s="432"/>
      <c r="D1167" s="145"/>
      <c r="E1167" s="145"/>
      <c r="F1167" s="145"/>
      <c r="G1167" s="145"/>
      <c r="H1167" s="190"/>
      <c r="I1167" s="190"/>
      <c r="J1167" s="190"/>
      <c r="K1167" s="4"/>
    </row>
    <row r="1168" spans="1:11" s="9" customFormat="1">
      <c r="A1168" s="145"/>
      <c r="B1168" s="190"/>
      <c r="C1168" s="432"/>
      <c r="D1168" s="145"/>
      <c r="E1168" s="145"/>
      <c r="F1168" s="145"/>
      <c r="G1168" s="145"/>
      <c r="H1168" s="190"/>
      <c r="I1168" s="190"/>
      <c r="J1168" s="190"/>
      <c r="K1168" s="4"/>
    </row>
    <row r="1169" spans="1:11" s="9" customFormat="1">
      <c r="A1169" s="145"/>
      <c r="B1169" s="190"/>
      <c r="C1169" s="432"/>
      <c r="D1169" s="145"/>
      <c r="E1169" s="145"/>
      <c r="F1169" s="145"/>
      <c r="G1169" s="145"/>
      <c r="H1169" s="190"/>
      <c r="I1169" s="190"/>
      <c r="J1169" s="190"/>
      <c r="K1169" s="4"/>
    </row>
    <row r="1170" spans="1:11" s="9" customFormat="1">
      <c r="A1170" s="145"/>
      <c r="B1170" s="190"/>
      <c r="C1170" s="432"/>
      <c r="D1170" s="145"/>
      <c r="E1170" s="145"/>
      <c r="F1170" s="145"/>
      <c r="G1170" s="145"/>
      <c r="H1170" s="190"/>
      <c r="I1170" s="190"/>
      <c r="J1170" s="190"/>
      <c r="K1170" s="4"/>
    </row>
    <row r="1171" spans="1:11" s="9" customFormat="1">
      <c r="A1171" s="145"/>
      <c r="B1171" s="190"/>
      <c r="C1171" s="432"/>
      <c r="D1171" s="145"/>
      <c r="E1171" s="145"/>
      <c r="F1171" s="145"/>
      <c r="G1171" s="145"/>
      <c r="H1171" s="190"/>
      <c r="I1171" s="190"/>
      <c r="J1171" s="190"/>
      <c r="K1171" s="4"/>
    </row>
    <row r="1172" spans="1:11" s="9" customFormat="1">
      <c r="A1172" s="145"/>
      <c r="B1172" s="190"/>
      <c r="C1172" s="432"/>
      <c r="D1172" s="145"/>
      <c r="E1172" s="145"/>
      <c r="F1172" s="145"/>
      <c r="G1172" s="145"/>
      <c r="H1172" s="190"/>
      <c r="I1172" s="190"/>
      <c r="J1172" s="190"/>
      <c r="K1172" s="4"/>
    </row>
    <row r="1173" spans="1:11" s="9" customFormat="1">
      <c r="A1173" s="145"/>
      <c r="B1173" s="190"/>
      <c r="C1173" s="432"/>
      <c r="D1173" s="145"/>
      <c r="E1173" s="145"/>
      <c r="F1173" s="145"/>
      <c r="G1173" s="145"/>
      <c r="H1173" s="190"/>
      <c r="I1173" s="190"/>
      <c r="J1173" s="190"/>
      <c r="K1173" s="4"/>
    </row>
    <row r="1174" spans="1:11" s="9" customFormat="1">
      <c r="A1174" s="145"/>
      <c r="B1174" s="190"/>
      <c r="C1174" s="432"/>
      <c r="D1174" s="145"/>
      <c r="E1174" s="145"/>
      <c r="F1174" s="145"/>
      <c r="G1174" s="145"/>
      <c r="H1174" s="190"/>
      <c r="I1174" s="190"/>
      <c r="J1174" s="190"/>
      <c r="K1174" s="4"/>
    </row>
    <row r="1175" spans="1:11" s="9" customFormat="1">
      <c r="A1175" s="145"/>
      <c r="B1175" s="190"/>
      <c r="C1175" s="432"/>
      <c r="D1175" s="145"/>
      <c r="E1175" s="145"/>
      <c r="F1175" s="145"/>
      <c r="G1175" s="145"/>
      <c r="H1175" s="190"/>
      <c r="I1175" s="190"/>
      <c r="J1175" s="190"/>
      <c r="K1175" s="4"/>
    </row>
    <row r="1176" spans="1:11" s="9" customFormat="1">
      <c r="A1176" s="145"/>
      <c r="B1176" s="190"/>
      <c r="C1176" s="432"/>
      <c r="D1176" s="145"/>
      <c r="E1176" s="145"/>
      <c r="F1176" s="145"/>
      <c r="G1176" s="145"/>
      <c r="H1176" s="190"/>
      <c r="I1176" s="190"/>
      <c r="J1176" s="190"/>
      <c r="K1176" s="4"/>
    </row>
    <row r="1177" spans="1:11" s="9" customFormat="1">
      <c r="A1177" s="145"/>
      <c r="B1177" s="190"/>
      <c r="C1177" s="432"/>
      <c r="D1177" s="145"/>
      <c r="E1177" s="145"/>
      <c r="F1177" s="145"/>
      <c r="G1177" s="145"/>
      <c r="H1177" s="190"/>
      <c r="I1177" s="190"/>
      <c r="J1177" s="190"/>
      <c r="K1177" s="4"/>
    </row>
    <row r="1178" spans="1:11" s="9" customFormat="1">
      <c r="A1178" s="145"/>
      <c r="B1178" s="190"/>
      <c r="C1178" s="432"/>
      <c r="D1178" s="145"/>
      <c r="E1178" s="145"/>
      <c r="F1178" s="145"/>
      <c r="G1178" s="145"/>
      <c r="H1178" s="190"/>
      <c r="I1178" s="190"/>
      <c r="J1178" s="190"/>
      <c r="K1178" s="4"/>
    </row>
    <row r="1179" spans="1:11" s="9" customFormat="1">
      <c r="A1179" s="145"/>
      <c r="B1179" s="190"/>
      <c r="C1179" s="432"/>
      <c r="D1179" s="145"/>
      <c r="E1179" s="145"/>
      <c r="F1179" s="145"/>
      <c r="G1179" s="145"/>
      <c r="H1179" s="190"/>
      <c r="I1179" s="190"/>
      <c r="J1179" s="190"/>
      <c r="K1179" s="4"/>
    </row>
    <row r="1180" spans="1:11" s="9" customFormat="1">
      <c r="A1180" s="145"/>
      <c r="B1180" s="190"/>
      <c r="C1180" s="432"/>
      <c r="D1180" s="145"/>
      <c r="E1180" s="145"/>
      <c r="F1180" s="145"/>
      <c r="G1180" s="145"/>
      <c r="H1180" s="190"/>
      <c r="I1180" s="190"/>
      <c r="J1180" s="190"/>
      <c r="K1180" s="4"/>
    </row>
    <row r="1181" spans="1:11" s="9" customFormat="1">
      <c r="A1181" s="145"/>
      <c r="B1181" s="190"/>
      <c r="C1181" s="432"/>
      <c r="D1181" s="145"/>
      <c r="E1181" s="145"/>
      <c r="F1181" s="145"/>
      <c r="G1181" s="145"/>
      <c r="H1181" s="190"/>
      <c r="I1181" s="190"/>
      <c r="J1181" s="190"/>
      <c r="K1181" s="4"/>
    </row>
    <row r="1182" spans="1:11" s="9" customFormat="1">
      <c r="A1182" s="145"/>
      <c r="B1182" s="190"/>
      <c r="C1182" s="432"/>
      <c r="D1182" s="145"/>
      <c r="E1182" s="145"/>
      <c r="F1182" s="145"/>
      <c r="G1182" s="145"/>
      <c r="H1182" s="190"/>
      <c r="I1182" s="190"/>
      <c r="J1182" s="190"/>
      <c r="K1182" s="4"/>
    </row>
    <row r="1183" spans="1:11" s="9" customFormat="1">
      <c r="A1183" s="145"/>
      <c r="B1183" s="190"/>
      <c r="C1183" s="432"/>
      <c r="D1183" s="145"/>
      <c r="E1183" s="145"/>
      <c r="F1183" s="145"/>
      <c r="G1183" s="145"/>
      <c r="H1183" s="190"/>
      <c r="I1183" s="190"/>
      <c r="J1183" s="190"/>
      <c r="K1183" s="4"/>
    </row>
    <row r="1184" spans="1:11" s="9" customFormat="1">
      <c r="A1184" s="145"/>
      <c r="B1184" s="190"/>
      <c r="C1184" s="432"/>
      <c r="D1184" s="145"/>
      <c r="E1184" s="145"/>
      <c r="F1184" s="145"/>
      <c r="G1184" s="145"/>
      <c r="H1184" s="190"/>
      <c r="I1184" s="190"/>
      <c r="J1184" s="190"/>
      <c r="K1184" s="4"/>
    </row>
    <row r="1185" spans="1:11" s="9" customFormat="1">
      <c r="A1185" s="145"/>
      <c r="B1185" s="190"/>
      <c r="C1185" s="432"/>
      <c r="D1185" s="145"/>
      <c r="E1185" s="145"/>
      <c r="F1185" s="145"/>
      <c r="G1185" s="145"/>
      <c r="H1185" s="190"/>
      <c r="I1185" s="190"/>
      <c r="J1185" s="190"/>
      <c r="K1185" s="4"/>
    </row>
    <row r="1186" spans="1:11" s="9" customFormat="1">
      <c r="A1186" s="145"/>
      <c r="B1186" s="190"/>
      <c r="C1186" s="432"/>
      <c r="D1186" s="145"/>
      <c r="E1186" s="145"/>
      <c r="F1186" s="145"/>
      <c r="G1186" s="145"/>
      <c r="H1186" s="190"/>
      <c r="I1186" s="190"/>
      <c r="J1186" s="190"/>
      <c r="K1186" s="4"/>
    </row>
    <row r="1187" spans="1:11" s="9" customFormat="1">
      <c r="A1187" s="145"/>
      <c r="B1187" s="190"/>
      <c r="C1187" s="432"/>
      <c r="D1187" s="145"/>
      <c r="E1187" s="145"/>
      <c r="F1187" s="145"/>
      <c r="G1187" s="145"/>
      <c r="H1187" s="190"/>
      <c r="I1187" s="190"/>
      <c r="J1187" s="190"/>
      <c r="K1187" s="4"/>
    </row>
    <row r="1188" spans="1:11" s="9" customFormat="1">
      <c r="A1188" s="145"/>
      <c r="B1188" s="190"/>
      <c r="C1188" s="432"/>
      <c r="D1188" s="145"/>
      <c r="E1188" s="145"/>
      <c r="F1188" s="145"/>
      <c r="G1188" s="145"/>
      <c r="H1188" s="190"/>
      <c r="I1188" s="190"/>
      <c r="J1188" s="190"/>
      <c r="K1188" s="4"/>
    </row>
    <row r="1189" spans="1:11" s="9" customFormat="1">
      <c r="A1189" s="145"/>
      <c r="B1189" s="190"/>
      <c r="C1189" s="432"/>
      <c r="D1189" s="145"/>
      <c r="E1189" s="145"/>
      <c r="F1189" s="145"/>
      <c r="G1189" s="145"/>
      <c r="H1189" s="190"/>
      <c r="I1189" s="190"/>
      <c r="J1189" s="190"/>
      <c r="K1189" s="4"/>
    </row>
    <row r="1190" spans="1:11" s="9" customFormat="1">
      <c r="A1190" s="145"/>
      <c r="B1190" s="190"/>
      <c r="C1190" s="432"/>
      <c r="D1190" s="145"/>
      <c r="E1190" s="145"/>
      <c r="F1190" s="145"/>
      <c r="G1190" s="145"/>
      <c r="H1190" s="190"/>
      <c r="I1190" s="190"/>
      <c r="J1190" s="190"/>
      <c r="K1190" s="4"/>
    </row>
    <row r="1191" spans="1:11" s="9" customFormat="1">
      <c r="A1191" s="145"/>
      <c r="B1191" s="190"/>
      <c r="C1191" s="432"/>
      <c r="D1191" s="145"/>
      <c r="E1191" s="145"/>
      <c r="F1191" s="145"/>
      <c r="G1191" s="145"/>
      <c r="H1191" s="190"/>
      <c r="I1191" s="190"/>
      <c r="J1191" s="190"/>
      <c r="K1191" s="4"/>
    </row>
    <row r="1192" spans="1:11" s="9" customFormat="1">
      <c r="A1192" s="145"/>
      <c r="B1192" s="190"/>
      <c r="C1192" s="432"/>
      <c r="D1192" s="145"/>
      <c r="E1192" s="145"/>
      <c r="F1192" s="145"/>
      <c r="G1192" s="145"/>
      <c r="H1192" s="190"/>
      <c r="I1192" s="190"/>
      <c r="J1192" s="190"/>
      <c r="K1192" s="4"/>
    </row>
    <row r="1193" spans="1:11" s="9" customFormat="1">
      <c r="A1193" s="145"/>
      <c r="B1193" s="190"/>
      <c r="C1193" s="432"/>
      <c r="D1193" s="145"/>
      <c r="E1193" s="145"/>
      <c r="F1193" s="145"/>
      <c r="G1193" s="145"/>
      <c r="H1193" s="190"/>
      <c r="I1193" s="190"/>
      <c r="J1193" s="190"/>
      <c r="K1193" s="4"/>
    </row>
    <row r="1194" spans="1:11" s="9" customFormat="1">
      <c r="A1194" s="145"/>
      <c r="B1194" s="190"/>
      <c r="C1194" s="432"/>
      <c r="D1194" s="145"/>
      <c r="E1194" s="145"/>
      <c r="F1194" s="145"/>
      <c r="G1194" s="145"/>
      <c r="H1194" s="190"/>
      <c r="I1194" s="190"/>
      <c r="J1194" s="190"/>
      <c r="K1194" s="4"/>
    </row>
    <row r="1195" spans="1:11" s="9" customFormat="1">
      <c r="A1195" s="145"/>
      <c r="B1195" s="190"/>
      <c r="C1195" s="432"/>
      <c r="D1195" s="145"/>
      <c r="E1195" s="145"/>
      <c r="F1195" s="145"/>
      <c r="G1195" s="145"/>
      <c r="H1195" s="190"/>
      <c r="I1195" s="190"/>
      <c r="J1195" s="190"/>
      <c r="K1195" s="4"/>
    </row>
    <row r="1196" spans="1:11" s="9" customFormat="1">
      <c r="A1196" s="145"/>
      <c r="B1196" s="190"/>
      <c r="C1196" s="432"/>
      <c r="D1196" s="145"/>
      <c r="E1196" s="145"/>
      <c r="F1196" s="145"/>
      <c r="G1196" s="145"/>
      <c r="H1196" s="190"/>
      <c r="I1196" s="190"/>
      <c r="J1196" s="190"/>
      <c r="K1196" s="4"/>
    </row>
    <row r="1197" spans="1:11" s="9" customFormat="1">
      <c r="A1197" s="145"/>
      <c r="B1197" s="190"/>
      <c r="C1197" s="432"/>
      <c r="D1197" s="145"/>
      <c r="E1197" s="145"/>
      <c r="F1197" s="145"/>
      <c r="G1197" s="145"/>
      <c r="H1197" s="190"/>
      <c r="I1197" s="190"/>
      <c r="J1197" s="190"/>
      <c r="K1197" s="4"/>
    </row>
    <row r="1198" spans="1:11" s="9" customFormat="1">
      <c r="A1198" s="145"/>
      <c r="B1198" s="190"/>
      <c r="C1198" s="432"/>
      <c r="D1198" s="145"/>
      <c r="E1198" s="145"/>
      <c r="F1198" s="145"/>
      <c r="G1198" s="145"/>
      <c r="H1198" s="190"/>
      <c r="I1198" s="190"/>
      <c r="J1198" s="190"/>
      <c r="K1198" s="4"/>
    </row>
    <row r="1199" spans="1:11" s="9" customFormat="1">
      <c r="A1199" s="145"/>
      <c r="B1199" s="190"/>
      <c r="C1199" s="432"/>
      <c r="D1199" s="145"/>
      <c r="E1199" s="145"/>
      <c r="F1199" s="145"/>
      <c r="G1199" s="145"/>
      <c r="H1199" s="190"/>
      <c r="I1199" s="190"/>
      <c r="J1199" s="190"/>
      <c r="K1199" s="4"/>
    </row>
    <row r="1200" spans="1:11" s="9" customFormat="1">
      <c r="A1200" s="145"/>
      <c r="B1200" s="190"/>
      <c r="C1200" s="432"/>
      <c r="D1200" s="145"/>
      <c r="E1200" s="145"/>
      <c r="F1200" s="145"/>
      <c r="G1200" s="145"/>
      <c r="H1200" s="190"/>
      <c r="I1200" s="190"/>
      <c r="J1200" s="190"/>
      <c r="K1200" s="4"/>
    </row>
    <row r="1201" spans="1:11" s="9" customFormat="1">
      <c r="A1201" s="145"/>
      <c r="B1201" s="190"/>
      <c r="C1201" s="432"/>
      <c r="D1201" s="145"/>
      <c r="E1201" s="145"/>
      <c r="F1201" s="145"/>
      <c r="G1201" s="145"/>
      <c r="H1201" s="190"/>
      <c r="I1201" s="190"/>
      <c r="J1201" s="190"/>
      <c r="K1201" s="4"/>
    </row>
    <row r="1202" spans="1:11" s="9" customFormat="1">
      <c r="A1202" s="145"/>
      <c r="B1202" s="190"/>
      <c r="C1202" s="432"/>
      <c r="D1202" s="145"/>
      <c r="E1202" s="145"/>
      <c r="F1202" s="145"/>
      <c r="G1202" s="145"/>
      <c r="H1202" s="190"/>
      <c r="I1202" s="190"/>
      <c r="J1202" s="190"/>
      <c r="K1202" s="4"/>
    </row>
    <row r="1203" spans="1:11" s="9" customFormat="1">
      <c r="A1203" s="145"/>
      <c r="B1203" s="190"/>
      <c r="C1203" s="432"/>
      <c r="D1203" s="145"/>
      <c r="E1203" s="145"/>
      <c r="F1203" s="145"/>
      <c r="G1203" s="145"/>
      <c r="H1203" s="190"/>
      <c r="I1203" s="190"/>
      <c r="J1203" s="190"/>
      <c r="K1203" s="4"/>
    </row>
    <row r="1204" spans="1:11" s="9" customFormat="1">
      <c r="A1204" s="145"/>
      <c r="B1204" s="190"/>
      <c r="C1204" s="432"/>
      <c r="D1204" s="145"/>
      <c r="E1204" s="145"/>
      <c r="F1204" s="145"/>
      <c r="G1204" s="145"/>
      <c r="H1204" s="190"/>
      <c r="I1204" s="190"/>
      <c r="J1204" s="190"/>
      <c r="K1204" s="4"/>
    </row>
    <row r="1205" spans="1:11" s="9" customFormat="1">
      <c r="A1205" s="145"/>
      <c r="B1205" s="190"/>
      <c r="C1205" s="432"/>
      <c r="D1205" s="145"/>
      <c r="E1205" s="145"/>
      <c r="F1205" s="145"/>
      <c r="G1205" s="145"/>
      <c r="H1205" s="190"/>
      <c r="I1205" s="190"/>
      <c r="J1205" s="190"/>
      <c r="K1205" s="4"/>
    </row>
    <row r="1206" spans="1:11" s="9" customFormat="1">
      <c r="A1206" s="145"/>
      <c r="B1206" s="190"/>
      <c r="C1206" s="432"/>
      <c r="D1206" s="145"/>
      <c r="E1206" s="145"/>
      <c r="F1206" s="145"/>
      <c r="G1206" s="145"/>
      <c r="H1206" s="190"/>
      <c r="I1206" s="190"/>
      <c r="J1206" s="190"/>
      <c r="K1206" s="4"/>
    </row>
    <row r="1207" spans="1:11" s="9" customFormat="1">
      <c r="A1207" s="145"/>
      <c r="B1207" s="190"/>
      <c r="C1207" s="432"/>
      <c r="D1207" s="145"/>
      <c r="E1207" s="145"/>
      <c r="F1207" s="145"/>
      <c r="G1207" s="145"/>
      <c r="H1207" s="190"/>
      <c r="I1207" s="190"/>
      <c r="J1207" s="190"/>
      <c r="K1207" s="4"/>
    </row>
    <row r="1208" spans="1:11" s="9" customFormat="1">
      <c r="A1208" s="145"/>
      <c r="B1208" s="190"/>
      <c r="C1208" s="432"/>
      <c r="D1208" s="145"/>
      <c r="E1208" s="145"/>
      <c r="F1208" s="145"/>
      <c r="G1208" s="145"/>
      <c r="H1208" s="190"/>
      <c r="I1208" s="190"/>
      <c r="J1208" s="190"/>
      <c r="K1208" s="4"/>
    </row>
    <row r="1209" spans="1:11" s="9" customFormat="1">
      <c r="A1209" s="145"/>
      <c r="B1209" s="190"/>
      <c r="C1209" s="432"/>
      <c r="D1209" s="145"/>
      <c r="E1209" s="145"/>
      <c r="F1209" s="145"/>
      <c r="G1209" s="145"/>
      <c r="H1209" s="190"/>
      <c r="I1209" s="190"/>
      <c r="J1209" s="190"/>
      <c r="K1209" s="4"/>
    </row>
    <row r="1210" spans="1:11" s="9" customFormat="1">
      <c r="A1210" s="145"/>
      <c r="B1210" s="190"/>
      <c r="C1210" s="432"/>
      <c r="D1210" s="145"/>
      <c r="E1210" s="145"/>
      <c r="F1210" s="145"/>
      <c r="G1210" s="145"/>
      <c r="H1210" s="190"/>
      <c r="I1210" s="190"/>
      <c r="J1210" s="190"/>
      <c r="K1210" s="4"/>
    </row>
    <row r="1211" spans="1:11" s="9" customFormat="1">
      <c r="A1211" s="145"/>
      <c r="B1211" s="190"/>
      <c r="C1211" s="432"/>
      <c r="D1211" s="145"/>
      <c r="E1211" s="145"/>
      <c r="F1211" s="145"/>
      <c r="G1211" s="145"/>
      <c r="H1211" s="190"/>
      <c r="I1211" s="190"/>
      <c r="J1211" s="190"/>
      <c r="K1211" s="4"/>
    </row>
    <row r="1212" spans="1:11" s="9" customFormat="1">
      <c r="A1212" s="145"/>
      <c r="B1212" s="190"/>
      <c r="C1212" s="432"/>
      <c r="D1212" s="145"/>
      <c r="E1212" s="145"/>
      <c r="F1212" s="145"/>
      <c r="G1212" s="145"/>
      <c r="H1212" s="190"/>
      <c r="I1212" s="190"/>
      <c r="J1212" s="190"/>
      <c r="K1212" s="4"/>
    </row>
    <row r="1213" spans="1:11" s="9" customFormat="1">
      <c r="A1213" s="145"/>
      <c r="B1213" s="190"/>
      <c r="C1213" s="432"/>
      <c r="D1213" s="145"/>
      <c r="E1213" s="145"/>
      <c r="F1213" s="145"/>
      <c r="G1213" s="145"/>
      <c r="H1213" s="190"/>
      <c r="I1213" s="190"/>
      <c r="J1213" s="190"/>
      <c r="K1213" s="4"/>
    </row>
    <row r="1214" spans="1:11" s="9" customFormat="1">
      <c r="A1214" s="145"/>
      <c r="B1214" s="190"/>
      <c r="C1214" s="432"/>
      <c r="D1214" s="145"/>
      <c r="E1214" s="145"/>
      <c r="F1214" s="145"/>
      <c r="G1214" s="145"/>
      <c r="H1214" s="190"/>
      <c r="I1214" s="190"/>
      <c r="J1214" s="190"/>
      <c r="K1214" s="4"/>
    </row>
    <row r="1215" spans="1:11" s="9" customFormat="1">
      <c r="A1215" s="145"/>
      <c r="B1215" s="190"/>
      <c r="C1215" s="432"/>
      <c r="D1215" s="145"/>
      <c r="E1215" s="145"/>
      <c r="F1215" s="145"/>
      <c r="G1215" s="145"/>
      <c r="H1215" s="190"/>
      <c r="I1215" s="190"/>
      <c r="J1215" s="190"/>
      <c r="K1215" s="4"/>
    </row>
    <row r="1216" spans="1:11" s="9" customFormat="1">
      <c r="A1216" s="145"/>
      <c r="B1216" s="190"/>
      <c r="C1216" s="432"/>
      <c r="D1216" s="145"/>
      <c r="E1216" s="145"/>
      <c r="F1216" s="145"/>
      <c r="G1216" s="145"/>
      <c r="H1216" s="190"/>
      <c r="I1216" s="190"/>
      <c r="J1216" s="190"/>
      <c r="K1216" s="4"/>
    </row>
    <row r="1217" spans="1:11" s="9" customFormat="1">
      <c r="A1217" s="145"/>
      <c r="B1217" s="190"/>
      <c r="C1217" s="432"/>
      <c r="D1217" s="145"/>
      <c r="E1217" s="145"/>
      <c r="F1217" s="145"/>
      <c r="G1217" s="145"/>
      <c r="H1217" s="190"/>
      <c r="I1217" s="190"/>
      <c r="J1217" s="190"/>
      <c r="K1217" s="4"/>
    </row>
    <row r="1218" spans="1:11" s="9" customFormat="1">
      <c r="A1218" s="145"/>
      <c r="B1218" s="190"/>
      <c r="C1218" s="432"/>
      <c r="D1218" s="145"/>
      <c r="E1218" s="145"/>
      <c r="F1218" s="145"/>
      <c r="G1218" s="145"/>
      <c r="H1218" s="190"/>
      <c r="I1218" s="190"/>
      <c r="J1218" s="190"/>
      <c r="K1218" s="4"/>
    </row>
    <row r="1219" spans="1:11" s="9" customFormat="1">
      <c r="A1219" s="145"/>
      <c r="B1219" s="190"/>
      <c r="C1219" s="432"/>
      <c r="D1219" s="145"/>
      <c r="E1219" s="145"/>
      <c r="F1219" s="145"/>
      <c r="G1219" s="145"/>
      <c r="H1219" s="190"/>
      <c r="I1219" s="190"/>
      <c r="J1219" s="190"/>
      <c r="K1219" s="4"/>
    </row>
    <row r="1220" spans="1:11" s="9" customFormat="1">
      <c r="A1220" s="145"/>
      <c r="B1220" s="190"/>
      <c r="C1220" s="432"/>
      <c r="D1220" s="145"/>
      <c r="E1220" s="145"/>
      <c r="F1220" s="145"/>
      <c r="G1220" s="145"/>
      <c r="H1220" s="190"/>
      <c r="I1220" s="190"/>
      <c r="J1220" s="190"/>
      <c r="K1220" s="4"/>
    </row>
    <row r="1221" spans="1:11" s="9" customFormat="1">
      <c r="A1221" s="145"/>
      <c r="B1221" s="190"/>
      <c r="C1221" s="432"/>
      <c r="D1221" s="145"/>
      <c r="E1221" s="145"/>
      <c r="F1221" s="145"/>
      <c r="G1221" s="145"/>
      <c r="H1221" s="190"/>
      <c r="I1221" s="190"/>
      <c r="J1221" s="190"/>
      <c r="K1221" s="4"/>
    </row>
    <row r="1222" spans="1:11" s="9" customFormat="1">
      <c r="A1222" s="145"/>
      <c r="B1222" s="190"/>
      <c r="C1222" s="432"/>
      <c r="D1222" s="145"/>
      <c r="E1222" s="145"/>
      <c r="F1222" s="145"/>
      <c r="G1222" s="145"/>
      <c r="H1222" s="190"/>
      <c r="I1222" s="190"/>
      <c r="J1222" s="190"/>
      <c r="K1222" s="4"/>
    </row>
    <row r="1223" spans="1:11" s="9" customFormat="1">
      <c r="A1223" s="145"/>
      <c r="B1223" s="190"/>
      <c r="C1223" s="432"/>
      <c r="D1223" s="145"/>
      <c r="E1223" s="145"/>
      <c r="F1223" s="145"/>
      <c r="G1223" s="145"/>
      <c r="H1223" s="190"/>
      <c r="I1223" s="190"/>
      <c r="J1223" s="190"/>
      <c r="K1223" s="4"/>
    </row>
    <row r="1224" spans="1:11" s="9" customFormat="1">
      <c r="A1224" s="145"/>
      <c r="B1224" s="190"/>
      <c r="C1224" s="432"/>
      <c r="D1224" s="145"/>
      <c r="E1224" s="145"/>
      <c r="F1224" s="145"/>
      <c r="G1224" s="145"/>
      <c r="H1224" s="190"/>
      <c r="I1224" s="190"/>
      <c r="J1224" s="190"/>
      <c r="K1224" s="4"/>
    </row>
    <row r="1225" spans="1:11" s="9" customFormat="1">
      <c r="A1225" s="145"/>
      <c r="B1225" s="190"/>
      <c r="C1225" s="432"/>
      <c r="D1225" s="145"/>
      <c r="E1225" s="145"/>
      <c r="F1225" s="145"/>
      <c r="G1225" s="145"/>
      <c r="H1225" s="190"/>
      <c r="I1225" s="190"/>
      <c r="J1225" s="190"/>
      <c r="K1225" s="4"/>
    </row>
    <row r="1226" spans="1:11" s="9" customFormat="1">
      <c r="A1226" s="145"/>
      <c r="B1226" s="190"/>
      <c r="C1226" s="432"/>
      <c r="D1226" s="145"/>
      <c r="E1226" s="145"/>
      <c r="F1226" s="145"/>
      <c r="G1226" s="145"/>
      <c r="H1226" s="190"/>
      <c r="I1226" s="190"/>
      <c r="J1226" s="190"/>
      <c r="K1226" s="4"/>
    </row>
    <row r="1227" spans="1:11" s="9" customFormat="1">
      <c r="A1227" s="145"/>
      <c r="B1227" s="190"/>
      <c r="C1227" s="432"/>
      <c r="D1227" s="145"/>
      <c r="E1227" s="145"/>
      <c r="F1227" s="145"/>
      <c r="G1227" s="145"/>
      <c r="H1227" s="190"/>
      <c r="I1227" s="190"/>
      <c r="J1227" s="190"/>
      <c r="K1227" s="4"/>
    </row>
    <row r="1228" spans="1:11" s="9" customFormat="1">
      <c r="A1228" s="145"/>
      <c r="B1228" s="190"/>
      <c r="C1228" s="432"/>
      <c r="D1228" s="145"/>
      <c r="E1228" s="145"/>
      <c r="F1228" s="145"/>
      <c r="G1228" s="145"/>
      <c r="H1228" s="190"/>
      <c r="I1228" s="190"/>
      <c r="J1228" s="190"/>
      <c r="K1228" s="4"/>
    </row>
    <row r="1229" spans="1:11" s="9" customFormat="1">
      <c r="A1229" s="145"/>
      <c r="B1229" s="190"/>
      <c r="C1229" s="432"/>
      <c r="D1229" s="145"/>
      <c r="E1229" s="145"/>
      <c r="F1229" s="145"/>
      <c r="G1229" s="145"/>
      <c r="H1229" s="190"/>
      <c r="I1229" s="190"/>
      <c r="J1229" s="190"/>
      <c r="K1229" s="4"/>
    </row>
    <row r="1230" spans="1:11" s="9" customFormat="1">
      <c r="A1230" s="145"/>
      <c r="B1230" s="190"/>
      <c r="C1230" s="432"/>
      <c r="D1230" s="145"/>
      <c r="E1230" s="145"/>
      <c r="F1230" s="145"/>
      <c r="G1230" s="145"/>
      <c r="H1230" s="190"/>
      <c r="I1230" s="190"/>
      <c r="J1230" s="190"/>
      <c r="K1230" s="4"/>
    </row>
    <row r="1231" spans="1:11" s="9" customFormat="1">
      <c r="A1231" s="145"/>
      <c r="B1231" s="190"/>
      <c r="C1231" s="432"/>
      <c r="D1231" s="145"/>
      <c r="E1231" s="145"/>
      <c r="F1231" s="145"/>
      <c r="G1231" s="145"/>
      <c r="H1231" s="190"/>
      <c r="I1231" s="190"/>
      <c r="J1231" s="190"/>
      <c r="K1231" s="4"/>
    </row>
    <row r="1232" spans="1:11" s="9" customFormat="1">
      <c r="A1232" s="145"/>
      <c r="B1232" s="190"/>
      <c r="C1232" s="432"/>
      <c r="D1232" s="145"/>
      <c r="E1232" s="145"/>
      <c r="F1232" s="145"/>
      <c r="G1232" s="145"/>
      <c r="H1232" s="190"/>
      <c r="I1232" s="190"/>
      <c r="J1232" s="190"/>
      <c r="K1232" s="4"/>
    </row>
    <row r="1233" spans="1:11" s="9" customFormat="1">
      <c r="A1233" s="145"/>
      <c r="B1233" s="190"/>
      <c r="C1233" s="432"/>
      <c r="D1233" s="145"/>
      <c r="E1233" s="145"/>
      <c r="F1233" s="145"/>
      <c r="G1233" s="145"/>
      <c r="H1233" s="190"/>
      <c r="I1233" s="190"/>
      <c r="J1233" s="190"/>
      <c r="K1233" s="4"/>
    </row>
    <row r="1234" spans="1:11" s="9" customFormat="1">
      <c r="A1234" s="145"/>
      <c r="B1234" s="190"/>
      <c r="C1234" s="432"/>
      <c r="D1234" s="145"/>
      <c r="E1234" s="145"/>
      <c r="F1234" s="145"/>
      <c r="G1234" s="145"/>
      <c r="H1234" s="190"/>
      <c r="I1234" s="190"/>
      <c r="J1234" s="190"/>
      <c r="K1234" s="4"/>
    </row>
    <row r="1235" spans="1:11" s="9" customFormat="1">
      <c r="A1235" s="145"/>
      <c r="B1235" s="190"/>
      <c r="C1235" s="432"/>
      <c r="D1235" s="145"/>
      <c r="E1235" s="145"/>
      <c r="F1235" s="145"/>
      <c r="G1235" s="145"/>
      <c r="H1235" s="190"/>
      <c r="I1235" s="190"/>
      <c r="J1235" s="190"/>
      <c r="K1235" s="4"/>
    </row>
    <row r="1236" spans="1:11" s="9" customFormat="1">
      <c r="A1236" s="145"/>
      <c r="B1236" s="190"/>
      <c r="C1236" s="432"/>
      <c r="D1236" s="145"/>
      <c r="E1236" s="145"/>
      <c r="F1236" s="145"/>
      <c r="G1236" s="145"/>
      <c r="H1236" s="190"/>
      <c r="I1236" s="190"/>
      <c r="J1236" s="190"/>
      <c r="K1236" s="4"/>
    </row>
    <row r="1237" spans="1:11" s="9" customFormat="1">
      <c r="A1237" s="145"/>
      <c r="B1237" s="190"/>
      <c r="C1237" s="432"/>
      <c r="D1237" s="145"/>
      <c r="E1237" s="145"/>
      <c r="F1237" s="145"/>
      <c r="G1237" s="145"/>
      <c r="H1237" s="190"/>
      <c r="I1237" s="190"/>
      <c r="J1237" s="190"/>
      <c r="K1237" s="4"/>
    </row>
    <row r="1238" spans="1:11" s="9" customFormat="1">
      <c r="A1238" s="145"/>
      <c r="B1238" s="190"/>
      <c r="C1238" s="432"/>
      <c r="D1238" s="145"/>
      <c r="E1238" s="145"/>
      <c r="F1238" s="145"/>
      <c r="G1238" s="145"/>
      <c r="H1238" s="190"/>
      <c r="I1238" s="190"/>
      <c r="J1238" s="190"/>
      <c r="K1238" s="4"/>
    </row>
    <row r="1239" spans="1:11" s="9" customFormat="1">
      <c r="A1239" s="145"/>
      <c r="B1239" s="190"/>
      <c r="C1239" s="432"/>
      <c r="D1239" s="145"/>
      <c r="E1239" s="145"/>
      <c r="F1239" s="145"/>
      <c r="G1239" s="145"/>
      <c r="H1239" s="190"/>
      <c r="I1239" s="190"/>
      <c r="J1239" s="190"/>
      <c r="K1239" s="4"/>
    </row>
    <row r="1240" spans="1:11" s="9" customFormat="1">
      <c r="A1240" s="145"/>
      <c r="B1240" s="190"/>
      <c r="C1240" s="432"/>
      <c r="D1240" s="145"/>
      <c r="E1240" s="145"/>
      <c r="F1240" s="145"/>
      <c r="G1240" s="145"/>
      <c r="H1240" s="190"/>
      <c r="I1240" s="190"/>
      <c r="J1240" s="190"/>
      <c r="K1240" s="4"/>
    </row>
    <row r="1241" spans="1:11" s="9" customFormat="1">
      <c r="A1241" s="145"/>
      <c r="B1241" s="190"/>
      <c r="C1241" s="432"/>
      <c r="D1241" s="145"/>
      <c r="E1241" s="145"/>
      <c r="F1241" s="145"/>
      <c r="G1241" s="145"/>
      <c r="H1241" s="190"/>
      <c r="I1241" s="190"/>
      <c r="J1241" s="190"/>
      <c r="K1241" s="4"/>
    </row>
    <row r="1242" spans="1:11" s="9" customFormat="1">
      <c r="A1242" s="145"/>
      <c r="B1242" s="190"/>
      <c r="C1242" s="432"/>
      <c r="D1242" s="145"/>
      <c r="E1242" s="145"/>
      <c r="F1242" s="145"/>
      <c r="G1242" s="145"/>
      <c r="H1242" s="190"/>
      <c r="I1242" s="190"/>
      <c r="J1242" s="190"/>
      <c r="K1242" s="4"/>
    </row>
    <row r="1243" spans="1:11" s="9" customFormat="1">
      <c r="A1243" s="145"/>
      <c r="B1243" s="190"/>
      <c r="C1243" s="432"/>
      <c r="D1243" s="145"/>
      <c r="E1243" s="145"/>
      <c r="F1243" s="145"/>
      <c r="G1243" s="145"/>
      <c r="H1243" s="190"/>
      <c r="I1243" s="190"/>
      <c r="J1243" s="190"/>
      <c r="K1243" s="4"/>
    </row>
    <row r="1244" spans="1:11" s="9" customFormat="1">
      <c r="A1244" s="145"/>
      <c r="B1244" s="190"/>
      <c r="C1244" s="432"/>
      <c r="D1244" s="145"/>
      <c r="E1244" s="145"/>
      <c r="F1244" s="145"/>
      <c r="G1244" s="145"/>
      <c r="H1244" s="190"/>
      <c r="I1244" s="190"/>
      <c r="J1244" s="190"/>
      <c r="K1244" s="4"/>
    </row>
    <row r="1245" spans="1:11" s="9" customFormat="1">
      <c r="A1245" s="145"/>
      <c r="B1245" s="190"/>
      <c r="C1245" s="432"/>
      <c r="D1245" s="145"/>
      <c r="E1245" s="145"/>
      <c r="F1245" s="145"/>
      <c r="G1245" s="145"/>
      <c r="H1245" s="190"/>
      <c r="I1245" s="190"/>
      <c r="J1245" s="190"/>
      <c r="K1245" s="4"/>
    </row>
    <row r="1246" spans="1:11" s="9" customFormat="1">
      <c r="A1246" s="145"/>
      <c r="B1246" s="190"/>
      <c r="C1246" s="432"/>
      <c r="D1246" s="145"/>
      <c r="E1246" s="145"/>
      <c r="F1246" s="145"/>
      <c r="G1246" s="145"/>
      <c r="H1246" s="190"/>
      <c r="I1246" s="190"/>
      <c r="J1246" s="190"/>
      <c r="K1246" s="4"/>
    </row>
    <row r="1247" spans="1:11" s="9" customFormat="1">
      <c r="A1247" s="145"/>
      <c r="B1247" s="190"/>
      <c r="C1247" s="432"/>
      <c r="D1247" s="145"/>
      <c r="E1247" s="145"/>
      <c r="F1247" s="145"/>
      <c r="G1247" s="145"/>
      <c r="H1247" s="190"/>
      <c r="I1247" s="190"/>
      <c r="J1247" s="190"/>
      <c r="K1247" s="4"/>
    </row>
    <row r="1248" spans="1:11" s="9" customFormat="1">
      <c r="A1248" s="145"/>
      <c r="B1248" s="190"/>
      <c r="C1248" s="432"/>
      <c r="D1248" s="145"/>
      <c r="E1248" s="145"/>
      <c r="F1248" s="145"/>
      <c r="G1248" s="145"/>
      <c r="H1248" s="190"/>
      <c r="I1248" s="190"/>
      <c r="J1248" s="190"/>
      <c r="K1248" s="4"/>
    </row>
    <row r="1249" spans="1:11" s="9" customFormat="1">
      <c r="A1249" s="145"/>
      <c r="B1249" s="190"/>
      <c r="C1249" s="432"/>
      <c r="D1249" s="145"/>
      <c r="E1249" s="145"/>
      <c r="F1249" s="145"/>
      <c r="G1249" s="145"/>
      <c r="H1249" s="190"/>
      <c r="I1249" s="190"/>
      <c r="J1249" s="190"/>
      <c r="K1249" s="4"/>
    </row>
    <row r="1250" spans="1:11" s="9" customFormat="1">
      <c r="A1250" s="145"/>
      <c r="B1250" s="190"/>
      <c r="C1250" s="432"/>
      <c r="D1250" s="145"/>
      <c r="E1250" s="145"/>
      <c r="F1250" s="145"/>
      <c r="G1250" s="145"/>
      <c r="H1250" s="190"/>
      <c r="I1250" s="190"/>
      <c r="J1250" s="190"/>
      <c r="K1250" s="4"/>
    </row>
    <row r="1251" spans="1:11" s="9" customFormat="1">
      <c r="A1251" s="145"/>
      <c r="B1251" s="190"/>
      <c r="C1251" s="432"/>
      <c r="D1251" s="145"/>
      <c r="E1251" s="145"/>
      <c r="F1251" s="145"/>
      <c r="G1251" s="145"/>
      <c r="H1251" s="190"/>
      <c r="I1251" s="190"/>
      <c r="J1251" s="190"/>
      <c r="K1251" s="4"/>
    </row>
    <row r="1252" spans="1:11" s="9" customFormat="1">
      <c r="A1252" s="145"/>
      <c r="B1252" s="190"/>
      <c r="C1252" s="432"/>
      <c r="D1252" s="145"/>
      <c r="E1252" s="145"/>
      <c r="F1252" s="145"/>
      <c r="G1252" s="145"/>
      <c r="H1252" s="190"/>
      <c r="I1252" s="190"/>
      <c r="J1252" s="190"/>
      <c r="K1252" s="4"/>
    </row>
    <row r="1253" spans="1:11" s="9" customFormat="1">
      <c r="A1253" s="145"/>
      <c r="B1253" s="190"/>
      <c r="C1253" s="432"/>
      <c r="D1253" s="145"/>
      <c r="E1253" s="145"/>
      <c r="F1253" s="145"/>
      <c r="G1253" s="145"/>
      <c r="H1253" s="190"/>
      <c r="I1253" s="190"/>
      <c r="J1253" s="190"/>
      <c r="K1253" s="4"/>
    </row>
    <row r="1254" spans="1:11" s="9" customFormat="1">
      <c r="A1254" s="145"/>
      <c r="B1254" s="190"/>
      <c r="C1254" s="432"/>
      <c r="D1254" s="145"/>
      <c r="E1254" s="145"/>
      <c r="F1254" s="145"/>
      <c r="G1254" s="145"/>
      <c r="H1254" s="190"/>
      <c r="I1254" s="190"/>
      <c r="J1254" s="190"/>
      <c r="K1254" s="4"/>
    </row>
    <row r="1255" spans="1:11" s="9" customFormat="1">
      <c r="A1255" s="145"/>
      <c r="B1255" s="190"/>
      <c r="C1255" s="432"/>
      <c r="D1255" s="145"/>
      <c r="E1255" s="145"/>
      <c r="F1255" s="145"/>
      <c r="G1255" s="145"/>
      <c r="H1255" s="190"/>
      <c r="I1255" s="190"/>
      <c r="J1255" s="190"/>
      <c r="K1255" s="4"/>
    </row>
    <row r="1256" spans="1:11" s="9" customFormat="1">
      <c r="A1256" s="145"/>
      <c r="B1256" s="190"/>
      <c r="C1256" s="432"/>
      <c r="D1256" s="145"/>
      <c r="E1256" s="145"/>
      <c r="F1256" s="145"/>
      <c r="G1256" s="145"/>
      <c r="H1256" s="190"/>
      <c r="I1256" s="190"/>
      <c r="J1256" s="190"/>
      <c r="K1256" s="4"/>
    </row>
    <row r="1257" spans="1:11" s="9" customFormat="1">
      <c r="A1257" s="145"/>
      <c r="B1257" s="190"/>
      <c r="C1257" s="432"/>
      <c r="D1257" s="145"/>
      <c r="E1257" s="145"/>
      <c r="F1257" s="145"/>
      <c r="G1257" s="145"/>
      <c r="H1257" s="190"/>
      <c r="I1257" s="190"/>
      <c r="J1257" s="190"/>
      <c r="K1257" s="4"/>
    </row>
    <row r="1258" spans="1:11" s="9" customFormat="1">
      <c r="A1258" s="145"/>
      <c r="B1258" s="190"/>
      <c r="C1258" s="432"/>
      <c r="D1258" s="145"/>
      <c r="E1258" s="145"/>
      <c r="F1258" s="145"/>
      <c r="G1258" s="145"/>
      <c r="H1258" s="190"/>
      <c r="I1258" s="190"/>
      <c r="J1258" s="190"/>
      <c r="K1258" s="4"/>
    </row>
    <row r="1259" spans="1:11" s="9" customFormat="1">
      <c r="A1259" s="145"/>
      <c r="B1259" s="190"/>
      <c r="C1259" s="432"/>
      <c r="D1259" s="145"/>
      <c r="E1259" s="145"/>
      <c r="F1259" s="145"/>
      <c r="G1259" s="145"/>
      <c r="H1259" s="190"/>
      <c r="I1259" s="190"/>
      <c r="J1259" s="190"/>
      <c r="K1259" s="4"/>
    </row>
    <row r="1260" spans="1:11" s="9" customFormat="1">
      <c r="A1260" s="145"/>
      <c r="B1260" s="190"/>
      <c r="C1260" s="432"/>
      <c r="D1260" s="145"/>
      <c r="E1260" s="145"/>
      <c r="F1260" s="145"/>
      <c r="G1260" s="145"/>
      <c r="H1260" s="190"/>
      <c r="I1260" s="190"/>
      <c r="J1260" s="190"/>
      <c r="K1260" s="4"/>
    </row>
    <row r="1261" spans="1:11" s="9" customFormat="1">
      <c r="A1261" s="145"/>
      <c r="B1261" s="190"/>
      <c r="C1261" s="432"/>
      <c r="D1261" s="145"/>
      <c r="E1261" s="145"/>
      <c r="F1261" s="145"/>
      <c r="G1261" s="145"/>
      <c r="H1261" s="190"/>
      <c r="I1261" s="190"/>
      <c r="J1261" s="190"/>
      <c r="K1261" s="4"/>
    </row>
    <row r="1262" spans="1:11" s="9" customFormat="1">
      <c r="A1262" s="145"/>
      <c r="B1262" s="190"/>
      <c r="C1262" s="432"/>
      <c r="D1262" s="145"/>
      <c r="E1262" s="145"/>
      <c r="F1262" s="145"/>
      <c r="G1262" s="145"/>
      <c r="H1262" s="190"/>
      <c r="I1262" s="190"/>
      <c r="J1262" s="190"/>
      <c r="K1262" s="4"/>
    </row>
    <row r="1263" spans="1:11" s="9" customFormat="1">
      <c r="A1263" s="145"/>
      <c r="B1263" s="190"/>
      <c r="C1263" s="432"/>
      <c r="D1263" s="145"/>
      <c r="E1263" s="145"/>
      <c r="F1263" s="145"/>
      <c r="G1263" s="145"/>
      <c r="H1263" s="190"/>
      <c r="I1263" s="190"/>
      <c r="J1263" s="190"/>
      <c r="K1263" s="4"/>
    </row>
    <row r="1264" spans="1:11" s="9" customFormat="1">
      <c r="A1264" s="145"/>
      <c r="B1264" s="190"/>
      <c r="C1264" s="432"/>
      <c r="D1264" s="145"/>
      <c r="E1264" s="145"/>
      <c r="F1264" s="145"/>
      <c r="G1264" s="145"/>
      <c r="H1264" s="190"/>
      <c r="I1264" s="190"/>
      <c r="J1264" s="190"/>
      <c r="K1264" s="4"/>
    </row>
    <row r="1265" spans="1:11" s="9" customFormat="1">
      <c r="A1265" s="145"/>
      <c r="B1265" s="190"/>
      <c r="C1265" s="432"/>
      <c r="D1265" s="145"/>
      <c r="E1265" s="145"/>
      <c r="F1265" s="145"/>
      <c r="G1265" s="145"/>
      <c r="H1265" s="190"/>
      <c r="I1265" s="190"/>
      <c r="J1265" s="190"/>
      <c r="K1265" s="4"/>
    </row>
    <row r="1266" spans="1:11" s="9" customFormat="1">
      <c r="A1266" s="145"/>
      <c r="B1266" s="190"/>
      <c r="C1266" s="432"/>
      <c r="D1266" s="145"/>
      <c r="E1266" s="145"/>
      <c r="F1266" s="145"/>
      <c r="G1266" s="145"/>
      <c r="H1266" s="190"/>
      <c r="I1266" s="190"/>
      <c r="J1266" s="190"/>
      <c r="K1266" s="4"/>
    </row>
    <row r="1267" spans="1:11" s="9" customFormat="1">
      <c r="A1267" s="145"/>
      <c r="B1267" s="190"/>
      <c r="C1267" s="432"/>
      <c r="D1267" s="145"/>
      <c r="E1267" s="145"/>
      <c r="F1267" s="145"/>
      <c r="G1267" s="145"/>
      <c r="H1267" s="190"/>
      <c r="I1267" s="190"/>
      <c r="J1267" s="190"/>
      <c r="K1267" s="4"/>
    </row>
    <row r="1268" spans="1:11" s="9" customFormat="1">
      <c r="A1268" s="145"/>
      <c r="B1268" s="190"/>
      <c r="C1268" s="432"/>
      <c r="D1268" s="145"/>
      <c r="E1268" s="145"/>
      <c r="F1268" s="145"/>
      <c r="G1268" s="145"/>
      <c r="H1268" s="190"/>
      <c r="I1268" s="190"/>
      <c r="J1268" s="190"/>
      <c r="K1268" s="4"/>
    </row>
    <row r="1269" spans="1:11" s="9" customFormat="1">
      <c r="A1269" s="145"/>
      <c r="B1269" s="190"/>
      <c r="C1269" s="432"/>
      <c r="D1269" s="145"/>
      <c r="E1269" s="145"/>
      <c r="F1269" s="145"/>
      <c r="G1269" s="145"/>
      <c r="H1269" s="190"/>
      <c r="I1269" s="190"/>
      <c r="J1269" s="190"/>
      <c r="K1269" s="4"/>
    </row>
    <row r="1270" spans="1:11" s="9" customFormat="1">
      <c r="A1270" s="145"/>
      <c r="B1270" s="190"/>
      <c r="C1270" s="432"/>
      <c r="D1270" s="145"/>
      <c r="E1270" s="145"/>
      <c r="F1270" s="145"/>
      <c r="G1270" s="145"/>
      <c r="H1270" s="190"/>
      <c r="I1270" s="190"/>
      <c r="J1270" s="190"/>
      <c r="K1270" s="4"/>
    </row>
    <row r="1271" spans="1:11" s="9" customFormat="1">
      <c r="A1271" s="145"/>
      <c r="B1271" s="190"/>
      <c r="C1271" s="432"/>
      <c r="D1271" s="145"/>
      <c r="E1271" s="145"/>
      <c r="F1271" s="145"/>
      <c r="G1271" s="145"/>
      <c r="H1271" s="190"/>
      <c r="I1271" s="190"/>
      <c r="J1271" s="190"/>
      <c r="K1271" s="4"/>
    </row>
    <row r="1272" spans="1:11" s="9" customFormat="1">
      <c r="A1272" s="145"/>
      <c r="B1272" s="190"/>
      <c r="C1272" s="432"/>
      <c r="D1272" s="145"/>
      <c r="E1272" s="145"/>
      <c r="F1272" s="145"/>
      <c r="G1272" s="145"/>
      <c r="H1272" s="190"/>
      <c r="I1272" s="190"/>
      <c r="J1272" s="190"/>
      <c r="K1272" s="4"/>
    </row>
    <row r="1273" spans="1:11" s="9" customFormat="1">
      <c r="A1273" s="145"/>
      <c r="B1273" s="190"/>
      <c r="C1273" s="432"/>
      <c r="D1273" s="145"/>
      <c r="E1273" s="145"/>
      <c r="F1273" s="145"/>
      <c r="G1273" s="145"/>
      <c r="H1273" s="190"/>
      <c r="I1273" s="190"/>
      <c r="J1273" s="190"/>
      <c r="K1273" s="4"/>
    </row>
    <row r="1274" spans="1:11" s="9" customFormat="1">
      <c r="A1274" s="145"/>
      <c r="B1274" s="190"/>
      <c r="C1274" s="432"/>
      <c r="D1274" s="145"/>
      <c r="E1274" s="145"/>
      <c r="F1274" s="145"/>
      <c r="G1274" s="145"/>
      <c r="H1274" s="190"/>
      <c r="I1274" s="190"/>
      <c r="J1274" s="190"/>
      <c r="K1274" s="4"/>
    </row>
    <row r="1275" spans="1:11" s="9" customFormat="1">
      <c r="A1275" s="145"/>
      <c r="B1275" s="190"/>
      <c r="C1275" s="432"/>
      <c r="D1275" s="145"/>
      <c r="E1275" s="145"/>
      <c r="F1275" s="145"/>
      <c r="G1275" s="145"/>
      <c r="H1275" s="190"/>
      <c r="I1275" s="190"/>
      <c r="J1275" s="190"/>
      <c r="K1275" s="4"/>
    </row>
    <row r="1276" spans="1:11" s="9" customFormat="1">
      <c r="A1276" s="145"/>
      <c r="B1276" s="190"/>
      <c r="C1276" s="432"/>
      <c r="D1276" s="145"/>
      <c r="E1276" s="145"/>
      <c r="F1276" s="145"/>
      <c r="G1276" s="145"/>
      <c r="H1276" s="190"/>
      <c r="I1276" s="190"/>
      <c r="J1276" s="190"/>
      <c r="K1276" s="4"/>
    </row>
    <row r="1277" spans="1:11" s="9" customFormat="1">
      <c r="A1277" s="145"/>
      <c r="B1277" s="190"/>
      <c r="C1277" s="432"/>
      <c r="D1277" s="145"/>
      <c r="E1277" s="145"/>
      <c r="F1277" s="145"/>
      <c r="G1277" s="145"/>
      <c r="H1277" s="190"/>
      <c r="I1277" s="190"/>
      <c r="J1277" s="190"/>
      <c r="K1277" s="4"/>
    </row>
    <row r="1278" spans="1:11" s="9" customFormat="1">
      <c r="A1278" s="145"/>
      <c r="B1278" s="190"/>
      <c r="C1278" s="432"/>
      <c r="D1278" s="145"/>
      <c r="E1278" s="145"/>
      <c r="F1278" s="145"/>
      <c r="G1278" s="145"/>
      <c r="H1278" s="190"/>
      <c r="I1278" s="190"/>
      <c r="J1278" s="190"/>
      <c r="K1278" s="4"/>
    </row>
    <row r="1279" spans="1:11" s="9" customFormat="1">
      <c r="A1279" s="145"/>
      <c r="B1279" s="190"/>
      <c r="C1279" s="432"/>
      <c r="D1279" s="145"/>
      <c r="E1279" s="145"/>
      <c r="F1279" s="145"/>
      <c r="G1279" s="145"/>
      <c r="H1279" s="190"/>
      <c r="I1279" s="190"/>
      <c r="J1279" s="190"/>
      <c r="K1279" s="4"/>
    </row>
    <row r="1280" spans="1:11" s="9" customFormat="1">
      <c r="A1280" s="145"/>
      <c r="B1280" s="190"/>
      <c r="C1280" s="432"/>
      <c r="D1280" s="145"/>
      <c r="E1280" s="145"/>
      <c r="F1280" s="145"/>
      <c r="G1280" s="145"/>
      <c r="H1280" s="190"/>
      <c r="I1280" s="190"/>
      <c r="J1280" s="190"/>
      <c r="K1280" s="4"/>
    </row>
    <row r="1281" spans="1:11" s="9" customFormat="1">
      <c r="A1281" s="145"/>
      <c r="B1281" s="190"/>
      <c r="C1281" s="432"/>
      <c r="D1281" s="145"/>
      <c r="E1281" s="145"/>
      <c r="F1281" s="145"/>
      <c r="G1281" s="145"/>
      <c r="H1281" s="190"/>
      <c r="I1281" s="190"/>
      <c r="J1281" s="190"/>
      <c r="K1281" s="4"/>
    </row>
    <row r="1282" spans="1:11" s="9" customFormat="1">
      <c r="A1282" s="145"/>
      <c r="B1282" s="190"/>
      <c r="C1282" s="432"/>
      <c r="D1282" s="145"/>
      <c r="E1282" s="145"/>
      <c r="F1282" s="145"/>
      <c r="G1282" s="145"/>
      <c r="H1282" s="190"/>
      <c r="I1282" s="190"/>
      <c r="J1282" s="190"/>
      <c r="K1282" s="4"/>
    </row>
    <row r="1283" spans="1:11" s="9" customFormat="1">
      <c r="A1283" s="145"/>
      <c r="B1283" s="190"/>
      <c r="C1283" s="432"/>
      <c r="D1283" s="145"/>
      <c r="E1283" s="145"/>
      <c r="F1283" s="145"/>
      <c r="G1283" s="145"/>
      <c r="H1283" s="190"/>
      <c r="I1283" s="190"/>
      <c r="J1283" s="190"/>
      <c r="K1283" s="4"/>
    </row>
    <row r="1284" spans="1:11" s="9" customFormat="1">
      <c r="A1284" s="145"/>
      <c r="B1284" s="190"/>
      <c r="C1284" s="432"/>
      <c r="D1284" s="145"/>
      <c r="E1284" s="145"/>
      <c r="F1284" s="145"/>
      <c r="G1284" s="145"/>
      <c r="H1284" s="190"/>
      <c r="I1284" s="190"/>
      <c r="J1284" s="190"/>
      <c r="K1284" s="4"/>
    </row>
    <row r="1285" spans="1:11" s="9" customFormat="1">
      <c r="A1285" s="145"/>
      <c r="B1285" s="190"/>
      <c r="C1285" s="432"/>
      <c r="D1285" s="145"/>
      <c r="E1285" s="145"/>
      <c r="F1285" s="145"/>
      <c r="G1285" s="145"/>
      <c r="H1285" s="190"/>
      <c r="I1285" s="190"/>
      <c r="J1285" s="190"/>
      <c r="K1285" s="4"/>
    </row>
    <row r="1286" spans="1:11" s="9" customFormat="1">
      <c r="A1286" s="145"/>
      <c r="B1286" s="190"/>
      <c r="C1286" s="432"/>
      <c r="D1286" s="145"/>
      <c r="E1286" s="145"/>
      <c r="F1286" s="145"/>
      <c r="G1286" s="145"/>
      <c r="H1286" s="190"/>
      <c r="I1286" s="190"/>
      <c r="J1286" s="190"/>
      <c r="K1286" s="4"/>
    </row>
    <row r="1287" spans="1:11" s="9" customFormat="1">
      <c r="A1287" s="145"/>
      <c r="B1287" s="190"/>
      <c r="C1287" s="432"/>
      <c r="D1287" s="145"/>
      <c r="E1287" s="145"/>
      <c r="F1287" s="145"/>
      <c r="G1287" s="145"/>
      <c r="H1287" s="190"/>
      <c r="I1287" s="190"/>
      <c r="J1287" s="190"/>
      <c r="K1287" s="4"/>
    </row>
    <row r="1288" spans="1:11" s="9" customFormat="1">
      <c r="A1288" s="145"/>
      <c r="B1288" s="190"/>
      <c r="C1288" s="432"/>
      <c r="D1288" s="145"/>
      <c r="E1288" s="145"/>
      <c r="F1288" s="145"/>
      <c r="G1288" s="145"/>
      <c r="H1288" s="190"/>
      <c r="I1288" s="190"/>
      <c r="J1288" s="190"/>
      <c r="K1288" s="4"/>
    </row>
    <row r="1289" spans="1:11" s="9" customFormat="1">
      <c r="A1289" s="145"/>
      <c r="B1289" s="190"/>
      <c r="C1289" s="432"/>
      <c r="D1289" s="145"/>
      <c r="E1289" s="145"/>
      <c r="F1289" s="145"/>
      <c r="G1289" s="145"/>
      <c r="H1289" s="190"/>
      <c r="I1289" s="190"/>
      <c r="J1289" s="190"/>
      <c r="K1289" s="4"/>
    </row>
    <row r="1290" spans="1:11" s="9" customFormat="1">
      <c r="A1290" s="145"/>
      <c r="B1290" s="190"/>
      <c r="C1290" s="432"/>
      <c r="D1290" s="145"/>
      <c r="E1290" s="145"/>
      <c r="F1290" s="145"/>
      <c r="G1290" s="145"/>
      <c r="H1290" s="190"/>
      <c r="I1290" s="190"/>
      <c r="J1290" s="190"/>
      <c r="K1290" s="4"/>
    </row>
    <row r="1291" spans="1:11" s="9" customFormat="1">
      <c r="A1291" s="145"/>
      <c r="B1291" s="190"/>
      <c r="C1291" s="432"/>
      <c r="D1291" s="145"/>
      <c r="E1291" s="145"/>
      <c r="F1291" s="145"/>
      <c r="G1291" s="145"/>
      <c r="H1291" s="190"/>
      <c r="I1291" s="190"/>
      <c r="J1291" s="190"/>
      <c r="K1291" s="4"/>
    </row>
    <row r="1292" spans="1:11" s="9" customFormat="1">
      <c r="A1292" s="145"/>
      <c r="B1292" s="190"/>
      <c r="C1292" s="432"/>
      <c r="D1292" s="145"/>
      <c r="E1292" s="145"/>
      <c r="F1292" s="145"/>
      <c r="G1292" s="145"/>
      <c r="H1292" s="190"/>
      <c r="I1292" s="190"/>
      <c r="J1292" s="190"/>
      <c r="K1292" s="4"/>
    </row>
    <row r="1293" spans="1:11" s="9" customFormat="1">
      <c r="A1293" s="145"/>
      <c r="B1293" s="190"/>
      <c r="C1293" s="432"/>
      <c r="D1293" s="145"/>
      <c r="E1293" s="145"/>
      <c r="F1293" s="145"/>
      <c r="G1293" s="145"/>
      <c r="H1293" s="190"/>
      <c r="I1293" s="190"/>
      <c r="J1293" s="190"/>
      <c r="K1293" s="4"/>
    </row>
    <row r="1294" spans="1:11" s="9" customFormat="1">
      <c r="A1294" s="145"/>
      <c r="B1294" s="190"/>
      <c r="C1294" s="432"/>
      <c r="D1294" s="145"/>
      <c r="E1294" s="145"/>
      <c r="F1294" s="145"/>
      <c r="G1294" s="145"/>
      <c r="H1294" s="190"/>
      <c r="I1294" s="190"/>
      <c r="J1294" s="190"/>
      <c r="K1294" s="4"/>
    </row>
    <row r="1295" spans="1:11" s="9" customFormat="1">
      <c r="A1295" s="145"/>
      <c r="B1295" s="190"/>
      <c r="C1295" s="432"/>
      <c r="D1295" s="145"/>
      <c r="E1295" s="145"/>
      <c r="F1295" s="145"/>
      <c r="G1295" s="145"/>
      <c r="H1295" s="190"/>
      <c r="I1295" s="190"/>
      <c r="J1295" s="190"/>
      <c r="K1295" s="4"/>
    </row>
    <row r="1296" spans="1:11" s="9" customFormat="1">
      <c r="A1296" s="145"/>
      <c r="B1296" s="190"/>
      <c r="C1296" s="432"/>
      <c r="D1296" s="145"/>
      <c r="E1296" s="145"/>
      <c r="F1296" s="145"/>
      <c r="G1296" s="145"/>
      <c r="H1296" s="190"/>
      <c r="I1296" s="190"/>
      <c r="J1296" s="190"/>
      <c r="K1296" s="4"/>
    </row>
    <row r="1297" spans="1:11" s="9" customFormat="1">
      <c r="A1297" s="145"/>
      <c r="B1297" s="190"/>
      <c r="C1297" s="432"/>
      <c r="D1297" s="145"/>
      <c r="E1297" s="145"/>
      <c r="F1297" s="145"/>
      <c r="G1297" s="145"/>
      <c r="H1297" s="190"/>
      <c r="I1297" s="190"/>
      <c r="J1297" s="190"/>
      <c r="K1297" s="4"/>
    </row>
    <row r="1298" spans="1:11" s="9" customFormat="1">
      <c r="A1298" s="145"/>
      <c r="B1298" s="190"/>
      <c r="C1298" s="432"/>
      <c r="D1298" s="145"/>
      <c r="E1298" s="145"/>
      <c r="F1298" s="145"/>
      <c r="G1298" s="145"/>
      <c r="H1298" s="190"/>
      <c r="I1298" s="190"/>
      <c r="J1298" s="190"/>
      <c r="K1298" s="4"/>
    </row>
    <row r="1299" spans="1:11" s="9" customFormat="1">
      <c r="A1299" s="145"/>
      <c r="B1299" s="190"/>
      <c r="C1299" s="432"/>
      <c r="D1299" s="145"/>
      <c r="E1299" s="145"/>
      <c r="F1299" s="145"/>
      <c r="G1299" s="145"/>
      <c r="H1299" s="190"/>
      <c r="I1299" s="190"/>
      <c r="J1299" s="190"/>
      <c r="K1299" s="4"/>
    </row>
    <row r="1300" spans="1:11" s="9" customFormat="1">
      <c r="A1300" s="145"/>
      <c r="B1300" s="190"/>
      <c r="C1300" s="432"/>
      <c r="D1300" s="145"/>
      <c r="E1300" s="145"/>
      <c r="F1300" s="145"/>
      <c r="G1300" s="145"/>
      <c r="H1300" s="190"/>
      <c r="I1300" s="190"/>
      <c r="J1300" s="190"/>
      <c r="K1300" s="4"/>
    </row>
    <row r="1301" spans="1:11" s="9" customFormat="1">
      <c r="A1301" s="145"/>
      <c r="B1301" s="190"/>
      <c r="C1301" s="432"/>
      <c r="D1301" s="145"/>
      <c r="E1301" s="145"/>
      <c r="F1301" s="145"/>
      <c r="G1301" s="145"/>
      <c r="H1301" s="190"/>
      <c r="I1301" s="190"/>
      <c r="J1301" s="190"/>
      <c r="K1301" s="4"/>
    </row>
    <row r="1302" spans="1:11" s="9" customFormat="1">
      <c r="A1302" s="145"/>
      <c r="B1302" s="190"/>
      <c r="C1302" s="432"/>
      <c r="D1302" s="145"/>
      <c r="E1302" s="145"/>
      <c r="F1302" s="145"/>
      <c r="G1302" s="145"/>
      <c r="H1302" s="190"/>
      <c r="I1302" s="190"/>
      <c r="J1302" s="190"/>
      <c r="K1302" s="4"/>
    </row>
    <row r="1303" spans="1:11" s="9" customFormat="1">
      <c r="A1303" s="145"/>
      <c r="B1303" s="190"/>
      <c r="C1303" s="432"/>
      <c r="D1303" s="145"/>
      <c r="E1303" s="145"/>
      <c r="F1303" s="145"/>
      <c r="G1303" s="145"/>
      <c r="H1303" s="190"/>
      <c r="I1303" s="190"/>
      <c r="J1303" s="190"/>
      <c r="K1303" s="4"/>
    </row>
    <row r="1304" spans="1:11" s="9" customFormat="1">
      <c r="A1304" s="145"/>
      <c r="B1304" s="190"/>
      <c r="C1304" s="432"/>
      <c r="D1304" s="145"/>
      <c r="E1304" s="145"/>
      <c r="F1304" s="145"/>
      <c r="G1304" s="145"/>
      <c r="H1304" s="190"/>
      <c r="I1304" s="190"/>
      <c r="J1304" s="190"/>
      <c r="K1304" s="4"/>
    </row>
    <row r="1305" spans="1:11" s="9" customFormat="1">
      <c r="A1305" s="145"/>
      <c r="B1305" s="190"/>
      <c r="C1305" s="432"/>
      <c r="D1305" s="145"/>
      <c r="E1305" s="145"/>
      <c r="F1305" s="145"/>
      <c r="G1305" s="145"/>
      <c r="H1305" s="190"/>
      <c r="I1305" s="190"/>
      <c r="J1305" s="190"/>
      <c r="K1305" s="4"/>
    </row>
    <row r="1306" spans="1:11" s="9" customFormat="1">
      <c r="A1306" s="145"/>
      <c r="B1306" s="190"/>
      <c r="C1306" s="432"/>
      <c r="D1306" s="145"/>
      <c r="E1306" s="145"/>
      <c r="F1306" s="145"/>
      <c r="G1306" s="145"/>
      <c r="H1306" s="190"/>
      <c r="I1306" s="190"/>
      <c r="J1306" s="190"/>
      <c r="K1306" s="4"/>
    </row>
    <row r="1307" spans="1:11" s="9" customFormat="1">
      <c r="A1307" s="145"/>
      <c r="B1307" s="190"/>
      <c r="C1307" s="432"/>
      <c r="D1307" s="145"/>
      <c r="E1307" s="145"/>
      <c r="F1307" s="145"/>
      <c r="G1307" s="145"/>
      <c r="H1307" s="190"/>
      <c r="I1307" s="190"/>
      <c r="J1307" s="190"/>
      <c r="K1307" s="4"/>
    </row>
    <row r="1308" spans="1:11" s="9" customFormat="1">
      <c r="A1308" s="145"/>
      <c r="B1308" s="190"/>
      <c r="C1308" s="432"/>
      <c r="D1308" s="145"/>
      <c r="E1308" s="145"/>
      <c r="F1308" s="145"/>
      <c r="G1308" s="145"/>
      <c r="H1308" s="190"/>
      <c r="I1308" s="190"/>
      <c r="J1308" s="190"/>
      <c r="K1308" s="4"/>
    </row>
    <row r="1309" spans="1:11" s="9" customFormat="1">
      <c r="A1309" s="145"/>
      <c r="B1309" s="190"/>
      <c r="C1309" s="432"/>
      <c r="D1309" s="145"/>
      <c r="E1309" s="145"/>
      <c r="F1309" s="145"/>
      <c r="G1309" s="145"/>
      <c r="H1309" s="190"/>
      <c r="I1309" s="190"/>
      <c r="J1309" s="190"/>
      <c r="K1309" s="4"/>
    </row>
    <row r="1310" spans="1:11" s="9" customFormat="1">
      <c r="A1310" s="145"/>
      <c r="B1310" s="190"/>
      <c r="C1310" s="432"/>
      <c r="D1310" s="145"/>
      <c r="E1310" s="145"/>
      <c r="F1310" s="145"/>
      <c r="G1310" s="145"/>
      <c r="H1310" s="190"/>
      <c r="I1310" s="190"/>
      <c r="J1310" s="190"/>
      <c r="K1310" s="4"/>
    </row>
    <row r="1311" spans="1:11" s="9" customFormat="1">
      <c r="A1311" s="145"/>
      <c r="B1311" s="190"/>
      <c r="C1311" s="432"/>
      <c r="D1311" s="145"/>
      <c r="E1311" s="145"/>
      <c r="F1311" s="145"/>
      <c r="G1311" s="145"/>
      <c r="H1311" s="190"/>
      <c r="I1311" s="190"/>
      <c r="J1311" s="190"/>
      <c r="K1311" s="4"/>
    </row>
    <row r="1312" spans="1:11" s="9" customFormat="1">
      <c r="A1312" s="145"/>
      <c r="B1312" s="190"/>
      <c r="C1312" s="432"/>
      <c r="D1312" s="145"/>
      <c r="E1312" s="145"/>
      <c r="F1312" s="145"/>
      <c r="G1312" s="145"/>
      <c r="H1312" s="190"/>
      <c r="I1312" s="190"/>
      <c r="J1312" s="190"/>
      <c r="K1312" s="4"/>
    </row>
    <row r="1313" spans="1:11" s="9" customFormat="1">
      <c r="A1313" s="145"/>
      <c r="B1313" s="190"/>
      <c r="C1313" s="432"/>
      <c r="D1313" s="145"/>
      <c r="E1313" s="145"/>
      <c r="F1313" s="145"/>
      <c r="G1313" s="145"/>
      <c r="H1313" s="190"/>
      <c r="I1313" s="190"/>
      <c r="J1313" s="190"/>
      <c r="K1313" s="4"/>
    </row>
    <row r="1314" spans="1:11" s="9" customFormat="1">
      <c r="A1314" s="145"/>
      <c r="B1314" s="190"/>
      <c r="C1314" s="432"/>
      <c r="D1314" s="145"/>
      <c r="E1314" s="145"/>
      <c r="F1314" s="145"/>
      <c r="G1314" s="145"/>
      <c r="H1314" s="190"/>
      <c r="I1314" s="190"/>
      <c r="J1314" s="190"/>
      <c r="K1314" s="4"/>
    </row>
    <row r="1315" spans="1:11" s="9" customFormat="1">
      <c r="A1315" s="145"/>
      <c r="B1315" s="190"/>
      <c r="C1315" s="432"/>
      <c r="D1315" s="145"/>
      <c r="E1315" s="145"/>
      <c r="F1315" s="145"/>
      <c r="G1315" s="145"/>
      <c r="H1315" s="190"/>
      <c r="I1315" s="190"/>
      <c r="J1315" s="190"/>
      <c r="K1315" s="4"/>
    </row>
    <row r="1316" spans="1:11" s="9" customFormat="1">
      <c r="A1316" s="145"/>
      <c r="B1316" s="190"/>
      <c r="C1316" s="432"/>
      <c r="D1316" s="145"/>
      <c r="E1316" s="145"/>
      <c r="F1316" s="145"/>
      <c r="G1316" s="145"/>
      <c r="H1316" s="190"/>
      <c r="I1316" s="190"/>
      <c r="J1316" s="190"/>
      <c r="K1316" s="4"/>
    </row>
    <row r="1317" spans="1:11" s="9" customFormat="1">
      <c r="A1317" s="145"/>
      <c r="B1317" s="190"/>
      <c r="C1317" s="432"/>
      <c r="D1317" s="145"/>
      <c r="E1317" s="145"/>
      <c r="F1317" s="145"/>
      <c r="G1317" s="145"/>
      <c r="H1317" s="190"/>
      <c r="I1317" s="190"/>
      <c r="J1317" s="190"/>
      <c r="K1317" s="4"/>
    </row>
    <row r="1318" spans="1:11" s="9" customFormat="1">
      <c r="A1318" s="145"/>
      <c r="B1318" s="190"/>
      <c r="C1318" s="432"/>
      <c r="D1318" s="145"/>
      <c r="E1318" s="145"/>
      <c r="F1318" s="145"/>
      <c r="G1318" s="145"/>
      <c r="H1318" s="190"/>
      <c r="I1318" s="190"/>
      <c r="J1318" s="190"/>
      <c r="K1318" s="4"/>
    </row>
    <row r="1319" spans="1:11" s="9" customFormat="1">
      <c r="A1319" s="145"/>
      <c r="B1319" s="190"/>
      <c r="C1319" s="432"/>
      <c r="D1319" s="145"/>
      <c r="E1319" s="145"/>
      <c r="F1319" s="145"/>
      <c r="G1319" s="145"/>
      <c r="H1319" s="190"/>
      <c r="I1319" s="190"/>
      <c r="J1319" s="190"/>
      <c r="K1319" s="4"/>
    </row>
    <row r="1320" spans="1:11" s="9" customFormat="1">
      <c r="A1320" s="145"/>
      <c r="B1320" s="190"/>
      <c r="C1320" s="432"/>
      <c r="D1320" s="145"/>
      <c r="E1320" s="145"/>
      <c r="F1320" s="145"/>
      <c r="G1320" s="145"/>
      <c r="H1320" s="190"/>
      <c r="I1320" s="190"/>
      <c r="J1320" s="190"/>
      <c r="K1320" s="4"/>
    </row>
    <row r="1321" spans="1:11" s="9" customFormat="1">
      <c r="A1321" s="145"/>
      <c r="B1321" s="190"/>
      <c r="C1321" s="432"/>
      <c r="D1321" s="145"/>
      <c r="E1321" s="145"/>
      <c r="F1321" s="145"/>
      <c r="G1321" s="145"/>
      <c r="H1321" s="190"/>
      <c r="I1321" s="190"/>
      <c r="J1321" s="190"/>
      <c r="K1321" s="4"/>
    </row>
    <row r="1322" spans="1:11" s="9" customFormat="1">
      <c r="A1322" s="145"/>
      <c r="B1322" s="190"/>
      <c r="C1322" s="432"/>
      <c r="D1322" s="145"/>
      <c r="E1322" s="145"/>
      <c r="F1322" s="145"/>
      <c r="G1322" s="145"/>
      <c r="H1322" s="190"/>
      <c r="I1322" s="190"/>
      <c r="J1322" s="190"/>
      <c r="K1322" s="4"/>
    </row>
    <row r="1323" spans="1:11" s="9" customFormat="1">
      <c r="A1323" s="145"/>
      <c r="B1323" s="190"/>
      <c r="C1323" s="432"/>
      <c r="D1323" s="145"/>
      <c r="E1323" s="145"/>
      <c r="F1323" s="145"/>
      <c r="G1323" s="145"/>
      <c r="H1323" s="190"/>
      <c r="I1323" s="190"/>
      <c r="J1323" s="190"/>
      <c r="K1323" s="4"/>
    </row>
    <row r="1324" spans="1:11" s="9" customFormat="1">
      <c r="A1324" s="818"/>
      <c r="B1324" s="190"/>
      <c r="C1324" s="432"/>
      <c r="D1324" s="145"/>
      <c r="E1324" s="145"/>
      <c r="F1324" s="145"/>
      <c r="G1324" s="145"/>
      <c r="H1324" s="190"/>
      <c r="I1324" s="190"/>
      <c r="J1324" s="190"/>
      <c r="K1324" s="4"/>
    </row>
    <row r="1325" spans="1:11" s="9" customFormat="1">
      <c r="A1325" s="818"/>
      <c r="B1325" s="190"/>
      <c r="C1325" s="432"/>
      <c r="D1325" s="145"/>
      <c r="E1325" s="145"/>
      <c r="F1325" s="145"/>
      <c r="G1325" s="145"/>
      <c r="H1325" s="190"/>
      <c r="I1325" s="190"/>
      <c r="J1325" s="190"/>
      <c r="K1325" s="4"/>
    </row>
  </sheetData>
  <mergeCells count="18">
    <mergeCell ref="B108:J108"/>
    <mergeCell ref="B2:D2"/>
    <mergeCell ref="E2:G4"/>
    <mergeCell ref="H2:I4"/>
    <mergeCell ref="J2:J6"/>
    <mergeCell ref="A5:B6"/>
    <mergeCell ref="H5:I6"/>
    <mergeCell ref="F6:G6"/>
    <mergeCell ref="H7:I8"/>
    <mergeCell ref="J7:J8"/>
    <mergeCell ref="B12:G12"/>
    <mergeCell ref="B10:G10"/>
    <mergeCell ref="C7:C8"/>
    <mergeCell ref="D7:D8"/>
    <mergeCell ref="E7:E8"/>
    <mergeCell ref="F7:F8"/>
    <mergeCell ref="G7:G8"/>
    <mergeCell ref="B107:J107"/>
  </mergeCells>
  <printOptions horizontalCentered="1"/>
  <pageMargins left="0.75" right="0.75" top="1" bottom="1" header="0.5" footer="0.5"/>
  <pageSetup scale="67" fitToHeight="39" orientation="landscape" r:id="rId1"/>
  <headerFooter alignWithMargins="0">
    <oddHeader>&amp;L&amp;F&amp;C&amp;"Tahoma,Bold"&amp;11&amp;A&amp;R&amp;G</oddHeader>
    <oddFooter>&amp;C&amp;"Tahoma,Italic"Use or disclosure of the data on this page or screen is subject to the restrictions on the title page or opening view screen of this proposal document or file.&amp;R&amp;"Tahoma,Bold"&amp;P of &amp;N</oddFooter>
  </headerFooter>
  <rowBreaks count="2" manualBreakCount="2">
    <brk id="48" max="16383" man="1"/>
    <brk id="69" max="16383" man="1"/>
  </rowBreaks>
  <legacyDrawingHF r:id="rId2"/>
</worksheet>
</file>

<file path=xl/worksheets/sheet8.xml><?xml version="1.0" encoding="utf-8"?>
<worksheet xmlns="http://schemas.openxmlformats.org/spreadsheetml/2006/main" xmlns:r="http://schemas.openxmlformats.org/officeDocument/2006/relationships">
  <sheetPr>
    <tabColor rgb="FFFF0000"/>
  </sheetPr>
  <dimension ref="A1:K87"/>
  <sheetViews>
    <sheetView zoomScaleNormal="100" workbookViewId="0">
      <selection activeCell="A2" sqref="A2"/>
    </sheetView>
  </sheetViews>
  <sheetFormatPr defaultRowHeight="31.5" customHeight="1"/>
  <cols>
    <col min="1" max="1" width="11.5" style="143" customWidth="1"/>
    <col min="2" max="2" width="15.6640625" style="143" customWidth="1"/>
    <col min="3" max="3" width="12.83203125" style="143" customWidth="1"/>
    <col min="4" max="4" width="11.6640625" style="143" hidden="1" customWidth="1"/>
    <col min="5" max="6" width="12.33203125" style="143" customWidth="1"/>
    <col min="7" max="7" width="13.1640625" style="143" hidden="1" customWidth="1"/>
    <col min="8" max="8" width="14.33203125" style="143" customWidth="1"/>
    <col min="9" max="9" width="14.5" style="143" customWidth="1"/>
    <col min="10" max="10" width="30.5" style="143" customWidth="1"/>
    <col min="255" max="255" width="10" customWidth="1"/>
    <col min="256" max="256" width="15.6640625" customWidth="1"/>
    <col min="257" max="257" width="12.83203125" customWidth="1"/>
    <col min="258" max="258" width="11.6640625" customWidth="1"/>
    <col min="259" max="260" width="12.33203125" customWidth="1"/>
    <col min="261" max="261" width="13.1640625" customWidth="1"/>
    <col min="262" max="262" width="12" customWidth="1"/>
    <col min="263" max="263" width="12.6640625" customWidth="1"/>
    <col min="264" max="264" width="14.33203125" customWidth="1"/>
    <col min="265" max="265" width="14.5" customWidth="1"/>
    <col min="266" max="266" width="30.5" customWidth="1"/>
    <col min="511" max="511" width="10" customWidth="1"/>
    <col min="512" max="512" width="15.6640625" customWidth="1"/>
    <col min="513" max="513" width="12.83203125" customWidth="1"/>
    <col min="514" max="514" width="11.6640625" customWidth="1"/>
    <col min="515" max="516" width="12.33203125" customWidth="1"/>
    <col min="517" max="517" width="13.1640625" customWidth="1"/>
    <col min="518" max="518" width="12" customWidth="1"/>
    <col min="519" max="519" width="12.6640625" customWidth="1"/>
    <col min="520" max="520" width="14.33203125" customWidth="1"/>
    <col min="521" max="521" width="14.5" customWidth="1"/>
    <col min="522" max="522" width="30.5" customWidth="1"/>
    <col min="767" max="767" width="10" customWidth="1"/>
    <col min="768" max="768" width="15.6640625" customWidth="1"/>
    <col min="769" max="769" width="12.83203125" customWidth="1"/>
    <col min="770" max="770" width="11.6640625" customWidth="1"/>
    <col min="771" max="772" width="12.33203125" customWidth="1"/>
    <col min="773" max="773" width="13.1640625" customWidth="1"/>
    <col min="774" max="774" width="12" customWidth="1"/>
    <col min="775" max="775" width="12.6640625" customWidth="1"/>
    <col min="776" max="776" width="14.33203125" customWidth="1"/>
    <col min="777" max="777" width="14.5" customWidth="1"/>
    <col min="778" max="778" width="30.5" customWidth="1"/>
    <col min="1023" max="1023" width="10" customWidth="1"/>
    <col min="1024" max="1024" width="15.6640625" customWidth="1"/>
    <col min="1025" max="1025" width="12.83203125" customWidth="1"/>
    <col min="1026" max="1026" width="11.6640625" customWidth="1"/>
    <col min="1027" max="1028" width="12.33203125" customWidth="1"/>
    <col min="1029" max="1029" width="13.1640625" customWidth="1"/>
    <col min="1030" max="1030" width="12" customWidth="1"/>
    <col min="1031" max="1031" width="12.6640625" customWidth="1"/>
    <col min="1032" max="1032" width="14.33203125" customWidth="1"/>
    <col min="1033" max="1033" width="14.5" customWidth="1"/>
    <col min="1034" max="1034" width="30.5" customWidth="1"/>
    <col min="1279" max="1279" width="10" customWidth="1"/>
    <col min="1280" max="1280" width="15.6640625" customWidth="1"/>
    <col min="1281" max="1281" width="12.83203125" customWidth="1"/>
    <col min="1282" max="1282" width="11.6640625" customWidth="1"/>
    <col min="1283" max="1284" width="12.33203125" customWidth="1"/>
    <col min="1285" max="1285" width="13.1640625" customWidth="1"/>
    <col min="1286" max="1286" width="12" customWidth="1"/>
    <col min="1287" max="1287" width="12.6640625" customWidth="1"/>
    <col min="1288" max="1288" width="14.33203125" customWidth="1"/>
    <col min="1289" max="1289" width="14.5" customWidth="1"/>
    <col min="1290" max="1290" width="30.5" customWidth="1"/>
    <col min="1535" max="1535" width="10" customWidth="1"/>
    <col min="1536" max="1536" width="15.6640625" customWidth="1"/>
    <col min="1537" max="1537" width="12.83203125" customWidth="1"/>
    <col min="1538" max="1538" width="11.6640625" customWidth="1"/>
    <col min="1539" max="1540" width="12.33203125" customWidth="1"/>
    <col min="1541" max="1541" width="13.1640625" customWidth="1"/>
    <col min="1542" max="1542" width="12" customWidth="1"/>
    <col min="1543" max="1543" width="12.6640625" customWidth="1"/>
    <col min="1544" max="1544" width="14.33203125" customWidth="1"/>
    <col min="1545" max="1545" width="14.5" customWidth="1"/>
    <col min="1546" max="1546" width="30.5" customWidth="1"/>
    <col min="1791" max="1791" width="10" customWidth="1"/>
    <col min="1792" max="1792" width="15.6640625" customWidth="1"/>
    <col min="1793" max="1793" width="12.83203125" customWidth="1"/>
    <col min="1794" max="1794" width="11.6640625" customWidth="1"/>
    <col min="1795" max="1796" width="12.33203125" customWidth="1"/>
    <col min="1797" max="1797" width="13.1640625" customWidth="1"/>
    <col min="1798" max="1798" width="12" customWidth="1"/>
    <col min="1799" max="1799" width="12.6640625" customWidth="1"/>
    <col min="1800" max="1800" width="14.33203125" customWidth="1"/>
    <col min="1801" max="1801" width="14.5" customWidth="1"/>
    <col min="1802" max="1802" width="30.5" customWidth="1"/>
    <col min="2047" max="2047" width="10" customWidth="1"/>
    <col min="2048" max="2048" width="15.6640625" customWidth="1"/>
    <col min="2049" max="2049" width="12.83203125" customWidth="1"/>
    <col min="2050" max="2050" width="11.6640625" customWidth="1"/>
    <col min="2051" max="2052" width="12.33203125" customWidth="1"/>
    <col min="2053" max="2053" width="13.1640625" customWidth="1"/>
    <col min="2054" max="2054" width="12" customWidth="1"/>
    <col min="2055" max="2055" width="12.6640625" customWidth="1"/>
    <col min="2056" max="2056" width="14.33203125" customWidth="1"/>
    <col min="2057" max="2057" width="14.5" customWidth="1"/>
    <col min="2058" max="2058" width="30.5" customWidth="1"/>
    <col min="2303" max="2303" width="10" customWidth="1"/>
    <col min="2304" max="2304" width="15.6640625" customWidth="1"/>
    <col min="2305" max="2305" width="12.83203125" customWidth="1"/>
    <col min="2306" max="2306" width="11.6640625" customWidth="1"/>
    <col min="2307" max="2308" width="12.33203125" customWidth="1"/>
    <col min="2309" max="2309" width="13.1640625" customWidth="1"/>
    <col min="2310" max="2310" width="12" customWidth="1"/>
    <col min="2311" max="2311" width="12.6640625" customWidth="1"/>
    <col min="2312" max="2312" width="14.33203125" customWidth="1"/>
    <col min="2313" max="2313" width="14.5" customWidth="1"/>
    <col min="2314" max="2314" width="30.5" customWidth="1"/>
    <col min="2559" max="2559" width="10" customWidth="1"/>
    <col min="2560" max="2560" width="15.6640625" customWidth="1"/>
    <col min="2561" max="2561" width="12.83203125" customWidth="1"/>
    <col min="2562" max="2562" width="11.6640625" customWidth="1"/>
    <col min="2563" max="2564" width="12.33203125" customWidth="1"/>
    <col min="2565" max="2565" width="13.1640625" customWidth="1"/>
    <col min="2566" max="2566" width="12" customWidth="1"/>
    <col min="2567" max="2567" width="12.6640625" customWidth="1"/>
    <col min="2568" max="2568" width="14.33203125" customWidth="1"/>
    <col min="2569" max="2569" width="14.5" customWidth="1"/>
    <col min="2570" max="2570" width="30.5" customWidth="1"/>
    <col min="2815" max="2815" width="10" customWidth="1"/>
    <col min="2816" max="2816" width="15.6640625" customWidth="1"/>
    <col min="2817" max="2817" width="12.83203125" customWidth="1"/>
    <col min="2818" max="2818" width="11.6640625" customWidth="1"/>
    <col min="2819" max="2820" width="12.33203125" customWidth="1"/>
    <col min="2821" max="2821" width="13.1640625" customWidth="1"/>
    <col min="2822" max="2822" width="12" customWidth="1"/>
    <col min="2823" max="2823" width="12.6640625" customWidth="1"/>
    <col min="2824" max="2824" width="14.33203125" customWidth="1"/>
    <col min="2825" max="2825" width="14.5" customWidth="1"/>
    <col min="2826" max="2826" width="30.5" customWidth="1"/>
    <col min="3071" max="3071" width="10" customWidth="1"/>
    <col min="3072" max="3072" width="15.6640625" customWidth="1"/>
    <col min="3073" max="3073" width="12.83203125" customWidth="1"/>
    <col min="3074" max="3074" width="11.6640625" customWidth="1"/>
    <col min="3075" max="3076" width="12.33203125" customWidth="1"/>
    <col min="3077" max="3077" width="13.1640625" customWidth="1"/>
    <col min="3078" max="3078" width="12" customWidth="1"/>
    <col min="3079" max="3079" width="12.6640625" customWidth="1"/>
    <col min="3080" max="3080" width="14.33203125" customWidth="1"/>
    <col min="3081" max="3081" width="14.5" customWidth="1"/>
    <col min="3082" max="3082" width="30.5" customWidth="1"/>
    <col min="3327" max="3327" width="10" customWidth="1"/>
    <col min="3328" max="3328" width="15.6640625" customWidth="1"/>
    <col min="3329" max="3329" width="12.83203125" customWidth="1"/>
    <col min="3330" max="3330" width="11.6640625" customWidth="1"/>
    <col min="3331" max="3332" width="12.33203125" customWidth="1"/>
    <col min="3333" max="3333" width="13.1640625" customWidth="1"/>
    <col min="3334" max="3334" width="12" customWidth="1"/>
    <col min="3335" max="3335" width="12.6640625" customWidth="1"/>
    <col min="3336" max="3336" width="14.33203125" customWidth="1"/>
    <col min="3337" max="3337" width="14.5" customWidth="1"/>
    <col min="3338" max="3338" width="30.5" customWidth="1"/>
    <col min="3583" max="3583" width="10" customWidth="1"/>
    <col min="3584" max="3584" width="15.6640625" customWidth="1"/>
    <col min="3585" max="3585" width="12.83203125" customWidth="1"/>
    <col min="3586" max="3586" width="11.6640625" customWidth="1"/>
    <col min="3587" max="3588" width="12.33203125" customWidth="1"/>
    <col min="3589" max="3589" width="13.1640625" customWidth="1"/>
    <col min="3590" max="3590" width="12" customWidth="1"/>
    <col min="3591" max="3591" width="12.6640625" customWidth="1"/>
    <col min="3592" max="3592" width="14.33203125" customWidth="1"/>
    <col min="3593" max="3593" width="14.5" customWidth="1"/>
    <col min="3594" max="3594" width="30.5" customWidth="1"/>
    <col min="3839" max="3839" width="10" customWidth="1"/>
    <col min="3840" max="3840" width="15.6640625" customWidth="1"/>
    <col min="3841" max="3841" width="12.83203125" customWidth="1"/>
    <col min="3842" max="3842" width="11.6640625" customWidth="1"/>
    <col min="3843" max="3844" width="12.33203125" customWidth="1"/>
    <col min="3845" max="3845" width="13.1640625" customWidth="1"/>
    <col min="3846" max="3846" width="12" customWidth="1"/>
    <col min="3847" max="3847" width="12.6640625" customWidth="1"/>
    <col min="3848" max="3848" width="14.33203125" customWidth="1"/>
    <col min="3849" max="3849" width="14.5" customWidth="1"/>
    <col min="3850" max="3850" width="30.5" customWidth="1"/>
    <col min="4095" max="4095" width="10" customWidth="1"/>
    <col min="4096" max="4096" width="15.6640625" customWidth="1"/>
    <col min="4097" max="4097" width="12.83203125" customWidth="1"/>
    <col min="4098" max="4098" width="11.6640625" customWidth="1"/>
    <col min="4099" max="4100" width="12.33203125" customWidth="1"/>
    <col min="4101" max="4101" width="13.1640625" customWidth="1"/>
    <col min="4102" max="4102" width="12" customWidth="1"/>
    <col min="4103" max="4103" width="12.6640625" customWidth="1"/>
    <col min="4104" max="4104" width="14.33203125" customWidth="1"/>
    <col min="4105" max="4105" width="14.5" customWidth="1"/>
    <col min="4106" max="4106" width="30.5" customWidth="1"/>
    <col min="4351" max="4351" width="10" customWidth="1"/>
    <col min="4352" max="4352" width="15.6640625" customWidth="1"/>
    <col min="4353" max="4353" width="12.83203125" customWidth="1"/>
    <col min="4354" max="4354" width="11.6640625" customWidth="1"/>
    <col min="4355" max="4356" width="12.33203125" customWidth="1"/>
    <col min="4357" max="4357" width="13.1640625" customWidth="1"/>
    <col min="4358" max="4358" width="12" customWidth="1"/>
    <col min="4359" max="4359" width="12.6640625" customWidth="1"/>
    <col min="4360" max="4360" width="14.33203125" customWidth="1"/>
    <col min="4361" max="4361" width="14.5" customWidth="1"/>
    <col min="4362" max="4362" width="30.5" customWidth="1"/>
    <col min="4607" max="4607" width="10" customWidth="1"/>
    <col min="4608" max="4608" width="15.6640625" customWidth="1"/>
    <col min="4609" max="4609" width="12.83203125" customWidth="1"/>
    <col min="4610" max="4610" width="11.6640625" customWidth="1"/>
    <col min="4611" max="4612" width="12.33203125" customWidth="1"/>
    <col min="4613" max="4613" width="13.1640625" customWidth="1"/>
    <col min="4614" max="4614" width="12" customWidth="1"/>
    <col min="4615" max="4615" width="12.6640625" customWidth="1"/>
    <col min="4616" max="4616" width="14.33203125" customWidth="1"/>
    <col min="4617" max="4617" width="14.5" customWidth="1"/>
    <col min="4618" max="4618" width="30.5" customWidth="1"/>
    <col min="4863" max="4863" width="10" customWidth="1"/>
    <col min="4864" max="4864" width="15.6640625" customWidth="1"/>
    <col min="4865" max="4865" width="12.83203125" customWidth="1"/>
    <col min="4866" max="4866" width="11.6640625" customWidth="1"/>
    <col min="4867" max="4868" width="12.33203125" customWidth="1"/>
    <col min="4869" max="4869" width="13.1640625" customWidth="1"/>
    <col min="4870" max="4870" width="12" customWidth="1"/>
    <col min="4871" max="4871" width="12.6640625" customWidth="1"/>
    <col min="4872" max="4872" width="14.33203125" customWidth="1"/>
    <col min="4873" max="4873" width="14.5" customWidth="1"/>
    <col min="4874" max="4874" width="30.5" customWidth="1"/>
    <col min="5119" max="5119" width="10" customWidth="1"/>
    <col min="5120" max="5120" width="15.6640625" customWidth="1"/>
    <col min="5121" max="5121" width="12.83203125" customWidth="1"/>
    <col min="5122" max="5122" width="11.6640625" customWidth="1"/>
    <col min="5123" max="5124" width="12.33203125" customWidth="1"/>
    <col min="5125" max="5125" width="13.1640625" customWidth="1"/>
    <col min="5126" max="5126" width="12" customWidth="1"/>
    <col min="5127" max="5127" width="12.6640625" customWidth="1"/>
    <col min="5128" max="5128" width="14.33203125" customWidth="1"/>
    <col min="5129" max="5129" width="14.5" customWidth="1"/>
    <col min="5130" max="5130" width="30.5" customWidth="1"/>
    <col min="5375" max="5375" width="10" customWidth="1"/>
    <col min="5376" max="5376" width="15.6640625" customWidth="1"/>
    <col min="5377" max="5377" width="12.83203125" customWidth="1"/>
    <col min="5378" max="5378" width="11.6640625" customWidth="1"/>
    <col min="5379" max="5380" width="12.33203125" customWidth="1"/>
    <col min="5381" max="5381" width="13.1640625" customWidth="1"/>
    <col min="5382" max="5382" width="12" customWidth="1"/>
    <col min="5383" max="5383" width="12.6640625" customWidth="1"/>
    <col min="5384" max="5384" width="14.33203125" customWidth="1"/>
    <col min="5385" max="5385" width="14.5" customWidth="1"/>
    <col min="5386" max="5386" width="30.5" customWidth="1"/>
    <col min="5631" max="5631" width="10" customWidth="1"/>
    <col min="5632" max="5632" width="15.6640625" customWidth="1"/>
    <col min="5633" max="5633" width="12.83203125" customWidth="1"/>
    <col min="5634" max="5634" width="11.6640625" customWidth="1"/>
    <col min="5635" max="5636" width="12.33203125" customWidth="1"/>
    <col min="5637" max="5637" width="13.1640625" customWidth="1"/>
    <col min="5638" max="5638" width="12" customWidth="1"/>
    <col min="5639" max="5639" width="12.6640625" customWidth="1"/>
    <col min="5640" max="5640" width="14.33203125" customWidth="1"/>
    <col min="5641" max="5641" width="14.5" customWidth="1"/>
    <col min="5642" max="5642" width="30.5" customWidth="1"/>
    <col min="5887" max="5887" width="10" customWidth="1"/>
    <col min="5888" max="5888" width="15.6640625" customWidth="1"/>
    <col min="5889" max="5889" width="12.83203125" customWidth="1"/>
    <col min="5890" max="5890" width="11.6640625" customWidth="1"/>
    <col min="5891" max="5892" width="12.33203125" customWidth="1"/>
    <col min="5893" max="5893" width="13.1640625" customWidth="1"/>
    <col min="5894" max="5894" width="12" customWidth="1"/>
    <col min="5895" max="5895" width="12.6640625" customWidth="1"/>
    <col min="5896" max="5896" width="14.33203125" customWidth="1"/>
    <col min="5897" max="5897" width="14.5" customWidth="1"/>
    <col min="5898" max="5898" width="30.5" customWidth="1"/>
    <col min="6143" max="6143" width="10" customWidth="1"/>
    <col min="6144" max="6144" width="15.6640625" customWidth="1"/>
    <col min="6145" max="6145" width="12.83203125" customWidth="1"/>
    <col min="6146" max="6146" width="11.6640625" customWidth="1"/>
    <col min="6147" max="6148" width="12.33203125" customWidth="1"/>
    <col min="6149" max="6149" width="13.1640625" customWidth="1"/>
    <col min="6150" max="6150" width="12" customWidth="1"/>
    <col min="6151" max="6151" width="12.6640625" customWidth="1"/>
    <col min="6152" max="6152" width="14.33203125" customWidth="1"/>
    <col min="6153" max="6153" width="14.5" customWidth="1"/>
    <col min="6154" max="6154" width="30.5" customWidth="1"/>
    <col min="6399" max="6399" width="10" customWidth="1"/>
    <col min="6400" max="6400" width="15.6640625" customWidth="1"/>
    <col min="6401" max="6401" width="12.83203125" customWidth="1"/>
    <col min="6402" max="6402" width="11.6640625" customWidth="1"/>
    <col min="6403" max="6404" width="12.33203125" customWidth="1"/>
    <col min="6405" max="6405" width="13.1640625" customWidth="1"/>
    <col min="6406" max="6406" width="12" customWidth="1"/>
    <col min="6407" max="6407" width="12.6640625" customWidth="1"/>
    <col min="6408" max="6408" width="14.33203125" customWidth="1"/>
    <col min="6409" max="6409" width="14.5" customWidth="1"/>
    <col min="6410" max="6410" width="30.5" customWidth="1"/>
    <col min="6655" max="6655" width="10" customWidth="1"/>
    <col min="6656" max="6656" width="15.6640625" customWidth="1"/>
    <col min="6657" max="6657" width="12.83203125" customWidth="1"/>
    <col min="6658" max="6658" width="11.6640625" customWidth="1"/>
    <col min="6659" max="6660" width="12.33203125" customWidth="1"/>
    <col min="6661" max="6661" width="13.1640625" customWidth="1"/>
    <col min="6662" max="6662" width="12" customWidth="1"/>
    <col min="6663" max="6663" width="12.6640625" customWidth="1"/>
    <col min="6664" max="6664" width="14.33203125" customWidth="1"/>
    <col min="6665" max="6665" width="14.5" customWidth="1"/>
    <col min="6666" max="6666" width="30.5" customWidth="1"/>
    <col min="6911" max="6911" width="10" customWidth="1"/>
    <col min="6912" max="6912" width="15.6640625" customWidth="1"/>
    <col min="6913" max="6913" width="12.83203125" customWidth="1"/>
    <col min="6914" max="6914" width="11.6640625" customWidth="1"/>
    <col min="6915" max="6916" width="12.33203125" customWidth="1"/>
    <col min="6917" max="6917" width="13.1640625" customWidth="1"/>
    <col min="6918" max="6918" width="12" customWidth="1"/>
    <col min="6919" max="6919" width="12.6640625" customWidth="1"/>
    <col min="6920" max="6920" width="14.33203125" customWidth="1"/>
    <col min="6921" max="6921" width="14.5" customWidth="1"/>
    <col min="6922" max="6922" width="30.5" customWidth="1"/>
    <col min="7167" max="7167" width="10" customWidth="1"/>
    <col min="7168" max="7168" width="15.6640625" customWidth="1"/>
    <col min="7169" max="7169" width="12.83203125" customWidth="1"/>
    <col min="7170" max="7170" width="11.6640625" customWidth="1"/>
    <col min="7171" max="7172" width="12.33203125" customWidth="1"/>
    <col min="7173" max="7173" width="13.1640625" customWidth="1"/>
    <col min="7174" max="7174" width="12" customWidth="1"/>
    <col min="7175" max="7175" width="12.6640625" customWidth="1"/>
    <col min="7176" max="7176" width="14.33203125" customWidth="1"/>
    <col min="7177" max="7177" width="14.5" customWidth="1"/>
    <col min="7178" max="7178" width="30.5" customWidth="1"/>
    <col min="7423" max="7423" width="10" customWidth="1"/>
    <col min="7424" max="7424" width="15.6640625" customWidth="1"/>
    <col min="7425" max="7425" width="12.83203125" customWidth="1"/>
    <col min="7426" max="7426" width="11.6640625" customWidth="1"/>
    <col min="7427" max="7428" width="12.33203125" customWidth="1"/>
    <col min="7429" max="7429" width="13.1640625" customWidth="1"/>
    <col min="7430" max="7430" width="12" customWidth="1"/>
    <col min="7431" max="7431" width="12.6640625" customWidth="1"/>
    <col min="7432" max="7432" width="14.33203125" customWidth="1"/>
    <col min="7433" max="7433" width="14.5" customWidth="1"/>
    <col min="7434" max="7434" width="30.5" customWidth="1"/>
    <col min="7679" max="7679" width="10" customWidth="1"/>
    <col min="7680" max="7680" width="15.6640625" customWidth="1"/>
    <col min="7681" max="7681" width="12.83203125" customWidth="1"/>
    <col min="7682" max="7682" width="11.6640625" customWidth="1"/>
    <col min="7683" max="7684" width="12.33203125" customWidth="1"/>
    <col min="7685" max="7685" width="13.1640625" customWidth="1"/>
    <col min="7686" max="7686" width="12" customWidth="1"/>
    <col min="7687" max="7687" width="12.6640625" customWidth="1"/>
    <col min="7688" max="7688" width="14.33203125" customWidth="1"/>
    <col min="7689" max="7689" width="14.5" customWidth="1"/>
    <col min="7690" max="7690" width="30.5" customWidth="1"/>
    <col min="7935" max="7935" width="10" customWidth="1"/>
    <col min="7936" max="7936" width="15.6640625" customWidth="1"/>
    <col min="7937" max="7937" width="12.83203125" customWidth="1"/>
    <col min="7938" max="7938" width="11.6640625" customWidth="1"/>
    <col min="7939" max="7940" width="12.33203125" customWidth="1"/>
    <col min="7941" max="7941" width="13.1640625" customWidth="1"/>
    <col min="7942" max="7942" width="12" customWidth="1"/>
    <col min="7943" max="7943" width="12.6640625" customWidth="1"/>
    <col min="7944" max="7944" width="14.33203125" customWidth="1"/>
    <col min="7945" max="7945" width="14.5" customWidth="1"/>
    <col min="7946" max="7946" width="30.5" customWidth="1"/>
    <col min="8191" max="8191" width="10" customWidth="1"/>
    <col min="8192" max="8192" width="15.6640625" customWidth="1"/>
    <col min="8193" max="8193" width="12.83203125" customWidth="1"/>
    <col min="8194" max="8194" width="11.6640625" customWidth="1"/>
    <col min="8195" max="8196" width="12.33203125" customWidth="1"/>
    <col min="8197" max="8197" width="13.1640625" customWidth="1"/>
    <col min="8198" max="8198" width="12" customWidth="1"/>
    <col min="8199" max="8199" width="12.6640625" customWidth="1"/>
    <col min="8200" max="8200" width="14.33203125" customWidth="1"/>
    <col min="8201" max="8201" width="14.5" customWidth="1"/>
    <col min="8202" max="8202" width="30.5" customWidth="1"/>
    <col min="8447" max="8447" width="10" customWidth="1"/>
    <col min="8448" max="8448" width="15.6640625" customWidth="1"/>
    <col min="8449" max="8449" width="12.83203125" customWidth="1"/>
    <col min="8450" max="8450" width="11.6640625" customWidth="1"/>
    <col min="8451" max="8452" width="12.33203125" customWidth="1"/>
    <col min="8453" max="8453" width="13.1640625" customWidth="1"/>
    <col min="8454" max="8454" width="12" customWidth="1"/>
    <col min="8455" max="8455" width="12.6640625" customWidth="1"/>
    <col min="8456" max="8456" width="14.33203125" customWidth="1"/>
    <col min="8457" max="8457" width="14.5" customWidth="1"/>
    <col min="8458" max="8458" width="30.5" customWidth="1"/>
    <col min="8703" max="8703" width="10" customWidth="1"/>
    <col min="8704" max="8704" width="15.6640625" customWidth="1"/>
    <col min="8705" max="8705" width="12.83203125" customWidth="1"/>
    <col min="8706" max="8706" width="11.6640625" customWidth="1"/>
    <col min="8707" max="8708" width="12.33203125" customWidth="1"/>
    <col min="8709" max="8709" width="13.1640625" customWidth="1"/>
    <col min="8710" max="8710" width="12" customWidth="1"/>
    <col min="8711" max="8711" width="12.6640625" customWidth="1"/>
    <col min="8712" max="8712" width="14.33203125" customWidth="1"/>
    <col min="8713" max="8713" width="14.5" customWidth="1"/>
    <col min="8714" max="8714" width="30.5" customWidth="1"/>
    <col min="8959" max="8959" width="10" customWidth="1"/>
    <col min="8960" max="8960" width="15.6640625" customWidth="1"/>
    <col min="8961" max="8961" width="12.83203125" customWidth="1"/>
    <col min="8962" max="8962" width="11.6640625" customWidth="1"/>
    <col min="8963" max="8964" width="12.33203125" customWidth="1"/>
    <col min="8965" max="8965" width="13.1640625" customWidth="1"/>
    <col min="8966" max="8966" width="12" customWidth="1"/>
    <col min="8967" max="8967" width="12.6640625" customWidth="1"/>
    <col min="8968" max="8968" width="14.33203125" customWidth="1"/>
    <col min="8969" max="8969" width="14.5" customWidth="1"/>
    <col min="8970" max="8970" width="30.5" customWidth="1"/>
    <col min="9215" max="9215" width="10" customWidth="1"/>
    <col min="9216" max="9216" width="15.6640625" customWidth="1"/>
    <col min="9217" max="9217" width="12.83203125" customWidth="1"/>
    <col min="9218" max="9218" width="11.6640625" customWidth="1"/>
    <col min="9219" max="9220" width="12.33203125" customWidth="1"/>
    <col min="9221" max="9221" width="13.1640625" customWidth="1"/>
    <col min="9222" max="9222" width="12" customWidth="1"/>
    <col min="9223" max="9223" width="12.6640625" customWidth="1"/>
    <col min="9224" max="9224" width="14.33203125" customWidth="1"/>
    <col min="9225" max="9225" width="14.5" customWidth="1"/>
    <col min="9226" max="9226" width="30.5" customWidth="1"/>
    <col min="9471" max="9471" width="10" customWidth="1"/>
    <col min="9472" max="9472" width="15.6640625" customWidth="1"/>
    <col min="9473" max="9473" width="12.83203125" customWidth="1"/>
    <col min="9474" max="9474" width="11.6640625" customWidth="1"/>
    <col min="9475" max="9476" width="12.33203125" customWidth="1"/>
    <col min="9477" max="9477" width="13.1640625" customWidth="1"/>
    <col min="9478" max="9478" width="12" customWidth="1"/>
    <col min="9479" max="9479" width="12.6640625" customWidth="1"/>
    <col min="9480" max="9480" width="14.33203125" customWidth="1"/>
    <col min="9481" max="9481" width="14.5" customWidth="1"/>
    <col min="9482" max="9482" width="30.5" customWidth="1"/>
    <col min="9727" max="9727" width="10" customWidth="1"/>
    <col min="9728" max="9728" width="15.6640625" customWidth="1"/>
    <col min="9729" max="9729" width="12.83203125" customWidth="1"/>
    <col min="9730" max="9730" width="11.6640625" customWidth="1"/>
    <col min="9731" max="9732" width="12.33203125" customWidth="1"/>
    <col min="9733" max="9733" width="13.1640625" customWidth="1"/>
    <col min="9734" max="9734" width="12" customWidth="1"/>
    <col min="9735" max="9735" width="12.6640625" customWidth="1"/>
    <col min="9736" max="9736" width="14.33203125" customWidth="1"/>
    <col min="9737" max="9737" width="14.5" customWidth="1"/>
    <col min="9738" max="9738" width="30.5" customWidth="1"/>
    <col min="9983" max="9983" width="10" customWidth="1"/>
    <col min="9984" max="9984" width="15.6640625" customWidth="1"/>
    <col min="9985" max="9985" width="12.83203125" customWidth="1"/>
    <col min="9986" max="9986" width="11.6640625" customWidth="1"/>
    <col min="9987" max="9988" width="12.33203125" customWidth="1"/>
    <col min="9989" max="9989" width="13.1640625" customWidth="1"/>
    <col min="9990" max="9990" width="12" customWidth="1"/>
    <col min="9991" max="9991" width="12.6640625" customWidth="1"/>
    <col min="9992" max="9992" width="14.33203125" customWidth="1"/>
    <col min="9993" max="9993" width="14.5" customWidth="1"/>
    <col min="9994" max="9994" width="30.5" customWidth="1"/>
    <col min="10239" max="10239" width="10" customWidth="1"/>
    <col min="10240" max="10240" width="15.6640625" customWidth="1"/>
    <col min="10241" max="10241" width="12.83203125" customWidth="1"/>
    <col min="10242" max="10242" width="11.6640625" customWidth="1"/>
    <col min="10243" max="10244" width="12.33203125" customWidth="1"/>
    <col min="10245" max="10245" width="13.1640625" customWidth="1"/>
    <col min="10246" max="10246" width="12" customWidth="1"/>
    <col min="10247" max="10247" width="12.6640625" customWidth="1"/>
    <col min="10248" max="10248" width="14.33203125" customWidth="1"/>
    <col min="10249" max="10249" width="14.5" customWidth="1"/>
    <col min="10250" max="10250" width="30.5" customWidth="1"/>
    <col min="10495" max="10495" width="10" customWidth="1"/>
    <col min="10496" max="10496" width="15.6640625" customWidth="1"/>
    <col min="10497" max="10497" width="12.83203125" customWidth="1"/>
    <col min="10498" max="10498" width="11.6640625" customWidth="1"/>
    <col min="10499" max="10500" width="12.33203125" customWidth="1"/>
    <col min="10501" max="10501" width="13.1640625" customWidth="1"/>
    <col min="10502" max="10502" width="12" customWidth="1"/>
    <col min="10503" max="10503" width="12.6640625" customWidth="1"/>
    <col min="10504" max="10504" width="14.33203125" customWidth="1"/>
    <col min="10505" max="10505" width="14.5" customWidth="1"/>
    <col min="10506" max="10506" width="30.5" customWidth="1"/>
    <col min="10751" max="10751" width="10" customWidth="1"/>
    <col min="10752" max="10752" width="15.6640625" customWidth="1"/>
    <col min="10753" max="10753" width="12.83203125" customWidth="1"/>
    <col min="10754" max="10754" width="11.6640625" customWidth="1"/>
    <col min="10755" max="10756" width="12.33203125" customWidth="1"/>
    <col min="10757" max="10757" width="13.1640625" customWidth="1"/>
    <col min="10758" max="10758" width="12" customWidth="1"/>
    <col min="10759" max="10759" width="12.6640625" customWidth="1"/>
    <col min="10760" max="10760" width="14.33203125" customWidth="1"/>
    <col min="10761" max="10761" width="14.5" customWidth="1"/>
    <col min="10762" max="10762" width="30.5" customWidth="1"/>
    <col min="11007" max="11007" width="10" customWidth="1"/>
    <col min="11008" max="11008" width="15.6640625" customWidth="1"/>
    <col min="11009" max="11009" width="12.83203125" customWidth="1"/>
    <col min="11010" max="11010" width="11.6640625" customWidth="1"/>
    <col min="11011" max="11012" width="12.33203125" customWidth="1"/>
    <col min="11013" max="11013" width="13.1640625" customWidth="1"/>
    <col min="11014" max="11014" width="12" customWidth="1"/>
    <col min="11015" max="11015" width="12.6640625" customWidth="1"/>
    <col min="11016" max="11016" width="14.33203125" customWidth="1"/>
    <col min="11017" max="11017" width="14.5" customWidth="1"/>
    <col min="11018" max="11018" width="30.5" customWidth="1"/>
    <col min="11263" max="11263" width="10" customWidth="1"/>
    <col min="11264" max="11264" width="15.6640625" customWidth="1"/>
    <col min="11265" max="11265" width="12.83203125" customWidth="1"/>
    <col min="11266" max="11266" width="11.6640625" customWidth="1"/>
    <col min="11267" max="11268" width="12.33203125" customWidth="1"/>
    <col min="11269" max="11269" width="13.1640625" customWidth="1"/>
    <col min="11270" max="11270" width="12" customWidth="1"/>
    <col min="11271" max="11271" width="12.6640625" customWidth="1"/>
    <col min="11272" max="11272" width="14.33203125" customWidth="1"/>
    <col min="11273" max="11273" width="14.5" customWidth="1"/>
    <col min="11274" max="11274" width="30.5" customWidth="1"/>
    <col min="11519" max="11519" width="10" customWidth="1"/>
    <col min="11520" max="11520" width="15.6640625" customWidth="1"/>
    <col min="11521" max="11521" width="12.83203125" customWidth="1"/>
    <col min="11522" max="11522" width="11.6640625" customWidth="1"/>
    <col min="11523" max="11524" width="12.33203125" customWidth="1"/>
    <col min="11525" max="11525" width="13.1640625" customWidth="1"/>
    <col min="11526" max="11526" width="12" customWidth="1"/>
    <col min="11527" max="11527" width="12.6640625" customWidth="1"/>
    <col min="11528" max="11528" width="14.33203125" customWidth="1"/>
    <col min="11529" max="11529" width="14.5" customWidth="1"/>
    <col min="11530" max="11530" width="30.5" customWidth="1"/>
    <col min="11775" max="11775" width="10" customWidth="1"/>
    <col min="11776" max="11776" width="15.6640625" customWidth="1"/>
    <col min="11777" max="11777" width="12.83203125" customWidth="1"/>
    <col min="11778" max="11778" width="11.6640625" customWidth="1"/>
    <col min="11779" max="11780" width="12.33203125" customWidth="1"/>
    <col min="11781" max="11781" width="13.1640625" customWidth="1"/>
    <col min="11782" max="11782" width="12" customWidth="1"/>
    <col min="11783" max="11783" width="12.6640625" customWidth="1"/>
    <col min="11784" max="11784" width="14.33203125" customWidth="1"/>
    <col min="11785" max="11785" width="14.5" customWidth="1"/>
    <col min="11786" max="11786" width="30.5" customWidth="1"/>
    <col min="12031" max="12031" width="10" customWidth="1"/>
    <col min="12032" max="12032" width="15.6640625" customWidth="1"/>
    <col min="12033" max="12033" width="12.83203125" customWidth="1"/>
    <col min="12034" max="12034" width="11.6640625" customWidth="1"/>
    <col min="12035" max="12036" width="12.33203125" customWidth="1"/>
    <col min="12037" max="12037" width="13.1640625" customWidth="1"/>
    <col min="12038" max="12038" width="12" customWidth="1"/>
    <col min="12039" max="12039" width="12.6640625" customWidth="1"/>
    <col min="12040" max="12040" width="14.33203125" customWidth="1"/>
    <col min="12041" max="12041" width="14.5" customWidth="1"/>
    <col min="12042" max="12042" width="30.5" customWidth="1"/>
    <col min="12287" max="12287" width="10" customWidth="1"/>
    <col min="12288" max="12288" width="15.6640625" customWidth="1"/>
    <col min="12289" max="12289" width="12.83203125" customWidth="1"/>
    <col min="12290" max="12290" width="11.6640625" customWidth="1"/>
    <col min="12291" max="12292" width="12.33203125" customWidth="1"/>
    <col min="12293" max="12293" width="13.1640625" customWidth="1"/>
    <col min="12294" max="12294" width="12" customWidth="1"/>
    <col min="12295" max="12295" width="12.6640625" customWidth="1"/>
    <col min="12296" max="12296" width="14.33203125" customWidth="1"/>
    <col min="12297" max="12297" width="14.5" customWidth="1"/>
    <col min="12298" max="12298" width="30.5" customWidth="1"/>
    <col min="12543" max="12543" width="10" customWidth="1"/>
    <col min="12544" max="12544" width="15.6640625" customWidth="1"/>
    <col min="12545" max="12545" width="12.83203125" customWidth="1"/>
    <col min="12546" max="12546" width="11.6640625" customWidth="1"/>
    <col min="12547" max="12548" width="12.33203125" customWidth="1"/>
    <col min="12549" max="12549" width="13.1640625" customWidth="1"/>
    <col min="12550" max="12550" width="12" customWidth="1"/>
    <col min="12551" max="12551" width="12.6640625" customWidth="1"/>
    <col min="12552" max="12552" width="14.33203125" customWidth="1"/>
    <col min="12553" max="12553" width="14.5" customWidth="1"/>
    <col min="12554" max="12554" width="30.5" customWidth="1"/>
    <col min="12799" max="12799" width="10" customWidth="1"/>
    <col min="12800" max="12800" width="15.6640625" customWidth="1"/>
    <col min="12801" max="12801" width="12.83203125" customWidth="1"/>
    <col min="12802" max="12802" width="11.6640625" customWidth="1"/>
    <col min="12803" max="12804" width="12.33203125" customWidth="1"/>
    <col min="12805" max="12805" width="13.1640625" customWidth="1"/>
    <col min="12806" max="12806" width="12" customWidth="1"/>
    <col min="12807" max="12807" width="12.6640625" customWidth="1"/>
    <col min="12808" max="12808" width="14.33203125" customWidth="1"/>
    <col min="12809" max="12809" width="14.5" customWidth="1"/>
    <col min="12810" max="12810" width="30.5" customWidth="1"/>
    <col min="13055" max="13055" width="10" customWidth="1"/>
    <col min="13056" max="13056" width="15.6640625" customWidth="1"/>
    <col min="13057" max="13057" width="12.83203125" customWidth="1"/>
    <col min="13058" max="13058" width="11.6640625" customWidth="1"/>
    <col min="13059" max="13060" width="12.33203125" customWidth="1"/>
    <col min="13061" max="13061" width="13.1640625" customWidth="1"/>
    <col min="13062" max="13062" width="12" customWidth="1"/>
    <col min="13063" max="13063" width="12.6640625" customWidth="1"/>
    <col min="13064" max="13064" width="14.33203125" customWidth="1"/>
    <col min="13065" max="13065" width="14.5" customWidth="1"/>
    <col min="13066" max="13066" width="30.5" customWidth="1"/>
    <col min="13311" max="13311" width="10" customWidth="1"/>
    <col min="13312" max="13312" width="15.6640625" customWidth="1"/>
    <col min="13313" max="13313" width="12.83203125" customWidth="1"/>
    <col min="13314" max="13314" width="11.6640625" customWidth="1"/>
    <col min="13315" max="13316" width="12.33203125" customWidth="1"/>
    <col min="13317" max="13317" width="13.1640625" customWidth="1"/>
    <col min="13318" max="13318" width="12" customWidth="1"/>
    <col min="13319" max="13319" width="12.6640625" customWidth="1"/>
    <col min="13320" max="13320" width="14.33203125" customWidth="1"/>
    <col min="13321" max="13321" width="14.5" customWidth="1"/>
    <col min="13322" max="13322" width="30.5" customWidth="1"/>
    <col min="13567" max="13567" width="10" customWidth="1"/>
    <col min="13568" max="13568" width="15.6640625" customWidth="1"/>
    <col min="13569" max="13569" width="12.83203125" customWidth="1"/>
    <col min="13570" max="13570" width="11.6640625" customWidth="1"/>
    <col min="13571" max="13572" width="12.33203125" customWidth="1"/>
    <col min="13573" max="13573" width="13.1640625" customWidth="1"/>
    <col min="13574" max="13574" width="12" customWidth="1"/>
    <col min="13575" max="13575" width="12.6640625" customWidth="1"/>
    <col min="13576" max="13576" width="14.33203125" customWidth="1"/>
    <col min="13577" max="13577" width="14.5" customWidth="1"/>
    <col min="13578" max="13578" width="30.5" customWidth="1"/>
    <col min="13823" max="13823" width="10" customWidth="1"/>
    <col min="13824" max="13824" width="15.6640625" customWidth="1"/>
    <col min="13825" max="13825" width="12.83203125" customWidth="1"/>
    <col min="13826" max="13826" width="11.6640625" customWidth="1"/>
    <col min="13827" max="13828" width="12.33203125" customWidth="1"/>
    <col min="13829" max="13829" width="13.1640625" customWidth="1"/>
    <col min="13830" max="13830" width="12" customWidth="1"/>
    <col min="13831" max="13831" width="12.6640625" customWidth="1"/>
    <col min="13832" max="13832" width="14.33203125" customWidth="1"/>
    <col min="13833" max="13833" width="14.5" customWidth="1"/>
    <col min="13834" max="13834" width="30.5" customWidth="1"/>
    <col min="14079" max="14079" width="10" customWidth="1"/>
    <col min="14080" max="14080" width="15.6640625" customWidth="1"/>
    <col min="14081" max="14081" width="12.83203125" customWidth="1"/>
    <col min="14082" max="14082" width="11.6640625" customWidth="1"/>
    <col min="14083" max="14084" width="12.33203125" customWidth="1"/>
    <col min="14085" max="14085" width="13.1640625" customWidth="1"/>
    <col min="14086" max="14086" width="12" customWidth="1"/>
    <col min="14087" max="14087" width="12.6640625" customWidth="1"/>
    <col min="14088" max="14088" width="14.33203125" customWidth="1"/>
    <col min="14089" max="14089" width="14.5" customWidth="1"/>
    <col min="14090" max="14090" width="30.5" customWidth="1"/>
    <col min="14335" max="14335" width="10" customWidth="1"/>
    <col min="14336" max="14336" width="15.6640625" customWidth="1"/>
    <col min="14337" max="14337" width="12.83203125" customWidth="1"/>
    <col min="14338" max="14338" width="11.6640625" customWidth="1"/>
    <col min="14339" max="14340" width="12.33203125" customWidth="1"/>
    <col min="14341" max="14341" width="13.1640625" customWidth="1"/>
    <col min="14342" max="14342" width="12" customWidth="1"/>
    <col min="14343" max="14343" width="12.6640625" customWidth="1"/>
    <col min="14344" max="14344" width="14.33203125" customWidth="1"/>
    <col min="14345" max="14345" width="14.5" customWidth="1"/>
    <col min="14346" max="14346" width="30.5" customWidth="1"/>
    <col min="14591" max="14591" width="10" customWidth="1"/>
    <col min="14592" max="14592" width="15.6640625" customWidth="1"/>
    <col min="14593" max="14593" width="12.83203125" customWidth="1"/>
    <col min="14594" max="14594" width="11.6640625" customWidth="1"/>
    <col min="14595" max="14596" width="12.33203125" customWidth="1"/>
    <col min="14597" max="14597" width="13.1640625" customWidth="1"/>
    <col min="14598" max="14598" width="12" customWidth="1"/>
    <col min="14599" max="14599" width="12.6640625" customWidth="1"/>
    <col min="14600" max="14600" width="14.33203125" customWidth="1"/>
    <col min="14601" max="14601" width="14.5" customWidth="1"/>
    <col min="14602" max="14602" width="30.5" customWidth="1"/>
    <col min="14847" max="14847" width="10" customWidth="1"/>
    <col min="14848" max="14848" width="15.6640625" customWidth="1"/>
    <col min="14849" max="14849" width="12.83203125" customWidth="1"/>
    <col min="14850" max="14850" width="11.6640625" customWidth="1"/>
    <col min="14851" max="14852" width="12.33203125" customWidth="1"/>
    <col min="14853" max="14853" width="13.1640625" customWidth="1"/>
    <col min="14854" max="14854" width="12" customWidth="1"/>
    <col min="14855" max="14855" width="12.6640625" customWidth="1"/>
    <col min="14856" max="14856" width="14.33203125" customWidth="1"/>
    <col min="14857" max="14857" width="14.5" customWidth="1"/>
    <col min="14858" max="14858" width="30.5" customWidth="1"/>
    <col min="15103" max="15103" width="10" customWidth="1"/>
    <col min="15104" max="15104" width="15.6640625" customWidth="1"/>
    <col min="15105" max="15105" width="12.83203125" customWidth="1"/>
    <col min="15106" max="15106" width="11.6640625" customWidth="1"/>
    <col min="15107" max="15108" width="12.33203125" customWidth="1"/>
    <col min="15109" max="15109" width="13.1640625" customWidth="1"/>
    <col min="15110" max="15110" width="12" customWidth="1"/>
    <col min="15111" max="15111" width="12.6640625" customWidth="1"/>
    <col min="15112" max="15112" width="14.33203125" customWidth="1"/>
    <col min="15113" max="15113" width="14.5" customWidth="1"/>
    <col min="15114" max="15114" width="30.5" customWidth="1"/>
    <col min="15359" max="15359" width="10" customWidth="1"/>
    <col min="15360" max="15360" width="15.6640625" customWidth="1"/>
    <col min="15361" max="15361" width="12.83203125" customWidth="1"/>
    <col min="15362" max="15362" width="11.6640625" customWidth="1"/>
    <col min="15363" max="15364" width="12.33203125" customWidth="1"/>
    <col min="15365" max="15365" width="13.1640625" customWidth="1"/>
    <col min="15366" max="15366" width="12" customWidth="1"/>
    <col min="15367" max="15367" width="12.6640625" customWidth="1"/>
    <col min="15368" max="15368" width="14.33203125" customWidth="1"/>
    <col min="15369" max="15369" width="14.5" customWidth="1"/>
    <col min="15370" max="15370" width="30.5" customWidth="1"/>
    <col min="15615" max="15615" width="10" customWidth="1"/>
    <col min="15616" max="15616" width="15.6640625" customWidth="1"/>
    <col min="15617" max="15617" width="12.83203125" customWidth="1"/>
    <col min="15618" max="15618" width="11.6640625" customWidth="1"/>
    <col min="15619" max="15620" width="12.33203125" customWidth="1"/>
    <col min="15621" max="15621" width="13.1640625" customWidth="1"/>
    <col min="15622" max="15622" width="12" customWidth="1"/>
    <col min="15623" max="15623" width="12.6640625" customWidth="1"/>
    <col min="15624" max="15624" width="14.33203125" customWidth="1"/>
    <col min="15625" max="15625" width="14.5" customWidth="1"/>
    <col min="15626" max="15626" width="30.5" customWidth="1"/>
    <col min="15871" max="15871" width="10" customWidth="1"/>
    <col min="15872" max="15872" width="15.6640625" customWidth="1"/>
    <col min="15873" max="15873" width="12.83203125" customWidth="1"/>
    <col min="15874" max="15874" width="11.6640625" customWidth="1"/>
    <col min="15875" max="15876" width="12.33203125" customWidth="1"/>
    <col min="15877" max="15877" width="13.1640625" customWidth="1"/>
    <col min="15878" max="15878" width="12" customWidth="1"/>
    <col min="15879" max="15879" width="12.6640625" customWidth="1"/>
    <col min="15880" max="15880" width="14.33203125" customWidth="1"/>
    <col min="15881" max="15881" width="14.5" customWidth="1"/>
    <col min="15882" max="15882" width="30.5" customWidth="1"/>
    <col min="16127" max="16127" width="10" customWidth="1"/>
    <col min="16128" max="16128" width="15.6640625" customWidth="1"/>
    <col min="16129" max="16129" width="12.83203125" customWidth="1"/>
    <col min="16130" max="16130" width="11.6640625" customWidth="1"/>
    <col min="16131" max="16132" width="12.33203125" customWidth="1"/>
    <col min="16133" max="16133" width="13.1640625" customWidth="1"/>
    <col min="16134" max="16134" width="12" customWidth="1"/>
    <col min="16135" max="16135" width="12.6640625" customWidth="1"/>
    <col min="16136" max="16136" width="14.33203125" customWidth="1"/>
    <col min="16137" max="16137" width="14.5" customWidth="1"/>
    <col min="16138" max="16138" width="30.5" customWidth="1"/>
  </cols>
  <sheetData>
    <row r="1" spans="1:11" ht="31.5" customHeight="1">
      <c r="A1" s="1342" t="s">
        <v>424</v>
      </c>
      <c r="B1" s="1343"/>
      <c r="C1" s="1343"/>
      <c r="D1" s="1344"/>
      <c r="E1" s="200"/>
      <c r="F1" s="200"/>
      <c r="G1" s="200"/>
      <c r="H1" s="200"/>
      <c r="I1" s="200"/>
      <c r="J1" s="200"/>
      <c r="K1" s="4"/>
    </row>
    <row r="2" spans="1:11" s="81" customFormat="1" ht="31.5" customHeight="1">
      <c r="A2" s="379"/>
      <c r="B2" s="1339" t="s">
        <v>370</v>
      </c>
      <c r="C2" s="1339"/>
      <c r="D2" s="1339"/>
      <c r="E2" s="1340" t="s">
        <v>622</v>
      </c>
      <c r="F2" s="1340"/>
      <c r="G2" s="1340"/>
      <c r="H2" s="1341" t="s">
        <v>623</v>
      </c>
      <c r="I2" s="1341"/>
      <c r="J2" s="1335" t="s">
        <v>631</v>
      </c>
      <c r="K2" s="147"/>
    </row>
    <row r="3" spans="1:11" s="81" customFormat="1" ht="19.5" customHeight="1">
      <c r="A3" s="419" t="s">
        <v>426</v>
      </c>
      <c r="B3" s="419"/>
      <c r="C3" s="419"/>
      <c r="D3" s="419"/>
      <c r="E3" s="1340"/>
      <c r="F3" s="1340"/>
      <c r="G3" s="1340"/>
      <c r="H3" s="1341"/>
      <c r="I3" s="1341"/>
      <c r="J3" s="1335"/>
      <c r="K3" s="147"/>
    </row>
    <row r="4" spans="1:11" s="81" customFormat="1" ht="16.5" customHeight="1">
      <c r="A4" s="419"/>
      <c r="B4" s="419"/>
      <c r="C4" s="419"/>
      <c r="D4" s="419"/>
      <c r="E4" s="1340"/>
      <c r="F4" s="1340"/>
      <c r="G4" s="1340"/>
      <c r="H4" s="1341"/>
      <c r="I4" s="1341"/>
      <c r="J4" s="1335"/>
      <c r="K4" s="147"/>
    </row>
    <row r="5" spans="1:11" s="81" customFormat="1" ht="31.5" customHeight="1">
      <c r="A5" s="1530" t="s">
        <v>3069</v>
      </c>
      <c r="B5" s="1313"/>
      <c r="C5" s="386"/>
      <c r="D5" s="275" t="s">
        <v>624</v>
      </c>
      <c r="E5" s="1238"/>
      <c r="F5" s="1238"/>
      <c r="G5" s="1238"/>
      <c r="H5" s="1341" t="s">
        <v>625</v>
      </c>
      <c r="I5" s="1341"/>
      <c r="J5" s="1335"/>
      <c r="K5" s="147"/>
    </row>
    <row r="6" spans="1:11" ht="31.5" customHeight="1">
      <c r="A6" s="1313"/>
      <c r="B6" s="1313"/>
      <c r="C6" s="390"/>
      <c r="D6" s="237"/>
      <c r="E6" s="1240"/>
      <c r="F6" s="1537"/>
      <c r="G6" s="1538"/>
      <c r="H6" s="1341"/>
      <c r="I6" s="1341"/>
      <c r="J6" s="1335"/>
      <c r="K6" s="4"/>
    </row>
    <row r="7" spans="1:11" ht="31.5" customHeight="1">
      <c r="A7" s="375" t="s">
        <v>653</v>
      </c>
      <c r="B7" s="330" t="s">
        <v>428</v>
      </c>
      <c r="C7" s="1311" t="s">
        <v>429</v>
      </c>
      <c r="D7" s="1317" t="s">
        <v>620</v>
      </c>
      <c r="E7" s="1318" t="s">
        <v>432</v>
      </c>
      <c r="F7" s="1316" t="s">
        <v>430</v>
      </c>
      <c r="G7" s="1317" t="s">
        <v>621</v>
      </c>
      <c r="H7" s="1328" t="s">
        <v>431</v>
      </c>
      <c r="I7" s="1328"/>
      <c r="J7" s="1327" t="s">
        <v>627</v>
      </c>
      <c r="K7" s="4"/>
    </row>
    <row r="8" spans="1:11" ht="23.25" customHeight="1">
      <c r="A8" s="367"/>
      <c r="B8" s="99"/>
      <c r="C8" s="1311"/>
      <c r="D8" s="1317"/>
      <c r="E8" s="1318"/>
      <c r="F8" s="1316"/>
      <c r="G8" s="1317"/>
      <c r="H8" s="1328"/>
      <c r="I8" s="1328"/>
      <c r="J8" s="1327"/>
      <c r="K8" s="4"/>
    </row>
    <row r="9" spans="1:11" ht="18.75" customHeight="1">
      <c r="A9" s="251"/>
      <c r="B9" s="1274" t="s">
        <v>472</v>
      </c>
      <c r="C9" s="1275"/>
      <c r="D9" s="1275"/>
      <c r="E9" s="1275"/>
      <c r="F9" s="1275"/>
      <c r="G9" s="1275"/>
      <c r="H9" s="367"/>
      <c r="I9" s="201"/>
      <c r="J9" s="237"/>
    </row>
    <row r="10" spans="1:11" ht="16.5" customHeight="1">
      <c r="A10" s="441"/>
      <c r="B10" s="1345" t="s">
        <v>473</v>
      </c>
      <c r="C10" s="1346"/>
      <c r="D10" s="1346"/>
      <c r="E10" s="1346"/>
      <c r="F10" s="1346"/>
      <c r="G10" s="1346"/>
      <c r="H10" s="442"/>
      <c r="I10" s="201"/>
      <c r="J10" s="237"/>
    </row>
    <row r="11" spans="1:11" ht="45" customHeight="1">
      <c r="A11" s="59" t="s">
        <v>2404</v>
      </c>
      <c r="B11" s="96" t="s">
        <v>1278</v>
      </c>
      <c r="C11" s="177" t="s">
        <v>630</v>
      </c>
      <c r="D11" s="201">
        <v>270</v>
      </c>
      <c r="E11" s="201">
        <f>SUM(D11*1.1)</f>
        <v>297</v>
      </c>
      <c r="F11" s="201">
        <f>SUM(G11*1.1)</f>
        <v>770.00000000000011</v>
      </c>
      <c r="G11" s="201">
        <v>700</v>
      </c>
      <c r="H11" s="215"/>
      <c r="I11" s="221" t="s">
        <v>541</v>
      </c>
      <c r="J11" s="427" t="s">
        <v>820</v>
      </c>
    </row>
    <row r="12" spans="1:11" ht="31.5" customHeight="1">
      <c r="A12" s="59" t="s">
        <v>2405</v>
      </c>
      <c r="B12" s="96" t="s">
        <v>1279</v>
      </c>
      <c r="C12" s="177" t="s">
        <v>630</v>
      </c>
      <c r="D12" s="201">
        <v>40</v>
      </c>
      <c r="E12" s="201">
        <f t="shared" ref="E12:E43" si="0">SUM(D12*1.1)</f>
        <v>44</v>
      </c>
      <c r="F12" s="201" t="s">
        <v>277</v>
      </c>
      <c r="G12" s="201" t="s">
        <v>277</v>
      </c>
      <c r="H12" s="215"/>
      <c r="I12" s="221"/>
      <c r="J12" s="427" t="s">
        <v>820</v>
      </c>
    </row>
    <row r="13" spans="1:11" ht="31.5" customHeight="1">
      <c r="A13" s="59" t="s">
        <v>2406</v>
      </c>
      <c r="B13" s="96" t="s">
        <v>1280</v>
      </c>
      <c r="C13" s="177" t="s">
        <v>630</v>
      </c>
      <c r="D13" s="201">
        <v>1.75</v>
      </c>
      <c r="E13" s="201">
        <f t="shared" si="0"/>
        <v>1.9250000000000003</v>
      </c>
      <c r="F13" s="201" t="s">
        <v>277</v>
      </c>
      <c r="G13" s="201" t="s">
        <v>277</v>
      </c>
      <c r="H13" s="215"/>
      <c r="I13" s="221" t="s">
        <v>537</v>
      </c>
      <c r="J13" s="427" t="s">
        <v>820</v>
      </c>
    </row>
    <row r="14" spans="1:11" ht="31.5" customHeight="1">
      <c r="A14" s="134"/>
      <c r="B14" s="1347" t="s">
        <v>477</v>
      </c>
      <c r="C14" s="1348"/>
      <c r="D14" s="1348"/>
      <c r="E14" s="1348"/>
      <c r="F14" s="1348"/>
      <c r="G14" s="1348"/>
      <c r="H14" s="304"/>
      <c r="I14" s="221"/>
      <c r="J14" s="154"/>
    </row>
    <row r="15" spans="1:11" ht="31.5" customHeight="1">
      <c r="A15" s="59" t="s">
        <v>2407</v>
      </c>
      <c r="B15" s="96" t="s">
        <v>1278</v>
      </c>
      <c r="C15" s="177" t="s">
        <v>630</v>
      </c>
      <c r="D15" s="201">
        <v>270</v>
      </c>
      <c r="E15" s="201">
        <f t="shared" si="0"/>
        <v>297</v>
      </c>
      <c r="F15" s="201">
        <f t="shared" ref="F15" si="1">SUM(G15*1.1)</f>
        <v>770.00000000000011</v>
      </c>
      <c r="G15" s="201">
        <v>700</v>
      </c>
      <c r="H15" s="215"/>
      <c r="I15" s="221" t="s">
        <v>541</v>
      </c>
      <c r="J15" s="427" t="s">
        <v>820</v>
      </c>
    </row>
    <row r="16" spans="1:11" ht="31.5" customHeight="1">
      <c r="A16" s="59" t="s">
        <v>2408</v>
      </c>
      <c r="B16" s="96" t="s">
        <v>1279</v>
      </c>
      <c r="C16" s="177" t="s">
        <v>630</v>
      </c>
      <c r="D16" s="201">
        <v>40</v>
      </c>
      <c r="E16" s="201">
        <f t="shared" si="0"/>
        <v>44</v>
      </c>
      <c r="F16" s="201" t="s">
        <v>277</v>
      </c>
      <c r="G16" s="201" t="s">
        <v>277</v>
      </c>
      <c r="H16" s="215"/>
      <c r="I16" s="221"/>
      <c r="J16" s="427" t="s">
        <v>820</v>
      </c>
    </row>
    <row r="17" spans="1:10" ht="31.5" customHeight="1">
      <c r="A17" s="59" t="s">
        <v>2409</v>
      </c>
      <c r="B17" s="96" t="s">
        <v>1281</v>
      </c>
      <c r="C17" s="177" t="s">
        <v>630</v>
      </c>
      <c r="D17" s="201">
        <v>1.8</v>
      </c>
      <c r="E17" s="201">
        <f t="shared" si="0"/>
        <v>1.9800000000000002</v>
      </c>
      <c r="F17" s="201" t="s">
        <v>277</v>
      </c>
      <c r="G17" s="201" t="s">
        <v>277</v>
      </c>
      <c r="H17" s="215"/>
      <c r="I17" s="221" t="s">
        <v>537</v>
      </c>
      <c r="J17" s="427" t="s">
        <v>820</v>
      </c>
    </row>
    <row r="18" spans="1:10" ht="11.25" customHeight="1">
      <c r="A18" s="59"/>
      <c r="B18" s="96"/>
      <c r="C18" s="177"/>
      <c r="D18" s="201"/>
      <c r="E18" s="201"/>
      <c r="F18" s="201"/>
      <c r="G18" s="201"/>
      <c r="H18" s="215"/>
      <c r="I18" s="221"/>
      <c r="J18" s="427"/>
    </row>
    <row r="19" spans="1:10" ht="33.75" customHeight="1">
      <c r="A19" s="134"/>
      <c r="B19" s="1349" t="s">
        <v>480</v>
      </c>
      <c r="C19" s="1346"/>
      <c r="D19" s="1346"/>
      <c r="E19" s="1346"/>
      <c r="F19" s="1346"/>
      <c r="G19" s="1346"/>
      <c r="H19" s="304"/>
      <c r="I19" s="221"/>
      <c r="J19" s="194"/>
    </row>
    <row r="20" spans="1:10" ht="57" customHeight="1">
      <c r="A20" s="744" t="s">
        <v>2410</v>
      </c>
      <c r="B20" s="355" t="s">
        <v>1282</v>
      </c>
      <c r="C20" s="233" t="s">
        <v>630</v>
      </c>
      <c r="D20" s="443">
        <v>92</v>
      </c>
      <c r="E20" s="201">
        <f t="shared" si="0"/>
        <v>101.2</v>
      </c>
      <c r="F20" s="201">
        <f>SUM(G20*1.1)</f>
        <v>110.00000000000001</v>
      </c>
      <c r="G20" s="201">
        <v>100</v>
      </c>
      <c r="H20" s="215"/>
      <c r="I20" s="155" t="s">
        <v>541</v>
      </c>
      <c r="J20" s="194"/>
    </row>
    <row r="21" spans="1:10" ht="31.5" customHeight="1">
      <c r="A21" s="744" t="s">
        <v>2411</v>
      </c>
      <c r="B21" s="355" t="s">
        <v>1279</v>
      </c>
      <c r="C21" s="233" t="s">
        <v>630</v>
      </c>
      <c r="D21" s="443">
        <v>34</v>
      </c>
      <c r="E21" s="201">
        <f t="shared" si="0"/>
        <v>37.400000000000006</v>
      </c>
      <c r="F21" s="201" t="s">
        <v>277</v>
      </c>
      <c r="G21" s="201" t="s">
        <v>277</v>
      </c>
      <c r="H21" s="215"/>
      <c r="I21" s="221"/>
      <c r="J21" s="194"/>
    </row>
    <row r="22" spans="1:10" ht="57.75" customHeight="1">
      <c r="A22" s="744" t="s">
        <v>2412</v>
      </c>
      <c r="B22" s="210" t="s">
        <v>1281</v>
      </c>
      <c r="C22" s="233" t="s">
        <v>630</v>
      </c>
      <c r="D22" s="443">
        <v>10</v>
      </c>
      <c r="E22" s="201">
        <f t="shared" si="0"/>
        <v>11</v>
      </c>
      <c r="F22" s="201" t="s">
        <v>277</v>
      </c>
      <c r="G22" s="201" t="s">
        <v>277</v>
      </c>
      <c r="H22" s="215"/>
      <c r="I22" s="221" t="s">
        <v>537</v>
      </c>
      <c r="J22" s="194"/>
    </row>
    <row r="23" spans="1:10" ht="12.75" customHeight="1">
      <c r="A23" s="134"/>
      <c r="B23" s="355"/>
      <c r="C23" s="238"/>
      <c r="D23" s="444"/>
      <c r="E23" s="201"/>
      <c r="F23" s="201"/>
      <c r="G23" s="234"/>
      <c r="H23" s="304"/>
      <c r="I23" s="221"/>
      <c r="J23" s="194"/>
    </row>
    <row r="24" spans="1:10" ht="31.5" customHeight="1">
      <c r="A24" s="134"/>
      <c r="B24" s="276" t="s">
        <v>479</v>
      </c>
      <c r="C24" s="238"/>
      <c r="D24" s="444"/>
      <c r="E24" s="201"/>
      <c r="F24" s="201"/>
      <c r="G24" s="234"/>
      <c r="H24" s="304"/>
      <c r="I24" s="221"/>
      <c r="J24" s="194"/>
    </row>
    <row r="25" spans="1:10" ht="31.5" customHeight="1">
      <c r="A25" s="57" t="s">
        <v>2413</v>
      </c>
      <c r="B25" s="355" t="s">
        <v>481</v>
      </c>
      <c r="C25" s="233" t="s">
        <v>630</v>
      </c>
      <c r="D25" s="443">
        <v>1600</v>
      </c>
      <c r="E25" s="201">
        <f t="shared" si="0"/>
        <v>1760.0000000000002</v>
      </c>
      <c r="F25" s="241">
        <f>SUM(G25*1.1)</f>
        <v>2420</v>
      </c>
      <c r="G25" s="344">
        <v>2200</v>
      </c>
      <c r="H25" s="215"/>
      <c r="I25" s="167" t="s">
        <v>540</v>
      </c>
      <c r="J25" s="194"/>
    </row>
    <row r="26" spans="1:10" ht="31.5" customHeight="1">
      <c r="A26" s="57" t="s">
        <v>2414</v>
      </c>
      <c r="B26" s="355" t="s">
        <v>482</v>
      </c>
      <c r="C26" s="233" t="s">
        <v>630</v>
      </c>
      <c r="D26" s="443">
        <v>395</v>
      </c>
      <c r="E26" s="201">
        <f t="shared" si="0"/>
        <v>434.50000000000006</v>
      </c>
      <c r="F26" s="201" t="s">
        <v>277</v>
      </c>
      <c r="G26" s="201" t="s">
        <v>277</v>
      </c>
      <c r="H26" s="215"/>
      <c r="I26" s="221"/>
      <c r="J26" s="194"/>
    </row>
    <row r="27" spans="1:10" ht="31.5" customHeight="1">
      <c r="A27" s="57" t="s">
        <v>2415</v>
      </c>
      <c r="B27" s="355" t="s">
        <v>483</v>
      </c>
      <c r="C27" s="233" t="s">
        <v>630</v>
      </c>
      <c r="D27" s="443">
        <v>36</v>
      </c>
      <c r="E27" s="201">
        <f t="shared" si="0"/>
        <v>39.6</v>
      </c>
      <c r="F27" s="201" t="s">
        <v>277</v>
      </c>
      <c r="G27" s="201" t="s">
        <v>277</v>
      </c>
      <c r="H27" s="215"/>
      <c r="I27" s="221" t="s">
        <v>537</v>
      </c>
      <c r="J27" s="194"/>
    </row>
    <row r="28" spans="1:10" ht="31.5" customHeight="1">
      <c r="A28" s="57" t="s">
        <v>277</v>
      </c>
      <c r="B28" s="355" t="s">
        <v>484</v>
      </c>
      <c r="C28" s="233" t="s">
        <v>630</v>
      </c>
      <c r="D28" s="180">
        <v>475</v>
      </c>
      <c r="E28" s="201">
        <f t="shared" si="0"/>
        <v>522.5</v>
      </c>
      <c r="F28" s="241" t="s">
        <v>783</v>
      </c>
      <c r="G28" s="344" t="s">
        <v>783</v>
      </c>
      <c r="H28" s="215"/>
      <c r="I28" s="221" t="s">
        <v>485</v>
      </c>
      <c r="J28" s="194"/>
    </row>
    <row r="29" spans="1:10" ht="15.75" customHeight="1">
      <c r="A29" s="134"/>
      <c r="B29" s="355"/>
      <c r="C29" s="238"/>
      <c r="D29" s="444"/>
      <c r="E29" s="201"/>
      <c r="F29" s="201"/>
      <c r="G29" s="234"/>
      <c r="H29" s="304"/>
      <c r="I29" s="221"/>
      <c r="J29" s="194"/>
    </row>
    <row r="30" spans="1:10" ht="31.5" customHeight="1">
      <c r="A30" s="134"/>
      <c r="B30" s="276" t="s">
        <v>486</v>
      </c>
      <c r="C30" s="238"/>
      <c r="D30" s="444"/>
      <c r="E30" s="201"/>
      <c r="F30" s="201"/>
      <c r="G30" s="234"/>
      <c r="H30" s="304"/>
      <c r="I30" s="221"/>
      <c r="J30" s="194"/>
    </row>
    <row r="31" spans="1:10" ht="31.5" customHeight="1">
      <c r="A31" s="57" t="s">
        <v>2416</v>
      </c>
      <c r="B31" s="355" t="s">
        <v>487</v>
      </c>
      <c r="C31" s="233" t="s">
        <v>630</v>
      </c>
      <c r="D31" s="443">
        <v>1300</v>
      </c>
      <c r="E31" s="201">
        <f t="shared" si="0"/>
        <v>1430.0000000000002</v>
      </c>
      <c r="F31" s="201">
        <f>SUM(G31*1.1)</f>
        <v>1089</v>
      </c>
      <c r="G31" s="344">
        <v>990</v>
      </c>
      <c r="H31" s="215"/>
      <c r="I31" s="221" t="s">
        <v>540</v>
      </c>
      <c r="J31" s="194"/>
    </row>
    <row r="32" spans="1:10" ht="31.5" customHeight="1">
      <c r="A32" s="57" t="s">
        <v>2417</v>
      </c>
      <c r="B32" s="355" t="s">
        <v>488</v>
      </c>
      <c r="C32" s="233" t="s">
        <v>630</v>
      </c>
      <c r="D32" s="443">
        <v>886</v>
      </c>
      <c r="E32" s="201">
        <f t="shared" si="0"/>
        <v>974.6</v>
      </c>
      <c r="F32" s="201" t="s">
        <v>277</v>
      </c>
      <c r="G32" s="201" t="s">
        <v>277</v>
      </c>
      <c r="H32" s="215"/>
      <c r="I32" s="221"/>
      <c r="J32" s="194"/>
    </row>
    <row r="33" spans="1:11" ht="31.5" customHeight="1">
      <c r="A33" s="57" t="s">
        <v>2418</v>
      </c>
      <c r="B33" s="210" t="s">
        <v>489</v>
      </c>
      <c r="C33" s="233" t="s">
        <v>630</v>
      </c>
      <c r="D33" s="180">
        <v>220</v>
      </c>
      <c r="E33" s="201">
        <f t="shared" si="0"/>
        <v>242.00000000000003</v>
      </c>
      <c r="F33" s="201" t="s">
        <v>277</v>
      </c>
      <c r="G33" s="201" t="s">
        <v>277</v>
      </c>
      <c r="H33" s="215"/>
      <c r="I33" s="221" t="s">
        <v>537</v>
      </c>
      <c r="J33" s="194"/>
    </row>
    <row r="34" spans="1:11" ht="31.5" customHeight="1">
      <c r="A34" s="134"/>
      <c r="B34" s="355"/>
      <c r="C34" s="238"/>
      <c r="D34" s="444"/>
      <c r="E34" s="201"/>
      <c r="F34" s="201"/>
      <c r="G34" s="234"/>
      <c r="H34" s="304"/>
      <c r="I34" s="221"/>
      <c r="J34" s="194"/>
    </row>
    <row r="35" spans="1:11" ht="31.5" customHeight="1">
      <c r="A35" s="134"/>
      <c r="B35" s="276" t="s">
        <v>490</v>
      </c>
      <c r="C35" s="238"/>
      <c r="D35" s="444"/>
      <c r="E35" s="201"/>
      <c r="F35" s="201"/>
      <c r="G35" s="234"/>
      <c r="H35" s="304"/>
      <c r="I35" s="221"/>
      <c r="J35" s="194"/>
    </row>
    <row r="36" spans="1:11" ht="31.5" customHeight="1">
      <c r="A36" s="57" t="s">
        <v>2419</v>
      </c>
      <c r="B36" s="355" t="s">
        <v>478</v>
      </c>
      <c r="C36" s="233" t="s">
        <v>630</v>
      </c>
      <c r="D36" s="443">
        <v>3000</v>
      </c>
      <c r="E36" s="201">
        <f t="shared" si="0"/>
        <v>3300.0000000000005</v>
      </c>
      <c r="F36" s="241" t="s">
        <v>783</v>
      </c>
      <c r="G36" s="344" t="s">
        <v>783</v>
      </c>
      <c r="H36" s="215"/>
      <c r="I36" s="221" t="s">
        <v>540</v>
      </c>
      <c r="J36" s="194"/>
    </row>
    <row r="37" spans="1:11" ht="31.5" customHeight="1">
      <c r="A37" s="57" t="s">
        <v>2420</v>
      </c>
      <c r="B37" s="355" t="s">
        <v>475</v>
      </c>
      <c r="C37" s="233" t="s">
        <v>630</v>
      </c>
      <c r="D37" s="443">
        <v>2250</v>
      </c>
      <c r="E37" s="201">
        <f t="shared" si="0"/>
        <v>2475</v>
      </c>
      <c r="F37" s="201" t="s">
        <v>277</v>
      </c>
      <c r="G37" s="201" t="s">
        <v>277</v>
      </c>
      <c r="H37" s="215"/>
      <c r="I37" s="221"/>
      <c r="J37" s="194"/>
    </row>
    <row r="38" spans="1:11" ht="31.5" customHeight="1">
      <c r="A38" s="57" t="s">
        <v>2421</v>
      </c>
      <c r="B38" s="210" t="s">
        <v>476</v>
      </c>
      <c r="C38" s="233" t="s">
        <v>630</v>
      </c>
      <c r="D38" s="443">
        <v>220</v>
      </c>
      <c r="E38" s="201">
        <f t="shared" si="0"/>
        <v>242.00000000000003</v>
      </c>
      <c r="F38" s="201" t="s">
        <v>277</v>
      </c>
      <c r="G38" s="201" t="s">
        <v>277</v>
      </c>
      <c r="H38" s="215"/>
      <c r="I38" s="221" t="s">
        <v>537</v>
      </c>
      <c r="J38" s="194"/>
    </row>
    <row r="39" spans="1:11" ht="31.5" customHeight="1">
      <c r="A39" s="134"/>
      <c r="B39" s="355"/>
      <c r="C39" s="238"/>
      <c r="D39" s="444"/>
      <c r="E39" s="201"/>
      <c r="F39" s="201"/>
      <c r="G39" s="234"/>
      <c r="H39" s="304"/>
      <c r="I39" s="221"/>
      <c r="J39" s="194"/>
    </row>
    <row r="40" spans="1:11" ht="31.5" customHeight="1">
      <c r="A40" s="134"/>
      <c r="B40" s="276" t="s">
        <v>491</v>
      </c>
      <c r="C40" s="238"/>
      <c r="D40" s="444"/>
      <c r="E40" s="201"/>
      <c r="F40" s="201"/>
      <c r="G40" s="234"/>
      <c r="H40" s="304"/>
      <c r="I40" s="221"/>
      <c r="J40" s="194"/>
    </row>
    <row r="41" spans="1:11" ht="31.5" customHeight="1">
      <c r="A41" s="57" t="s">
        <v>2422</v>
      </c>
      <c r="B41" s="355" t="s">
        <v>478</v>
      </c>
      <c r="C41" s="233" t="s">
        <v>630</v>
      </c>
      <c r="D41" s="201">
        <v>7000</v>
      </c>
      <c r="E41" s="201">
        <f t="shared" si="0"/>
        <v>7700.0000000000009</v>
      </c>
      <c r="F41" s="241" t="s">
        <v>783</v>
      </c>
      <c r="G41" s="344" t="s">
        <v>783</v>
      </c>
      <c r="H41" s="215"/>
      <c r="I41" s="221" t="s">
        <v>540</v>
      </c>
      <c r="J41" s="194"/>
    </row>
    <row r="42" spans="1:11" ht="31.5" customHeight="1">
      <c r="A42" s="57" t="s">
        <v>2423</v>
      </c>
      <c r="B42" s="355" t="s">
        <v>475</v>
      </c>
      <c r="C42" s="233" t="s">
        <v>630</v>
      </c>
      <c r="D42" s="201">
        <v>4500</v>
      </c>
      <c r="E42" s="201">
        <f t="shared" si="0"/>
        <v>4950</v>
      </c>
      <c r="F42" s="201" t="s">
        <v>277</v>
      </c>
      <c r="G42" s="201" t="s">
        <v>277</v>
      </c>
      <c r="H42" s="215"/>
      <c r="I42" s="221"/>
      <c r="J42" s="194"/>
    </row>
    <row r="43" spans="1:11" ht="31.5" customHeight="1">
      <c r="A43" s="57" t="s">
        <v>2424</v>
      </c>
      <c r="B43" s="210" t="s">
        <v>476</v>
      </c>
      <c r="C43" s="233" t="s">
        <v>630</v>
      </c>
      <c r="D43" s="201">
        <v>220</v>
      </c>
      <c r="E43" s="201">
        <f t="shared" si="0"/>
        <v>242.00000000000003</v>
      </c>
      <c r="F43" s="201" t="s">
        <v>277</v>
      </c>
      <c r="G43" s="201" t="s">
        <v>277</v>
      </c>
      <c r="H43" s="215"/>
      <c r="I43" s="221" t="s">
        <v>537</v>
      </c>
      <c r="J43" s="194"/>
    </row>
    <row r="44" spans="1:11" ht="31.5" customHeight="1">
      <c r="A44" s="57"/>
      <c r="B44" s="210"/>
      <c r="C44" s="233"/>
      <c r="D44" s="201"/>
      <c r="E44" s="201"/>
      <c r="F44" s="201"/>
      <c r="G44" s="201"/>
      <c r="H44" s="215"/>
      <c r="I44" s="221"/>
      <c r="J44" s="796"/>
    </row>
    <row r="45" spans="1:11" ht="31.5" customHeight="1">
      <c r="A45" s="135"/>
      <c r="B45" s="276" t="s">
        <v>2708</v>
      </c>
      <c r="C45" s="238"/>
      <c r="D45" s="444"/>
      <c r="E45" s="201"/>
      <c r="F45" s="201"/>
      <c r="G45" s="234"/>
      <c r="H45" s="304"/>
      <c r="I45" s="221"/>
      <c r="J45" s="796"/>
    </row>
    <row r="46" spans="1:11" ht="48" customHeight="1">
      <c r="A46" s="135" t="s">
        <v>2722</v>
      </c>
      <c r="B46" s="210" t="s">
        <v>2709</v>
      </c>
      <c r="C46" s="811" t="s">
        <v>630</v>
      </c>
      <c r="D46" s="813">
        <v>20</v>
      </c>
      <c r="E46" s="813">
        <f>D46*1.1</f>
        <v>22</v>
      </c>
      <c r="F46" s="814">
        <f>G46*1.1</f>
        <v>451.00000000000006</v>
      </c>
      <c r="G46" s="815">
        <v>410</v>
      </c>
      <c r="H46" s="812"/>
      <c r="I46" s="810" t="s">
        <v>2707</v>
      </c>
      <c r="J46" s="812"/>
    </row>
    <row r="47" spans="1:11" s="18" customFormat="1" ht="54" customHeight="1">
      <c r="A47" s="135" t="s">
        <v>2723</v>
      </c>
      <c r="B47" s="210" t="s">
        <v>2710</v>
      </c>
      <c r="C47" s="811" t="s">
        <v>630</v>
      </c>
      <c r="D47" s="813">
        <v>30</v>
      </c>
      <c r="E47" s="813">
        <f>D47*1.1</f>
        <v>33</v>
      </c>
      <c r="F47" s="815" t="s">
        <v>783</v>
      </c>
      <c r="G47" s="815" t="s">
        <v>783</v>
      </c>
      <c r="H47" s="812"/>
      <c r="I47" s="810" t="s">
        <v>2706</v>
      </c>
      <c r="J47" s="812"/>
      <c r="K47"/>
    </row>
    <row r="48" spans="1:11" s="18" customFormat="1" ht="44.25" customHeight="1">
      <c r="A48" s="135" t="s">
        <v>2724</v>
      </c>
      <c r="B48" s="210" t="s">
        <v>2711</v>
      </c>
      <c r="C48" s="811" t="s">
        <v>630</v>
      </c>
      <c r="D48" s="813">
        <v>4</v>
      </c>
      <c r="E48" s="813">
        <f>D48*1.1</f>
        <v>4.4000000000000004</v>
      </c>
      <c r="F48" s="815" t="s">
        <v>783</v>
      </c>
      <c r="G48" s="815" t="s">
        <v>783</v>
      </c>
      <c r="H48" s="812"/>
      <c r="I48" s="810" t="s">
        <v>2705</v>
      </c>
      <c r="J48" s="812"/>
      <c r="K48"/>
    </row>
    <row r="49" spans="1:11" s="18" customFormat="1" ht="31.5" customHeight="1">
      <c r="A49" s="445"/>
      <c r="B49" s="143"/>
      <c r="C49" s="143"/>
      <c r="D49" s="143"/>
      <c r="E49" s="143"/>
      <c r="F49" s="143"/>
      <c r="G49" s="143"/>
      <c r="H49" s="143"/>
      <c r="I49" s="143"/>
      <c r="J49" s="143"/>
      <c r="K49"/>
    </row>
    <row r="50" spans="1:11" s="18" customFormat="1" ht="31.5" customHeight="1">
      <c r="A50" s="445"/>
      <c r="B50" s="143"/>
      <c r="C50" s="143"/>
      <c r="D50" s="143"/>
      <c r="E50" s="143"/>
      <c r="F50" s="143"/>
      <c r="G50" s="143"/>
      <c r="H50" s="143"/>
      <c r="I50" s="143"/>
      <c r="J50" s="143"/>
      <c r="K50"/>
    </row>
    <row r="51" spans="1:11" s="18" customFormat="1" ht="31.5" customHeight="1">
      <c r="A51" s="445"/>
      <c r="B51" s="143"/>
      <c r="C51" s="143"/>
      <c r="D51" s="143"/>
      <c r="E51" s="143"/>
      <c r="F51" s="143"/>
      <c r="G51" s="143"/>
      <c r="H51" s="143"/>
      <c r="I51" s="143"/>
      <c r="J51" s="143"/>
      <c r="K51"/>
    </row>
    <row r="52" spans="1:11" s="18" customFormat="1" ht="31.5" customHeight="1">
      <c r="A52" s="445"/>
      <c r="B52" s="143"/>
      <c r="C52" s="143"/>
      <c r="D52" s="143"/>
      <c r="E52" s="143"/>
      <c r="F52" s="143"/>
      <c r="G52" s="143"/>
      <c r="H52" s="143"/>
      <c r="I52" s="143"/>
      <c r="J52" s="143"/>
      <c r="K52"/>
    </row>
    <row r="53" spans="1:11" s="18" customFormat="1" ht="31.5" customHeight="1">
      <c r="A53" s="445"/>
      <c r="B53" s="143"/>
      <c r="C53" s="143"/>
      <c r="D53" s="143"/>
      <c r="E53" s="143"/>
      <c r="F53" s="143"/>
      <c r="G53" s="143"/>
      <c r="H53" s="143"/>
      <c r="I53" s="143"/>
      <c r="J53" s="143"/>
      <c r="K53"/>
    </row>
    <row r="54" spans="1:11" s="18" customFormat="1" ht="31.5" customHeight="1">
      <c r="A54" s="445"/>
      <c r="B54" s="143"/>
      <c r="C54" s="143"/>
      <c r="D54" s="143"/>
      <c r="E54" s="143"/>
      <c r="F54" s="143"/>
      <c r="G54" s="143"/>
      <c r="H54" s="143"/>
      <c r="I54" s="143"/>
      <c r="J54" s="143"/>
      <c r="K54"/>
    </row>
    <row r="55" spans="1:11" s="18" customFormat="1" ht="31.5" customHeight="1">
      <c r="A55" s="445"/>
      <c r="B55" s="143"/>
      <c r="C55" s="143"/>
      <c r="D55" s="143"/>
      <c r="E55" s="143"/>
      <c r="F55" s="143"/>
      <c r="G55" s="143"/>
      <c r="H55" s="143"/>
      <c r="I55" s="143"/>
      <c r="J55" s="143"/>
      <c r="K55"/>
    </row>
    <row r="56" spans="1:11" ht="31.5" customHeight="1">
      <c r="A56" s="445"/>
    </row>
    <row r="57" spans="1:11" ht="31.5" customHeight="1">
      <c r="A57" s="445"/>
    </row>
    <row r="58" spans="1:11" ht="31.5" customHeight="1">
      <c r="A58" s="445"/>
    </row>
    <row r="59" spans="1:11" ht="31.5" customHeight="1">
      <c r="A59" s="445"/>
    </row>
    <row r="60" spans="1:11" ht="31.5" customHeight="1">
      <c r="A60" s="445"/>
    </row>
    <row r="61" spans="1:11" ht="31.5" customHeight="1">
      <c r="A61" s="445"/>
    </row>
    <row r="62" spans="1:11" ht="31.5" customHeight="1">
      <c r="A62" s="445"/>
    </row>
    <row r="63" spans="1:11" ht="31.5" customHeight="1">
      <c r="A63" s="445"/>
    </row>
    <row r="64" spans="1:11" ht="31.5" customHeight="1">
      <c r="A64" s="445"/>
    </row>
    <row r="65" spans="1:1" ht="31.5" customHeight="1">
      <c r="A65" s="445"/>
    </row>
    <row r="66" spans="1:1" ht="31.5" customHeight="1">
      <c r="A66" s="445"/>
    </row>
    <row r="67" spans="1:1" ht="31.5" customHeight="1">
      <c r="A67" s="445"/>
    </row>
    <row r="68" spans="1:1" ht="31.5" customHeight="1">
      <c r="A68" s="445"/>
    </row>
    <row r="69" spans="1:1" ht="31.5" customHeight="1">
      <c r="A69" s="445"/>
    </row>
    <row r="70" spans="1:1" ht="31.5" customHeight="1">
      <c r="A70" s="445"/>
    </row>
    <row r="71" spans="1:1" ht="31.5" customHeight="1">
      <c r="A71" s="445"/>
    </row>
    <row r="72" spans="1:1" ht="31.5" customHeight="1">
      <c r="A72" s="445"/>
    </row>
    <row r="73" spans="1:1" ht="31.5" customHeight="1">
      <c r="A73" s="445"/>
    </row>
    <row r="74" spans="1:1" ht="31.5" customHeight="1">
      <c r="A74" s="445"/>
    </row>
    <row r="75" spans="1:1" ht="31.5" customHeight="1">
      <c r="A75" s="445"/>
    </row>
    <row r="76" spans="1:1" ht="31.5" customHeight="1">
      <c r="A76" s="445"/>
    </row>
    <row r="77" spans="1:1" ht="31.5" customHeight="1">
      <c r="A77" s="445"/>
    </row>
    <row r="78" spans="1:1" ht="31.5" customHeight="1">
      <c r="A78" s="445"/>
    </row>
    <row r="79" spans="1:1" ht="31.5" customHeight="1">
      <c r="A79" s="445"/>
    </row>
    <row r="80" spans="1:1" ht="31.5" customHeight="1">
      <c r="A80" s="445"/>
    </row>
    <row r="81" spans="1:1" ht="31.5" customHeight="1">
      <c r="A81" s="445"/>
    </row>
    <row r="82" spans="1:1" ht="31.5" customHeight="1">
      <c r="A82" s="445"/>
    </row>
    <row r="83" spans="1:1" ht="31.5" customHeight="1">
      <c r="A83" s="445"/>
    </row>
    <row r="84" spans="1:1" ht="31.5" customHeight="1">
      <c r="A84" s="445"/>
    </row>
    <row r="85" spans="1:1" ht="31.5" customHeight="1">
      <c r="A85" s="445"/>
    </row>
    <row r="86" spans="1:1" ht="31.5" customHeight="1">
      <c r="A86" s="445"/>
    </row>
    <row r="87" spans="1:1" ht="31.5" customHeight="1">
      <c r="A87" s="445"/>
    </row>
  </sheetData>
  <mergeCells count="19">
    <mergeCell ref="B9:G9"/>
    <mergeCell ref="B10:G10"/>
    <mergeCell ref="B14:G14"/>
    <mergeCell ref="B19:G19"/>
    <mergeCell ref="C7:C8"/>
    <mergeCell ref="D7:D8"/>
    <mergeCell ref="E7:E8"/>
    <mergeCell ref="F7:F8"/>
    <mergeCell ref="G7:G8"/>
    <mergeCell ref="J7:J8"/>
    <mergeCell ref="A1:D1"/>
    <mergeCell ref="B2:D2"/>
    <mergeCell ref="E2:G4"/>
    <mergeCell ref="H2:I4"/>
    <mergeCell ref="J2:J6"/>
    <mergeCell ref="A5:B6"/>
    <mergeCell ref="H5:I6"/>
    <mergeCell ref="F6:G6"/>
    <mergeCell ref="H7:I8"/>
  </mergeCells>
  <pageMargins left="0.75" right="0.75" top="1" bottom="1" header="0.5" footer="0.5"/>
  <pageSetup scale="78" orientation="landscape" r:id="rId1"/>
  <headerFooter>
    <oddHeader>&amp;L&amp;F&amp;C&amp;A&amp;R&amp;G</oddHeader>
    <oddFooter>&amp;C&amp;"Tahoma,Italic"Use or disclosure of the data on this page or screen is subject to the restrictions on the title page or opening view screen of this proposal document or file.&amp;R&amp;P of &amp;N</oddFooter>
  </headerFooter>
  <rowBreaks count="1" manualBreakCount="1">
    <brk id="18" max="16383" man="1"/>
  </rowBreaks>
  <ignoredErrors>
    <ignoredError sqref="E20 B20:C22 B24 F25 B25:C28 F31 B31:C33 E36 B36:C38 B41:C43 E41 B19:G19 E21:G22 D24:G24 F26:G27 B34:G35 F32:G33 E37:G38 E42:G43 B11:G17 C45:G45 B39:G40 E31:E33 E25:E28 B29:G30 B23:G23" unlockedFormula="1"/>
  </ignoredErrors>
  <legacyDrawingHF r:id="rId2"/>
</worksheet>
</file>

<file path=xl/worksheets/sheet9.xml><?xml version="1.0" encoding="utf-8"?>
<worksheet xmlns="http://schemas.openxmlformats.org/spreadsheetml/2006/main" xmlns:r="http://schemas.openxmlformats.org/officeDocument/2006/relationships">
  <sheetPr codeName="Sheet11" enableFormatConditionsCalculation="0">
    <tabColor theme="3" tint="0.79998168889431442"/>
  </sheetPr>
  <dimension ref="A1:K92"/>
  <sheetViews>
    <sheetView zoomScaleNormal="100" zoomScaleSheetLayoutView="100" workbookViewId="0">
      <selection activeCell="A7" sqref="A7"/>
    </sheetView>
  </sheetViews>
  <sheetFormatPr defaultRowHeight="10.5"/>
  <cols>
    <col min="1" max="1" width="12.83203125" customWidth="1"/>
    <col min="2" max="2" width="16.6640625" customWidth="1"/>
    <col min="3" max="3" width="14.5" customWidth="1"/>
    <col min="4" max="4" width="12.6640625" style="133" hidden="1" customWidth="1"/>
    <col min="5" max="5" width="13.33203125" style="133" customWidth="1"/>
    <col min="6" max="6" width="11.5" style="133" customWidth="1"/>
    <col min="7" max="7" width="10.83203125" style="133" hidden="1" customWidth="1"/>
    <col min="8" max="8" width="14.33203125" customWidth="1"/>
    <col min="9" max="9" width="14.5" customWidth="1"/>
    <col min="10" max="10" width="30.5" customWidth="1"/>
  </cols>
  <sheetData>
    <row r="1" spans="1:11" ht="15" customHeight="1">
      <c r="A1" s="166" t="s">
        <v>424</v>
      </c>
      <c r="B1" s="166"/>
      <c r="C1" s="166"/>
      <c r="D1" s="166"/>
      <c r="E1" s="166"/>
      <c r="F1" s="166"/>
      <c r="G1" s="166"/>
      <c r="H1" s="166"/>
      <c r="I1" s="166"/>
      <c r="J1" s="166"/>
      <c r="K1" s="4"/>
    </row>
    <row r="2" spans="1:11" s="81" customFormat="1" ht="11.25" customHeight="1">
      <c r="A2" s="69" t="s">
        <v>425</v>
      </c>
      <c r="B2" s="1333" t="s">
        <v>370</v>
      </c>
      <c r="C2" s="1333"/>
      <c r="D2" s="1333"/>
      <c r="E2" s="1336" t="s">
        <v>622</v>
      </c>
      <c r="F2" s="1336"/>
      <c r="G2" s="1336"/>
      <c r="H2" s="1334" t="s">
        <v>623</v>
      </c>
      <c r="I2" s="1334"/>
      <c r="J2" s="1335" t="s">
        <v>631</v>
      </c>
      <c r="K2" s="147"/>
    </row>
    <row r="3" spans="1:11" s="81" customFormat="1" ht="10.5" customHeight="1">
      <c r="A3" s="102" t="s">
        <v>426</v>
      </c>
      <c r="B3" s="102"/>
      <c r="C3" s="102"/>
      <c r="D3" s="102"/>
      <c r="E3" s="1336"/>
      <c r="F3" s="1336"/>
      <c r="G3" s="1336"/>
      <c r="H3" s="1334"/>
      <c r="I3" s="1334"/>
      <c r="J3" s="1335"/>
      <c r="K3" s="147"/>
    </row>
    <row r="4" spans="1:11" s="81" customFormat="1" ht="10.5" customHeight="1">
      <c r="A4" s="102"/>
      <c r="B4" s="102"/>
      <c r="C4" s="102"/>
      <c r="D4" s="102"/>
      <c r="E4" s="1336"/>
      <c r="F4" s="1336"/>
      <c r="G4" s="1336"/>
      <c r="H4" s="1334"/>
      <c r="I4" s="1334"/>
      <c r="J4" s="1335"/>
      <c r="K4" s="147"/>
    </row>
    <row r="5" spans="1:11" s="81" customFormat="1" ht="12" customHeight="1">
      <c r="A5" s="1310" t="s">
        <v>3070</v>
      </c>
      <c r="B5" s="1310"/>
      <c r="C5" s="127"/>
      <c r="D5" s="328" t="s">
        <v>624</v>
      </c>
      <c r="E5" s="1236"/>
      <c r="F5" s="1236"/>
      <c r="G5" s="1236"/>
      <c r="H5" s="1334" t="s">
        <v>625</v>
      </c>
      <c r="I5" s="1334"/>
      <c r="J5" s="1335"/>
      <c r="K5" s="147"/>
    </row>
    <row r="6" spans="1:11" ht="69.75" customHeight="1">
      <c r="A6" s="1310"/>
      <c r="B6" s="1310"/>
      <c r="C6" s="325"/>
      <c r="D6" s="101"/>
      <c r="E6" s="1539"/>
      <c r="F6" s="1540"/>
      <c r="G6" s="1541"/>
      <c r="H6" s="1334"/>
      <c r="I6" s="1334"/>
      <c r="J6" s="1335"/>
      <c r="K6" s="4"/>
    </row>
    <row r="7" spans="1:11" ht="21" customHeight="1">
      <c r="A7" s="331" t="s">
        <v>653</v>
      </c>
      <c r="B7" s="330" t="s">
        <v>428</v>
      </c>
      <c r="C7" s="1311" t="s">
        <v>429</v>
      </c>
      <c r="D7" s="1320" t="s">
        <v>620</v>
      </c>
      <c r="E7" s="1312" t="s">
        <v>432</v>
      </c>
      <c r="F7" s="1319" t="s">
        <v>430</v>
      </c>
      <c r="G7" s="1320" t="s">
        <v>621</v>
      </c>
      <c r="H7" s="1328" t="s">
        <v>431</v>
      </c>
      <c r="I7" s="1328"/>
      <c r="J7" s="1327" t="s">
        <v>627</v>
      </c>
      <c r="K7" s="4"/>
    </row>
    <row r="8" spans="1:11" ht="21" customHeight="1">
      <c r="A8" s="326"/>
      <c r="B8" s="99"/>
      <c r="C8" s="1311"/>
      <c r="D8" s="1320"/>
      <c r="E8" s="1312"/>
      <c r="F8" s="1319"/>
      <c r="G8" s="1321"/>
      <c r="H8" s="1328"/>
      <c r="I8" s="1328"/>
      <c r="J8" s="1327"/>
      <c r="K8" s="4"/>
    </row>
    <row r="9" spans="1:11" ht="12.75">
      <c r="A9" s="48"/>
      <c r="B9" s="1274" t="s">
        <v>472</v>
      </c>
      <c r="C9" s="1351"/>
      <c r="D9" s="1351"/>
      <c r="E9" s="1351"/>
      <c r="F9" s="1351"/>
      <c r="G9" s="1351"/>
      <c r="H9" s="76"/>
      <c r="I9" s="16"/>
      <c r="J9" s="104"/>
    </row>
    <row r="10" spans="1:11" ht="12.75">
      <c r="A10" s="47"/>
      <c r="B10" s="1345" t="s">
        <v>473</v>
      </c>
      <c r="C10" s="1352"/>
      <c r="D10" s="1352"/>
      <c r="E10" s="1352"/>
      <c r="F10" s="1352"/>
      <c r="G10" s="1352"/>
      <c r="H10" s="109"/>
      <c r="I10" s="16"/>
      <c r="J10" s="104"/>
    </row>
    <row r="11" spans="1:11" ht="52.5">
      <c r="A11" s="59" t="s">
        <v>1902</v>
      </c>
      <c r="B11" s="61" t="s">
        <v>474</v>
      </c>
      <c r="C11" s="156" t="s">
        <v>628</v>
      </c>
      <c r="D11" s="180">
        <v>171.35</v>
      </c>
      <c r="E11" s="201">
        <f>SUM(D11*1.1)</f>
        <v>188.48500000000001</v>
      </c>
      <c r="F11" s="201">
        <f>SUM(G11*1.1)</f>
        <v>356.40000000000003</v>
      </c>
      <c r="G11" s="201">
        <v>324</v>
      </c>
      <c r="H11" s="82"/>
      <c r="I11" s="167" t="s">
        <v>541</v>
      </c>
      <c r="J11" s="250" t="s">
        <v>773</v>
      </c>
    </row>
    <row r="12" spans="1:11" ht="21">
      <c r="A12" s="59" t="s">
        <v>1903</v>
      </c>
      <c r="B12" s="61" t="s">
        <v>475</v>
      </c>
      <c r="C12" s="157" t="s">
        <v>628</v>
      </c>
      <c r="D12" s="180">
        <v>134.85</v>
      </c>
      <c r="E12" s="201">
        <f t="shared" ref="E12:E17" si="0">SUM(D12*1.1)</f>
        <v>148.33500000000001</v>
      </c>
      <c r="F12" s="201" t="s">
        <v>277</v>
      </c>
      <c r="G12" s="201" t="s">
        <v>277</v>
      </c>
      <c r="H12" s="82"/>
      <c r="I12" s="106"/>
      <c r="J12" s="250" t="s">
        <v>774</v>
      </c>
    </row>
    <row r="13" spans="1:11" ht="52.5">
      <c r="A13" s="59" t="s">
        <v>1904</v>
      </c>
      <c r="B13" s="61" t="s">
        <v>476</v>
      </c>
      <c r="C13" s="156" t="s">
        <v>628</v>
      </c>
      <c r="D13" s="180">
        <v>3.6</v>
      </c>
      <c r="E13" s="201">
        <f t="shared" si="0"/>
        <v>3.9600000000000004</v>
      </c>
      <c r="F13" s="201" t="s">
        <v>277</v>
      </c>
      <c r="G13" s="201" t="s">
        <v>277</v>
      </c>
      <c r="H13" s="82"/>
      <c r="I13" s="106" t="s">
        <v>537</v>
      </c>
      <c r="J13" s="250" t="s">
        <v>774</v>
      </c>
    </row>
    <row r="14" spans="1:11" ht="12.75">
      <c r="A14" s="63"/>
      <c r="B14" s="1347" t="s">
        <v>477</v>
      </c>
      <c r="C14" s="1350"/>
      <c r="D14" s="1350"/>
      <c r="E14" s="1350"/>
      <c r="F14" s="1350"/>
      <c r="G14" s="1350"/>
      <c r="H14" s="84"/>
      <c r="I14" s="106"/>
      <c r="J14" s="1"/>
    </row>
    <row r="15" spans="1:11" ht="31.5" customHeight="1">
      <c r="A15" s="59" t="s">
        <v>1905</v>
      </c>
      <c r="B15" s="61" t="s">
        <v>474</v>
      </c>
      <c r="C15" s="156" t="s">
        <v>628</v>
      </c>
      <c r="D15" s="180">
        <v>197.05</v>
      </c>
      <c r="E15" s="201">
        <f t="shared" si="0"/>
        <v>216.75500000000002</v>
      </c>
      <c r="F15" s="201">
        <f t="shared" ref="F15" si="1">SUM(G15*1.1)</f>
        <v>356.40000000000003</v>
      </c>
      <c r="G15" s="201">
        <v>324</v>
      </c>
      <c r="H15" s="82"/>
      <c r="I15" s="106" t="s">
        <v>541</v>
      </c>
      <c r="J15" s="250" t="s">
        <v>776</v>
      </c>
    </row>
    <row r="16" spans="1:11" ht="21">
      <c r="A16" s="59" t="s">
        <v>1906</v>
      </c>
      <c r="B16" s="61" t="s">
        <v>475</v>
      </c>
      <c r="C16" s="156" t="s">
        <v>628</v>
      </c>
      <c r="D16" s="180">
        <v>184.75</v>
      </c>
      <c r="E16" s="201">
        <f t="shared" si="0"/>
        <v>203.22500000000002</v>
      </c>
      <c r="F16" s="201" t="s">
        <v>277</v>
      </c>
      <c r="G16" s="201" t="s">
        <v>277</v>
      </c>
      <c r="H16" s="82"/>
      <c r="I16" s="106"/>
      <c r="J16" s="250" t="s">
        <v>775</v>
      </c>
    </row>
    <row r="17" spans="1:11" ht="52.5">
      <c r="A17" s="59" t="s">
        <v>1907</v>
      </c>
      <c r="B17" s="61" t="s">
        <v>476</v>
      </c>
      <c r="C17" s="156" t="s">
        <v>628</v>
      </c>
      <c r="D17" s="180">
        <v>9.35</v>
      </c>
      <c r="E17" s="201">
        <f t="shared" si="0"/>
        <v>10.285</v>
      </c>
      <c r="F17" s="201" t="s">
        <v>277</v>
      </c>
      <c r="G17" s="201" t="s">
        <v>277</v>
      </c>
      <c r="H17" s="82"/>
      <c r="I17" s="106" t="s">
        <v>537</v>
      </c>
      <c r="J17" s="250" t="s">
        <v>775</v>
      </c>
    </row>
    <row r="18" spans="1:11" ht="12.75">
      <c r="A18" s="63"/>
      <c r="B18" s="95"/>
      <c r="C18" s="15"/>
      <c r="D18" s="348"/>
      <c r="E18" s="201"/>
      <c r="F18" s="201"/>
      <c r="G18" s="201"/>
      <c r="H18" s="84"/>
      <c r="I18" s="106"/>
      <c r="J18" s="1"/>
    </row>
    <row r="19" spans="1:11" ht="12.75">
      <c r="A19" s="63"/>
      <c r="B19" s="1353" t="s">
        <v>480</v>
      </c>
      <c r="C19" s="1350"/>
      <c r="D19" s="1350"/>
      <c r="E19" s="1350"/>
      <c r="F19" s="1350"/>
      <c r="G19" s="1350"/>
      <c r="H19" s="84"/>
      <c r="I19" s="106"/>
      <c r="J19" s="1"/>
    </row>
    <row r="20" spans="1:11" ht="31.5" customHeight="1">
      <c r="A20" s="57" t="s">
        <v>1704</v>
      </c>
      <c r="B20" s="2" t="s">
        <v>478</v>
      </c>
      <c r="C20" s="156" t="s">
        <v>628</v>
      </c>
      <c r="D20" s="201">
        <v>92</v>
      </c>
      <c r="E20" s="201">
        <f t="shared" ref="E20:E22" si="2">SUM(D20*1.1)</f>
        <v>101.2</v>
      </c>
      <c r="F20" s="201">
        <v>109.14</v>
      </c>
      <c r="G20" s="201">
        <f>(F20-(F20*10%))</f>
        <v>98.225999999999999</v>
      </c>
      <c r="H20" s="82"/>
      <c r="I20" s="106" t="s">
        <v>541</v>
      </c>
      <c r="J20" s="265" t="s">
        <v>426</v>
      </c>
      <c r="K20" s="8"/>
    </row>
    <row r="21" spans="1:11" ht="21">
      <c r="A21" s="57" t="s">
        <v>1705</v>
      </c>
      <c r="B21" s="2" t="s">
        <v>475</v>
      </c>
      <c r="C21" s="156" t="s">
        <v>628</v>
      </c>
      <c r="D21" s="201">
        <v>34</v>
      </c>
      <c r="E21" s="201">
        <f t="shared" si="2"/>
        <v>37.400000000000006</v>
      </c>
      <c r="F21" s="201" t="s">
        <v>277</v>
      </c>
      <c r="G21" s="201" t="s">
        <v>277</v>
      </c>
      <c r="H21" s="82"/>
      <c r="I21" s="106"/>
      <c r="J21" s="265" t="s">
        <v>426</v>
      </c>
    </row>
    <row r="22" spans="1:11" ht="52.5">
      <c r="A22" s="57" t="s">
        <v>1706</v>
      </c>
      <c r="B22" s="2" t="s">
        <v>476</v>
      </c>
      <c r="C22" s="156" t="s">
        <v>628</v>
      </c>
      <c r="D22" s="201">
        <v>10</v>
      </c>
      <c r="E22" s="201">
        <f t="shared" si="2"/>
        <v>11</v>
      </c>
      <c r="F22" s="201" t="s">
        <v>277</v>
      </c>
      <c r="G22" s="201" t="s">
        <v>277</v>
      </c>
      <c r="H22" s="82"/>
      <c r="I22" s="106" t="s">
        <v>537</v>
      </c>
      <c r="J22" s="265" t="s">
        <v>426</v>
      </c>
    </row>
    <row r="23" spans="1:11" ht="12.75">
      <c r="A23" s="63"/>
      <c r="B23" s="350"/>
      <c r="C23" s="15"/>
      <c r="D23" s="348"/>
      <c r="E23" s="201"/>
      <c r="F23" s="201"/>
      <c r="G23" s="201"/>
      <c r="H23" s="84"/>
      <c r="I23" s="106"/>
      <c r="J23" s="1"/>
    </row>
    <row r="24" spans="1:11" ht="12.75">
      <c r="A24" s="63"/>
      <c r="B24" s="222" t="s">
        <v>479</v>
      </c>
      <c r="C24" s="15"/>
      <c r="D24" s="348"/>
      <c r="E24" s="201"/>
      <c r="F24" s="201"/>
      <c r="G24" s="201"/>
      <c r="H24" s="84"/>
      <c r="I24" s="106"/>
      <c r="J24" s="1"/>
    </row>
    <row r="25" spans="1:11" ht="31.5" customHeight="1">
      <c r="A25" s="57" t="s">
        <v>1707</v>
      </c>
      <c r="B25" s="350" t="s">
        <v>481</v>
      </c>
      <c r="C25" s="156" t="s">
        <v>628</v>
      </c>
      <c r="D25" s="201">
        <v>1600</v>
      </c>
      <c r="E25" s="201">
        <f t="shared" ref="E25:E28" si="3">SUM(D25*1.1)</f>
        <v>1760.0000000000002</v>
      </c>
      <c r="F25" s="241">
        <f>SUM(G25*1.1)</f>
        <v>2420</v>
      </c>
      <c r="G25" s="241">
        <v>2200</v>
      </c>
      <c r="H25" s="82"/>
      <c r="I25" s="106" t="s">
        <v>540</v>
      </c>
      <c r="J25" s="1"/>
    </row>
    <row r="26" spans="1:11" ht="21">
      <c r="A26" s="57" t="s">
        <v>1908</v>
      </c>
      <c r="B26" s="350" t="s">
        <v>482</v>
      </c>
      <c r="C26" s="156" t="s">
        <v>628</v>
      </c>
      <c r="D26" s="201">
        <v>395</v>
      </c>
      <c r="E26" s="201">
        <f t="shared" si="3"/>
        <v>434.50000000000006</v>
      </c>
      <c r="F26" s="201" t="s">
        <v>277</v>
      </c>
      <c r="G26" s="201" t="s">
        <v>277</v>
      </c>
      <c r="H26" s="82"/>
      <c r="I26" s="106"/>
      <c r="J26" s="1"/>
    </row>
    <row r="27" spans="1:11" ht="52.5">
      <c r="A27" s="57" t="s">
        <v>1708</v>
      </c>
      <c r="B27" s="350" t="s">
        <v>483</v>
      </c>
      <c r="C27" s="156" t="s">
        <v>628</v>
      </c>
      <c r="D27" s="201">
        <v>36</v>
      </c>
      <c r="E27" s="201">
        <f t="shared" si="3"/>
        <v>39.6</v>
      </c>
      <c r="F27" s="201" t="s">
        <v>277</v>
      </c>
      <c r="G27" s="201" t="s">
        <v>277</v>
      </c>
      <c r="H27" s="82"/>
      <c r="I27" s="106" t="s">
        <v>537</v>
      </c>
      <c r="J27" s="1"/>
    </row>
    <row r="28" spans="1:11" ht="42">
      <c r="A28" s="57" t="s">
        <v>277</v>
      </c>
      <c r="B28" s="350" t="s">
        <v>484</v>
      </c>
      <c r="C28" s="156" t="s">
        <v>628</v>
      </c>
      <c r="D28" s="180">
        <v>475</v>
      </c>
      <c r="E28" s="201">
        <f t="shared" si="3"/>
        <v>522.5</v>
      </c>
      <c r="F28" s="241" t="s">
        <v>783</v>
      </c>
      <c r="G28" s="241" t="s">
        <v>783</v>
      </c>
      <c r="H28" s="82"/>
      <c r="I28" s="106" t="s">
        <v>485</v>
      </c>
      <c r="J28" s="1"/>
    </row>
    <row r="29" spans="1:11" ht="12.75">
      <c r="A29" s="63"/>
      <c r="B29" s="350"/>
      <c r="C29" s="15"/>
      <c r="D29" s="348"/>
      <c r="E29" s="201"/>
      <c r="F29" s="201"/>
      <c r="G29" s="201"/>
      <c r="H29" s="84"/>
      <c r="I29" s="106"/>
      <c r="J29" s="1"/>
    </row>
    <row r="30" spans="1:11" ht="12.75">
      <c r="A30" s="63"/>
      <c r="B30" s="222" t="s">
        <v>486</v>
      </c>
      <c r="C30" s="15"/>
      <c r="D30" s="348"/>
      <c r="E30" s="201"/>
      <c r="F30" s="201"/>
      <c r="G30" s="201"/>
      <c r="H30" s="84"/>
      <c r="I30" s="106"/>
      <c r="J30" s="1"/>
    </row>
    <row r="31" spans="1:11" ht="31.5" customHeight="1">
      <c r="A31" s="57" t="s">
        <v>1709</v>
      </c>
      <c r="B31" s="2" t="s">
        <v>487</v>
      </c>
      <c r="C31" s="156" t="s">
        <v>628</v>
      </c>
      <c r="D31" s="201">
        <v>1300</v>
      </c>
      <c r="E31" s="201">
        <f t="shared" ref="E31:E33" si="4">SUM(D31*1.1)</f>
        <v>1430.0000000000002</v>
      </c>
      <c r="F31" s="201">
        <f>SUM(G31*1.1)</f>
        <v>1089</v>
      </c>
      <c r="G31" s="241">
        <v>990</v>
      </c>
      <c r="H31" s="82"/>
      <c r="I31" s="106" t="s">
        <v>540</v>
      </c>
      <c r="J31" s="1"/>
    </row>
    <row r="32" spans="1:11" ht="21">
      <c r="A32" s="57" t="s">
        <v>1710</v>
      </c>
      <c r="B32" s="2" t="s">
        <v>488</v>
      </c>
      <c r="C32" s="156" t="s">
        <v>628</v>
      </c>
      <c r="D32" s="201">
        <v>886</v>
      </c>
      <c r="E32" s="201">
        <f t="shared" si="4"/>
        <v>974.6</v>
      </c>
      <c r="F32" s="201" t="s">
        <v>277</v>
      </c>
      <c r="G32" s="201" t="s">
        <v>277</v>
      </c>
      <c r="H32" s="82"/>
      <c r="I32" s="106"/>
      <c r="J32" s="1"/>
    </row>
    <row r="33" spans="1:11" ht="52.5">
      <c r="A33" s="57" t="s">
        <v>1711</v>
      </c>
      <c r="B33" s="2" t="s">
        <v>489</v>
      </c>
      <c r="C33" s="156" t="s">
        <v>628</v>
      </c>
      <c r="D33" s="201">
        <v>220</v>
      </c>
      <c r="E33" s="201">
        <f t="shared" si="4"/>
        <v>242.00000000000003</v>
      </c>
      <c r="F33" s="201" t="s">
        <v>277</v>
      </c>
      <c r="G33" s="201" t="s">
        <v>277</v>
      </c>
      <c r="H33" s="82"/>
      <c r="I33" s="106" t="s">
        <v>537</v>
      </c>
      <c r="J33" s="1"/>
    </row>
    <row r="34" spans="1:11" ht="12.75">
      <c r="A34" s="63"/>
      <c r="B34" s="350"/>
      <c r="C34" s="15"/>
      <c r="D34" s="348"/>
      <c r="E34" s="201"/>
      <c r="F34" s="201"/>
      <c r="G34" s="201"/>
      <c r="H34" s="84"/>
      <c r="I34" s="106"/>
      <c r="J34" s="1"/>
    </row>
    <row r="35" spans="1:11" ht="12.75">
      <c r="A35" s="63"/>
      <c r="B35" s="222" t="s">
        <v>490</v>
      </c>
      <c r="C35" s="15"/>
      <c r="D35" s="348"/>
      <c r="E35" s="201"/>
      <c r="F35" s="201"/>
      <c r="G35" s="201"/>
      <c r="H35" s="84"/>
      <c r="I35" s="106"/>
      <c r="J35" s="1"/>
    </row>
    <row r="36" spans="1:11" ht="31.5" customHeight="1">
      <c r="A36" s="57" t="s">
        <v>1712</v>
      </c>
      <c r="B36" s="2" t="s">
        <v>478</v>
      </c>
      <c r="C36" s="156" t="s">
        <v>628</v>
      </c>
      <c r="D36" s="201">
        <v>3000</v>
      </c>
      <c r="E36" s="201">
        <f t="shared" ref="E36:E38" si="5">SUM(D36*1.1)</f>
        <v>3300.0000000000005</v>
      </c>
      <c r="F36" s="241" t="s">
        <v>783</v>
      </c>
      <c r="G36" s="241" t="s">
        <v>783</v>
      </c>
      <c r="H36" s="82"/>
      <c r="I36" s="106" t="s">
        <v>540</v>
      </c>
      <c r="J36" s="1"/>
    </row>
    <row r="37" spans="1:11" ht="21">
      <c r="A37" s="57" t="s">
        <v>1713</v>
      </c>
      <c r="B37" s="2" t="s">
        <v>475</v>
      </c>
      <c r="C37" s="156" t="s">
        <v>628</v>
      </c>
      <c r="D37" s="201">
        <v>2250</v>
      </c>
      <c r="E37" s="201">
        <f t="shared" si="5"/>
        <v>2475</v>
      </c>
      <c r="F37" s="201" t="s">
        <v>277</v>
      </c>
      <c r="G37" s="201" t="s">
        <v>277</v>
      </c>
      <c r="H37" s="82"/>
      <c r="I37" s="106"/>
      <c r="J37" s="1"/>
    </row>
    <row r="38" spans="1:11" ht="52.5">
      <c r="A38" s="57" t="s">
        <v>1714</v>
      </c>
      <c r="B38" s="2" t="s">
        <v>476</v>
      </c>
      <c r="C38" s="156" t="s">
        <v>628</v>
      </c>
      <c r="D38" s="201">
        <v>220</v>
      </c>
      <c r="E38" s="201">
        <f t="shared" si="5"/>
        <v>242.00000000000003</v>
      </c>
      <c r="F38" s="201" t="s">
        <v>277</v>
      </c>
      <c r="G38" s="201" t="s">
        <v>277</v>
      </c>
      <c r="H38" s="82"/>
      <c r="I38" s="106" t="s">
        <v>537</v>
      </c>
      <c r="J38" s="1"/>
    </row>
    <row r="39" spans="1:11" ht="12.75">
      <c r="A39" s="63"/>
      <c r="B39" s="350"/>
      <c r="C39" s="15"/>
      <c r="D39" s="348"/>
      <c r="E39" s="201"/>
      <c r="F39" s="201"/>
      <c r="G39" s="201"/>
      <c r="H39" s="84"/>
      <c r="I39" s="106"/>
      <c r="J39" s="1"/>
    </row>
    <row r="40" spans="1:11" ht="12.75">
      <c r="A40" s="63"/>
      <c r="B40" s="222" t="s">
        <v>491</v>
      </c>
      <c r="C40" s="15"/>
      <c r="D40" s="348"/>
      <c r="E40" s="201"/>
      <c r="F40" s="201"/>
      <c r="G40" s="201"/>
      <c r="H40" s="84"/>
      <c r="I40" s="106"/>
      <c r="J40" s="1"/>
    </row>
    <row r="41" spans="1:11" ht="31.5" customHeight="1">
      <c r="A41" s="57" t="s">
        <v>1715</v>
      </c>
      <c r="B41" s="2" t="s">
        <v>478</v>
      </c>
      <c r="C41" s="156" t="s">
        <v>628</v>
      </c>
      <c r="D41" s="201">
        <v>7000</v>
      </c>
      <c r="E41" s="201">
        <f t="shared" ref="E41:E43" si="6">SUM(D41*1.1)</f>
        <v>7700.0000000000009</v>
      </c>
      <c r="F41" s="241" t="s">
        <v>783</v>
      </c>
      <c r="G41" s="241" t="s">
        <v>783</v>
      </c>
      <c r="H41" s="82"/>
      <c r="I41" s="106" t="s">
        <v>540</v>
      </c>
      <c r="J41" s="1"/>
    </row>
    <row r="42" spans="1:11" ht="21">
      <c r="A42" s="57" t="s">
        <v>1716</v>
      </c>
      <c r="B42" s="2" t="s">
        <v>475</v>
      </c>
      <c r="C42" s="156" t="s">
        <v>628</v>
      </c>
      <c r="D42" s="201">
        <v>4500</v>
      </c>
      <c r="E42" s="201">
        <f t="shared" si="6"/>
        <v>4950</v>
      </c>
      <c r="F42" s="201" t="s">
        <v>277</v>
      </c>
      <c r="G42" s="201" t="s">
        <v>277</v>
      </c>
      <c r="H42" s="82"/>
      <c r="I42" s="106"/>
      <c r="J42" s="1"/>
    </row>
    <row r="43" spans="1:11" ht="52.5">
      <c r="A43" s="57" t="s">
        <v>1717</v>
      </c>
      <c r="B43" s="2" t="s">
        <v>476</v>
      </c>
      <c r="C43" s="156" t="s">
        <v>628</v>
      </c>
      <c r="D43" s="201">
        <v>220</v>
      </c>
      <c r="E43" s="201">
        <f t="shared" si="6"/>
        <v>242.00000000000003</v>
      </c>
      <c r="F43" s="201" t="s">
        <v>277</v>
      </c>
      <c r="G43" s="201" t="s">
        <v>277</v>
      </c>
      <c r="H43" s="82"/>
      <c r="I43" s="106" t="s">
        <v>537</v>
      </c>
      <c r="J43" s="1"/>
    </row>
    <row r="44" spans="1:11" ht="12.75">
      <c r="A44" s="63"/>
      <c r="B44" s="350"/>
      <c r="C44" s="15"/>
      <c r="D44" s="348"/>
      <c r="E44" s="201"/>
      <c r="F44" s="201"/>
      <c r="G44" s="201"/>
      <c r="H44" s="84"/>
      <c r="I44" s="106"/>
      <c r="J44" s="1"/>
    </row>
    <row r="45" spans="1:11" ht="31.5">
      <c r="A45" s="134"/>
      <c r="B45" s="276" t="s">
        <v>2708</v>
      </c>
      <c r="C45" s="238"/>
      <c r="D45" s="444"/>
      <c r="E45" s="201"/>
      <c r="F45" s="201"/>
      <c r="G45" s="234"/>
      <c r="H45" s="304"/>
      <c r="I45" s="221"/>
      <c r="J45" s="796"/>
    </row>
    <row r="46" spans="1:11" s="18" customFormat="1" ht="31.5">
      <c r="A46" s="135" t="s">
        <v>2725</v>
      </c>
      <c r="B46" s="210" t="s">
        <v>2703</v>
      </c>
      <c r="C46" s="811" t="s">
        <v>628</v>
      </c>
      <c r="D46" s="813">
        <v>26.5</v>
      </c>
      <c r="E46" s="813">
        <f>D46*1.1</f>
        <v>29.150000000000002</v>
      </c>
      <c r="F46" s="814">
        <f>G46*1.1</f>
        <v>154</v>
      </c>
      <c r="G46" s="815">
        <v>140</v>
      </c>
      <c r="H46" s="812"/>
      <c r="I46" s="810" t="s">
        <v>2707</v>
      </c>
      <c r="J46" s="812"/>
      <c r="K46"/>
    </row>
    <row r="47" spans="1:11" s="18" customFormat="1" ht="42">
      <c r="A47" s="135" t="s">
        <v>2726</v>
      </c>
      <c r="B47" s="210" t="s">
        <v>2704</v>
      </c>
      <c r="C47" s="811" t="s">
        <v>628</v>
      </c>
      <c r="D47" s="813">
        <v>19.399999999999999</v>
      </c>
      <c r="E47" s="813">
        <f>D47*1.1</f>
        <v>21.34</v>
      </c>
      <c r="F47" s="815" t="s">
        <v>783</v>
      </c>
      <c r="G47" s="815" t="s">
        <v>783</v>
      </c>
      <c r="H47" s="812"/>
      <c r="I47" s="810" t="s">
        <v>2712</v>
      </c>
      <c r="J47" s="812"/>
      <c r="K47"/>
    </row>
    <row r="48" spans="1:11" s="18" customFormat="1" ht="71.25" customHeight="1">
      <c r="A48" s="135" t="s">
        <v>2727</v>
      </c>
      <c r="B48" s="810" t="s">
        <v>2728</v>
      </c>
      <c r="C48" s="811" t="s">
        <v>628</v>
      </c>
      <c r="D48" s="813">
        <v>10.58</v>
      </c>
      <c r="E48" s="813">
        <f>D48*1.1</f>
        <v>11.638000000000002</v>
      </c>
      <c r="F48" s="815" t="s">
        <v>783</v>
      </c>
      <c r="G48" s="815" t="s">
        <v>783</v>
      </c>
      <c r="H48" s="812"/>
      <c r="I48" s="810" t="s">
        <v>2713</v>
      </c>
      <c r="J48" s="812"/>
      <c r="K48"/>
    </row>
    <row r="49" spans="1:11" s="18" customFormat="1">
      <c r="A49" s="50"/>
      <c r="B49" s="22"/>
      <c r="C49" s="23"/>
      <c r="D49" s="133"/>
      <c r="E49" s="133"/>
      <c r="F49" s="133"/>
      <c r="G49" s="133"/>
      <c r="K49"/>
    </row>
    <row r="50" spans="1:11" s="18" customFormat="1">
      <c r="A50" s="50"/>
      <c r="B50" s="22"/>
      <c r="C50" s="23"/>
      <c r="D50" s="133"/>
      <c r="E50" s="133"/>
      <c r="F50" s="133"/>
      <c r="G50" s="133"/>
      <c r="K50"/>
    </row>
    <row r="51" spans="1:11" s="18" customFormat="1">
      <c r="A51" s="50"/>
      <c r="B51" s="22"/>
      <c r="C51" s="23"/>
      <c r="D51" s="133"/>
      <c r="E51" s="133"/>
      <c r="F51" s="133"/>
      <c r="G51" s="133"/>
      <c r="K51"/>
    </row>
    <row r="52" spans="1:11" s="18" customFormat="1">
      <c r="A52" s="51"/>
      <c r="B52" s="22"/>
      <c r="C52" s="23"/>
      <c r="D52" s="133"/>
      <c r="E52" s="133"/>
      <c r="F52" s="133"/>
      <c r="G52" s="133"/>
      <c r="K52"/>
    </row>
    <row r="53" spans="1:11" s="18" customFormat="1">
      <c r="A53" s="51"/>
      <c r="B53" s="23"/>
      <c r="C53" s="23"/>
      <c r="D53" s="133"/>
      <c r="E53" s="133"/>
      <c r="F53" s="133"/>
      <c r="G53" s="133"/>
      <c r="K53"/>
    </row>
    <row r="54" spans="1:11" s="18" customFormat="1">
      <c r="A54" s="51"/>
      <c r="B54" s="23"/>
      <c r="C54" s="23"/>
      <c r="D54" s="133"/>
      <c r="E54" s="133"/>
      <c r="F54" s="133"/>
      <c r="G54" s="133"/>
      <c r="K54"/>
    </row>
    <row r="55" spans="1:11">
      <c r="A55" s="49"/>
      <c r="B55" s="8"/>
      <c r="C55" s="8"/>
    </row>
    <row r="56" spans="1:11">
      <c r="A56" s="49"/>
    </row>
    <row r="57" spans="1:11">
      <c r="A57" s="49"/>
    </row>
    <row r="58" spans="1:11">
      <c r="A58" s="49"/>
    </row>
    <row r="59" spans="1:11">
      <c r="A59" s="49"/>
    </row>
    <row r="60" spans="1:11">
      <c r="A60" s="49"/>
    </row>
    <row r="61" spans="1:11">
      <c r="A61" s="49"/>
    </row>
    <row r="62" spans="1:11">
      <c r="A62" s="49"/>
    </row>
    <row r="63" spans="1:11">
      <c r="A63" s="49"/>
    </row>
    <row r="64" spans="1:11">
      <c r="A64" s="49"/>
    </row>
    <row r="65" spans="1:1">
      <c r="A65" s="49"/>
    </row>
    <row r="66" spans="1:1">
      <c r="A66" s="49"/>
    </row>
    <row r="67" spans="1:1">
      <c r="A67" s="49"/>
    </row>
    <row r="68" spans="1:1">
      <c r="A68" s="49"/>
    </row>
    <row r="69" spans="1:1">
      <c r="A69" s="49"/>
    </row>
    <row r="70" spans="1:1">
      <c r="A70" s="49"/>
    </row>
    <row r="71" spans="1:1">
      <c r="A71" s="49"/>
    </row>
    <row r="72" spans="1:1">
      <c r="A72" s="49"/>
    </row>
    <row r="73" spans="1:1">
      <c r="A73" s="49"/>
    </row>
    <row r="74" spans="1:1">
      <c r="A74" s="49"/>
    </row>
    <row r="75" spans="1:1">
      <c r="A75" s="49"/>
    </row>
    <row r="76" spans="1:1">
      <c r="A76" s="49"/>
    </row>
    <row r="77" spans="1:1">
      <c r="A77" s="49"/>
    </row>
    <row r="78" spans="1:1">
      <c r="A78" s="49"/>
    </row>
    <row r="79" spans="1:1">
      <c r="A79" s="49"/>
    </row>
    <row r="80" spans="1:1">
      <c r="A80" s="49"/>
    </row>
    <row r="81" spans="1:1">
      <c r="A81" s="49"/>
    </row>
    <row r="82" spans="1:1">
      <c r="A82" s="49"/>
    </row>
    <row r="83" spans="1:1">
      <c r="A83" s="49"/>
    </row>
    <row r="84" spans="1:1">
      <c r="A84" s="49"/>
    </row>
    <row r="85" spans="1:1">
      <c r="A85" s="49"/>
    </row>
    <row r="86" spans="1:1">
      <c r="A86" s="49"/>
    </row>
    <row r="87" spans="1:1">
      <c r="A87" s="49"/>
    </row>
    <row r="88" spans="1:1">
      <c r="A88" s="49"/>
    </row>
    <row r="89" spans="1:1">
      <c r="A89" s="49"/>
    </row>
    <row r="90" spans="1:1">
      <c r="A90" s="49"/>
    </row>
    <row r="91" spans="1:1">
      <c r="A91" s="49"/>
    </row>
    <row r="92" spans="1:1">
      <c r="A92" s="49"/>
    </row>
  </sheetData>
  <mergeCells count="18">
    <mergeCell ref="B19:G19"/>
    <mergeCell ref="A5:B6"/>
    <mergeCell ref="H5:I6"/>
    <mergeCell ref="F6:G6"/>
    <mergeCell ref="C7:C8"/>
    <mergeCell ref="D7:D8"/>
    <mergeCell ref="E7:E8"/>
    <mergeCell ref="H7:I8"/>
    <mergeCell ref="J2:J6"/>
    <mergeCell ref="B14:G14"/>
    <mergeCell ref="B2:D2"/>
    <mergeCell ref="E2:G4"/>
    <mergeCell ref="H2:I4"/>
    <mergeCell ref="B9:G9"/>
    <mergeCell ref="B10:G10"/>
    <mergeCell ref="J7:J8"/>
    <mergeCell ref="F7:F8"/>
    <mergeCell ref="G7:G8"/>
  </mergeCells>
  <phoneticPr fontId="0" type="noConversion"/>
  <printOptions horizontalCentered="1"/>
  <pageMargins left="0.17" right="0.17" top="1" bottom="0.5" header="0.5" footer="0.24"/>
  <pageSetup scale="89" fitToHeight="2" orientation="landscape" r:id="rId1"/>
  <headerFooter alignWithMargins="0">
    <oddHeader>&amp;L&amp;F&amp;C&amp;"Tahoma,Bold"&amp;11&amp;A&amp;R&amp;G</oddHeader>
    <oddFooter>&amp;C&amp;"Tahoma,Italic"Use or disclosure of the data on this page or screen is subject to the restrictions on the title page or opening view screen of this proposal document or file.&amp;R&amp;P of &amp;N</oddFooter>
  </headerFooter>
  <rowBreaks count="3" manualBreakCount="3">
    <brk id="18" max="13" man="1"/>
    <brk id="29" max="16383" man="1"/>
    <brk id="39" max="13" man="1"/>
  </rowBreaks>
  <ignoredErrors>
    <ignoredError sqref="B20:C22 B25:C28 B31:C33 B39:G40 B36:C38 B41:C43 E25:E28 E31:F31 E41 B29:E29 G29 G26:G27 F25:F29 B11:G19 F21:G22 B30:G30 B34:G35 E32:G33 F37:G38 E42:G43 E36:E38 B44:G44 E20:E22 B23:G24" unlockedFormula="1"/>
  </ignoredErrors>
  <legacyDrawingHF r:id="rId2"/>
</worksheet>
</file>

<file path=xl/worksheets/sheet10.xml><?xml version="1.0" encoding="utf-8"?>
<worksheet xmlns="http://schemas.openxmlformats.org/spreadsheetml/2006/main" xmlns:r="http://schemas.openxmlformats.org/officeDocument/2006/relationships">
  <sheetPr>
    <tabColor theme="3" tint="0.79998168889431442"/>
  </sheetPr>
  <dimension ref="A1:K124"/>
  <sheetViews>
    <sheetView showWhiteSpace="0" zoomScaleNormal="100" workbookViewId="0">
      <selection activeCell="H2" sqref="H2:I6"/>
    </sheetView>
  </sheetViews>
  <sheetFormatPr defaultRowHeight="10.5"/>
  <cols>
    <col min="1" max="1" width="20.83203125" style="133" customWidth="1"/>
    <col min="2" max="2" width="20.1640625" style="143" customWidth="1"/>
    <col min="3" max="3" width="16.1640625" style="143" customWidth="1"/>
    <col min="4" max="4" width="11.5" style="143" hidden="1" customWidth="1"/>
    <col min="5" max="6" width="11" style="143" customWidth="1"/>
    <col min="7" max="7" width="12.1640625" style="143" hidden="1" customWidth="1"/>
    <col min="8" max="8" width="12.6640625" style="143" customWidth="1"/>
    <col min="9" max="9" width="21.33203125" style="143" customWidth="1"/>
    <col min="10" max="10" width="17" style="309" customWidth="1"/>
    <col min="11" max="11" width="11.33203125" customWidth="1"/>
    <col min="255" max="255" width="15.6640625" bestFit="1" customWidth="1"/>
    <col min="256" max="256" width="20.1640625" customWidth="1"/>
    <col min="257" max="257" width="16.1640625" customWidth="1"/>
    <col min="258" max="258" width="11.5" customWidth="1"/>
    <col min="259" max="260" width="11" customWidth="1"/>
    <col min="261" max="262" width="12.1640625" customWidth="1"/>
    <col min="263" max="263" width="10.1640625" customWidth="1"/>
    <col min="264" max="264" width="12.6640625" customWidth="1"/>
    <col min="265" max="265" width="21.33203125" customWidth="1"/>
    <col min="266" max="266" width="17" customWidth="1"/>
    <col min="267" max="267" width="11.33203125" customWidth="1"/>
    <col min="511" max="511" width="15.6640625" bestFit="1" customWidth="1"/>
    <col min="512" max="512" width="20.1640625" customWidth="1"/>
    <col min="513" max="513" width="16.1640625" customWidth="1"/>
    <col min="514" max="514" width="11.5" customWidth="1"/>
    <col min="515" max="516" width="11" customWidth="1"/>
    <col min="517" max="518" width="12.1640625" customWidth="1"/>
    <col min="519" max="519" width="10.1640625" customWidth="1"/>
    <col min="520" max="520" width="12.6640625" customWidth="1"/>
    <col min="521" max="521" width="21.33203125" customWidth="1"/>
    <col min="522" max="522" width="17" customWidth="1"/>
    <col min="523" max="523" width="11.33203125" customWidth="1"/>
    <col min="767" max="767" width="15.6640625" bestFit="1" customWidth="1"/>
    <col min="768" max="768" width="20.1640625" customWidth="1"/>
    <col min="769" max="769" width="16.1640625" customWidth="1"/>
    <col min="770" max="770" width="11.5" customWidth="1"/>
    <col min="771" max="772" width="11" customWidth="1"/>
    <col min="773" max="774" width="12.1640625" customWidth="1"/>
    <col min="775" max="775" width="10.1640625" customWidth="1"/>
    <col min="776" max="776" width="12.6640625" customWidth="1"/>
    <col min="777" max="777" width="21.33203125" customWidth="1"/>
    <col min="778" max="778" width="17" customWidth="1"/>
    <col min="779" max="779" width="11.33203125" customWidth="1"/>
    <col min="1023" max="1023" width="15.6640625" bestFit="1" customWidth="1"/>
    <col min="1024" max="1024" width="20.1640625" customWidth="1"/>
    <col min="1025" max="1025" width="16.1640625" customWidth="1"/>
    <col min="1026" max="1026" width="11.5" customWidth="1"/>
    <col min="1027" max="1028" width="11" customWidth="1"/>
    <col min="1029" max="1030" width="12.1640625" customWidth="1"/>
    <col min="1031" max="1031" width="10.1640625" customWidth="1"/>
    <col min="1032" max="1032" width="12.6640625" customWidth="1"/>
    <col min="1033" max="1033" width="21.33203125" customWidth="1"/>
    <col min="1034" max="1034" width="17" customWidth="1"/>
    <col min="1035" max="1035" width="11.33203125" customWidth="1"/>
    <col min="1279" max="1279" width="15.6640625" bestFit="1" customWidth="1"/>
    <col min="1280" max="1280" width="20.1640625" customWidth="1"/>
    <col min="1281" max="1281" width="16.1640625" customWidth="1"/>
    <col min="1282" max="1282" width="11.5" customWidth="1"/>
    <col min="1283" max="1284" width="11" customWidth="1"/>
    <col min="1285" max="1286" width="12.1640625" customWidth="1"/>
    <col min="1287" max="1287" width="10.1640625" customWidth="1"/>
    <col min="1288" max="1288" width="12.6640625" customWidth="1"/>
    <col min="1289" max="1289" width="21.33203125" customWidth="1"/>
    <col min="1290" max="1290" width="17" customWidth="1"/>
    <col min="1291" max="1291" width="11.33203125" customWidth="1"/>
    <col min="1535" max="1535" width="15.6640625" bestFit="1" customWidth="1"/>
    <col min="1536" max="1536" width="20.1640625" customWidth="1"/>
    <col min="1537" max="1537" width="16.1640625" customWidth="1"/>
    <col min="1538" max="1538" width="11.5" customWidth="1"/>
    <col min="1539" max="1540" width="11" customWidth="1"/>
    <col min="1541" max="1542" width="12.1640625" customWidth="1"/>
    <col min="1543" max="1543" width="10.1640625" customWidth="1"/>
    <col min="1544" max="1544" width="12.6640625" customWidth="1"/>
    <col min="1545" max="1545" width="21.33203125" customWidth="1"/>
    <col min="1546" max="1546" width="17" customWidth="1"/>
    <col min="1547" max="1547" width="11.33203125" customWidth="1"/>
    <col min="1791" max="1791" width="15.6640625" bestFit="1" customWidth="1"/>
    <col min="1792" max="1792" width="20.1640625" customWidth="1"/>
    <col min="1793" max="1793" width="16.1640625" customWidth="1"/>
    <col min="1794" max="1794" width="11.5" customWidth="1"/>
    <col min="1795" max="1796" width="11" customWidth="1"/>
    <col min="1797" max="1798" width="12.1640625" customWidth="1"/>
    <col min="1799" max="1799" width="10.1640625" customWidth="1"/>
    <col min="1800" max="1800" width="12.6640625" customWidth="1"/>
    <col min="1801" max="1801" width="21.33203125" customWidth="1"/>
    <col min="1802" max="1802" width="17" customWidth="1"/>
    <col min="1803" max="1803" width="11.33203125" customWidth="1"/>
    <col min="2047" max="2047" width="15.6640625" bestFit="1" customWidth="1"/>
    <col min="2048" max="2048" width="20.1640625" customWidth="1"/>
    <col min="2049" max="2049" width="16.1640625" customWidth="1"/>
    <col min="2050" max="2050" width="11.5" customWidth="1"/>
    <col min="2051" max="2052" width="11" customWidth="1"/>
    <col min="2053" max="2054" width="12.1640625" customWidth="1"/>
    <col min="2055" max="2055" width="10.1640625" customWidth="1"/>
    <col min="2056" max="2056" width="12.6640625" customWidth="1"/>
    <col min="2057" max="2057" width="21.33203125" customWidth="1"/>
    <col min="2058" max="2058" width="17" customWidth="1"/>
    <col min="2059" max="2059" width="11.33203125" customWidth="1"/>
    <col min="2303" max="2303" width="15.6640625" bestFit="1" customWidth="1"/>
    <col min="2304" max="2304" width="20.1640625" customWidth="1"/>
    <col min="2305" max="2305" width="16.1640625" customWidth="1"/>
    <col min="2306" max="2306" width="11.5" customWidth="1"/>
    <col min="2307" max="2308" width="11" customWidth="1"/>
    <col min="2309" max="2310" width="12.1640625" customWidth="1"/>
    <col min="2311" max="2311" width="10.1640625" customWidth="1"/>
    <col min="2312" max="2312" width="12.6640625" customWidth="1"/>
    <col min="2313" max="2313" width="21.33203125" customWidth="1"/>
    <col min="2314" max="2314" width="17" customWidth="1"/>
    <col min="2315" max="2315" width="11.33203125" customWidth="1"/>
    <col min="2559" max="2559" width="15.6640625" bestFit="1" customWidth="1"/>
    <col min="2560" max="2560" width="20.1640625" customWidth="1"/>
    <col min="2561" max="2561" width="16.1640625" customWidth="1"/>
    <col min="2562" max="2562" width="11.5" customWidth="1"/>
    <col min="2563" max="2564" width="11" customWidth="1"/>
    <col min="2565" max="2566" width="12.1640625" customWidth="1"/>
    <col min="2567" max="2567" width="10.1640625" customWidth="1"/>
    <col min="2568" max="2568" width="12.6640625" customWidth="1"/>
    <col min="2569" max="2569" width="21.33203125" customWidth="1"/>
    <col min="2570" max="2570" width="17" customWidth="1"/>
    <col min="2571" max="2571" width="11.33203125" customWidth="1"/>
    <col min="2815" max="2815" width="15.6640625" bestFit="1" customWidth="1"/>
    <col min="2816" max="2816" width="20.1640625" customWidth="1"/>
    <col min="2817" max="2817" width="16.1640625" customWidth="1"/>
    <col min="2818" max="2818" width="11.5" customWidth="1"/>
    <col min="2819" max="2820" width="11" customWidth="1"/>
    <col min="2821" max="2822" width="12.1640625" customWidth="1"/>
    <col min="2823" max="2823" width="10.1640625" customWidth="1"/>
    <col min="2824" max="2824" width="12.6640625" customWidth="1"/>
    <col min="2825" max="2825" width="21.33203125" customWidth="1"/>
    <col min="2826" max="2826" width="17" customWidth="1"/>
    <col min="2827" max="2827" width="11.33203125" customWidth="1"/>
    <col min="3071" max="3071" width="15.6640625" bestFit="1" customWidth="1"/>
    <col min="3072" max="3072" width="20.1640625" customWidth="1"/>
    <col min="3073" max="3073" width="16.1640625" customWidth="1"/>
    <col min="3074" max="3074" width="11.5" customWidth="1"/>
    <col min="3075" max="3076" width="11" customWidth="1"/>
    <col min="3077" max="3078" width="12.1640625" customWidth="1"/>
    <col min="3079" max="3079" width="10.1640625" customWidth="1"/>
    <col min="3080" max="3080" width="12.6640625" customWidth="1"/>
    <col min="3081" max="3081" width="21.33203125" customWidth="1"/>
    <col min="3082" max="3082" width="17" customWidth="1"/>
    <col min="3083" max="3083" width="11.33203125" customWidth="1"/>
    <col min="3327" max="3327" width="15.6640625" bestFit="1" customWidth="1"/>
    <col min="3328" max="3328" width="20.1640625" customWidth="1"/>
    <col min="3329" max="3329" width="16.1640625" customWidth="1"/>
    <col min="3330" max="3330" width="11.5" customWidth="1"/>
    <col min="3331" max="3332" width="11" customWidth="1"/>
    <col min="3333" max="3334" width="12.1640625" customWidth="1"/>
    <col min="3335" max="3335" width="10.1640625" customWidth="1"/>
    <col min="3336" max="3336" width="12.6640625" customWidth="1"/>
    <col min="3337" max="3337" width="21.33203125" customWidth="1"/>
    <col min="3338" max="3338" width="17" customWidth="1"/>
    <col min="3339" max="3339" width="11.33203125" customWidth="1"/>
    <col min="3583" max="3583" width="15.6640625" bestFit="1" customWidth="1"/>
    <col min="3584" max="3584" width="20.1640625" customWidth="1"/>
    <col min="3585" max="3585" width="16.1640625" customWidth="1"/>
    <col min="3586" max="3586" width="11.5" customWidth="1"/>
    <col min="3587" max="3588" width="11" customWidth="1"/>
    <col min="3589" max="3590" width="12.1640625" customWidth="1"/>
    <col min="3591" max="3591" width="10.1640625" customWidth="1"/>
    <col min="3592" max="3592" width="12.6640625" customWidth="1"/>
    <col min="3593" max="3593" width="21.33203125" customWidth="1"/>
    <col min="3594" max="3594" width="17" customWidth="1"/>
    <col min="3595" max="3595" width="11.33203125" customWidth="1"/>
    <col min="3839" max="3839" width="15.6640625" bestFit="1" customWidth="1"/>
    <col min="3840" max="3840" width="20.1640625" customWidth="1"/>
    <col min="3841" max="3841" width="16.1640625" customWidth="1"/>
    <col min="3842" max="3842" width="11.5" customWidth="1"/>
    <col min="3843" max="3844" width="11" customWidth="1"/>
    <col min="3845" max="3846" width="12.1640625" customWidth="1"/>
    <col min="3847" max="3847" width="10.1640625" customWidth="1"/>
    <col min="3848" max="3848" width="12.6640625" customWidth="1"/>
    <col min="3849" max="3849" width="21.33203125" customWidth="1"/>
    <col min="3850" max="3850" width="17" customWidth="1"/>
    <col min="3851" max="3851" width="11.33203125" customWidth="1"/>
    <col min="4095" max="4095" width="15.6640625" bestFit="1" customWidth="1"/>
    <col min="4096" max="4096" width="20.1640625" customWidth="1"/>
    <col min="4097" max="4097" width="16.1640625" customWidth="1"/>
    <col min="4098" max="4098" width="11.5" customWidth="1"/>
    <col min="4099" max="4100" width="11" customWidth="1"/>
    <col min="4101" max="4102" width="12.1640625" customWidth="1"/>
    <col min="4103" max="4103" width="10.1640625" customWidth="1"/>
    <col min="4104" max="4104" width="12.6640625" customWidth="1"/>
    <col min="4105" max="4105" width="21.33203125" customWidth="1"/>
    <col min="4106" max="4106" width="17" customWidth="1"/>
    <col min="4107" max="4107" width="11.33203125" customWidth="1"/>
    <col min="4351" max="4351" width="15.6640625" bestFit="1" customWidth="1"/>
    <col min="4352" max="4352" width="20.1640625" customWidth="1"/>
    <col min="4353" max="4353" width="16.1640625" customWidth="1"/>
    <col min="4354" max="4354" width="11.5" customWidth="1"/>
    <col min="4355" max="4356" width="11" customWidth="1"/>
    <col min="4357" max="4358" width="12.1640625" customWidth="1"/>
    <col min="4359" max="4359" width="10.1640625" customWidth="1"/>
    <col min="4360" max="4360" width="12.6640625" customWidth="1"/>
    <col min="4361" max="4361" width="21.33203125" customWidth="1"/>
    <col min="4362" max="4362" width="17" customWidth="1"/>
    <col min="4363" max="4363" width="11.33203125" customWidth="1"/>
    <col min="4607" max="4607" width="15.6640625" bestFit="1" customWidth="1"/>
    <col min="4608" max="4608" width="20.1640625" customWidth="1"/>
    <col min="4609" max="4609" width="16.1640625" customWidth="1"/>
    <col min="4610" max="4610" width="11.5" customWidth="1"/>
    <col min="4611" max="4612" width="11" customWidth="1"/>
    <col min="4613" max="4614" width="12.1640625" customWidth="1"/>
    <col min="4615" max="4615" width="10.1640625" customWidth="1"/>
    <col min="4616" max="4616" width="12.6640625" customWidth="1"/>
    <col min="4617" max="4617" width="21.33203125" customWidth="1"/>
    <col min="4618" max="4618" width="17" customWidth="1"/>
    <col min="4619" max="4619" width="11.33203125" customWidth="1"/>
    <col min="4863" max="4863" width="15.6640625" bestFit="1" customWidth="1"/>
    <col min="4864" max="4864" width="20.1640625" customWidth="1"/>
    <col min="4865" max="4865" width="16.1640625" customWidth="1"/>
    <col min="4866" max="4866" width="11.5" customWidth="1"/>
    <col min="4867" max="4868" width="11" customWidth="1"/>
    <col min="4869" max="4870" width="12.1640625" customWidth="1"/>
    <col min="4871" max="4871" width="10.1640625" customWidth="1"/>
    <col min="4872" max="4872" width="12.6640625" customWidth="1"/>
    <col min="4873" max="4873" width="21.33203125" customWidth="1"/>
    <col min="4874" max="4874" width="17" customWidth="1"/>
    <col min="4875" max="4875" width="11.33203125" customWidth="1"/>
    <col min="5119" max="5119" width="15.6640625" bestFit="1" customWidth="1"/>
    <col min="5120" max="5120" width="20.1640625" customWidth="1"/>
    <col min="5121" max="5121" width="16.1640625" customWidth="1"/>
    <col min="5122" max="5122" width="11.5" customWidth="1"/>
    <col min="5123" max="5124" width="11" customWidth="1"/>
    <col min="5125" max="5126" width="12.1640625" customWidth="1"/>
    <col min="5127" max="5127" width="10.1640625" customWidth="1"/>
    <col min="5128" max="5128" width="12.6640625" customWidth="1"/>
    <col min="5129" max="5129" width="21.33203125" customWidth="1"/>
    <col min="5130" max="5130" width="17" customWidth="1"/>
    <col min="5131" max="5131" width="11.33203125" customWidth="1"/>
    <col min="5375" max="5375" width="15.6640625" bestFit="1" customWidth="1"/>
    <col min="5376" max="5376" width="20.1640625" customWidth="1"/>
    <col min="5377" max="5377" width="16.1640625" customWidth="1"/>
    <col min="5378" max="5378" width="11.5" customWidth="1"/>
    <col min="5379" max="5380" width="11" customWidth="1"/>
    <col min="5381" max="5382" width="12.1640625" customWidth="1"/>
    <col min="5383" max="5383" width="10.1640625" customWidth="1"/>
    <col min="5384" max="5384" width="12.6640625" customWidth="1"/>
    <col min="5385" max="5385" width="21.33203125" customWidth="1"/>
    <col min="5386" max="5386" width="17" customWidth="1"/>
    <col min="5387" max="5387" width="11.33203125" customWidth="1"/>
    <col min="5631" max="5631" width="15.6640625" bestFit="1" customWidth="1"/>
    <col min="5632" max="5632" width="20.1640625" customWidth="1"/>
    <col min="5633" max="5633" width="16.1640625" customWidth="1"/>
    <col min="5634" max="5634" width="11.5" customWidth="1"/>
    <col min="5635" max="5636" width="11" customWidth="1"/>
    <col min="5637" max="5638" width="12.1640625" customWidth="1"/>
    <col min="5639" max="5639" width="10.1640625" customWidth="1"/>
    <col min="5640" max="5640" width="12.6640625" customWidth="1"/>
    <col min="5641" max="5641" width="21.33203125" customWidth="1"/>
    <col min="5642" max="5642" width="17" customWidth="1"/>
    <col min="5643" max="5643" width="11.33203125" customWidth="1"/>
    <col min="5887" max="5887" width="15.6640625" bestFit="1" customWidth="1"/>
    <col min="5888" max="5888" width="20.1640625" customWidth="1"/>
    <col min="5889" max="5889" width="16.1640625" customWidth="1"/>
    <col min="5890" max="5890" width="11.5" customWidth="1"/>
    <col min="5891" max="5892" width="11" customWidth="1"/>
    <col min="5893" max="5894" width="12.1640625" customWidth="1"/>
    <col min="5895" max="5895" width="10.1640625" customWidth="1"/>
    <col min="5896" max="5896" width="12.6640625" customWidth="1"/>
    <col min="5897" max="5897" width="21.33203125" customWidth="1"/>
    <col min="5898" max="5898" width="17" customWidth="1"/>
    <col min="5899" max="5899" width="11.33203125" customWidth="1"/>
    <col min="6143" max="6143" width="15.6640625" bestFit="1" customWidth="1"/>
    <col min="6144" max="6144" width="20.1640625" customWidth="1"/>
    <col min="6145" max="6145" width="16.1640625" customWidth="1"/>
    <col min="6146" max="6146" width="11.5" customWidth="1"/>
    <col min="6147" max="6148" width="11" customWidth="1"/>
    <col min="6149" max="6150" width="12.1640625" customWidth="1"/>
    <col min="6151" max="6151" width="10.1640625" customWidth="1"/>
    <col min="6152" max="6152" width="12.6640625" customWidth="1"/>
    <col min="6153" max="6153" width="21.33203125" customWidth="1"/>
    <col min="6154" max="6154" width="17" customWidth="1"/>
    <col min="6155" max="6155" width="11.33203125" customWidth="1"/>
    <col min="6399" max="6399" width="15.6640625" bestFit="1" customWidth="1"/>
    <col min="6400" max="6400" width="20.1640625" customWidth="1"/>
    <col min="6401" max="6401" width="16.1640625" customWidth="1"/>
    <col min="6402" max="6402" width="11.5" customWidth="1"/>
    <col min="6403" max="6404" width="11" customWidth="1"/>
    <col min="6405" max="6406" width="12.1640625" customWidth="1"/>
    <col min="6407" max="6407" width="10.1640625" customWidth="1"/>
    <col min="6408" max="6408" width="12.6640625" customWidth="1"/>
    <col min="6409" max="6409" width="21.33203125" customWidth="1"/>
    <col min="6410" max="6410" width="17" customWidth="1"/>
    <col min="6411" max="6411" width="11.33203125" customWidth="1"/>
    <col min="6655" max="6655" width="15.6640625" bestFit="1" customWidth="1"/>
    <col min="6656" max="6656" width="20.1640625" customWidth="1"/>
    <col min="6657" max="6657" width="16.1640625" customWidth="1"/>
    <col min="6658" max="6658" width="11.5" customWidth="1"/>
    <col min="6659" max="6660" width="11" customWidth="1"/>
    <col min="6661" max="6662" width="12.1640625" customWidth="1"/>
    <col min="6663" max="6663" width="10.1640625" customWidth="1"/>
    <col min="6664" max="6664" width="12.6640625" customWidth="1"/>
    <col min="6665" max="6665" width="21.33203125" customWidth="1"/>
    <col min="6666" max="6666" width="17" customWidth="1"/>
    <col min="6667" max="6667" width="11.33203125" customWidth="1"/>
    <col min="6911" max="6911" width="15.6640625" bestFit="1" customWidth="1"/>
    <col min="6912" max="6912" width="20.1640625" customWidth="1"/>
    <col min="6913" max="6913" width="16.1640625" customWidth="1"/>
    <col min="6914" max="6914" width="11.5" customWidth="1"/>
    <col min="6915" max="6916" width="11" customWidth="1"/>
    <col min="6917" max="6918" width="12.1640625" customWidth="1"/>
    <col min="6919" max="6919" width="10.1640625" customWidth="1"/>
    <col min="6920" max="6920" width="12.6640625" customWidth="1"/>
    <col min="6921" max="6921" width="21.33203125" customWidth="1"/>
    <col min="6922" max="6922" width="17" customWidth="1"/>
    <col min="6923" max="6923" width="11.33203125" customWidth="1"/>
    <col min="7167" max="7167" width="15.6640625" bestFit="1" customWidth="1"/>
    <col min="7168" max="7168" width="20.1640625" customWidth="1"/>
    <col min="7169" max="7169" width="16.1640625" customWidth="1"/>
    <col min="7170" max="7170" width="11.5" customWidth="1"/>
    <col min="7171" max="7172" width="11" customWidth="1"/>
    <col min="7173" max="7174" width="12.1640625" customWidth="1"/>
    <col min="7175" max="7175" width="10.1640625" customWidth="1"/>
    <col min="7176" max="7176" width="12.6640625" customWidth="1"/>
    <col min="7177" max="7177" width="21.33203125" customWidth="1"/>
    <col min="7178" max="7178" width="17" customWidth="1"/>
    <col min="7179" max="7179" width="11.33203125" customWidth="1"/>
    <col min="7423" max="7423" width="15.6640625" bestFit="1" customWidth="1"/>
    <col min="7424" max="7424" width="20.1640625" customWidth="1"/>
    <col min="7425" max="7425" width="16.1640625" customWidth="1"/>
    <col min="7426" max="7426" width="11.5" customWidth="1"/>
    <col min="7427" max="7428" width="11" customWidth="1"/>
    <col min="7429" max="7430" width="12.1640625" customWidth="1"/>
    <col min="7431" max="7431" width="10.1640625" customWidth="1"/>
    <col min="7432" max="7432" width="12.6640625" customWidth="1"/>
    <col min="7433" max="7433" width="21.33203125" customWidth="1"/>
    <col min="7434" max="7434" width="17" customWidth="1"/>
    <col min="7435" max="7435" width="11.33203125" customWidth="1"/>
    <col min="7679" max="7679" width="15.6640625" bestFit="1" customWidth="1"/>
    <col min="7680" max="7680" width="20.1640625" customWidth="1"/>
    <col min="7681" max="7681" width="16.1640625" customWidth="1"/>
    <col min="7682" max="7682" width="11.5" customWidth="1"/>
    <col min="7683" max="7684" width="11" customWidth="1"/>
    <col min="7685" max="7686" width="12.1640625" customWidth="1"/>
    <col min="7687" max="7687" width="10.1640625" customWidth="1"/>
    <col min="7688" max="7688" width="12.6640625" customWidth="1"/>
    <col min="7689" max="7689" width="21.33203125" customWidth="1"/>
    <col min="7690" max="7690" width="17" customWidth="1"/>
    <col min="7691" max="7691" width="11.33203125" customWidth="1"/>
    <col min="7935" max="7935" width="15.6640625" bestFit="1" customWidth="1"/>
    <col min="7936" max="7936" width="20.1640625" customWidth="1"/>
    <col min="7937" max="7937" width="16.1640625" customWidth="1"/>
    <col min="7938" max="7938" width="11.5" customWidth="1"/>
    <col min="7939" max="7940" width="11" customWidth="1"/>
    <col min="7941" max="7942" width="12.1640625" customWidth="1"/>
    <col min="7943" max="7943" width="10.1640625" customWidth="1"/>
    <col min="7944" max="7944" width="12.6640625" customWidth="1"/>
    <col min="7945" max="7945" width="21.33203125" customWidth="1"/>
    <col min="7946" max="7946" width="17" customWidth="1"/>
    <col min="7947" max="7947" width="11.33203125" customWidth="1"/>
    <col min="8191" max="8191" width="15.6640625" bestFit="1" customWidth="1"/>
    <col min="8192" max="8192" width="20.1640625" customWidth="1"/>
    <col min="8193" max="8193" width="16.1640625" customWidth="1"/>
    <col min="8194" max="8194" width="11.5" customWidth="1"/>
    <col min="8195" max="8196" width="11" customWidth="1"/>
    <col min="8197" max="8198" width="12.1640625" customWidth="1"/>
    <col min="8199" max="8199" width="10.1640625" customWidth="1"/>
    <col min="8200" max="8200" width="12.6640625" customWidth="1"/>
    <col min="8201" max="8201" width="21.33203125" customWidth="1"/>
    <col min="8202" max="8202" width="17" customWidth="1"/>
    <col min="8203" max="8203" width="11.33203125" customWidth="1"/>
    <col min="8447" max="8447" width="15.6640625" bestFit="1" customWidth="1"/>
    <col min="8448" max="8448" width="20.1640625" customWidth="1"/>
    <col min="8449" max="8449" width="16.1640625" customWidth="1"/>
    <col min="8450" max="8450" width="11.5" customWidth="1"/>
    <col min="8451" max="8452" width="11" customWidth="1"/>
    <col min="8453" max="8454" width="12.1640625" customWidth="1"/>
    <col min="8455" max="8455" width="10.1640625" customWidth="1"/>
    <col min="8456" max="8456" width="12.6640625" customWidth="1"/>
    <col min="8457" max="8457" width="21.33203125" customWidth="1"/>
    <col min="8458" max="8458" width="17" customWidth="1"/>
    <col min="8459" max="8459" width="11.33203125" customWidth="1"/>
    <col min="8703" max="8703" width="15.6640625" bestFit="1" customWidth="1"/>
    <col min="8704" max="8704" width="20.1640625" customWidth="1"/>
    <col min="8705" max="8705" width="16.1640625" customWidth="1"/>
    <col min="8706" max="8706" width="11.5" customWidth="1"/>
    <col min="8707" max="8708" width="11" customWidth="1"/>
    <col min="8709" max="8710" width="12.1640625" customWidth="1"/>
    <col min="8711" max="8711" width="10.1640625" customWidth="1"/>
    <col min="8712" max="8712" width="12.6640625" customWidth="1"/>
    <col min="8713" max="8713" width="21.33203125" customWidth="1"/>
    <col min="8714" max="8714" width="17" customWidth="1"/>
    <col min="8715" max="8715" width="11.33203125" customWidth="1"/>
    <col min="8959" max="8959" width="15.6640625" bestFit="1" customWidth="1"/>
    <col min="8960" max="8960" width="20.1640625" customWidth="1"/>
    <col min="8961" max="8961" width="16.1640625" customWidth="1"/>
    <col min="8962" max="8962" width="11.5" customWidth="1"/>
    <col min="8963" max="8964" width="11" customWidth="1"/>
    <col min="8965" max="8966" width="12.1640625" customWidth="1"/>
    <col min="8967" max="8967" width="10.1640625" customWidth="1"/>
    <col min="8968" max="8968" width="12.6640625" customWidth="1"/>
    <col min="8969" max="8969" width="21.33203125" customWidth="1"/>
    <col min="8970" max="8970" width="17" customWidth="1"/>
    <col min="8971" max="8971" width="11.33203125" customWidth="1"/>
    <col min="9215" max="9215" width="15.6640625" bestFit="1" customWidth="1"/>
    <col min="9216" max="9216" width="20.1640625" customWidth="1"/>
    <col min="9217" max="9217" width="16.1640625" customWidth="1"/>
    <col min="9218" max="9218" width="11.5" customWidth="1"/>
    <col min="9219" max="9220" width="11" customWidth="1"/>
    <col min="9221" max="9222" width="12.1640625" customWidth="1"/>
    <col min="9223" max="9223" width="10.1640625" customWidth="1"/>
    <col min="9224" max="9224" width="12.6640625" customWidth="1"/>
    <col min="9225" max="9225" width="21.33203125" customWidth="1"/>
    <col min="9226" max="9226" width="17" customWidth="1"/>
    <col min="9227" max="9227" width="11.33203125" customWidth="1"/>
    <col min="9471" max="9471" width="15.6640625" bestFit="1" customWidth="1"/>
    <col min="9472" max="9472" width="20.1640625" customWidth="1"/>
    <col min="9473" max="9473" width="16.1640625" customWidth="1"/>
    <col min="9474" max="9474" width="11.5" customWidth="1"/>
    <col min="9475" max="9476" width="11" customWidth="1"/>
    <col min="9477" max="9478" width="12.1640625" customWidth="1"/>
    <col min="9479" max="9479" width="10.1640625" customWidth="1"/>
    <col min="9480" max="9480" width="12.6640625" customWidth="1"/>
    <col min="9481" max="9481" width="21.33203125" customWidth="1"/>
    <col min="9482" max="9482" width="17" customWidth="1"/>
    <col min="9483" max="9483" width="11.33203125" customWidth="1"/>
    <col min="9727" max="9727" width="15.6640625" bestFit="1" customWidth="1"/>
    <col min="9728" max="9728" width="20.1640625" customWidth="1"/>
    <col min="9729" max="9729" width="16.1640625" customWidth="1"/>
    <col min="9730" max="9730" width="11.5" customWidth="1"/>
    <col min="9731" max="9732" width="11" customWidth="1"/>
    <col min="9733" max="9734" width="12.1640625" customWidth="1"/>
    <col min="9735" max="9735" width="10.1640625" customWidth="1"/>
    <col min="9736" max="9736" width="12.6640625" customWidth="1"/>
    <col min="9737" max="9737" width="21.33203125" customWidth="1"/>
    <col min="9738" max="9738" width="17" customWidth="1"/>
    <col min="9739" max="9739" width="11.33203125" customWidth="1"/>
    <col min="9983" max="9983" width="15.6640625" bestFit="1" customWidth="1"/>
    <col min="9984" max="9984" width="20.1640625" customWidth="1"/>
    <col min="9985" max="9985" width="16.1640625" customWidth="1"/>
    <col min="9986" max="9986" width="11.5" customWidth="1"/>
    <col min="9987" max="9988" width="11" customWidth="1"/>
    <col min="9989" max="9990" width="12.1640625" customWidth="1"/>
    <col min="9991" max="9991" width="10.1640625" customWidth="1"/>
    <col min="9992" max="9992" width="12.6640625" customWidth="1"/>
    <col min="9993" max="9993" width="21.33203125" customWidth="1"/>
    <col min="9994" max="9994" width="17" customWidth="1"/>
    <col min="9995" max="9995" width="11.33203125" customWidth="1"/>
    <col min="10239" max="10239" width="15.6640625" bestFit="1" customWidth="1"/>
    <col min="10240" max="10240" width="20.1640625" customWidth="1"/>
    <col min="10241" max="10241" width="16.1640625" customWidth="1"/>
    <col min="10242" max="10242" width="11.5" customWidth="1"/>
    <col min="10243" max="10244" width="11" customWidth="1"/>
    <col min="10245" max="10246" width="12.1640625" customWidth="1"/>
    <col min="10247" max="10247" width="10.1640625" customWidth="1"/>
    <col min="10248" max="10248" width="12.6640625" customWidth="1"/>
    <col min="10249" max="10249" width="21.33203125" customWidth="1"/>
    <col min="10250" max="10250" width="17" customWidth="1"/>
    <col min="10251" max="10251" width="11.33203125" customWidth="1"/>
    <col min="10495" max="10495" width="15.6640625" bestFit="1" customWidth="1"/>
    <col min="10496" max="10496" width="20.1640625" customWidth="1"/>
    <col min="10497" max="10497" width="16.1640625" customWidth="1"/>
    <col min="10498" max="10498" width="11.5" customWidth="1"/>
    <col min="10499" max="10500" width="11" customWidth="1"/>
    <col min="10501" max="10502" width="12.1640625" customWidth="1"/>
    <col min="10503" max="10503" width="10.1640625" customWidth="1"/>
    <col min="10504" max="10504" width="12.6640625" customWidth="1"/>
    <col min="10505" max="10505" width="21.33203125" customWidth="1"/>
    <col min="10506" max="10506" width="17" customWidth="1"/>
    <col min="10507" max="10507" width="11.33203125" customWidth="1"/>
    <col min="10751" max="10751" width="15.6640625" bestFit="1" customWidth="1"/>
    <col min="10752" max="10752" width="20.1640625" customWidth="1"/>
    <col min="10753" max="10753" width="16.1640625" customWidth="1"/>
    <col min="10754" max="10754" width="11.5" customWidth="1"/>
    <col min="10755" max="10756" width="11" customWidth="1"/>
    <col min="10757" max="10758" width="12.1640625" customWidth="1"/>
    <col min="10759" max="10759" width="10.1640625" customWidth="1"/>
    <col min="10760" max="10760" width="12.6640625" customWidth="1"/>
    <col min="10761" max="10761" width="21.33203125" customWidth="1"/>
    <col min="10762" max="10762" width="17" customWidth="1"/>
    <col min="10763" max="10763" width="11.33203125" customWidth="1"/>
    <col min="11007" max="11007" width="15.6640625" bestFit="1" customWidth="1"/>
    <col min="11008" max="11008" width="20.1640625" customWidth="1"/>
    <col min="11009" max="11009" width="16.1640625" customWidth="1"/>
    <col min="11010" max="11010" width="11.5" customWidth="1"/>
    <col min="11011" max="11012" width="11" customWidth="1"/>
    <col min="11013" max="11014" width="12.1640625" customWidth="1"/>
    <col min="11015" max="11015" width="10.1640625" customWidth="1"/>
    <col min="11016" max="11016" width="12.6640625" customWidth="1"/>
    <col min="11017" max="11017" width="21.33203125" customWidth="1"/>
    <col min="11018" max="11018" width="17" customWidth="1"/>
    <col min="11019" max="11019" width="11.33203125" customWidth="1"/>
    <col min="11263" max="11263" width="15.6640625" bestFit="1" customWidth="1"/>
    <col min="11264" max="11264" width="20.1640625" customWidth="1"/>
    <col min="11265" max="11265" width="16.1640625" customWidth="1"/>
    <col min="11266" max="11266" width="11.5" customWidth="1"/>
    <col min="11267" max="11268" width="11" customWidth="1"/>
    <col min="11269" max="11270" width="12.1640625" customWidth="1"/>
    <col min="11271" max="11271" width="10.1640625" customWidth="1"/>
    <col min="11272" max="11272" width="12.6640625" customWidth="1"/>
    <col min="11273" max="11273" width="21.33203125" customWidth="1"/>
    <col min="11274" max="11274" width="17" customWidth="1"/>
    <col min="11275" max="11275" width="11.33203125" customWidth="1"/>
    <col min="11519" max="11519" width="15.6640625" bestFit="1" customWidth="1"/>
    <col min="11520" max="11520" width="20.1640625" customWidth="1"/>
    <col min="11521" max="11521" width="16.1640625" customWidth="1"/>
    <col min="11522" max="11522" width="11.5" customWidth="1"/>
    <col min="11523" max="11524" width="11" customWidth="1"/>
    <col min="11525" max="11526" width="12.1640625" customWidth="1"/>
    <col min="11527" max="11527" width="10.1640625" customWidth="1"/>
    <col min="11528" max="11528" width="12.6640625" customWidth="1"/>
    <col min="11529" max="11529" width="21.33203125" customWidth="1"/>
    <col min="11530" max="11530" width="17" customWidth="1"/>
    <col min="11531" max="11531" width="11.33203125" customWidth="1"/>
    <col min="11775" max="11775" width="15.6640625" bestFit="1" customWidth="1"/>
    <col min="11776" max="11776" width="20.1640625" customWidth="1"/>
    <col min="11777" max="11777" width="16.1640625" customWidth="1"/>
    <col min="11778" max="11778" width="11.5" customWidth="1"/>
    <col min="11779" max="11780" width="11" customWidth="1"/>
    <col min="11781" max="11782" width="12.1640625" customWidth="1"/>
    <col min="11783" max="11783" width="10.1640625" customWidth="1"/>
    <col min="11784" max="11784" width="12.6640625" customWidth="1"/>
    <col min="11785" max="11785" width="21.33203125" customWidth="1"/>
    <col min="11786" max="11786" width="17" customWidth="1"/>
    <col min="11787" max="11787" width="11.33203125" customWidth="1"/>
    <col min="12031" max="12031" width="15.6640625" bestFit="1" customWidth="1"/>
    <col min="12032" max="12032" width="20.1640625" customWidth="1"/>
    <col min="12033" max="12033" width="16.1640625" customWidth="1"/>
    <col min="12034" max="12034" width="11.5" customWidth="1"/>
    <col min="12035" max="12036" width="11" customWidth="1"/>
    <col min="12037" max="12038" width="12.1640625" customWidth="1"/>
    <col min="12039" max="12039" width="10.1640625" customWidth="1"/>
    <col min="12040" max="12040" width="12.6640625" customWidth="1"/>
    <col min="12041" max="12041" width="21.33203125" customWidth="1"/>
    <col min="12042" max="12042" width="17" customWidth="1"/>
    <col min="12043" max="12043" width="11.33203125" customWidth="1"/>
    <col min="12287" max="12287" width="15.6640625" bestFit="1" customWidth="1"/>
    <col min="12288" max="12288" width="20.1640625" customWidth="1"/>
    <col min="12289" max="12289" width="16.1640625" customWidth="1"/>
    <col min="12290" max="12290" width="11.5" customWidth="1"/>
    <col min="12291" max="12292" width="11" customWidth="1"/>
    <col min="12293" max="12294" width="12.1640625" customWidth="1"/>
    <col min="12295" max="12295" width="10.1640625" customWidth="1"/>
    <col min="12296" max="12296" width="12.6640625" customWidth="1"/>
    <col min="12297" max="12297" width="21.33203125" customWidth="1"/>
    <col min="12298" max="12298" width="17" customWidth="1"/>
    <col min="12299" max="12299" width="11.33203125" customWidth="1"/>
    <col min="12543" max="12543" width="15.6640625" bestFit="1" customWidth="1"/>
    <col min="12544" max="12544" width="20.1640625" customWidth="1"/>
    <col min="12545" max="12545" width="16.1640625" customWidth="1"/>
    <col min="12546" max="12546" width="11.5" customWidth="1"/>
    <col min="12547" max="12548" width="11" customWidth="1"/>
    <col min="12549" max="12550" width="12.1640625" customWidth="1"/>
    <col min="12551" max="12551" width="10.1640625" customWidth="1"/>
    <col min="12552" max="12552" width="12.6640625" customWidth="1"/>
    <col min="12553" max="12553" width="21.33203125" customWidth="1"/>
    <col min="12554" max="12554" width="17" customWidth="1"/>
    <col min="12555" max="12555" width="11.33203125" customWidth="1"/>
    <col min="12799" max="12799" width="15.6640625" bestFit="1" customWidth="1"/>
    <col min="12800" max="12800" width="20.1640625" customWidth="1"/>
    <col min="12801" max="12801" width="16.1640625" customWidth="1"/>
    <col min="12802" max="12802" width="11.5" customWidth="1"/>
    <col min="12803" max="12804" width="11" customWidth="1"/>
    <col min="12805" max="12806" width="12.1640625" customWidth="1"/>
    <col min="12807" max="12807" width="10.1640625" customWidth="1"/>
    <col min="12808" max="12808" width="12.6640625" customWidth="1"/>
    <col min="12809" max="12809" width="21.33203125" customWidth="1"/>
    <col min="12810" max="12810" width="17" customWidth="1"/>
    <col min="12811" max="12811" width="11.33203125" customWidth="1"/>
    <col min="13055" max="13055" width="15.6640625" bestFit="1" customWidth="1"/>
    <col min="13056" max="13056" width="20.1640625" customWidth="1"/>
    <col min="13057" max="13057" width="16.1640625" customWidth="1"/>
    <col min="13058" max="13058" width="11.5" customWidth="1"/>
    <col min="13059" max="13060" width="11" customWidth="1"/>
    <col min="13061" max="13062" width="12.1640625" customWidth="1"/>
    <col min="13063" max="13063" width="10.1640625" customWidth="1"/>
    <col min="13064" max="13064" width="12.6640625" customWidth="1"/>
    <col min="13065" max="13065" width="21.33203125" customWidth="1"/>
    <col min="13066" max="13066" width="17" customWidth="1"/>
    <col min="13067" max="13067" width="11.33203125" customWidth="1"/>
    <col min="13311" max="13311" width="15.6640625" bestFit="1" customWidth="1"/>
    <col min="13312" max="13312" width="20.1640625" customWidth="1"/>
    <col min="13313" max="13313" width="16.1640625" customWidth="1"/>
    <col min="13314" max="13314" width="11.5" customWidth="1"/>
    <col min="13315" max="13316" width="11" customWidth="1"/>
    <col min="13317" max="13318" width="12.1640625" customWidth="1"/>
    <col min="13319" max="13319" width="10.1640625" customWidth="1"/>
    <col min="13320" max="13320" width="12.6640625" customWidth="1"/>
    <col min="13321" max="13321" width="21.33203125" customWidth="1"/>
    <col min="13322" max="13322" width="17" customWidth="1"/>
    <col min="13323" max="13323" width="11.33203125" customWidth="1"/>
    <col min="13567" max="13567" width="15.6640625" bestFit="1" customWidth="1"/>
    <col min="13568" max="13568" width="20.1640625" customWidth="1"/>
    <col min="13569" max="13569" width="16.1640625" customWidth="1"/>
    <col min="13570" max="13570" width="11.5" customWidth="1"/>
    <col min="13571" max="13572" width="11" customWidth="1"/>
    <col min="13573" max="13574" width="12.1640625" customWidth="1"/>
    <col min="13575" max="13575" width="10.1640625" customWidth="1"/>
    <col min="13576" max="13576" width="12.6640625" customWidth="1"/>
    <col min="13577" max="13577" width="21.33203125" customWidth="1"/>
    <col min="13578" max="13578" width="17" customWidth="1"/>
    <col min="13579" max="13579" width="11.33203125" customWidth="1"/>
    <col min="13823" max="13823" width="15.6640625" bestFit="1" customWidth="1"/>
    <col min="13824" max="13824" width="20.1640625" customWidth="1"/>
    <col min="13825" max="13825" width="16.1640625" customWidth="1"/>
    <col min="13826" max="13826" width="11.5" customWidth="1"/>
    <col min="13827" max="13828" width="11" customWidth="1"/>
    <col min="13829" max="13830" width="12.1640625" customWidth="1"/>
    <col min="13831" max="13831" width="10.1640625" customWidth="1"/>
    <col min="13832" max="13832" width="12.6640625" customWidth="1"/>
    <col min="13833" max="13833" width="21.33203125" customWidth="1"/>
    <col min="13834" max="13834" width="17" customWidth="1"/>
    <col min="13835" max="13835" width="11.33203125" customWidth="1"/>
    <col min="14079" max="14079" width="15.6640625" bestFit="1" customWidth="1"/>
    <col min="14080" max="14080" width="20.1640625" customWidth="1"/>
    <col min="14081" max="14081" width="16.1640625" customWidth="1"/>
    <col min="14082" max="14082" width="11.5" customWidth="1"/>
    <col min="14083" max="14084" width="11" customWidth="1"/>
    <col min="14085" max="14086" width="12.1640625" customWidth="1"/>
    <col min="14087" max="14087" width="10.1640625" customWidth="1"/>
    <col min="14088" max="14088" width="12.6640625" customWidth="1"/>
    <col min="14089" max="14089" width="21.33203125" customWidth="1"/>
    <col min="14090" max="14090" width="17" customWidth="1"/>
    <col min="14091" max="14091" width="11.33203125" customWidth="1"/>
    <col min="14335" max="14335" width="15.6640625" bestFit="1" customWidth="1"/>
    <col min="14336" max="14336" width="20.1640625" customWidth="1"/>
    <col min="14337" max="14337" width="16.1640625" customWidth="1"/>
    <col min="14338" max="14338" width="11.5" customWidth="1"/>
    <col min="14339" max="14340" width="11" customWidth="1"/>
    <col min="14341" max="14342" width="12.1640625" customWidth="1"/>
    <col min="14343" max="14343" width="10.1640625" customWidth="1"/>
    <col min="14344" max="14344" width="12.6640625" customWidth="1"/>
    <col min="14345" max="14345" width="21.33203125" customWidth="1"/>
    <col min="14346" max="14346" width="17" customWidth="1"/>
    <col min="14347" max="14347" width="11.33203125" customWidth="1"/>
    <col min="14591" max="14591" width="15.6640625" bestFit="1" customWidth="1"/>
    <col min="14592" max="14592" width="20.1640625" customWidth="1"/>
    <col min="14593" max="14593" width="16.1640625" customWidth="1"/>
    <col min="14594" max="14594" width="11.5" customWidth="1"/>
    <col min="14595" max="14596" width="11" customWidth="1"/>
    <col min="14597" max="14598" width="12.1640625" customWidth="1"/>
    <col min="14599" max="14599" width="10.1640625" customWidth="1"/>
    <col min="14600" max="14600" width="12.6640625" customWidth="1"/>
    <col min="14601" max="14601" width="21.33203125" customWidth="1"/>
    <col min="14602" max="14602" width="17" customWidth="1"/>
    <col min="14603" max="14603" width="11.33203125" customWidth="1"/>
    <col min="14847" max="14847" width="15.6640625" bestFit="1" customWidth="1"/>
    <col min="14848" max="14848" width="20.1640625" customWidth="1"/>
    <col min="14849" max="14849" width="16.1640625" customWidth="1"/>
    <col min="14850" max="14850" width="11.5" customWidth="1"/>
    <col min="14851" max="14852" width="11" customWidth="1"/>
    <col min="14853" max="14854" width="12.1640625" customWidth="1"/>
    <col min="14855" max="14855" width="10.1640625" customWidth="1"/>
    <col min="14856" max="14856" width="12.6640625" customWidth="1"/>
    <col min="14857" max="14857" width="21.33203125" customWidth="1"/>
    <col min="14858" max="14858" width="17" customWidth="1"/>
    <col min="14859" max="14859" width="11.33203125" customWidth="1"/>
    <col min="15103" max="15103" width="15.6640625" bestFit="1" customWidth="1"/>
    <col min="15104" max="15104" width="20.1640625" customWidth="1"/>
    <col min="15105" max="15105" width="16.1640625" customWidth="1"/>
    <col min="15106" max="15106" width="11.5" customWidth="1"/>
    <col min="15107" max="15108" width="11" customWidth="1"/>
    <col min="15109" max="15110" width="12.1640625" customWidth="1"/>
    <col min="15111" max="15111" width="10.1640625" customWidth="1"/>
    <col min="15112" max="15112" width="12.6640625" customWidth="1"/>
    <col min="15113" max="15113" width="21.33203125" customWidth="1"/>
    <col min="15114" max="15114" width="17" customWidth="1"/>
    <col min="15115" max="15115" width="11.33203125" customWidth="1"/>
    <col min="15359" max="15359" width="15.6640625" bestFit="1" customWidth="1"/>
    <col min="15360" max="15360" width="20.1640625" customWidth="1"/>
    <col min="15361" max="15361" width="16.1640625" customWidth="1"/>
    <col min="15362" max="15362" width="11.5" customWidth="1"/>
    <col min="15363" max="15364" width="11" customWidth="1"/>
    <col min="15365" max="15366" width="12.1640625" customWidth="1"/>
    <col min="15367" max="15367" width="10.1640625" customWidth="1"/>
    <col min="15368" max="15368" width="12.6640625" customWidth="1"/>
    <col min="15369" max="15369" width="21.33203125" customWidth="1"/>
    <col min="15370" max="15370" width="17" customWidth="1"/>
    <col min="15371" max="15371" width="11.33203125" customWidth="1"/>
    <col min="15615" max="15615" width="15.6640625" bestFit="1" customWidth="1"/>
    <col min="15616" max="15616" width="20.1640625" customWidth="1"/>
    <col min="15617" max="15617" width="16.1640625" customWidth="1"/>
    <col min="15618" max="15618" width="11.5" customWidth="1"/>
    <col min="15619" max="15620" width="11" customWidth="1"/>
    <col min="15621" max="15622" width="12.1640625" customWidth="1"/>
    <col min="15623" max="15623" width="10.1640625" customWidth="1"/>
    <col min="15624" max="15624" width="12.6640625" customWidth="1"/>
    <col min="15625" max="15625" width="21.33203125" customWidth="1"/>
    <col min="15626" max="15626" width="17" customWidth="1"/>
    <col min="15627" max="15627" width="11.33203125" customWidth="1"/>
    <col min="15871" max="15871" width="15.6640625" bestFit="1" customWidth="1"/>
    <col min="15872" max="15872" width="20.1640625" customWidth="1"/>
    <col min="15873" max="15873" width="16.1640625" customWidth="1"/>
    <col min="15874" max="15874" width="11.5" customWidth="1"/>
    <col min="15875" max="15876" width="11" customWidth="1"/>
    <col min="15877" max="15878" width="12.1640625" customWidth="1"/>
    <col min="15879" max="15879" width="10.1640625" customWidth="1"/>
    <col min="15880" max="15880" width="12.6640625" customWidth="1"/>
    <col min="15881" max="15881" width="21.33203125" customWidth="1"/>
    <col min="15882" max="15882" width="17" customWidth="1"/>
    <col min="15883" max="15883" width="11.33203125" customWidth="1"/>
    <col min="16127" max="16127" width="15.6640625" bestFit="1" customWidth="1"/>
    <col min="16128" max="16128" width="20.1640625" customWidth="1"/>
    <col min="16129" max="16129" width="16.1640625" customWidth="1"/>
    <col min="16130" max="16130" width="11.5" customWidth="1"/>
    <col min="16131" max="16132" width="11" customWidth="1"/>
    <col min="16133" max="16134" width="12.1640625" customWidth="1"/>
    <col min="16135" max="16135" width="10.1640625" customWidth="1"/>
    <col min="16136" max="16136" width="12.6640625" customWidth="1"/>
    <col min="16137" max="16137" width="21.33203125" customWidth="1"/>
    <col min="16138" max="16138" width="17" customWidth="1"/>
    <col min="16139" max="16139" width="11.33203125" customWidth="1"/>
  </cols>
  <sheetData>
    <row r="1" spans="1:11">
      <c r="A1" s="200" t="s">
        <v>424</v>
      </c>
      <c r="B1" s="200"/>
      <c r="C1" s="200"/>
      <c r="D1" s="200"/>
      <c r="E1" s="200"/>
      <c r="F1" s="200"/>
      <c r="G1" s="200"/>
      <c r="H1" s="200"/>
      <c r="I1" s="200"/>
      <c r="J1" s="200"/>
    </row>
    <row r="2" spans="1:11" s="81" customFormat="1">
      <c r="A2" s="379"/>
      <c r="B2" s="1339" t="s">
        <v>370</v>
      </c>
      <c r="C2" s="1339"/>
      <c r="D2" s="1339"/>
      <c r="E2" s="1340" t="s">
        <v>622</v>
      </c>
      <c r="F2" s="1340"/>
      <c r="G2" s="1340"/>
      <c r="H2" s="1341"/>
      <c r="I2" s="1341"/>
      <c r="J2" s="1335" t="s">
        <v>631</v>
      </c>
    </row>
    <row r="3" spans="1:11" s="81" customFormat="1">
      <c r="A3" s="419" t="s">
        <v>426</v>
      </c>
      <c r="B3" s="419"/>
      <c r="C3" s="419"/>
      <c r="D3" s="419"/>
      <c r="E3" s="1340"/>
      <c r="F3" s="1340"/>
      <c r="G3" s="1340"/>
      <c r="H3" s="1341"/>
      <c r="I3" s="1341"/>
      <c r="J3" s="1335"/>
    </row>
    <row r="4" spans="1:11" s="81" customFormat="1">
      <c r="A4" s="419"/>
      <c r="B4" s="419"/>
      <c r="C4" s="419"/>
      <c r="D4" s="419"/>
      <c r="E4" s="1340"/>
      <c r="F4" s="1340"/>
      <c r="G4" s="1340"/>
      <c r="H4" s="1341"/>
      <c r="I4" s="1341"/>
      <c r="J4" s="1335"/>
    </row>
    <row r="5" spans="1:11" s="81" customFormat="1" ht="31.5">
      <c r="A5" s="1313" t="s">
        <v>1330</v>
      </c>
      <c r="B5" s="1313"/>
      <c r="C5" s="386"/>
      <c r="D5" s="275" t="s">
        <v>624</v>
      </c>
      <c r="E5" s="1238"/>
      <c r="F5" s="1238"/>
      <c r="G5" s="1238"/>
      <c r="H5" s="1341"/>
      <c r="I5" s="1341"/>
      <c r="J5" s="1335"/>
    </row>
    <row r="6" spans="1:11" ht="23.25" customHeight="1">
      <c r="A6" s="1313"/>
      <c r="B6" s="1313"/>
      <c r="C6" s="390"/>
      <c r="D6" s="237"/>
      <c r="E6" s="1240"/>
      <c r="F6" s="1537"/>
      <c r="G6" s="1538"/>
      <c r="H6" s="1341"/>
      <c r="I6" s="1341"/>
      <c r="J6" s="1335"/>
    </row>
    <row r="7" spans="1:11" ht="10.5" customHeight="1">
      <c r="A7" s="375" t="s">
        <v>653</v>
      </c>
      <c r="B7" s="330" t="s">
        <v>428</v>
      </c>
      <c r="C7" s="1311" t="s">
        <v>429</v>
      </c>
      <c r="D7" s="1317" t="s">
        <v>620</v>
      </c>
      <c r="E7" s="1318" t="s">
        <v>432</v>
      </c>
      <c r="F7" s="1316" t="s">
        <v>430</v>
      </c>
      <c r="G7" s="1317" t="s">
        <v>621</v>
      </c>
      <c r="H7" s="1328" t="s">
        <v>431</v>
      </c>
      <c r="I7" s="1328"/>
      <c r="J7" s="1327" t="s">
        <v>627</v>
      </c>
    </row>
    <row r="8" spans="1:11" ht="11.25">
      <c r="A8" s="367"/>
      <c r="B8" s="99"/>
      <c r="C8" s="1311"/>
      <c r="D8" s="1317"/>
      <c r="E8" s="1318"/>
      <c r="F8" s="1316"/>
      <c r="G8" s="1317"/>
      <c r="H8" s="1328"/>
      <c r="I8" s="1328"/>
      <c r="J8" s="1327"/>
    </row>
    <row r="9" spans="1:11" ht="18" customHeight="1">
      <c r="A9" s="154"/>
      <c r="B9" s="1274" t="s">
        <v>1237</v>
      </c>
      <c r="C9" s="1275"/>
      <c r="D9" s="1275"/>
      <c r="E9" s="1275"/>
      <c r="F9" s="1275"/>
      <c r="G9" s="1275"/>
      <c r="H9" s="367"/>
      <c r="I9" s="201"/>
      <c r="J9" s="237"/>
    </row>
    <row r="10" spans="1:11" s="133" customFormat="1" ht="21">
      <c r="A10" s="89" t="s">
        <v>2425</v>
      </c>
      <c r="B10" s="96" t="s">
        <v>1331</v>
      </c>
      <c r="C10" s="177" t="s">
        <v>630</v>
      </c>
      <c r="D10" s="201">
        <v>49.95</v>
      </c>
      <c r="E10" s="201">
        <f>SUM(D10*1.1)</f>
        <v>54.945000000000007</v>
      </c>
      <c r="F10" s="201" t="s">
        <v>277</v>
      </c>
      <c r="G10" s="201" t="s">
        <v>277</v>
      </c>
      <c r="H10" s="215"/>
      <c r="I10" s="201"/>
      <c r="J10" s="421" t="s">
        <v>657</v>
      </c>
    </row>
    <row r="11" spans="1:11" s="133" customFormat="1" ht="21">
      <c r="A11" s="89" t="s">
        <v>2426</v>
      </c>
      <c r="B11" s="96" t="s">
        <v>1332</v>
      </c>
      <c r="C11" s="177" t="s">
        <v>630</v>
      </c>
      <c r="D11" s="201">
        <v>17.25</v>
      </c>
      <c r="E11" s="201">
        <f t="shared" ref="E11:E13" si="0">SUM(D11*1.1)</f>
        <v>18.975000000000001</v>
      </c>
      <c r="F11" s="201">
        <f>SUM(G11*1.1)</f>
        <v>137.5</v>
      </c>
      <c r="G11" s="201">
        <v>125</v>
      </c>
      <c r="H11" s="215"/>
      <c r="I11" s="148" t="s">
        <v>850</v>
      </c>
      <c r="J11" s="421" t="s">
        <v>658</v>
      </c>
      <c r="K11" s="132"/>
    </row>
    <row r="12" spans="1:11" s="133" customFormat="1" ht="31.5">
      <c r="A12" s="89" t="s">
        <v>2427</v>
      </c>
      <c r="B12" s="373" t="s">
        <v>1333</v>
      </c>
      <c r="C12" s="177" t="s">
        <v>630</v>
      </c>
      <c r="D12" s="201">
        <v>36</v>
      </c>
      <c r="E12" s="201">
        <f t="shared" si="0"/>
        <v>39.6</v>
      </c>
      <c r="F12" s="201" t="s">
        <v>277</v>
      </c>
      <c r="G12" s="201" t="s">
        <v>277</v>
      </c>
      <c r="H12" s="215"/>
      <c r="I12" s="148" t="s">
        <v>459</v>
      </c>
      <c r="J12" s="421" t="s">
        <v>657</v>
      </c>
      <c r="K12" s="132"/>
    </row>
    <row r="13" spans="1:11" s="133" customFormat="1" ht="31.5">
      <c r="A13" s="89" t="s">
        <v>2428</v>
      </c>
      <c r="B13" s="373" t="s">
        <v>1334</v>
      </c>
      <c r="C13" s="177" t="s">
        <v>630</v>
      </c>
      <c r="D13" s="201">
        <v>30</v>
      </c>
      <c r="E13" s="201">
        <f t="shared" si="0"/>
        <v>33</v>
      </c>
      <c r="F13" s="201" t="s">
        <v>277</v>
      </c>
      <c r="G13" s="201" t="s">
        <v>277</v>
      </c>
      <c r="H13" s="215"/>
      <c r="I13" s="148" t="s">
        <v>459</v>
      </c>
      <c r="J13" s="421" t="s">
        <v>657</v>
      </c>
      <c r="K13" s="132"/>
    </row>
    <row r="14" spans="1:11" s="143" customFormat="1">
      <c r="A14" s="135"/>
      <c r="B14" s="238"/>
      <c r="C14" s="238"/>
      <c r="D14" s="348"/>
      <c r="E14" s="201"/>
      <c r="F14" s="201"/>
      <c r="G14" s="201"/>
      <c r="H14" s="216"/>
      <c r="I14" s="201"/>
      <c r="J14" s="237"/>
      <c r="K14" s="169"/>
    </row>
    <row r="15" spans="1:11" s="143" customFormat="1">
      <c r="A15" s="173"/>
      <c r="D15" s="132"/>
      <c r="E15" s="133"/>
      <c r="F15" s="133"/>
      <c r="G15" s="133"/>
      <c r="H15" s="216"/>
      <c r="J15" s="309"/>
      <c r="K15" s="169"/>
    </row>
    <row r="16" spans="1:11" s="143" customFormat="1" ht="11.25">
      <c r="A16" s="403"/>
      <c r="B16" s="252" t="s">
        <v>396</v>
      </c>
      <c r="C16" s="366"/>
      <c r="D16" s="422"/>
      <c r="E16" s="330"/>
      <c r="F16" s="330"/>
      <c r="G16" s="330"/>
      <c r="H16" s="216"/>
      <c r="I16" s="330"/>
      <c r="J16" s="330"/>
      <c r="K16" s="169"/>
    </row>
    <row r="17" spans="1:11" s="143" customFormat="1" ht="84">
      <c r="A17" s="87" t="s">
        <v>277</v>
      </c>
      <c r="B17" s="219" t="s">
        <v>281</v>
      </c>
      <c r="C17" s="177" t="s">
        <v>630</v>
      </c>
      <c r="D17" s="201" t="s">
        <v>783</v>
      </c>
      <c r="E17" s="201" t="s">
        <v>783</v>
      </c>
      <c r="F17" s="201" t="s">
        <v>783</v>
      </c>
      <c r="G17" s="201" t="s">
        <v>783</v>
      </c>
      <c r="H17" s="215"/>
      <c r="I17" s="217" t="s">
        <v>846</v>
      </c>
      <c r="J17" s="423"/>
      <c r="K17" s="169"/>
    </row>
    <row r="18" spans="1:11" s="143" customFormat="1" ht="42">
      <c r="A18" s="87" t="s">
        <v>277</v>
      </c>
      <c r="B18" s="219" t="s">
        <v>282</v>
      </c>
      <c r="C18" s="177" t="s">
        <v>630</v>
      </c>
      <c r="D18" s="201" t="s">
        <v>783</v>
      </c>
      <c r="E18" s="201" t="s">
        <v>783</v>
      </c>
      <c r="F18" s="201" t="s">
        <v>783</v>
      </c>
      <c r="G18" s="201" t="s">
        <v>783</v>
      </c>
      <c r="H18" s="215"/>
      <c r="I18" s="217" t="s">
        <v>283</v>
      </c>
      <c r="J18" s="424"/>
      <c r="K18" s="169"/>
    </row>
    <row r="19" spans="1:11" s="133" customFormat="1" ht="31.5">
      <c r="A19" s="87" t="s">
        <v>2429</v>
      </c>
      <c r="B19" s="161" t="s">
        <v>845</v>
      </c>
      <c r="C19" s="177" t="s">
        <v>630</v>
      </c>
      <c r="D19" s="201">
        <v>2.5</v>
      </c>
      <c r="E19" s="201">
        <f t="shared" ref="E19:E69" si="1">SUM(D19*1.1)</f>
        <v>2.75</v>
      </c>
      <c r="F19" s="201">
        <f>SUM(G19*1.1)</f>
        <v>20.900000000000002</v>
      </c>
      <c r="G19" s="201">
        <v>19</v>
      </c>
      <c r="H19" s="161" t="s">
        <v>284</v>
      </c>
      <c r="I19" s="160" t="s">
        <v>376</v>
      </c>
      <c r="J19" s="351" t="s">
        <v>1259</v>
      </c>
    </row>
    <row r="20" spans="1:11" s="143" customFormat="1" ht="31.5">
      <c r="A20" s="87" t="s">
        <v>2430</v>
      </c>
      <c r="B20" s="161" t="s">
        <v>1335</v>
      </c>
      <c r="C20" s="177" t="s">
        <v>630</v>
      </c>
      <c r="D20" s="201">
        <v>2.5</v>
      </c>
      <c r="E20" s="201">
        <f t="shared" si="1"/>
        <v>2.75</v>
      </c>
      <c r="F20" s="201">
        <f>SUM(G20*1.1)</f>
        <v>20.900000000000002</v>
      </c>
      <c r="G20" s="201">
        <v>19</v>
      </c>
      <c r="H20" s="161" t="s">
        <v>286</v>
      </c>
      <c r="I20" s="160" t="s">
        <v>376</v>
      </c>
      <c r="J20" s="351" t="s">
        <v>1259</v>
      </c>
      <c r="K20" s="169"/>
    </row>
    <row r="21" spans="1:11" s="143" customFormat="1" ht="31.5">
      <c r="A21" s="87" t="s">
        <v>2431</v>
      </c>
      <c r="B21" s="161" t="s">
        <v>1336</v>
      </c>
      <c r="C21" s="177" t="s">
        <v>630</v>
      </c>
      <c r="D21" s="201">
        <v>2.5</v>
      </c>
      <c r="E21" s="201">
        <f t="shared" si="1"/>
        <v>2.75</v>
      </c>
      <c r="F21" s="201">
        <f>SUM(G21*1.1)</f>
        <v>20.900000000000002</v>
      </c>
      <c r="G21" s="201">
        <v>19</v>
      </c>
      <c r="H21" s="161" t="s">
        <v>284</v>
      </c>
      <c r="I21" s="160" t="s">
        <v>376</v>
      </c>
      <c r="J21" s="351" t="s">
        <v>1259</v>
      </c>
      <c r="K21" s="169"/>
    </row>
    <row r="22" spans="1:11" s="143" customFormat="1" ht="31.5">
      <c r="A22" s="87" t="s">
        <v>277</v>
      </c>
      <c r="B22" s="161" t="s">
        <v>287</v>
      </c>
      <c r="C22" s="177" t="s">
        <v>630</v>
      </c>
      <c r="D22" s="201" t="s">
        <v>783</v>
      </c>
      <c r="E22" s="201" t="s">
        <v>783</v>
      </c>
      <c r="F22" s="201" t="s">
        <v>783</v>
      </c>
      <c r="G22" s="201" t="s">
        <v>783</v>
      </c>
      <c r="H22" s="161" t="s">
        <v>288</v>
      </c>
      <c r="I22" s="160" t="s">
        <v>378</v>
      </c>
      <c r="J22" s="160"/>
      <c r="K22" s="169"/>
    </row>
    <row r="23" spans="1:11" s="143" customFormat="1" ht="73.5">
      <c r="A23" s="87" t="s">
        <v>2432</v>
      </c>
      <c r="B23" s="219" t="s">
        <v>1337</v>
      </c>
      <c r="C23" s="177" t="s">
        <v>630</v>
      </c>
      <c r="D23" s="201">
        <v>4</v>
      </c>
      <c r="E23" s="201">
        <f t="shared" si="1"/>
        <v>4.4000000000000004</v>
      </c>
      <c r="F23" s="201" t="s">
        <v>277</v>
      </c>
      <c r="G23" s="201" t="s">
        <v>277</v>
      </c>
      <c r="H23" s="219" t="s">
        <v>821</v>
      </c>
      <c r="I23" s="160" t="s">
        <v>379</v>
      </c>
      <c r="J23" s="421" t="s">
        <v>657</v>
      </c>
      <c r="K23" s="169"/>
    </row>
    <row r="24" spans="1:11" s="143" customFormat="1" ht="31.5">
      <c r="A24" s="87" t="s">
        <v>277</v>
      </c>
      <c r="B24" s="160" t="s">
        <v>291</v>
      </c>
      <c r="C24" s="177" t="s">
        <v>630</v>
      </c>
      <c r="D24" s="201" t="s">
        <v>783</v>
      </c>
      <c r="E24" s="201" t="s">
        <v>783</v>
      </c>
      <c r="F24" s="201" t="s">
        <v>783</v>
      </c>
      <c r="G24" s="201" t="s">
        <v>783</v>
      </c>
      <c r="H24" s="160"/>
      <c r="I24" s="160" t="s">
        <v>380</v>
      </c>
      <c r="J24" s="160"/>
      <c r="K24" s="169"/>
    </row>
    <row r="25" spans="1:11" s="143" customFormat="1" ht="31.5">
      <c r="A25" s="87" t="s">
        <v>2433</v>
      </c>
      <c r="B25" s="161" t="s">
        <v>292</v>
      </c>
      <c r="C25" s="177" t="s">
        <v>630</v>
      </c>
      <c r="D25" s="201" t="s">
        <v>783</v>
      </c>
      <c r="E25" s="201" t="s">
        <v>783</v>
      </c>
      <c r="F25" s="201" t="s">
        <v>783</v>
      </c>
      <c r="G25" s="201" t="s">
        <v>783</v>
      </c>
      <c r="H25" s="161" t="s">
        <v>288</v>
      </c>
      <c r="I25" s="160" t="s">
        <v>412</v>
      </c>
      <c r="J25" s="160"/>
      <c r="K25" s="169"/>
    </row>
    <row r="26" spans="1:11" s="143" customFormat="1" ht="52.5">
      <c r="A26" s="87" t="s">
        <v>2434</v>
      </c>
      <c r="B26" s="161" t="s">
        <v>293</v>
      </c>
      <c r="C26" s="177" t="s">
        <v>630</v>
      </c>
      <c r="D26" s="201" t="s">
        <v>783</v>
      </c>
      <c r="E26" s="201" t="s">
        <v>783</v>
      </c>
      <c r="F26" s="201" t="s">
        <v>783</v>
      </c>
      <c r="G26" s="201" t="s">
        <v>783</v>
      </c>
      <c r="H26" s="161" t="s">
        <v>288</v>
      </c>
      <c r="I26" s="160" t="s">
        <v>381</v>
      </c>
      <c r="J26" s="421" t="s">
        <v>657</v>
      </c>
      <c r="K26" s="169"/>
    </row>
    <row r="27" spans="1:11" s="143" customFormat="1" ht="63">
      <c r="A27" s="87" t="s">
        <v>2435</v>
      </c>
      <c r="B27" s="219" t="s">
        <v>1338</v>
      </c>
      <c r="C27" s="177" t="s">
        <v>630</v>
      </c>
      <c r="D27" s="201">
        <v>4</v>
      </c>
      <c r="E27" s="201">
        <f t="shared" si="1"/>
        <v>4.4000000000000004</v>
      </c>
      <c r="F27" s="201" t="s">
        <v>277</v>
      </c>
      <c r="G27" s="201" t="s">
        <v>277</v>
      </c>
      <c r="H27" s="219" t="s">
        <v>289</v>
      </c>
      <c r="I27" s="160" t="s">
        <v>413</v>
      </c>
      <c r="J27" s="421" t="s">
        <v>657</v>
      </c>
      <c r="K27" s="169"/>
    </row>
    <row r="28" spans="1:11" s="143" customFormat="1" ht="21">
      <c r="A28" s="87" t="s">
        <v>2436</v>
      </c>
      <c r="B28" s="161" t="s">
        <v>1339</v>
      </c>
      <c r="C28" s="177" t="s">
        <v>630</v>
      </c>
      <c r="D28" s="201">
        <v>2.75</v>
      </c>
      <c r="E28" s="201">
        <f t="shared" si="1"/>
        <v>3.0250000000000004</v>
      </c>
      <c r="F28" s="201" t="s">
        <v>277</v>
      </c>
      <c r="G28" s="201" t="s">
        <v>277</v>
      </c>
      <c r="H28" s="161" t="s">
        <v>288</v>
      </c>
      <c r="I28" s="160" t="s">
        <v>384</v>
      </c>
      <c r="J28" s="421" t="s">
        <v>657</v>
      </c>
      <c r="K28" s="169"/>
    </row>
    <row r="29" spans="1:11" s="143" customFormat="1" ht="21">
      <c r="A29" s="87" t="s">
        <v>2437</v>
      </c>
      <c r="B29" s="161" t="s">
        <v>1340</v>
      </c>
      <c r="C29" s="177" t="s">
        <v>630</v>
      </c>
      <c r="D29" s="201">
        <v>6.5</v>
      </c>
      <c r="E29" s="201">
        <f t="shared" si="1"/>
        <v>7.15</v>
      </c>
      <c r="F29" s="201" t="s">
        <v>277</v>
      </c>
      <c r="G29" s="201" t="s">
        <v>277</v>
      </c>
      <c r="H29" s="161" t="s">
        <v>288</v>
      </c>
      <c r="I29" s="160" t="s">
        <v>385</v>
      </c>
      <c r="J29" s="421" t="s">
        <v>657</v>
      </c>
      <c r="K29" s="169"/>
    </row>
    <row r="30" spans="1:11" s="143" customFormat="1" ht="21">
      <c r="A30" s="87" t="s">
        <v>2438</v>
      </c>
      <c r="B30" s="219" t="s">
        <v>1341</v>
      </c>
      <c r="C30" s="177" t="s">
        <v>630</v>
      </c>
      <c r="D30" s="201">
        <v>3</v>
      </c>
      <c r="E30" s="201">
        <f t="shared" si="1"/>
        <v>3.3000000000000003</v>
      </c>
      <c r="F30" s="201" t="s">
        <v>277</v>
      </c>
      <c r="G30" s="201" t="s">
        <v>277</v>
      </c>
      <c r="H30" s="201" t="s">
        <v>277</v>
      </c>
      <c r="I30" s="160" t="s">
        <v>385</v>
      </c>
      <c r="J30" s="421" t="s">
        <v>657</v>
      </c>
      <c r="K30" s="169"/>
    </row>
    <row r="31" spans="1:11" s="143" customFormat="1" ht="21">
      <c r="A31" s="87" t="s">
        <v>2439</v>
      </c>
      <c r="B31" s="219" t="s">
        <v>1342</v>
      </c>
      <c r="C31" s="177" t="s">
        <v>630</v>
      </c>
      <c r="D31" s="201" t="s">
        <v>783</v>
      </c>
      <c r="E31" s="201" t="s">
        <v>783</v>
      </c>
      <c r="F31" s="201" t="s">
        <v>783</v>
      </c>
      <c r="G31" s="201" t="s">
        <v>783</v>
      </c>
      <c r="H31" s="201" t="s">
        <v>277</v>
      </c>
      <c r="I31" s="160" t="s">
        <v>385</v>
      </c>
      <c r="J31" s="421" t="s">
        <v>657</v>
      </c>
      <c r="K31" s="169"/>
    </row>
    <row r="32" spans="1:11" s="143" customFormat="1" ht="21">
      <c r="A32" s="87" t="s">
        <v>2440</v>
      </c>
      <c r="B32" s="219" t="s">
        <v>1343</v>
      </c>
      <c r="C32" s="177" t="s">
        <v>630</v>
      </c>
      <c r="D32" s="201">
        <v>3</v>
      </c>
      <c r="E32" s="201">
        <f t="shared" si="1"/>
        <v>3.3000000000000003</v>
      </c>
      <c r="F32" s="201" t="s">
        <v>277</v>
      </c>
      <c r="G32" s="201" t="s">
        <v>277</v>
      </c>
      <c r="H32" s="219" t="s">
        <v>288</v>
      </c>
      <c r="I32" s="160" t="s">
        <v>385</v>
      </c>
      <c r="J32" s="421" t="s">
        <v>657</v>
      </c>
      <c r="K32" s="169"/>
    </row>
    <row r="33" spans="1:11" s="143" customFormat="1" ht="21">
      <c r="A33" s="87" t="s">
        <v>2441</v>
      </c>
      <c r="B33" s="219" t="s">
        <v>1344</v>
      </c>
      <c r="C33" s="177" t="s">
        <v>630</v>
      </c>
      <c r="D33" s="201">
        <v>2.2999999999999998</v>
      </c>
      <c r="E33" s="201">
        <f t="shared" si="1"/>
        <v>2.5299999999999998</v>
      </c>
      <c r="F33" s="201" t="s">
        <v>277</v>
      </c>
      <c r="G33" s="201" t="s">
        <v>277</v>
      </c>
      <c r="H33" s="219" t="s">
        <v>289</v>
      </c>
      <c r="I33" s="160" t="s">
        <v>385</v>
      </c>
      <c r="J33" s="421" t="s">
        <v>657</v>
      </c>
      <c r="K33" s="169"/>
    </row>
    <row r="34" spans="1:11" s="143" customFormat="1" ht="31.5">
      <c r="A34" s="87" t="s">
        <v>277</v>
      </c>
      <c r="B34" s="161" t="s">
        <v>295</v>
      </c>
      <c r="C34" s="177" t="s">
        <v>630</v>
      </c>
      <c r="D34" s="201" t="s">
        <v>783</v>
      </c>
      <c r="E34" s="201" t="s">
        <v>783</v>
      </c>
      <c r="F34" s="201" t="s">
        <v>783</v>
      </c>
      <c r="G34" s="201" t="s">
        <v>783</v>
      </c>
      <c r="H34" s="161" t="s">
        <v>288</v>
      </c>
      <c r="I34" s="160" t="s">
        <v>822</v>
      </c>
      <c r="J34" s="160"/>
      <c r="K34" s="169"/>
    </row>
    <row r="35" spans="1:11" s="143" customFormat="1" ht="42">
      <c r="A35" s="87" t="s">
        <v>2442</v>
      </c>
      <c r="B35" s="161" t="s">
        <v>1345</v>
      </c>
      <c r="C35" s="177" t="s">
        <v>630</v>
      </c>
      <c r="D35" s="201">
        <v>4</v>
      </c>
      <c r="E35" s="201">
        <f t="shared" si="1"/>
        <v>4.4000000000000004</v>
      </c>
      <c r="F35" s="201" t="s">
        <v>277</v>
      </c>
      <c r="G35" s="201" t="s">
        <v>277</v>
      </c>
      <c r="H35" s="161" t="s">
        <v>288</v>
      </c>
      <c r="I35" s="160" t="s">
        <v>386</v>
      </c>
      <c r="J35" s="421" t="s">
        <v>657</v>
      </c>
      <c r="K35" s="169"/>
    </row>
    <row r="36" spans="1:11" s="133" customFormat="1" ht="31.5">
      <c r="A36" s="87" t="s">
        <v>2443</v>
      </c>
      <c r="B36" s="161" t="s">
        <v>1346</v>
      </c>
      <c r="C36" s="177" t="s">
        <v>630</v>
      </c>
      <c r="D36" s="201">
        <v>8</v>
      </c>
      <c r="E36" s="201">
        <f t="shared" si="1"/>
        <v>8.8000000000000007</v>
      </c>
      <c r="F36" s="201" t="s">
        <v>277</v>
      </c>
      <c r="G36" s="201" t="s">
        <v>277</v>
      </c>
      <c r="H36" s="161" t="s">
        <v>1255</v>
      </c>
      <c r="I36" s="160" t="s">
        <v>1251</v>
      </c>
      <c r="J36" s="148" t="s">
        <v>657</v>
      </c>
      <c r="K36" s="132"/>
    </row>
    <row r="37" spans="1:11" s="143" customFormat="1" ht="42">
      <c r="A37" s="87" t="s">
        <v>2444</v>
      </c>
      <c r="B37" s="219" t="s">
        <v>1347</v>
      </c>
      <c r="C37" s="177" t="s">
        <v>630</v>
      </c>
      <c r="D37" s="201">
        <v>8</v>
      </c>
      <c r="E37" s="201">
        <f t="shared" si="1"/>
        <v>8.8000000000000007</v>
      </c>
      <c r="F37" s="201" t="s">
        <v>277</v>
      </c>
      <c r="G37" s="201" t="s">
        <v>277</v>
      </c>
      <c r="H37" s="219" t="s">
        <v>288</v>
      </c>
      <c r="I37" s="160" t="s">
        <v>387</v>
      </c>
      <c r="J37" s="421" t="s">
        <v>657</v>
      </c>
      <c r="K37" s="169"/>
    </row>
    <row r="38" spans="1:11" s="143" customFormat="1" ht="31.5">
      <c r="A38" s="87" t="s">
        <v>2445</v>
      </c>
      <c r="B38" s="219" t="s">
        <v>1348</v>
      </c>
      <c r="C38" s="177" t="s">
        <v>630</v>
      </c>
      <c r="D38" s="201">
        <v>8.5</v>
      </c>
      <c r="E38" s="201">
        <f t="shared" si="1"/>
        <v>9.3500000000000014</v>
      </c>
      <c r="F38" s="201" t="s">
        <v>277</v>
      </c>
      <c r="G38" s="201" t="s">
        <v>277</v>
      </c>
      <c r="H38" s="160" t="s">
        <v>289</v>
      </c>
      <c r="I38" s="160" t="s">
        <v>388</v>
      </c>
      <c r="J38" s="421" t="s">
        <v>657</v>
      </c>
      <c r="K38" s="169"/>
    </row>
    <row r="39" spans="1:11" s="143" customFormat="1" ht="73.5">
      <c r="A39" s="87" t="s">
        <v>2446</v>
      </c>
      <c r="B39" s="219" t="s">
        <v>1349</v>
      </c>
      <c r="C39" s="177" t="s">
        <v>630</v>
      </c>
      <c r="D39" s="201" t="s">
        <v>783</v>
      </c>
      <c r="E39" s="201" t="s">
        <v>783</v>
      </c>
      <c r="F39" s="201" t="s">
        <v>783</v>
      </c>
      <c r="G39" s="201" t="s">
        <v>783</v>
      </c>
      <c r="H39" s="160" t="s">
        <v>374</v>
      </c>
      <c r="I39" s="160" t="s">
        <v>389</v>
      </c>
      <c r="J39" s="421" t="s">
        <v>657</v>
      </c>
      <c r="K39" s="169"/>
    </row>
    <row r="40" spans="1:11" s="143" customFormat="1" ht="42">
      <c r="A40" s="87" t="s">
        <v>2447</v>
      </c>
      <c r="B40" s="161" t="s">
        <v>300</v>
      </c>
      <c r="C40" s="177" t="s">
        <v>630</v>
      </c>
      <c r="D40" s="201" t="s">
        <v>539</v>
      </c>
      <c r="E40" s="201" t="s">
        <v>539</v>
      </c>
      <c r="F40" s="201" t="s">
        <v>539</v>
      </c>
      <c r="G40" s="201" t="s">
        <v>539</v>
      </c>
      <c r="H40" s="161" t="s">
        <v>288</v>
      </c>
      <c r="I40" s="160" t="s">
        <v>1260</v>
      </c>
      <c r="J40" s="160"/>
      <c r="K40" s="169"/>
    </row>
    <row r="41" spans="1:11" s="143" customFormat="1" ht="12.75">
      <c r="A41" s="87" t="s">
        <v>2448</v>
      </c>
      <c r="B41" s="161" t="s">
        <v>302</v>
      </c>
      <c r="C41" s="177" t="s">
        <v>630</v>
      </c>
      <c r="D41" s="201" t="s">
        <v>277</v>
      </c>
      <c r="E41" s="201" t="s">
        <v>277</v>
      </c>
      <c r="F41" s="201">
        <f>SUM(G41*1.1)</f>
        <v>2.0790000000000002</v>
      </c>
      <c r="G41" s="201">
        <v>1.89</v>
      </c>
      <c r="H41" s="161" t="s">
        <v>284</v>
      </c>
      <c r="I41" s="160" t="s">
        <v>1261</v>
      </c>
      <c r="J41" s="160" t="s">
        <v>823</v>
      </c>
      <c r="K41" s="169"/>
    </row>
    <row r="42" spans="1:11" s="143" customFormat="1" ht="52.5">
      <c r="A42" s="87" t="s">
        <v>2449</v>
      </c>
      <c r="B42" s="161" t="s">
        <v>1350</v>
      </c>
      <c r="C42" s="177" t="s">
        <v>630</v>
      </c>
      <c r="D42" s="201">
        <v>7</v>
      </c>
      <c r="E42" s="201">
        <f t="shared" si="1"/>
        <v>7.7000000000000011</v>
      </c>
      <c r="F42" s="201" t="s">
        <v>277</v>
      </c>
      <c r="G42" s="201" t="s">
        <v>277</v>
      </c>
      <c r="H42" s="161" t="s">
        <v>288</v>
      </c>
      <c r="I42" s="160" t="s">
        <v>390</v>
      </c>
      <c r="J42" s="421" t="s">
        <v>657</v>
      </c>
      <c r="K42" s="169"/>
    </row>
    <row r="43" spans="1:11" s="143" customFormat="1" ht="168">
      <c r="A43" s="87" t="s">
        <v>277</v>
      </c>
      <c r="B43" s="107" t="s">
        <v>1419</v>
      </c>
      <c r="C43" s="177" t="s">
        <v>630</v>
      </c>
      <c r="D43" s="201" t="s">
        <v>783</v>
      </c>
      <c r="E43" s="201" t="s">
        <v>783</v>
      </c>
      <c r="F43" s="201" t="s">
        <v>783</v>
      </c>
      <c r="G43" s="201" t="s">
        <v>783</v>
      </c>
      <c r="H43" s="160" t="s">
        <v>305</v>
      </c>
      <c r="I43" s="160" t="s">
        <v>400</v>
      </c>
      <c r="J43" s="160"/>
      <c r="K43" s="169"/>
    </row>
    <row r="44" spans="1:11" s="143" customFormat="1" ht="63">
      <c r="A44" s="87" t="s">
        <v>2450</v>
      </c>
      <c r="B44" s="219" t="s">
        <v>306</v>
      </c>
      <c r="C44" s="177" t="s">
        <v>630</v>
      </c>
      <c r="D44" s="201" t="s">
        <v>783</v>
      </c>
      <c r="E44" s="201" t="s">
        <v>783</v>
      </c>
      <c r="F44" s="201" t="s">
        <v>277</v>
      </c>
      <c r="G44" s="201" t="s">
        <v>277</v>
      </c>
      <c r="H44" s="219"/>
      <c r="I44" s="160" t="s">
        <v>414</v>
      </c>
      <c r="J44" s="160"/>
      <c r="K44" s="169"/>
    </row>
    <row r="45" spans="1:11" s="143" customFormat="1" ht="31.5">
      <c r="A45" s="87" t="s">
        <v>2451</v>
      </c>
      <c r="B45" s="219" t="s">
        <v>1351</v>
      </c>
      <c r="C45" s="177" t="s">
        <v>630</v>
      </c>
      <c r="D45" s="201">
        <v>0.5</v>
      </c>
      <c r="E45" s="201">
        <f t="shared" si="1"/>
        <v>0.55000000000000004</v>
      </c>
      <c r="F45" s="201" t="s">
        <v>277</v>
      </c>
      <c r="G45" s="201" t="s">
        <v>277</v>
      </c>
      <c r="H45" s="219"/>
      <c r="I45" s="160" t="s">
        <v>824</v>
      </c>
      <c r="J45" s="421" t="s">
        <v>657</v>
      </c>
      <c r="K45" s="169"/>
    </row>
    <row r="46" spans="1:11" s="143" customFormat="1" ht="52.5">
      <c r="A46" s="87" t="s">
        <v>2452</v>
      </c>
      <c r="B46" s="219" t="s">
        <v>357</v>
      </c>
      <c r="C46" s="177" t="s">
        <v>630</v>
      </c>
      <c r="D46" s="201" t="s">
        <v>783</v>
      </c>
      <c r="E46" s="201" t="s">
        <v>783</v>
      </c>
      <c r="F46" s="201" t="s">
        <v>783</v>
      </c>
      <c r="G46" s="201" t="s">
        <v>783</v>
      </c>
      <c r="H46" s="219" t="s">
        <v>288</v>
      </c>
      <c r="I46" s="160" t="s">
        <v>415</v>
      </c>
      <c r="J46" s="421" t="s">
        <v>657</v>
      </c>
      <c r="K46" s="169"/>
    </row>
    <row r="47" spans="1:11" s="143" customFormat="1" ht="52.5">
      <c r="A47" s="87" t="s">
        <v>2453</v>
      </c>
      <c r="B47" s="161" t="s">
        <v>358</v>
      </c>
      <c r="C47" s="177" t="s">
        <v>630</v>
      </c>
      <c r="D47" s="201" t="s">
        <v>783</v>
      </c>
      <c r="E47" s="201" t="s">
        <v>783</v>
      </c>
      <c r="F47" s="201" t="s">
        <v>783</v>
      </c>
      <c r="G47" s="201" t="s">
        <v>783</v>
      </c>
      <c r="H47" s="161" t="s">
        <v>288</v>
      </c>
      <c r="I47" s="160" t="s">
        <v>416</v>
      </c>
      <c r="J47" s="421" t="s">
        <v>657</v>
      </c>
      <c r="K47" s="169"/>
    </row>
    <row r="48" spans="1:11" s="143" customFormat="1" ht="73.5">
      <c r="A48" s="87" t="s">
        <v>2454</v>
      </c>
      <c r="B48" s="161" t="s">
        <v>1352</v>
      </c>
      <c r="C48" s="177" t="s">
        <v>630</v>
      </c>
      <c r="D48" s="201" t="s">
        <v>277</v>
      </c>
      <c r="E48" s="201" t="s">
        <v>277</v>
      </c>
      <c r="F48" s="201">
        <f>SUM(G48*1.1)</f>
        <v>22</v>
      </c>
      <c r="G48" s="201">
        <v>20</v>
      </c>
      <c r="H48" s="161" t="s">
        <v>767</v>
      </c>
      <c r="I48" s="160" t="s">
        <v>662</v>
      </c>
      <c r="J48" s="160"/>
      <c r="K48" s="169"/>
    </row>
    <row r="49" spans="1:11" s="143" customFormat="1" ht="21">
      <c r="A49" s="87" t="s">
        <v>2455</v>
      </c>
      <c r="B49" s="161" t="s">
        <v>359</v>
      </c>
      <c r="C49" s="177" t="s">
        <v>630</v>
      </c>
      <c r="D49" s="201" t="s">
        <v>277</v>
      </c>
      <c r="E49" s="201" t="s">
        <v>277</v>
      </c>
      <c r="F49" s="201">
        <f>SUM(G49*1.1)</f>
        <v>6.6000000000000005</v>
      </c>
      <c r="G49" s="201">
        <v>6</v>
      </c>
      <c r="H49" s="161" t="s">
        <v>303</v>
      </c>
      <c r="I49" s="162"/>
      <c r="J49" s="425" t="s">
        <v>825</v>
      </c>
      <c r="K49" s="169"/>
    </row>
    <row r="50" spans="1:11" s="143" customFormat="1" ht="31.5">
      <c r="A50" s="87" t="s">
        <v>2456</v>
      </c>
      <c r="B50" s="161" t="s">
        <v>361</v>
      </c>
      <c r="C50" s="177" t="s">
        <v>630</v>
      </c>
      <c r="D50" s="201" t="s">
        <v>277</v>
      </c>
      <c r="E50" s="201" t="s">
        <v>277</v>
      </c>
      <c r="F50" s="201">
        <f>SUM(G50*1.1)</f>
        <v>7.7000000000000011</v>
      </c>
      <c r="G50" s="201">
        <v>7</v>
      </c>
      <c r="H50" s="161" t="s">
        <v>303</v>
      </c>
      <c r="I50" s="160"/>
      <c r="J50" s="426" t="s">
        <v>825</v>
      </c>
      <c r="K50" s="169"/>
    </row>
    <row r="51" spans="1:11" s="143" customFormat="1" ht="31.5">
      <c r="A51" s="773" t="s">
        <v>2457</v>
      </c>
      <c r="B51" s="161" t="s">
        <v>362</v>
      </c>
      <c r="C51" s="177" t="s">
        <v>630</v>
      </c>
      <c r="D51" s="201" t="s">
        <v>277</v>
      </c>
      <c r="E51" s="201" t="s">
        <v>277</v>
      </c>
      <c r="F51" s="201">
        <f>SUM(G51*1.1)</f>
        <v>0.53900000000000003</v>
      </c>
      <c r="G51" s="201">
        <v>0.49</v>
      </c>
      <c r="H51" s="161" t="s">
        <v>288</v>
      </c>
      <c r="I51" s="160" t="s">
        <v>851</v>
      </c>
      <c r="J51" s="160"/>
      <c r="K51" s="169"/>
    </row>
    <row r="52" spans="1:11" s="143" customFormat="1" ht="21">
      <c r="A52" s="87" t="s">
        <v>277</v>
      </c>
      <c r="B52" s="219" t="s">
        <v>363</v>
      </c>
      <c r="C52" s="177" t="s">
        <v>630</v>
      </c>
      <c r="D52" s="201" t="s">
        <v>783</v>
      </c>
      <c r="E52" s="201" t="s">
        <v>783</v>
      </c>
      <c r="F52" s="201" t="s">
        <v>783</v>
      </c>
      <c r="G52" s="201" t="s">
        <v>783</v>
      </c>
      <c r="H52" s="219" t="s">
        <v>284</v>
      </c>
      <c r="I52" s="160"/>
      <c r="J52" s="160"/>
      <c r="K52" s="169"/>
    </row>
    <row r="53" spans="1:11" s="143" customFormat="1" ht="21">
      <c r="A53" s="87" t="s">
        <v>277</v>
      </c>
      <c r="B53" s="161" t="s">
        <v>364</v>
      </c>
      <c r="C53" s="177" t="s">
        <v>630</v>
      </c>
      <c r="D53" s="201" t="s">
        <v>783</v>
      </c>
      <c r="E53" s="201" t="s">
        <v>783</v>
      </c>
      <c r="F53" s="201" t="s">
        <v>783</v>
      </c>
      <c r="G53" s="201" t="s">
        <v>783</v>
      </c>
      <c r="H53" s="161" t="s">
        <v>288</v>
      </c>
      <c r="I53" s="160" t="s">
        <v>852</v>
      </c>
      <c r="J53" s="160"/>
      <c r="K53" s="169"/>
    </row>
    <row r="54" spans="1:11" s="143" customFormat="1" ht="31.5">
      <c r="A54" s="87" t="s">
        <v>2458</v>
      </c>
      <c r="B54" s="161" t="s">
        <v>1353</v>
      </c>
      <c r="C54" s="177" t="s">
        <v>630</v>
      </c>
      <c r="D54" s="201">
        <v>6.95</v>
      </c>
      <c r="E54" s="201">
        <f t="shared" si="1"/>
        <v>7.6450000000000005</v>
      </c>
      <c r="F54" s="201" t="s">
        <v>277</v>
      </c>
      <c r="G54" s="201" t="s">
        <v>277</v>
      </c>
      <c r="H54" s="161" t="s">
        <v>288</v>
      </c>
      <c r="I54" s="160" t="s">
        <v>420</v>
      </c>
      <c r="J54" s="421" t="s">
        <v>657</v>
      </c>
      <c r="K54" s="169"/>
    </row>
    <row r="55" spans="1:11" s="143" customFormat="1" ht="42">
      <c r="A55" s="87" t="s">
        <v>2459</v>
      </c>
      <c r="B55" s="161" t="s">
        <v>1354</v>
      </c>
      <c r="C55" s="177" t="s">
        <v>630</v>
      </c>
      <c r="D55" s="201">
        <v>3</v>
      </c>
      <c r="E55" s="201">
        <f t="shared" si="1"/>
        <v>3.3000000000000003</v>
      </c>
      <c r="F55" s="201" t="s">
        <v>277</v>
      </c>
      <c r="G55" s="201" t="s">
        <v>277</v>
      </c>
      <c r="H55" s="161" t="s">
        <v>853</v>
      </c>
      <c r="I55" s="160" t="s">
        <v>1258</v>
      </c>
      <c r="J55" s="421" t="s">
        <v>657</v>
      </c>
      <c r="K55" s="169"/>
    </row>
    <row r="56" spans="1:11" s="143" customFormat="1" ht="31.5">
      <c r="A56" s="87" t="s">
        <v>2460</v>
      </c>
      <c r="B56" s="161" t="s">
        <v>1355</v>
      </c>
      <c r="C56" s="177" t="s">
        <v>630</v>
      </c>
      <c r="D56" s="201">
        <v>4</v>
      </c>
      <c r="E56" s="201">
        <f t="shared" si="1"/>
        <v>4.4000000000000004</v>
      </c>
      <c r="F56" s="201" t="s">
        <v>277</v>
      </c>
      <c r="G56" s="201" t="s">
        <v>277</v>
      </c>
      <c r="H56" s="161" t="s">
        <v>288</v>
      </c>
      <c r="I56" s="160" t="s">
        <v>423</v>
      </c>
      <c r="J56" s="421" t="s">
        <v>657</v>
      </c>
      <c r="K56" s="169"/>
    </row>
    <row r="57" spans="1:11" s="203" customFormat="1" ht="12.75">
      <c r="A57" s="89" t="s">
        <v>2461</v>
      </c>
      <c r="B57" s="414" t="s">
        <v>1421</v>
      </c>
      <c r="C57" s="411" t="s">
        <v>630</v>
      </c>
      <c r="D57" s="201">
        <v>4.5</v>
      </c>
      <c r="E57" s="260">
        <f t="shared" si="1"/>
        <v>4.95</v>
      </c>
      <c r="F57" s="241" t="s">
        <v>783</v>
      </c>
      <c r="G57" s="241" t="s">
        <v>783</v>
      </c>
      <c r="H57" s="410" t="s">
        <v>368</v>
      </c>
      <c r="I57" s="413" t="s">
        <v>426</v>
      </c>
      <c r="J57" s="446"/>
      <c r="K57" s="447"/>
    </row>
    <row r="58" spans="1:11" s="133" customFormat="1" ht="12.75">
      <c r="A58" s="89" t="s">
        <v>2466</v>
      </c>
      <c r="B58" s="535" t="s">
        <v>1241</v>
      </c>
      <c r="C58" s="177" t="s">
        <v>630</v>
      </c>
      <c r="D58" s="241" t="s">
        <v>539</v>
      </c>
      <c r="E58" s="241" t="s">
        <v>539</v>
      </c>
      <c r="F58" s="241" t="s">
        <v>539</v>
      </c>
      <c r="G58" s="241" t="s">
        <v>539</v>
      </c>
      <c r="H58" s="161"/>
      <c r="I58" s="160"/>
      <c r="J58" s="650"/>
      <c r="K58" s="132"/>
    </row>
    <row r="59" spans="1:11" s="133" customFormat="1" ht="12.75">
      <c r="A59" s="89" t="s">
        <v>2467</v>
      </c>
      <c r="B59" s="535" t="s">
        <v>1242</v>
      </c>
      <c r="C59" s="177" t="s">
        <v>630</v>
      </c>
      <c r="D59" s="241" t="s">
        <v>539</v>
      </c>
      <c r="E59" s="241" t="s">
        <v>539</v>
      </c>
      <c r="F59" s="241" t="s">
        <v>539</v>
      </c>
      <c r="G59" s="241" t="s">
        <v>539</v>
      </c>
      <c r="H59" s="161"/>
      <c r="I59" s="160"/>
      <c r="J59" s="650"/>
      <c r="K59" s="132"/>
    </row>
    <row r="60" spans="1:11" s="133" customFormat="1" ht="12.75">
      <c r="A60" s="89" t="s">
        <v>2468</v>
      </c>
      <c r="B60" s="535" t="s">
        <v>1243</v>
      </c>
      <c r="C60" s="177" t="s">
        <v>630</v>
      </c>
      <c r="D60" s="241" t="s">
        <v>539</v>
      </c>
      <c r="E60" s="241" t="s">
        <v>539</v>
      </c>
      <c r="F60" s="241" t="s">
        <v>539</v>
      </c>
      <c r="G60" s="241" t="s">
        <v>539</v>
      </c>
      <c r="H60" s="161"/>
      <c r="I60" s="160"/>
      <c r="J60" s="650"/>
      <c r="K60" s="132"/>
    </row>
    <row r="61" spans="1:11" s="133" customFormat="1" ht="12.75">
      <c r="A61" s="89" t="s">
        <v>2469</v>
      </c>
      <c r="B61" s="535" t="s">
        <v>1244</v>
      </c>
      <c r="C61" s="177" t="s">
        <v>630</v>
      </c>
      <c r="D61" s="241" t="s">
        <v>539</v>
      </c>
      <c r="E61" s="241" t="s">
        <v>539</v>
      </c>
      <c r="F61" s="241" t="s">
        <v>539</v>
      </c>
      <c r="G61" s="241" t="s">
        <v>539</v>
      </c>
      <c r="H61" s="161"/>
      <c r="I61" s="160"/>
      <c r="J61" s="650"/>
      <c r="K61" s="132"/>
    </row>
    <row r="62" spans="1:11" s="133" customFormat="1" ht="33.75">
      <c r="A62" s="87" t="s">
        <v>2470</v>
      </c>
      <c r="B62" s="535" t="s">
        <v>1245</v>
      </c>
      <c r="C62" s="177" t="s">
        <v>630</v>
      </c>
      <c r="D62" s="201">
        <v>4.5</v>
      </c>
      <c r="E62" s="201">
        <f t="shared" ref="E62:E66" si="2">SUM(D62*1.1)</f>
        <v>4.95</v>
      </c>
      <c r="F62" s="241" t="s">
        <v>783</v>
      </c>
      <c r="G62" s="241" t="s">
        <v>783</v>
      </c>
      <c r="H62" s="161"/>
      <c r="I62" s="160"/>
      <c r="J62" s="650"/>
      <c r="K62" s="132"/>
    </row>
    <row r="63" spans="1:11" s="133" customFormat="1" ht="33.75">
      <c r="A63" s="87" t="s">
        <v>2222</v>
      </c>
      <c r="B63" s="535" t="s">
        <v>1246</v>
      </c>
      <c r="C63" s="177" t="s">
        <v>630</v>
      </c>
      <c r="D63" s="201">
        <v>7.1</v>
      </c>
      <c r="E63" s="201">
        <f t="shared" si="2"/>
        <v>7.8100000000000005</v>
      </c>
      <c r="F63" s="241" t="s">
        <v>783</v>
      </c>
      <c r="G63" s="241" t="s">
        <v>783</v>
      </c>
      <c r="H63" s="161"/>
      <c r="I63" s="160"/>
      <c r="J63" s="650"/>
      <c r="K63" s="132"/>
    </row>
    <row r="64" spans="1:11" s="133" customFormat="1" ht="33.75">
      <c r="A64" s="89" t="s">
        <v>2223</v>
      </c>
      <c r="B64" s="535" t="s">
        <v>1247</v>
      </c>
      <c r="C64" s="177" t="s">
        <v>630</v>
      </c>
      <c r="D64" s="201">
        <v>3</v>
      </c>
      <c r="E64" s="201">
        <f t="shared" si="2"/>
        <v>3.3000000000000003</v>
      </c>
      <c r="F64" s="241" t="s">
        <v>783</v>
      </c>
      <c r="G64" s="241" t="s">
        <v>783</v>
      </c>
      <c r="H64" s="161"/>
      <c r="I64" s="160"/>
      <c r="J64" s="650"/>
      <c r="K64" s="132"/>
    </row>
    <row r="65" spans="1:11" s="133" customFormat="1" ht="33.75">
      <c r="A65" s="89" t="s">
        <v>2224</v>
      </c>
      <c r="B65" s="535" t="s">
        <v>1248</v>
      </c>
      <c r="C65" s="177" t="s">
        <v>630</v>
      </c>
      <c r="D65" s="201">
        <v>5</v>
      </c>
      <c r="E65" s="201">
        <f t="shared" si="2"/>
        <v>5.5</v>
      </c>
      <c r="F65" s="241" t="s">
        <v>783</v>
      </c>
      <c r="G65" s="241" t="s">
        <v>783</v>
      </c>
      <c r="H65" s="161"/>
      <c r="I65" s="160"/>
      <c r="J65" s="650"/>
      <c r="K65" s="132"/>
    </row>
    <row r="66" spans="1:11" s="133" customFormat="1" ht="33.75">
      <c r="A66" s="89" t="s">
        <v>2471</v>
      </c>
      <c r="B66" s="535" t="s">
        <v>1249</v>
      </c>
      <c r="C66" s="177" t="s">
        <v>630</v>
      </c>
      <c r="D66" s="201">
        <v>7.1</v>
      </c>
      <c r="E66" s="201">
        <f t="shared" si="2"/>
        <v>7.8100000000000005</v>
      </c>
      <c r="F66" s="241" t="s">
        <v>783</v>
      </c>
      <c r="G66" s="241" t="s">
        <v>783</v>
      </c>
      <c r="H66" s="161"/>
      <c r="I66" s="160"/>
      <c r="J66" s="650"/>
      <c r="K66" s="132"/>
    </row>
    <row r="67" spans="1:11" s="133" customFormat="1" ht="52.5">
      <c r="A67" s="116" t="s">
        <v>2174</v>
      </c>
      <c r="B67" s="374" t="s">
        <v>754</v>
      </c>
      <c r="C67" s="177" t="s">
        <v>630</v>
      </c>
      <c r="D67" s="201">
        <v>35</v>
      </c>
      <c r="E67" s="201">
        <f t="shared" si="1"/>
        <v>38.5</v>
      </c>
      <c r="F67" s="201">
        <f t="shared" ref="F67:F75" si="3">SUM(G67*1.1)</f>
        <v>49.500000000000007</v>
      </c>
      <c r="G67" s="201">
        <v>45</v>
      </c>
      <c r="H67" s="449" t="s">
        <v>342</v>
      </c>
      <c r="I67" s="96" t="s">
        <v>337</v>
      </c>
      <c r="J67" s="427" t="s">
        <v>656</v>
      </c>
      <c r="K67" s="132"/>
    </row>
    <row r="68" spans="1:11" s="133" customFormat="1" ht="63">
      <c r="A68" s="61" t="s">
        <v>2175</v>
      </c>
      <c r="B68" s="163" t="s">
        <v>755</v>
      </c>
      <c r="C68" s="177" t="s">
        <v>630</v>
      </c>
      <c r="D68" s="201">
        <v>6.5</v>
      </c>
      <c r="E68" s="201">
        <f t="shared" si="1"/>
        <v>7.15</v>
      </c>
      <c r="F68" s="201">
        <f t="shared" si="3"/>
        <v>3.0250000000000004</v>
      </c>
      <c r="G68" s="201">
        <v>2.75</v>
      </c>
      <c r="H68" s="448" t="s">
        <v>353</v>
      </c>
      <c r="I68" s="148" t="s">
        <v>345</v>
      </c>
      <c r="J68" s="427" t="s">
        <v>656</v>
      </c>
    </row>
    <row r="69" spans="1:11" s="133" customFormat="1" ht="63">
      <c r="A69" s="61" t="s">
        <v>2176</v>
      </c>
      <c r="B69" s="163" t="s">
        <v>756</v>
      </c>
      <c r="C69" s="177" t="s">
        <v>630</v>
      </c>
      <c r="D69" s="201">
        <v>5.5</v>
      </c>
      <c r="E69" s="201">
        <f t="shared" si="1"/>
        <v>6.0500000000000007</v>
      </c>
      <c r="F69" s="201">
        <f t="shared" si="3"/>
        <v>3.0250000000000004</v>
      </c>
      <c r="G69" s="201">
        <v>2.75</v>
      </c>
      <c r="H69" s="448" t="s">
        <v>353</v>
      </c>
      <c r="I69" s="148" t="s">
        <v>345</v>
      </c>
      <c r="J69" s="427" t="s">
        <v>656</v>
      </c>
    </row>
    <row r="70" spans="1:11" s="133" customFormat="1" ht="73.5">
      <c r="A70" s="61" t="s">
        <v>2177</v>
      </c>
      <c r="B70" s="163" t="s">
        <v>757</v>
      </c>
      <c r="C70" s="177" t="s">
        <v>630</v>
      </c>
      <c r="D70" s="201">
        <v>4.5</v>
      </c>
      <c r="E70" s="201">
        <f t="shared" ref="E70:E72" si="4">SUM(D70*1.1)</f>
        <v>4.95</v>
      </c>
      <c r="F70" s="201">
        <f t="shared" si="3"/>
        <v>3.0250000000000004</v>
      </c>
      <c r="G70" s="201">
        <v>2.75</v>
      </c>
      <c r="H70" s="448" t="s">
        <v>353</v>
      </c>
      <c r="I70" s="148" t="s">
        <v>345</v>
      </c>
      <c r="J70" s="427" t="s">
        <v>656</v>
      </c>
    </row>
    <row r="71" spans="1:11" s="133" customFormat="1" ht="73.5">
      <c r="A71" s="61" t="s">
        <v>2178</v>
      </c>
      <c r="B71" s="163" t="s">
        <v>758</v>
      </c>
      <c r="C71" s="177" t="s">
        <v>630</v>
      </c>
      <c r="D71" s="201">
        <v>4</v>
      </c>
      <c r="E71" s="201">
        <f t="shared" si="4"/>
        <v>4.4000000000000004</v>
      </c>
      <c r="F71" s="201">
        <f t="shared" si="3"/>
        <v>3.0250000000000004</v>
      </c>
      <c r="G71" s="201">
        <v>2.75</v>
      </c>
      <c r="H71" s="448" t="s">
        <v>353</v>
      </c>
      <c r="I71" s="148" t="s">
        <v>345</v>
      </c>
      <c r="J71" s="427" t="s">
        <v>656</v>
      </c>
    </row>
    <row r="72" spans="1:11" s="133" customFormat="1" ht="63">
      <c r="A72" s="61" t="s">
        <v>2179</v>
      </c>
      <c r="B72" s="163" t="s">
        <v>372</v>
      </c>
      <c r="C72" s="177" t="s">
        <v>630</v>
      </c>
      <c r="D72" s="201">
        <v>3</v>
      </c>
      <c r="E72" s="201">
        <f t="shared" si="4"/>
        <v>3.3000000000000003</v>
      </c>
      <c r="F72" s="201">
        <f t="shared" si="3"/>
        <v>3.0250000000000004</v>
      </c>
      <c r="G72" s="201">
        <v>2.75</v>
      </c>
      <c r="H72" s="448" t="s">
        <v>353</v>
      </c>
      <c r="I72" s="148" t="s">
        <v>345</v>
      </c>
      <c r="J72" s="427" t="s">
        <v>656</v>
      </c>
    </row>
    <row r="73" spans="1:11" s="133" customFormat="1" ht="73.5">
      <c r="A73" s="61" t="s">
        <v>2180</v>
      </c>
      <c r="B73" s="163" t="s">
        <v>759</v>
      </c>
      <c r="C73" s="177" t="s">
        <v>630</v>
      </c>
      <c r="D73" s="201">
        <v>2.5</v>
      </c>
      <c r="E73" s="241">
        <f>SUM(D73*1.1)</f>
        <v>2.75</v>
      </c>
      <c r="F73" s="201">
        <f t="shared" si="3"/>
        <v>3.0250000000000004</v>
      </c>
      <c r="G73" s="201">
        <v>2.75</v>
      </c>
      <c r="H73" s="448" t="s">
        <v>353</v>
      </c>
      <c r="I73" s="148" t="s">
        <v>345</v>
      </c>
      <c r="J73" s="427" t="s">
        <v>656</v>
      </c>
    </row>
    <row r="74" spans="1:11" s="133" customFormat="1" ht="73.5">
      <c r="A74" s="61" t="s">
        <v>2181</v>
      </c>
      <c r="B74" s="96" t="s">
        <v>760</v>
      </c>
      <c r="C74" s="177" t="s">
        <v>630</v>
      </c>
      <c r="D74" s="201" t="s">
        <v>277</v>
      </c>
      <c r="E74" s="201" t="s">
        <v>277</v>
      </c>
      <c r="F74" s="201">
        <f t="shared" si="3"/>
        <v>104.50000000000001</v>
      </c>
      <c r="G74" s="201">
        <v>95</v>
      </c>
      <c r="H74" s="448" t="s">
        <v>344</v>
      </c>
      <c r="I74" s="149" t="s">
        <v>346</v>
      </c>
      <c r="J74" s="427" t="s">
        <v>656</v>
      </c>
      <c r="K74" s="132"/>
    </row>
    <row r="75" spans="1:11" s="133" customFormat="1" ht="52.5">
      <c r="A75" s="61" t="s">
        <v>2227</v>
      </c>
      <c r="B75" s="96" t="s">
        <v>761</v>
      </c>
      <c r="C75" s="177" t="s">
        <v>630</v>
      </c>
      <c r="D75" s="201" t="s">
        <v>277</v>
      </c>
      <c r="E75" s="201" t="s">
        <v>277</v>
      </c>
      <c r="F75" s="201">
        <f t="shared" si="3"/>
        <v>214.50000000000003</v>
      </c>
      <c r="G75" s="201">
        <v>195</v>
      </c>
      <c r="H75" s="161" t="s">
        <v>343</v>
      </c>
      <c r="I75" s="96" t="s">
        <v>338</v>
      </c>
      <c r="J75" s="427" t="s">
        <v>656</v>
      </c>
      <c r="K75" s="132"/>
    </row>
    <row r="76" spans="1:11" s="133" customFormat="1" ht="46.5" customHeight="1">
      <c r="A76" s="96" t="s">
        <v>2729</v>
      </c>
      <c r="B76" s="96" t="s">
        <v>2702</v>
      </c>
      <c r="C76" s="811" t="s">
        <v>630</v>
      </c>
      <c r="D76" s="201">
        <v>12</v>
      </c>
      <c r="E76" s="201">
        <f>D76*1.1</f>
        <v>13.200000000000001</v>
      </c>
      <c r="F76" s="201" t="s">
        <v>277</v>
      </c>
      <c r="G76" s="201" t="s">
        <v>277</v>
      </c>
      <c r="H76" s="161" t="s">
        <v>343</v>
      </c>
      <c r="I76" s="96"/>
      <c r="J76" s="812"/>
      <c r="K76" s="132"/>
    </row>
    <row r="77" spans="1:11" s="133" customFormat="1" ht="56.25" customHeight="1">
      <c r="A77" s="96" t="s">
        <v>2730</v>
      </c>
      <c r="B77" s="96" t="s">
        <v>2701</v>
      </c>
      <c r="C77" s="811" t="s">
        <v>630</v>
      </c>
      <c r="D77" s="201">
        <v>15</v>
      </c>
      <c r="E77" s="201">
        <f>D77*1.1</f>
        <v>16.5</v>
      </c>
      <c r="F77" s="201" t="s">
        <v>277</v>
      </c>
      <c r="G77" s="201" t="s">
        <v>277</v>
      </c>
      <c r="H77" s="161" t="s">
        <v>343</v>
      </c>
      <c r="I77" s="96"/>
      <c r="J77" s="812"/>
      <c r="K77" s="132"/>
    </row>
    <row r="78" spans="1:11" s="133" customFormat="1">
      <c r="A78" s="797" t="s">
        <v>426</v>
      </c>
      <c r="B78" s="143"/>
      <c r="J78" s="243"/>
      <c r="K78" s="132"/>
    </row>
    <row r="79" spans="1:11" s="133" customFormat="1" ht="11.25" customHeight="1">
      <c r="A79" s="189" t="s">
        <v>426</v>
      </c>
      <c r="B79" s="143"/>
      <c r="J79" s="193"/>
      <c r="K79" s="132"/>
    </row>
    <row r="80" spans="1:11" s="133" customFormat="1">
      <c r="A80" s="189" t="s">
        <v>426</v>
      </c>
      <c r="B80" s="143"/>
      <c r="J80" s="193"/>
      <c r="K80" s="132"/>
    </row>
    <row r="81" spans="1:11" s="133" customFormat="1">
      <c r="A81" s="189" t="s">
        <v>426</v>
      </c>
      <c r="B81" s="143"/>
      <c r="J81" s="193"/>
      <c r="K81" s="132"/>
    </row>
    <row r="82" spans="1:11" s="133" customFormat="1">
      <c r="A82" s="189" t="s">
        <v>426</v>
      </c>
      <c r="B82" s="143"/>
      <c r="J82" s="193"/>
      <c r="K82" s="132"/>
    </row>
    <row r="83" spans="1:11" s="143" customFormat="1">
      <c r="A83" s="189" t="s">
        <v>426</v>
      </c>
      <c r="J83" s="309"/>
      <c r="K83" s="169"/>
    </row>
    <row r="84" spans="1:11" s="143" customFormat="1">
      <c r="A84" s="189" t="s">
        <v>426</v>
      </c>
      <c r="J84" s="309"/>
      <c r="K84" s="169"/>
    </row>
    <row r="85" spans="1:11" s="143" customFormat="1">
      <c r="A85" s="189" t="s">
        <v>426</v>
      </c>
      <c r="J85" s="309"/>
      <c r="K85" s="169"/>
    </row>
    <row r="86" spans="1:11" s="143" customFormat="1">
      <c r="A86" s="189" t="s">
        <v>426</v>
      </c>
      <c r="J86" s="309"/>
      <c r="K86" s="169"/>
    </row>
    <row r="87" spans="1:11" s="143" customFormat="1">
      <c r="A87" s="189" t="s">
        <v>426</v>
      </c>
      <c r="J87" s="309"/>
      <c r="K87" s="169"/>
    </row>
    <row r="88" spans="1:11" s="143" customFormat="1">
      <c r="A88" s="189" t="s">
        <v>426</v>
      </c>
      <c r="J88" s="309"/>
      <c r="K88" s="169"/>
    </row>
    <row r="89" spans="1:11" s="143" customFormat="1">
      <c r="A89" s="189" t="s">
        <v>426</v>
      </c>
      <c r="J89" s="309"/>
      <c r="K89" s="169"/>
    </row>
    <row r="90" spans="1:11" s="143" customFormat="1">
      <c r="A90" s="189" t="s">
        <v>426</v>
      </c>
      <c r="J90" s="309"/>
      <c r="K90" s="169"/>
    </row>
    <row r="91" spans="1:11" s="143" customFormat="1">
      <c r="A91" s="189" t="s">
        <v>426</v>
      </c>
      <c r="J91" s="309"/>
      <c r="K91" s="169"/>
    </row>
    <row r="92" spans="1:11" s="143" customFormat="1">
      <c r="A92" s="189" t="s">
        <v>426</v>
      </c>
      <c r="J92" s="309"/>
      <c r="K92" s="169"/>
    </row>
    <row r="93" spans="1:11" s="143" customFormat="1">
      <c r="A93" s="172"/>
      <c r="J93" s="309"/>
      <c r="K93" s="169"/>
    </row>
    <row r="94" spans="1:11" s="143" customFormat="1">
      <c r="A94" s="172"/>
      <c r="J94" s="309"/>
      <c r="K94" s="169"/>
    </row>
    <row r="95" spans="1:11" s="143" customFormat="1">
      <c r="A95" s="172"/>
      <c r="J95" s="309"/>
      <c r="K95" s="169"/>
    </row>
    <row r="96" spans="1:11" s="143" customFormat="1">
      <c r="A96" s="172"/>
      <c r="J96" s="309"/>
      <c r="K96" s="169"/>
    </row>
    <row r="97" spans="1:11" s="143" customFormat="1">
      <c r="A97" s="172"/>
      <c r="J97" s="309"/>
      <c r="K97" s="169"/>
    </row>
    <row r="98" spans="1:11" s="143" customFormat="1">
      <c r="A98" s="172"/>
      <c r="J98" s="309"/>
      <c r="K98" s="169"/>
    </row>
    <row r="99" spans="1:11" s="143" customFormat="1">
      <c r="A99" s="172"/>
      <c r="J99" s="309"/>
      <c r="K99" s="169"/>
    </row>
    <row r="100" spans="1:11" s="143" customFormat="1">
      <c r="A100" s="172"/>
      <c r="J100" s="309"/>
      <c r="K100" s="169"/>
    </row>
    <row r="101" spans="1:11" s="143" customFormat="1">
      <c r="A101" s="172"/>
      <c r="J101" s="309"/>
      <c r="K101" s="169"/>
    </row>
    <row r="102" spans="1:11" s="143" customFormat="1">
      <c r="A102" s="172"/>
      <c r="J102" s="309"/>
      <c r="K102" s="169"/>
    </row>
    <row r="103" spans="1:11" s="143" customFormat="1">
      <c r="A103" s="172"/>
      <c r="J103" s="309"/>
      <c r="K103" s="169"/>
    </row>
    <row r="104" spans="1:11" s="143" customFormat="1">
      <c r="A104" s="172"/>
      <c r="J104" s="309"/>
      <c r="K104" s="169"/>
    </row>
    <row r="105" spans="1:11" s="143" customFormat="1">
      <c r="A105" s="172"/>
      <c r="J105" s="309"/>
      <c r="K105" s="169"/>
    </row>
    <row r="106" spans="1:11" s="143" customFormat="1">
      <c r="A106" s="172"/>
      <c r="J106" s="309"/>
      <c r="K106" s="169"/>
    </row>
    <row r="107" spans="1:11" s="143" customFormat="1">
      <c r="A107" s="172"/>
      <c r="J107" s="309"/>
      <c r="K107" s="169"/>
    </row>
    <row r="108" spans="1:11" s="143" customFormat="1">
      <c r="A108" s="172"/>
      <c r="J108" s="309"/>
      <c r="K108" s="169"/>
    </row>
    <row r="109" spans="1:11" s="143" customFormat="1">
      <c r="A109" s="172"/>
      <c r="J109" s="309"/>
      <c r="K109" s="169"/>
    </row>
    <row r="110" spans="1:11" s="143" customFormat="1">
      <c r="A110" s="172"/>
      <c r="J110" s="309"/>
      <c r="K110" s="169"/>
    </row>
    <row r="111" spans="1:11" s="143" customFormat="1">
      <c r="A111" s="172"/>
      <c r="J111" s="309"/>
      <c r="K111" s="169"/>
    </row>
    <row r="112" spans="1:11" s="143" customFormat="1">
      <c r="A112" s="172"/>
      <c r="J112" s="309"/>
      <c r="K112" s="169"/>
    </row>
    <row r="113" spans="1:11" s="143" customFormat="1">
      <c r="A113" s="172"/>
      <c r="J113" s="309"/>
      <c r="K113" s="169"/>
    </row>
    <row r="114" spans="1:11" s="143" customFormat="1">
      <c r="A114" s="172"/>
      <c r="J114" s="309"/>
      <c r="K114" s="169"/>
    </row>
    <row r="115" spans="1:11" s="143" customFormat="1">
      <c r="A115" s="172"/>
      <c r="J115" s="309"/>
    </row>
    <row r="116" spans="1:11" s="143" customFormat="1">
      <c r="A116" s="172"/>
      <c r="J116" s="309"/>
    </row>
    <row r="117" spans="1:11" s="143" customFormat="1">
      <c r="A117" s="172"/>
      <c r="J117" s="309"/>
    </row>
    <row r="118" spans="1:11" s="143" customFormat="1">
      <c r="A118" s="172"/>
      <c r="J118" s="309"/>
    </row>
    <row r="119" spans="1:11" s="143" customFormat="1">
      <c r="A119" s="172"/>
      <c r="J119" s="309"/>
    </row>
    <row r="120" spans="1:11" s="143" customFormat="1">
      <c r="A120" s="172"/>
      <c r="J120" s="309"/>
    </row>
    <row r="121" spans="1:11">
      <c r="A121" s="172"/>
    </row>
    <row r="122" spans="1:11">
      <c r="A122" s="172"/>
    </row>
    <row r="123" spans="1:11">
      <c r="A123" s="172"/>
    </row>
    <row r="124" spans="1:11">
      <c r="A124" s="172"/>
    </row>
  </sheetData>
  <mergeCells count="15">
    <mergeCell ref="H7:I8"/>
    <mergeCell ref="J7:J8"/>
    <mergeCell ref="B9:G9"/>
    <mergeCell ref="C7:C8"/>
    <mergeCell ref="D7:D8"/>
    <mergeCell ref="E7:E8"/>
    <mergeCell ref="F7:F8"/>
    <mergeCell ref="G7:G8"/>
    <mergeCell ref="B2:D2"/>
    <mergeCell ref="E2:G4"/>
    <mergeCell ref="H2:I4"/>
    <mergeCell ref="J2:J6"/>
    <mergeCell ref="A5:B6"/>
    <mergeCell ref="H5:I6"/>
    <mergeCell ref="F6:G6"/>
  </mergeCells>
  <pageMargins left="7.3958333333333333E-3" right="0.75" top="1" bottom="1" header="0.5" footer="0.5"/>
  <pageSetup scale="71" orientation="landscape" r:id="rId1"/>
  <headerFooter>
    <oddHeader>&amp;L&amp;F&amp;C&amp;A&amp;R&amp;G</oddHeader>
    <oddFooter>&amp;C&amp;"Tahoma,Italic"Use or disclosure of the data on this page or screen is subject to the restrictions on the title page or opening view screen of this proposal document or file.&amp;R&amp;P of &amp;N</oddFooter>
  </headerFooter>
  <ignoredErrors>
    <ignoredError sqref="E10:E13 F28:G41 F51:G51 E62:E72 F11 E74:E75 F19:G26 F43:G43 F45:G50 F52:G56 F67:G75 E19:E57" unlockedFormula="1"/>
  </ignoredErrors>
  <legacyDrawingHF r:id="rId2"/>
</worksheet>
</file>

<file path=xl/worksheets/sheet11.xml><?xml version="1.0" encoding="utf-8"?>
<worksheet xmlns="http://schemas.openxmlformats.org/spreadsheetml/2006/main" xmlns:r="http://schemas.openxmlformats.org/officeDocument/2006/relationships">
  <sheetPr codeName="Sheet8" enableFormatConditionsCalculation="0">
    <tabColor theme="3" tint="0.79998168889431442"/>
    <pageSetUpPr fitToPage="1"/>
  </sheetPr>
  <dimension ref="A1:K125"/>
  <sheetViews>
    <sheetView showWhiteSpace="0" zoomScaleNormal="100" zoomScaleSheetLayoutView="100" workbookViewId="0"/>
  </sheetViews>
  <sheetFormatPr defaultRowHeight="10.5"/>
  <cols>
    <col min="1" max="1" width="19.1640625" style="8" customWidth="1"/>
    <col min="2" max="2" width="21.6640625" style="143" customWidth="1"/>
    <col min="3" max="3" width="16.1640625" style="143" customWidth="1"/>
    <col min="4" max="4" width="12.5" style="143" hidden="1" customWidth="1"/>
    <col min="5" max="5" width="11" style="203" customWidth="1"/>
    <col min="6" max="6" width="12.1640625" style="203" customWidth="1"/>
    <col min="7" max="7" width="11.83203125" style="143" hidden="1" customWidth="1"/>
    <col min="8" max="8" width="11" style="143" customWidth="1"/>
    <col min="9" max="9" width="17.33203125" style="143" customWidth="1"/>
    <col min="10" max="10" width="27.6640625" style="195" customWidth="1"/>
    <col min="11" max="11" width="11.33203125" customWidth="1"/>
  </cols>
  <sheetData>
    <row r="1" spans="1:11" ht="15" customHeight="1">
      <c r="A1" s="166" t="s">
        <v>424</v>
      </c>
      <c r="B1" s="436"/>
      <c r="C1" s="200"/>
      <c r="D1" s="200"/>
      <c r="E1" s="259"/>
      <c r="F1" s="259"/>
      <c r="G1" s="200"/>
      <c r="H1" s="200"/>
      <c r="I1" s="200"/>
      <c r="J1" s="213"/>
    </row>
    <row r="2" spans="1:11" s="81" customFormat="1" ht="11.25" customHeight="1">
      <c r="A2" s="69"/>
      <c r="B2" s="1333" t="s">
        <v>370</v>
      </c>
      <c r="C2" s="1333"/>
      <c r="D2" s="1333"/>
      <c r="E2" s="1336" t="s">
        <v>622</v>
      </c>
      <c r="F2" s="1336"/>
      <c r="G2" s="1336"/>
      <c r="H2" s="1334" t="s">
        <v>623</v>
      </c>
      <c r="I2" s="1334"/>
      <c r="J2" s="1335" t="s">
        <v>631</v>
      </c>
    </row>
    <row r="3" spans="1:11" s="81" customFormat="1" ht="10.5" customHeight="1">
      <c r="A3" s="102" t="s">
        <v>426</v>
      </c>
      <c r="B3" s="439"/>
      <c r="C3" s="102"/>
      <c r="D3" s="102"/>
      <c r="E3" s="1336"/>
      <c r="F3" s="1336"/>
      <c r="G3" s="1336"/>
      <c r="H3" s="1334"/>
      <c r="I3" s="1334"/>
      <c r="J3" s="1335"/>
    </row>
    <row r="4" spans="1:11" s="81" customFormat="1" ht="10.5" customHeight="1">
      <c r="A4" s="102"/>
      <c r="B4" s="439"/>
      <c r="C4" s="102"/>
      <c r="D4" s="102"/>
      <c r="E4" s="1336"/>
      <c r="F4" s="1336"/>
      <c r="G4" s="1336"/>
      <c r="H4" s="1334"/>
      <c r="I4" s="1334"/>
      <c r="J4" s="1335"/>
    </row>
    <row r="5" spans="1:11" s="81" customFormat="1" ht="12" customHeight="1">
      <c r="A5" s="1310" t="s">
        <v>633</v>
      </c>
      <c r="B5" s="1310"/>
      <c r="C5" s="127"/>
      <c r="D5" s="328" t="s">
        <v>624</v>
      </c>
      <c r="E5" s="1236"/>
      <c r="F5" s="1236"/>
      <c r="G5" s="1236"/>
      <c r="H5" s="1334" t="s">
        <v>625</v>
      </c>
      <c r="I5" s="1334"/>
      <c r="J5" s="1335"/>
    </row>
    <row r="6" spans="1:11" ht="69.75" customHeight="1">
      <c r="A6" s="1310"/>
      <c r="B6" s="1310"/>
      <c r="C6" s="325"/>
      <c r="D6" s="101"/>
      <c r="E6" s="1539"/>
      <c r="F6" s="1540"/>
      <c r="G6" s="1541"/>
      <c r="H6" s="1334"/>
      <c r="I6" s="1334"/>
      <c r="J6" s="1335"/>
    </row>
    <row r="7" spans="1:11" ht="21" customHeight="1">
      <c r="A7" s="331" t="s">
        <v>653</v>
      </c>
      <c r="B7" s="177" t="s">
        <v>428</v>
      </c>
      <c r="C7" s="1311" t="s">
        <v>429</v>
      </c>
      <c r="D7" s="1320" t="s">
        <v>620</v>
      </c>
      <c r="E7" s="1312" t="s">
        <v>432</v>
      </c>
      <c r="F7" s="1319" t="s">
        <v>430</v>
      </c>
      <c r="G7" s="1320" t="s">
        <v>621</v>
      </c>
      <c r="H7" s="1328" t="s">
        <v>431</v>
      </c>
      <c r="I7" s="1328"/>
      <c r="J7" s="1327" t="s">
        <v>627</v>
      </c>
    </row>
    <row r="8" spans="1:11" ht="21" customHeight="1">
      <c r="A8" s="326"/>
      <c r="B8" s="99"/>
      <c r="C8" s="1311"/>
      <c r="D8" s="1320"/>
      <c r="E8" s="1312"/>
      <c r="F8" s="1319"/>
      <c r="G8" s="1321"/>
      <c r="H8" s="1328"/>
      <c r="I8" s="1328"/>
      <c r="J8" s="1327"/>
    </row>
    <row r="9" spans="1:11" ht="14.25">
      <c r="A9" s="64"/>
      <c r="B9" s="1274" t="s">
        <v>1237</v>
      </c>
      <c r="C9" s="1275"/>
      <c r="D9" s="1275"/>
      <c r="E9" s="1275"/>
      <c r="F9" s="1275"/>
      <c r="G9" s="1275"/>
      <c r="H9" s="256"/>
      <c r="I9" s="201"/>
      <c r="J9" s="214"/>
      <c r="K9" s="820"/>
    </row>
    <row r="10" spans="1:11" s="133" customFormat="1" ht="31.5">
      <c r="A10" s="89" t="s">
        <v>1718</v>
      </c>
      <c r="B10" s="96" t="s">
        <v>1</v>
      </c>
      <c r="C10" s="177" t="s">
        <v>628</v>
      </c>
      <c r="D10" s="201">
        <v>45.5</v>
      </c>
      <c r="E10" s="201">
        <f>SUM(D10*1.1)</f>
        <v>50.050000000000004</v>
      </c>
      <c r="F10" s="201">
        <v>0</v>
      </c>
      <c r="G10" s="201">
        <f>(F10-(F10*10%))</f>
        <v>0</v>
      </c>
      <c r="H10" s="215"/>
      <c r="I10" s="201"/>
      <c r="J10" s="202" t="s">
        <v>685</v>
      </c>
      <c r="K10" s="132"/>
    </row>
    <row r="11" spans="1:11" s="133" customFormat="1" ht="31.5">
      <c r="A11" s="241" t="s">
        <v>1719</v>
      </c>
      <c r="B11" s="96" t="s">
        <v>352</v>
      </c>
      <c r="C11" s="177" t="s">
        <v>628</v>
      </c>
      <c r="D11" s="201">
        <v>9</v>
      </c>
      <c r="E11" s="201">
        <f t="shared" ref="E11:E13" si="0">SUM(D11*1.1)</f>
        <v>9.9</v>
      </c>
      <c r="F11" s="241" t="s">
        <v>277</v>
      </c>
      <c r="G11" s="241" t="s">
        <v>277</v>
      </c>
      <c r="H11" s="215"/>
      <c r="I11" s="148" t="s">
        <v>458</v>
      </c>
      <c r="J11" s="202" t="s">
        <v>685</v>
      </c>
      <c r="K11" s="132"/>
    </row>
    <row r="12" spans="1:11" s="133" customFormat="1" ht="42">
      <c r="A12" s="89" t="s">
        <v>1720</v>
      </c>
      <c r="B12" s="373" t="s">
        <v>460</v>
      </c>
      <c r="C12" s="177" t="s">
        <v>628</v>
      </c>
      <c r="D12" s="201">
        <v>36</v>
      </c>
      <c r="E12" s="201">
        <f t="shared" si="0"/>
        <v>39.6</v>
      </c>
      <c r="F12" s="241" t="s">
        <v>277</v>
      </c>
      <c r="G12" s="241" t="s">
        <v>277</v>
      </c>
      <c r="H12" s="215"/>
      <c r="I12" s="148" t="s">
        <v>459</v>
      </c>
      <c r="J12" s="202" t="s">
        <v>685</v>
      </c>
      <c r="K12" s="132"/>
    </row>
    <row r="13" spans="1:11" s="133" customFormat="1" ht="42">
      <c r="A13" s="89" t="s">
        <v>1721</v>
      </c>
      <c r="B13" s="373" t="s">
        <v>788</v>
      </c>
      <c r="C13" s="177" t="s">
        <v>628</v>
      </c>
      <c r="D13" s="201">
        <v>8.8000000000000007</v>
      </c>
      <c r="E13" s="201">
        <f t="shared" si="0"/>
        <v>9.6800000000000015</v>
      </c>
      <c r="F13" s="241" t="s">
        <v>277</v>
      </c>
      <c r="G13" s="241" t="s">
        <v>277</v>
      </c>
      <c r="H13" s="215"/>
      <c r="I13" s="148" t="s">
        <v>459</v>
      </c>
      <c r="J13" s="202" t="s">
        <v>685</v>
      </c>
      <c r="K13" s="132"/>
    </row>
    <row r="14" spans="1:11" s="143" customFormat="1" ht="14.25">
      <c r="A14" s="65"/>
      <c r="B14" s="238"/>
      <c r="C14" s="238"/>
      <c r="D14" s="201"/>
      <c r="E14" s="201"/>
      <c r="F14" s="201"/>
      <c r="G14" s="201"/>
      <c r="H14" s="216"/>
      <c r="I14" s="201"/>
      <c r="J14" s="214"/>
      <c r="K14" s="132"/>
    </row>
    <row r="15" spans="1:11" s="143" customFormat="1" ht="14.25">
      <c r="A15" s="66"/>
      <c r="D15" s="133"/>
      <c r="E15" s="133"/>
      <c r="F15" s="133"/>
      <c r="G15" s="133"/>
      <c r="H15" s="216"/>
      <c r="J15" s="195"/>
      <c r="K15" s="132"/>
    </row>
    <row r="16" spans="1:11" s="143" customFormat="1" ht="12.75">
      <c r="A16" s="56"/>
      <c r="B16" s="357" t="s">
        <v>396</v>
      </c>
      <c r="C16" s="253"/>
      <c r="D16" s="330"/>
      <c r="E16" s="330"/>
      <c r="F16" s="330"/>
      <c r="G16" s="330"/>
      <c r="H16" s="216"/>
      <c r="I16" s="254"/>
      <c r="J16" s="257"/>
      <c r="K16" s="132"/>
    </row>
    <row r="17" spans="1:11" s="143" customFormat="1" ht="73.5">
      <c r="A17" s="87" t="s">
        <v>277</v>
      </c>
      <c r="B17" s="219" t="s">
        <v>281</v>
      </c>
      <c r="C17" s="177" t="s">
        <v>628</v>
      </c>
      <c r="D17" s="241" t="s">
        <v>783</v>
      </c>
      <c r="E17" s="241" t="s">
        <v>783</v>
      </c>
      <c r="F17" s="241" t="s">
        <v>783</v>
      </c>
      <c r="G17" s="241" t="s">
        <v>783</v>
      </c>
      <c r="H17" s="215"/>
      <c r="I17" s="217" t="s">
        <v>375</v>
      </c>
      <c r="J17" s="218"/>
      <c r="K17" s="132"/>
    </row>
    <row r="18" spans="1:11" s="143" customFormat="1" ht="42">
      <c r="A18" s="87" t="s">
        <v>277</v>
      </c>
      <c r="B18" s="219" t="s">
        <v>282</v>
      </c>
      <c r="C18" s="177" t="s">
        <v>628</v>
      </c>
      <c r="D18" s="241" t="s">
        <v>783</v>
      </c>
      <c r="E18" s="241" t="s">
        <v>783</v>
      </c>
      <c r="F18" s="241" t="s">
        <v>783</v>
      </c>
      <c r="G18" s="241" t="s">
        <v>783</v>
      </c>
      <c r="H18" s="215"/>
      <c r="I18" s="217" t="s">
        <v>283</v>
      </c>
      <c r="J18" s="218"/>
      <c r="K18" s="132"/>
    </row>
    <row r="19" spans="1:11" s="143" customFormat="1" ht="31.5">
      <c r="A19" s="87" t="s">
        <v>1722</v>
      </c>
      <c r="B19" s="161" t="s">
        <v>717</v>
      </c>
      <c r="C19" s="233" t="s">
        <v>628</v>
      </c>
      <c r="D19" s="201">
        <v>5</v>
      </c>
      <c r="E19" s="201">
        <f t="shared" ref="E19:E23" si="1">SUM(D19*1.1)</f>
        <v>5.5</v>
      </c>
      <c r="F19" s="201">
        <v>9.69</v>
      </c>
      <c r="G19" s="201">
        <f>(F19-(F19*10%))</f>
        <v>8.7210000000000001</v>
      </c>
      <c r="H19" s="161" t="s">
        <v>284</v>
      </c>
      <c r="I19" s="160" t="s">
        <v>376</v>
      </c>
      <c r="J19" s="210" t="s">
        <v>718</v>
      </c>
      <c r="K19" s="132"/>
    </row>
    <row r="20" spans="1:11" s="143" customFormat="1" ht="31.5">
      <c r="A20" s="87" t="s">
        <v>1723</v>
      </c>
      <c r="B20" s="161" t="s">
        <v>780</v>
      </c>
      <c r="C20" s="177" t="s">
        <v>628</v>
      </c>
      <c r="D20" s="241">
        <v>5</v>
      </c>
      <c r="E20" s="201">
        <f t="shared" si="1"/>
        <v>5.5</v>
      </c>
      <c r="F20" s="201">
        <v>9.69</v>
      </c>
      <c r="G20" s="201">
        <f>(F20-(F20*10%))</f>
        <v>8.7210000000000001</v>
      </c>
      <c r="H20" s="161" t="s">
        <v>286</v>
      </c>
      <c r="I20" s="160" t="s">
        <v>376</v>
      </c>
      <c r="J20" s="210" t="s">
        <v>718</v>
      </c>
      <c r="K20" s="132"/>
    </row>
    <row r="21" spans="1:11" s="143" customFormat="1" ht="21">
      <c r="A21" s="87" t="s">
        <v>1724</v>
      </c>
      <c r="B21" s="161" t="s">
        <v>781</v>
      </c>
      <c r="C21" s="177" t="s">
        <v>628</v>
      </c>
      <c r="D21" s="241">
        <v>4.1100000000000003</v>
      </c>
      <c r="E21" s="201">
        <f t="shared" si="1"/>
        <v>4.5210000000000008</v>
      </c>
      <c r="F21" s="201">
        <v>9.68</v>
      </c>
      <c r="G21" s="201">
        <f>(F21-(F21*10%))</f>
        <v>8.7119999999999997</v>
      </c>
      <c r="H21" s="161" t="s">
        <v>284</v>
      </c>
      <c r="I21" s="160" t="s">
        <v>376</v>
      </c>
      <c r="J21" s="2" t="s">
        <v>782</v>
      </c>
      <c r="K21" s="132"/>
    </row>
    <row r="22" spans="1:11" s="143" customFormat="1" ht="42">
      <c r="A22" s="87" t="s">
        <v>277</v>
      </c>
      <c r="B22" s="161" t="s">
        <v>287</v>
      </c>
      <c r="C22" s="177" t="s">
        <v>628</v>
      </c>
      <c r="D22" s="241" t="s">
        <v>783</v>
      </c>
      <c r="E22" s="241" t="s">
        <v>783</v>
      </c>
      <c r="F22" s="241" t="s">
        <v>783</v>
      </c>
      <c r="G22" s="241" t="s">
        <v>783</v>
      </c>
      <c r="H22" s="161" t="s">
        <v>288</v>
      </c>
      <c r="I22" s="160" t="s">
        <v>378</v>
      </c>
      <c r="J22" s="210"/>
      <c r="K22" s="132"/>
    </row>
    <row r="23" spans="1:11" s="143" customFormat="1" ht="94.5">
      <c r="A23" s="87" t="s">
        <v>1725</v>
      </c>
      <c r="B23" s="219" t="s">
        <v>1424</v>
      </c>
      <c r="C23" s="177" t="s">
        <v>628</v>
      </c>
      <c r="D23" s="201">
        <v>4</v>
      </c>
      <c r="E23" s="201">
        <f t="shared" si="1"/>
        <v>4.4000000000000004</v>
      </c>
      <c r="F23" s="201">
        <f t="shared" ref="F23:F50" si="2">SUM(G23*1.1)</f>
        <v>12.100000000000001</v>
      </c>
      <c r="G23" s="201">
        <v>11</v>
      </c>
      <c r="H23" s="219" t="s">
        <v>289</v>
      </c>
      <c r="I23" s="160" t="s">
        <v>379</v>
      </c>
      <c r="J23" s="210" t="s">
        <v>688</v>
      </c>
      <c r="K23" s="132"/>
    </row>
    <row r="24" spans="1:11" s="143" customFormat="1" ht="31.5">
      <c r="A24" s="87" t="s">
        <v>277</v>
      </c>
      <c r="B24" s="160" t="s">
        <v>291</v>
      </c>
      <c r="C24" s="177" t="s">
        <v>628</v>
      </c>
      <c r="D24" s="241" t="s">
        <v>783</v>
      </c>
      <c r="E24" s="241" t="s">
        <v>783</v>
      </c>
      <c r="F24" s="241" t="s">
        <v>783</v>
      </c>
      <c r="G24" s="241" t="s">
        <v>783</v>
      </c>
      <c r="H24" s="160"/>
      <c r="I24" s="160" t="s">
        <v>380</v>
      </c>
      <c r="J24" s="210"/>
      <c r="K24" s="132"/>
    </row>
    <row r="25" spans="1:11" s="143" customFormat="1" ht="42">
      <c r="A25" s="87" t="s">
        <v>277</v>
      </c>
      <c r="B25" s="161" t="s">
        <v>292</v>
      </c>
      <c r="C25" s="177" t="s">
        <v>628</v>
      </c>
      <c r="D25" s="241" t="s">
        <v>783</v>
      </c>
      <c r="E25" s="241" t="s">
        <v>783</v>
      </c>
      <c r="F25" s="241" t="s">
        <v>783</v>
      </c>
      <c r="G25" s="241" t="s">
        <v>783</v>
      </c>
      <c r="H25" s="161" t="s">
        <v>288</v>
      </c>
      <c r="I25" s="160" t="s">
        <v>412</v>
      </c>
      <c r="J25" s="210"/>
      <c r="K25" s="132"/>
    </row>
    <row r="26" spans="1:11" s="143" customFormat="1" ht="63">
      <c r="A26" s="87" t="s">
        <v>1726</v>
      </c>
      <c r="B26" s="161" t="s">
        <v>293</v>
      </c>
      <c r="C26" s="177" t="s">
        <v>628</v>
      </c>
      <c r="D26" s="241" t="s">
        <v>783</v>
      </c>
      <c r="E26" s="241" t="s">
        <v>783</v>
      </c>
      <c r="F26" s="241" t="s">
        <v>783</v>
      </c>
      <c r="G26" s="241" t="s">
        <v>783</v>
      </c>
      <c r="H26" s="161" t="s">
        <v>288</v>
      </c>
      <c r="I26" s="160" t="s">
        <v>381</v>
      </c>
      <c r="J26" s="210"/>
      <c r="K26" s="132"/>
    </row>
    <row r="27" spans="1:11" s="143" customFormat="1" ht="73.5">
      <c r="A27" s="87" t="s">
        <v>1727</v>
      </c>
      <c r="B27" s="219" t="s">
        <v>1425</v>
      </c>
      <c r="C27" s="177" t="s">
        <v>628</v>
      </c>
      <c r="D27" s="201">
        <v>4</v>
      </c>
      <c r="E27" s="201">
        <f t="shared" ref="E27:E73" si="3">SUM(D27*1.1)</f>
        <v>4.4000000000000004</v>
      </c>
      <c r="F27" s="201">
        <v>10.199999999999999</v>
      </c>
      <c r="G27" s="201">
        <f>(F27-(F27*10%))</f>
        <v>9.18</v>
      </c>
      <c r="H27" s="219" t="s">
        <v>289</v>
      </c>
      <c r="I27" s="160" t="s">
        <v>413</v>
      </c>
      <c r="J27" s="210" t="s">
        <v>689</v>
      </c>
      <c r="K27" s="132"/>
    </row>
    <row r="28" spans="1:11" s="143" customFormat="1" ht="31.5">
      <c r="A28" s="87" t="s">
        <v>1728</v>
      </c>
      <c r="B28" s="161" t="s">
        <v>1426</v>
      </c>
      <c r="C28" s="177" t="s">
        <v>628</v>
      </c>
      <c r="D28" s="201">
        <v>2.75</v>
      </c>
      <c r="E28" s="201">
        <f t="shared" si="3"/>
        <v>3.0250000000000004</v>
      </c>
      <c r="F28" s="241" t="s">
        <v>783</v>
      </c>
      <c r="G28" s="241" t="s">
        <v>783</v>
      </c>
      <c r="H28" s="161" t="s">
        <v>288</v>
      </c>
      <c r="I28" s="160" t="s">
        <v>384</v>
      </c>
      <c r="J28" s="210" t="s">
        <v>686</v>
      </c>
      <c r="K28" s="132"/>
    </row>
    <row r="29" spans="1:11" s="143" customFormat="1" ht="31.5">
      <c r="A29" s="87" t="s">
        <v>1729</v>
      </c>
      <c r="B29" s="161" t="s">
        <v>1427</v>
      </c>
      <c r="C29" s="177" t="s">
        <v>628</v>
      </c>
      <c r="D29" s="201">
        <v>4.3499999999999996</v>
      </c>
      <c r="E29" s="201">
        <f t="shared" si="3"/>
        <v>4.7850000000000001</v>
      </c>
      <c r="F29" s="241" t="s">
        <v>783</v>
      </c>
      <c r="G29" s="241" t="s">
        <v>783</v>
      </c>
      <c r="H29" s="161" t="s">
        <v>288</v>
      </c>
      <c r="I29" s="160" t="s">
        <v>385</v>
      </c>
      <c r="J29" s="210" t="s">
        <v>686</v>
      </c>
      <c r="K29" s="132"/>
    </row>
    <row r="30" spans="1:11" s="143" customFormat="1" ht="31.5">
      <c r="A30" s="87" t="s">
        <v>1730</v>
      </c>
      <c r="B30" s="219" t="s">
        <v>1428</v>
      </c>
      <c r="C30" s="177" t="s">
        <v>628</v>
      </c>
      <c r="D30" s="201">
        <v>3</v>
      </c>
      <c r="E30" s="201">
        <f t="shared" si="3"/>
        <v>3.3000000000000003</v>
      </c>
      <c r="F30" s="241" t="s">
        <v>783</v>
      </c>
      <c r="G30" s="241" t="s">
        <v>783</v>
      </c>
      <c r="H30" s="219" t="s">
        <v>288</v>
      </c>
      <c r="I30" s="160" t="s">
        <v>385</v>
      </c>
      <c r="J30" s="210" t="s">
        <v>686</v>
      </c>
      <c r="K30" s="132"/>
    </row>
    <row r="31" spans="1:11" s="143" customFormat="1" ht="21">
      <c r="A31" s="87" t="s">
        <v>1731</v>
      </c>
      <c r="B31" s="219" t="s">
        <v>373</v>
      </c>
      <c r="C31" s="177" t="s">
        <v>628</v>
      </c>
      <c r="D31" s="241" t="s">
        <v>783</v>
      </c>
      <c r="E31" s="241" t="s">
        <v>783</v>
      </c>
      <c r="F31" s="241" t="s">
        <v>783</v>
      </c>
      <c r="G31" s="241" t="s">
        <v>783</v>
      </c>
      <c r="H31" s="219" t="s">
        <v>288</v>
      </c>
      <c r="I31" s="160" t="s">
        <v>385</v>
      </c>
      <c r="J31" s="210" t="s">
        <v>426</v>
      </c>
      <c r="K31" s="132"/>
    </row>
    <row r="32" spans="1:11" s="143" customFormat="1" ht="31.5">
      <c r="A32" s="87" t="s">
        <v>1732</v>
      </c>
      <c r="B32" s="219" t="s">
        <v>1429</v>
      </c>
      <c r="C32" s="177" t="s">
        <v>628</v>
      </c>
      <c r="D32" s="201">
        <v>3</v>
      </c>
      <c r="E32" s="201">
        <f t="shared" si="3"/>
        <v>3.3000000000000003</v>
      </c>
      <c r="F32" s="241" t="s">
        <v>783</v>
      </c>
      <c r="G32" s="241" t="s">
        <v>783</v>
      </c>
      <c r="H32" s="219" t="s">
        <v>288</v>
      </c>
      <c r="I32" s="160" t="s">
        <v>385</v>
      </c>
      <c r="J32" s="210" t="s">
        <v>686</v>
      </c>
      <c r="K32" s="132"/>
    </row>
    <row r="33" spans="1:11" s="143" customFormat="1" ht="31.5">
      <c r="A33" s="87" t="s">
        <v>1733</v>
      </c>
      <c r="B33" s="219" t="s">
        <v>1430</v>
      </c>
      <c r="C33" s="177" t="s">
        <v>628</v>
      </c>
      <c r="D33" s="201">
        <v>2.8</v>
      </c>
      <c r="E33" s="201">
        <f t="shared" si="3"/>
        <v>3.08</v>
      </c>
      <c r="F33" s="241" t="s">
        <v>783</v>
      </c>
      <c r="G33" s="241" t="s">
        <v>783</v>
      </c>
      <c r="H33" s="219" t="s">
        <v>289</v>
      </c>
      <c r="I33" s="160" t="s">
        <v>385</v>
      </c>
      <c r="J33" s="210" t="s">
        <v>686</v>
      </c>
      <c r="K33" s="132"/>
    </row>
    <row r="34" spans="1:11" s="143" customFormat="1" ht="31.5">
      <c r="A34" s="87" t="s">
        <v>277</v>
      </c>
      <c r="B34" s="161" t="s">
        <v>295</v>
      </c>
      <c r="C34" s="177" t="s">
        <v>628</v>
      </c>
      <c r="D34" s="241" t="s">
        <v>783</v>
      </c>
      <c r="E34" s="241" t="s">
        <v>783</v>
      </c>
      <c r="F34" s="241" t="s">
        <v>783</v>
      </c>
      <c r="G34" s="241" t="s">
        <v>783</v>
      </c>
      <c r="H34" s="161" t="s">
        <v>288</v>
      </c>
      <c r="I34" s="75" t="s">
        <v>784</v>
      </c>
      <c r="J34" s="210"/>
      <c r="K34" s="132"/>
    </row>
    <row r="35" spans="1:11" s="143" customFormat="1" ht="52.5">
      <c r="A35" s="87" t="s">
        <v>1734</v>
      </c>
      <c r="B35" s="161" t="s">
        <v>1431</v>
      </c>
      <c r="C35" s="177" t="s">
        <v>628</v>
      </c>
      <c r="D35" s="201">
        <v>4</v>
      </c>
      <c r="E35" s="201">
        <f t="shared" si="3"/>
        <v>4.4000000000000004</v>
      </c>
      <c r="F35" s="201">
        <f t="shared" si="2"/>
        <v>12.100000000000001</v>
      </c>
      <c r="G35" s="201">
        <v>11</v>
      </c>
      <c r="H35" s="161" t="s">
        <v>288</v>
      </c>
      <c r="I35" s="160" t="s">
        <v>386</v>
      </c>
      <c r="J35" s="210" t="s">
        <v>690</v>
      </c>
      <c r="K35" s="132"/>
    </row>
    <row r="36" spans="1:11" s="133" customFormat="1" ht="42">
      <c r="A36" s="87" t="s">
        <v>1735</v>
      </c>
      <c r="B36" s="161" t="s">
        <v>1445</v>
      </c>
      <c r="C36" s="177" t="s">
        <v>628</v>
      </c>
      <c r="D36" s="201">
        <v>8</v>
      </c>
      <c r="E36" s="201">
        <f t="shared" si="3"/>
        <v>8.8000000000000007</v>
      </c>
      <c r="F36" s="241" t="s">
        <v>277</v>
      </c>
      <c r="G36" s="241" t="s">
        <v>277</v>
      </c>
      <c r="H36" s="74" t="s">
        <v>1255</v>
      </c>
      <c r="I36" s="75" t="s">
        <v>1251</v>
      </c>
      <c r="J36" s="210" t="s">
        <v>686</v>
      </c>
      <c r="K36" s="132"/>
    </row>
    <row r="37" spans="1:11" s="143" customFormat="1" ht="52.5">
      <c r="A37" s="87" t="s">
        <v>1736</v>
      </c>
      <c r="B37" s="219" t="s">
        <v>1432</v>
      </c>
      <c r="C37" s="177" t="s">
        <v>628</v>
      </c>
      <c r="D37" s="201">
        <v>8</v>
      </c>
      <c r="E37" s="201">
        <f t="shared" si="3"/>
        <v>8.8000000000000007</v>
      </c>
      <c r="F37" s="241" t="s">
        <v>277</v>
      </c>
      <c r="G37" s="241" t="s">
        <v>277</v>
      </c>
      <c r="H37" s="219" t="s">
        <v>288</v>
      </c>
      <c r="I37" s="160" t="s">
        <v>387</v>
      </c>
      <c r="J37" s="210" t="s">
        <v>686</v>
      </c>
      <c r="K37" s="132"/>
    </row>
    <row r="38" spans="1:11" s="143" customFormat="1" ht="42">
      <c r="A38" s="87" t="s">
        <v>1737</v>
      </c>
      <c r="B38" s="219" t="s">
        <v>1433</v>
      </c>
      <c r="C38" s="177" t="s">
        <v>628</v>
      </c>
      <c r="D38" s="201">
        <v>8.5</v>
      </c>
      <c r="E38" s="201">
        <f t="shared" si="3"/>
        <v>9.3500000000000014</v>
      </c>
      <c r="F38" s="201">
        <f t="shared" si="2"/>
        <v>7.15</v>
      </c>
      <c r="G38" s="201">
        <v>6.5</v>
      </c>
      <c r="H38" s="160" t="s">
        <v>289</v>
      </c>
      <c r="I38" s="160" t="s">
        <v>388</v>
      </c>
      <c r="J38" s="210"/>
      <c r="K38" s="132"/>
    </row>
    <row r="39" spans="1:11" s="143" customFormat="1" ht="94.5">
      <c r="A39" s="87" t="s">
        <v>1738</v>
      </c>
      <c r="B39" s="219" t="s">
        <v>1434</v>
      </c>
      <c r="C39" s="177" t="s">
        <v>628</v>
      </c>
      <c r="D39" s="241" t="s">
        <v>783</v>
      </c>
      <c r="E39" s="241" t="s">
        <v>783</v>
      </c>
      <c r="F39" s="241" t="s">
        <v>783</v>
      </c>
      <c r="G39" s="241" t="s">
        <v>783</v>
      </c>
      <c r="H39" s="160" t="s">
        <v>374</v>
      </c>
      <c r="I39" s="160" t="s">
        <v>389</v>
      </c>
      <c r="J39" s="210"/>
      <c r="K39" s="132"/>
    </row>
    <row r="40" spans="1:11" s="143" customFormat="1" ht="42">
      <c r="A40" s="87" t="s">
        <v>1739</v>
      </c>
      <c r="B40" s="161" t="s">
        <v>300</v>
      </c>
      <c r="C40" s="177" t="s">
        <v>628</v>
      </c>
      <c r="D40" s="241" t="s">
        <v>539</v>
      </c>
      <c r="E40" s="241" t="s">
        <v>539</v>
      </c>
      <c r="F40" s="241" t="s">
        <v>539</v>
      </c>
      <c r="G40" s="241" t="s">
        <v>539</v>
      </c>
      <c r="H40" s="161" t="s">
        <v>288</v>
      </c>
      <c r="I40" s="75" t="s">
        <v>1262</v>
      </c>
      <c r="J40" s="210"/>
      <c r="K40" s="132"/>
    </row>
    <row r="41" spans="1:11" s="143" customFormat="1" ht="31.5">
      <c r="A41" s="87" t="s">
        <v>1740</v>
      </c>
      <c r="B41" s="161" t="s">
        <v>302</v>
      </c>
      <c r="C41" s="177" t="s">
        <v>628</v>
      </c>
      <c r="D41" s="241" t="s">
        <v>277</v>
      </c>
      <c r="E41" s="241" t="s">
        <v>277</v>
      </c>
      <c r="F41" s="201">
        <f t="shared" si="2"/>
        <v>1.375</v>
      </c>
      <c r="G41" s="201">
        <v>1.25</v>
      </c>
      <c r="H41" s="161" t="s">
        <v>303</v>
      </c>
      <c r="I41" s="75" t="s">
        <v>1263</v>
      </c>
      <c r="J41" s="2" t="s">
        <v>426</v>
      </c>
      <c r="K41" s="132"/>
    </row>
    <row r="42" spans="1:11" s="143" customFormat="1" ht="84">
      <c r="A42" s="87" t="s">
        <v>1741</v>
      </c>
      <c r="B42" s="161" t="s">
        <v>1446</v>
      </c>
      <c r="C42" s="177" t="s">
        <v>628</v>
      </c>
      <c r="D42" s="201">
        <v>6</v>
      </c>
      <c r="E42" s="201">
        <f t="shared" si="3"/>
        <v>6.6000000000000005</v>
      </c>
      <c r="F42" s="241" t="s">
        <v>277</v>
      </c>
      <c r="G42" s="241" t="s">
        <v>277</v>
      </c>
      <c r="H42" s="161" t="s">
        <v>288</v>
      </c>
      <c r="I42" s="160" t="s">
        <v>390</v>
      </c>
      <c r="J42" s="210" t="s">
        <v>686</v>
      </c>
      <c r="K42" s="132"/>
    </row>
    <row r="43" spans="1:11" s="143" customFormat="1" ht="220.5">
      <c r="A43" s="87" t="s">
        <v>426</v>
      </c>
      <c r="B43" s="219" t="s">
        <v>1419</v>
      </c>
      <c r="C43" s="177" t="s">
        <v>628</v>
      </c>
      <c r="D43" s="241" t="s">
        <v>783</v>
      </c>
      <c r="E43" s="241" t="s">
        <v>783</v>
      </c>
      <c r="F43" s="241" t="s">
        <v>783</v>
      </c>
      <c r="G43" s="241" t="s">
        <v>783</v>
      </c>
      <c r="H43" s="160" t="s">
        <v>305</v>
      </c>
      <c r="I43" s="160" t="s">
        <v>400</v>
      </c>
      <c r="J43" s="210"/>
      <c r="K43" s="132"/>
    </row>
    <row r="44" spans="1:11" s="143" customFormat="1" ht="84">
      <c r="A44" s="87" t="s">
        <v>1742</v>
      </c>
      <c r="B44" s="219" t="s">
        <v>306</v>
      </c>
      <c r="C44" s="177" t="s">
        <v>628</v>
      </c>
      <c r="D44" s="241" t="s">
        <v>783</v>
      </c>
      <c r="E44" s="241" t="s">
        <v>783</v>
      </c>
      <c r="F44" s="241" t="s">
        <v>783</v>
      </c>
      <c r="G44" s="241" t="s">
        <v>783</v>
      </c>
      <c r="H44" s="219"/>
      <c r="I44" s="160" t="s">
        <v>414</v>
      </c>
      <c r="J44" s="210"/>
      <c r="K44" s="132"/>
    </row>
    <row r="45" spans="1:11" s="143" customFormat="1" ht="31.5">
      <c r="A45" s="87" t="s">
        <v>1743</v>
      </c>
      <c r="B45" s="219" t="s">
        <v>1435</v>
      </c>
      <c r="C45" s="177" t="s">
        <v>628</v>
      </c>
      <c r="D45" s="241" t="s">
        <v>783</v>
      </c>
      <c r="E45" s="241" t="s">
        <v>783</v>
      </c>
      <c r="F45" s="241" t="s">
        <v>277</v>
      </c>
      <c r="G45" s="241" t="s">
        <v>277</v>
      </c>
      <c r="H45" s="219"/>
      <c r="I45" s="75" t="s">
        <v>786</v>
      </c>
      <c r="J45" s="210"/>
      <c r="K45" s="132"/>
    </row>
    <row r="46" spans="1:11" s="143" customFormat="1" ht="63">
      <c r="A46" s="87" t="s">
        <v>1744</v>
      </c>
      <c r="B46" s="219" t="s">
        <v>357</v>
      </c>
      <c r="C46" s="177" t="s">
        <v>628</v>
      </c>
      <c r="D46" s="241" t="s">
        <v>783</v>
      </c>
      <c r="E46" s="201" t="e">
        <f t="shared" si="3"/>
        <v>#VALUE!</v>
      </c>
      <c r="F46" s="241" t="s">
        <v>277</v>
      </c>
      <c r="G46" s="241" t="s">
        <v>277</v>
      </c>
      <c r="H46" s="219" t="s">
        <v>288</v>
      </c>
      <c r="I46" s="160" t="s">
        <v>415</v>
      </c>
      <c r="J46" s="210"/>
      <c r="K46" s="132"/>
    </row>
    <row r="47" spans="1:11" s="143" customFormat="1" ht="73.5">
      <c r="A47" s="87" t="s">
        <v>1745</v>
      </c>
      <c r="B47" s="161" t="s">
        <v>358</v>
      </c>
      <c r="C47" s="177" t="s">
        <v>628</v>
      </c>
      <c r="D47" s="241" t="s">
        <v>783</v>
      </c>
      <c r="E47" s="241" t="s">
        <v>783</v>
      </c>
      <c r="F47" s="241" t="s">
        <v>783</v>
      </c>
      <c r="G47" s="241" t="s">
        <v>783</v>
      </c>
      <c r="H47" s="161" t="s">
        <v>288</v>
      </c>
      <c r="I47" s="160" t="s">
        <v>416</v>
      </c>
      <c r="J47" s="210"/>
      <c r="K47" s="132"/>
    </row>
    <row r="48" spans="1:11" s="143" customFormat="1" ht="94.5">
      <c r="A48" s="87" t="s">
        <v>1746</v>
      </c>
      <c r="B48" s="161" t="s">
        <v>715</v>
      </c>
      <c r="C48" s="177" t="s">
        <v>628</v>
      </c>
      <c r="D48" s="241" t="s">
        <v>277</v>
      </c>
      <c r="E48" s="241" t="s">
        <v>277</v>
      </c>
      <c r="F48" s="201">
        <v>20.399999999999999</v>
      </c>
      <c r="G48" s="201">
        <f>(F48-(F48*10%))</f>
        <v>18.36</v>
      </c>
      <c r="H48" s="161" t="s">
        <v>426</v>
      </c>
      <c r="I48" s="160" t="s">
        <v>417</v>
      </c>
      <c r="J48" s="210" t="s">
        <v>691</v>
      </c>
      <c r="K48" s="132"/>
    </row>
    <row r="49" spans="1:11" s="143" customFormat="1" ht="21">
      <c r="A49" s="87" t="s">
        <v>1747</v>
      </c>
      <c r="B49" s="161" t="s">
        <v>359</v>
      </c>
      <c r="C49" s="177" t="s">
        <v>628</v>
      </c>
      <c r="D49" s="241" t="s">
        <v>277</v>
      </c>
      <c r="E49" s="241" t="s">
        <v>277</v>
      </c>
      <c r="F49" s="201">
        <f t="shared" si="2"/>
        <v>1.6500000000000001</v>
      </c>
      <c r="G49" s="201">
        <v>1.5</v>
      </c>
      <c r="H49" s="161" t="s">
        <v>303</v>
      </c>
      <c r="I49" s="162"/>
      <c r="J49" s="210" t="s">
        <v>722</v>
      </c>
      <c r="K49" s="132"/>
    </row>
    <row r="50" spans="1:11" s="143" customFormat="1" ht="31.5">
      <c r="A50" s="87" t="s">
        <v>1748</v>
      </c>
      <c r="B50" s="161" t="s">
        <v>361</v>
      </c>
      <c r="C50" s="177" t="s">
        <v>628</v>
      </c>
      <c r="D50" s="241" t="s">
        <v>277</v>
      </c>
      <c r="E50" s="241" t="s">
        <v>277</v>
      </c>
      <c r="F50" s="201">
        <f t="shared" si="2"/>
        <v>2.5410000000000004</v>
      </c>
      <c r="G50" s="201">
        <v>2.31</v>
      </c>
      <c r="H50" s="161" t="s">
        <v>303</v>
      </c>
      <c r="I50" s="160"/>
      <c r="J50" s="210" t="s">
        <v>722</v>
      </c>
      <c r="K50" s="132"/>
    </row>
    <row r="51" spans="1:11" s="143" customFormat="1" ht="115.5">
      <c r="A51" s="87" t="s">
        <v>1749</v>
      </c>
      <c r="B51" s="161" t="s">
        <v>362</v>
      </c>
      <c r="C51" s="177" t="s">
        <v>628</v>
      </c>
      <c r="D51" s="241" t="s">
        <v>277</v>
      </c>
      <c r="E51" s="241" t="s">
        <v>277</v>
      </c>
      <c r="F51" s="201">
        <v>0.5</v>
      </c>
      <c r="G51" s="201">
        <f>(F51-(F51*10%))</f>
        <v>0.45</v>
      </c>
      <c r="H51" s="161" t="s">
        <v>288</v>
      </c>
      <c r="I51" s="75" t="s">
        <v>787</v>
      </c>
      <c r="J51" s="210"/>
      <c r="K51" s="132"/>
    </row>
    <row r="52" spans="1:11" s="143" customFormat="1" ht="21">
      <c r="A52" s="87" t="s">
        <v>277</v>
      </c>
      <c r="B52" s="219" t="s">
        <v>363</v>
      </c>
      <c r="C52" s="177" t="s">
        <v>628</v>
      </c>
      <c r="D52" s="241" t="s">
        <v>783</v>
      </c>
      <c r="E52" s="241" t="s">
        <v>783</v>
      </c>
      <c r="F52" s="241" t="s">
        <v>783</v>
      </c>
      <c r="G52" s="241" t="s">
        <v>783</v>
      </c>
      <c r="H52" s="219" t="s">
        <v>284</v>
      </c>
      <c r="I52" s="160"/>
      <c r="J52" s="210"/>
      <c r="K52" s="132"/>
    </row>
    <row r="53" spans="1:11" s="143" customFormat="1" ht="12.75">
      <c r="A53" s="87" t="s">
        <v>277</v>
      </c>
      <c r="B53" s="161" t="s">
        <v>364</v>
      </c>
      <c r="C53" s="177" t="s">
        <v>628</v>
      </c>
      <c r="D53" s="241" t="s">
        <v>783</v>
      </c>
      <c r="E53" s="241" t="s">
        <v>783</v>
      </c>
      <c r="F53" s="241" t="s">
        <v>783</v>
      </c>
      <c r="G53" s="241" t="s">
        <v>783</v>
      </c>
      <c r="H53" s="161" t="s">
        <v>288</v>
      </c>
      <c r="I53" s="75" t="s">
        <v>426</v>
      </c>
      <c r="J53" s="210"/>
      <c r="K53" s="132"/>
    </row>
    <row r="54" spans="1:11" s="143" customFormat="1" ht="31.5">
      <c r="A54" s="87" t="s">
        <v>1750</v>
      </c>
      <c r="B54" s="161" t="s">
        <v>1436</v>
      </c>
      <c r="C54" s="177" t="s">
        <v>628</v>
      </c>
      <c r="D54" s="201">
        <v>6.95</v>
      </c>
      <c r="E54" s="201">
        <f t="shared" si="3"/>
        <v>7.6450000000000005</v>
      </c>
      <c r="F54" s="241" t="s">
        <v>277</v>
      </c>
      <c r="G54" s="241" t="s">
        <v>277</v>
      </c>
      <c r="H54" s="161" t="s">
        <v>288</v>
      </c>
      <c r="I54" s="160" t="s">
        <v>420</v>
      </c>
      <c r="J54" s="210" t="s">
        <v>687</v>
      </c>
      <c r="K54" s="132"/>
    </row>
    <row r="55" spans="1:11" s="143" customFormat="1" ht="94.5">
      <c r="A55" s="87" t="s">
        <v>1751</v>
      </c>
      <c r="B55" s="161" t="s">
        <v>1437</v>
      </c>
      <c r="C55" s="177" t="s">
        <v>628</v>
      </c>
      <c r="D55" s="201">
        <v>4.3499999999999996</v>
      </c>
      <c r="E55" s="201">
        <f t="shared" si="3"/>
        <v>4.7850000000000001</v>
      </c>
      <c r="F55" s="241" t="s">
        <v>277</v>
      </c>
      <c r="G55" s="241" t="s">
        <v>277</v>
      </c>
      <c r="H55" s="161" t="s">
        <v>288</v>
      </c>
      <c r="I55" s="160" t="s">
        <v>422</v>
      </c>
      <c r="J55" s="210" t="s">
        <v>687</v>
      </c>
      <c r="K55" s="132"/>
    </row>
    <row r="56" spans="1:11" s="143" customFormat="1" ht="31.5">
      <c r="A56" s="87" t="s">
        <v>1752</v>
      </c>
      <c r="B56" s="161" t="s">
        <v>1438</v>
      </c>
      <c r="C56" s="177" t="s">
        <v>628</v>
      </c>
      <c r="D56" s="201">
        <v>4.3499999999999996</v>
      </c>
      <c r="E56" s="201">
        <f t="shared" si="3"/>
        <v>4.7850000000000001</v>
      </c>
      <c r="F56" s="241" t="s">
        <v>277</v>
      </c>
      <c r="G56" s="241" t="s">
        <v>277</v>
      </c>
      <c r="H56" s="161" t="s">
        <v>288</v>
      </c>
      <c r="I56" s="160" t="s">
        <v>423</v>
      </c>
      <c r="J56" s="210" t="s">
        <v>687</v>
      </c>
      <c r="K56" s="132"/>
    </row>
    <row r="57" spans="1:11" s="203" customFormat="1">
      <c r="A57" s="241" t="s">
        <v>1909</v>
      </c>
      <c r="B57" s="410" t="s">
        <v>1422</v>
      </c>
      <c r="C57" s="411" t="s">
        <v>628</v>
      </c>
      <c r="D57" s="201">
        <v>4.5</v>
      </c>
      <c r="E57" s="260">
        <f t="shared" si="3"/>
        <v>4.95</v>
      </c>
      <c r="F57" s="241" t="s">
        <v>783</v>
      </c>
      <c r="G57" s="241" t="s">
        <v>783</v>
      </c>
      <c r="H57" s="410" t="s">
        <v>368</v>
      </c>
      <c r="I57" s="451" t="s">
        <v>1423</v>
      </c>
      <c r="J57" s="450"/>
      <c r="K57" s="132"/>
    </row>
    <row r="58" spans="1:11" s="133" customFormat="1" ht="12.75">
      <c r="A58" s="89" t="s">
        <v>2462</v>
      </c>
      <c r="B58" s="535" t="s">
        <v>1241</v>
      </c>
      <c r="C58" s="177" t="s">
        <v>628</v>
      </c>
      <c r="D58" s="241" t="s">
        <v>539</v>
      </c>
      <c r="E58" s="241" t="s">
        <v>539</v>
      </c>
      <c r="F58" s="241" t="s">
        <v>539</v>
      </c>
      <c r="G58" s="241" t="s">
        <v>539</v>
      </c>
      <c r="H58" s="659"/>
      <c r="I58" s="660"/>
      <c r="J58" s="661"/>
      <c r="K58" s="132"/>
    </row>
    <row r="59" spans="1:11" s="133" customFormat="1" ht="12.75">
      <c r="A59" s="89" t="s">
        <v>2463</v>
      </c>
      <c r="B59" s="535" t="s">
        <v>1242</v>
      </c>
      <c r="C59" s="177" t="s">
        <v>628</v>
      </c>
      <c r="D59" s="241" t="s">
        <v>539</v>
      </c>
      <c r="E59" s="241" t="s">
        <v>539</v>
      </c>
      <c r="F59" s="241" t="s">
        <v>539</v>
      </c>
      <c r="G59" s="241" t="s">
        <v>539</v>
      </c>
      <c r="H59" s="659"/>
      <c r="I59" s="660"/>
      <c r="J59" s="661"/>
      <c r="K59" s="132"/>
    </row>
    <row r="60" spans="1:11" s="133" customFormat="1" ht="12.75">
      <c r="A60" s="89" t="s">
        <v>2464</v>
      </c>
      <c r="B60" s="535" t="s">
        <v>1243</v>
      </c>
      <c r="C60" s="177" t="s">
        <v>628</v>
      </c>
      <c r="D60" s="241" t="s">
        <v>539</v>
      </c>
      <c r="E60" s="241" t="s">
        <v>539</v>
      </c>
      <c r="F60" s="241" t="s">
        <v>539</v>
      </c>
      <c r="G60" s="241" t="s">
        <v>539</v>
      </c>
      <c r="H60" s="659"/>
      <c r="I60" s="660"/>
      <c r="J60" s="661"/>
      <c r="K60" s="132"/>
    </row>
    <row r="61" spans="1:11" s="133" customFormat="1" ht="12.75">
      <c r="A61" s="89" t="s">
        <v>2465</v>
      </c>
      <c r="B61" s="535" t="s">
        <v>1244</v>
      </c>
      <c r="C61" s="177" t="s">
        <v>628</v>
      </c>
      <c r="D61" s="241" t="s">
        <v>539</v>
      </c>
      <c r="E61" s="241" t="s">
        <v>539</v>
      </c>
      <c r="F61" s="241" t="s">
        <v>539</v>
      </c>
      <c r="G61" s="241" t="s">
        <v>539</v>
      </c>
      <c r="H61" s="659"/>
      <c r="I61" s="660"/>
      <c r="J61" s="661"/>
      <c r="K61" s="132"/>
    </row>
    <row r="62" spans="1:11" s="133" customFormat="1" ht="33.75">
      <c r="A62" s="89" t="s">
        <v>1940</v>
      </c>
      <c r="B62" s="535" t="s">
        <v>1245</v>
      </c>
      <c r="C62" s="177" t="s">
        <v>628</v>
      </c>
      <c r="D62" s="201">
        <v>4.5</v>
      </c>
      <c r="E62" s="201">
        <f t="shared" ref="E62:E66" si="4">SUM(D62*1.1)</f>
        <v>4.95</v>
      </c>
      <c r="F62" s="241" t="s">
        <v>783</v>
      </c>
      <c r="G62" s="241" t="s">
        <v>783</v>
      </c>
      <c r="H62" s="659"/>
      <c r="I62" s="660"/>
      <c r="J62" s="661"/>
      <c r="K62" s="132"/>
    </row>
    <row r="63" spans="1:11" s="133" customFormat="1" ht="33.75">
      <c r="A63" s="89" t="s">
        <v>1893</v>
      </c>
      <c r="B63" s="535" t="s">
        <v>1246</v>
      </c>
      <c r="C63" s="177" t="s">
        <v>628</v>
      </c>
      <c r="D63" s="201">
        <v>7.1</v>
      </c>
      <c r="E63" s="201">
        <f t="shared" si="4"/>
        <v>7.8100000000000005</v>
      </c>
      <c r="F63" s="241" t="s">
        <v>783</v>
      </c>
      <c r="G63" s="241" t="s">
        <v>783</v>
      </c>
      <c r="H63" s="659"/>
      <c r="I63" s="660"/>
      <c r="J63" s="661"/>
      <c r="K63" s="132"/>
    </row>
    <row r="64" spans="1:11" s="133" customFormat="1" ht="33.75">
      <c r="A64" s="89" t="s">
        <v>1894</v>
      </c>
      <c r="B64" s="535" t="s">
        <v>1247</v>
      </c>
      <c r="C64" s="177" t="s">
        <v>628</v>
      </c>
      <c r="D64" s="201">
        <v>3</v>
      </c>
      <c r="E64" s="201">
        <f t="shared" si="4"/>
        <v>3.3000000000000003</v>
      </c>
      <c r="F64" s="241" t="s">
        <v>783</v>
      </c>
      <c r="G64" s="241" t="s">
        <v>783</v>
      </c>
      <c r="H64" s="659"/>
      <c r="I64" s="660"/>
      <c r="J64" s="661"/>
      <c r="K64" s="132"/>
    </row>
    <row r="65" spans="1:11" s="133" customFormat="1" ht="33.75">
      <c r="A65" s="89" t="s">
        <v>1895</v>
      </c>
      <c r="B65" s="535" t="s">
        <v>1248</v>
      </c>
      <c r="C65" s="177" t="s">
        <v>628</v>
      </c>
      <c r="D65" s="201">
        <v>5</v>
      </c>
      <c r="E65" s="201">
        <f t="shared" si="4"/>
        <v>5.5</v>
      </c>
      <c r="F65" s="241" t="s">
        <v>783</v>
      </c>
      <c r="G65" s="241" t="s">
        <v>783</v>
      </c>
      <c r="H65" s="659"/>
      <c r="I65" s="660"/>
      <c r="J65" s="661"/>
      <c r="K65" s="132"/>
    </row>
    <row r="66" spans="1:11" s="133" customFormat="1" ht="33.75">
      <c r="A66" s="89" t="s">
        <v>1896</v>
      </c>
      <c r="B66" s="535" t="s">
        <v>1249</v>
      </c>
      <c r="C66" s="177" t="s">
        <v>628</v>
      </c>
      <c r="D66" s="201">
        <v>7.1</v>
      </c>
      <c r="E66" s="201">
        <f t="shared" si="4"/>
        <v>7.8100000000000005</v>
      </c>
      <c r="F66" s="241" t="s">
        <v>783</v>
      </c>
      <c r="G66" s="241" t="s">
        <v>783</v>
      </c>
      <c r="H66" s="659"/>
      <c r="I66" s="660"/>
      <c r="J66" s="661"/>
      <c r="K66" s="132"/>
    </row>
    <row r="67" spans="1:11" s="133" customFormat="1" ht="42">
      <c r="A67" s="116" t="s">
        <v>1910</v>
      </c>
      <c r="B67" s="374" t="s">
        <v>1385</v>
      </c>
      <c r="C67" s="177" t="s">
        <v>628</v>
      </c>
      <c r="D67" s="201">
        <v>35</v>
      </c>
      <c r="E67" s="201">
        <f t="shared" si="3"/>
        <v>38.5</v>
      </c>
      <c r="F67" s="201">
        <v>45.9</v>
      </c>
      <c r="G67" s="201">
        <f t="shared" ref="G67:G75" si="5">(F67-(F67*10%))</f>
        <v>41.31</v>
      </c>
      <c r="H67" s="161" t="s">
        <v>342</v>
      </c>
      <c r="I67" s="96" t="s">
        <v>337</v>
      </c>
      <c r="J67" s="255" t="s">
        <v>693</v>
      </c>
      <c r="K67" s="132"/>
    </row>
    <row r="68" spans="1:11" s="133" customFormat="1" ht="75" customHeight="1">
      <c r="A68" s="61" t="s">
        <v>1899</v>
      </c>
      <c r="B68" s="150" t="s">
        <v>1386</v>
      </c>
      <c r="C68" s="177" t="s">
        <v>628</v>
      </c>
      <c r="D68" s="201">
        <v>6.5</v>
      </c>
      <c r="E68" s="201">
        <f t="shared" si="3"/>
        <v>7.15</v>
      </c>
      <c r="F68" s="201">
        <v>2.81</v>
      </c>
      <c r="G68" s="201">
        <f t="shared" si="5"/>
        <v>2.5289999999999999</v>
      </c>
      <c r="H68" s="149" t="s">
        <v>353</v>
      </c>
      <c r="I68" s="148" t="s">
        <v>345</v>
      </c>
      <c r="J68" s="255" t="s">
        <v>693</v>
      </c>
      <c r="K68" s="132"/>
    </row>
    <row r="69" spans="1:11" s="133" customFormat="1" ht="75" customHeight="1">
      <c r="A69" s="61" t="s">
        <v>1911</v>
      </c>
      <c r="B69" s="150" t="s">
        <v>1439</v>
      </c>
      <c r="C69" s="177" t="s">
        <v>628</v>
      </c>
      <c r="D69" s="201">
        <v>5.5</v>
      </c>
      <c r="E69" s="201">
        <f t="shared" si="3"/>
        <v>6.0500000000000007</v>
      </c>
      <c r="F69" s="201">
        <v>2.81</v>
      </c>
      <c r="G69" s="201">
        <f t="shared" si="5"/>
        <v>2.5289999999999999</v>
      </c>
      <c r="H69" s="149" t="s">
        <v>353</v>
      </c>
      <c r="I69" s="148" t="s">
        <v>345</v>
      </c>
      <c r="J69" s="255" t="s">
        <v>693</v>
      </c>
      <c r="K69" s="132"/>
    </row>
    <row r="70" spans="1:11" s="133" customFormat="1" ht="75" customHeight="1">
      <c r="A70" s="61" t="s">
        <v>1900</v>
      </c>
      <c r="B70" s="150" t="s">
        <v>1440</v>
      </c>
      <c r="C70" s="177" t="s">
        <v>628</v>
      </c>
      <c r="D70" s="201">
        <v>4.5</v>
      </c>
      <c r="E70" s="201">
        <f t="shared" si="3"/>
        <v>4.95</v>
      </c>
      <c r="F70" s="201">
        <v>2.81</v>
      </c>
      <c r="G70" s="201">
        <f t="shared" si="5"/>
        <v>2.5289999999999999</v>
      </c>
      <c r="H70" s="149" t="s">
        <v>353</v>
      </c>
      <c r="I70" s="148" t="s">
        <v>345</v>
      </c>
      <c r="J70" s="255" t="s">
        <v>693</v>
      </c>
      <c r="K70" s="132"/>
    </row>
    <row r="71" spans="1:11" s="133" customFormat="1" ht="75" customHeight="1">
      <c r="A71" s="61" t="s">
        <v>1912</v>
      </c>
      <c r="B71" s="150" t="s">
        <v>1441</v>
      </c>
      <c r="C71" s="177" t="s">
        <v>628</v>
      </c>
      <c r="D71" s="201">
        <v>4</v>
      </c>
      <c r="E71" s="201">
        <f t="shared" si="3"/>
        <v>4.4000000000000004</v>
      </c>
      <c r="F71" s="201">
        <v>2.81</v>
      </c>
      <c r="G71" s="201">
        <f t="shared" si="5"/>
        <v>2.5289999999999999</v>
      </c>
      <c r="H71" s="149" t="s">
        <v>353</v>
      </c>
      <c r="I71" s="148" t="s">
        <v>345</v>
      </c>
      <c r="J71" s="255" t="s">
        <v>693</v>
      </c>
      <c r="K71" s="132"/>
    </row>
    <row r="72" spans="1:11" s="133" customFormat="1" ht="87" customHeight="1">
      <c r="A72" s="61" t="s">
        <v>1913</v>
      </c>
      <c r="B72" s="150" t="s">
        <v>1442</v>
      </c>
      <c r="C72" s="177" t="s">
        <v>628</v>
      </c>
      <c r="D72" s="201">
        <v>3</v>
      </c>
      <c r="E72" s="201">
        <f t="shared" si="3"/>
        <v>3.3000000000000003</v>
      </c>
      <c r="F72" s="201">
        <v>2.81</v>
      </c>
      <c r="G72" s="201">
        <f t="shared" si="5"/>
        <v>2.5289999999999999</v>
      </c>
      <c r="H72" s="149" t="s">
        <v>353</v>
      </c>
      <c r="I72" s="148" t="s">
        <v>345</v>
      </c>
      <c r="J72" s="255" t="s">
        <v>693</v>
      </c>
      <c r="K72" s="132"/>
    </row>
    <row r="73" spans="1:11" s="133" customFormat="1" ht="75" customHeight="1">
      <c r="A73" s="61" t="s">
        <v>1901</v>
      </c>
      <c r="B73" s="150" t="s">
        <v>1447</v>
      </c>
      <c r="C73" s="177" t="s">
        <v>628</v>
      </c>
      <c r="D73" s="201">
        <v>2.5</v>
      </c>
      <c r="E73" s="201">
        <f t="shared" si="3"/>
        <v>2.75</v>
      </c>
      <c r="F73" s="201">
        <v>2.81</v>
      </c>
      <c r="G73" s="201">
        <f t="shared" si="5"/>
        <v>2.5289999999999999</v>
      </c>
      <c r="H73" s="149" t="s">
        <v>353</v>
      </c>
      <c r="I73" s="148" t="s">
        <v>345</v>
      </c>
      <c r="J73" s="255" t="s">
        <v>693</v>
      </c>
      <c r="K73" s="132"/>
    </row>
    <row r="74" spans="1:11" s="133" customFormat="1" ht="73.900000000000006" customHeight="1">
      <c r="A74" s="88" t="s">
        <v>1914</v>
      </c>
      <c r="B74" s="96" t="s">
        <v>1443</v>
      </c>
      <c r="C74" s="177" t="s">
        <v>628</v>
      </c>
      <c r="D74" s="241" t="s">
        <v>277</v>
      </c>
      <c r="E74" s="241" t="s">
        <v>277</v>
      </c>
      <c r="F74" s="201">
        <v>96.9</v>
      </c>
      <c r="G74" s="201">
        <f t="shared" si="5"/>
        <v>87.210000000000008</v>
      </c>
      <c r="H74" s="149" t="s">
        <v>344</v>
      </c>
      <c r="I74" s="149" t="s">
        <v>346</v>
      </c>
      <c r="J74" s="255" t="s">
        <v>693</v>
      </c>
      <c r="K74" s="132"/>
    </row>
    <row r="75" spans="1:11" s="133" customFormat="1" ht="63">
      <c r="A75" s="88" t="s">
        <v>1887</v>
      </c>
      <c r="B75" s="96" t="s">
        <v>1444</v>
      </c>
      <c r="C75" s="177" t="s">
        <v>628</v>
      </c>
      <c r="D75" s="241" t="s">
        <v>277</v>
      </c>
      <c r="E75" s="241" t="s">
        <v>277</v>
      </c>
      <c r="F75" s="201">
        <v>198.8</v>
      </c>
      <c r="G75" s="201">
        <f t="shared" si="5"/>
        <v>178.92000000000002</v>
      </c>
      <c r="H75" s="161" t="s">
        <v>343</v>
      </c>
      <c r="I75" s="96" t="s">
        <v>338</v>
      </c>
      <c r="J75" s="149" t="s">
        <v>693</v>
      </c>
      <c r="K75" s="132"/>
    </row>
    <row r="76" spans="1:11" s="133" customFormat="1" ht="42">
      <c r="A76" s="96" t="s">
        <v>2729</v>
      </c>
      <c r="B76" s="96" t="s">
        <v>2702</v>
      </c>
      <c r="C76" s="811" t="s">
        <v>628</v>
      </c>
      <c r="D76" s="201">
        <v>12</v>
      </c>
      <c r="E76" s="201">
        <f>D76*1.1</f>
        <v>13.200000000000001</v>
      </c>
      <c r="F76" s="201" t="s">
        <v>277</v>
      </c>
      <c r="G76" s="201" t="s">
        <v>277</v>
      </c>
      <c r="H76" s="161" t="s">
        <v>343</v>
      </c>
      <c r="I76" s="96"/>
      <c r="J76" s="812"/>
      <c r="K76" s="132"/>
    </row>
    <row r="77" spans="1:11" s="133" customFormat="1" ht="42">
      <c r="A77" s="96" t="s">
        <v>2730</v>
      </c>
      <c r="B77" s="96" t="s">
        <v>2701</v>
      </c>
      <c r="C77" s="811" t="s">
        <v>628</v>
      </c>
      <c r="D77" s="201">
        <v>15</v>
      </c>
      <c r="E77" s="201">
        <f>D77*1.1</f>
        <v>16.5</v>
      </c>
      <c r="F77" s="201" t="s">
        <v>277</v>
      </c>
      <c r="G77" s="201" t="s">
        <v>277</v>
      </c>
      <c r="H77" s="161" t="s">
        <v>343</v>
      </c>
      <c r="I77" s="96"/>
      <c r="J77" s="812"/>
      <c r="K77" s="132"/>
    </row>
    <row r="78" spans="1:11" s="133" customFormat="1">
      <c r="A78" s="140"/>
      <c r="B78" s="142"/>
      <c r="J78" s="164"/>
      <c r="K78" s="132"/>
    </row>
    <row r="79" spans="1:11" s="133" customFormat="1">
      <c r="A79" s="52"/>
      <c r="B79" s="141"/>
      <c r="J79" s="164"/>
      <c r="K79" s="132"/>
    </row>
    <row r="80" spans="1:11" s="133" customFormat="1">
      <c r="A80" s="170"/>
      <c r="B80" s="171"/>
      <c r="J80" s="164"/>
      <c r="K80" s="132"/>
    </row>
    <row r="81" spans="1:11" s="133" customFormat="1">
      <c r="A81" s="170"/>
      <c r="B81" s="171"/>
      <c r="J81" s="164"/>
      <c r="K81" s="132"/>
    </row>
    <row r="82" spans="1:11" s="133" customFormat="1">
      <c r="A82" s="172"/>
      <c r="J82" s="164"/>
      <c r="K82" s="132"/>
    </row>
    <row r="83" spans="1:11" s="133" customFormat="1">
      <c r="A83" s="172"/>
      <c r="J83" s="164"/>
      <c r="K83" s="132"/>
    </row>
    <row r="84" spans="1:11" s="143" customFormat="1">
      <c r="A84" s="172"/>
      <c r="D84" s="133"/>
      <c r="E84" s="133"/>
      <c r="F84" s="133"/>
      <c r="G84" s="133"/>
      <c r="J84" s="195"/>
      <c r="K84" s="169"/>
    </row>
    <row r="85" spans="1:11" s="143" customFormat="1">
      <c r="A85" s="172"/>
      <c r="D85" s="133"/>
      <c r="E85" s="133"/>
      <c r="F85" s="133"/>
      <c r="G85" s="133"/>
      <c r="J85" s="195"/>
      <c r="K85" s="169"/>
    </row>
    <row r="86" spans="1:11" s="143" customFormat="1">
      <c r="A86" s="172"/>
      <c r="D86" s="133"/>
      <c r="E86" s="133"/>
      <c r="F86" s="133"/>
      <c r="G86" s="133"/>
      <c r="J86" s="195"/>
      <c r="K86" s="169"/>
    </row>
    <row r="87" spans="1:11" s="143" customFormat="1">
      <c r="A87" s="172"/>
      <c r="D87" s="133"/>
      <c r="E87" s="133"/>
      <c r="F87" s="133"/>
      <c r="G87" s="133"/>
      <c r="J87" s="195"/>
      <c r="K87" s="169"/>
    </row>
    <row r="88" spans="1:11" s="143" customFormat="1">
      <c r="A88" s="172"/>
      <c r="D88" s="133"/>
      <c r="E88" s="133"/>
      <c r="F88" s="133"/>
      <c r="G88" s="133"/>
      <c r="J88" s="195"/>
      <c r="K88" s="169"/>
    </row>
    <row r="89" spans="1:11" s="143" customFormat="1">
      <c r="A89" s="172"/>
      <c r="D89" s="133"/>
      <c r="E89" s="133"/>
      <c r="F89" s="133"/>
      <c r="G89" s="133"/>
      <c r="J89" s="195"/>
      <c r="K89" s="169"/>
    </row>
    <row r="90" spans="1:11" s="143" customFormat="1">
      <c r="A90" s="172"/>
      <c r="D90" s="133"/>
      <c r="E90" s="133"/>
      <c r="F90" s="133"/>
      <c r="G90" s="133"/>
      <c r="J90" s="195"/>
      <c r="K90" s="169"/>
    </row>
    <row r="91" spans="1:11" s="143" customFormat="1">
      <c r="A91" s="172"/>
      <c r="D91" s="133"/>
      <c r="E91" s="133"/>
      <c r="F91" s="133"/>
      <c r="G91" s="133"/>
      <c r="J91" s="195"/>
      <c r="K91" s="169"/>
    </row>
    <row r="92" spans="1:11" s="143" customFormat="1">
      <c r="A92" s="172"/>
      <c r="D92" s="133"/>
      <c r="E92" s="133"/>
      <c r="F92" s="133"/>
      <c r="G92" s="133"/>
      <c r="J92" s="195"/>
      <c r="K92" s="169"/>
    </row>
    <row r="93" spans="1:11" s="143" customFormat="1">
      <c r="A93" s="172"/>
      <c r="D93" s="133"/>
      <c r="E93" s="133"/>
      <c r="F93" s="133"/>
      <c r="G93" s="133"/>
      <c r="J93" s="195"/>
      <c r="K93" s="169"/>
    </row>
    <row r="94" spans="1:11" s="143" customFormat="1">
      <c r="A94" s="172"/>
      <c r="D94" s="133"/>
      <c r="E94" s="133"/>
      <c r="F94" s="133"/>
      <c r="G94" s="133"/>
      <c r="J94" s="195"/>
      <c r="K94" s="169"/>
    </row>
    <row r="95" spans="1:11" s="143" customFormat="1">
      <c r="A95" s="172"/>
      <c r="D95" s="133"/>
      <c r="E95" s="133"/>
      <c r="F95" s="133"/>
      <c r="G95" s="133"/>
      <c r="J95" s="195"/>
      <c r="K95" s="169"/>
    </row>
    <row r="96" spans="1:11" s="143" customFormat="1">
      <c r="A96" s="172"/>
      <c r="D96" s="133"/>
      <c r="E96" s="133"/>
      <c r="F96" s="133"/>
      <c r="G96" s="133"/>
      <c r="J96" s="195"/>
      <c r="K96" s="169"/>
    </row>
    <row r="97" spans="1:11" s="143" customFormat="1">
      <c r="A97" s="172"/>
      <c r="D97" s="133"/>
      <c r="E97" s="133"/>
      <c r="F97" s="133"/>
      <c r="G97" s="133"/>
      <c r="J97" s="195"/>
      <c r="K97" s="169"/>
    </row>
    <row r="98" spans="1:11" s="143" customFormat="1">
      <c r="A98" s="172"/>
      <c r="D98" s="133"/>
      <c r="E98" s="133"/>
      <c r="F98" s="133"/>
      <c r="G98" s="133"/>
      <c r="J98" s="195"/>
      <c r="K98" s="169"/>
    </row>
    <row r="99" spans="1:11" s="143" customFormat="1">
      <c r="A99" s="172"/>
      <c r="D99" s="133"/>
      <c r="E99" s="133"/>
      <c r="F99" s="133"/>
      <c r="G99" s="133"/>
      <c r="J99" s="195"/>
      <c r="K99" s="169"/>
    </row>
    <row r="100" spans="1:11" s="143" customFormat="1">
      <c r="A100" s="172"/>
      <c r="D100" s="133"/>
      <c r="E100" s="133"/>
      <c r="F100" s="133"/>
      <c r="G100" s="133"/>
      <c r="J100" s="195"/>
      <c r="K100" s="169"/>
    </row>
    <row r="101" spans="1:11" s="143" customFormat="1">
      <c r="A101" s="172"/>
      <c r="D101" s="133"/>
      <c r="E101" s="133"/>
      <c r="F101" s="133"/>
      <c r="G101" s="133"/>
      <c r="J101" s="195"/>
      <c r="K101" s="169"/>
    </row>
    <row r="102" spans="1:11" s="143" customFormat="1">
      <c r="A102" s="172"/>
      <c r="D102" s="133"/>
      <c r="E102" s="133"/>
      <c r="F102" s="133"/>
      <c r="G102" s="133"/>
      <c r="J102" s="195"/>
      <c r="K102" s="169"/>
    </row>
    <row r="103" spans="1:11" s="143" customFormat="1">
      <c r="A103" s="172"/>
      <c r="D103" s="133"/>
      <c r="E103" s="133"/>
      <c r="F103" s="133"/>
      <c r="G103" s="133"/>
      <c r="J103" s="195"/>
      <c r="K103" s="169"/>
    </row>
    <row r="104" spans="1:11" s="143" customFormat="1">
      <c r="A104" s="172"/>
      <c r="D104" s="133"/>
      <c r="E104" s="133"/>
      <c r="F104" s="133"/>
      <c r="G104" s="133"/>
      <c r="J104" s="195"/>
      <c r="K104" s="169"/>
    </row>
    <row r="105" spans="1:11" s="143" customFormat="1">
      <c r="A105" s="172"/>
      <c r="D105" s="133"/>
      <c r="E105" s="133"/>
      <c r="F105" s="133"/>
      <c r="G105" s="133"/>
      <c r="J105" s="195"/>
      <c r="K105" s="169"/>
    </row>
    <row r="106" spans="1:11" s="143" customFormat="1">
      <c r="A106" s="172"/>
      <c r="D106" s="133"/>
      <c r="E106" s="133"/>
      <c r="F106" s="133"/>
      <c r="G106" s="133"/>
      <c r="J106" s="195"/>
      <c r="K106" s="169"/>
    </row>
    <row r="107" spans="1:11" s="143" customFormat="1">
      <c r="A107" s="172"/>
      <c r="D107" s="133"/>
      <c r="E107" s="133"/>
      <c r="F107" s="133"/>
      <c r="G107" s="133"/>
      <c r="J107" s="195"/>
      <c r="K107" s="169"/>
    </row>
    <row r="108" spans="1:11" s="143" customFormat="1">
      <c r="A108" s="172"/>
      <c r="D108" s="133"/>
      <c r="E108" s="133"/>
      <c r="F108" s="133"/>
      <c r="G108" s="133"/>
      <c r="J108" s="195"/>
      <c r="K108" s="169"/>
    </row>
    <row r="109" spans="1:11" s="143" customFormat="1">
      <c r="A109" s="172"/>
      <c r="D109" s="133"/>
      <c r="E109" s="133"/>
      <c r="F109" s="133"/>
      <c r="G109" s="133"/>
      <c r="J109" s="195"/>
      <c r="K109" s="169"/>
    </row>
    <row r="110" spans="1:11" s="143" customFormat="1">
      <c r="A110" s="172"/>
      <c r="D110" s="133"/>
      <c r="E110" s="133"/>
      <c r="F110" s="133"/>
      <c r="G110" s="133"/>
      <c r="J110" s="195"/>
      <c r="K110" s="169"/>
    </row>
    <row r="111" spans="1:11" s="143" customFormat="1">
      <c r="A111" s="172"/>
      <c r="D111" s="133"/>
      <c r="E111" s="133"/>
      <c r="F111" s="133"/>
      <c r="G111" s="133"/>
      <c r="J111" s="195"/>
      <c r="K111" s="169"/>
    </row>
    <row r="112" spans="1:11" s="143" customFormat="1">
      <c r="A112" s="172"/>
      <c r="D112" s="133"/>
      <c r="E112" s="133"/>
      <c r="F112" s="133"/>
      <c r="G112" s="133"/>
      <c r="J112" s="195"/>
      <c r="K112" s="169"/>
    </row>
    <row r="113" spans="1:11" s="143" customFormat="1">
      <c r="A113" s="172"/>
      <c r="D113" s="133"/>
      <c r="E113" s="133"/>
      <c r="F113" s="133"/>
      <c r="G113" s="133"/>
      <c r="J113" s="195"/>
      <c r="K113" s="169"/>
    </row>
    <row r="114" spans="1:11" s="143" customFormat="1">
      <c r="A114" s="172"/>
      <c r="D114" s="133"/>
      <c r="E114" s="133"/>
      <c r="F114" s="133"/>
      <c r="G114" s="133"/>
      <c r="J114" s="195"/>
      <c r="K114" s="169"/>
    </row>
    <row r="115" spans="1:11" s="143" customFormat="1">
      <c r="A115" s="172"/>
      <c r="D115" s="133"/>
      <c r="E115" s="133"/>
      <c r="F115" s="133"/>
      <c r="G115" s="133"/>
      <c r="J115" s="195"/>
      <c r="K115" s="169"/>
    </row>
    <row r="116" spans="1:11" s="143" customFormat="1">
      <c r="A116" s="172"/>
      <c r="E116" s="203"/>
      <c r="F116" s="203"/>
      <c r="J116" s="195"/>
    </row>
    <row r="117" spans="1:11" s="143" customFormat="1">
      <c r="A117" s="172"/>
      <c r="E117" s="203"/>
      <c r="F117" s="203"/>
      <c r="J117" s="195"/>
    </row>
    <row r="118" spans="1:11" s="143" customFormat="1">
      <c r="A118" s="172"/>
      <c r="E118" s="203"/>
      <c r="F118" s="203"/>
      <c r="J118" s="195"/>
    </row>
    <row r="119" spans="1:11" s="143" customFormat="1">
      <c r="A119" s="172"/>
      <c r="E119" s="203"/>
      <c r="F119" s="203"/>
      <c r="J119" s="195"/>
    </row>
    <row r="120" spans="1:11" s="143" customFormat="1">
      <c r="A120" s="172"/>
      <c r="E120" s="203"/>
      <c r="F120" s="203"/>
      <c r="J120" s="195"/>
    </row>
    <row r="121" spans="1:11" s="143" customFormat="1">
      <c r="A121" s="172"/>
      <c r="E121" s="203"/>
      <c r="F121" s="203"/>
      <c r="J121" s="195"/>
    </row>
    <row r="122" spans="1:11">
      <c r="A122" s="53"/>
    </row>
    <row r="123" spans="1:11">
      <c r="A123" s="53"/>
    </row>
    <row r="124" spans="1:11">
      <c r="A124" s="53"/>
    </row>
    <row r="125" spans="1:11">
      <c r="A125" s="53"/>
    </row>
  </sheetData>
  <mergeCells count="15">
    <mergeCell ref="H7:I8"/>
    <mergeCell ref="F7:F8"/>
    <mergeCell ref="B9:G9"/>
    <mergeCell ref="J2:J6"/>
    <mergeCell ref="A5:B6"/>
    <mergeCell ref="H5:I6"/>
    <mergeCell ref="F6:G6"/>
    <mergeCell ref="C7:C8"/>
    <mergeCell ref="J7:J8"/>
    <mergeCell ref="D7:D8"/>
    <mergeCell ref="E7:E8"/>
    <mergeCell ref="B2:D2"/>
    <mergeCell ref="E2:G4"/>
    <mergeCell ref="H2:I4"/>
    <mergeCell ref="G7:G8"/>
  </mergeCells>
  <phoneticPr fontId="0" type="noConversion"/>
  <printOptions horizontalCentered="1"/>
  <pageMargins left="0" right="0.75" top="1" bottom="1" header="0.5" footer="0.5"/>
  <pageSetup scale="81" fitToHeight="30" orientation="landscape" r:id="rId1"/>
  <headerFooter alignWithMargins="0">
    <oddHeader>&amp;L&amp;F&amp;C&amp;"Tahoma,Bold"&amp;11&amp;A&amp;R&amp;G</oddHeader>
    <oddFooter>&amp;C&amp;"Tahoma,Italic"Use or disclosure of the data on this page or screen is subject to the restrictions on the title page or opening view screen of this proposal document or file.&amp;R&amp;P of &amp;N</oddFooter>
  </headerFooter>
  <rowBreaks count="1" manualBreakCount="1">
    <brk id="15" max="16383" man="1"/>
  </rowBreaks>
  <ignoredErrors>
    <ignoredError sqref="E10:E13 F47:G47 G44 F52:G56 E62:E75 F22:G26 F28:G43 F49:G50 E19:E57" unlockedFormula="1"/>
  </ignoredErrors>
  <legacyDrawingHF r:id="rId2"/>
</worksheet>
</file>

<file path=xl/worksheets/sheet12.xml><?xml version="1.0" encoding="utf-8"?>
<worksheet xmlns="http://schemas.openxmlformats.org/spreadsheetml/2006/main" xmlns:r="http://schemas.openxmlformats.org/officeDocument/2006/relationships">
  <sheetPr>
    <pageSetUpPr fitToPage="1"/>
  </sheetPr>
  <dimension ref="A1:J109"/>
  <sheetViews>
    <sheetView zoomScaleNormal="100" workbookViewId="0">
      <selection sqref="A1:B1"/>
    </sheetView>
  </sheetViews>
  <sheetFormatPr defaultRowHeight="10.5"/>
  <cols>
    <col min="1" max="1" width="13.33203125" style="143" customWidth="1"/>
    <col min="2" max="2" width="23.83203125" style="143" customWidth="1"/>
    <col min="3" max="3" width="14.5" style="143" customWidth="1"/>
    <col min="4" max="4" width="11.5" style="143" hidden="1" customWidth="1"/>
    <col min="5" max="5" width="10.33203125" style="143" customWidth="1"/>
    <col min="6" max="6" width="12.6640625" style="143" customWidth="1"/>
    <col min="7" max="7" width="11.33203125" style="143" hidden="1" customWidth="1"/>
    <col min="8" max="8" width="13.33203125" style="309" customWidth="1"/>
    <col min="9" max="9" width="18.6640625" style="143" customWidth="1"/>
    <col min="10" max="10" width="24.33203125" style="203" customWidth="1"/>
    <col min="253" max="253" width="13.33203125" customWidth="1"/>
    <col min="254" max="254" width="23.83203125" customWidth="1"/>
    <col min="255" max="255" width="14.5" customWidth="1"/>
    <col min="256" max="256" width="11.5" customWidth="1"/>
    <col min="257" max="257" width="10.33203125" customWidth="1"/>
    <col min="258" max="258" width="11.6640625" customWidth="1"/>
    <col min="259" max="259" width="11.1640625" customWidth="1"/>
    <col min="260" max="260" width="12.6640625" customWidth="1"/>
    <col min="261" max="261" width="11.33203125" customWidth="1"/>
    <col min="262" max="262" width="10.1640625" customWidth="1"/>
    <col min="263" max="263" width="20.1640625" customWidth="1"/>
    <col min="264" max="264" width="21.1640625" customWidth="1"/>
    <col min="509" max="509" width="13.33203125" customWidth="1"/>
    <col min="510" max="510" width="23.83203125" customWidth="1"/>
    <col min="511" max="511" width="14.5" customWidth="1"/>
    <col min="512" max="512" width="11.5" customWidth="1"/>
    <col min="513" max="513" width="10.33203125" customWidth="1"/>
    <col min="514" max="514" width="11.6640625" customWidth="1"/>
    <col min="515" max="515" width="11.1640625" customWidth="1"/>
    <col min="516" max="516" width="12.6640625" customWidth="1"/>
    <col min="517" max="517" width="11.33203125" customWidth="1"/>
    <col min="518" max="518" width="10.1640625" customWidth="1"/>
    <col min="519" max="519" width="20.1640625" customWidth="1"/>
    <col min="520" max="520" width="21.1640625" customWidth="1"/>
    <col min="765" max="765" width="13.33203125" customWidth="1"/>
    <col min="766" max="766" width="23.83203125" customWidth="1"/>
    <col min="767" max="767" width="14.5" customWidth="1"/>
    <col min="768" max="768" width="11.5" customWidth="1"/>
    <col min="769" max="769" width="10.33203125" customWidth="1"/>
    <col min="770" max="770" width="11.6640625" customWidth="1"/>
    <col min="771" max="771" width="11.1640625" customWidth="1"/>
    <col min="772" max="772" width="12.6640625" customWidth="1"/>
    <col min="773" max="773" width="11.33203125" customWidth="1"/>
    <col min="774" max="774" width="10.1640625" customWidth="1"/>
    <col min="775" max="775" width="20.1640625" customWidth="1"/>
    <col min="776" max="776" width="21.1640625" customWidth="1"/>
    <col min="1021" max="1021" width="13.33203125" customWidth="1"/>
    <col min="1022" max="1022" width="23.83203125" customWidth="1"/>
    <col min="1023" max="1023" width="14.5" customWidth="1"/>
    <col min="1024" max="1024" width="11.5" customWidth="1"/>
    <col min="1025" max="1025" width="10.33203125" customWidth="1"/>
    <col min="1026" max="1026" width="11.6640625" customWidth="1"/>
    <col min="1027" max="1027" width="11.1640625" customWidth="1"/>
    <col min="1028" max="1028" width="12.6640625" customWidth="1"/>
    <col min="1029" max="1029" width="11.33203125" customWidth="1"/>
    <col min="1030" max="1030" width="10.1640625" customWidth="1"/>
    <col min="1031" max="1031" width="20.1640625" customWidth="1"/>
    <col min="1032" max="1032" width="21.1640625" customWidth="1"/>
    <col min="1277" max="1277" width="13.33203125" customWidth="1"/>
    <col min="1278" max="1278" width="23.83203125" customWidth="1"/>
    <col min="1279" max="1279" width="14.5" customWidth="1"/>
    <col min="1280" max="1280" width="11.5" customWidth="1"/>
    <col min="1281" max="1281" width="10.33203125" customWidth="1"/>
    <col min="1282" max="1282" width="11.6640625" customWidth="1"/>
    <col min="1283" max="1283" width="11.1640625" customWidth="1"/>
    <col min="1284" max="1284" width="12.6640625" customWidth="1"/>
    <col min="1285" max="1285" width="11.33203125" customWidth="1"/>
    <col min="1286" max="1286" width="10.1640625" customWidth="1"/>
    <col min="1287" max="1287" width="20.1640625" customWidth="1"/>
    <col min="1288" max="1288" width="21.1640625" customWidth="1"/>
    <col min="1533" max="1533" width="13.33203125" customWidth="1"/>
    <col min="1534" max="1534" width="23.83203125" customWidth="1"/>
    <col min="1535" max="1535" width="14.5" customWidth="1"/>
    <col min="1536" max="1536" width="11.5" customWidth="1"/>
    <col min="1537" max="1537" width="10.33203125" customWidth="1"/>
    <col min="1538" max="1538" width="11.6640625" customWidth="1"/>
    <col min="1539" max="1539" width="11.1640625" customWidth="1"/>
    <col min="1540" max="1540" width="12.6640625" customWidth="1"/>
    <col min="1541" max="1541" width="11.33203125" customWidth="1"/>
    <col min="1542" max="1542" width="10.1640625" customWidth="1"/>
    <col min="1543" max="1543" width="20.1640625" customWidth="1"/>
    <col min="1544" max="1544" width="21.1640625" customWidth="1"/>
    <col min="1789" max="1789" width="13.33203125" customWidth="1"/>
    <col min="1790" max="1790" width="23.83203125" customWidth="1"/>
    <col min="1791" max="1791" width="14.5" customWidth="1"/>
    <col min="1792" max="1792" width="11.5" customWidth="1"/>
    <col min="1793" max="1793" width="10.33203125" customWidth="1"/>
    <col min="1794" max="1794" width="11.6640625" customWidth="1"/>
    <col min="1795" max="1795" width="11.1640625" customWidth="1"/>
    <col min="1796" max="1796" width="12.6640625" customWidth="1"/>
    <col min="1797" max="1797" width="11.33203125" customWidth="1"/>
    <col min="1798" max="1798" width="10.1640625" customWidth="1"/>
    <col min="1799" max="1799" width="20.1640625" customWidth="1"/>
    <col min="1800" max="1800" width="21.1640625" customWidth="1"/>
    <col min="2045" max="2045" width="13.33203125" customWidth="1"/>
    <col min="2046" max="2046" width="23.83203125" customWidth="1"/>
    <col min="2047" max="2047" width="14.5" customWidth="1"/>
    <col min="2048" max="2048" width="11.5" customWidth="1"/>
    <col min="2049" max="2049" width="10.33203125" customWidth="1"/>
    <col min="2050" max="2050" width="11.6640625" customWidth="1"/>
    <col min="2051" max="2051" width="11.1640625" customWidth="1"/>
    <col min="2052" max="2052" width="12.6640625" customWidth="1"/>
    <col min="2053" max="2053" width="11.33203125" customWidth="1"/>
    <col min="2054" max="2054" width="10.1640625" customWidth="1"/>
    <col min="2055" max="2055" width="20.1640625" customWidth="1"/>
    <col min="2056" max="2056" width="21.1640625" customWidth="1"/>
    <col min="2301" max="2301" width="13.33203125" customWidth="1"/>
    <col min="2302" max="2302" width="23.83203125" customWidth="1"/>
    <col min="2303" max="2303" width="14.5" customWidth="1"/>
    <col min="2304" max="2304" width="11.5" customWidth="1"/>
    <col min="2305" max="2305" width="10.33203125" customWidth="1"/>
    <col min="2306" max="2306" width="11.6640625" customWidth="1"/>
    <col min="2307" max="2307" width="11.1640625" customWidth="1"/>
    <col min="2308" max="2308" width="12.6640625" customWidth="1"/>
    <col min="2309" max="2309" width="11.33203125" customWidth="1"/>
    <col min="2310" max="2310" width="10.1640625" customWidth="1"/>
    <col min="2311" max="2311" width="20.1640625" customWidth="1"/>
    <col min="2312" max="2312" width="21.1640625" customWidth="1"/>
    <col min="2557" max="2557" width="13.33203125" customWidth="1"/>
    <col min="2558" max="2558" width="23.83203125" customWidth="1"/>
    <col min="2559" max="2559" width="14.5" customWidth="1"/>
    <col min="2560" max="2560" width="11.5" customWidth="1"/>
    <col min="2561" max="2561" width="10.33203125" customWidth="1"/>
    <col min="2562" max="2562" width="11.6640625" customWidth="1"/>
    <col min="2563" max="2563" width="11.1640625" customWidth="1"/>
    <col min="2564" max="2564" width="12.6640625" customWidth="1"/>
    <col min="2565" max="2565" width="11.33203125" customWidth="1"/>
    <col min="2566" max="2566" width="10.1640625" customWidth="1"/>
    <col min="2567" max="2567" width="20.1640625" customWidth="1"/>
    <col min="2568" max="2568" width="21.1640625" customWidth="1"/>
    <col min="2813" max="2813" width="13.33203125" customWidth="1"/>
    <col min="2814" max="2814" width="23.83203125" customWidth="1"/>
    <col min="2815" max="2815" width="14.5" customWidth="1"/>
    <col min="2816" max="2816" width="11.5" customWidth="1"/>
    <col min="2817" max="2817" width="10.33203125" customWidth="1"/>
    <col min="2818" max="2818" width="11.6640625" customWidth="1"/>
    <col min="2819" max="2819" width="11.1640625" customWidth="1"/>
    <col min="2820" max="2820" width="12.6640625" customWidth="1"/>
    <col min="2821" max="2821" width="11.33203125" customWidth="1"/>
    <col min="2822" max="2822" width="10.1640625" customWidth="1"/>
    <col min="2823" max="2823" width="20.1640625" customWidth="1"/>
    <col min="2824" max="2824" width="21.1640625" customWidth="1"/>
    <col min="3069" max="3069" width="13.33203125" customWidth="1"/>
    <col min="3070" max="3070" width="23.83203125" customWidth="1"/>
    <col min="3071" max="3071" width="14.5" customWidth="1"/>
    <col min="3072" max="3072" width="11.5" customWidth="1"/>
    <col min="3073" max="3073" width="10.33203125" customWidth="1"/>
    <col min="3074" max="3074" width="11.6640625" customWidth="1"/>
    <col min="3075" max="3075" width="11.1640625" customWidth="1"/>
    <col min="3076" max="3076" width="12.6640625" customWidth="1"/>
    <col min="3077" max="3077" width="11.33203125" customWidth="1"/>
    <col min="3078" max="3078" width="10.1640625" customWidth="1"/>
    <col min="3079" max="3079" width="20.1640625" customWidth="1"/>
    <col min="3080" max="3080" width="21.1640625" customWidth="1"/>
    <col min="3325" max="3325" width="13.33203125" customWidth="1"/>
    <col min="3326" max="3326" width="23.83203125" customWidth="1"/>
    <col min="3327" max="3327" width="14.5" customWidth="1"/>
    <col min="3328" max="3328" width="11.5" customWidth="1"/>
    <col min="3329" max="3329" width="10.33203125" customWidth="1"/>
    <col min="3330" max="3330" width="11.6640625" customWidth="1"/>
    <col min="3331" max="3331" width="11.1640625" customWidth="1"/>
    <col min="3332" max="3332" width="12.6640625" customWidth="1"/>
    <col min="3333" max="3333" width="11.33203125" customWidth="1"/>
    <col min="3334" max="3334" width="10.1640625" customWidth="1"/>
    <col min="3335" max="3335" width="20.1640625" customWidth="1"/>
    <col min="3336" max="3336" width="21.1640625" customWidth="1"/>
    <col min="3581" max="3581" width="13.33203125" customWidth="1"/>
    <col min="3582" max="3582" width="23.83203125" customWidth="1"/>
    <col min="3583" max="3583" width="14.5" customWidth="1"/>
    <col min="3584" max="3584" width="11.5" customWidth="1"/>
    <col min="3585" max="3585" width="10.33203125" customWidth="1"/>
    <col min="3586" max="3586" width="11.6640625" customWidth="1"/>
    <col min="3587" max="3587" width="11.1640625" customWidth="1"/>
    <col min="3588" max="3588" width="12.6640625" customWidth="1"/>
    <col min="3589" max="3589" width="11.33203125" customWidth="1"/>
    <col min="3590" max="3590" width="10.1640625" customWidth="1"/>
    <col min="3591" max="3591" width="20.1640625" customWidth="1"/>
    <col min="3592" max="3592" width="21.1640625" customWidth="1"/>
    <col min="3837" max="3837" width="13.33203125" customWidth="1"/>
    <col min="3838" max="3838" width="23.83203125" customWidth="1"/>
    <col min="3839" max="3839" width="14.5" customWidth="1"/>
    <col min="3840" max="3840" width="11.5" customWidth="1"/>
    <col min="3841" max="3841" width="10.33203125" customWidth="1"/>
    <col min="3842" max="3842" width="11.6640625" customWidth="1"/>
    <col min="3843" max="3843" width="11.1640625" customWidth="1"/>
    <col min="3844" max="3844" width="12.6640625" customWidth="1"/>
    <col min="3845" max="3845" width="11.33203125" customWidth="1"/>
    <col min="3846" max="3846" width="10.1640625" customWidth="1"/>
    <col min="3847" max="3847" width="20.1640625" customWidth="1"/>
    <col min="3848" max="3848" width="21.1640625" customWidth="1"/>
    <col min="4093" max="4093" width="13.33203125" customWidth="1"/>
    <col min="4094" max="4094" width="23.83203125" customWidth="1"/>
    <col min="4095" max="4095" width="14.5" customWidth="1"/>
    <col min="4096" max="4096" width="11.5" customWidth="1"/>
    <col min="4097" max="4097" width="10.33203125" customWidth="1"/>
    <col min="4098" max="4098" width="11.6640625" customWidth="1"/>
    <col min="4099" max="4099" width="11.1640625" customWidth="1"/>
    <col min="4100" max="4100" width="12.6640625" customWidth="1"/>
    <col min="4101" max="4101" width="11.33203125" customWidth="1"/>
    <col min="4102" max="4102" width="10.1640625" customWidth="1"/>
    <col min="4103" max="4103" width="20.1640625" customWidth="1"/>
    <col min="4104" max="4104" width="21.1640625" customWidth="1"/>
    <col min="4349" max="4349" width="13.33203125" customWidth="1"/>
    <col min="4350" max="4350" width="23.83203125" customWidth="1"/>
    <col min="4351" max="4351" width="14.5" customWidth="1"/>
    <col min="4352" max="4352" width="11.5" customWidth="1"/>
    <col min="4353" max="4353" width="10.33203125" customWidth="1"/>
    <col min="4354" max="4354" width="11.6640625" customWidth="1"/>
    <col min="4355" max="4355" width="11.1640625" customWidth="1"/>
    <col min="4356" max="4356" width="12.6640625" customWidth="1"/>
    <col min="4357" max="4357" width="11.33203125" customWidth="1"/>
    <col min="4358" max="4358" width="10.1640625" customWidth="1"/>
    <col min="4359" max="4359" width="20.1640625" customWidth="1"/>
    <col min="4360" max="4360" width="21.1640625" customWidth="1"/>
    <col min="4605" max="4605" width="13.33203125" customWidth="1"/>
    <col min="4606" max="4606" width="23.83203125" customWidth="1"/>
    <col min="4607" max="4607" width="14.5" customWidth="1"/>
    <col min="4608" max="4608" width="11.5" customWidth="1"/>
    <col min="4609" max="4609" width="10.33203125" customWidth="1"/>
    <col min="4610" max="4610" width="11.6640625" customWidth="1"/>
    <col min="4611" max="4611" width="11.1640625" customWidth="1"/>
    <col min="4612" max="4612" width="12.6640625" customWidth="1"/>
    <col min="4613" max="4613" width="11.33203125" customWidth="1"/>
    <col min="4614" max="4614" width="10.1640625" customWidth="1"/>
    <col min="4615" max="4615" width="20.1640625" customWidth="1"/>
    <col min="4616" max="4616" width="21.1640625" customWidth="1"/>
    <col min="4861" max="4861" width="13.33203125" customWidth="1"/>
    <col min="4862" max="4862" width="23.83203125" customWidth="1"/>
    <col min="4863" max="4863" width="14.5" customWidth="1"/>
    <col min="4864" max="4864" width="11.5" customWidth="1"/>
    <col min="4865" max="4865" width="10.33203125" customWidth="1"/>
    <col min="4866" max="4866" width="11.6640625" customWidth="1"/>
    <col min="4867" max="4867" width="11.1640625" customWidth="1"/>
    <col min="4868" max="4868" width="12.6640625" customWidth="1"/>
    <col min="4869" max="4869" width="11.33203125" customWidth="1"/>
    <col min="4870" max="4870" width="10.1640625" customWidth="1"/>
    <col min="4871" max="4871" width="20.1640625" customWidth="1"/>
    <col min="4872" max="4872" width="21.1640625" customWidth="1"/>
    <col min="5117" max="5117" width="13.33203125" customWidth="1"/>
    <col min="5118" max="5118" width="23.83203125" customWidth="1"/>
    <col min="5119" max="5119" width="14.5" customWidth="1"/>
    <col min="5120" max="5120" width="11.5" customWidth="1"/>
    <col min="5121" max="5121" width="10.33203125" customWidth="1"/>
    <col min="5122" max="5122" width="11.6640625" customWidth="1"/>
    <col min="5123" max="5123" width="11.1640625" customWidth="1"/>
    <col min="5124" max="5124" width="12.6640625" customWidth="1"/>
    <col min="5125" max="5125" width="11.33203125" customWidth="1"/>
    <col min="5126" max="5126" width="10.1640625" customWidth="1"/>
    <col min="5127" max="5127" width="20.1640625" customWidth="1"/>
    <col min="5128" max="5128" width="21.1640625" customWidth="1"/>
    <col min="5373" max="5373" width="13.33203125" customWidth="1"/>
    <col min="5374" max="5374" width="23.83203125" customWidth="1"/>
    <col min="5375" max="5375" width="14.5" customWidth="1"/>
    <col min="5376" max="5376" width="11.5" customWidth="1"/>
    <col min="5377" max="5377" width="10.33203125" customWidth="1"/>
    <col min="5378" max="5378" width="11.6640625" customWidth="1"/>
    <col min="5379" max="5379" width="11.1640625" customWidth="1"/>
    <col min="5380" max="5380" width="12.6640625" customWidth="1"/>
    <col min="5381" max="5381" width="11.33203125" customWidth="1"/>
    <col min="5382" max="5382" width="10.1640625" customWidth="1"/>
    <col min="5383" max="5383" width="20.1640625" customWidth="1"/>
    <col min="5384" max="5384" width="21.1640625" customWidth="1"/>
    <col min="5629" max="5629" width="13.33203125" customWidth="1"/>
    <col min="5630" max="5630" width="23.83203125" customWidth="1"/>
    <col min="5631" max="5631" width="14.5" customWidth="1"/>
    <col min="5632" max="5632" width="11.5" customWidth="1"/>
    <col min="5633" max="5633" width="10.33203125" customWidth="1"/>
    <col min="5634" max="5634" width="11.6640625" customWidth="1"/>
    <col min="5635" max="5635" width="11.1640625" customWidth="1"/>
    <col min="5636" max="5636" width="12.6640625" customWidth="1"/>
    <col min="5637" max="5637" width="11.33203125" customWidth="1"/>
    <col min="5638" max="5638" width="10.1640625" customWidth="1"/>
    <col min="5639" max="5639" width="20.1640625" customWidth="1"/>
    <col min="5640" max="5640" width="21.1640625" customWidth="1"/>
    <col min="5885" max="5885" width="13.33203125" customWidth="1"/>
    <col min="5886" max="5886" width="23.83203125" customWidth="1"/>
    <col min="5887" max="5887" width="14.5" customWidth="1"/>
    <col min="5888" max="5888" width="11.5" customWidth="1"/>
    <col min="5889" max="5889" width="10.33203125" customWidth="1"/>
    <col min="5890" max="5890" width="11.6640625" customWidth="1"/>
    <col min="5891" max="5891" width="11.1640625" customWidth="1"/>
    <col min="5892" max="5892" width="12.6640625" customWidth="1"/>
    <col min="5893" max="5893" width="11.33203125" customWidth="1"/>
    <col min="5894" max="5894" width="10.1640625" customWidth="1"/>
    <col min="5895" max="5895" width="20.1640625" customWidth="1"/>
    <col min="5896" max="5896" width="21.1640625" customWidth="1"/>
    <col min="6141" max="6141" width="13.33203125" customWidth="1"/>
    <col min="6142" max="6142" width="23.83203125" customWidth="1"/>
    <col min="6143" max="6143" width="14.5" customWidth="1"/>
    <col min="6144" max="6144" width="11.5" customWidth="1"/>
    <col min="6145" max="6145" width="10.33203125" customWidth="1"/>
    <col min="6146" max="6146" width="11.6640625" customWidth="1"/>
    <col min="6147" max="6147" width="11.1640625" customWidth="1"/>
    <col min="6148" max="6148" width="12.6640625" customWidth="1"/>
    <col min="6149" max="6149" width="11.33203125" customWidth="1"/>
    <col min="6150" max="6150" width="10.1640625" customWidth="1"/>
    <col min="6151" max="6151" width="20.1640625" customWidth="1"/>
    <col min="6152" max="6152" width="21.1640625" customWidth="1"/>
    <col min="6397" max="6397" width="13.33203125" customWidth="1"/>
    <col min="6398" max="6398" width="23.83203125" customWidth="1"/>
    <col min="6399" max="6399" width="14.5" customWidth="1"/>
    <col min="6400" max="6400" width="11.5" customWidth="1"/>
    <col min="6401" max="6401" width="10.33203125" customWidth="1"/>
    <col min="6402" max="6402" width="11.6640625" customWidth="1"/>
    <col min="6403" max="6403" width="11.1640625" customWidth="1"/>
    <col min="6404" max="6404" width="12.6640625" customWidth="1"/>
    <col min="6405" max="6405" width="11.33203125" customWidth="1"/>
    <col min="6406" max="6406" width="10.1640625" customWidth="1"/>
    <col min="6407" max="6407" width="20.1640625" customWidth="1"/>
    <col min="6408" max="6408" width="21.1640625" customWidth="1"/>
    <col min="6653" max="6653" width="13.33203125" customWidth="1"/>
    <col min="6654" max="6654" width="23.83203125" customWidth="1"/>
    <col min="6655" max="6655" width="14.5" customWidth="1"/>
    <col min="6656" max="6656" width="11.5" customWidth="1"/>
    <col min="6657" max="6657" width="10.33203125" customWidth="1"/>
    <col min="6658" max="6658" width="11.6640625" customWidth="1"/>
    <col min="6659" max="6659" width="11.1640625" customWidth="1"/>
    <col min="6660" max="6660" width="12.6640625" customWidth="1"/>
    <col min="6661" max="6661" width="11.33203125" customWidth="1"/>
    <col min="6662" max="6662" width="10.1640625" customWidth="1"/>
    <col min="6663" max="6663" width="20.1640625" customWidth="1"/>
    <col min="6664" max="6664" width="21.1640625" customWidth="1"/>
    <col min="6909" max="6909" width="13.33203125" customWidth="1"/>
    <col min="6910" max="6910" width="23.83203125" customWidth="1"/>
    <col min="6911" max="6911" width="14.5" customWidth="1"/>
    <col min="6912" max="6912" width="11.5" customWidth="1"/>
    <col min="6913" max="6913" width="10.33203125" customWidth="1"/>
    <col min="6914" max="6914" width="11.6640625" customWidth="1"/>
    <col min="6915" max="6915" width="11.1640625" customWidth="1"/>
    <col min="6916" max="6916" width="12.6640625" customWidth="1"/>
    <col min="6917" max="6917" width="11.33203125" customWidth="1"/>
    <col min="6918" max="6918" width="10.1640625" customWidth="1"/>
    <col min="6919" max="6919" width="20.1640625" customWidth="1"/>
    <col min="6920" max="6920" width="21.1640625" customWidth="1"/>
    <col min="7165" max="7165" width="13.33203125" customWidth="1"/>
    <col min="7166" max="7166" width="23.83203125" customWidth="1"/>
    <col min="7167" max="7167" width="14.5" customWidth="1"/>
    <col min="7168" max="7168" width="11.5" customWidth="1"/>
    <col min="7169" max="7169" width="10.33203125" customWidth="1"/>
    <col min="7170" max="7170" width="11.6640625" customWidth="1"/>
    <col min="7171" max="7171" width="11.1640625" customWidth="1"/>
    <col min="7172" max="7172" width="12.6640625" customWidth="1"/>
    <col min="7173" max="7173" width="11.33203125" customWidth="1"/>
    <col min="7174" max="7174" width="10.1640625" customWidth="1"/>
    <col min="7175" max="7175" width="20.1640625" customWidth="1"/>
    <col min="7176" max="7176" width="21.1640625" customWidth="1"/>
    <col min="7421" max="7421" width="13.33203125" customWidth="1"/>
    <col min="7422" max="7422" width="23.83203125" customWidth="1"/>
    <col min="7423" max="7423" width="14.5" customWidth="1"/>
    <col min="7424" max="7424" width="11.5" customWidth="1"/>
    <col min="7425" max="7425" width="10.33203125" customWidth="1"/>
    <col min="7426" max="7426" width="11.6640625" customWidth="1"/>
    <col min="7427" max="7427" width="11.1640625" customWidth="1"/>
    <col min="7428" max="7428" width="12.6640625" customWidth="1"/>
    <col min="7429" max="7429" width="11.33203125" customWidth="1"/>
    <col min="7430" max="7430" width="10.1640625" customWidth="1"/>
    <col min="7431" max="7431" width="20.1640625" customWidth="1"/>
    <col min="7432" max="7432" width="21.1640625" customWidth="1"/>
    <col min="7677" max="7677" width="13.33203125" customWidth="1"/>
    <col min="7678" max="7678" width="23.83203125" customWidth="1"/>
    <col min="7679" max="7679" width="14.5" customWidth="1"/>
    <col min="7680" max="7680" width="11.5" customWidth="1"/>
    <col min="7681" max="7681" width="10.33203125" customWidth="1"/>
    <col min="7682" max="7682" width="11.6640625" customWidth="1"/>
    <col min="7683" max="7683" width="11.1640625" customWidth="1"/>
    <col min="7684" max="7684" width="12.6640625" customWidth="1"/>
    <col min="7685" max="7685" width="11.33203125" customWidth="1"/>
    <col min="7686" max="7686" width="10.1640625" customWidth="1"/>
    <col min="7687" max="7687" width="20.1640625" customWidth="1"/>
    <col min="7688" max="7688" width="21.1640625" customWidth="1"/>
    <col min="7933" max="7933" width="13.33203125" customWidth="1"/>
    <col min="7934" max="7934" width="23.83203125" customWidth="1"/>
    <col min="7935" max="7935" width="14.5" customWidth="1"/>
    <col min="7936" max="7936" width="11.5" customWidth="1"/>
    <col min="7937" max="7937" width="10.33203125" customWidth="1"/>
    <col min="7938" max="7938" width="11.6640625" customWidth="1"/>
    <col min="7939" max="7939" width="11.1640625" customWidth="1"/>
    <col min="7940" max="7940" width="12.6640625" customWidth="1"/>
    <col min="7941" max="7941" width="11.33203125" customWidth="1"/>
    <col min="7942" max="7942" width="10.1640625" customWidth="1"/>
    <col min="7943" max="7943" width="20.1640625" customWidth="1"/>
    <col min="7944" max="7944" width="21.1640625" customWidth="1"/>
    <col min="8189" max="8189" width="13.33203125" customWidth="1"/>
    <col min="8190" max="8190" width="23.83203125" customWidth="1"/>
    <col min="8191" max="8191" width="14.5" customWidth="1"/>
    <col min="8192" max="8192" width="11.5" customWidth="1"/>
    <col min="8193" max="8193" width="10.33203125" customWidth="1"/>
    <col min="8194" max="8194" width="11.6640625" customWidth="1"/>
    <col min="8195" max="8195" width="11.1640625" customWidth="1"/>
    <col min="8196" max="8196" width="12.6640625" customWidth="1"/>
    <col min="8197" max="8197" width="11.33203125" customWidth="1"/>
    <col min="8198" max="8198" width="10.1640625" customWidth="1"/>
    <col min="8199" max="8199" width="20.1640625" customWidth="1"/>
    <col min="8200" max="8200" width="21.1640625" customWidth="1"/>
    <col min="8445" max="8445" width="13.33203125" customWidth="1"/>
    <col min="8446" max="8446" width="23.83203125" customWidth="1"/>
    <col min="8447" max="8447" width="14.5" customWidth="1"/>
    <col min="8448" max="8448" width="11.5" customWidth="1"/>
    <col min="8449" max="8449" width="10.33203125" customWidth="1"/>
    <col min="8450" max="8450" width="11.6640625" customWidth="1"/>
    <col min="8451" max="8451" width="11.1640625" customWidth="1"/>
    <col min="8452" max="8452" width="12.6640625" customWidth="1"/>
    <col min="8453" max="8453" width="11.33203125" customWidth="1"/>
    <col min="8454" max="8454" width="10.1640625" customWidth="1"/>
    <col min="8455" max="8455" width="20.1640625" customWidth="1"/>
    <col min="8456" max="8456" width="21.1640625" customWidth="1"/>
    <col min="8701" max="8701" width="13.33203125" customWidth="1"/>
    <col min="8702" max="8702" width="23.83203125" customWidth="1"/>
    <col min="8703" max="8703" width="14.5" customWidth="1"/>
    <col min="8704" max="8704" width="11.5" customWidth="1"/>
    <col min="8705" max="8705" width="10.33203125" customWidth="1"/>
    <col min="8706" max="8706" width="11.6640625" customWidth="1"/>
    <col min="8707" max="8707" width="11.1640625" customWidth="1"/>
    <col min="8708" max="8708" width="12.6640625" customWidth="1"/>
    <col min="8709" max="8709" width="11.33203125" customWidth="1"/>
    <col min="8710" max="8710" width="10.1640625" customWidth="1"/>
    <col min="8711" max="8711" width="20.1640625" customWidth="1"/>
    <col min="8712" max="8712" width="21.1640625" customWidth="1"/>
    <col min="8957" max="8957" width="13.33203125" customWidth="1"/>
    <col min="8958" max="8958" width="23.83203125" customWidth="1"/>
    <col min="8959" max="8959" width="14.5" customWidth="1"/>
    <col min="8960" max="8960" width="11.5" customWidth="1"/>
    <col min="8961" max="8961" width="10.33203125" customWidth="1"/>
    <col min="8962" max="8962" width="11.6640625" customWidth="1"/>
    <col min="8963" max="8963" width="11.1640625" customWidth="1"/>
    <col min="8964" max="8964" width="12.6640625" customWidth="1"/>
    <col min="8965" max="8965" width="11.33203125" customWidth="1"/>
    <col min="8966" max="8966" width="10.1640625" customWidth="1"/>
    <col min="8967" max="8967" width="20.1640625" customWidth="1"/>
    <col min="8968" max="8968" width="21.1640625" customWidth="1"/>
    <col min="9213" max="9213" width="13.33203125" customWidth="1"/>
    <col min="9214" max="9214" width="23.83203125" customWidth="1"/>
    <col min="9215" max="9215" width="14.5" customWidth="1"/>
    <col min="9216" max="9216" width="11.5" customWidth="1"/>
    <col min="9217" max="9217" width="10.33203125" customWidth="1"/>
    <col min="9218" max="9218" width="11.6640625" customWidth="1"/>
    <col min="9219" max="9219" width="11.1640625" customWidth="1"/>
    <col min="9220" max="9220" width="12.6640625" customWidth="1"/>
    <col min="9221" max="9221" width="11.33203125" customWidth="1"/>
    <col min="9222" max="9222" width="10.1640625" customWidth="1"/>
    <col min="9223" max="9223" width="20.1640625" customWidth="1"/>
    <col min="9224" max="9224" width="21.1640625" customWidth="1"/>
    <col min="9469" max="9469" width="13.33203125" customWidth="1"/>
    <col min="9470" max="9470" width="23.83203125" customWidth="1"/>
    <col min="9471" max="9471" width="14.5" customWidth="1"/>
    <col min="9472" max="9472" width="11.5" customWidth="1"/>
    <col min="9473" max="9473" width="10.33203125" customWidth="1"/>
    <col min="9474" max="9474" width="11.6640625" customWidth="1"/>
    <col min="9475" max="9475" width="11.1640625" customWidth="1"/>
    <col min="9476" max="9476" width="12.6640625" customWidth="1"/>
    <col min="9477" max="9477" width="11.33203125" customWidth="1"/>
    <col min="9478" max="9478" width="10.1640625" customWidth="1"/>
    <col min="9479" max="9479" width="20.1640625" customWidth="1"/>
    <col min="9480" max="9480" width="21.1640625" customWidth="1"/>
    <col min="9725" max="9725" width="13.33203125" customWidth="1"/>
    <col min="9726" max="9726" width="23.83203125" customWidth="1"/>
    <col min="9727" max="9727" width="14.5" customWidth="1"/>
    <col min="9728" max="9728" width="11.5" customWidth="1"/>
    <col min="9729" max="9729" width="10.33203125" customWidth="1"/>
    <col min="9730" max="9730" width="11.6640625" customWidth="1"/>
    <col min="9731" max="9731" width="11.1640625" customWidth="1"/>
    <col min="9732" max="9732" width="12.6640625" customWidth="1"/>
    <col min="9733" max="9733" width="11.33203125" customWidth="1"/>
    <col min="9734" max="9734" width="10.1640625" customWidth="1"/>
    <col min="9735" max="9735" width="20.1640625" customWidth="1"/>
    <col min="9736" max="9736" width="21.1640625" customWidth="1"/>
    <col min="9981" max="9981" width="13.33203125" customWidth="1"/>
    <col min="9982" max="9982" width="23.83203125" customWidth="1"/>
    <col min="9983" max="9983" width="14.5" customWidth="1"/>
    <col min="9984" max="9984" width="11.5" customWidth="1"/>
    <col min="9985" max="9985" width="10.33203125" customWidth="1"/>
    <col min="9986" max="9986" width="11.6640625" customWidth="1"/>
    <col min="9987" max="9987" width="11.1640625" customWidth="1"/>
    <col min="9988" max="9988" width="12.6640625" customWidth="1"/>
    <col min="9989" max="9989" width="11.33203125" customWidth="1"/>
    <col min="9990" max="9990" width="10.1640625" customWidth="1"/>
    <col min="9991" max="9991" width="20.1640625" customWidth="1"/>
    <col min="9992" max="9992" width="21.1640625" customWidth="1"/>
    <col min="10237" max="10237" width="13.33203125" customWidth="1"/>
    <col min="10238" max="10238" width="23.83203125" customWidth="1"/>
    <col min="10239" max="10239" width="14.5" customWidth="1"/>
    <col min="10240" max="10240" width="11.5" customWidth="1"/>
    <col min="10241" max="10241" width="10.33203125" customWidth="1"/>
    <col min="10242" max="10242" width="11.6640625" customWidth="1"/>
    <col min="10243" max="10243" width="11.1640625" customWidth="1"/>
    <col min="10244" max="10244" width="12.6640625" customWidth="1"/>
    <col min="10245" max="10245" width="11.33203125" customWidth="1"/>
    <col min="10246" max="10246" width="10.1640625" customWidth="1"/>
    <col min="10247" max="10247" width="20.1640625" customWidth="1"/>
    <col min="10248" max="10248" width="21.1640625" customWidth="1"/>
    <col min="10493" max="10493" width="13.33203125" customWidth="1"/>
    <col min="10494" max="10494" width="23.83203125" customWidth="1"/>
    <col min="10495" max="10495" width="14.5" customWidth="1"/>
    <col min="10496" max="10496" width="11.5" customWidth="1"/>
    <col min="10497" max="10497" width="10.33203125" customWidth="1"/>
    <col min="10498" max="10498" width="11.6640625" customWidth="1"/>
    <col min="10499" max="10499" width="11.1640625" customWidth="1"/>
    <col min="10500" max="10500" width="12.6640625" customWidth="1"/>
    <col min="10501" max="10501" width="11.33203125" customWidth="1"/>
    <col min="10502" max="10502" width="10.1640625" customWidth="1"/>
    <col min="10503" max="10503" width="20.1640625" customWidth="1"/>
    <col min="10504" max="10504" width="21.1640625" customWidth="1"/>
    <col min="10749" max="10749" width="13.33203125" customWidth="1"/>
    <col min="10750" max="10750" width="23.83203125" customWidth="1"/>
    <col min="10751" max="10751" width="14.5" customWidth="1"/>
    <col min="10752" max="10752" width="11.5" customWidth="1"/>
    <col min="10753" max="10753" width="10.33203125" customWidth="1"/>
    <col min="10754" max="10754" width="11.6640625" customWidth="1"/>
    <col min="10755" max="10755" width="11.1640625" customWidth="1"/>
    <col min="10756" max="10756" width="12.6640625" customWidth="1"/>
    <col min="10757" max="10757" width="11.33203125" customWidth="1"/>
    <col min="10758" max="10758" width="10.1640625" customWidth="1"/>
    <col min="10759" max="10759" width="20.1640625" customWidth="1"/>
    <col min="10760" max="10760" width="21.1640625" customWidth="1"/>
    <col min="11005" max="11005" width="13.33203125" customWidth="1"/>
    <col min="11006" max="11006" width="23.83203125" customWidth="1"/>
    <col min="11007" max="11007" width="14.5" customWidth="1"/>
    <col min="11008" max="11008" width="11.5" customWidth="1"/>
    <col min="11009" max="11009" width="10.33203125" customWidth="1"/>
    <col min="11010" max="11010" width="11.6640625" customWidth="1"/>
    <col min="11011" max="11011" width="11.1640625" customWidth="1"/>
    <col min="11012" max="11012" width="12.6640625" customWidth="1"/>
    <col min="11013" max="11013" width="11.33203125" customWidth="1"/>
    <col min="11014" max="11014" width="10.1640625" customWidth="1"/>
    <col min="11015" max="11015" width="20.1640625" customWidth="1"/>
    <col min="11016" max="11016" width="21.1640625" customWidth="1"/>
    <col min="11261" max="11261" width="13.33203125" customWidth="1"/>
    <col min="11262" max="11262" width="23.83203125" customWidth="1"/>
    <col min="11263" max="11263" width="14.5" customWidth="1"/>
    <col min="11264" max="11264" width="11.5" customWidth="1"/>
    <col min="11265" max="11265" width="10.33203125" customWidth="1"/>
    <col min="11266" max="11266" width="11.6640625" customWidth="1"/>
    <col min="11267" max="11267" width="11.1640625" customWidth="1"/>
    <col min="11268" max="11268" width="12.6640625" customWidth="1"/>
    <col min="11269" max="11269" width="11.33203125" customWidth="1"/>
    <col min="11270" max="11270" width="10.1640625" customWidth="1"/>
    <col min="11271" max="11271" width="20.1640625" customWidth="1"/>
    <col min="11272" max="11272" width="21.1640625" customWidth="1"/>
    <col min="11517" max="11517" width="13.33203125" customWidth="1"/>
    <col min="11518" max="11518" width="23.83203125" customWidth="1"/>
    <col min="11519" max="11519" width="14.5" customWidth="1"/>
    <col min="11520" max="11520" width="11.5" customWidth="1"/>
    <col min="11521" max="11521" width="10.33203125" customWidth="1"/>
    <col min="11522" max="11522" width="11.6640625" customWidth="1"/>
    <col min="11523" max="11523" width="11.1640625" customWidth="1"/>
    <col min="11524" max="11524" width="12.6640625" customWidth="1"/>
    <col min="11525" max="11525" width="11.33203125" customWidth="1"/>
    <col min="11526" max="11526" width="10.1640625" customWidth="1"/>
    <col min="11527" max="11527" width="20.1640625" customWidth="1"/>
    <col min="11528" max="11528" width="21.1640625" customWidth="1"/>
    <col min="11773" max="11773" width="13.33203125" customWidth="1"/>
    <col min="11774" max="11774" width="23.83203125" customWidth="1"/>
    <col min="11775" max="11775" width="14.5" customWidth="1"/>
    <col min="11776" max="11776" width="11.5" customWidth="1"/>
    <col min="11777" max="11777" width="10.33203125" customWidth="1"/>
    <col min="11778" max="11778" width="11.6640625" customWidth="1"/>
    <col min="11779" max="11779" width="11.1640625" customWidth="1"/>
    <col min="11780" max="11780" width="12.6640625" customWidth="1"/>
    <col min="11781" max="11781" width="11.33203125" customWidth="1"/>
    <col min="11782" max="11782" width="10.1640625" customWidth="1"/>
    <col min="11783" max="11783" width="20.1640625" customWidth="1"/>
    <col min="11784" max="11784" width="21.1640625" customWidth="1"/>
    <col min="12029" max="12029" width="13.33203125" customWidth="1"/>
    <col min="12030" max="12030" width="23.83203125" customWidth="1"/>
    <col min="12031" max="12031" width="14.5" customWidth="1"/>
    <col min="12032" max="12032" width="11.5" customWidth="1"/>
    <col min="12033" max="12033" width="10.33203125" customWidth="1"/>
    <col min="12034" max="12034" width="11.6640625" customWidth="1"/>
    <col min="12035" max="12035" width="11.1640625" customWidth="1"/>
    <col min="12036" max="12036" width="12.6640625" customWidth="1"/>
    <col min="12037" max="12037" width="11.33203125" customWidth="1"/>
    <col min="12038" max="12038" width="10.1640625" customWidth="1"/>
    <col min="12039" max="12039" width="20.1640625" customWidth="1"/>
    <col min="12040" max="12040" width="21.1640625" customWidth="1"/>
    <col min="12285" max="12285" width="13.33203125" customWidth="1"/>
    <col min="12286" max="12286" width="23.83203125" customWidth="1"/>
    <col min="12287" max="12287" width="14.5" customWidth="1"/>
    <col min="12288" max="12288" width="11.5" customWidth="1"/>
    <col min="12289" max="12289" width="10.33203125" customWidth="1"/>
    <col min="12290" max="12290" width="11.6640625" customWidth="1"/>
    <col min="12291" max="12291" width="11.1640625" customWidth="1"/>
    <col min="12292" max="12292" width="12.6640625" customWidth="1"/>
    <col min="12293" max="12293" width="11.33203125" customWidth="1"/>
    <col min="12294" max="12294" width="10.1640625" customWidth="1"/>
    <col min="12295" max="12295" width="20.1640625" customWidth="1"/>
    <col min="12296" max="12296" width="21.1640625" customWidth="1"/>
    <col min="12541" max="12541" width="13.33203125" customWidth="1"/>
    <col min="12542" max="12542" width="23.83203125" customWidth="1"/>
    <col min="12543" max="12543" width="14.5" customWidth="1"/>
    <col min="12544" max="12544" width="11.5" customWidth="1"/>
    <col min="12545" max="12545" width="10.33203125" customWidth="1"/>
    <col min="12546" max="12546" width="11.6640625" customWidth="1"/>
    <col min="12547" max="12547" width="11.1640625" customWidth="1"/>
    <col min="12548" max="12548" width="12.6640625" customWidth="1"/>
    <col min="12549" max="12549" width="11.33203125" customWidth="1"/>
    <col min="12550" max="12550" width="10.1640625" customWidth="1"/>
    <col min="12551" max="12551" width="20.1640625" customWidth="1"/>
    <col min="12552" max="12552" width="21.1640625" customWidth="1"/>
    <col min="12797" max="12797" width="13.33203125" customWidth="1"/>
    <col min="12798" max="12798" width="23.83203125" customWidth="1"/>
    <col min="12799" max="12799" width="14.5" customWidth="1"/>
    <col min="12800" max="12800" width="11.5" customWidth="1"/>
    <col min="12801" max="12801" width="10.33203125" customWidth="1"/>
    <col min="12802" max="12802" width="11.6640625" customWidth="1"/>
    <col min="12803" max="12803" width="11.1640625" customWidth="1"/>
    <col min="12804" max="12804" width="12.6640625" customWidth="1"/>
    <col min="12805" max="12805" width="11.33203125" customWidth="1"/>
    <col min="12806" max="12806" width="10.1640625" customWidth="1"/>
    <col min="12807" max="12807" width="20.1640625" customWidth="1"/>
    <col min="12808" max="12808" width="21.1640625" customWidth="1"/>
    <col min="13053" max="13053" width="13.33203125" customWidth="1"/>
    <col min="13054" max="13054" width="23.83203125" customWidth="1"/>
    <col min="13055" max="13055" width="14.5" customWidth="1"/>
    <col min="13056" max="13056" width="11.5" customWidth="1"/>
    <col min="13057" max="13057" width="10.33203125" customWidth="1"/>
    <col min="13058" max="13058" width="11.6640625" customWidth="1"/>
    <col min="13059" max="13059" width="11.1640625" customWidth="1"/>
    <col min="13060" max="13060" width="12.6640625" customWidth="1"/>
    <col min="13061" max="13061" width="11.33203125" customWidth="1"/>
    <col min="13062" max="13062" width="10.1640625" customWidth="1"/>
    <col min="13063" max="13063" width="20.1640625" customWidth="1"/>
    <col min="13064" max="13064" width="21.1640625" customWidth="1"/>
    <col min="13309" max="13309" width="13.33203125" customWidth="1"/>
    <col min="13310" max="13310" width="23.83203125" customWidth="1"/>
    <col min="13311" max="13311" width="14.5" customWidth="1"/>
    <col min="13312" max="13312" width="11.5" customWidth="1"/>
    <col min="13313" max="13313" width="10.33203125" customWidth="1"/>
    <col min="13314" max="13314" width="11.6640625" customWidth="1"/>
    <col min="13315" max="13315" width="11.1640625" customWidth="1"/>
    <col min="13316" max="13316" width="12.6640625" customWidth="1"/>
    <col min="13317" max="13317" width="11.33203125" customWidth="1"/>
    <col min="13318" max="13318" width="10.1640625" customWidth="1"/>
    <col min="13319" max="13319" width="20.1640625" customWidth="1"/>
    <col min="13320" max="13320" width="21.1640625" customWidth="1"/>
    <col min="13565" max="13565" width="13.33203125" customWidth="1"/>
    <col min="13566" max="13566" width="23.83203125" customWidth="1"/>
    <col min="13567" max="13567" width="14.5" customWidth="1"/>
    <col min="13568" max="13568" width="11.5" customWidth="1"/>
    <col min="13569" max="13569" width="10.33203125" customWidth="1"/>
    <col min="13570" max="13570" width="11.6640625" customWidth="1"/>
    <col min="13571" max="13571" width="11.1640625" customWidth="1"/>
    <col min="13572" max="13572" width="12.6640625" customWidth="1"/>
    <col min="13573" max="13573" width="11.33203125" customWidth="1"/>
    <col min="13574" max="13574" width="10.1640625" customWidth="1"/>
    <col min="13575" max="13575" width="20.1640625" customWidth="1"/>
    <col min="13576" max="13576" width="21.1640625" customWidth="1"/>
    <col min="13821" max="13821" width="13.33203125" customWidth="1"/>
    <col min="13822" max="13822" width="23.83203125" customWidth="1"/>
    <col min="13823" max="13823" width="14.5" customWidth="1"/>
    <col min="13824" max="13824" width="11.5" customWidth="1"/>
    <col min="13825" max="13825" width="10.33203125" customWidth="1"/>
    <col min="13826" max="13826" width="11.6640625" customWidth="1"/>
    <col min="13827" max="13827" width="11.1640625" customWidth="1"/>
    <col min="13828" max="13828" width="12.6640625" customWidth="1"/>
    <col min="13829" max="13829" width="11.33203125" customWidth="1"/>
    <col min="13830" max="13830" width="10.1640625" customWidth="1"/>
    <col min="13831" max="13831" width="20.1640625" customWidth="1"/>
    <col min="13832" max="13832" width="21.1640625" customWidth="1"/>
    <col min="14077" max="14077" width="13.33203125" customWidth="1"/>
    <col min="14078" max="14078" width="23.83203125" customWidth="1"/>
    <col min="14079" max="14079" width="14.5" customWidth="1"/>
    <col min="14080" max="14080" width="11.5" customWidth="1"/>
    <col min="14081" max="14081" width="10.33203125" customWidth="1"/>
    <col min="14082" max="14082" width="11.6640625" customWidth="1"/>
    <col min="14083" max="14083" width="11.1640625" customWidth="1"/>
    <col min="14084" max="14084" width="12.6640625" customWidth="1"/>
    <col min="14085" max="14085" width="11.33203125" customWidth="1"/>
    <col min="14086" max="14086" width="10.1640625" customWidth="1"/>
    <col min="14087" max="14087" width="20.1640625" customWidth="1"/>
    <col min="14088" max="14088" width="21.1640625" customWidth="1"/>
    <col min="14333" max="14333" width="13.33203125" customWidth="1"/>
    <col min="14334" max="14334" width="23.83203125" customWidth="1"/>
    <col min="14335" max="14335" width="14.5" customWidth="1"/>
    <col min="14336" max="14336" width="11.5" customWidth="1"/>
    <col min="14337" max="14337" width="10.33203125" customWidth="1"/>
    <col min="14338" max="14338" width="11.6640625" customWidth="1"/>
    <col min="14339" max="14339" width="11.1640625" customWidth="1"/>
    <col min="14340" max="14340" width="12.6640625" customWidth="1"/>
    <col min="14341" max="14341" width="11.33203125" customWidth="1"/>
    <col min="14342" max="14342" width="10.1640625" customWidth="1"/>
    <col min="14343" max="14343" width="20.1640625" customWidth="1"/>
    <col min="14344" max="14344" width="21.1640625" customWidth="1"/>
    <col min="14589" max="14589" width="13.33203125" customWidth="1"/>
    <col min="14590" max="14590" width="23.83203125" customWidth="1"/>
    <col min="14591" max="14591" width="14.5" customWidth="1"/>
    <col min="14592" max="14592" width="11.5" customWidth="1"/>
    <col min="14593" max="14593" width="10.33203125" customWidth="1"/>
    <col min="14594" max="14594" width="11.6640625" customWidth="1"/>
    <col min="14595" max="14595" width="11.1640625" customWidth="1"/>
    <col min="14596" max="14596" width="12.6640625" customWidth="1"/>
    <col min="14597" max="14597" width="11.33203125" customWidth="1"/>
    <col min="14598" max="14598" width="10.1640625" customWidth="1"/>
    <col min="14599" max="14599" width="20.1640625" customWidth="1"/>
    <col min="14600" max="14600" width="21.1640625" customWidth="1"/>
    <col min="14845" max="14845" width="13.33203125" customWidth="1"/>
    <col min="14846" max="14846" width="23.83203125" customWidth="1"/>
    <col min="14847" max="14847" width="14.5" customWidth="1"/>
    <col min="14848" max="14848" width="11.5" customWidth="1"/>
    <col min="14849" max="14849" width="10.33203125" customWidth="1"/>
    <col min="14850" max="14850" width="11.6640625" customWidth="1"/>
    <col min="14851" max="14851" width="11.1640625" customWidth="1"/>
    <col min="14852" max="14852" width="12.6640625" customWidth="1"/>
    <col min="14853" max="14853" width="11.33203125" customWidth="1"/>
    <col min="14854" max="14854" width="10.1640625" customWidth="1"/>
    <col min="14855" max="14855" width="20.1640625" customWidth="1"/>
    <col min="14856" max="14856" width="21.1640625" customWidth="1"/>
    <col min="15101" max="15101" width="13.33203125" customWidth="1"/>
    <col min="15102" max="15102" width="23.83203125" customWidth="1"/>
    <col min="15103" max="15103" width="14.5" customWidth="1"/>
    <col min="15104" max="15104" width="11.5" customWidth="1"/>
    <col min="15105" max="15105" width="10.33203125" customWidth="1"/>
    <col min="15106" max="15106" width="11.6640625" customWidth="1"/>
    <col min="15107" max="15107" width="11.1640625" customWidth="1"/>
    <col min="15108" max="15108" width="12.6640625" customWidth="1"/>
    <col min="15109" max="15109" width="11.33203125" customWidth="1"/>
    <col min="15110" max="15110" width="10.1640625" customWidth="1"/>
    <col min="15111" max="15111" width="20.1640625" customWidth="1"/>
    <col min="15112" max="15112" width="21.1640625" customWidth="1"/>
    <col min="15357" max="15357" width="13.33203125" customWidth="1"/>
    <col min="15358" max="15358" width="23.83203125" customWidth="1"/>
    <col min="15359" max="15359" width="14.5" customWidth="1"/>
    <col min="15360" max="15360" width="11.5" customWidth="1"/>
    <col min="15361" max="15361" width="10.33203125" customWidth="1"/>
    <col min="15362" max="15362" width="11.6640625" customWidth="1"/>
    <col min="15363" max="15363" width="11.1640625" customWidth="1"/>
    <col min="15364" max="15364" width="12.6640625" customWidth="1"/>
    <col min="15365" max="15365" width="11.33203125" customWidth="1"/>
    <col min="15366" max="15366" width="10.1640625" customWidth="1"/>
    <col min="15367" max="15367" width="20.1640625" customWidth="1"/>
    <col min="15368" max="15368" width="21.1640625" customWidth="1"/>
    <col min="15613" max="15613" width="13.33203125" customWidth="1"/>
    <col min="15614" max="15614" width="23.83203125" customWidth="1"/>
    <col min="15615" max="15615" width="14.5" customWidth="1"/>
    <col min="15616" max="15616" width="11.5" customWidth="1"/>
    <col min="15617" max="15617" width="10.33203125" customWidth="1"/>
    <col min="15618" max="15618" width="11.6640625" customWidth="1"/>
    <col min="15619" max="15619" width="11.1640625" customWidth="1"/>
    <col min="15620" max="15620" width="12.6640625" customWidth="1"/>
    <col min="15621" max="15621" width="11.33203125" customWidth="1"/>
    <col min="15622" max="15622" width="10.1640625" customWidth="1"/>
    <col min="15623" max="15623" width="20.1640625" customWidth="1"/>
    <col min="15624" max="15624" width="21.1640625" customWidth="1"/>
    <col min="15869" max="15869" width="13.33203125" customWidth="1"/>
    <col min="15870" max="15870" width="23.83203125" customWidth="1"/>
    <col min="15871" max="15871" width="14.5" customWidth="1"/>
    <col min="15872" max="15872" width="11.5" customWidth="1"/>
    <col min="15873" max="15873" width="10.33203125" customWidth="1"/>
    <col min="15874" max="15874" width="11.6640625" customWidth="1"/>
    <col min="15875" max="15875" width="11.1640625" customWidth="1"/>
    <col min="15876" max="15876" width="12.6640625" customWidth="1"/>
    <col min="15877" max="15877" width="11.33203125" customWidth="1"/>
    <col min="15878" max="15878" width="10.1640625" customWidth="1"/>
    <col min="15879" max="15879" width="20.1640625" customWidth="1"/>
    <col min="15880" max="15880" width="21.1640625" customWidth="1"/>
    <col min="16125" max="16125" width="13.33203125" customWidth="1"/>
    <col min="16126" max="16126" width="23.83203125" customWidth="1"/>
    <col min="16127" max="16127" width="14.5" customWidth="1"/>
    <col min="16128" max="16128" width="11.5" customWidth="1"/>
    <col min="16129" max="16129" width="10.33203125" customWidth="1"/>
    <col min="16130" max="16130" width="11.6640625" customWidth="1"/>
    <col min="16131" max="16131" width="11.1640625" customWidth="1"/>
    <col min="16132" max="16132" width="12.6640625" customWidth="1"/>
    <col min="16133" max="16133" width="11.33203125" customWidth="1"/>
    <col min="16134" max="16134" width="10.1640625" customWidth="1"/>
    <col min="16135" max="16135" width="20.1640625" customWidth="1"/>
    <col min="16136" max="16136" width="21.1640625" customWidth="1"/>
  </cols>
  <sheetData>
    <row r="1" spans="1:10" ht="21" customHeight="1">
      <c r="A1" s="1342" t="s">
        <v>424</v>
      </c>
      <c r="B1" s="1344"/>
      <c r="C1" s="200"/>
      <c r="D1" s="200"/>
      <c r="E1" s="200"/>
      <c r="F1" s="200"/>
      <c r="G1" s="200"/>
      <c r="H1" s="200"/>
    </row>
    <row r="2" spans="1:10" s="81" customFormat="1">
      <c r="A2" s="379"/>
      <c r="B2" s="1339" t="s">
        <v>370</v>
      </c>
      <c r="C2" s="1339"/>
      <c r="D2" s="1339"/>
      <c r="E2" s="1340" t="s">
        <v>622</v>
      </c>
      <c r="F2" s="1340"/>
      <c r="G2" s="1340"/>
      <c r="H2" s="1341" t="s">
        <v>623</v>
      </c>
      <c r="I2" s="1341"/>
      <c r="J2" s="1354" t="s">
        <v>631</v>
      </c>
    </row>
    <row r="3" spans="1:10" s="81" customFormat="1">
      <c r="A3" s="419" t="s">
        <v>426</v>
      </c>
      <c r="B3" s="437"/>
      <c r="C3" s="419"/>
      <c r="D3" s="419"/>
      <c r="E3" s="1340"/>
      <c r="F3" s="1340"/>
      <c r="G3" s="1340"/>
      <c r="H3" s="1341"/>
      <c r="I3" s="1341"/>
      <c r="J3" s="1354"/>
    </row>
    <row r="4" spans="1:10" s="81" customFormat="1">
      <c r="A4" s="419"/>
      <c r="B4" s="437"/>
      <c r="C4" s="419"/>
      <c r="D4" s="419"/>
      <c r="E4" s="1340"/>
      <c r="F4" s="1340"/>
      <c r="G4" s="1340"/>
      <c r="H4" s="1341"/>
      <c r="I4" s="1341"/>
      <c r="J4" s="1354"/>
    </row>
    <row r="5" spans="1:10" s="81" customFormat="1" ht="31.5">
      <c r="A5" s="1313" t="s">
        <v>1330</v>
      </c>
      <c r="B5" s="1313"/>
      <c r="C5" s="386"/>
      <c r="D5" s="275" t="s">
        <v>624</v>
      </c>
      <c r="E5" s="1238"/>
      <c r="F5" s="1238"/>
      <c r="G5" s="1238"/>
      <c r="H5" s="1341" t="s">
        <v>625</v>
      </c>
      <c r="I5" s="1341"/>
      <c r="J5" s="1354"/>
    </row>
    <row r="6" spans="1:10" ht="19.5" customHeight="1">
      <c r="A6" s="1313"/>
      <c r="B6" s="1313"/>
      <c r="C6" s="390"/>
      <c r="D6" s="237"/>
      <c r="E6" s="1240"/>
      <c r="F6" s="1537"/>
      <c r="G6" s="1538"/>
      <c r="H6" s="1341"/>
      <c r="I6" s="1341"/>
      <c r="J6" s="1354"/>
    </row>
    <row r="7" spans="1:10" ht="36.75" customHeight="1">
      <c r="A7" s="375" t="s">
        <v>653</v>
      </c>
      <c r="B7" s="177" t="s">
        <v>428</v>
      </c>
      <c r="C7" s="1311" t="s">
        <v>429</v>
      </c>
      <c r="D7" s="1317" t="s">
        <v>620</v>
      </c>
      <c r="E7" s="1318" t="s">
        <v>432</v>
      </c>
      <c r="F7" s="1316" t="s">
        <v>430</v>
      </c>
      <c r="G7" s="1317" t="s">
        <v>621</v>
      </c>
      <c r="H7" s="1328" t="s">
        <v>431</v>
      </c>
      <c r="I7" s="1328"/>
      <c r="J7" s="1355" t="s">
        <v>627</v>
      </c>
    </row>
    <row r="8" spans="1:10" ht="11.25">
      <c r="A8" s="367"/>
      <c r="B8" s="99"/>
      <c r="C8" s="1311"/>
      <c r="D8" s="1317"/>
      <c r="E8" s="1318"/>
      <c r="F8" s="1316"/>
      <c r="G8" s="1317"/>
      <c r="H8" s="1328"/>
      <c r="I8" s="1328"/>
      <c r="J8" s="1355"/>
    </row>
    <row r="9" spans="1:10">
      <c r="A9" s="272"/>
      <c r="B9" s="1274" t="s">
        <v>445</v>
      </c>
      <c r="C9" s="1275"/>
      <c r="D9" s="1275"/>
      <c r="E9" s="1275"/>
      <c r="F9" s="1275"/>
      <c r="G9" s="1275"/>
      <c r="H9" s="237"/>
      <c r="I9" s="194"/>
      <c r="J9" s="231"/>
    </row>
    <row r="10" spans="1:10" s="133" customFormat="1" ht="21.75">
      <c r="A10" s="57" t="s">
        <v>2472</v>
      </c>
      <c r="B10" s="174" t="s">
        <v>1448</v>
      </c>
      <c r="C10" s="177" t="s">
        <v>630</v>
      </c>
      <c r="D10" s="201">
        <v>270.5</v>
      </c>
      <c r="E10" s="201">
        <f>SUM(D10*1.1)</f>
        <v>297.55</v>
      </c>
      <c r="F10" s="201">
        <f>SUM(G10*1.1)</f>
        <v>412.50000000000006</v>
      </c>
      <c r="G10" s="201">
        <v>375</v>
      </c>
      <c r="H10" s="201"/>
      <c r="I10" s="154"/>
      <c r="J10" s="453" t="s">
        <v>661</v>
      </c>
    </row>
    <row r="11" spans="1:10" s="133" customFormat="1" ht="31.5">
      <c r="A11" s="57" t="s">
        <v>2473</v>
      </c>
      <c r="B11" s="374" t="s">
        <v>446</v>
      </c>
      <c r="C11" s="177" t="s">
        <v>630</v>
      </c>
      <c r="D11" s="201">
        <v>13</v>
      </c>
      <c r="E11" s="201">
        <f>SUM(D11*1.1)</f>
        <v>14.3</v>
      </c>
      <c r="F11" s="201" t="s">
        <v>277</v>
      </c>
      <c r="G11" s="201" t="s">
        <v>277</v>
      </c>
      <c r="H11" s="454"/>
      <c r="I11" s="154"/>
      <c r="J11" s="446" t="s">
        <v>658</v>
      </c>
    </row>
    <row r="12" spans="1:10" s="133" customFormat="1">
      <c r="A12" s="747"/>
      <c r="B12" s="1337" t="s">
        <v>447</v>
      </c>
      <c r="C12" s="1314"/>
      <c r="D12" s="1314"/>
      <c r="E12" s="1314"/>
      <c r="F12" s="1314"/>
      <c r="G12" s="1314"/>
      <c r="H12" s="374"/>
      <c r="I12" s="154"/>
      <c r="J12" s="231"/>
    </row>
    <row r="13" spans="1:10" s="203" customFormat="1" ht="21">
      <c r="A13" s="57" t="s">
        <v>2474</v>
      </c>
      <c r="B13" s="452" t="s">
        <v>448</v>
      </c>
      <c r="C13" s="411" t="s">
        <v>630</v>
      </c>
      <c r="D13" s="201">
        <v>10</v>
      </c>
      <c r="E13" s="260">
        <f t="shared" ref="E13:E15" si="0">SUM(D13*1.1)</f>
        <v>11</v>
      </c>
      <c r="F13" s="260">
        <f t="shared" ref="F13:F15" si="1">SUM(G13*1.1)</f>
        <v>110.00000000000001</v>
      </c>
      <c r="G13" s="260">
        <v>100</v>
      </c>
      <c r="H13" s="453" t="s">
        <v>451</v>
      </c>
      <c r="I13" s="231"/>
      <c r="J13" s="453" t="s">
        <v>661</v>
      </c>
    </row>
    <row r="14" spans="1:10" s="133" customFormat="1" ht="21">
      <c r="A14" s="57" t="s">
        <v>2475</v>
      </c>
      <c r="B14" s="96" t="s">
        <v>449</v>
      </c>
      <c r="C14" s="177" t="s">
        <v>630</v>
      </c>
      <c r="D14" s="201">
        <v>140</v>
      </c>
      <c r="E14" s="201">
        <f t="shared" si="0"/>
        <v>154</v>
      </c>
      <c r="F14" s="201">
        <f t="shared" si="1"/>
        <v>594</v>
      </c>
      <c r="G14" s="201">
        <v>540</v>
      </c>
      <c r="H14" s="215" t="s">
        <v>451</v>
      </c>
      <c r="I14" s="152" t="s">
        <v>1284</v>
      </c>
      <c r="J14" s="453" t="s">
        <v>661</v>
      </c>
    </row>
    <row r="15" spans="1:10" s="133" customFormat="1" ht="21">
      <c r="A15" s="57" t="s">
        <v>2476</v>
      </c>
      <c r="B15" s="96" t="s">
        <v>450</v>
      </c>
      <c r="C15" s="177" t="s">
        <v>630</v>
      </c>
      <c r="D15" s="201">
        <v>40</v>
      </c>
      <c r="E15" s="201">
        <f t="shared" si="0"/>
        <v>44</v>
      </c>
      <c r="F15" s="201">
        <f t="shared" si="1"/>
        <v>60.500000000000007</v>
      </c>
      <c r="G15" s="201">
        <v>55</v>
      </c>
      <c r="H15" s="152" t="s">
        <v>451</v>
      </c>
      <c r="I15" s="154"/>
      <c r="J15" s="453" t="s">
        <v>661</v>
      </c>
    </row>
    <row r="16" spans="1:10" s="133" customFormat="1" ht="11.25">
      <c r="A16" s="273"/>
      <c r="B16" s="357" t="s">
        <v>397</v>
      </c>
      <c r="C16" s="366"/>
      <c r="D16" s="366"/>
      <c r="E16" s="330"/>
      <c r="F16" s="154"/>
      <c r="G16" s="330"/>
      <c r="H16" s="374"/>
      <c r="I16" s="154"/>
      <c r="J16" s="231"/>
    </row>
    <row r="17" spans="1:10" s="133" customFormat="1" ht="73.5">
      <c r="A17" s="89" t="s">
        <v>277</v>
      </c>
      <c r="B17" s="160" t="s">
        <v>281</v>
      </c>
      <c r="C17" s="177" t="s">
        <v>630</v>
      </c>
      <c r="D17" s="201" t="s">
        <v>783</v>
      </c>
      <c r="E17" s="201" t="s">
        <v>783</v>
      </c>
      <c r="F17" s="201" t="s">
        <v>783</v>
      </c>
      <c r="G17" s="201" t="s">
        <v>783</v>
      </c>
      <c r="H17" s="215"/>
      <c r="I17" s="160" t="s">
        <v>375</v>
      </c>
      <c r="J17" s="456"/>
    </row>
    <row r="18" spans="1:10" s="133" customFormat="1" ht="31.5">
      <c r="A18" s="89" t="s">
        <v>277</v>
      </c>
      <c r="B18" s="160" t="s">
        <v>282</v>
      </c>
      <c r="C18" s="177" t="s">
        <v>630</v>
      </c>
      <c r="D18" s="201" t="s">
        <v>783</v>
      </c>
      <c r="E18" s="201" t="s">
        <v>783</v>
      </c>
      <c r="F18" s="201" t="s">
        <v>783</v>
      </c>
      <c r="G18" s="201" t="s">
        <v>783</v>
      </c>
      <c r="H18" s="215"/>
      <c r="I18" s="160" t="s">
        <v>283</v>
      </c>
      <c r="J18" s="446"/>
    </row>
    <row r="19" spans="1:10" s="133" customFormat="1" ht="21">
      <c r="A19" s="89" t="s">
        <v>2477</v>
      </c>
      <c r="B19" s="161" t="s">
        <v>1449</v>
      </c>
      <c r="C19" s="177" t="s">
        <v>630</v>
      </c>
      <c r="D19" s="201">
        <v>2.5</v>
      </c>
      <c r="E19" s="201">
        <f t="shared" ref="E19:E41" si="2">SUM(D19*1.1)</f>
        <v>2.75</v>
      </c>
      <c r="F19" s="201">
        <f t="shared" ref="F19:F43" si="3">SUM(G19*1.1)</f>
        <v>20.900000000000002</v>
      </c>
      <c r="G19" s="201">
        <v>19</v>
      </c>
      <c r="H19" s="161" t="s">
        <v>284</v>
      </c>
      <c r="I19" s="160" t="s">
        <v>376</v>
      </c>
      <c r="J19" s="446" t="s">
        <v>854</v>
      </c>
    </row>
    <row r="20" spans="1:10" s="133" customFormat="1" ht="21">
      <c r="A20" s="89" t="s">
        <v>2478</v>
      </c>
      <c r="B20" s="161" t="s">
        <v>1450</v>
      </c>
      <c r="C20" s="177" t="s">
        <v>630</v>
      </c>
      <c r="D20" s="201">
        <v>2.5</v>
      </c>
      <c r="E20" s="201">
        <f t="shared" si="2"/>
        <v>2.75</v>
      </c>
      <c r="F20" s="201">
        <f t="shared" si="3"/>
        <v>20.900000000000002</v>
      </c>
      <c r="G20" s="201">
        <v>19</v>
      </c>
      <c r="H20" s="161" t="s">
        <v>284</v>
      </c>
      <c r="I20" s="160" t="s">
        <v>376</v>
      </c>
      <c r="J20" s="446" t="s">
        <v>854</v>
      </c>
    </row>
    <row r="21" spans="1:10" s="133" customFormat="1" ht="31.5">
      <c r="A21" s="89" t="s">
        <v>277</v>
      </c>
      <c r="B21" s="160" t="s">
        <v>291</v>
      </c>
      <c r="C21" s="177" t="s">
        <v>630</v>
      </c>
      <c r="D21" s="201" t="s">
        <v>783</v>
      </c>
      <c r="E21" s="201" t="s">
        <v>783</v>
      </c>
      <c r="F21" s="201" t="s">
        <v>783</v>
      </c>
      <c r="G21" s="201" t="s">
        <v>783</v>
      </c>
      <c r="H21" s="160"/>
      <c r="I21" s="160" t="s">
        <v>380</v>
      </c>
      <c r="J21" s="446"/>
    </row>
    <row r="22" spans="1:10" s="133" customFormat="1" ht="31.5">
      <c r="A22" s="89" t="s">
        <v>277</v>
      </c>
      <c r="B22" s="161" t="s">
        <v>292</v>
      </c>
      <c r="C22" s="177" t="s">
        <v>630</v>
      </c>
      <c r="D22" s="201" t="s">
        <v>783</v>
      </c>
      <c r="E22" s="201" t="s">
        <v>783</v>
      </c>
      <c r="F22" s="201" t="s">
        <v>783</v>
      </c>
      <c r="G22" s="201" t="s">
        <v>783</v>
      </c>
      <c r="H22" s="161" t="s">
        <v>288</v>
      </c>
      <c r="I22" s="160" t="s">
        <v>412</v>
      </c>
      <c r="J22" s="446"/>
    </row>
    <row r="23" spans="1:10" s="133" customFormat="1" ht="21">
      <c r="A23" s="746" t="s">
        <v>2479</v>
      </c>
      <c r="B23" s="263" t="s">
        <v>294</v>
      </c>
      <c r="C23" s="177" t="s">
        <v>630</v>
      </c>
      <c r="D23" s="201" t="s">
        <v>783</v>
      </c>
      <c r="E23" s="201" t="s">
        <v>783</v>
      </c>
      <c r="F23" s="201" t="s">
        <v>783</v>
      </c>
      <c r="G23" s="201" t="s">
        <v>783</v>
      </c>
      <c r="H23" s="160" t="s">
        <v>289</v>
      </c>
      <c r="I23" s="160" t="s">
        <v>385</v>
      </c>
      <c r="J23" s="446"/>
    </row>
    <row r="24" spans="1:10" s="133" customFormat="1" ht="94.5">
      <c r="A24" s="89" t="s">
        <v>277</v>
      </c>
      <c r="B24" s="160" t="s">
        <v>1451</v>
      </c>
      <c r="C24" s="177" t="s">
        <v>630</v>
      </c>
      <c r="D24" s="201" t="s">
        <v>783</v>
      </c>
      <c r="E24" s="201" t="s">
        <v>783</v>
      </c>
      <c r="F24" s="201" t="s">
        <v>783</v>
      </c>
      <c r="G24" s="201" t="s">
        <v>783</v>
      </c>
      <c r="H24" s="160" t="s">
        <v>374</v>
      </c>
      <c r="I24" s="160" t="s">
        <v>389</v>
      </c>
      <c r="J24" s="446"/>
    </row>
    <row r="25" spans="1:10" s="133" customFormat="1">
      <c r="A25" s="175"/>
      <c r="B25" s="161" t="s">
        <v>302</v>
      </c>
      <c r="C25" s="177" t="s">
        <v>630</v>
      </c>
      <c r="D25" s="201" t="s">
        <v>783</v>
      </c>
      <c r="E25" s="201" t="s">
        <v>783</v>
      </c>
      <c r="F25" s="201" t="s">
        <v>783</v>
      </c>
      <c r="G25" s="201" t="s">
        <v>783</v>
      </c>
      <c r="H25" s="161" t="s">
        <v>284</v>
      </c>
      <c r="I25" s="160" t="s">
        <v>855</v>
      </c>
      <c r="J25" s="446"/>
    </row>
    <row r="26" spans="1:10" s="133" customFormat="1" ht="31.5">
      <c r="A26" s="774" t="s">
        <v>277</v>
      </c>
      <c r="B26" s="161" t="s">
        <v>1452</v>
      </c>
      <c r="C26" s="177" t="s">
        <v>630</v>
      </c>
      <c r="D26" s="201">
        <v>150</v>
      </c>
      <c r="E26" s="201">
        <f t="shared" si="2"/>
        <v>165</v>
      </c>
      <c r="F26" s="201">
        <f t="shared" si="3"/>
        <v>220.00000000000003</v>
      </c>
      <c r="G26" s="201">
        <v>200</v>
      </c>
      <c r="H26" s="161" t="s">
        <v>856</v>
      </c>
      <c r="I26" s="160"/>
      <c r="J26" s="446" t="s">
        <v>857</v>
      </c>
    </row>
    <row r="27" spans="1:10" s="133" customFormat="1" ht="21">
      <c r="A27" s="774" t="s">
        <v>277</v>
      </c>
      <c r="B27" s="161" t="s">
        <v>1453</v>
      </c>
      <c r="C27" s="177" t="s">
        <v>654</v>
      </c>
      <c r="D27" s="201">
        <v>20</v>
      </c>
      <c r="E27" s="201">
        <f t="shared" si="2"/>
        <v>22</v>
      </c>
      <c r="F27" s="201">
        <f t="shared" si="3"/>
        <v>220.00000000000003</v>
      </c>
      <c r="G27" s="201">
        <v>200</v>
      </c>
      <c r="H27" s="161" t="s">
        <v>858</v>
      </c>
      <c r="I27" s="160"/>
      <c r="J27" s="446"/>
    </row>
    <row r="28" spans="1:10" s="133" customFormat="1" ht="189">
      <c r="A28" s="89" t="s">
        <v>277</v>
      </c>
      <c r="B28" s="160" t="s">
        <v>610</v>
      </c>
      <c r="C28" s="177" t="s">
        <v>630</v>
      </c>
      <c r="D28" s="201" t="s">
        <v>783</v>
      </c>
      <c r="E28" s="201" t="s">
        <v>783</v>
      </c>
      <c r="F28" s="201" t="s">
        <v>783</v>
      </c>
      <c r="G28" s="201" t="s">
        <v>783</v>
      </c>
      <c r="H28" s="160" t="s">
        <v>305</v>
      </c>
      <c r="I28" s="160" t="s">
        <v>400</v>
      </c>
      <c r="J28" s="446"/>
    </row>
    <row r="29" spans="1:10" s="133" customFormat="1" ht="94.5">
      <c r="A29" s="89" t="s">
        <v>2480</v>
      </c>
      <c r="B29" s="161" t="s">
        <v>1454</v>
      </c>
      <c r="C29" s="177" t="s">
        <v>630</v>
      </c>
      <c r="D29" s="201" t="s">
        <v>783</v>
      </c>
      <c r="E29" s="201" t="s">
        <v>783</v>
      </c>
      <c r="F29" s="201" t="s">
        <v>783</v>
      </c>
      <c r="G29" s="201">
        <v>20</v>
      </c>
      <c r="H29" s="161" t="s">
        <v>767</v>
      </c>
      <c r="I29" s="160" t="s">
        <v>662</v>
      </c>
      <c r="J29" s="446" t="s">
        <v>663</v>
      </c>
    </row>
    <row r="30" spans="1:10" s="133" customFormat="1" ht="21">
      <c r="A30" s="89" t="s">
        <v>2481</v>
      </c>
      <c r="B30" s="161" t="s">
        <v>359</v>
      </c>
      <c r="C30" s="177" t="s">
        <v>630</v>
      </c>
      <c r="D30" s="201" t="s">
        <v>783</v>
      </c>
      <c r="E30" s="201" t="s">
        <v>783</v>
      </c>
      <c r="F30" s="201">
        <f>SUM(G30*1.1)</f>
        <v>6.6000000000000005</v>
      </c>
      <c r="G30" s="201">
        <v>6</v>
      </c>
      <c r="H30" s="161" t="s">
        <v>303</v>
      </c>
      <c r="I30" s="162"/>
      <c r="J30" s="446" t="s">
        <v>813</v>
      </c>
    </row>
    <row r="31" spans="1:10" s="133" customFormat="1" ht="31.5">
      <c r="A31" s="89" t="s">
        <v>2482</v>
      </c>
      <c r="B31" s="161" t="s">
        <v>361</v>
      </c>
      <c r="C31" s="177" t="s">
        <v>630</v>
      </c>
      <c r="D31" s="201" t="s">
        <v>783</v>
      </c>
      <c r="E31" s="201" t="s">
        <v>783</v>
      </c>
      <c r="F31" s="201">
        <f t="shared" ref="F31:F34" si="4">SUM(G31*1.1)</f>
        <v>7.7000000000000011</v>
      </c>
      <c r="G31" s="201">
        <v>7</v>
      </c>
      <c r="H31" s="161" t="s">
        <v>303</v>
      </c>
      <c r="I31" s="160"/>
      <c r="J31" s="446" t="s">
        <v>813</v>
      </c>
    </row>
    <row r="32" spans="1:10" s="133" customFormat="1" ht="31.5">
      <c r="A32" s="775" t="s">
        <v>2483</v>
      </c>
      <c r="B32" s="161" t="s">
        <v>362</v>
      </c>
      <c r="C32" s="177" t="s">
        <v>630</v>
      </c>
      <c r="D32" s="201" t="s">
        <v>783</v>
      </c>
      <c r="E32" s="201" t="s">
        <v>783</v>
      </c>
      <c r="F32" s="201">
        <f t="shared" si="4"/>
        <v>0.53900000000000003</v>
      </c>
      <c r="G32" s="201">
        <v>0.49</v>
      </c>
      <c r="H32" s="161" t="s">
        <v>288</v>
      </c>
      <c r="I32" s="160"/>
      <c r="J32" s="446"/>
    </row>
    <row r="33" spans="1:10" s="133" customFormat="1">
      <c r="A33" s="175"/>
      <c r="B33" s="160" t="s">
        <v>363</v>
      </c>
      <c r="C33" s="177" t="s">
        <v>630</v>
      </c>
      <c r="D33" s="201" t="s">
        <v>783</v>
      </c>
      <c r="E33" s="201" t="s">
        <v>783</v>
      </c>
      <c r="F33" s="201" t="s">
        <v>783</v>
      </c>
      <c r="G33" s="201" t="s">
        <v>783</v>
      </c>
      <c r="H33" s="160" t="s">
        <v>284</v>
      </c>
      <c r="I33" s="160"/>
      <c r="J33" s="446"/>
    </row>
    <row r="34" spans="1:10" s="133" customFormat="1" ht="42">
      <c r="A34" s="88" t="s">
        <v>2226</v>
      </c>
      <c r="B34" s="96" t="s">
        <v>307</v>
      </c>
      <c r="C34" s="177" t="s">
        <v>630</v>
      </c>
      <c r="D34" s="180" t="s">
        <v>277</v>
      </c>
      <c r="E34" s="201" t="s">
        <v>277</v>
      </c>
      <c r="F34" s="201">
        <f t="shared" si="4"/>
        <v>20.57</v>
      </c>
      <c r="G34" s="201">
        <v>18.7</v>
      </c>
      <c r="H34" s="161" t="s">
        <v>853</v>
      </c>
      <c r="I34" s="149" t="s">
        <v>826</v>
      </c>
      <c r="J34" s="446"/>
    </row>
    <row r="35" spans="1:10" s="133" customFormat="1" ht="42">
      <c r="A35" s="116" t="s">
        <v>2174</v>
      </c>
      <c r="B35" s="374" t="s">
        <v>1455</v>
      </c>
      <c r="C35" s="177" t="s">
        <v>630</v>
      </c>
      <c r="D35" s="201">
        <v>35</v>
      </c>
      <c r="E35" s="201">
        <f t="shared" si="2"/>
        <v>38.5</v>
      </c>
      <c r="F35" s="201">
        <f t="shared" si="3"/>
        <v>49.500000000000007</v>
      </c>
      <c r="G35" s="201">
        <v>45</v>
      </c>
      <c r="H35" s="161" t="s">
        <v>342</v>
      </c>
      <c r="I35" s="96" t="s">
        <v>337</v>
      </c>
      <c r="J35" s="231" t="s">
        <v>656</v>
      </c>
    </row>
    <row r="36" spans="1:10" s="133" customFormat="1" ht="73.5">
      <c r="A36" s="61" t="s">
        <v>2175</v>
      </c>
      <c r="B36" s="150" t="s">
        <v>1386</v>
      </c>
      <c r="C36" s="177" t="s">
        <v>630</v>
      </c>
      <c r="D36" s="201">
        <v>6.5</v>
      </c>
      <c r="E36" s="201">
        <f t="shared" si="2"/>
        <v>7.15</v>
      </c>
      <c r="F36" s="201">
        <f t="shared" si="3"/>
        <v>3.0250000000000004</v>
      </c>
      <c r="G36" s="201">
        <v>2.75</v>
      </c>
      <c r="H36" s="149" t="s">
        <v>353</v>
      </c>
      <c r="I36" s="148" t="s">
        <v>345</v>
      </c>
      <c r="J36" s="231" t="s">
        <v>656</v>
      </c>
    </row>
    <row r="37" spans="1:10" s="133" customFormat="1" ht="73.5">
      <c r="A37" s="61" t="s">
        <v>2176</v>
      </c>
      <c r="B37" s="150" t="s">
        <v>1387</v>
      </c>
      <c r="C37" s="177" t="s">
        <v>630</v>
      </c>
      <c r="D37" s="201">
        <v>5.5</v>
      </c>
      <c r="E37" s="201">
        <f t="shared" si="2"/>
        <v>6.0500000000000007</v>
      </c>
      <c r="F37" s="201">
        <f t="shared" si="3"/>
        <v>3.0250000000000004</v>
      </c>
      <c r="G37" s="201">
        <v>2.75</v>
      </c>
      <c r="H37" s="149" t="s">
        <v>353</v>
      </c>
      <c r="I37" s="148" t="s">
        <v>345</v>
      </c>
      <c r="J37" s="231" t="s">
        <v>656</v>
      </c>
    </row>
    <row r="38" spans="1:10" s="133" customFormat="1" ht="73.5">
      <c r="A38" s="61" t="s">
        <v>2177</v>
      </c>
      <c r="B38" s="150" t="s">
        <v>1388</v>
      </c>
      <c r="C38" s="177" t="s">
        <v>630</v>
      </c>
      <c r="D38" s="201">
        <v>4.5</v>
      </c>
      <c r="E38" s="201">
        <f t="shared" si="2"/>
        <v>4.95</v>
      </c>
      <c r="F38" s="201">
        <f t="shared" si="3"/>
        <v>3.0250000000000004</v>
      </c>
      <c r="G38" s="201">
        <v>2.75</v>
      </c>
      <c r="H38" s="149" t="s">
        <v>353</v>
      </c>
      <c r="I38" s="148" t="s">
        <v>345</v>
      </c>
      <c r="J38" s="231" t="s">
        <v>656</v>
      </c>
    </row>
    <row r="39" spans="1:10" s="133" customFormat="1" ht="73.5">
      <c r="A39" s="61" t="s">
        <v>2178</v>
      </c>
      <c r="B39" s="150" t="s">
        <v>1389</v>
      </c>
      <c r="C39" s="177" t="s">
        <v>630</v>
      </c>
      <c r="D39" s="201">
        <v>4</v>
      </c>
      <c r="E39" s="201">
        <f t="shared" si="2"/>
        <v>4.4000000000000004</v>
      </c>
      <c r="F39" s="201">
        <f t="shared" si="3"/>
        <v>3.0250000000000004</v>
      </c>
      <c r="G39" s="201">
        <v>2.75</v>
      </c>
      <c r="H39" s="149" t="s">
        <v>353</v>
      </c>
      <c r="I39" s="148" t="s">
        <v>345</v>
      </c>
      <c r="J39" s="231" t="s">
        <v>656</v>
      </c>
    </row>
    <row r="40" spans="1:10" s="133" customFormat="1" ht="73.5">
      <c r="A40" s="61" t="s">
        <v>2179</v>
      </c>
      <c r="B40" s="150" t="s">
        <v>1456</v>
      </c>
      <c r="C40" s="177" t="s">
        <v>630</v>
      </c>
      <c r="D40" s="201">
        <v>3</v>
      </c>
      <c r="E40" s="201">
        <f t="shared" si="2"/>
        <v>3.3000000000000003</v>
      </c>
      <c r="F40" s="201">
        <f t="shared" si="3"/>
        <v>3.0250000000000004</v>
      </c>
      <c r="G40" s="201">
        <v>2.75</v>
      </c>
      <c r="H40" s="149" t="s">
        <v>353</v>
      </c>
      <c r="I40" s="148" t="s">
        <v>345</v>
      </c>
      <c r="J40" s="231" t="s">
        <v>656</v>
      </c>
    </row>
    <row r="41" spans="1:10" s="133" customFormat="1" ht="73.5">
      <c r="A41" s="61" t="s">
        <v>2180</v>
      </c>
      <c r="B41" s="150" t="s">
        <v>1390</v>
      </c>
      <c r="C41" s="177" t="s">
        <v>630</v>
      </c>
      <c r="D41" s="201">
        <v>2.5</v>
      </c>
      <c r="E41" s="201">
        <f t="shared" si="2"/>
        <v>2.75</v>
      </c>
      <c r="F41" s="201">
        <f t="shared" si="3"/>
        <v>3.0250000000000004</v>
      </c>
      <c r="G41" s="201">
        <v>2.75</v>
      </c>
      <c r="H41" s="149" t="s">
        <v>353</v>
      </c>
      <c r="I41" s="148" t="s">
        <v>345</v>
      </c>
      <c r="J41" s="231" t="s">
        <v>656</v>
      </c>
    </row>
    <row r="42" spans="1:10" s="133" customFormat="1" ht="52.5">
      <c r="A42" s="61" t="s">
        <v>2181</v>
      </c>
      <c r="B42" s="96" t="s">
        <v>1457</v>
      </c>
      <c r="C42" s="177" t="s">
        <v>630</v>
      </c>
      <c r="D42" s="201" t="s">
        <v>277</v>
      </c>
      <c r="E42" s="165" t="s">
        <v>277</v>
      </c>
      <c r="F42" s="201">
        <f t="shared" si="3"/>
        <v>104.50000000000001</v>
      </c>
      <c r="G42" s="201">
        <v>95</v>
      </c>
      <c r="H42" s="149" t="s">
        <v>344</v>
      </c>
      <c r="I42" s="149" t="s">
        <v>346</v>
      </c>
      <c r="J42" s="231" t="s">
        <v>656</v>
      </c>
    </row>
    <row r="43" spans="1:10" s="133" customFormat="1" ht="52.5">
      <c r="A43" s="61" t="s">
        <v>2227</v>
      </c>
      <c r="B43" s="96" t="s">
        <v>1458</v>
      </c>
      <c r="C43" s="177" t="s">
        <v>630</v>
      </c>
      <c r="D43" s="201" t="s">
        <v>277</v>
      </c>
      <c r="E43" s="165" t="s">
        <v>277</v>
      </c>
      <c r="F43" s="201">
        <f t="shared" si="3"/>
        <v>214.50000000000003</v>
      </c>
      <c r="G43" s="201">
        <v>195</v>
      </c>
      <c r="H43" s="161" t="s">
        <v>343</v>
      </c>
      <c r="I43" s="96" t="s">
        <v>338</v>
      </c>
      <c r="J43" s="231" t="s">
        <v>656</v>
      </c>
    </row>
    <row r="44" spans="1:10" s="133" customFormat="1" ht="21.75">
      <c r="A44" s="61" t="s">
        <v>3064</v>
      </c>
      <c r="B44" s="798" t="s">
        <v>2715</v>
      </c>
      <c r="C44" s="889" t="s">
        <v>630</v>
      </c>
      <c r="D44" s="800">
        <v>21</v>
      </c>
      <c r="E44" s="358">
        <v>23.1</v>
      </c>
      <c r="F44" s="358">
        <v>286</v>
      </c>
      <c r="G44" s="800">
        <v>260</v>
      </c>
      <c r="H44" s="801" t="s">
        <v>290</v>
      </c>
      <c r="I44" s="802"/>
      <c r="J44" s="803" t="s">
        <v>2716</v>
      </c>
    </row>
    <row r="45" spans="1:10" s="133" customFormat="1">
      <c r="A45" s="170"/>
      <c r="B45" s="171"/>
      <c r="H45" s="193"/>
      <c r="J45" s="203"/>
    </row>
    <row r="46" spans="1:10" s="133" customFormat="1">
      <c r="A46" s="170"/>
      <c r="B46" s="171"/>
      <c r="H46" s="193"/>
      <c r="J46" s="203"/>
    </row>
    <row r="47" spans="1:10" s="133" customFormat="1">
      <c r="A47" s="172"/>
      <c r="B47" s="171"/>
      <c r="H47" s="193"/>
      <c r="J47" s="203"/>
    </row>
    <row r="48" spans="1:10" s="133" customFormat="1">
      <c r="A48" s="170"/>
      <c r="B48" s="171"/>
      <c r="H48" s="193"/>
      <c r="J48" s="203"/>
    </row>
    <row r="49" spans="1:10" s="133" customFormat="1">
      <c r="A49" s="170"/>
      <c r="H49" s="193"/>
      <c r="J49" s="203"/>
    </row>
    <row r="50" spans="1:10" s="133" customFormat="1">
      <c r="A50" s="172"/>
      <c r="H50" s="193"/>
      <c r="J50" s="203"/>
    </row>
    <row r="51" spans="1:10" s="133" customFormat="1">
      <c r="A51" s="172"/>
      <c r="H51" s="193"/>
      <c r="J51" s="203"/>
    </row>
    <row r="52" spans="1:10" s="133" customFormat="1">
      <c r="A52" s="172"/>
      <c r="H52" s="193"/>
      <c r="J52" s="203"/>
    </row>
    <row r="53" spans="1:10" s="133" customFormat="1">
      <c r="A53" s="172"/>
      <c r="H53" s="193"/>
      <c r="J53" s="203"/>
    </row>
    <row r="54" spans="1:10" s="133" customFormat="1">
      <c r="A54" s="172"/>
      <c r="H54" s="193"/>
      <c r="J54" s="203"/>
    </row>
    <row r="55" spans="1:10" s="133" customFormat="1">
      <c r="A55" s="172"/>
      <c r="H55" s="193"/>
      <c r="J55" s="203"/>
    </row>
    <row r="56" spans="1:10" s="133" customFormat="1">
      <c r="A56" s="172"/>
      <c r="H56" s="193"/>
      <c r="J56" s="203"/>
    </row>
    <row r="57" spans="1:10" s="133" customFormat="1">
      <c r="A57" s="172"/>
      <c r="H57" s="193"/>
      <c r="J57" s="203"/>
    </row>
    <row r="58" spans="1:10" s="133" customFormat="1">
      <c r="A58" s="172"/>
      <c r="H58" s="193"/>
      <c r="J58" s="203"/>
    </row>
    <row r="59" spans="1:10" s="133" customFormat="1">
      <c r="A59" s="172"/>
      <c r="H59" s="193"/>
      <c r="J59" s="203"/>
    </row>
    <row r="60" spans="1:10" s="133" customFormat="1">
      <c r="A60" s="172"/>
      <c r="H60" s="193"/>
      <c r="J60" s="203"/>
    </row>
    <row r="61" spans="1:10" s="133" customFormat="1">
      <c r="A61" s="172"/>
      <c r="H61" s="193"/>
      <c r="J61" s="203"/>
    </row>
    <row r="62" spans="1:10" s="133" customFormat="1">
      <c r="A62" s="172"/>
      <c r="H62" s="193"/>
      <c r="J62" s="203"/>
    </row>
    <row r="63" spans="1:10" s="133" customFormat="1">
      <c r="A63" s="172"/>
      <c r="H63" s="193"/>
      <c r="J63" s="203"/>
    </row>
    <row r="64" spans="1:10" s="133" customFormat="1">
      <c r="A64" s="172"/>
      <c r="H64" s="193"/>
      <c r="J64" s="203"/>
    </row>
    <row r="65" spans="1:10" s="133" customFormat="1">
      <c r="A65" s="172"/>
      <c r="H65" s="193"/>
      <c r="J65" s="203"/>
    </row>
    <row r="66" spans="1:10" s="133" customFormat="1">
      <c r="A66" s="172"/>
      <c r="H66" s="193"/>
      <c r="J66" s="203"/>
    </row>
    <row r="67" spans="1:10" s="133" customFormat="1">
      <c r="A67" s="172"/>
      <c r="H67" s="193"/>
      <c r="J67" s="203"/>
    </row>
    <row r="68" spans="1:10" s="133" customFormat="1">
      <c r="A68" s="172"/>
      <c r="H68" s="193"/>
      <c r="J68" s="203"/>
    </row>
    <row r="69" spans="1:10" s="133" customFormat="1">
      <c r="A69" s="172"/>
      <c r="H69" s="193"/>
      <c r="J69" s="203"/>
    </row>
    <row r="70" spans="1:10" s="133" customFormat="1">
      <c r="A70" s="172"/>
      <c r="H70" s="193"/>
      <c r="J70" s="203"/>
    </row>
    <row r="71" spans="1:10" s="133" customFormat="1">
      <c r="A71" s="172"/>
      <c r="H71" s="193"/>
      <c r="J71" s="203"/>
    </row>
    <row r="72" spans="1:10" s="133" customFormat="1">
      <c r="A72" s="172"/>
      <c r="H72" s="193"/>
      <c r="J72" s="203"/>
    </row>
    <row r="73" spans="1:10" s="133" customFormat="1">
      <c r="A73" s="172"/>
      <c r="H73" s="193"/>
      <c r="J73" s="203"/>
    </row>
    <row r="74" spans="1:10" s="133" customFormat="1">
      <c r="A74" s="172"/>
      <c r="H74" s="193"/>
      <c r="J74" s="203"/>
    </row>
    <row r="75" spans="1:10" s="133" customFormat="1">
      <c r="A75" s="172"/>
      <c r="H75" s="193"/>
      <c r="J75" s="203"/>
    </row>
    <row r="76" spans="1:10" s="133" customFormat="1">
      <c r="A76" s="172"/>
      <c r="H76" s="193"/>
      <c r="J76" s="203"/>
    </row>
    <row r="77" spans="1:10" s="133" customFormat="1">
      <c r="A77" s="172"/>
      <c r="H77" s="193"/>
      <c r="J77" s="203"/>
    </row>
    <row r="78" spans="1:10" s="133" customFormat="1">
      <c r="A78" s="172"/>
      <c r="H78" s="193"/>
      <c r="J78" s="203"/>
    </row>
    <row r="79" spans="1:10" s="133" customFormat="1">
      <c r="A79" s="172"/>
      <c r="H79" s="193"/>
      <c r="J79" s="203"/>
    </row>
    <row r="80" spans="1:10" s="133" customFormat="1">
      <c r="A80" s="172"/>
      <c r="H80" s="193"/>
      <c r="J80" s="203"/>
    </row>
    <row r="81" spans="1:10" s="133" customFormat="1">
      <c r="A81" s="172"/>
      <c r="H81" s="193"/>
      <c r="J81" s="203"/>
    </row>
    <row r="82" spans="1:10" s="133" customFormat="1">
      <c r="A82" s="172"/>
      <c r="H82" s="193"/>
      <c r="J82" s="203"/>
    </row>
    <row r="83" spans="1:10" s="133" customFormat="1">
      <c r="A83" s="172"/>
      <c r="H83" s="193"/>
      <c r="J83" s="203"/>
    </row>
    <row r="84" spans="1:10" s="133" customFormat="1">
      <c r="A84" s="172"/>
      <c r="H84" s="193"/>
      <c r="J84" s="203"/>
    </row>
    <row r="85" spans="1:10" s="133" customFormat="1">
      <c r="A85" s="172"/>
      <c r="H85" s="193"/>
      <c r="J85" s="203"/>
    </row>
    <row r="86" spans="1:10" s="133" customFormat="1">
      <c r="A86" s="172"/>
      <c r="H86" s="193"/>
      <c r="J86" s="203"/>
    </row>
    <row r="87" spans="1:10" s="133" customFormat="1">
      <c r="A87" s="172"/>
      <c r="H87" s="193"/>
      <c r="J87" s="203"/>
    </row>
    <row r="88" spans="1:10" s="133" customFormat="1">
      <c r="A88" s="172"/>
      <c r="H88" s="193"/>
      <c r="J88" s="203"/>
    </row>
    <row r="89" spans="1:10" s="133" customFormat="1">
      <c r="A89" s="172"/>
      <c r="H89" s="193"/>
      <c r="J89" s="203"/>
    </row>
    <row r="90" spans="1:10" s="133" customFormat="1">
      <c r="A90" s="172"/>
      <c r="H90" s="193"/>
      <c r="J90" s="203"/>
    </row>
    <row r="91" spans="1:10" s="133" customFormat="1">
      <c r="A91" s="172"/>
      <c r="H91" s="193"/>
      <c r="J91" s="203"/>
    </row>
    <row r="92" spans="1:10" s="133" customFormat="1">
      <c r="H92" s="193"/>
      <c r="J92" s="203"/>
    </row>
    <row r="93" spans="1:10" s="133" customFormat="1">
      <c r="H93" s="193"/>
      <c r="J93" s="203"/>
    </row>
    <row r="94" spans="1:10" s="133" customFormat="1">
      <c r="H94" s="193"/>
      <c r="J94" s="203"/>
    </row>
    <row r="95" spans="1:10" s="133" customFormat="1">
      <c r="H95" s="193"/>
      <c r="J95" s="203"/>
    </row>
    <row r="96" spans="1:10" s="133" customFormat="1">
      <c r="H96" s="193"/>
      <c r="J96" s="203"/>
    </row>
    <row r="97" spans="1:10" s="133" customFormat="1">
      <c r="H97" s="193"/>
      <c r="J97" s="203"/>
    </row>
    <row r="98" spans="1:10" s="133" customFormat="1">
      <c r="H98" s="193"/>
      <c r="J98" s="203"/>
    </row>
    <row r="99" spans="1:10" s="133" customFormat="1">
      <c r="H99" s="193"/>
      <c r="J99" s="203"/>
    </row>
    <row r="100" spans="1:10" s="133" customFormat="1">
      <c r="H100" s="193"/>
      <c r="J100" s="203"/>
    </row>
    <row r="101" spans="1:10" s="133" customFormat="1">
      <c r="H101" s="193"/>
      <c r="J101" s="203"/>
    </row>
    <row r="102" spans="1:10" s="133" customFormat="1">
      <c r="H102" s="193"/>
      <c r="J102" s="203"/>
    </row>
    <row r="103" spans="1:10" s="133" customFormat="1">
      <c r="H103" s="193"/>
      <c r="J103" s="203"/>
    </row>
    <row r="104" spans="1:10" s="8" customFormat="1">
      <c r="A104" s="133"/>
      <c r="B104" s="133"/>
      <c r="C104" s="133"/>
      <c r="D104" s="133"/>
      <c r="E104" s="133"/>
      <c r="F104" s="133"/>
      <c r="G104" s="133"/>
      <c r="H104" s="193"/>
      <c r="I104" s="133"/>
      <c r="J104" s="203"/>
    </row>
    <row r="105" spans="1:10" s="8" customFormat="1">
      <c r="A105" s="133"/>
      <c r="B105" s="133"/>
      <c r="C105" s="133"/>
      <c r="D105" s="133"/>
      <c r="E105" s="133"/>
      <c r="F105" s="133"/>
      <c r="G105" s="133"/>
      <c r="H105" s="193"/>
      <c r="I105" s="133"/>
      <c r="J105" s="203"/>
    </row>
    <row r="106" spans="1:10" s="8" customFormat="1">
      <c r="A106" s="133"/>
      <c r="B106" s="133"/>
      <c r="C106" s="133"/>
      <c r="D106" s="133"/>
      <c r="E106" s="133"/>
      <c r="F106" s="133"/>
      <c r="G106" s="133"/>
      <c r="H106" s="193"/>
      <c r="I106" s="133"/>
      <c r="J106" s="203"/>
    </row>
    <row r="107" spans="1:10" s="8" customFormat="1">
      <c r="A107" s="133"/>
      <c r="B107" s="133"/>
      <c r="C107" s="133"/>
      <c r="D107" s="133"/>
      <c r="E107" s="133"/>
      <c r="F107" s="133"/>
      <c r="G107" s="133"/>
      <c r="H107" s="193"/>
      <c r="I107" s="133"/>
      <c r="J107" s="203"/>
    </row>
    <row r="108" spans="1:10" s="8" customFormat="1">
      <c r="A108" s="133"/>
      <c r="B108" s="133"/>
      <c r="C108" s="133"/>
      <c r="D108" s="133"/>
      <c r="E108" s="133"/>
      <c r="F108" s="133"/>
      <c r="G108" s="133"/>
      <c r="H108" s="193"/>
      <c r="I108" s="133"/>
      <c r="J108" s="203"/>
    </row>
    <row r="109" spans="1:10" s="8" customFormat="1">
      <c r="A109" s="133"/>
      <c r="B109" s="133"/>
      <c r="C109" s="133"/>
      <c r="D109" s="133"/>
      <c r="E109" s="133"/>
      <c r="F109" s="133"/>
      <c r="G109" s="133"/>
      <c r="H109" s="193"/>
      <c r="I109" s="133"/>
      <c r="J109" s="203"/>
    </row>
  </sheetData>
  <mergeCells count="17">
    <mergeCell ref="A1:B1"/>
    <mergeCell ref="B9:G9"/>
    <mergeCell ref="B12:G12"/>
    <mergeCell ref="C7:C8"/>
    <mergeCell ref="D7:D8"/>
    <mergeCell ref="E7:E8"/>
    <mergeCell ref="F7:F8"/>
    <mergeCell ref="B2:D2"/>
    <mergeCell ref="A5:B6"/>
    <mergeCell ref="E2:G4"/>
    <mergeCell ref="H2:I4"/>
    <mergeCell ref="G7:G8"/>
    <mergeCell ref="J2:J6"/>
    <mergeCell ref="H5:I6"/>
    <mergeCell ref="F6:G6"/>
    <mergeCell ref="H7:I8"/>
    <mergeCell ref="J7:J8"/>
  </mergeCells>
  <pageMargins left="0.75" right="0.75" top="1" bottom="1" header="0.5" footer="0.5"/>
  <pageSetup scale="76" fitToHeight="0" orientation="landscape" r:id="rId1"/>
  <headerFooter>
    <oddHeader>&amp;L&amp;F&amp;C&amp;A&amp;R&amp;G</oddHeader>
    <oddFooter>&amp;C&amp;"Tahoma,Italic"Use or disclosure of the data on this page or screen is subject to the restrictions on the title page or opening view screen of this proposal document or file.&amp;R&amp;P of &amp;N</oddFooter>
  </headerFooter>
  <ignoredErrors>
    <ignoredError sqref="B12:E12 B10:C11 F19:F20 G33 B13:C14 E13:E14 F21:G25 F28:G28 F26:F27 F29:F43 F12:G18 E10:F11 B15:E43" unlockedFormula="1"/>
  </ignoredErrors>
  <legacyDrawingHF r:id="rId2"/>
</worksheet>
</file>

<file path=xl/worksheets/sheet13.xml><?xml version="1.0" encoding="utf-8"?>
<worksheet xmlns="http://schemas.openxmlformats.org/spreadsheetml/2006/main" xmlns:r="http://schemas.openxmlformats.org/officeDocument/2006/relationships">
  <sheetPr codeName="Sheet5" enableFormatConditionsCalculation="0">
    <tabColor theme="3" tint="0.79998168889431442"/>
    <pageSetUpPr fitToPage="1"/>
  </sheetPr>
  <dimension ref="A1:L112"/>
  <sheetViews>
    <sheetView zoomScaleNormal="100" zoomScaleSheetLayoutView="100" workbookViewId="0">
      <selection activeCell="A5" sqref="A5:B6"/>
    </sheetView>
  </sheetViews>
  <sheetFormatPr defaultColWidth="9.1640625" defaultRowHeight="10.5"/>
  <cols>
    <col min="1" max="1" width="17.33203125" style="143" customWidth="1"/>
    <col min="2" max="2" width="23.83203125" style="143" customWidth="1"/>
    <col min="3" max="3" width="16.6640625" style="143" customWidth="1"/>
    <col min="4" max="4" width="11.5" style="133" hidden="1" customWidth="1"/>
    <col min="5" max="5" width="10.33203125" style="203" customWidth="1"/>
    <col min="6" max="6" width="11.1640625" style="203" customWidth="1"/>
    <col min="7" max="7" width="11.83203125" style="133" hidden="1" customWidth="1"/>
    <col min="8" max="8" width="11.83203125" style="143" customWidth="1"/>
    <col min="9" max="9" width="21.6640625" style="143" customWidth="1"/>
    <col min="10" max="10" width="30.1640625" style="143" customWidth="1"/>
    <col min="11" max="16384" width="9.1640625" style="143"/>
  </cols>
  <sheetData>
    <row r="1" spans="1:11" ht="15" customHeight="1">
      <c r="A1" s="1342" t="s">
        <v>424</v>
      </c>
      <c r="B1" s="1344"/>
      <c r="C1" s="200"/>
      <c r="D1" s="352"/>
      <c r="E1" s="259"/>
      <c r="F1" s="259"/>
      <c r="G1" s="352"/>
      <c r="H1" s="200"/>
      <c r="I1" s="200"/>
      <c r="J1" s="200"/>
      <c r="K1" s="133"/>
    </row>
    <row r="2" spans="1:11" s="81" customFormat="1" ht="11.25" customHeight="1">
      <c r="A2" s="69"/>
      <c r="B2" s="1265" t="s">
        <v>370</v>
      </c>
      <c r="C2" s="1266"/>
      <c r="D2" s="1267"/>
      <c r="E2" s="1248" t="s">
        <v>622</v>
      </c>
      <c r="F2" s="1249"/>
      <c r="G2" s="1249"/>
      <c r="H2" s="1254" t="s">
        <v>623</v>
      </c>
      <c r="I2" s="1255"/>
      <c r="J2" s="1260" t="s">
        <v>631</v>
      </c>
      <c r="K2" s="138"/>
    </row>
    <row r="3" spans="1:11" s="81" customFormat="1" ht="10.5" customHeight="1">
      <c r="A3" s="102" t="s">
        <v>426</v>
      </c>
      <c r="B3" s="437"/>
      <c r="C3" s="419"/>
      <c r="D3" s="457"/>
      <c r="E3" s="1250"/>
      <c r="F3" s="1251"/>
      <c r="G3" s="1251"/>
      <c r="H3" s="1256"/>
      <c r="I3" s="1257"/>
      <c r="J3" s="1261"/>
      <c r="K3" s="138"/>
    </row>
    <row r="4" spans="1:11" s="81" customFormat="1" ht="10.5" customHeight="1">
      <c r="A4" s="102"/>
      <c r="B4" s="437"/>
      <c r="C4" s="419"/>
      <c r="D4" s="457"/>
      <c r="E4" s="1252"/>
      <c r="F4" s="1253"/>
      <c r="G4" s="1253"/>
      <c r="H4" s="1258"/>
      <c r="I4" s="1259"/>
      <c r="J4" s="1261"/>
      <c r="K4" s="138"/>
    </row>
    <row r="5" spans="1:11" s="81" customFormat="1" ht="12" customHeight="1">
      <c r="A5" s="1358" t="s">
        <v>633</v>
      </c>
      <c r="B5" s="1359"/>
      <c r="C5" s="386"/>
      <c r="D5" s="267" t="s">
        <v>624</v>
      </c>
      <c r="E5" s="1238"/>
      <c r="F5" s="1238"/>
      <c r="G5" s="1238"/>
      <c r="H5" s="1254" t="s">
        <v>625</v>
      </c>
      <c r="I5" s="1255"/>
      <c r="J5" s="1261"/>
      <c r="K5" s="138"/>
    </row>
    <row r="6" spans="1:11" customFormat="1" ht="69.75" customHeight="1">
      <c r="A6" s="1360"/>
      <c r="B6" s="1361"/>
      <c r="C6" s="390"/>
      <c r="D6" s="152"/>
      <c r="E6" s="1240"/>
      <c r="F6" s="1537"/>
      <c r="G6" s="1538"/>
      <c r="H6" s="1258"/>
      <c r="I6" s="1259"/>
      <c r="J6" s="1262"/>
      <c r="K6" s="8"/>
    </row>
    <row r="7" spans="1:11" customFormat="1" ht="21" customHeight="1">
      <c r="A7" s="331" t="s">
        <v>653</v>
      </c>
      <c r="B7" s="177" t="s">
        <v>428</v>
      </c>
      <c r="C7" s="1276" t="s">
        <v>429</v>
      </c>
      <c r="D7" s="1356" t="s">
        <v>620</v>
      </c>
      <c r="E7" s="1280" t="s">
        <v>432</v>
      </c>
      <c r="F7" s="1282" t="s">
        <v>430</v>
      </c>
      <c r="G7" s="1356" t="s">
        <v>621</v>
      </c>
      <c r="H7" s="1268" t="s">
        <v>431</v>
      </c>
      <c r="I7" s="1269"/>
      <c r="J7" s="1272" t="s">
        <v>627</v>
      </c>
      <c r="K7" s="8"/>
    </row>
    <row r="8" spans="1:11" customFormat="1" ht="21" customHeight="1">
      <c r="A8" s="326"/>
      <c r="B8" s="99"/>
      <c r="C8" s="1277"/>
      <c r="D8" s="1357"/>
      <c r="E8" s="1281"/>
      <c r="F8" s="1283"/>
      <c r="G8" s="1357"/>
      <c r="H8" s="1270"/>
      <c r="I8" s="1271"/>
      <c r="J8" s="1273"/>
      <c r="K8" s="8"/>
    </row>
    <row r="9" spans="1:11">
      <c r="A9" s="272"/>
      <c r="B9" s="1274" t="s">
        <v>445</v>
      </c>
      <c r="C9" s="1275"/>
      <c r="D9" s="1275"/>
      <c r="E9" s="1275"/>
      <c r="F9" s="1275"/>
      <c r="G9" s="1275"/>
      <c r="H9" s="367"/>
      <c r="I9" s="201"/>
      <c r="J9" s="237"/>
      <c r="K9" s="132"/>
    </row>
    <row r="10" spans="1:11" s="133" customFormat="1" ht="21.75">
      <c r="A10" s="135" t="s">
        <v>1753</v>
      </c>
      <c r="B10" s="174" t="s">
        <v>1448</v>
      </c>
      <c r="C10" s="177" t="s">
        <v>628</v>
      </c>
      <c r="D10" s="201">
        <v>270.5</v>
      </c>
      <c r="E10" s="201">
        <f>SUM(D10*1.1)</f>
        <v>297.55</v>
      </c>
      <c r="F10" s="201">
        <v>255</v>
      </c>
      <c r="G10" s="201">
        <f t="shared" ref="G10" si="0">(F10-(F10*10%))</f>
        <v>229.5</v>
      </c>
      <c r="H10" s="215"/>
      <c r="I10" s="201"/>
      <c r="J10" s="202" t="s">
        <v>673</v>
      </c>
      <c r="K10" s="132"/>
    </row>
    <row r="11" spans="1:11" s="133" customFormat="1" ht="31.5">
      <c r="A11" s="135" t="s">
        <v>1754</v>
      </c>
      <c r="B11" s="374" t="s">
        <v>446</v>
      </c>
      <c r="C11" s="177" t="s">
        <v>628</v>
      </c>
      <c r="D11" s="201">
        <v>13</v>
      </c>
      <c r="E11" s="201">
        <f>SUM(D11*1.1)</f>
        <v>14.3</v>
      </c>
      <c r="F11" s="260" t="s">
        <v>277</v>
      </c>
      <c r="G11" s="201" t="s">
        <v>277</v>
      </c>
      <c r="H11" s="215"/>
      <c r="I11" s="201"/>
      <c r="J11" s="374" t="s">
        <v>777</v>
      </c>
      <c r="K11" s="132"/>
    </row>
    <row r="12" spans="1:11" s="133" customFormat="1">
      <c r="A12" s="175"/>
      <c r="B12" s="1307" t="s">
        <v>447</v>
      </c>
      <c r="C12" s="1308"/>
      <c r="D12" s="1308"/>
      <c r="E12" s="1308"/>
      <c r="F12" s="1308"/>
      <c r="G12" s="1308"/>
      <c r="H12" s="215"/>
      <c r="I12" s="152"/>
      <c r="J12" s="154"/>
      <c r="K12" s="820"/>
    </row>
    <row r="13" spans="1:11" s="203" customFormat="1" ht="24" customHeight="1">
      <c r="A13" s="135" t="s">
        <v>1756</v>
      </c>
      <c r="B13" s="452" t="s">
        <v>448</v>
      </c>
      <c r="C13" s="411" t="s">
        <v>628</v>
      </c>
      <c r="D13" s="201">
        <v>50</v>
      </c>
      <c r="E13" s="260">
        <f t="shared" ref="E13:E15" si="1">SUM(D13*1.1)</f>
        <v>55.000000000000007</v>
      </c>
      <c r="F13" s="201">
        <v>51</v>
      </c>
      <c r="G13" s="201">
        <f>(F13-(F13*10%))</f>
        <v>45.9</v>
      </c>
      <c r="H13" s="455"/>
      <c r="I13" s="453" t="s">
        <v>451</v>
      </c>
      <c r="J13" s="446" t="s">
        <v>674</v>
      </c>
      <c r="K13" s="132"/>
    </row>
    <row r="14" spans="1:11" s="133" customFormat="1" ht="21">
      <c r="A14" s="135" t="s">
        <v>1755</v>
      </c>
      <c r="B14" s="96" t="s">
        <v>449</v>
      </c>
      <c r="C14" s="177" t="s">
        <v>628</v>
      </c>
      <c r="D14" s="201">
        <v>60</v>
      </c>
      <c r="E14" s="201">
        <f t="shared" si="1"/>
        <v>66</v>
      </c>
      <c r="F14" s="201">
        <v>167.28</v>
      </c>
      <c r="G14" s="201">
        <f>(F14-(F14*10%))</f>
        <v>150.55199999999999</v>
      </c>
      <c r="H14" s="215"/>
      <c r="I14" s="152" t="s">
        <v>451</v>
      </c>
      <c r="J14" s="374" t="s">
        <v>674</v>
      </c>
      <c r="K14" s="132"/>
    </row>
    <row r="15" spans="1:11" s="133" customFormat="1" ht="21">
      <c r="A15" s="57" t="s">
        <v>1757</v>
      </c>
      <c r="B15" s="96" t="s">
        <v>450</v>
      </c>
      <c r="C15" s="177" t="s">
        <v>628</v>
      </c>
      <c r="D15" s="201">
        <v>40</v>
      </c>
      <c r="E15" s="201">
        <f t="shared" si="1"/>
        <v>44</v>
      </c>
      <c r="F15" s="201">
        <v>7.65</v>
      </c>
      <c r="G15" s="201">
        <f>(F15-(F15*10%))</f>
        <v>6.8849999999999998</v>
      </c>
      <c r="H15" s="261"/>
      <c r="I15" s="152" t="s">
        <v>451</v>
      </c>
      <c r="J15" s="374" t="s">
        <v>674</v>
      </c>
      <c r="K15" s="132"/>
    </row>
    <row r="16" spans="1:11" s="133" customFormat="1" ht="11.25">
      <c r="A16" s="273"/>
      <c r="B16" s="252" t="s">
        <v>397</v>
      </c>
      <c r="C16" s="366"/>
      <c r="D16" s="330"/>
      <c r="E16" s="266"/>
      <c r="F16" s="266"/>
      <c r="G16" s="330"/>
      <c r="H16" s="262"/>
      <c r="I16" s="330"/>
      <c r="J16" s="154"/>
      <c r="K16" s="132"/>
    </row>
    <row r="17" spans="1:11" s="133" customFormat="1" ht="73.5">
      <c r="A17" s="89" t="s">
        <v>277</v>
      </c>
      <c r="B17" s="160" t="s">
        <v>281</v>
      </c>
      <c r="C17" s="177" t="s">
        <v>628</v>
      </c>
      <c r="D17" s="201" t="s">
        <v>783</v>
      </c>
      <c r="E17" s="201" t="s">
        <v>783</v>
      </c>
      <c r="F17" s="201" t="s">
        <v>783</v>
      </c>
      <c r="G17" s="201" t="s">
        <v>783</v>
      </c>
      <c r="H17" s="215"/>
      <c r="I17" s="160" t="s">
        <v>375</v>
      </c>
      <c r="J17" s="154"/>
      <c r="K17" s="132"/>
    </row>
    <row r="18" spans="1:11" s="133" customFormat="1" ht="21">
      <c r="A18" s="89" t="s">
        <v>277</v>
      </c>
      <c r="B18" s="160" t="s">
        <v>282</v>
      </c>
      <c r="C18" s="177" t="s">
        <v>628</v>
      </c>
      <c r="D18" s="201" t="s">
        <v>783</v>
      </c>
      <c r="E18" s="201" t="s">
        <v>783</v>
      </c>
      <c r="F18" s="201" t="s">
        <v>783</v>
      </c>
      <c r="G18" s="201" t="s">
        <v>783</v>
      </c>
      <c r="H18" s="215"/>
      <c r="I18" s="160" t="s">
        <v>283</v>
      </c>
      <c r="J18" s="154"/>
      <c r="K18" s="132"/>
    </row>
    <row r="19" spans="1:11" s="133" customFormat="1" ht="31.5">
      <c r="A19" s="89" t="s">
        <v>1758</v>
      </c>
      <c r="B19" s="161" t="s">
        <v>666</v>
      </c>
      <c r="C19" s="177" t="s">
        <v>628</v>
      </c>
      <c r="D19" s="201">
        <v>5</v>
      </c>
      <c r="E19" s="201">
        <f t="shared" ref="E19:E44" si="2">SUM(D19*1.1)</f>
        <v>5.5</v>
      </c>
      <c r="F19" s="201">
        <v>9.69</v>
      </c>
      <c r="G19" s="201">
        <f>(F19-(F19*10%))</f>
        <v>8.7210000000000001</v>
      </c>
      <c r="H19" s="161" t="s">
        <v>284</v>
      </c>
      <c r="I19" s="160" t="s">
        <v>376</v>
      </c>
      <c r="J19" s="374" t="s">
        <v>675</v>
      </c>
      <c r="K19" s="132"/>
    </row>
    <row r="20" spans="1:11" s="133" customFormat="1" ht="21">
      <c r="A20" s="89" t="s">
        <v>1759</v>
      </c>
      <c r="B20" s="161" t="s">
        <v>667</v>
      </c>
      <c r="C20" s="177" t="s">
        <v>628</v>
      </c>
      <c r="D20" s="201">
        <v>4.1100000000000003</v>
      </c>
      <c r="E20" s="201">
        <f t="shared" si="2"/>
        <v>4.5210000000000008</v>
      </c>
      <c r="F20" s="201">
        <v>9.69</v>
      </c>
      <c r="G20" s="201">
        <f>(F20-(F20*10%))</f>
        <v>8.7210000000000001</v>
      </c>
      <c r="H20" s="161" t="s">
        <v>284</v>
      </c>
      <c r="I20" s="160" t="s">
        <v>376</v>
      </c>
      <c r="J20" s="374" t="s">
        <v>676</v>
      </c>
      <c r="K20" s="132"/>
    </row>
    <row r="21" spans="1:11" s="133" customFormat="1" ht="31.5">
      <c r="A21" s="89" t="s">
        <v>277</v>
      </c>
      <c r="B21" s="160" t="s">
        <v>291</v>
      </c>
      <c r="C21" s="177" t="s">
        <v>628</v>
      </c>
      <c r="D21" s="201" t="s">
        <v>783</v>
      </c>
      <c r="E21" s="201" t="s">
        <v>783</v>
      </c>
      <c r="F21" s="201" t="s">
        <v>783</v>
      </c>
      <c r="G21" s="201" t="s">
        <v>783</v>
      </c>
      <c r="H21" s="160"/>
      <c r="I21" s="160" t="s">
        <v>380</v>
      </c>
      <c r="J21" s="154"/>
      <c r="K21" s="132"/>
    </row>
    <row r="22" spans="1:11" s="133" customFormat="1" ht="31.5">
      <c r="A22" s="89" t="s">
        <v>277</v>
      </c>
      <c r="B22" s="161" t="s">
        <v>292</v>
      </c>
      <c r="C22" s="177" t="s">
        <v>628</v>
      </c>
      <c r="D22" s="201" t="s">
        <v>783</v>
      </c>
      <c r="E22" s="201" t="s">
        <v>783</v>
      </c>
      <c r="F22" s="201" t="s">
        <v>783</v>
      </c>
      <c r="G22" s="201" t="s">
        <v>783</v>
      </c>
      <c r="H22" s="161" t="s">
        <v>288</v>
      </c>
      <c r="I22" s="160" t="s">
        <v>412</v>
      </c>
      <c r="J22" s="154"/>
      <c r="K22" s="132"/>
    </row>
    <row r="23" spans="1:11" s="133" customFormat="1" ht="21">
      <c r="A23" s="89" t="s">
        <v>1768</v>
      </c>
      <c r="B23" s="263" t="s">
        <v>294</v>
      </c>
      <c r="C23" s="177" t="s">
        <v>628</v>
      </c>
      <c r="D23" s="201" t="s">
        <v>783</v>
      </c>
      <c r="E23" s="201" t="s">
        <v>783</v>
      </c>
      <c r="F23" s="201" t="s">
        <v>783</v>
      </c>
      <c r="G23" s="201" t="s">
        <v>783</v>
      </c>
      <c r="H23" s="160" t="s">
        <v>289</v>
      </c>
      <c r="I23" s="160" t="s">
        <v>385</v>
      </c>
      <c r="J23" s="154"/>
      <c r="K23" s="132"/>
    </row>
    <row r="24" spans="1:11" s="133" customFormat="1" ht="73.5">
      <c r="A24" s="745" t="s">
        <v>1760</v>
      </c>
      <c r="B24" s="160" t="s">
        <v>668</v>
      </c>
      <c r="C24" s="177" t="s">
        <v>628</v>
      </c>
      <c r="D24" s="201" t="s">
        <v>783</v>
      </c>
      <c r="E24" s="201" t="s">
        <v>783</v>
      </c>
      <c r="F24" s="201" t="s">
        <v>783</v>
      </c>
      <c r="G24" s="201" t="s">
        <v>783</v>
      </c>
      <c r="H24" s="160" t="s">
        <v>374</v>
      </c>
      <c r="I24" s="160" t="s">
        <v>389</v>
      </c>
      <c r="J24" s="154"/>
      <c r="K24" s="132"/>
    </row>
    <row r="25" spans="1:11" s="133" customFormat="1" ht="31.5">
      <c r="A25" s="746" t="s">
        <v>1761</v>
      </c>
      <c r="B25" s="161" t="s">
        <v>300</v>
      </c>
      <c r="C25" s="177" t="s">
        <v>628</v>
      </c>
      <c r="D25" s="201" t="s">
        <v>539</v>
      </c>
      <c r="E25" s="201" t="s">
        <v>539</v>
      </c>
      <c r="F25" s="201" t="s">
        <v>539</v>
      </c>
      <c r="G25" s="201" t="s">
        <v>539</v>
      </c>
      <c r="H25" s="161" t="s">
        <v>426</v>
      </c>
      <c r="I25" s="160" t="s">
        <v>1253</v>
      </c>
      <c r="J25" s="154"/>
      <c r="K25" s="132"/>
    </row>
    <row r="26" spans="1:11" s="133" customFormat="1" ht="21">
      <c r="A26" s="89" t="s">
        <v>1762</v>
      </c>
      <c r="B26" s="161" t="s">
        <v>302</v>
      </c>
      <c r="C26" s="177" t="s">
        <v>628</v>
      </c>
      <c r="D26" s="201" t="s">
        <v>277</v>
      </c>
      <c r="E26" s="201" t="s">
        <v>277</v>
      </c>
      <c r="F26" s="201">
        <f t="shared" ref="F26:F33" si="3">SUM(G26*1.1)</f>
        <v>1.375</v>
      </c>
      <c r="G26" s="201">
        <v>1.25</v>
      </c>
      <c r="H26" s="161" t="s">
        <v>303</v>
      </c>
      <c r="I26" s="160" t="s">
        <v>360</v>
      </c>
      <c r="J26" s="374" t="s">
        <v>669</v>
      </c>
      <c r="K26" s="132"/>
    </row>
    <row r="27" spans="1:11" s="133" customFormat="1" ht="31.5">
      <c r="A27" s="89" t="s">
        <v>277</v>
      </c>
      <c r="B27" s="74" t="s">
        <v>1460</v>
      </c>
      <c r="C27" s="177" t="s">
        <v>628</v>
      </c>
      <c r="D27" s="201">
        <v>150</v>
      </c>
      <c r="E27" s="201">
        <f t="shared" si="2"/>
        <v>165</v>
      </c>
      <c r="F27" s="201">
        <f t="shared" si="3"/>
        <v>220.00000000000003</v>
      </c>
      <c r="G27" s="201">
        <v>200</v>
      </c>
      <c r="H27" s="161" t="s">
        <v>856</v>
      </c>
      <c r="I27" s="160"/>
      <c r="J27" s="374" t="s">
        <v>859</v>
      </c>
      <c r="K27" s="132"/>
    </row>
    <row r="28" spans="1:11" s="133" customFormat="1" ht="21">
      <c r="A28" s="89" t="s">
        <v>277</v>
      </c>
      <c r="B28" s="74" t="s">
        <v>1461</v>
      </c>
      <c r="C28" s="177" t="s">
        <v>628</v>
      </c>
      <c r="D28" s="201">
        <v>20</v>
      </c>
      <c r="E28" s="201">
        <f t="shared" si="2"/>
        <v>22</v>
      </c>
      <c r="F28" s="201">
        <f t="shared" si="3"/>
        <v>220.00000000000003</v>
      </c>
      <c r="G28" s="201">
        <v>200</v>
      </c>
      <c r="H28" s="161" t="s">
        <v>858</v>
      </c>
      <c r="I28" s="154"/>
      <c r="J28" s="374" t="s">
        <v>859</v>
      </c>
      <c r="K28" s="132"/>
    </row>
    <row r="29" spans="1:11" s="133" customFormat="1" ht="21">
      <c r="A29" s="89" t="s">
        <v>277</v>
      </c>
      <c r="B29" s="74" t="s">
        <v>1462</v>
      </c>
      <c r="C29" s="177" t="s">
        <v>628</v>
      </c>
      <c r="D29" s="201" t="s">
        <v>277</v>
      </c>
      <c r="E29" s="201" t="s">
        <v>277</v>
      </c>
      <c r="F29" s="201">
        <f t="shared" si="3"/>
        <v>165</v>
      </c>
      <c r="G29" s="246">
        <v>150</v>
      </c>
      <c r="H29" s="374"/>
      <c r="I29" s="154"/>
      <c r="J29" s="374" t="s">
        <v>859</v>
      </c>
      <c r="K29" s="132"/>
    </row>
    <row r="30" spans="1:11" s="133" customFormat="1" ht="168">
      <c r="A30" s="89" t="s">
        <v>277</v>
      </c>
      <c r="B30" s="160" t="s">
        <v>610</v>
      </c>
      <c r="C30" s="177" t="s">
        <v>628</v>
      </c>
      <c r="D30" s="201" t="s">
        <v>783</v>
      </c>
      <c r="E30" s="201" t="s">
        <v>783</v>
      </c>
      <c r="F30" s="201" t="s">
        <v>783</v>
      </c>
      <c r="G30" s="201" t="s">
        <v>783</v>
      </c>
      <c r="H30" s="160" t="s">
        <v>305</v>
      </c>
      <c r="I30" s="160" t="s">
        <v>400</v>
      </c>
      <c r="J30" s="154"/>
      <c r="K30" s="132"/>
    </row>
    <row r="31" spans="1:11" s="133" customFormat="1" ht="73.5">
      <c r="A31" s="89" t="s">
        <v>1763</v>
      </c>
      <c r="B31" s="161" t="s">
        <v>789</v>
      </c>
      <c r="C31" s="177" t="s">
        <v>628</v>
      </c>
      <c r="D31" s="201" t="s">
        <v>277</v>
      </c>
      <c r="E31" s="201" t="s">
        <v>277</v>
      </c>
      <c r="F31" s="201">
        <v>20.399999999999999</v>
      </c>
      <c r="G31" s="201">
        <f>(F31-(F31*10%))</f>
        <v>18.36</v>
      </c>
      <c r="H31" s="161" t="s">
        <v>426</v>
      </c>
      <c r="I31" s="160" t="s">
        <v>417</v>
      </c>
      <c r="J31" s="154"/>
      <c r="K31" s="132"/>
    </row>
    <row r="32" spans="1:11" s="133" customFormat="1" ht="21">
      <c r="A32" s="89" t="s">
        <v>1764</v>
      </c>
      <c r="B32" s="161" t="s">
        <v>359</v>
      </c>
      <c r="C32" s="177" t="s">
        <v>628</v>
      </c>
      <c r="D32" s="201" t="s">
        <v>277</v>
      </c>
      <c r="E32" s="201" t="s">
        <v>277</v>
      </c>
      <c r="F32" s="201">
        <f t="shared" si="3"/>
        <v>1.6500000000000001</v>
      </c>
      <c r="G32" s="201">
        <v>1.5</v>
      </c>
      <c r="H32" s="161" t="s">
        <v>303</v>
      </c>
      <c r="I32" s="162"/>
      <c r="J32" s="210" t="s">
        <v>722</v>
      </c>
      <c r="K32" s="132"/>
    </row>
    <row r="33" spans="1:12" s="133" customFormat="1" ht="31.5">
      <c r="A33" s="89" t="s">
        <v>1765</v>
      </c>
      <c r="B33" s="161" t="s">
        <v>361</v>
      </c>
      <c r="C33" s="177" t="s">
        <v>628</v>
      </c>
      <c r="D33" s="201" t="s">
        <v>277</v>
      </c>
      <c r="E33" s="201" t="s">
        <v>277</v>
      </c>
      <c r="F33" s="201">
        <f t="shared" si="3"/>
        <v>2.5410000000000004</v>
      </c>
      <c r="G33" s="201">
        <v>2.31</v>
      </c>
      <c r="H33" s="161" t="s">
        <v>303</v>
      </c>
      <c r="I33" s="160"/>
      <c r="J33" s="210" t="s">
        <v>722</v>
      </c>
      <c r="K33" s="132"/>
    </row>
    <row r="34" spans="1:12" s="133" customFormat="1" ht="94.5">
      <c r="A34" s="775" t="s">
        <v>1766</v>
      </c>
      <c r="B34" s="161" t="s">
        <v>362</v>
      </c>
      <c r="C34" s="177" t="s">
        <v>628</v>
      </c>
      <c r="D34" s="201" t="s">
        <v>277</v>
      </c>
      <c r="E34" s="201" t="s">
        <v>277</v>
      </c>
      <c r="F34" s="201">
        <v>0.5</v>
      </c>
      <c r="G34" s="201">
        <f>(F34-(F34*10%))</f>
        <v>0.45</v>
      </c>
      <c r="H34" s="161" t="s">
        <v>288</v>
      </c>
      <c r="I34" s="160" t="s">
        <v>787</v>
      </c>
      <c r="J34" s="154"/>
      <c r="K34" s="132"/>
    </row>
    <row r="35" spans="1:12" s="133" customFormat="1">
      <c r="A35" s="175"/>
      <c r="B35" s="160" t="s">
        <v>363</v>
      </c>
      <c r="C35" s="177" t="s">
        <v>628</v>
      </c>
      <c r="D35" s="201" t="s">
        <v>783</v>
      </c>
      <c r="E35" s="201" t="s">
        <v>783</v>
      </c>
      <c r="F35" s="201" t="s">
        <v>783</v>
      </c>
      <c r="G35" s="201" t="s">
        <v>783</v>
      </c>
      <c r="H35" s="160" t="s">
        <v>284</v>
      </c>
      <c r="I35" s="160"/>
      <c r="J35" s="154"/>
      <c r="K35" s="132"/>
    </row>
    <row r="36" spans="1:12" s="203" customFormat="1" ht="127.9" customHeight="1">
      <c r="A36" s="88" t="s">
        <v>1671</v>
      </c>
      <c r="B36" s="452" t="s">
        <v>307</v>
      </c>
      <c r="C36" s="411" t="s">
        <v>628</v>
      </c>
      <c r="D36" s="242" t="s">
        <v>783</v>
      </c>
      <c r="E36" s="242" t="s">
        <v>783</v>
      </c>
      <c r="F36" s="260" t="s">
        <v>277</v>
      </c>
      <c r="G36" s="242" t="s">
        <v>783</v>
      </c>
      <c r="H36" s="410" t="s">
        <v>288</v>
      </c>
      <c r="I36" s="458" t="s">
        <v>308</v>
      </c>
      <c r="J36" s="231"/>
      <c r="K36" s="132"/>
    </row>
    <row r="37" spans="1:12" s="133" customFormat="1" ht="82.15" customHeight="1">
      <c r="A37" s="88" t="s">
        <v>1767</v>
      </c>
      <c r="B37" s="96" t="s">
        <v>1459</v>
      </c>
      <c r="C37" s="177" t="s">
        <v>628</v>
      </c>
      <c r="D37" s="260">
        <v>5</v>
      </c>
      <c r="E37" s="201">
        <f t="shared" si="2"/>
        <v>5.5</v>
      </c>
      <c r="F37" s="201" t="s">
        <v>277</v>
      </c>
      <c r="G37" s="201" t="s">
        <v>277</v>
      </c>
      <c r="H37" s="161" t="s">
        <v>288</v>
      </c>
      <c r="I37" s="149" t="s">
        <v>336</v>
      </c>
      <c r="J37" s="374" t="s">
        <v>670</v>
      </c>
      <c r="K37" s="132"/>
    </row>
    <row r="38" spans="1:12" s="133" customFormat="1" ht="64.150000000000006" customHeight="1">
      <c r="A38" s="116" t="s">
        <v>1672</v>
      </c>
      <c r="B38" s="374" t="s">
        <v>1385</v>
      </c>
      <c r="C38" s="177" t="s">
        <v>628</v>
      </c>
      <c r="D38" s="201">
        <v>35</v>
      </c>
      <c r="E38" s="201">
        <f t="shared" si="2"/>
        <v>38.5</v>
      </c>
      <c r="F38" s="201">
        <v>45.9</v>
      </c>
      <c r="G38" s="201">
        <f t="shared" ref="G38:G46" si="4">(F38-(F38*10%))</f>
        <v>41.31</v>
      </c>
      <c r="H38" s="161" t="s">
        <v>342</v>
      </c>
      <c r="I38" s="96" t="s">
        <v>337</v>
      </c>
      <c r="J38" s="374" t="s">
        <v>671</v>
      </c>
      <c r="K38" s="132"/>
      <c r="L38" s="133" t="s">
        <v>426</v>
      </c>
    </row>
    <row r="39" spans="1:12" s="133" customFormat="1" ht="91.9" customHeight="1">
      <c r="A39" s="96" t="s">
        <v>1673</v>
      </c>
      <c r="B39" s="150" t="s">
        <v>1386</v>
      </c>
      <c r="C39" s="177" t="s">
        <v>628</v>
      </c>
      <c r="D39" s="201">
        <v>6.5</v>
      </c>
      <c r="E39" s="201">
        <f t="shared" si="2"/>
        <v>7.15</v>
      </c>
      <c r="F39" s="201">
        <v>2.81</v>
      </c>
      <c r="G39" s="201">
        <f t="shared" si="4"/>
        <v>2.5289999999999999</v>
      </c>
      <c r="H39" s="149" t="s">
        <v>353</v>
      </c>
      <c r="I39" s="148" t="s">
        <v>345</v>
      </c>
      <c r="J39" s="374" t="s">
        <v>671</v>
      </c>
      <c r="K39" s="132"/>
    </row>
    <row r="40" spans="1:12" s="133" customFormat="1" ht="75" customHeight="1">
      <c r="A40" s="96" t="s">
        <v>1674</v>
      </c>
      <c r="B40" s="150" t="s">
        <v>1387</v>
      </c>
      <c r="C40" s="177" t="s">
        <v>628</v>
      </c>
      <c r="D40" s="201">
        <v>5.5</v>
      </c>
      <c r="E40" s="201">
        <f t="shared" si="2"/>
        <v>6.0500000000000007</v>
      </c>
      <c r="F40" s="201">
        <v>2.81</v>
      </c>
      <c r="G40" s="201">
        <f t="shared" si="4"/>
        <v>2.5289999999999999</v>
      </c>
      <c r="H40" s="149" t="s">
        <v>353</v>
      </c>
      <c r="I40" s="148" t="s">
        <v>345</v>
      </c>
      <c r="J40" s="374" t="s">
        <v>671</v>
      </c>
      <c r="K40" s="132"/>
    </row>
    <row r="41" spans="1:12" s="133" customFormat="1" ht="75" customHeight="1">
      <c r="A41" s="96" t="s">
        <v>1675</v>
      </c>
      <c r="B41" s="150" t="s">
        <v>1388</v>
      </c>
      <c r="C41" s="177" t="s">
        <v>628</v>
      </c>
      <c r="D41" s="201">
        <v>4.5</v>
      </c>
      <c r="E41" s="201">
        <f t="shared" si="2"/>
        <v>4.95</v>
      </c>
      <c r="F41" s="201">
        <v>2.81</v>
      </c>
      <c r="G41" s="201">
        <f t="shared" si="4"/>
        <v>2.5289999999999999</v>
      </c>
      <c r="H41" s="149" t="s">
        <v>353</v>
      </c>
      <c r="I41" s="148" t="s">
        <v>345</v>
      </c>
      <c r="J41" s="374" t="s">
        <v>671</v>
      </c>
      <c r="K41" s="132"/>
    </row>
    <row r="42" spans="1:12" s="133" customFormat="1" ht="75" customHeight="1">
      <c r="A42" s="96" t="s">
        <v>1676</v>
      </c>
      <c r="B42" s="150" t="s">
        <v>1389</v>
      </c>
      <c r="C42" s="177" t="s">
        <v>628</v>
      </c>
      <c r="D42" s="201">
        <v>4</v>
      </c>
      <c r="E42" s="201">
        <f t="shared" si="2"/>
        <v>4.4000000000000004</v>
      </c>
      <c r="F42" s="201">
        <v>2.81</v>
      </c>
      <c r="G42" s="201">
        <f t="shared" si="4"/>
        <v>2.5289999999999999</v>
      </c>
      <c r="H42" s="149" t="s">
        <v>353</v>
      </c>
      <c r="I42" s="148" t="s">
        <v>345</v>
      </c>
      <c r="J42" s="374" t="s">
        <v>671</v>
      </c>
      <c r="K42" s="132"/>
    </row>
    <row r="43" spans="1:12" s="133" customFormat="1" ht="75" customHeight="1">
      <c r="A43" s="96" t="s">
        <v>1677</v>
      </c>
      <c r="B43" s="163" t="s">
        <v>1456</v>
      </c>
      <c r="C43" s="177" t="s">
        <v>628</v>
      </c>
      <c r="D43" s="201">
        <v>3</v>
      </c>
      <c r="E43" s="201">
        <f t="shared" si="2"/>
        <v>3.3000000000000003</v>
      </c>
      <c r="F43" s="201">
        <v>2.81</v>
      </c>
      <c r="G43" s="201">
        <f t="shared" si="4"/>
        <v>2.5289999999999999</v>
      </c>
      <c r="H43" s="149" t="s">
        <v>353</v>
      </c>
      <c r="I43" s="148" t="s">
        <v>345</v>
      </c>
      <c r="J43" s="374" t="s">
        <v>672</v>
      </c>
      <c r="K43" s="132"/>
    </row>
    <row r="44" spans="1:12" s="133" customFormat="1" ht="86.45" customHeight="1">
      <c r="A44" s="96" t="s">
        <v>1678</v>
      </c>
      <c r="B44" s="150" t="s">
        <v>1390</v>
      </c>
      <c r="C44" s="177" t="s">
        <v>628</v>
      </c>
      <c r="D44" s="201">
        <v>2.5</v>
      </c>
      <c r="E44" s="201">
        <f t="shared" si="2"/>
        <v>2.75</v>
      </c>
      <c r="F44" s="201">
        <v>2.81</v>
      </c>
      <c r="G44" s="201">
        <f t="shared" si="4"/>
        <v>2.5289999999999999</v>
      </c>
      <c r="H44" s="149" t="s">
        <v>353</v>
      </c>
      <c r="I44" s="148" t="s">
        <v>345</v>
      </c>
      <c r="J44" s="374" t="s">
        <v>672</v>
      </c>
      <c r="K44" s="132"/>
    </row>
    <row r="45" spans="1:12" s="133" customFormat="1" ht="52.5">
      <c r="A45" s="96" t="s">
        <v>1679</v>
      </c>
      <c r="B45" s="96" t="s">
        <v>1391</v>
      </c>
      <c r="C45" s="177" t="s">
        <v>628</v>
      </c>
      <c r="D45" s="201" t="s">
        <v>783</v>
      </c>
      <c r="E45" s="201" t="s">
        <v>783</v>
      </c>
      <c r="F45" s="201">
        <v>96.9</v>
      </c>
      <c r="G45" s="201">
        <f t="shared" si="4"/>
        <v>87.210000000000008</v>
      </c>
      <c r="H45" s="149" t="s">
        <v>344</v>
      </c>
      <c r="I45" s="149" t="s">
        <v>346</v>
      </c>
      <c r="J45" s="374" t="s">
        <v>672</v>
      </c>
      <c r="K45" s="132"/>
    </row>
    <row r="46" spans="1:12" s="133" customFormat="1" ht="52.5">
      <c r="A46" s="96" t="s">
        <v>1703</v>
      </c>
      <c r="B46" s="96" t="s">
        <v>1392</v>
      </c>
      <c r="C46" s="177" t="s">
        <v>628</v>
      </c>
      <c r="D46" s="201" t="s">
        <v>783</v>
      </c>
      <c r="E46" s="201" t="s">
        <v>783</v>
      </c>
      <c r="F46" s="201">
        <v>198.9</v>
      </c>
      <c r="G46" s="201">
        <f t="shared" si="4"/>
        <v>179.01</v>
      </c>
      <c r="H46" s="161" t="s">
        <v>343</v>
      </c>
      <c r="I46" s="96" t="s">
        <v>338</v>
      </c>
      <c r="J46" s="374" t="s">
        <v>672</v>
      </c>
      <c r="K46" s="132"/>
    </row>
    <row r="47" spans="1:12" s="133" customFormat="1" ht="21.75">
      <c r="A47" s="96" t="s">
        <v>2714</v>
      </c>
      <c r="B47" s="798" t="s">
        <v>2715</v>
      </c>
      <c r="C47" s="799" t="s">
        <v>628</v>
      </c>
      <c r="D47" s="800">
        <v>40.75</v>
      </c>
      <c r="E47" s="358">
        <v>44.83</v>
      </c>
      <c r="F47" s="358">
        <v>407</v>
      </c>
      <c r="G47" s="800">
        <v>370</v>
      </c>
      <c r="H47" s="801" t="s">
        <v>290</v>
      </c>
      <c r="I47" s="802"/>
      <c r="J47" s="803" t="s">
        <v>2716</v>
      </c>
      <c r="L47" s="203"/>
    </row>
    <row r="48" spans="1:12" s="133" customFormat="1">
      <c r="A48" s="189" t="s">
        <v>426</v>
      </c>
      <c r="B48" s="171"/>
      <c r="E48" s="203"/>
      <c r="F48" s="203"/>
      <c r="H48" s="203"/>
      <c r="I48" s="203"/>
      <c r="J48" s="203"/>
      <c r="K48" s="203"/>
      <c r="L48" s="203"/>
    </row>
    <row r="49" spans="1:12" s="133" customFormat="1">
      <c r="A49" s="189" t="s">
        <v>426</v>
      </c>
      <c r="B49" s="171"/>
      <c r="E49" s="203"/>
      <c r="F49" s="203"/>
      <c r="H49" s="203"/>
      <c r="I49" s="203"/>
      <c r="J49" s="203"/>
      <c r="K49" s="203"/>
      <c r="L49" s="203"/>
    </row>
    <row r="50" spans="1:12" s="133" customFormat="1">
      <c r="A50" s="189" t="s">
        <v>426</v>
      </c>
      <c r="B50" s="171"/>
      <c r="E50" s="203"/>
      <c r="F50" s="203"/>
      <c r="H50" s="203"/>
      <c r="I50" s="203"/>
      <c r="J50" s="203"/>
      <c r="K50" s="203"/>
      <c r="L50" s="203"/>
    </row>
    <row r="51" spans="1:12" s="133" customFormat="1">
      <c r="A51" s="189" t="s">
        <v>426</v>
      </c>
      <c r="B51" s="171"/>
      <c r="E51" s="203"/>
      <c r="F51" s="203"/>
      <c r="H51" s="203"/>
      <c r="I51" s="203"/>
      <c r="J51" s="203"/>
      <c r="K51" s="203"/>
      <c r="L51" s="203"/>
    </row>
    <row r="52" spans="1:12" s="133" customFormat="1">
      <c r="A52" s="189" t="s">
        <v>426</v>
      </c>
      <c r="E52" s="203"/>
      <c r="F52" s="203"/>
      <c r="H52" s="203"/>
      <c r="I52" s="203"/>
      <c r="J52" s="203"/>
      <c r="K52" s="203"/>
      <c r="L52" s="203"/>
    </row>
    <row r="53" spans="1:12" s="133" customFormat="1">
      <c r="A53" s="189" t="s">
        <v>426</v>
      </c>
      <c r="E53" s="203"/>
      <c r="F53" s="203"/>
      <c r="H53" s="203"/>
      <c r="I53" s="203"/>
      <c r="J53" s="203"/>
      <c r="K53" s="203"/>
      <c r="L53" s="203"/>
    </row>
    <row r="54" spans="1:12" s="133" customFormat="1">
      <c r="A54" s="189" t="s">
        <v>426</v>
      </c>
      <c r="E54" s="203"/>
      <c r="F54" s="203"/>
      <c r="H54" s="203"/>
      <c r="I54" s="203"/>
      <c r="J54" s="203"/>
      <c r="K54" s="203"/>
      <c r="L54" s="203"/>
    </row>
    <row r="55" spans="1:12" s="133" customFormat="1">
      <c r="A55" s="172"/>
      <c r="E55" s="203"/>
      <c r="F55" s="203"/>
      <c r="H55" s="203"/>
      <c r="I55" s="203"/>
      <c r="J55" s="203"/>
      <c r="K55" s="203"/>
      <c r="L55" s="203"/>
    </row>
    <row r="56" spans="1:12" s="133" customFormat="1">
      <c r="A56" s="172"/>
      <c r="E56" s="203"/>
      <c r="F56" s="203"/>
      <c r="H56" s="203"/>
      <c r="I56" s="203"/>
      <c r="J56" s="203"/>
      <c r="K56" s="203"/>
      <c r="L56" s="203"/>
    </row>
    <row r="57" spans="1:12" s="133" customFormat="1">
      <c r="A57" s="172"/>
      <c r="E57" s="203"/>
      <c r="F57" s="203"/>
      <c r="H57" s="203"/>
      <c r="I57" s="203"/>
      <c r="J57" s="203"/>
      <c r="K57" s="203"/>
      <c r="L57" s="203"/>
    </row>
    <row r="58" spans="1:12" s="133" customFormat="1">
      <c r="A58" s="172"/>
      <c r="E58" s="203"/>
      <c r="F58" s="203"/>
      <c r="H58" s="203"/>
      <c r="I58" s="203"/>
      <c r="J58" s="203"/>
      <c r="K58" s="203"/>
      <c r="L58" s="203"/>
    </row>
    <row r="59" spans="1:12" s="133" customFormat="1">
      <c r="A59" s="172"/>
      <c r="E59" s="203"/>
      <c r="F59" s="203"/>
      <c r="H59" s="203"/>
      <c r="I59" s="203"/>
      <c r="J59" s="203"/>
      <c r="K59" s="203"/>
      <c r="L59" s="203"/>
    </row>
    <row r="60" spans="1:12" s="133" customFormat="1">
      <c r="A60" s="172"/>
      <c r="E60" s="203"/>
      <c r="F60" s="203"/>
      <c r="H60" s="203"/>
      <c r="I60" s="203"/>
      <c r="J60" s="203"/>
      <c r="K60" s="203"/>
      <c r="L60" s="203"/>
    </row>
    <row r="61" spans="1:12" s="133" customFormat="1">
      <c r="A61" s="172"/>
      <c r="E61" s="203"/>
      <c r="F61" s="203"/>
      <c r="H61" s="203"/>
      <c r="I61" s="203"/>
      <c r="J61" s="203"/>
      <c r="K61" s="203"/>
      <c r="L61" s="203"/>
    </row>
    <row r="62" spans="1:12" s="133" customFormat="1">
      <c r="A62" s="172"/>
      <c r="E62" s="203"/>
      <c r="F62" s="203"/>
      <c r="H62" s="203"/>
      <c r="I62" s="203"/>
      <c r="J62" s="203"/>
      <c r="K62" s="203"/>
      <c r="L62" s="203"/>
    </row>
    <row r="63" spans="1:12" s="133" customFormat="1">
      <c r="A63" s="172"/>
      <c r="E63" s="203"/>
      <c r="F63" s="203"/>
      <c r="H63" s="203"/>
      <c r="I63" s="203"/>
      <c r="J63" s="203"/>
      <c r="K63" s="203"/>
      <c r="L63" s="203"/>
    </row>
    <row r="64" spans="1:12" s="133" customFormat="1">
      <c r="A64" s="172"/>
      <c r="E64" s="203"/>
      <c r="F64" s="203"/>
      <c r="H64" s="203"/>
      <c r="I64" s="203"/>
      <c r="J64" s="203"/>
      <c r="K64" s="203"/>
      <c r="L64" s="203"/>
    </row>
    <row r="65" spans="1:12" s="133" customFormat="1">
      <c r="A65" s="172"/>
      <c r="E65" s="203"/>
      <c r="F65" s="203"/>
      <c r="H65" s="203"/>
      <c r="I65" s="203"/>
      <c r="J65" s="203"/>
      <c r="K65" s="203"/>
      <c r="L65" s="203"/>
    </row>
    <row r="66" spans="1:12" s="133" customFormat="1">
      <c r="A66" s="172"/>
      <c r="E66" s="203"/>
      <c r="F66" s="203"/>
      <c r="H66" s="203"/>
      <c r="I66" s="203"/>
      <c r="J66" s="203"/>
      <c r="K66" s="203"/>
      <c r="L66" s="203"/>
    </row>
    <row r="67" spans="1:12" s="133" customFormat="1">
      <c r="A67" s="172"/>
      <c r="E67" s="203"/>
      <c r="F67" s="203"/>
      <c r="H67" s="203"/>
      <c r="I67" s="203"/>
      <c r="J67" s="203"/>
      <c r="K67" s="203"/>
      <c r="L67" s="203"/>
    </row>
    <row r="68" spans="1:12" s="133" customFormat="1">
      <c r="A68" s="172"/>
      <c r="E68" s="203"/>
      <c r="F68" s="203"/>
      <c r="H68" s="203"/>
      <c r="I68" s="203"/>
      <c r="J68" s="203"/>
      <c r="K68" s="203"/>
      <c r="L68" s="203"/>
    </row>
    <row r="69" spans="1:12" s="133" customFormat="1">
      <c r="A69" s="172"/>
      <c r="E69" s="203"/>
      <c r="F69" s="203"/>
      <c r="H69" s="203"/>
      <c r="I69" s="203"/>
      <c r="J69" s="203"/>
      <c r="K69" s="203"/>
      <c r="L69" s="203"/>
    </row>
    <row r="70" spans="1:12" s="133" customFormat="1">
      <c r="A70" s="172"/>
      <c r="E70" s="203"/>
      <c r="F70" s="203"/>
      <c r="H70" s="203"/>
      <c r="I70" s="203"/>
      <c r="J70" s="203"/>
      <c r="K70" s="203"/>
      <c r="L70" s="203"/>
    </row>
    <row r="71" spans="1:12" s="133" customFormat="1">
      <c r="A71" s="172"/>
      <c r="E71" s="203"/>
      <c r="F71" s="203"/>
      <c r="H71" s="203"/>
      <c r="I71" s="203"/>
      <c r="J71" s="203"/>
      <c r="K71" s="203"/>
      <c r="L71" s="203"/>
    </row>
    <row r="72" spans="1:12" s="133" customFormat="1">
      <c r="A72" s="172"/>
      <c r="E72" s="203"/>
      <c r="F72" s="203"/>
      <c r="H72" s="203"/>
      <c r="I72" s="203"/>
      <c r="J72" s="203"/>
      <c r="K72" s="203"/>
      <c r="L72" s="203"/>
    </row>
    <row r="73" spans="1:12" s="133" customFormat="1">
      <c r="A73" s="172"/>
      <c r="E73" s="203"/>
      <c r="F73" s="203"/>
      <c r="H73" s="203"/>
      <c r="I73" s="203"/>
      <c r="J73" s="203"/>
      <c r="K73" s="203"/>
      <c r="L73" s="203"/>
    </row>
    <row r="74" spans="1:12" s="133" customFormat="1">
      <c r="A74" s="172"/>
      <c r="E74" s="203"/>
      <c r="F74" s="203"/>
      <c r="H74" s="203"/>
      <c r="I74" s="203"/>
      <c r="J74" s="203"/>
      <c r="K74" s="203"/>
      <c r="L74" s="203"/>
    </row>
    <row r="75" spans="1:12" s="133" customFormat="1">
      <c r="A75" s="172"/>
      <c r="E75" s="203"/>
      <c r="F75" s="203"/>
      <c r="H75" s="203"/>
      <c r="I75" s="203"/>
      <c r="J75" s="203"/>
      <c r="K75" s="203"/>
      <c r="L75" s="203"/>
    </row>
    <row r="76" spans="1:12" s="133" customFormat="1">
      <c r="A76" s="172"/>
      <c r="E76" s="203"/>
      <c r="F76" s="203"/>
      <c r="H76" s="203"/>
      <c r="I76" s="203"/>
      <c r="J76" s="203"/>
      <c r="K76" s="203"/>
      <c r="L76" s="203"/>
    </row>
    <row r="77" spans="1:12" s="133" customFormat="1">
      <c r="A77" s="172"/>
      <c r="E77" s="203"/>
      <c r="F77" s="203"/>
      <c r="H77" s="203"/>
      <c r="I77" s="203"/>
      <c r="J77" s="203"/>
      <c r="K77" s="203"/>
      <c r="L77" s="203"/>
    </row>
    <row r="78" spans="1:12" s="133" customFormat="1">
      <c r="A78" s="172"/>
      <c r="E78" s="203"/>
      <c r="F78" s="203"/>
      <c r="H78" s="203"/>
      <c r="I78" s="203"/>
      <c r="J78" s="203"/>
      <c r="K78" s="203"/>
      <c r="L78" s="203"/>
    </row>
    <row r="79" spans="1:12" s="133" customFormat="1">
      <c r="A79" s="172"/>
      <c r="E79" s="203"/>
      <c r="F79" s="203"/>
      <c r="H79" s="203"/>
      <c r="I79" s="203"/>
      <c r="J79" s="203"/>
      <c r="K79" s="203"/>
      <c r="L79" s="203"/>
    </row>
    <row r="80" spans="1:12" s="133" customFormat="1">
      <c r="A80" s="172"/>
      <c r="E80" s="203"/>
      <c r="F80" s="203"/>
      <c r="H80" s="203"/>
      <c r="I80" s="203"/>
      <c r="J80" s="203"/>
      <c r="K80" s="203"/>
      <c r="L80" s="203"/>
    </row>
    <row r="81" spans="1:12" s="133" customFormat="1">
      <c r="A81" s="172"/>
      <c r="E81" s="203"/>
      <c r="F81" s="203"/>
      <c r="H81" s="203"/>
      <c r="I81" s="203"/>
      <c r="J81" s="203"/>
      <c r="K81" s="203"/>
      <c r="L81" s="203"/>
    </row>
    <row r="82" spans="1:12" s="133" customFormat="1">
      <c r="A82" s="172"/>
      <c r="E82" s="203"/>
      <c r="F82" s="203"/>
      <c r="H82" s="203"/>
      <c r="I82" s="203"/>
      <c r="J82" s="203"/>
      <c r="K82" s="203"/>
      <c r="L82" s="203"/>
    </row>
    <row r="83" spans="1:12" s="133" customFormat="1">
      <c r="A83" s="172"/>
      <c r="E83" s="203"/>
      <c r="F83" s="203"/>
      <c r="H83" s="203"/>
      <c r="I83" s="203"/>
      <c r="J83" s="203"/>
      <c r="K83" s="203"/>
      <c r="L83" s="203"/>
    </row>
    <row r="84" spans="1:12" s="133" customFormat="1">
      <c r="A84" s="172"/>
      <c r="E84" s="203"/>
      <c r="F84" s="203"/>
      <c r="H84" s="203"/>
      <c r="I84" s="203"/>
      <c r="J84" s="203"/>
      <c r="K84" s="203"/>
      <c r="L84" s="203"/>
    </row>
    <row r="85" spans="1:12" s="133" customFormat="1">
      <c r="A85" s="172"/>
      <c r="E85" s="203"/>
      <c r="F85" s="203"/>
      <c r="H85" s="203"/>
      <c r="I85" s="203"/>
      <c r="J85" s="203"/>
      <c r="K85" s="203"/>
      <c r="L85" s="203"/>
    </row>
    <row r="86" spans="1:12" s="133" customFormat="1">
      <c r="A86" s="172"/>
      <c r="E86" s="203"/>
      <c r="F86" s="203"/>
      <c r="H86" s="203"/>
      <c r="I86" s="203"/>
      <c r="J86" s="203"/>
      <c r="K86" s="203"/>
      <c r="L86" s="203"/>
    </row>
    <row r="87" spans="1:12" s="133" customFormat="1">
      <c r="A87" s="172"/>
      <c r="E87" s="203"/>
      <c r="F87" s="203"/>
      <c r="H87" s="203"/>
      <c r="I87" s="203"/>
      <c r="J87" s="203"/>
      <c r="K87" s="203"/>
      <c r="L87" s="203"/>
    </row>
    <row r="88" spans="1:12" s="133" customFormat="1">
      <c r="A88" s="172"/>
      <c r="E88" s="203"/>
      <c r="F88" s="203"/>
      <c r="H88" s="203"/>
      <c r="I88" s="203"/>
      <c r="J88" s="203"/>
      <c r="K88" s="203"/>
      <c r="L88" s="203"/>
    </row>
    <row r="89" spans="1:12" s="133" customFormat="1">
      <c r="A89" s="172"/>
      <c r="E89" s="203"/>
      <c r="F89" s="203"/>
      <c r="H89" s="203"/>
      <c r="I89" s="203"/>
      <c r="J89" s="203"/>
      <c r="K89" s="203"/>
      <c r="L89" s="203"/>
    </row>
    <row r="90" spans="1:12" s="133" customFormat="1">
      <c r="A90" s="172"/>
      <c r="E90" s="203"/>
      <c r="F90" s="203"/>
      <c r="H90" s="203"/>
      <c r="I90" s="203"/>
      <c r="J90" s="203"/>
      <c r="K90" s="203"/>
      <c r="L90" s="203"/>
    </row>
    <row r="91" spans="1:12" s="133" customFormat="1">
      <c r="A91" s="172"/>
      <c r="E91" s="203"/>
      <c r="F91" s="203"/>
      <c r="H91" s="203"/>
      <c r="I91" s="203"/>
      <c r="J91" s="203"/>
      <c r="K91" s="203"/>
      <c r="L91" s="203"/>
    </row>
    <row r="92" spans="1:12" s="133" customFormat="1">
      <c r="A92" s="172"/>
      <c r="E92" s="203"/>
      <c r="F92" s="203"/>
      <c r="H92" s="203"/>
      <c r="I92" s="203"/>
      <c r="J92" s="203"/>
      <c r="K92" s="203"/>
      <c r="L92" s="203"/>
    </row>
    <row r="93" spans="1:12" s="133" customFormat="1">
      <c r="A93" s="172"/>
      <c r="E93" s="203"/>
      <c r="F93" s="203"/>
      <c r="H93" s="203"/>
      <c r="I93" s="203"/>
      <c r="J93" s="203"/>
      <c r="K93" s="203"/>
      <c r="L93" s="203"/>
    </row>
    <row r="94" spans="1:12" s="133" customFormat="1">
      <c r="A94" s="172"/>
      <c r="E94" s="203"/>
      <c r="F94" s="203"/>
      <c r="H94" s="203"/>
      <c r="I94" s="203"/>
      <c r="J94" s="203"/>
      <c r="K94" s="203"/>
      <c r="L94" s="203"/>
    </row>
    <row r="95" spans="1:12" s="133" customFormat="1">
      <c r="E95" s="203"/>
      <c r="F95" s="203"/>
      <c r="H95" s="203"/>
      <c r="I95" s="203"/>
      <c r="J95" s="203"/>
      <c r="K95" s="203"/>
      <c r="L95" s="203"/>
    </row>
    <row r="96" spans="1:12" s="133" customFormat="1">
      <c r="E96" s="203"/>
      <c r="F96" s="203"/>
      <c r="H96" s="203"/>
      <c r="I96" s="203"/>
      <c r="J96" s="203"/>
      <c r="K96" s="203"/>
      <c r="L96" s="203"/>
    </row>
    <row r="97" spans="5:12" s="133" customFormat="1">
      <c r="E97" s="203"/>
      <c r="F97" s="203"/>
      <c r="H97" s="203"/>
      <c r="I97" s="203"/>
      <c r="J97" s="203"/>
      <c r="K97" s="203"/>
      <c r="L97" s="203"/>
    </row>
    <row r="98" spans="5:12" s="133" customFormat="1">
      <c r="E98" s="203"/>
      <c r="F98" s="203"/>
      <c r="H98" s="203"/>
      <c r="I98" s="203"/>
      <c r="J98" s="203"/>
      <c r="K98" s="203"/>
      <c r="L98" s="203"/>
    </row>
    <row r="99" spans="5:12" s="133" customFormat="1">
      <c r="E99" s="203"/>
      <c r="F99" s="203"/>
      <c r="H99" s="203"/>
      <c r="I99" s="203"/>
      <c r="J99" s="203"/>
      <c r="K99" s="203"/>
      <c r="L99" s="203"/>
    </row>
    <row r="100" spans="5:12" s="133" customFormat="1">
      <c r="E100" s="203"/>
      <c r="F100" s="203"/>
      <c r="H100" s="203"/>
      <c r="I100" s="203"/>
      <c r="J100" s="203"/>
      <c r="K100" s="203"/>
      <c r="L100" s="203"/>
    </row>
    <row r="101" spans="5:12" s="133" customFormat="1">
      <c r="E101" s="203"/>
      <c r="F101" s="203"/>
      <c r="H101" s="203"/>
      <c r="I101" s="203"/>
      <c r="J101" s="203"/>
      <c r="K101" s="203"/>
      <c r="L101" s="203"/>
    </row>
    <row r="102" spans="5:12" s="133" customFormat="1">
      <c r="E102" s="203"/>
      <c r="F102" s="203"/>
      <c r="H102" s="203"/>
      <c r="I102" s="203"/>
      <c r="J102" s="203"/>
      <c r="K102" s="203"/>
      <c r="L102" s="203"/>
    </row>
    <row r="103" spans="5:12" s="133" customFormat="1">
      <c r="E103" s="203"/>
      <c r="F103" s="203"/>
      <c r="H103" s="203"/>
      <c r="I103" s="203"/>
      <c r="J103" s="203"/>
      <c r="K103" s="203"/>
      <c r="L103" s="203"/>
    </row>
    <row r="104" spans="5:12" s="133" customFormat="1">
      <c r="E104" s="203"/>
      <c r="F104" s="203"/>
      <c r="H104" s="203"/>
      <c r="I104" s="203"/>
      <c r="J104" s="203"/>
      <c r="K104" s="203"/>
      <c r="L104" s="203"/>
    </row>
    <row r="105" spans="5:12" s="133" customFormat="1">
      <c r="E105" s="203"/>
      <c r="F105" s="203"/>
      <c r="H105" s="203"/>
      <c r="I105" s="203"/>
      <c r="J105" s="203"/>
      <c r="K105" s="203"/>
      <c r="L105" s="203"/>
    </row>
    <row r="106" spans="5:12" s="133" customFormat="1">
      <c r="E106" s="203"/>
      <c r="F106" s="203"/>
      <c r="H106" s="203"/>
      <c r="I106" s="203"/>
      <c r="J106" s="203"/>
      <c r="K106" s="203"/>
      <c r="L106" s="203"/>
    </row>
    <row r="107" spans="5:12" s="133" customFormat="1">
      <c r="E107" s="203"/>
      <c r="F107" s="203"/>
      <c r="H107" s="203"/>
      <c r="I107" s="203"/>
      <c r="J107" s="203"/>
      <c r="K107" s="203"/>
      <c r="L107" s="203"/>
    </row>
    <row r="108" spans="5:12" s="133" customFormat="1">
      <c r="E108" s="203"/>
      <c r="F108" s="203"/>
      <c r="H108" s="203"/>
      <c r="I108" s="203"/>
      <c r="J108" s="203"/>
      <c r="K108" s="203"/>
      <c r="L108" s="203"/>
    </row>
    <row r="109" spans="5:12" s="133" customFormat="1">
      <c r="E109" s="203"/>
      <c r="F109" s="203"/>
      <c r="H109" s="203"/>
      <c r="I109" s="203"/>
      <c r="J109" s="203"/>
      <c r="K109" s="203"/>
      <c r="L109" s="203"/>
    </row>
    <row r="110" spans="5:12" s="133" customFormat="1">
      <c r="E110" s="203"/>
      <c r="F110" s="203"/>
      <c r="H110" s="203"/>
      <c r="I110" s="203"/>
      <c r="J110" s="203"/>
      <c r="K110" s="203"/>
      <c r="L110" s="203"/>
    </row>
    <row r="111" spans="5:12" s="133" customFormat="1">
      <c r="E111" s="203"/>
      <c r="F111" s="203"/>
      <c r="H111" s="203"/>
      <c r="I111" s="203"/>
      <c r="J111" s="203"/>
      <c r="K111" s="203"/>
      <c r="L111" s="203"/>
    </row>
    <row r="112" spans="5:12" s="133" customFormat="1">
      <c r="E112" s="203"/>
      <c r="F112" s="203"/>
      <c r="H112" s="203"/>
      <c r="I112" s="203"/>
      <c r="J112" s="203"/>
      <c r="K112" s="203"/>
      <c r="L112" s="203"/>
    </row>
  </sheetData>
  <mergeCells count="17">
    <mergeCell ref="A1:B1"/>
    <mergeCell ref="J2:J6"/>
    <mergeCell ref="A5:B6"/>
    <mergeCell ref="H5:I6"/>
    <mergeCell ref="F6:G6"/>
    <mergeCell ref="H7:I8"/>
    <mergeCell ref="J7:J8"/>
    <mergeCell ref="G7:G8"/>
    <mergeCell ref="E2:G4"/>
    <mergeCell ref="H2:I4"/>
    <mergeCell ref="B12:G12"/>
    <mergeCell ref="B2:D2"/>
    <mergeCell ref="B9:G9"/>
    <mergeCell ref="C7:C8"/>
    <mergeCell ref="D7:D8"/>
    <mergeCell ref="E7:E8"/>
    <mergeCell ref="F7:F8"/>
  </mergeCells>
  <phoneticPr fontId="0" type="noConversion"/>
  <printOptions horizontalCentered="1"/>
  <pageMargins left="0.75" right="0.75" top="1" bottom="1" header="0.5" footer="0.5"/>
  <pageSetup scale="74" fitToHeight="33" orientation="landscape" r:id="rId1"/>
  <headerFooter alignWithMargins="0">
    <oddHeader>&amp;L&amp;F&amp;C&amp;"Tahoma,Bold"&amp;11&amp;A&amp;R&amp;G</oddHeader>
    <oddFooter>&amp;C&amp;"Tahoma,Italic"Use or disclosure of the data on this page or screen is subject to the restrictions on the title page or opening view screen of this proposal document or file.&amp;R&amp;P of &amp;N</oddFooter>
  </headerFooter>
  <rowBreaks count="2" manualBreakCount="2">
    <brk id="15" max="16383" man="1"/>
    <brk id="37" max="16383" man="1"/>
  </rowBreaks>
  <ignoredErrors>
    <ignoredError sqref="B38:D42 B44:D46 C43:D43 B12:E12 B10:C11 B13:C14 E13:E14 B36:C37 E10:E11 G16 B31:E31 B34:E34 B35:G35 B30:G30 F17:G18 F11:G12 F21:G26 B32:G33 B15:E26 C27:G29" unlockedFormula="1"/>
    <ignoredError sqref="F37:G37 E37:E44" evalError="1" unlockedFormula="1"/>
  </ignoredErrors>
  <legacyDrawingHF r:id="rId2"/>
</worksheet>
</file>

<file path=xl/worksheets/sheet14.xml><?xml version="1.0" encoding="utf-8"?>
<worksheet xmlns="http://schemas.openxmlformats.org/spreadsheetml/2006/main" xmlns:r="http://schemas.openxmlformats.org/officeDocument/2006/relationships">
  <sheetPr>
    <tabColor theme="3" tint="0.79998168889431442"/>
  </sheetPr>
  <dimension ref="A1:K493"/>
  <sheetViews>
    <sheetView zoomScaleNormal="100" workbookViewId="0">
      <selection sqref="A1:B1"/>
    </sheetView>
  </sheetViews>
  <sheetFormatPr defaultRowHeight="10.5"/>
  <cols>
    <col min="1" max="1" width="18.1640625" style="143" customWidth="1"/>
    <col min="2" max="2" width="23.1640625" style="143" customWidth="1"/>
    <col min="3" max="3" width="12.5" style="143" customWidth="1"/>
    <col min="4" max="4" width="10.83203125" style="143" hidden="1" customWidth="1"/>
    <col min="5" max="5" width="9.1640625" style="143"/>
    <col min="6" max="6" width="13" style="466" customWidth="1"/>
    <col min="7" max="7" width="11.1640625" style="466" hidden="1" customWidth="1"/>
    <col min="8" max="8" width="11.83203125" style="143" customWidth="1"/>
    <col min="9" max="9" width="18.5" style="143" customWidth="1"/>
    <col min="10" max="10" width="23.6640625" style="309" customWidth="1"/>
    <col min="11" max="11" width="9.33203125" style="133"/>
    <col min="12" max="254" width="9.33203125" style="8"/>
    <col min="255" max="255" width="18.1640625" style="8" customWidth="1"/>
    <col min="256" max="256" width="23.1640625" style="8" customWidth="1"/>
    <col min="257" max="257" width="12.5" style="8" customWidth="1"/>
    <col min="258" max="258" width="10.83203125" style="8" customWidth="1"/>
    <col min="259" max="259" width="9.33203125" style="8"/>
    <col min="260" max="260" width="12.1640625" style="8" customWidth="1"/>
    <col min="261" max="261" width="11.1640625" style="8" customWidth="1"/>
    <col min="262" max="262" width="13.1640625" style="8" customWidth="1"/>
    <col min="263" max="263" width="11" style="8" customWidth="1"/>
    <col min="264" max="264" width="7.5" style="8" customWidth="1"/>
    <col min="265" max="265" width="18.5" style="8" customWidth="1"/>
    <col min="266" max="266" width="23.6640625" style="8" customWidth="1"/>
    <col min="267" max="510" width="9.33203125" style="8"/>
    <col min="511" max="511" width="18.1640625" style="8" customWidth="1"/>
    <col min="512" max="512" width="23.1640625" style="8" customWidth="1"/>
    <col min="513" max="513" width="12.5" style="8" customWidth="1"/>
    <col min="514" max="514" width="10.83203125" style="8" customWidth="1"/>
    <col min="515" max="515" width="9.33203125" style="8"/>
    <col min="516" max="516" width="12.1640625" style="8" customWidth="1"/>
    <col min="517" max="517" width="11.1640625" style="8" customWidth="1"/>
    <col min="518" max="518" width="13.1640625" style="8" customWidth="1"/>
    <col min="519" max="519" width="11" style="8" customWidth="1"/>
    <col min="520" max="520" width="7.5" style="8" customWidth="1"/>
    <col min="521" max="521" width="18.5" style="8" customWidth="1"/>
    <col min="522" max="522" width="23.6640625" style="8" customWidth="1"/>
    <col min="523" max="766" width="9.33203125" style="8"/>
    <col min="767" max="767" width="18.1640625" style="8" customWidth="1"/>
    <col min="768" max="768" width="23.1640625" style="8" customWidth="1"/>
    <col min="769" max="769" width="12.5" style="8" customWidth="1"/>
    <col min="770" max="770" width="10.83203125" style="8" customWidth="1"/>
    <col min="771" max="771" width="9.33203125" style="8"/>
    <col min="772" max="772" width="12.1640625" style="8" customWidth="1"/>
    <col min="773" max="773" width="11.1640625" style="8" customWidth="1"/>
    <col min="774" max="774" width="13.1640625" style="8" customWidth="1"/>
    <col min="775" max="775" width="11" style="8" customWidth="1"/>
    <col min="776" max="776" width="7.5" style="8" customWidth="1"/>
    <col min="777" max="777" width="18.5" style="8" customWidth="1"/>
    <col min="778" max="778" width="23.6640625" style="8" customWidth="1"/>
    <col min="779" max="1022" width="9.33203125" style="8"/>
    <col min="1023" max="1023" width="18.1640625" style="8" customWidth="1"/>
    <col min="1024" max="1024" width="23.1640625" style="8" customWidth="1"/>
    <col min="1025" max="1025" width="12.5" style="8" customWidth="1"/>
    <col min="1026" max="1026" width="10.83203125" style="8" customWidth="1"/>
    <col min="1027" max="1027" width="9.33203125" style="8"/>
    <col min="1028" max="1028" width="12.1640625" style="8" customWidth="1"/>
    <col min="1029" max="1029" width="11.1640625" style="8" customWidth="1"/>
    <col min="1030" max="1030" width="13.1640625" style="8" customWidth="1"/>
    <col min="1031" max="1031" width="11" style="8" customWidth="1"/>
    <col min="1032" max="1032" width="7.5" style="8" customWidth="1"/>
    <col min="1033" max="1033" width="18.5" style="8" customWidth="1"/>
    <col min="1034" max="1034" width="23.6640625" style="8" customWidth="1"/>
    <col min="1035" max="1278" width="9.33203125" style="8"/>
    <col min="1279" max="1279" width="18.1640625" style="8" customWidth="1"/>
    <col min="1280" max="1280" width="23.1640625" style="8" customWidth="1"/>
    <col min="1281" max="1281" width="12.5" style="8" customWidth="1"/>
    <col min="1282" max="1282" width="10.83203125" style="8" customWidth="1"/>
    <col min="1283" max="1283" width="9.33203125" style="8"/>
    <col min="1284" max="1284" width="12.1640625" style="8" customWidth="1"/>
    <col min="1285" max="1285" width="11.1640625" style="8" customWidth="1"/>
    <col min="1286" max="1286" width="13.1640625" style="8" customWidth="1"/>
    <col min="1287" max="1287" width="11" style="8" customWidth="1"/>
    <col min="1288" max="1288" width="7.5" style="8" customWidth="1"/>
    <col min="1289" max="1289" width="18.5" style="8" customWidth="1"/>
    <col min="1290" max="1290" width="23.6640625" style="8" customWidth="1"/>
    <col min="1291" max="1534" width="9.33203125" style="8"/>
    <col min="1535" max="1535" width="18.1640625" style="8" customWidth="1"/>
    <col min="1536" max="1536" width="23.1640625" style="8" customWidth="1"/>
    <col min="1537" max="1537" width="12.5" style="8" customWidth="1"/>
    <col min="1538" max="1538" width="10.83203125" style="8" customWidth="1"/>
    <col min="1539" max="1539" width="9.33203125" style="8"/>
    <col min="1540" max="1540" width="12.1640625" style="8" customWidth="1"/>
    <col min="1541" max="1541" width="11.1640625" style="8" customWidth="1"/>
    <col min="1542" max="1542" width="13.1640625" style="8" customWidth="1"/>
    <col min="1543" max="1543" width="11" style="8" customWidth="1"/>
    <col min="1544" max="1544" width="7.5" style="8" customWidth="1"/>
    <col min="1545" max="1545" width="18.5" style="8" customWidth="1"/>
    <col min="1546" max="1546" width="23.6640625" style="8" customWidth="1"/>
    <col min="1547" max="1790" width="9.33203125" style="8"/>
    <col min="1791" max="1791" width="18.1640625" style="8" customWidth="1"/>
    <col min="1792" max="1792" width="23.1640625" style="8" customWidth="1"/>
    <col min="1793" max="1793" width="12.5" style="8" customWidth="1"/>
    <col min="1794" max="1794" width="10.83203125" style="8" customWidth="1"/>
    <col min="1795" max="1795" width="9.33203125" style="8"/>
    <col min="1796" max="1796" width="12.1640625" style="8" customWidth="1"/>
    <col min="1797" max="1797" width="11.1640625" style="8" customWidth="1"/>
    <col min="1798" max="1798" width="13.1640625" style="8" customWidth="1"/>
    <col min="1799" max="1799" width="11" style="8" customWidth="1"/>
    <col min="1800" max="1800" width="7.5" style="8" customWidth="1"/>
    <col min="1801" max="1801" width="18.5" style="8" customWidth="1"/>
    <col min="1802" max="1802" width="23.6640625" style="8" customWidth="1"/>
    <col min="1803" max="2046" width="9.33203125" style="8"/>
    <col min="2047" max="2047" width="18.1640625" style="8" customWidth="1"/>
    <col min="2048" max="2048" width="23.1640625" style="8" customWidth="1"/>
    <col min="2049" max="2049" width="12.5" style="8" customWidth="1"/>
    <col min="2050" max="2050" width="10.83203125" style="8" customWidth="1"/>
    <col min="2051" max="2051" width="9.33203125" style="8"/>
    <col min="2052" max="2052" width="12.1640625" style="8" customWidth="1"/>
    <col min="2053" max="2053" width="11.1640625" style="8" customWidth="1"/>
    <col min="2054" max="2054" width="13.1640625" style="8" customWidth="1"/>
    <col min="2055" max="2055" width="11" style="8" customWidth="1"/>
    <col min="2056" max="2056" width="7.5" style="8" customWidth="1"/>
    <col min="2057" max="2057" width="18.5" style="8" customWidth="1"/>
    <col min="2058" max="2058" width="23.6640625" style="8" customWidth="1"/>
    <col min="2059" max="2302" width="9.33203125" style="8"/>
    <col min="2303" max="2303" width="18.1640625" style="8" customWidth="1"/>
    <col min="2304" max="2304" width="23.1640625" style="8" customWidth="1"/>
    <col min="2305" max="2305" width="12.5" style="8" customWidth="1"/>
    <col min="2306" max="2306" width="10.83203125" style="8" customWidth="1"/>
    <col min="2307" max="2307" width="9.33203125" style="8"/>
    <col min="2308" max="2308" width="12.1640625" style="8" customWidth="1"/>
    <col min="2309" max="2309" width="11.1640625" style="8" customWidth="1"/>
    <col min="2310" max="2310" width="13.1640625" style="8" customWidth="1"/>
    <col min="2311" max="2311" width="11" style="8" customWidth="1"/>
    <col min="2312" max="2312" width="7.5" style="8" customWidth="1"/>
    <col min="2313" max="2313" width="18.5" style="8" customWidth="1"/>
    <col min="2314" max="2314" width="23.6640625" style="8" customWidth="1"/>
    <col min="2315" max="2558" width="9.33203125" style="8"/>
    <col min="2559" max="2559" width="18.1640625" style="8" customWidth="1"/>
    <col min="2560" max="2560" width="23.1640625" style="8" customWidth="1"/>
    <col min="2561" max="2561" width="12.5" style="8" customWidth="1"/>
    <col min="2562" max="2562" width="10.83203125" style="8" customWidth="1"/>
    <col min="2563" max="2563" width="9.33203125" style="8"/>
    <col min="2564" max="2564" width="12.1640625" style="8" customWidth="1"/>
    <col min="2565" max="2565" width="11.1640625" style="8" customWidth="1"/>
    <col min="2566" max="2566" width="13.1640625" style="8" customWidth="1"/>
    <col min="2567" max="2567" width="11" style="8" customWidth="1"/>
    <col min="2568" max="2568" width="7.5" style="8" customWidth="1"/>
    <col min="2569" max="2569" width="18.5" style="8" customWidth="1"/>
    <col min="2570" max="2570" width="23.6640625" style="8" customWidth="1"/>
    <col min="2571" max="2814" width="9.33203125" style="8"/>
    <col min="2815" max="2815" width="18.1640625" style="8" customWidth="1"/>
    <col min="2816" max="2816" width="23.1640625" style="8" customWidth="1"/>
    <col min="2817" max="2817" width="12.5" style="8" customWidth="1"/>
    <col min="2818" max="2818" width="10.83203125" style="8" customWidth="1"/>
    <col min="2819" max="2819" width="9.33203125" style="8"/>
    <col min="2820" max="2820" width="12.1640625" style="8" customWidth="1"/>
    <col min="2821" max="2821" width="11.1640625" style="8" customWidth="1"/>
    <col min="2822" max="2822" width="13.1640625" style="8" customWidth="1"/>
    <col min="2823" max="2823" width="11" style="8" customWidth="1"/>
    <col min="2824" max="2824" width="7.5" style="8" customWidth="1"/>
    <col min="2825" max="2825" width="18.5" style="8" customWidth="1"/>
    <col min="2826" max="2826" width="23.6640625" style="8" customWidth="1"/>
    <col min="2827" max="3070" width="9.33203125" style="8"/>
    <col min="3071" max="3071" width="18.1640625" style="8" customWidth="1"/>
    <col min="3072" max="3072" width="23.1640625" style="8" customWidth="1"/>
    <col min="3073" max="3073" width="12.5" style="8" customWidth="1"/>
    <col min="3074" max="3074" width="10.83203125" style="8" customWidth="1"/>
    <col min="3075" max="3075" width="9.33203125" style="8"/>
    <col min="3076" max="3076" width="12.1640625" style="8" customWidth="1"/>
    <col min="3077" max="3077" width="11.1640625" style="8" customWidth="1"/>
    <col min="3078" max="3078" width="13.1640625" style="8" customWidth="1"/>
    <col min="3079" max="3079" width="11" style="8" customWidth="1"/>
    <col min="3080" max="3080" width="7.5" style="8" customWidth="1"/>
    <col min="3081" max="3081" width="18.5" style="8" customWidth="1"/>
    <col min="3082" max="3082" width="23.6640625" style="8" customWidth="1"/>
    <col min="3083" max="3326" width="9.33203125" style="8"/>
    <col min="3327" max="3327" width="18.1640625" style="8" customWidth="1"/>
    <col min="3328" max="3328" width="23.1640625" style="8" customWidth="1"/>
    <col min="3329" max="3329" width="12.5" style="8" customWidth="1"/>
    <col min="3330" max="3330" width="10.83203125" style="8" customWidth="1"/>
    <col min="3331" max="3331" width="9.33203125" style="8"/>
    <col min="3332" max="3332" width="12.1640625" style="8" customWidth="1"/>
    <col min="3333" max="3333" width="11.1640625" style="8" customWidth="1"/>
    <col min="3334" max="3334" width="13.1640625" style="8" customWidth="1"/>
    <col min="3335" max="3335" width="11" style="8" customWidth="1"/>
    <col min="3336" max="3336" width="7.5" style="8" customWidth="1"/>
    <col min="3337" max="3337" width="18.5" style="8" customWidth="1"/>
    <col min="3338" max="3338" width="23.6640625" style="8" customWidth="1"/>
    <col min="3339" max="3582" width="9.33203125" style="8"/>
    <col min="3583" max="3583" width="18.1640625" style="8" customWidth="1"/>
    <col min="3584" max="3584" width="23.1640625" style="8" customWidth="1"/>
    <col min="3585" max="3585" width="12.5" style="8" customWidth="1"/>
    <col min="3586" max="3586" width="10.83203125" style="8" customWidth="1"/>
    <col min="3587" max="3587" width="9.33203125" style="8"/>
    <col min="3588" max="3588" width="12.1640625" style="8" customWidth="1"/>
    <col min="3589" max="3589" width="11.1640625" style="8" customWidth="1"/>
    <col min="3590" max="3590" width="13.1640625" style="8" customWidth="1"/>
    <col min="3591" max="3591" width="11" style="8" customWidth="1"/>
    <col min="3592" max="3592" width="7.5" style="8" customWidth="1"/>
    <col min="3593" max="3593" width="18.5" style="8" customWidth="1"/>
    <col min="3594" max="3594" width="23.6640625" style="8" customWidth="1"/>
    <col min="3595" max="3838" width="9.33203125" style="8"/>
    <col min="3839" max="3839" width="18.1640625" style="8" customWidth="1"/>
    <col min="3840" max="3840" width="23.1640625" style="8" customWidth="1"/>
    <col min="3841" max="3841" width="12.5" style="8" customWidth="1"/>
    <col min="3842" max="3842" width="10.83203125" style="8" customWidth="1"/>
    <col min="3843" max="3843" width="9.33203125" style="8"/>
    <col min="3844" max="3844" width="12.1640625" style="8" customWidth="1"/>
    <col min="3845" max="3845" width="11.1640625" style="8" customWidth="1"/>
    <col min="3846" max="3846" width="13.1640625" style="8" customWidth="1"/>
    <col min="3847" max="3847" width="11" style="8" customWidth="1"/>
    <col min="3848" max="3848" width="7.5" style="8" customWidth="1"/>
    <col min="3849" max="3849" width="18.5" style="8" customWidth="1"/>
    <col min="3850" max="3850" width="23.6640625" style="8" customWidth="1"/>
    <col min="3851" max="4094" width="9.33203125" style="8"/>
    <col min="4095" max="4095" width="18.1640625" style="8" customWidth="1"/>
    <col min="4096" max="4096" width="23.1640625" style="8" customWidth="1"/>
    <col min="4097" max="4097" width="12.5" style="8" customWidth="1"/>
    <col min="4098" max="4098" width="10.83203125" style="8" customWidth="1"/>
    <col min="4099" max="4099" width="9.33203125" style="8"/>
    <col min="4100" max="4100" width="12.1640625" style="8" customWidth="1"/>
    <col min="4101" max="4101" width="11.1640625" style="8" customWidth="1"/>
    <col min="4102" max="4102" width="13.1640625" style="8" customWidth="1"/>
    <col min="4103" max="4103" width="11" style="8" customWidth="1"/>
    <col min="4104" max="4104" width="7.5" style="8" customWidth="1"/>
    <col min="4105" max="4105" width="18.5" style="8" customWidth="1"/>
    <col min="4106" max="4106" width="23.6640625" style="8" customWidth="1"/>
    <col min="4107" max="4350" width="9.33203125" style="8"/>
    <col min="4351" max="4351" width="18.1640625" style="8" customWidth="1"/>
    <col min="4352" max="4352" width="23.1640625" style="8" customWidth="1"/>
    <col min="4353" max="4353" width="12.5" style="8" customWidth="1"/>
    <col min="4354" max="4354" width="10.83203125" style="8" customWidth="1"/>
    <col min="4355" max="4355" width="9.33203125" style="8"/>
    <col min="4356" max="4356" width="12.1640625" style="8" customWidth="1"/>
    <col min="4357" max="4357" width="11.1640625" style="8" customWidth="1"/>
    <col min="4358" max="4358" width="13.1640625" style="8" customWidth="1"/>
    <col min="4359" max="4359" width="11" style="8" customWidth="1"/>
    <col min="4360" max="4360" width="7.5" style="8" customWidth="1"/>
    <col min="4361" max="4361" width="18.5" style="8" customWidth="1"/>
    <col min="4362" max="4362" width="23.6640625" style="8" customWidth="1"/>
    <col min="4363" max="4606" width="9.33203125" style="8"/>
    <col min="4607" max="4607" width="18.1640625" style="8" customWidth="1"/>
    <col min="4608" max="4608" width="23.1640625" style="8" customWidth="1"/>
    <col min="4609" max="4609" width="12.5" style="8" customWidth="1"/>
    <col min="4610" max="4610" width="10.83203125" style="8" customWidth="1"/>
    <col min="4611" max="4611" width="9.33203125" style="8"/>
    <col min="4612" max="4612" width="12.1640625" style="8" customWidth="1"/>
    <col min="4613" max="4613" width="11.1640625" style="8" customWidth="1"/>
    <col min="4614" max="4614" width="13.1640625" style="8" customWidth="1"/>
    <col min="4615" max="4615" width="11" style="8" customWidth="1"/>
    <col min="4616" max="4616" width="7.5" style="8" customWidth="1"/>
    <col min="4617" max="4617" width="18.5" style="8" customWidth="1"/>
    <col min="4618" max="4618" width="23.6640625" style="8" customWidth="1"/>
    <col min="4619" max="4862" width="9.33203125" style="8"/>
    <col min="4863" max="4863" width="18.1640625" style="8" customWidth="1"/>
    <col min="4864" max="4864" width="23.1640625" style="8" customWidth="1"/>
    <col min="4865" max="4865" width="12.5" style="8" customWidth="1"/>
    <col min="4866" max="4866" width="10.83203125" style="8" customWidth="1"/>
    <col min="4867" max="4867" width="9.33203125" style="8"/>
    <col min="4868" max="4868" width="12.1640625" style="8" customWidth="1"/>
    <col min="4869" max="4869" width="11.1640625" style="8" customWidth="1"/>
    <col min="4870" max="4870" width="13.1640625" style="8" customWidth="1"/>
    <col min="4871" max="4871" width="11" style="8" customWidth="1"/>
    <col min="4872" max="4872" width="7.5" style="8" customWidth="1"/>
    <col min="4873" max="4873" width="18.5" style="8" customWidth="1"/>
    <col min="4874" max="4874" width="23.6640625" style="8" customWidth="1"/>
    <col min="4875" max="5118" width="9.33203125" style="8"/>
    <col min="5119" max="5119" width="18.1640625" style="8" customWidth="1"/>
    <col min="5120" max="5120" width="23.1640625" style="8" customWidth="1"/>
    <col min="5121" max="5121" width="12.5" style="8" customWidth="1"/>
    <col min="5122" max="5122" width="10.83203125" style="8" customWidth="1"/>
    <col min="5123" max="5123" width="9.33203125" style="8"/>
    <col min="5124" max="5124" width="12.1640625" style="8" customWidth="1"/>
    <col min="5125" max="5125" width="11.1640625" style="8" customWidth="1"/>
    <col min="5126" max="5126" width="13.1640625" style="8" customWidth="1"/>
    <col min="5127" max="5127" width="11" style="8" customWidth="1"/>
    <col min="5128" max="5128" width="7.5" style="8" customWidth="1"/>
    <col min="5129" max="5129" width="18.5" style="8" customWidth="1"/>
    <col min="5130" max="5130" width="23.6640625" style="8" customWidth="1"/>
    <col min="5131" max="5374" width="9.33203125" style="8"/>
    <col min="5375" max="5375" width="18.1640625" style="8" customWidth="1"/>
    <col min="5376" max="5376" width="23.1640625" style="8" customWidth="1"/>
    <col min="5377" max="5377" width="12.5" style="8" customWidth="1"/>
    <col min="5378" max="5378" width="10.83203125" style="8" customWidth="1"/>
    <col min="5379" max="5379" width="9.33203125" style="8"/>
    <col min="5380" max="5380" width="12.1640625" style="8" customWidth="1"/>
    <col min="5381" max="5381" width="11.1640625" style="8" customWidth="1"/>
    <col min="5382" max="5382" width="13.1640625" style="8" customWidth="1"/>
    <col min="5383" max="5383" width="11" style="8" customWidth="1"/>
    <col min="5384" max="5384" width="7.5" style="8" customWidth="1"/>
    <col min="5385" max="5385" width="18.5" style="8" customWidth="1"/>
    <col min="5386" max="5386" width="23.6640625" style="8" customWidth="1"/>
    <col min="5387" max="5630" width="9.33203125" style="8"/>
    <col min="5631" max="5631" width="18.1640625" style="8" customWidth="1"/>
    <col min="5632" max="5632" width="23.1640625" style="8" customWidth="1"/>
    <col min="5633" max="5633" width="12.5" style="8" customWidth="1"/>
    <col min="5634" max="5634" width="10.83203125" style="8" customWidth="1"/>
    <col min="5635" max="5635" width="9.33203125" style="8"/>
    <col min="5636" max="5636" width="12.1640625" style="8" customWidth="1"/>
    <col min="5637" max="5637" width="11.1640625" style="8" customWidth="1"/>
    <col min="5638" max="5638" width="13.1640625" style="8" customWidth="1"/>
    <col min="5639" max="5639" width="11" style="8" customWidth="1"/>
    <col min="5640" max="5640" width="7.5" style="8" customWidth="1"/>
    <col min="5641" max="5641" width="18.5" style="8" customWidth="1"/>
    <col min="5642" max="5642" width="23.6640625" style="8" customWidth="1"/>
    <col min="5643" max="5886" width="9.33203125" style="8"/>
    <col min="5887" max="5887" width="18.1640625" style="8" customWidth="1"/>
    <col min="5888" max="5888" width="23.1640625" style="8" customWidth="1"/>
    <col min="5889" max="5889" width="12.5" style="8" customWidth="1"/>
    <col min="5890" max="5890" width="10.83203125" style="8" customWidth="1"/>
    <col min="5891" max="5891" width="9.33203125" style="8"/>
    <col min="5892" max="5892" width="12.1640625" style="8" customWidth="1"/>
    <col min="5893" max="5893" width="11.1640625" style="8" customWidth="1"/>
    <col min="5894" max="5894" width="13.1640625" style="8" customWidth="1"/>
    <col min="5895" max="5895" width="11" style="8" customWidth="1"/>
    <col min="5896" max="5896" width="7.5" style="8" customWidth="1"/>
    <col min="5897" max="5897" width="18.5" style="8" customWidth="1"/>
    <col min="5898" max="5898" width="23.6640625" style="8" customWidth="1"/>
    <col min="5899" max="6142" width="9.33203125" style="8"/>
    <col min="6143" max="6143" width="18.1640625" style="8" customWidth="1"/>
    <col min="6144" max="6144" width="23.1640625" style="8" customWidth="1"/>
    <col min="6145" max="6145" width="12.5" style="8" customWidth="1"/>
    <col min="6146" max="6146" width="10.83203125" style="8" customWidth="1"/>
    <col min="6147" max="6147" width="9.33203125" style="8"/>
    <col min="6148" max="6148" width="12.1640625" style="8" customWidth="1"/>
    <col min="6149" max="6149" width="11.1640625" style="8" customWidth="1"/>
    <col min="6150" max="6150" width="13.1640625" style="8" customWidth="1"/>
    <col min="6151" max="6151" width="11" style="8" customWidth="1"/>
    <col min="6152" max="6152" width="7.5" style="8" customWidth="1"/>
    <col min="6153" max="6153" width="18.5" style="8" customWidth="1"/>
    <col min="6154" max="6154" width="23.6640625" style="8" customWidth="1"/>
    <col min="6155" max="6398" width="9.33203125" style="8"/>
    <col min="6399" max="6399" width="18.1640625" style="8" customWidth="1"/>
    <col min="6400" max="6400" width="23.1640625" style="8" customWidth="1"/>
    <col min="6401" max="6401" width="12.5" style="8" customWidth="1"/>
    <col min="6402" max="6402" width="10.83203125" style="8" customWidth="1"/>
    <col min="6403" max="6403" width="9.33203125" style="8"/>
    <col min="6404" max="6404" width="12.1640625" style="8" customWidth="1"/>
    <col min="6405" max="6405" width="11.1640625" style="8" customWidth="1"/>
    <col min="6406" max="6406" width="13.1640625" style="8" customWidth="1"/>
    <col min="6407" max="6407" width="11" style="8" customWidth="1"/>
    <col min="6408" max="6408" width="7.5" style="8" customWidth="1"/>
    <col min="6409" max="6409" width="18.5" style="8" customWidth="1"/>
    <col min="6410" max="6410" width="23.6640625" style="8" customWidth="1"/>
    <col min="6411" max="6654" width="9.33203125" style="8"/>
    <col min="6655" max="6655" width="18.1640625" style="8" customWidth="1"/>
    <col min="6656" max="6656" width="23.1640625" style="8" customWidth="1"/>
    <col min="6657" max="6657" width="12.5" style="8" customWidth="1"/>
    <col min="6658" max="6658" width="10.83203125" style="8" customWidth="1"/>
    <col min="6659" max="6659" width="9.33203125" style="8"/>
    <col min="6660" max="6660" width="12.1640625" style="8" customWidth="1"/>
    <col min="6661" max="6661" width="11.1640625" style="8" customWidth="1"/>
    <col min="6662" max="6662" width="13.1640625" style="8" customWidth="1"/>
    <col min="6663" max="6663" width="11" style="8" customWidth="1"/>
    <col min="6664" max="6664" width="7.5" style="8" customWidth="1"/>
    <col min="6665" max="6665" width="18.5" style="8" customWidth="1"/>
    <col min="6666" max="6666" width="23.6640625" style="8" customWidth="1"/>
    <col min="6667" max="6910" width="9.33203125" style="8"/>
    <col min="6911" max="6911" width="18.1640625" style="8" customWidth="1"/>
    <col min="6912" max="6912" width="23.1640625" style="8" customWidth="1"/>
    <col min="6913" max="6913" width="12.5" style="8" customWidth="1"/>
    <col min="6914" max="6914" width="10.83203125" style="8" customWidth="1"/>
    <col min="6915" max="6915" width="9.33203125" style="8"/>
    <col min="6916" max="6916" width="12.1640625" style="8" customWidth="1"/>
    <col min="6917" max="6917" width="11.1640625" style="8" customWidth="1"/>
    <col min="6918" max="6918" width="13.1640625" style="8" customWidth="1"/>
    <col min="6919" max="6919" width="11" style="8" customWidth="1"/>
    <col min="6920" max="6920" width="7.5" style="8" customWidth="1"/>
    <col min="6921" max="6921" width="18.5" style="8" customWidth="1"/>
    <col min="6922" max="6922" width="23.6640625" style="8" customWidth="1"/>
    <col min="6923" max="7166" width="9.33203125" style="8"/>
    <col min="7167" max="7167" width="18.1640625" style="8" customWidth="1"/>
    <col min="7168" max="7168" width="23.1640625" style="8" customWidth="1"/>
    <col min="7169" max="7169" width="12.5" style="8" customWidth="1"/>
    <col min="7170" max="7170" width="10.83203125" style="8" customWidth="1"/>
    <col min="7171" max="7171" width="9.33203125" style="8"/>
    <col min="7172" max="7172" width="12.1640625" style="8" customWidth="1"/>
    <col min="7173" max="7173" width="11.1640625" style="8" customWidth="1"/>
    <col min="7174" max="7174" width="13.1640625" style="8" customWidth="1"/>
    <col min="7175" max="7175" width="11" style="8" customWidth="1"/>
    <col min="7176" max="7176" width="7.5" style="8" customWidth="1"/>
    <col min="7177" max="7177" width="18.5" style="8" customWidth="1"/>
    <col min="7178" max="7178" width="23.6640625" style="8" customWidth="1"/>
    <col min="7179" max="7422" width="9.33203125" style="8"/>
    <col min="7423" max="7423" width="18.1640625" style="8" customWidth="1"/>
    <col min="7424" max="7424" width="23.1640625" style="8" customWidth="1"/>
    <col min="7425" max="7425" width="12.5" style="8" customWidth="1"/>
    <col min="7426" max="7426" width="10.83203125" style="8" customWidth="1"/>
    <col min="7427" max="7427" width="9.33203125" style="8"/>
    <col min="7428" max="7428" width="12.1640625" style="8" customWidth="1"/>
    <col min="7429" max="7429" width="11.1640625" style="8" customWidth="1"/>
    <col min="7430" max="7430" width="13.1640625" style="8" customWidth="1"/>
    <col min="7431" max="7431" width="11" style="8" customWidth="1"/>
    <col min="7432" max="7432" width="7.5" style="8" customWidth="1"/>
    <col min="7433" max="7433" width="18.5" style="8" customWidth="1"/>
    <col min="7434" max="7434" width="23.6640625" style="8" customWidth="1"/>
    <col min="7435" max="7678" width="9.33203125" style="8"/>
    <col min="7679" max="7679" width="18.1640625" style="8" customWidth="1"/>
    <col min="7680" max="7680" width="23.1640625" style="8" customWidth="1"/>
    <col min="7681" max="7681" width="12.5" style="8" customWidth="1"/>
    <col min="7682" max="7682" width="10.83203125" style="8" customWidth="1"/>
    <col min="7683" max="7683" width="9.33203125" style="8"/>
    <col min="7684" max="7684" width="12.1640625" style="8" customWidth="1"/>
    <col min="7685" max="7685" width="11.1640625" style="8" customWidth="1"/>
    <col min="7686" max="7686" width="13.1640625" style="8" customWidth="1"/>
    <col min="7687" max="7687" width="11" style="8" customWidth="1"/>
    <col min="7688" max="7688" width="7.5" style="8" customWidth="1"/>
    <col min="7689" max="7689" width="18.5" style="8" customWidth="1"/>
    <col min="7690" max="7690" width="23.6640625" style="8" customWidth="1"/>
    <col min="7691" max="7934" width="9.33203125" style="8"/>
    <col min="7935" max="7935" width="18.1640625" style="8" customWidth="1"/>
    <col min="7936" max="7936" width="23.1640625" style="8" customWidth="1"/>
    <col min="7937" max="7937" width="12.5" style="8" customWidth="1"/>
    <col min="7938" max="7938" width="10.83203125" style="8" customWidth="1"/>
    <col min="7939" max="7939" width="9.33203125" style="8"/>
    <col min="7940" max="7940" width="12.1640625" style="8" customWidth="1"/>
    <col min="7941" max="7941" width="11.1640625" style="8" customWidth="1"/>
    <col min="7942" max="7942" width="13.1640625" style="8" customWidth="1"/>
    <col min="7943" max="7943" width="11" style="8" customWidth="1"/>
    <col min="7944" max="7944" width="7.5" style="8" customWidth="1"/>
    <col min="7945" max="7945" width="18.5" style="8" customWidth="1"/>
    <col min="7946" max="7946" width="23.6640625" style="8" customWidth="1"/>
    <col min="7947" max="8190" width="9.33203125" style="8"/>
    <col min="8191" max="8191" width="18.1640625" style="8" customWidth="1"/>
    <col min="8192" max="8192" width="23.1640625" style="8" customWidth="1"/>
    <col min="8193" max="8193" width="12.5" style="8" customWidth="1"/>
    <col min="8194" max="8194" width="10.83203125" style="8" customWidth="1"/>
    <col min="8195" max="8195" width="9.33203125" style="8"/>
    <col min="8196" max="8196" width="12.1640625" style="8" customWidth="1"/>
    <col min="8197" max="8197" width="11.1640625" style="8" customWidth="1"/>
    <col min="8198" max="8198" width="13.1640625" style="8" customWidth="1"/>
    <col min="8199" max="8199" width="11" style="8" customWidth="1"/>
    <col min="8200" max="8200" width="7.5" style="8" customWidth="1"/>
    <col min="8201" max="8201" width="18.5" style="8" customWidth="1"/>
    <col min="8202" max="8202" width="23.6640625" style="8" customWidth="1"/>
    <col min="8203" max="8446" width="9.33203125" style="8"/>
    <col min="8447" max="8447" width="18.1640625" style="8" customWidth="1"/>
    <col min="8448" max="8448" width="23.1640625" style="8" customWidth="1"/>
    <col min="8449" max="8449" width="12.5" style="8" customWidth="1"/>
    <col min="8450" max="8450" width="10.83203125" style="8" customWidth="1"/>
    <col min="8451" max="8451" width="9.33203125" style="8"/>
    <col min="8452" max="8452" width="12.1640625" style="8" customWidth="1"/>
    <col min="8453" max="8453" width="11.1640625" style="8" customWidth="1"/>
    <col min="8454" max="8454" width="13.1640625" style="8" customWidth="1"/>
    <col min="8455" max="8455" width="11" style="8" customWidth="1"/>
    <col min="8456" max="8456" width="7.5" style="8" customWidth="1"/>
    <col min="8457" max="8457" width="18.5" style="8" customWidth="1"/>
    <col min="8458" max="8458" width="23.6640625" style="8" customWidth="1"/>
    <col min="8459" max="8702" width="9.33203125" style="8"/>
    <col min="8703" max="8703" width="18.1640625" style="8" customWidth="1"/>
    <col min="8704" max="8704" width="23.1640625" style="8" customWidth="1"/>
    <col min="8705" max="8705" width="12.5" style="8" customWidth="1"/>
    <col min="8706" max="8706" width="10.83203125" style="8" customWidth="1"/>
    <col min="8707" max="8707" width="9.33203125" style="8"/>
    <col min="8708" max="8708" width="12.1640625" style="8" customWidth="1"/>
    <col min="8709" max="8709" width="11.1640625" style="8" customWidth="1"/>
    <col min="8710" max="8710" width="13.1640625" style="8" customWidth="1"/>
    <col min="8711" max="8711" width="11" style="8" customWidth="1"/>
    <col min="8712" max="8712" width="7.5" style="8" customWidth="1"/>
    <col min="8713" max="8713" width="18.5" style="8" customWidth="1"/>
    <col min="8714" max="8714" width="23.6640625" style="8" customWidth="1"/>
    <col min="8715" max="8958" width="9.33203125" style="8"/>
    <col min="8959" max="8959" width="18.1640625" style="8" customWidth="1"/>
    <col min="8960" max="8960" width="23.1640625" style="8" customWidth="1"/>
    <col min="8961" max="8961" width="12.5" style="8" customWidth="1"/>
    <col min="8962" max="8962" width="10.83203125" style="8" customWidth="1"/>
    <col min="8963" max="8963" width="9.33203125" style="8"/>
    <col min="8964" max="8964" width="12.1640625" style="8" customWidth="1"/>
    <col min="8965" max="8965" width="11.1640625" style="8" customWidth="1"/>
    <col min="8966" max="8966" width="13.1640625" style="8" customWidth="1"/>
    <col min="8967" max="8967" width="11" style="8" customWidth="1"/>
    <col min="8968" max="8968" width="7.5" style="8" customWidth="1"/>
    <col min="8969" max="8969" width="18.5" style="8" customWidth="1"/>
    <col min="8970" max="8970" width="23.6640625" style="8" customWidth="1"/>
    <col min="8971" max="9214" width="9.33203125" style="8"/>
    <col min="9215" max="9215" width="18.1640625" style="8" customWidth="1"/>
    <col min="9216" max="9216" width="23.1640625" style="8" customWidth="1"/>
    <col min="9217" max="9217" width="12.5" style="8" customWidth="1"/>
    <col min="9218" max="9218" width="10.83203125" style="8" customWidth="1"/>
    <col min="9219" max="9219" width="9.33203125" style="8"/>
    <col min="9220" max="9220" width="12.1640625" style="8" customWidth="1"/>
    <col min="9221" max="9221" width="11.1640625" style="8" customWidth="1"/>
    <col min="9222" max="9222" width="13.1640625" style="8" customWidth="1"/>
    <col min="9223" max="9223" width="11" style="8" customWidth="1"/>
    <col min="9224" max="9224" width="7.5" style="8" customWidth="1"/>
    <col min="9225" max="9225" width="18.5" style="8" customWidth="1"/>
    <col min="9226" max="9226" width="23.6640625" style="8" customWidth="1"/>
    <col min="9227" max="9470" width="9.33203125" style="8"/>
    <col min="9471" max="9471" width="18.1640625" style="8" customWidth="1"/>
    <col min="9472" max="9472" width="23.1640625" style="8" customWidth="1"/>
    <col min="9473" max="9473" width="12.5" style="8" customWidth="1"/>
    <col min="9474" max="9474" width="10.83203125" style="8" customWidth="1"/>
    <col min="9475" max="9475" width="9.33203125" style="8"/>
    <col min="9476" max="9476" width="12.1640625" style="8" customWidth="1"/>
    <col min="9477" max="9477" width="11.1640625" style="8" customWidth="1"/>
    <col min="9478" max="9478" width="13.1640625" style="8" customWidth="1"/>
    <col min="9479" max="9479" width="11" style="8" customWidth="1"/>
    <col min="9480" max="9480" width="7.5" style="8" customWidth="1"/>
    <col min="9481" max="9481" width="18.5" style="8" customWidth="1"/>
    <col min="9482" max="9482" width="23.6640625" style="8" customWidth="1"/>
    <col min="9483" max="9726" width="9.33203125" style="8"/>
    <col min="9727" max="9727" width="18.1640625" style="8" customWidth="1"/>
    <col min="9728" max="9728" width="23.1640625" style="8" customWidth="1"/>
    <col min="9729" max="9729" width="12.5" style="8" customWidth="1"/>
    <col min="9730" max="9730" width="10.83203125" style="8" customWidth="1"/>
    <col min="9731" max="9731" width="9.33203125" style="8"/>
    <col min="9732" max="9732" width="12.1640625" style="8" customWidth="1"/>
    <col min="9733" max="9733" width="11.1640625" style="8" customWidth="1"/>
    <col min="9734" max="9734" width="13.1640625" style="8" customWidth="1"/>
    <col min="9735" max="9735" width="11" style="8" customWidth="1"/>
    <col min="9736" max="9736" width="7.5" style="8" customWidth="1"/>
    <col min="9737" max="9737" width="18.5" style="8" customWidth="1"/>
    <col min="9738" max="9738" width="23.6640625" style="8" customWidth="1"/>
    <col min="9739" max="9982" width="9.33203125" style="8"/>
    <col min="9983" max="9983" width="18.1640625" style="8" customWidth="1"/>
    <col min="9984" max="9984" width="23.1640625" style="8" customWidth="1"/>
    <col min="9985" max="9985" width="12.5" style="8" customWidth="1"/>
    <col min="9986" max="9986" width="10.83203125" style="8" customWidth="1"/>
    <col min="9987" max="9987" width="9.33203125" style="8"/>
    <col min="9988" max="9988" width="12.1640625" style="8" customWidth="1"/>
    <col min="9989" max="9989" width="11.1640625" style="8" customWidth="1"/>
    <col min="9990" max="9990" width="13.1640625" style="8" customWidth="1"/>
    <col min="9991" max="9991" width="11" style="8" customWidth="1"/>
    <col min="9992" max="9992" width="7.5" style="8" customWidth="1"/>
    <col min="9993" max="9993" width="18.5" style="8" customWidth="1"/>
    <col min="9994" max="9994" width="23.6640625" style="8" customWidth="1"/>
    <col min="9995" max="10238" width="9.33203125" style="8"/>
    <col min="10239" max="10239" width="18.1640625" style="8" customWidth="1"/>
    <col min="10240" max="10240" width="23.1640625" style="8" customWidth="1"/>
    <col min="10241" max="10241" width="12.5" style="8" customWidth="1"/>
    <col min="10242" max="10242" width="10.83203125" style="8" customWidth="1"/>
    <col min="10243" max="10243" width="9.33203125" style="8"/>
    <col min="10244" max="10244" width="12.1640625" style="8" customWidth="1"/>
    <col min="10245" max="10245" width="11.1640625" style="8" customWidth="1"/>
    <col min="10246" max="10246" width="13.1640625" style="8" customWidth="1"/>
    <col min="10247" max="10247" width="11" style="8" customWidth="1"/>
    <col min="10248" max="10248" width="7.5" style="8" customWidth="1"/>
    <col min="10249" max="10249" width="18.5" style="8" customWidth="1"/>
    <col min="10250" max="10250" width="23.6640625" style="8" customWidth="1"/>
    <col min="10251" max="10494" width="9.33203125" style="8"/>
    <col min="10495" max="10495" width="18.1640625" style="8" customWidth="1"/>
    <col min="10496" max="10496" width="23.1640625" style="8" customWidth="1"/>
    <col min="10497" max="10497" width="12.5" style="8" customWidth="1"/>
    <col min="10498" max="10498" width="10.83203125" style="8" customWidth="1"/>
    <col min="10499" max="10499" width="9.33203125" style="8"/>
    <col min="10500" max="10500" width="12.1640625" style="8" customWidth="1"/>
    <col min="10501" max="10501" width="11.1640625" style="8" customWidth="1"/>
    <col min="10502" max="10502" width="13.1640625" style="8" customWidth="1"/>
    <col min="10503" max="10503" width="11" style="8" customWidth="1"/>
    <col min="10504" max="10504" width="7.5" style="8" customWidth="1"/>
    <col min="10505" max="10505" width="18.5" style="8" customWidth="1"/>
    <col min="10506" max="10506" width="23.6640625" style="8" customWidth="1"/>
    <col min="10507" max="10750" width="9.33203125" style="8"/>
    <col min="10751" max="10751" width="18.1640625" style="8" customWidth="1"/>
    <col min="10752" max="10752" width="23.1640625" style="8" customWidth="1"/>
    <col min="10753" max="10753" width="12.5" style="8" customWidth="1"/>
    <col min="10754" max="10754" width="10.83203125" style="8" customWidth="1"/>
    <col min="10755" max="10755" width="9.33203125" style="8"/>
    <col min="10756" max="10756" width="12.1640625" style="8" customWidth="1"/>
    <col min="10757" max="10757" width="11.1640625" style="8" customWidth="1"/>
    <col min="10758" max="10758" width="13.1640625" style="8" customWidth="1"/>
    <col min="10759" max="10759" width="11" style="8" customWidth="1"/>
    <col min="10760" max="10760" width="7.5" style="8" customWidth="1"/>
    <col min="10761" max="10761" width="18.5" style="8" customWidth="1"/>
    <col min="10762" max="10762" width="23.6640625" style="8" customWidth="1"/>
    <col min="10763" max="11006" width="9.33203125" style="8"/>
    <col min="11007" max="11007" width="18.1640625" style="8" customWidth="1"/>
    <col min="11008" max="11008" width="23.1640625" style="8" customWidth="1"/>
    <col min="11009" max="11009" width="12.5" style="8" customWidth="1"/>
    <col min="11010" max="11010" width="10.83203125" style="8" customWidth="1"/>
    <col min="11011" max="11011" width="9.33203125" style="8"/>
    <col min="11012" max="11012" width="12.1640625" style="8" customWidth="1"/>
    <col min="11013" max="11013" width="11.1640625" style="8" customWidth="1"/>
    <col min="11014" max="11014" width="13.1640625" style="8" customWidth="1"/>
    <col min="11015" max="11015" width="11" style="8" customWidth="1"/>
    <col min="11016" max="11016" width="7.5" style="8" customWidth="1"/>
    <col min="11017" max="11017" width="18.5" style="8" customWidth="1"/>
    <col min="11018" max="11018" width="23.6640625" style="8" customWidth="1"/>
    <col min="11019" max="11262" width="9.33203125" style="8"/>
    <col min="11263" max="11263" width="18.1640625" style="8" customWidth="1"/>
    <col min="11264" max="11264" width="23.1640625" style="8" customWidth="1"/>
    <col min="11265" max="11265" width="12.5" style="8" customWidth="1"/>
    <col min="11266" max="11266" width="10.83203125" style="8" customWidth="1"/>
    <col min="11267" max="11267" width="9.33203125" style="8"/>
    <col min="11268" max="11268" width="12.1640625" style="8" customWidth="1"/>
    <col min="11269" max="11269" width="11.1640625" style="8" customWidth="1"/>
    <col min="11270" max="11270" width="13.1640625" style="8" customWidth="1"/>
    <col min="11271" max="11271" width="11" style="8" customWidth="1"/>
    <col min="11272" max="11272" width="7.5" style="8" customWidth="1"/>
    <col min="11273" max="11273" width="18.5" style="8" customWidth="1"/>
    <col min="11274" max="11274" width="23.6640625" style="8" customWidth="1"/>
    <col min="11275" max="11518" width="9.33203125" style="8"/>
    <col min="11519" max="11519" width="18.1640625" style="8" customWidth="1"/>
    <col min="11520" max="11520" width="23.1640625" style="8" customWidth="1"/>
    <col min="11521" max="11521" width="12.5" style="8" customWidth="1"/>
    <col min="11522" max="11522" width="10.83203125" style="8" customWidth="1"/>
    <col min="11523" max="11523" width="9.33203125" style="8"/>
    <col min="11524" max="11524" width="12.1640625" style="8" customWidth="1"/>
    <col min="11525" max="11525" width="11.1640625" style="8" customWidth="1"/>
    <col min="11526" max="11526" width="13.1640625" style="8" customWidth="1"/>
    <col min="11527" max="11527" width="11" style="8" customWidth="1"/>
    <col min="11528" max="11528" width="7.5" style="8" customWidth="1"/>
    <col min="11529" max="11529" width="18.5" style="8" customWidth="1"/>
    <col min="11530" max="11530" width="23.6640625" style="8" customWidth="1"/>
    <col min="11531" max="11774" width="9.33203125" style="8"/>
    <col min="11775" max="11775" width="18.1640625" style="8" customWidth="1"/>
    <col min="11776" max="11776" width="23.1640625" style="8" customWidth="1"/>
    <col min="11777" max="11777" width="12.5" style="8" customWidth="1"/>
    <col min="11778" max="11778" width="10.83203125" style="8" customWidth="1"/>
    <col min="11779" max="11779" width="9.33203125" style="8"/>
    <col min="11780" max="11780" width="12.1640625" style="8" customWidth="1"/>
    <col min="11781" max="11781" width="11.1640625" style="8" customWidth="1"/>
    <col min="11782" max="11782" width="13.1640625" style="8" customWidth="1"/>
    <col min="11783" max="11783" width="11" style="8" customWidth="1"/>
    <col min="11784" max="11784" width="7.5" style="8" customWidth="1"/>
    <col min="11785" max="11785" width="18.5" style="8" customWidth="1"/>
    <col min="11786" max="11786" width="23.6640625" style="8" customWidth="1"/>
    <col min="11787" max="12030" width="9.33203125" style="8"/>
    <col min="12031" max="12031" width="18.1640625" style="8" customWidth="1"/>
    <col min="12032" max="12032" width="23.1640625" style="8" customWidth="1"/>
    <col min="12033" max="12033" width="12.5" style="8" customWidth="1"/>
    <col min="12034" max="12034" width="10.83203125" style="8" customWidth="1"/>
    <col min="12035" max="12035" width="9.33203125" style="8"/>
    <col min="12036" max="12036" width="12.1640625" style="8" customWidth="1"/>
    <col min="12037" max="12037" width="11.1640625" style="8" customWidth="1"/>
    <col min="12038" max="12038" width="13.1640625" style="8" customWidth="1"/>
    <col min="12039" max="12039" width="11" style="8" customWidth="1"/>
    <col min="12040" max="12040" width="7.5" style="8" customWidth="1"/>
    <col min="12041" max="12041" width="18.5" style="8" customWidth="1"/>
    <col min="12042" max="12042" width="23.6640625" style="8" customWidth="1"/>
    <col min="12043" max="12286" width="9.33203125" style="8"/>
    <col min="12287" max="12287" width="18.1640625" style="8" customWidth="1"/>
    <col min="12288" max="12288" width="23.1640625" style="8" customWidth="1"/>
    <col min="12289" max="12289" width="12.5" style="8" customWidth="1"/>
    <col min="12290" max="12290" width="10.83203125" style="8" customWidth="1"/>
    <col min="12291" max="12291" width="9.33203125" style="8"/>
    <col min="12292" max="12292" width="12.1640625" style="8" customWidth="1"/>
    <col min="12293" max="12293" width="11.1640625" style="8" customWidth="1"/>
    <col min="12294" max="12294" width="13.1640625" style="8" customWidth="1"/>
    <col min="12295" max="12295" width="11" style="8" customWidth="1"/>
    <col min="12296" max="12296" width="7.5" style="8" customWidth="1"/>
    <col min="12297" max="12297" width="18.5" style="8" customWidth="1"/>
    <col min="12298" max="12298" width="23.6640625" style="8" customWidth="1"/>
    <col min="12299" max="12542" width="9.33203125" style="8"/>
    <col min="12543" max="12543" width="18.1640625" style="8" customWidth="1"/>
    <col min="12544" max="12544" width="23.1640625" style="8" customWidth="1"/>
    <col min="12545" max="12545" width="12.5" style="8" customWidth="1"/>
    <col min="12546" max="12546" width="10.83203125" style="8" customWidth="1"/>
    <col min="12547" max="12547" width="9.33203125" style="8"/>
    <col min="12548" max="12548" width="12.1640625" style="8" customWidth="1"/>
    <col min="12549" max="12549" width="11.1640625" style="8" customWidth="1"/>
    <col min="12550" max="12550" width="13.1640625" style="8" customWidth="1"/>
    <col min="12551" max="12551" width="11" style="8" customWidth="1"/>
    <col min="12552" max="12552" width="7.5" style="8" customWidth="1"/>
    <col min="12553" max="12553" width="18.5" style="8" customWidth="1"/>
    <col min="12554" max="12554" width="23.6640625" style="8" customWidth="1"/>
    <col min="12555" max="12798" width="9.33203125" style="8"/>
    <col min="12799" max="12799" width="18.1640625" style="8" customWidth="1"/>
    <col min="12800" max="12800" width="23.1640625" style="8" customWidth="1"/>
    <col min="12801" max="12801" width="12.5" style="8" customWidth="1"/>
    <col min="12802" max="12802" width="10.83203125" style="8" customWidth="1"/>
    <col min="12803" max="12803" width="9.33203125" style="8"/>
    <col min="12804" max="12804" width="12.1640625" style="8" customWidth="1"/>
    <col min="12805" max="12805" width="11.1640625" style="8" customWidth="1"/>
    <col min="12806" max="12806" width="13.1640625" style="8" customWidth="1"/>
    <col min="12807" max="12807" width="11" style="8" customWidth="1"/>
    <col min="12808" max="12808" width="7.5" style="8" customWidth="1"/>
    <col min="12809" max="12809" width="18.5" style="8" customWidth="1"/>
    <col min="12810" max="12810" width="23.6640625" style="8" customWidth="1"/>
    <col min="12811" max="13054" width="9.33203125" style="8"/>
    <col min="13055" max="13055" width="18.1640625" style="8" customWidth="1"/>
    <col min="13056" max="13056" width="23.1640625" style="8" customWidth="1"/>
    <col min="13057" max="13057" width="12.5" style="8" customWidth="1"/>
    <col min="13058" max="13058" width="10.83203125" style="8" customWidth="1"/>
    <col min="13059" max="13059" width="9.33203125" style="8"/>
    <col min="13060" max="13060" width="12.1640625" style="8" customWidth="1"/>
    <col min="13061" max="13061" width="11.1640625" style="8" customWidth="1"/>
    <col min="13062" max="13062" width="13.1640625" style="8" customWidth="1"/>
    <col min="13063" max="13063" width="11" style="8" customWidth="1"/>
    <col min="13064" max="13064" width="7.5" style="8" customWidth="1"/>
    <col min="13065" max="13065" width="18.5" style="8" customWidth="1"/>
    <col min="13066" max="13066" width="23.6640625" style="8" customWidth="1"/>
    <col min="13067" max="13310" width="9.33203125" style="8"/>
    <col min="13311" max="13311" width="18.1640625" style="8" customWidth="1"/>
    <col min="13312" max="13312" width="23.1640625" style="8" customWidth="1"/>
    <col min="13313" max="13313" width="12.5" style="8" customWidth="1"/>
    <col min="13314" max="13314" width="10.83203125" style="8" customWidth="1"/>
    <col min="13315" max="13315" width="9.33203125" style="8"/>
    <col min="13316" max="13316" width="12.1640625" style="8" customWidth="1"/>
    <col min="13317" max="13317" width="11.1640625" style="8" customWidth="1"/>
    <col min="13318" max="13318" width="13.1640625" style="8" customWidth="1"/>
    <col min="13319" max="13319" width="11" style="8" customWidth="1"/>
    <col min="13320" max="13320" width="7.5" style="8" customWidth="1"/>
    <col min="13321" max="13321" width="18.5" style="8" customWidth="1"/>
    <col min="13322" max="13322" width="23.6640625" style="8" customWidth="1"/>
    <col min="13323" max="13566" width="9.33203125" style="8"/>
    <col min="13567" max="13567" width="18.1640625" style="8" customWidth="1"/>
    <col min="13568" max="13568" width="23.1640625" style="8" customWidth="1"/>
    <col min="13569" max="13569" width="12.5" style="8" customWidth="1"/>
    <col min="13570" max="13570" width="10.83203125" style="8" customWidth="1"/>
    <col min="13571" max="13571" width="9.33203125" style="8"/>
    <col min="13572" max="13572" width="12.1640625" style="8" customWidth="1"/>
    <col min="13573" max="13573" width="11.1640625" style="8" customWidth="1"/>
    <col min="13574" max="13574" width="13.1640625" style="8" customWidth="1"/>
    <col min="13575" max="13575" width="11" style="8" customWidth="1"/>
    <col min="13576" max="13576" width="7.5" style="8" customWidth="1"/>
    <col min="13577" max="13577" width="18.5" style="8" customWidth="1"/>
    <col min="13578" max="13578" width="23.6640625" style="8" customWidth="1"/>
    <col min="13579" max="13822" width="9.33203125" style="8"/>
    <col min="13823" max="13823" width="18.1640625" style="8" customWidth="1"/>
    <col min="13824" max="13824" width="23.1640625" style="8" customWidth="1"/>
    <col min="13825" max="13825" width="12.5" style="8" customWidth="1"/>
    <col min="13826" max="13826" width="10.83203125" style="8" customWidth="1"/>
    <col min="13827" max="13827" width="9.33203125" style="8"/>
    <col min="13828" max="13828" width="12.1640625" style="8" customWidth="1"/>
    <col min="13829" max="13829" width="11.1640625" style="8" customWidth="1"/>
    <col min="13830" max="13830" width="13.1640625" style="8" customWidth="1"/>
    <col min="13831" max="13831" width="11" style="8" customWidth="1"/>
    <col min="13832" max="13832" width="7.5" style="8" customWidth="1"/>
    <col min="13833" max="13833" width="18.5" style="8" customWidth="1"/>
    <col min="13834" max="13834" width="23.6640625" style="8" customWidth="1"/>
    <col min="13835" max="14078" width="9.33203125" style="8"/>
    <col min="14079" max="14079" width="18.1640625" style="8" customWidth="1"/>
    <col min="14080" max="14080" width="23.1640625" style="8" customWidth="1"/>
    <col min="14081" max="14081" width="12.5" style="8" customWidth="1"/>
    <col min="14082" max="14082" width="10.83203125" style="8" customWidth="1"/>
    <col min="14083" max="14083" width="9.33203125" style="8"/>
    <col min="14084" max="14084" width="12.1640625" style="8" customWidth="1"/>
    <col min="14085" max="14085" width="11.1640625" style="8" customWidth="1"/>
    <col min="14086" max="14086" width="13.1640625" style="8" customWidth="1"/>
    <col min="14087" max="14087" width="11" style="8" customWidth="1"/>
    <col min="14088" max="14088" width="7.5" style="8" customWidth="1"/>
    <col min="14089" max="14089" width="18.5" style="8" customWidth="1"/>
    <col min="14090" max="14090" width="23.6640625" style="8" customWidth="1"/>
    <col min="14091" max="14334" width="9.33203125" style="8"/>
    <col min="14335" max="14335" width="18.1640625" style="8" customWidth="1"/>
    <col min="14336" max="14336" width="23.1640625" style="8" customWidth="1"/>
    <col min="14337" max="14337" width="12.5" style="8" customWidth="1"/>
    <col min="14338" max="14338" width="10.83203125" style="8" customWidth="1"/>
    <col min="14339" max="14339" width="9.33203125" style="8"/>
    <col min="14340" max="14340" width="12.1640625" style="8" customWidth="1"/>
    <col min="14341" max="14341" width="11.1640625" style="8" customWidth="1"/>
    <col min="14342" max="14342" width="13.1640625" style="8" customWidth="1"/>
    <col min="14343" max="14343" width="11" style="8" customWidth="1"/>
    <col min="14344" max="14344" width="7.5" style="8" customWidth="1"/>
    <col min="14345" max="14345" width="18.5" style="8" customWidth="1"/>
    <col min="14346" max="14346" width="23.6640625" style="8" customWidth="1"/>
    <col min="14347" max="14590" width="9.33203125" style="8"/>
    <col min="14591" max="14591" width="18.1640625" style="8" customWidth="1"/>
    <col min="14592" max="14592" width="23.1640625" style="8" customWidth="1"/>
    <col min="14593" max="14593" width="12.5" style="8" customWidth="1"/>
    <col min="14594" max="14594" width="10.83203125" style="8" customWidth="1"/>
    <col min="14595" max="14595" width="9.33203125" style="8"/>
    <col min="14596" max="14596" width="12.1640625" style="8" customWidth="1"/>
    <col min="14597" max="14597" width="11.1640625" style="8" customWidth="1"/>
    <col min="14598" max="14598" width="13.1640625" style="8" customWidth="1"/>
    <col min="14599" max="14599" width="11" style="8" customWidth="1"/>
    <col min="14600" max="14600" width="7.5" style="8" customWidth="1"/>
    <col min="14601" max="14601" width="18.5" style="8" customWidth="1"/>
    <col min="14602" max="14602" width="23.6640625" style="8" customWidth="1"/>
    <col min="14603" max="14846" width="9.33203125" style="8"/>
    <col min="14847" max="14847" width="18.1640625" style="8" customWidth="1"/>
    <col min="14848" max="14848" width="23.1640625" style="8" customWidth="1"/>
    <col min="14849" max="14849" width="12.5" style="8" customWidth="1"/>
    <col min="14850" max="14850" width="10.83203125" style="8" customWidth="1"/>
    <col min="14851" max="14851" width="9.33203125" style="8"/>
    <col min="14852" max="14852" width="12.1640625" style="8" customWidth="1"/>
    <col min="14853" max="14853" width="11.1640625" style="8" customWidth="1"/>
    <col min="14854" max="14854" width="13.1640625" style="8" customWidth="1"/>
    <col min="14855" max="14855" width="11" style="8" customWidth="1"/>
    <col min="14856" max="14856" width="7.5" style="8" customWidth="1"/>
    <col min="14857" max="14857" width="18.5" style="8" customWidth="1"/>
    <col min="14858" max="14858" width="23.6640625" style="8" customWidth="1"/>
    <col min="14859" max="15102" width="9.33203125" style="8"/>
    <col min="15103" max="15103" width="18.1640625" style="8" customWidth="1"/>
    <col min="15104" max="15104" width="23.1640625" style="8" customWidth="1"/>
    <col min="15105" max="15105" width="12.5" style="8" customWidth="1"/>
    <col min="15106" max="15106" width="10.83203125" style="8" customWidth="1"/>
    <col min="15107" max="15107" width="9.33203125" style="8"/>
    <col min="15108" max="15108" width="12.1640625" style="8" customWidth="1"/>
    <col min="15109" max="15109" width="11.1640625" style="8" customWidth="1"/>
    <col min="15110" max="15110" width="13.1640625" style="8" customWidth="1"/>
    <col min="15111" max="15111" width="11" style="8" customWidth="1"/>
    <col min="15112" max="15112" width="7.5" style="8" customWidth="1"/>
    <col min="15113" max="15113" width="18.5" style="8" customWidth="1"/>
    <col min="15114" max="15114" width="23.6640625" style="8" customWidth="1"/>
    <col min="15115" max="15358" width="9.33203125" style="8"/>
    <col min="15359" max="15359" width="18.1640625" style="8" customWidth="1"/>
    <col min="15360" max="15360" width="23.1640625" style="8" customWidth="1"/>
    <col min="15361" max="15361" width="12.5" style="8" customWidth="1"/>
    <col min="15362" max="15362" width="10.83203125" style="8" customWidth="1"/>
    <col min="15363" max="15363" width="9.33203125" style="8"/>
    <col min="15364" max="15364" width="12.1640625" style="8" customWidth="1"/>
    <col min="15365" max="15365" width="11.1640625" style="8" customWidth="1"/>
    <col min="15366" max="15366" width="13.1640625" style="8" customWidth="1"/>
    <col min="15367" max="15367" width="11" style="8" customWidth="1"/>
    <col min="15368" max="15368" width="7.5" style="8" customWidth="1"/>
    <col min="15369" max="15369" width="18.5" style="8" customWidth="1"/>
    <col min="15370" max="15370" width="23.6640625" style="8" customWidth="1"/>
    <col min="15371" max="15614" width="9.33203125" style="8"/>
    <col min="15615" max="15615" width="18.1640625" style="8" customWidth="1"/>
    <col min="15616" max="15616" width="23.1640625" style="8" customWidth="1"/>
    <col min="15617" max="15617" width="12.5" style="8" customWidth="1"/>
    <col min="15618" max="15618" width="10.83203125" style="8" customWidth="1"/>
    <col min="15619" max="15619" width="9.33203125" style="8"/>
    <col min="15620" max="15620" width="12.1640625" style="8" customWidth="1"/>
    <col min="15621" max="15621" width="11.1640625" style="8" customWidth="1"/>
    <col min="15622" max="15622" width="13.1640625" style="8" customWidth="1"/>
    <col min="15623" max="15623" width="11" style="8" customWidth="1"/>
    <col min="15624" max="15624" width="7.5" style="8" customWidth="1"/>
    <col min="15625" max="15625" width="18.5" style="8" customWidth="1"/>
    <col min="15626" max="15626" width="23.6640625" style="8" customWidth="1"/>
    <col min="15627" max="15870" width="9.33203125" style="8"/>
    <col min="15871" max="15871" width="18.1640625" style="8" customWidth="1"/>
    <col min="15872" max="15872" width="23.1640625" style="8" customWidth="1"/>
    <col min="15873" max="15873" width="12.5" style="8" customWidth="1"/>
    <col min="15874" max="15874" width="10.83203125" style="8" customWidth="1"/>
    <col min="15875" max="15875" width="9.33203125" style="8"/>
    <col min="15876" max="15876" width="12.1640625" style="8" customWidth="1"/>
    <col min="15877" max="15877" width="11.1640625" style="8" customWidth="1"/>
    <col min="15878" max="15878" width="13.1640625" style="8" customWidth="1"/>
    <col min="15879" max="15879" width="11" style="8" customWidth="1"/>
    <col min="15880" max="15880" width="7.5" style="8" customWidth="1"/>
    <col min="15881" max="15881" width="18.5" style="8" customWidth="1"/>
    <col min="15882" max="15882" width="23.6640625" style="8" customWidth="1"/>
    <col min="15883" max="16126" width="9.33203125" style="8"/>
    <col min="16127" max="16127" width="18.1640625" style="8" customWidth="1"/>
    <col min="16128" max="16128" width="23.1640625" style="8" customWidth="1"/>
    <col min="16129" max="16129" width="12.5" style="8" customWidth="1"/>
    <col min="16130" max="16130" width="10.83203125" style="8" customWidth="1"/>
    <col min="16131" max="16131" width="9.33203125" style="8"/>
    <col min="16132" max="16132" width="12.1640625" style="8" customWidth="1"/>
    <col min="16133" max="16133" width="11.1640625" style="8" customWidth="1"/>
    <col min="16134" max="16134" width="13.1640625" style="8" customWidth="1"/>
    <col min="16135" max="16135" width="11" style="8" customWidth="1"/>
    <col min="16136" max="16136" width="7.5" style="8" customWidth="1"/>
    <col min="16137" max="16137" width="18.5" style="8" customWidth="1"/>
    <col min="16138" max="16138" width="23.6640625" style="8" customWidth="1"/>
    <col min="16139" max="16384" width="9.33203125" style="8"/>
  </cols>
  <sheetData>
    <row r="1" spans="1:11" ht="21" customHeight="1">
      <c r="A1" s="1342" t="s">
        <v>424</v>
      </c>
      <c r="B1" s="1344"/>
      <c r="C1" s="200"/>
      <c r="D1" s="200"/>
      <c r="E1" s="200"/>
      <c r="F1" s="200"/>
      <c r="G1" s="200"/>
      <c r="H1" s="200"/>
      <c r="I1" s="200"/>
      <c r="J1" s="200"/>
    </row>
    <row r="2" spans="1:11" s="138" customFormat="1">
      <c r="A2" s="379"/>
      <c r="B2" s="1339" t="s">
        <v>370</v>
      </c>
      <c r="C2" s="1339"/>
      <c r="D2" s="1339"/>
      <c r="E2" s="1340" t="s">
        <v>622</v>
      </c>
      <c r="F2" s="1340"/>
      <c r="G2" s="1340"/>
      <c r="H2" s="1341" t="s">
        <v>623</v>
      </c>
      <c r="I2" s="1341"/>
      <c r="J2" s="1335" t="s">
        <v>631</v>
      </c>
    </row>
    <row r="3" spans="1:11" s="138" customFormat="1">
      <c r="A3" s="419" t="s">
        <v>426</v>
      </c>
      <c r="B3" s="419"/>
      <c r="C3" s="419"/>
      <c r="D3" s="419"/>
      <c r="E3" s="1340"/>
      <c r="F3" s="1340"/>
      <c r="G3" s="1340"/>
      <c r="H3" s="1341"/>
      <c r="I3" s="1341"/>
      <c r="J3" s="1335"/>
    </row>
    <row r="4" spans="1:11" s="138" customFormat="1">
      <c r="A4" s="419"/>
      <c r="B4" s="419"/>
      <c r="C4" s="419"/>
      <c r="D4" s="419"/>
      <c r="E4" s="1340"/>
      <c r="F4" s="1340"/>
      <c r="G4" s="1340"/>
      <c r="H4" s="1341"/>
      <c r="I4" s="1341"/>
      <c r="J4" s="1335"/>
    </row>
    <row r="5" spans="1:11" s="138" customFormat="1" ht="31.5">
      <c r="A5" s="1313" t="s">
        <v>1330</v>
      </c>
      <c r="B5" s="1313"/>
      <c r="C5" s="386"/>
      <c r="D5" s="275" t="s">
        <v>624</v>
      </c>
      <c r="E5" s="1238"/>
      <c r="F5" s="1238"/>
      <c r="G5" s="1238"/>
      <c r="H5" s="1341" t="s">
        <v>625</v>
      </c>
      <c r="I5" s="1341"/>
      <c r="J5" s="1335"/>
    </row>
    <row r="6" spans="1:11" ht="21" customHeight="1">
      <c r="A6" s="1313"/>
      <c r="B6" s="1313"/>
      <c r="C6" s="390"/>
      <c r="D6" s="237"/>
      <c r="E6" s="1240"/>
      <c r="F6" s="1537"/>
      <c r="G6" s="1538"/>
      <c r="H6" s="1341"/>
      <c r="I6" s="1341"/>
      <c r="J6" s="1335"/>
    </row>
    <row r="7" spans="1:11" ht="34.5" customHeight="1">
      <c r="A7" s="375" t="s">
        <v>653</v>
      </c>
      <c r="B7" s="330" t="s">
        <v>428</v>
      </c>
      <c r="C7" s="366" t="s">
        <v>429</v>
      </c>
      <c r="D7" s="459" t="s">
        <v>620</v>
      </c>
      <c r="E7" s="460" t="s">
        <v>432</v>
      </c>
      <c r="F7" s="461" t="s">
        <v>430</v>
      </c>
      <c r="G7" s="459" t="s">
        <v>621</v>
      </c>
      <c r="H7" s="1328" t="s">
        <v>431</v>
      </c>
      <c r="I7" s="1328"/>
      <c r="J7" s="369" t="s">
        <v>627</v>
      </c>
    </row>
    <row r="8" spans="1:11">
      <c r="A8" s="251"/>
      <c r="B8" s="1274" t="s">
        <v>1238</v>
      </c>
      <c r="C8" s="1275"/>
      <c r="D8" s="1275"/>
      <c r="E8" s="1275"/>
      <c r="F8" s="1275"/>
      <c r="G8" s="1275"/>
      <c r="H8" s="367"/>
      <c r="I8" s="201"/>
      <c r="J8" s="462"/>
    </row>
    <row r="9" spans="1:11" s="133" customFormat="1" ht="37.5" customHeight="1">
      <c r="A9" s="749" t="s">
        <v>2484</v>
      </c>
      <c r="B9" s="60" t="s">
        <v>1546</v>
      </c>
      <c r="C9" s="320" t="s">
        <v>630</v>
      </c>
      <c r="D9" s="216">
        <v>9.42</v>
      </c>
      <c r="E9" s="201">
        <f>SUM(D9*1.1)</f>
        <v>10.362</v>
      </c>
      <c r="F9" s="201">
        <f t="shared" ref="F9:F11" si="0">SUM(G9*1.1)</f>
        <v>62.161000000000001</v>
      </c>
      <c r="G9" s="353">
        <v>56.51</v>
      </c>
      <c r="H9" s="619"/>
      <c r="I9" s="221"/>
      <c r="J9" s="321" t="s">
        <v>599</v>
      </c>
    </row>
    <row r="10" spans="1:11" s="133" customFormat="1" ht="58.5" customHeight="1">
      <c r="A10" s="749" t="s">
        <v>2485</v>
      </c>
      <c r="B10" s="60" t="s">
        <v>1547</v>
      </c>
      <c r="C10" s="320" t="s">
        <v>630</v>
      </c>
      <c r="D10" s="216">
        <v>7.57</v>
      </c>
      <c r="E10" s="201">
        <f>SUM(D10*1.1)</f>
        <v>8.3270000000000017</v>
      </c>
      <c r="F10" s="201">
        <f t="shared" si="0"/>
        <v>62.161000000000001</v>
      </c>
      <c r="G10" s="353">
        <v>56.51</v>
      </c>
      <c r="H10" s="619"/>
      <c r="I10" s="221"/>
      <c r="J10" s="321" t="s">
        <v>599</v>
      </c>
    </row>
    <row r="11" spans="1:11" s="133" customFormat="1" ht="50.25" customHeight="1">
      <c r="A11" s="749" t="s">
        <v>2484</v>
      </c>
      <c r="B11" s="107" t="s">
        <v>1548</v>
      </c>
      <c r="C11" s="320" t="s">
        <v>630</v>
      </c>
      <c r="D11" s="216">
        <v>11.92</v>
      </c>
      <c r="E11" s="201">
        <f>SUM(D11*1.1)</f>
        <v>13.112</v>
      </c>
      <c r="F11" s="201">
        <f t="shared" si="0"/>
        <v>62.161000000000001</v>
      </c>
      <c r="G11" s="353">
        <v>56.51</v>
      </c>
      <c r="H11" s="620"/>
      <c r="I11" s="221"/>
      <c r="J11" s="321" t="s">
        <v>599</v>
      </c>
    </row>
    <row r="12" spans="1:11" ht="42">
      <c r="A12" s="750" t="s">
        <v>2485</v>
      </c>
      <c r="B12" s="107" t="s">
        <v>1479</v>
      </c>
      <c r="C12" s="233" t="s">
        <v>630</v>
      </c>
      <c r="D12" s="180">
        <v>1.75</v>
      </c>
      <c r="E12" s="201">
        <f t="shared" ref="E12:E48" si="1">SUM(D12*1.1)</f>
        <v>1.9250000000000003</v>
      </c>
      <c r="F12" s="353" t="s">
        <v>277</v>
      </c>
      <c r="G12" s="353" t="s">
        <v>277</v>
      </c>
      <c r="H12" s="215"/>
      <c r="I12" s="221" t="s">
        <v>392</v>
      </c>
      <c r="J12" s="322" t="s">
        <v>827</v>
      </c>
    </row>
    <row r="13" spans="1:11" ht="42">
      <c r="A13" s="751" t="s">
        <v>2486</v>
      </c>
      <c r="B13" s="160" t="s">
        <v>1293</v>
      </c>
      <c r="C13" s="233" t="s">
        <v>630</v>
      </c>
      <c r="D13" s="314" t="s">
        <v>277</v>
      </c>
      <c r="E13" s="353" t="s">
        <v>277</v>
      </c>
      <c r="F13" s="201">
        <f t="shared" ref="F13:F49" si="2">SUM(G13*1.1)</f>
        <v>48.400000000000006</v>
      </c>
      <c r="G13" s="201">
        <v>44</v>
      </c>
      <c r="H13" s="215" t="s">
        <v>862</v>
      </c>
      <c r="I13" s="221" t="s">
        <v>861</v>
      </c>
      <c r="J13" s="322" t="s">
        <v>827</v>
      </c>
    </row>
    <row r="14" spans="1:11" ht="63">
      <c r="A14" s="751" t="s">
        <v>2487</v>
      </c>
      <c r="B14" s="160" t="s">
        <v>1294</v>
      </c>
      <c r="C14" s="233" t="s">
        <v>630</v>
      </c>
      <c r="D14" s="314" t="s">
        <v>783</v>
      </c>
      <c r="E14" s="353" t="s">
        <v>783</v>
      </c>
      <c r="F14" s="201">
        <f t="shared" si="2"/>
        <v>3.8500000000000005</v>
      </c>
      <c r="G14" s="201">
        <v>3.5</v>
      </c>
      <c r="H14" s="215" t="s">
        <v>1474</v>
      </c>
      <c r="I14" s="155" t="s">
        <v>828</v>
      </c>
      <c r="J14" s="322" t="s">
        <v>827</v>
      </c>
    </row>
    <row r="15" spans="1:11" s="23" customFormat="1" ht="31.5">
      <c r="A15" s="751" t="s">
        <v>2488</v>
      </c>
      <c r="B15" s="75" t="s">
        <v>1475</v>
      </c>
      <c r="C15" s="233" t="s">
        <v>630</v>
      </c>
      <c r="D15" s="314" t="s">
        <v>277</v>
      </c>
      <c r="E15" s="314" t="s">
        <v>277</v>
      </c>
      <c r="F15" s="201">
        <f t="shared" si="2"/>
        <v>660</v>
      </c>
      <c r="G15" s="201">
        <v>600</v>
      </c>
      <c r="H15" s="215"/>
      <c r="I15" s="149"/>
      <c r="J15" s="322" t="s">
        <v>827</v>
      </c>
      <c r="K15" s="133"/>
    </row>
    <row r="16" spans="1:11" ht="11.25">
      <c r="A16" s="463"/>
      <c r="B16" s="252" t="s">
        <v>398</v>
      </c>
      <c r="C16" s="233"/>
      <c r="D16" s="422"/>
      <c r="E16" s="201"/>
      <c r="F16" s="201"/>
      <c r="G16" s="330"/>
      <c r="H16" s="215"/>
      <c r="I16" s="330"/>
      <c r="J16" s="330"/>
    </row>
    <row r="17" spans="1:10" ht="73.5">
      <c r="A17" s="59" t="s">
        <v>277</v>
      </c>
      <c r="B17" s="160" t="s">
        <v>281</v>
      </c>
      <c r="C17" s="233" t="s">
        <v>630</v>
      </c>
      <c r="D17" s="180" t="s">
        <v>783</v>
      </c>
      <c r="E17" s="180" t="s">
        <v>783</v>
      </c>
      <c r="F17" s="180" t="s">
        <v>783</v>
      </c>
      <c r="G17" s="180" t="s">
        <v>783</v>
      </c>
      <c r="H17" s="215"/>
      <c r="I17" s="160" t="s">
        <v>375</v>
      </c>
      <c r="J17" s="160"/>
    </row>
    <row r="18" spans="1:10" ht="31.5">
      <c r="A18" s="59" t="s">
        <v>277</v>
      </c>
      <c r="B18" s="160" t="s">
        <v>282</v>
      </c>
      <c r="C18" s="233" t="s">
        <v>630</v>
      </c>
      <c r="D18" s="180" t="s">
        <v>783</v>
      </c>
      <c r="E18" s="180" t="s">
        <v>783</v>
      </c>
      <c r="F18" s="180" t="s">
        <v>783</v>
      </c>
      <c r="G18" s="180" t="s">
        <v>783</v>
      </c>
      <c r="H18" s="215"/>
      <c r="I18" s="160" t="s">
        <v>283</v>
      </c>
      <c r="J18" s="160"/>
    </row>
    <row r="19" spans="1:10" s="133" customFormat="1" ht="21">
      <c r="A19" s="59" t="s">
        <v>2489</v>
      </c>
      <c r="B19" s="161" t="s">
        <v>1295</v>
      </c>
      <c r="C19" s="177" t="s">
        <v>630</v>
      </c>
      <c r="D19" s="180">
        <v>2.5</v>
      </c>
      <c r="E19" s="201">
        <f t="shared" si="1"/>
        <v>2.75</v>
      </c>
      <c r="F19" s="201">
        <f t="shared" si="2"/>
        <v>20.900000000000002</v>
      </c>
      <c r="G19" s="201">
        <v>19</v>
      </c>
      <c r="H19" s="161" t="s">
        <v>284</v>
      </c>
      <c r="I19" s="160" t="s">
        <v>376</v>
      </c>
      <c r="J19" s="308" t="s">
        <v>854</v>
      </c>
    </row>
    <row r="20" spans="1:10" ht="21">
      <c r="A20" s="59" t="s">
        <v>2490</v>
      </c>
      <c r="B20" s="161" t="s">
        <v>1285</v>
      </c>
      <c r="C20" s="233" t="s">
        <v>630</v>
      </c>
      <c r="D20" s="180">
        <v>2.5</v>
      </c>
      <c r="E20" s="201">
        <f t="shared" si="1"/>
        <v>2.75</v>
      </c>
      <c r="F20" s="201">
        <f t="shared" si="2"/>
        <v>20.900000000000002</v>
      </c>
      <c r="G20" s="201">
        <v>19</v>
      </c>
      <c r="H20" s="161" t="s">
        <v>284</v>
      </c>
      <c r="I20" s="160" t="s">
        <v>376</v>
      </c>
      <c r="J20" s="308" t="s">
        <v>854</v>
      </c>
    </row>
    <row r="21" spans="1:10" ht="94.5">
      <c r="A21" s="59" t="s">
        <v>2491</v>
      </c>
      <c r="B21" s="160" t="s">
        <v>1296</v>
      </c>
      <c r="C21" s="233" t="s">
        <v>630</v>
      </c>
      <c r="D21" s="180">
        <v>0.95</v>
      </c>
      <c r="E21" s="201">
        <f t="shared" si="1"/>
        <v>1.0449999999999999</v>
      </c>
      <c r="F21" s="201">
        <f t="shared" si="2"/>
        <v>6.4900000000000011</v>
      </c>
      <c r="G21" s="201">
        <v>5.9</v>
      </c>
      <c r="H21" s="160" t="s">
        <v>289</v>
      </c>
      <c r="I21" s="160" t="s">
        <v>379</v>
      </c>
      <c r="J21" s="322" t="s">
        <v>827</v>
      </c>
    </row>
    <row r="22" spans="1:10" ht="40.5" customHeight="1">
      <c r="A22" s="59" t="s">
        <v>2492</v>
      </c>
      <c r="B22" s="160" t="s">
        <v>1297</v>
      </c>
      <c r="C22" s="233" t="s">
        <v>630</v>
      </c>
      <c r="D22" s="314" t="s">
        <v>277</v>
      </c>
      <c r="E22" s="314" t="s">
        <v>277</v>
      </c>
      <c r="F22" s="201">
        <f t="shared" si="2"/>
        <v>53.954999999999998</v>
      </c>
      <c r="G22" s="201">
        <v>49.05</v>
      </c>
      <c r="H22" s="160" t="s">
        <v>290</v>
      </c>
      <c r="I22" s="160" t="s">
        <v>1322</v>
      </c>
      <c r="J22" s="322" t="s">
        <v>827</v>
      </c>
    </row>
    <row r="23" spans="1:10" ht="31.5">
      <c r="A23" s="59" t="s">
        <v>277</v>
      </c>
      <c r="B23" s="160" t="s">
        <v>291</v>
      </c>
      <c r="C23" s="233" t="s">
        <v>630</v>
      </c>
      <c r="D23" s="180" t="s">
        <v>783</v>
      </c>
      <c r="E23" s="180" t="s">
        <v>783</v>
      </c>
      <c r="F23" s="180" t="s">
        <v>783</v>
      </c>
      <c r="G23" s="180" t="s">
        <v>783</v>
      </c>
      <c r="H23" s="160"/>
      <c r="I23" s="160" t="s">
        <v>1323</v>
      </c>
      <c r="J23" s="160"/>
    </row>
    <row r="24" spans="1:10" ht="31.5">
      <c r="A24" s="59" t="s">
        <v>277</v>
      </c>
      <c r="B24" s="161" t="s">
        <v>829</v>
      </c>
      <c r="C24" s="233" t="s">
        <v>630</v>
      </c>
      <c r="D24" s="180" t="s">
        <v>783</v>
      </c>
      <c r="E24" s="180" t="s">
        <v>783</v>
      </c>
      <c r="F24" s="180" t="s">
        <v>783</v>
      </c>
      <c r="G24" s="180" t="s">
        <v>783</v>
      </c>
      <c r="H24" s="161" t="s">
        <v>863</v>
      </c>
      <c r="I24" s="160" t="s">
        <v>412</v>
      </c>
      <c r="J24" s="160"/>
    </row>
    <row r="25" spans="1:10" ht="63">
      <c r="A25" s="59" t="s">
        <v>2493</v>
      </c>
      <c r="B25" s="160" t="s">
        <v>1298</v>
      </c>
      <c r="C25" s="233" t="s">
        <v>630</v>
      </c>
      <c r="D25" s="180">
        <v>0.75</v>
      </c>
      <c r="E25" s="201">
        <f t="shared" si="1"/>
        <v>0.82500000000000007</v>
      </c>
      <c r="F25" s="201">
        <f t="shared" si="2"/>
        <v>6.4900000000000011</v>
      </c>
      <c r="G25" s="201">
        <v>5.9</v>
      </c>
      <c r="H25" s="160" t="s">
        <v>864</v>
      </c>
      <c r="I25" s="160" t="s">
        <v>413</v>
      </c>
      <c r="J25" s="322" t="s">
        <v>827</v>
      </c>
    </row>
    <row r="26" spans="1:10" ht="21" customHeight="1">
      <c r="A26" s="59" t="s">
        <v>2494</v>
      </c>
      <c r="B26" s="160" t="s">
        <v>1299</v>
      </c>
      <c r="C26" s="233" t="s">
        <v>630</v>
      </c>
      <c r="D26" s="314" t="s">
        <v>277</v>
      </c>
      <c r="E26" s="314" t="s">
        <v>277</v>
      </c>
      <c r="F26" s="201">
        <f t="shared" si="2"/>
        <v>32.450000000000003</v>
      </c>
      <c r="G26" s="201">
        <v>29.5</v>
      </c>
      <c r="H26" s="160" t="s">
        <v>290</v>
      </c>
      <c r="I26" s="160"/>
      <c r="J26" s="322" t="s">
        <v>827</v>
      </c>
    </row>
    <row r="27" spans="1:10" ht="42">
      <c r="A27" s="59" t="s">
        <v>2495</v>
      </c>
      <c r="B27" s="160" t="s">
        <v>1300</v>
      </c>
      <c r="C27" s="233" t="s">
        <v>630</v>
      </c>
      <c r="D27" s="180">
        <v>0.5</v>
      </c>
      <c r="E27" s="201">
        <f t="shared" si="1"/>
        <v>0.55000000000000004</v>
      </c>
      <c r="F27" s="201">
        <f t="shared" si="2"/>
        <v>5.4450000000000003</v>
      </c>
      <c r="G27" s="201">
        <v>4.95</v>
      </c>
      <c r="H27" s="160" t="s">
        <v>864</v>
      </c>
      <c r="I27" s="160" t="s">
        <v>382</v>
      </c>
      <c r="J27" s="322" t="s">
        <v>827</v>
      </c>
    </row>
    <row r="28" spans="1:10" ht="31.5">
      <c r="A28" s="59" t="s">
        <v>2496</v>
      </c>
      <c r="B28" s="160" t="s">
        <v>1301</v>
      </c>
      <c r="C28" s="233" t="s">
        <v>630</v>
      </c>
      <c r="D28" s="314" t="s">
        <v>277</v>
      </c>
      <c r="E28" s="314" t="s">
        <v>277</v>
      </c>
      <c r="F28" s="201">
        <f t="shared" si="2"/>
        <v>14.630000000000003</v>
      </c>
      <c r="G28" s="201">
        <v>13.3</v>
      </c>
      <c r="H28" s="160" t="s">
        <v>830</v>
      </c>
      <c r="I28" s="160" t="s">
        <v>1322</v>
      </c>
      <c r="J28" s="322" t="s">
        <v>827</v>
      </c>
    </row>
    <row r="29" spans="1:10" ht="42">
      <c r="A29" s="59" t="s">
        <v>2497</v>
      </c>
      <c r="B29" s="160" t="s">
        <v>1302</v>
      </c>
      <c r="C29" s="233" t="s">
        <v>630</v>
      </c>
      <c r="D29" s="180">
        <v>0.5</v>
      </c>
      <c r="E29" s="201">
        <f t="shared" si="1"/>
        <v>0.55000000000000004</v>
      </c>
      <c r="F29" s="201">
        <f t="shared" si="2"/>
        <v>5.4450000000000003</v>
      </c>
      <c r="G29" s="201">
        <v>4.95</v>
      </c>
      <c r="H29" s="160" t="s">
        <v>864</v>
      </c>
      <c r="I29" s="160" t="s">
        <v>383</v>
      </c>
      <c r="J29" s="322" t="s">
        <v>827</v>
      </c>
    </row>
    <row r="30" spans="1:10" ht="31.5">
      <c r="A30" s="59" t="s">
        <v>2497</v>
      </c>
      <c r="B30" s="160" t="s">
        <v>1303</v>
      </c>
      <c r="C30" s="233" t="s">
        <v>630</v>
      </c>
      <c r="D30" s="314" t="s">
        <v>277</v>
      </c>
      <c r="E30" s="314" t="s">
        <v>277</v>
      </c>
      <c r="F30" s="201">
        <f t="shared" si="2"/>
        <v>14.630000000000003</v>
      </c>
      <c r="G30" s="201">
        <v>13.3</v>
      </c>
      <c r="H30" s="160" t="s">
        <v>830</v>
      </c>
      <c r="I30" s="160" t="s">
        <v>1322</v>
      </c>
      <c r="J30" s="322" t="s">
        <v>827</v>
      </c>
    </row>
    <row r="31" spans="1:10" ht="42">
      <c r="A31" s="59" t="s">
        <v>2497</v>
      </c>
      <c r="B31" s="160" t="s">
        <v>1304</v>
      </c>
      <c r="C31" s="233" t="s">
        <v>630</v>
      </c>
      <c r="D31" s="180">
        <v>0.75</v>
      </c>
      <c r="E31" s="201">
        <f t="shared" si="1"/>
        <v>0.82500000000000007</v>
      </c>
      <c r="F31" s="201">
        <f t="shared" si="2"/>
        <v>5.4450000000000003</v>
      </c>
      <c r="G31" s="201">
        <v>4.95</v>
      </c>
      <c r="H31" s="160" t="s">
        <v>864</v>
      </c>
      <c r="I31" s="160" t="s">
        <v>383</v>
      </c>
      <c r="J31" s="322" t="s">
        <v>827</v>
      </c>
    </row>
    <row r="32" spans="1:10" ht="31.5">
      <c r="A32" s="59" t="s">
        <v>2497</v>
      </c>
      <c r="B32" s="160" t="s">
        <v>1305</v>
      </c>
      <c r="C32" s="233" t="s">
        <v>630</v>
      </c>
      <c r="D32" s="314" t="s">
        <v>277</v>
      </c>
      <c r="E32" s="314" t="s">
        <v>277</v>
      </c>
      <c r="F32" s="201">
        <f t="shared" si="2"/>
        <v>23.815000000000001</v>
      </c>
      <c r="G32" s="201">
        <v>21.65</v>
      </c>
      <c r="H32" s="160" t="s">
        <v>830</v>
      </c>
      <c r="I32" s="160" t="s">
        <v>1322</v>
      </c>
      <c r="J32" s="322" t="s">
        <v>827</v>
      </c>
    </row>
    <row r="33" spans="1:10" ht="21">
      <c r="A33" s="59" t="s">
        <v>2498</v>
      </c>
      <c r="B33" s="161" t="s">
        <v>1306</v>
      </c>
      <c r="C33" s="233" t="s">
        <v>630</v>
      </c>
      <c r="D33" s="180">
        <v>1</v>
      </c>
      <c r="E33" s="201">
        <f t="shared" si="1"/>
        <v>1.1000000000000001</v>
      </c>
      <c r="F33" s="201">
        <f t="shared" si="2"/>
        <v>6.9850000000000003</v>
      </c>
      <c r="G33" s="201">
        <v>6.35</v>
      </c>
      <c r="H33" s="161" t="s">
        <v>864</v>
      </c>
      <c r="I33" s="160" t="s">
        <v>384</v>
      </c>
      <c r="J33" s="322" t="s">
        <v>827</v>
      </c>
    </row>
    <row r="34" spans="1:10" ht="31.5">
      <c r="A34" s="59" t="s">
        <v>2499</v>
      </c>
      <c r="B34" s="161" t="s">
        <v>1307</v>
      </c>
      <c r="C34" s="233" t="s">
        <v>630</v>
      </c>
      <c r="D34" s="314" t="s">
        <v>277</v>
      </c>
      <c r="E34" s="314" t="s">
        <v>277</v>
      </c>
      <c r="F34" s="201">
        <f t="shared" si="2"/>
        <v>53.625000000000007</v>
      </c>
      <c r="G34" s="201">
        <v>48.75</v>
      </c>
      <c r="H34" s="161" t="s">
        <v>290</v>
      </c>
      <c r="I34" s="160" t="s">
        <v>1322</v>
      </c>
      <c r="J34" s="322" t="s">
        <v>827</v>
      </c>
    </row>
    <row r="35" spans="1:10" s="133" customFormat="1" ht="21">
      <c r="A35" s="59" t="s">
        <v>2499</v>
      </c>
      <c r="B35" s="161" t="s">
        <v>1325</v>
      </c>
      <c r="C35" s="233" t="s">
        <v>630</v>
      </c>
      <c r="D35" s="180" t="s">
        <v>783</v>
      </c>
      <c r="E35" s="180" t="s">
        <v>783</v>
      </c>
      <c r="F35" s="180" t="s">
        <v>783</v>
      </c>
      <c r="G35" s="180" t="s">
        <v>783</v>
      </c>
      <c r="H35" s="161" t="s">
        <v>864</v>
      </c>
      <c r="I35" s="160" t="s">
        <v>385</v>
      </c>
      <c r="J35" s="322" t="s">
        <v>827</v>
      </c>
    </row>
    <row r="36" spans="1:10" s="133" customFormat="1" ht="21">
      <c r="A36" s="59" t="s">
        <v>2500</v>
      </c>
      <c r="B36" s="160" t="s">
        <v>1326</v>
      </c>
      <c r="C36" s="233" t="s">
        <v>630</v>
      </c>
      <c r="D36" s="180" t="s">
        <v>783</v>
      </c>
      <c r="E36" s="180" t="s">
        <v>783</v>
      </c>
      <c r="F36" s="180" t="s">
        <v>783</v>
      </c>
      <c r="G36" s="180" t="s">
        <v>783</v>
      </c>
      <c r="H36" s="160" t="s">
        <v>864</v>
      </c>
      <c r="I36" s="160" t="s">
        <v>385</v>
      </c>
      <c r="J36" s="322" t="s">
        <v>827</v>
      </c>
    </row>
    <row r="37" spans="1:10" s="133" customFormat="1" ht="31.5">
      <c r="A37" s="59" t="s">
        <v>2500</v>
      </c>
      <c r="B37" s="160" t="s">
        <v>1327</v>
      </c>
      <c r="C37" s="233" t="s">
        <v>630</v>
      </c>
      <c r="D37" s="180" t="s">
        <v>783</v>
      </c>
      <c r="E37" s="180" t="s">
        <v>783</v>
      </c>
      <c r="F37" s="180" t="s">
        <v>783</v>
      </c>
      <c r="G37" s="180" t="s">
        <v>783</v>
      </c>
      <c r="H37" s="160" t="s">
        <v>864</v>
      </c>
      <c r="I37" s="160" t="s">
        <v>385</v>
      </c>
      <c r="J37" s="322" t="s">
        <v>827</v>
      </c>
    </row>
    <row r="38" spans="1:10" s="133" customFormat="1" ht="21">
      <c r="A38" s="59" t="s">
        <v>2501</v>
      </c>
      <c r="B38" s="160" t="s">
        <v>1328</v>
      </c>
      <c r="C38" s="233" t="s">
        <v>630</v>
      </c>
      <c r="D38" s="180" t="s">
        <v>783</v>
      </c>
      <c r="E38" s="180" t="s">
        <v>783</v>
      </c>
      <c r="F38" s="180" t="s">
        <v>783</v>
      </c>
      <c r="G38" s="180" t="s">
        <v>783</v>
      </c>
      <c r="H38" s="160" t="s">
        <v>864</v>
      </c>
      <c r="I38" s="160" t="s">
        <v>385</v>
      </c>
      <c r="J38" s="322" t="s">
        <v>827</v>
      </c>
    </row>
    <row r="39" spans="1:10" s="133" customFormat="1" ht="21">
      <c r="A39" s="59" t="s">
        <v>2502</v>
      </c>
      <c r="B39" s="160" t="s">
        <v>615</v>
      </c>
      <c r="C39" s="233" t="s">
        <v>630</v>
      </c>
      <c r="D39" s="180" t="s">
        <v>783</v>
      </c>
      <c r="E39" s="180" t="s">
        <v>783</v>
      </c>
      <c r="F39" s="180" t="s">
        <v>783</v>
      </c>
      <c r="G39" s="180" t="s">
        <v>783</v>
      </c>
      <c r="H39" s="160" t="s">
        <v>864</v>
      </c>
      <c r="I39" s="160"/>
      <c r="J39" s="322" t="s">
        <v>827</v>
      </c>
    </row>
    <row r="40" spans="1:10" s="133" customFormat="1" ht="21">
      <c r="A40" s="59" t="s">
        <v>2503</v>
      </c>
      <c r="B40" s="160" t="s">
        <v>1308</v>
      </c>
      <c r="C40" s="233" t="s">
        <v>630</v>
      </c>
      <c r="D40" s="180" t="s">
        <v>783</v>
      </c>
      <c r="E40" s="180" t="s">
        <v>783</v>
      </c>
      <c r="F40" s="180" t="s">
        <v>783</v>
      </c>
      <c r="G40" s="180" t="s">
        <v>783</v>
      </c>
      <c r="H40" s="160" t="s">
        <v>289</v>
      </c>
      <c r="I40" s="160" t="s">
        <v>385</v>
      </c>
      <c r="J40" s="322" t="s">
        <v>827</v>
      </c>
    </row>
    <row r="41" spans="1:10" s="133" customFormat="1">
      <c r="A41" s="59" t="s">
        <v>277</v>
      </c>
      <c r="B41" s="161" t="s">
        <v>295</v>
      </c>
      <c r="C41" s="233" t="s">
        <v>630</v>
      </c>
      <c r="D41" s="180" t="s">
        <v>783</v>
      </c>
      <c r="E41" s="180" t="s">
        <v>783</v>
      </c>
      <c r="F41" s="180" t="s">
        <v>783</v>
      </c>
      <c r="G41" s="180" t="s">
        <v>783</v>
      </c>
      <c r="H41" s="161" t="s">
        <v>288</v>
      </c>
      <c r="I41" s="160" t="s">
        <v>831</v>
      </c>
      <c r="J41" s="160"/>
    </row>
    <row r="42" spans="1:10" s="133" customFormat="1" ht="42">
      <c r="A42" s="59" t="s">
        <v>2504</v>
      </c>
      <c r="B42" s="161" t="s">
        <v>1309</v>
      </c>
      <c r="C42" s="233" t="s">
        <v>630</v>
      </c>
      <c r="D42" s="180">
        <v>0.95</v>
      </c>
      <c r="E42" s="201">
        <f t="shared" si="1"/>
        <v>1.0449999999999999</v>
      </c>
      <c r="F42" s="201">
        <f t="shared" si="2"/>
        <v>6.4900000000000011</v>
      </c>
      <c r="G42" s="201">
        <v>5.9</v>
      </c>
      <c r="H42" s="161" t="s">
        <v>288</v>
      </c>
      <c r="I42" s="160" t="s">
        <v>386</v>
      </c>
      <c r="J42" s="322" t="s">
        <v>827</v>
      </c>
    </row>
    <row r="43" spans="1:10" s="133" customFormat="1" ht="31.5" customHeight="1">
      <c r="A43" s="59" t="s">
        <v>2505</v>
      </c>
      <c r="B43" s="161" t="s">
        <v>1310</v>
      </c>
      <c r="C43" s="233" t="s">
        <v>630</v>
      </c>
      <c r="D43" s="353" t="s">
        <v>277</v>
      </c>
      <c r="E43" s="353" t="s">
        <v>277</v>
      </c>
      <c r="F43" s="201">
        <f t="shared" si="2"/>
        <v>54.45</v>
      </c>
      <c r="G43" s="201">
        <v>49.5</v>
      </c>
      <c r="H43" s="161" t="s">
        <v>290</v>
      </c>
      <c r="I43" s="160" t="s">
        <v>1322</v>
      </c>
      <c r="J43" s="322" t="s">
        <v>827</v>
      </c>
    </row>
    <row r="44" spans="1:10" s="4" customFormat="1" ht="21">
      <c r="A44" s="59" t="s">
        <v>2506</v>
      </c>
      <c r="B44" s="161" t="s">
        <v>1409</v>
      </c>
      <c r="C44" s="177" t="s">
        <v>630</v>
      </c>
      <c r="D44" s="201" t="s">
        <v>783</v>
      </c>
      <c r="E44" s="201" t="s">
        <v>783</v>
      </c>
      <c r="F44" s="407">
        <f t="shared" si="2"/>
        <v>8.8000000000000007</v>
      </c>
      <c r="G44" s="201">
        <v>8</v>
      </c>
      <c r="H44" s="161" t="s">
        <v>288</v>
      </c>
      <c r="I44" s="160" t="s">
        <v>1251</v>
      </c>
      <c r="J44" s="160" t="s">
        <v>814</v>
      </c>
    </row>
    <row r="45" spans="1:10" s="133" customFormat="1" ht="31.5">
      <c r="A45" s="59" t="s">
        <v>2507</v>
      </c>
      <c r="B45" s="161" t="s">
        <v>1311</v>
      </c>
      <c r="C45" s="233" t="s">
        <v>630</v>
      </c>
      <c r="D45" s="353" t="s">
        <v>277</v>
      </c>
      <c r="E45" s="353" t="s">
        <v>277</v>
      </c>
      <c r="F45" s="201">
        <f t="shared" si="2"/>
        <v>51.260000000000005</v>
      </c>
      <c r="G45" s="201">
        <v>46.6</v>
      </c>
      <c r="H45" s="161" t="s">
        <v>290</v>
      </c>
      <c r="I45" s="160" t="s">
        <v>867</v>
      </c>
      <c r="J45" s="322" t="s">
        <v>827</v>
      </c>
    </row>
    <row r="46" spans="1:10" s="133" customFormat="1" ht="42">
      <c r="A46" s="59" t="s">
        <v>2508</v>
      </c>
      <c r="B46" s="160" t="s">
        <v>296</v>
      </c>
      <c r="C46" s="233" t="s">
        <v>630</v>
      </c>
      <c r="D46" s="180" t="s">
        <v>783</v>
      </c>
      <c r="E46" s="180" t="s">
        <v>783</v>
      </c>
      <c r="F46" s="180" t="s">
        <v>783</v>
      </c>
      <c r="G46" s="180" t="s">
        <v>783</v>
      </c>
      <c r="H46" s="160" t="s">
        <v>288</v>
      </c>
      <c r="I46" s="160" t="s">
        <v>387</v>
      </c>
      <c r="J46" s="322" t="s">
        <v>827</v>
      </c>
    </row>
    <row r="47" spans="1:10" s="133" customFormat="1" ht="31.5">
      <c r="A47" s="59" t="s">
        <v>2509</v>
      </c>
      <c r="B47" s="161" t="s">
        <v>298</v>
      </c>
      <c r="C47" s="233" t="s">
        <v>630</v>
      </c>
      <c r="D47" s="180" t="s">
        <v>783</v>
      </c>
      <c r="E47" s="180" t="s">
        <v>783</v>
      </c>
      <c r="F47" s="180" t="s">
        <v>783</v>
      </c>
      <c r="G47" s="180" t="s">
        <v>783</v>
      </c>
      <c r="H47" s="161" t="s">
        <v>288</v>
      </c>
      <c r="I47" s="160" t="s">
        <v>832</v>
      </c>
      <c r="J47" s="322" t="s">
        <v>827</v>
      </c>
    </row>
    <row r="48" spans="1:10" s="133" customFormat="1" ht="21">
      <c r="A48" s="59" t="s">
        <v>2510</v>
      </c>
      <c r="B48" s="160" t="s">
        <v>1312</v>
      </c>
      <c r="C48" s="233" t="s">
        <v>630</v>
      </c>
      <c r="D48" s="180">
        <v>1.6</v>
      </c>
      <c r="E48" s="201">
        <f t="shared" si="1"/>
        <v>1.7600000000000002</v>
      </c>
      <c r="F48" s="180" t="s">
        <v>783</v>
      </c>
      <c r="G48" s="180" t="s">
        <v>783</v>
      </c>
      <c r="H48" s="160" t="s">
        <v>289</v>
      </c>
      <c r="I48" s="160"/>
      <c r="J48" s="322" t="s">
        <v>827</v>
      </c>
    </row>
    <row r="49" spans="1:10" s="133" customFormat="1" ht="31.5" customHeight="1">
      <c r="A49" s="59" t="s">
        <v>2511</v>
      </c>
      <c r="B49" s="160" t="s">
        <v>1313</v>
      </c>
      <c r="C49" s="233" t="s">
        <v>630</v>
      </c>
      <c r="D49" s="353" t="s">
        <v>277</v>
      </c>
      <c r="E49" s="353" t="s">
        <v>277</v>
      </c>
      <c r="F49" s="201">
        <f t="shared" si="2"/>
        <v>26.84</v>
      </c>
      <c r="G49" s="201">
        <v>24.4</v>
      </c>
      <c r="H49" s="160" t="s">
        <v>290</v>
      </c>
      <c r="I49" s="160" t="s">
        <v>1322</v>
      </c>
      <c r="J49" s="322" t="s">
        <v>827</v>
      </c>
    </row>
    <row r="50" spans="1:10" s="133" customFormat="1" ht="94.5">
      <c r="A50" s="752" t="s">
        <v>2512</v>
      </c>
      <c r="B50" s="160" t="s">
        <v>1314</v>
      </c>
      <c r="C50" s="233" t="s">
        <v>630</v>
      </c>
      <c r="D50" s="180" t="s">
        <v>783</v>
      </c>
      <c r="E50" s="180" t="s">
        <v>783</v>
      </c>
      <c r="F50" s="180" t="s">
        <v>783</v>
      </c>
      <c r="G50" s="180" t="s">
        <v>783</v>
      </c>
      <c r="H50" s="160" t="s">
        <v>374</v>
      </c>
      <c r="I50" s="160" t="s">
        <v>389</v>
      </c>
      <c r="J50" s="160"/>
    </row>
    <row r="51" spans="1:10" s="133" customFormat="1">
      <c r="A51" s="136"/>
      <c r="B51" s="160" t="s">
        <v>299</v>
      </c>
      <c r="C51" s="233" t="s">
        <v>630</v>
      </c>
      <c r="D51" s="180" t="s">
        <v>783</v>
      </c>
      <c r="E51" s="180" t="s">
        <v>783</v>
      </c>
      <c r="F51" s="180" t="s">
        <v>783</v>
      </c>
      <c r="G51" s="180" t="s">
        <v>783</v>
      </c>
      <c r="H51" s="160"/>
      <c r="I51" s="160" t="s">
        <v>426</v>
      </c>
      <c r="J51" s="160"/>
    </row>
    <row r="52" spans="1:10" s="133" customFormat="1" ht="42">
      <c r="A52" s="752" t="s">
        <v>2513</v>
      </c>
      <c r="B52" s="161" t="s">
        <v>300</v>
      </c>
      <c r="C52" s="233" t="s">
        <v>630</v>
      </c>
      <c r="D52" s="180" t="s">
        <v>539</v>
      </c>
      <c r="E52" s="201" t="s">
        <v>539</v>
      </c>
      <c r="F52" s="201" t="s">
        <v>539</v>
      </c>
      <c r="G52" s="201" t="s">
        <v>539</v>
      </c>
      <c r="H52" s="161" t="s">
        <v>288</v>
      </c>
      <c r="I52" s="160" t="s">
        <v>1253</v>
      </c>
      <c r="J52" s="160"/>
    </row>
    <row r="53" spans="1:10" s="133" customFormat="1" ht="21">
      <c r="A53" s="752" t="s">
        <v>2514</v>
      </c>
      <c r="B53" s="161" t="s">
        <v>301</v>
      </c>
      <c r="C53" s="233" t="s">
        <v>630</v>
      </c>
      <c r="D53" s="180" t="s">
        <v>783</v>
      </c>
      <c r="E53" s="180" t="s">
        <v>783</v>
      </c>
      <c r="F53" s="180" t="s">
        <v>783</v>
      </c>
      <c r="G53" s="180" t="s">
        <v>783</v>
      </c>
      <c r="H53" s="161" t="s">
        <v>288</v>
      </c>
      <c r="I53" s="160" t="s">
        <v>297</v>
      </c>
      <c r="J53" s="322" t="s">
        <v>827</v>
      </c>
    </row>
    <row r="54" spans="1:10" s="133" customFormat="1">
      <c r="A54" s="59" t="s">
        <v>2515</v>
      </c>
      <c r="B54" s="161" t="s">
        <v>302</v>
      </c>
      <c r="C54" s="233" t="s">
        <v>630</v>
      </c>
      <c r="D54" s="314" t="s">
        <v>277</v>
      </c>
      <c r="E54" s="314" t="s">
        <v>277</v>
      </c>
      <c r="F54" s="201">
        <f t="shared" ref="F54:F92" si="3">SUM(G54*1.1)</f>
        <v>2.0790000000000002</v>
      </c>
      <c r="G54" s="201">
        <v>1.89</v>
      </c>
      <c r="H54" s="161" t="s">
        <v>284</v>
      </c>
      <c r="I54" s="160" t="s">
        <v>855</v>
      </c>
      <c r="J54" s="322" t="s">
        <v>816</v>
      </c>
    </row>
    <row r="55" spans="1:10" s="203" customFormat="1" ht="49.15" customHeight="1">
      <c r="A55" s="752" t="s">
        <v>2516</v>
      </c>
      <c r="B55" s="414" t="s">
        <v>304</v>
      </c>
      <c r="C55" s="411" t="s">
        <v>630</v>
      </c>
      <c r="D55" s="434" t="s">
        <v>546</v>
      </c>
      <c r="E55" s="242" t="s">
        <v>546</v>
      </c>
      <c r="F55" s="242" t="s">
        <v>546</v>
      </c>
      <c r="G55" s="242" t="s">
        <v>546</v>
      </c>
      <c r="H55" s="410" t="s">
        <v>288</v>
      </c>
      <c r="I55" s="417" t="s">
        <v>1463</v>
      </c>
      <c r="J55" s="413"/>
    </row>
    <row r="56" spans="1:10" s="133" customFormat="1" ht="199.5">
      <c r="A56" s="59" t="s">
        <v>277</v>
      </c>
      <c r="B56" s="75" t="s">
        <v>1419</v>
      </c>
      <c r="C56" s="233" t="s">
        <v>630</v>
      </c>
      <c r="D56" s="180" t="s">
        <v>783</v>
      </c>
      <c r="E56" s="180" t="s">
        <v>783</v>
      </c>
      <c r="F56" s="180" t="s">
        <v>783</v>
      </c>
      <c r="G56" s="180" t="s">
        <v>783</v>
      </c>
      <c r="H56" s="160" t="s">
        <v>305</v>
      </c>
      <c r="I56" s="160" t="s">
        <v>400</v>
      </c>
      <c r="J56" s="160"/>
    </row>
    <row r="57" spans="1:10" s="133" customFormat="1" ht="73.5">
      <c r="A57" s="59" t="s">
        <v>2517</v>
      </c>
      <c r="B57" s="160" t="s">
        <v>306</v>
      </c>
      <c r="C57" s="233" t="s">
        <v>630</v>
      </c>
      <c r="D57" s="180" t="s">
        <v>783</v>
      </c>
      <c r="E57" s="180" t="s">
        <v>783</v>
      </c>
      <c r="F57" s="180" t="s">
        <v>783</v>
      </c>
      <c r="G57" s="180" t="s">
        <v>783</v>
      </c>
      <c r="H57" s="160"/>
      <c r="I57" s="160" t="s">
        <v>414</v>
      </c>
      <c r="J57" s="160"/>
    </row>
    <row r="58" spans="1:10" s="203" customFormat="1" ht="21">
      <c r="A58" s="59" t="s">
        <v>2518</v>
      </c>
      <c r="B58" s="417" t="s">
        <v>1468</v>
      </c>
      <c r="C58" s="411" t="s">
        <v>630</v>
      </c>
      <c r="D58" s="434" t="s">
        <v>783</v>
      </c>
      <c r="E58" s="242" t="s">
        <v>783</v>
      </c>
      <c r="F58" s="242" t="s">
        <v>783</v>
      </c>
      <c r="G58" s="242" t="s">
        <v>783</v>
      </c>
      <c r="H58" s="413"/>
      <c r="I58" s="417" t="s">
        <v>1467</v>
      </c>
      <c r="J58" s="413"/>
    </row>
    <row r="59" spans="1:10" s="133" customFormat="1" ht="94.5">
      <c r="A59" s="59" t="s">
        <v>2519</v>
      </c>
      <c r="B59" s="161" t="s">
        <v>818</v>
      </c>
      <c r="C59" s="233" t="s">
        <v>630</v>
      </c>
      <c r="D59" s="180" t="s">
        <v>783</v>
      </c>
      <c r="E59" s="180" t="s">
        <v>783</v>
      </c>
      <c r="F59" s="180" t="s">
        <v>783</v>
      </c>
      <c r="G59" s="180" t="s">
        <v>783</v>
      </c>
      <c r="H59" s="161" t="s">
        <v>426</v>
      </c>
      <c r="I59" s="160" t="s">
        <v>662</v>
      </c>
      <c r="J59" s="426" t="s">
        <v>663</v>
      </c>
    </row>
    <row r="60" spans="1:10" s="133" customFormat="1" ht="21">
      <c r="A60" s="59" t="s">
        <v>2520</v>
      </c>
      <c r="B60" s="161" t="s">
        <v>359</v>
      </c>
      <c r="C60" s="233" t="s">
        <v>630</v>
      </c>
      <c r="D60" s="314" t="s">
        <v>277</v>
      </c>
      <c r="E60" s="314" t="s">
        <v>277</v>
      </c>
      <c r="F60" s="201">
        <f t="shared" si="3"/>
        <v>6.6000000000000005</v>
      </c>
      <c r="G60" s="201">
        <v>6</v>
      </c>
      <c r="H60" s="161" t="s">
        <v>303</v>
      </c>
      <c r="I60" s="162"/>
      <c r="J60" s="210" t="s">
        <v>825</v>
      </c>
    </row>
    <row r="61" spans="1:10" s="133" customFormat="1" ht="31.5">
      <c r="A61" s="59" t="s">
        <v>2521</v>
      </c>
      <c r="B61" s="161" t="s">
        <v>361</v>
      </c>
      <c r="C61" s="233" t="s">
        <v>630</v>
      </c>
      <c r="D61" s="314" t="s">
        <v>277</v>
      </c>
      <c r="E61" s="314" t="s">
        <v>277</v>
      </c>
      <c r="F61" s="201">
        <f t="shared" si="3"/>
        <v>7.7000000000000011</v>
      </c>
      <c r="G61" s="201">
        <v>7</v>
      </c>
      <c r="H61" s="161" t="s">
        <v>303</v>
      </c>
      <c r="I61" s="160"/>
      <c r="J61" s="160" t="s">
        <v>825</v>
      </c>
    </row>
    <row r="62" spans="1:10" s="133" customFormat="1" ht="52.5">
      <c r="A62" s="757" t="s">
        <v>2522</v>
      </c>
      <c r="B62" s="161" t="s">
        <v>362</v>
      </c>
      <c r="C62" s="233" t="s">
        <v>630</v>
      </c>
      <c r="D62" s="314" t="s">
        <v>277</v>
      </c>
      <c r="E62" s="314" t="s">
        <v>277</v>
      </c>
      <c r="F62" s="201">
        <f t="shared" si="3"/>
        <v>0.28600000000000003</v>
      </c>
      <c r="G62" s="201">
        <v>0.26</v>
      </c>
      <c r="H62" s="161" t="s">
        <v>288</v>
      </c>
      <c r="I62" s="75" t="s">
        <v>1523</v>
      </c>
      <c r="J62" s="160"/>
    </row>
    <row r="63" spans="1:10" s="203" customFormat="1">
      <c r="A63" s="467"/>
      <c r="B63" s="417" t="s">
        <v>1464</v>
      </c>
      <c r="C63" s="411" t="s">
        <v>630</v>
      </c>
      <c r="D63" s="418" t="s">
        <v>783</v>
      </c>
      <c r="E63" s="260" t="s">
        <v>783</v>
      </c>
      <c r="F63" s="242" t="s">
        <v>783</v>
      </c>
      <c r="G63" s="242" t="s">
        <v>783</v>
      </c>
      <c r="H63" s="413" t="s">
        <v>284</v>
      </c>
      <c r="I63" s="160"/>
      <c r="J63" s="413" t="s">
        <v>833</v>
      </c>
    </row>
    <row r="64" spans="1:10" s="133" customFormat="1" ht="31.5">
      <c r="A64" s="59" t="s">
        <v>2523</v>
      </c>
      <c r="B64" s="161" t="s">
        <v>1315</v>
      </c>
      <c r="C64" s="233" t="s">
        <v>630</v>
      </c>
      <c r="D64" s="180">
        <v>20</v>
      </c>
      <c r="E64" s="201">
        <f t="shared" ref="E64:E90" si="4">SUM(D64*1.1)</f>
        <v>22</v>
      </c>
      <c r="F64" s="201">
        <f t="shared" si="3"/>
        <v>16.335000000000001</v>
      </c>
      <c r="G64" s="201">
        <v>14.85</v>
      </c>
      <c r="H64" s="160" t="s">
        <v>365</v>
      </c>
      <c r="I64" s="160" t="s">
        <v>420</v>
      </c>
      <c r="J64" s="426" t="s">
        <v>827</v>
      </c>
    </row>
    <row r="65" spans="1:11" s="203" customFormat="1" ht="42">
      <c r="A65" s="59" t="s">
        <v>2524</v>
      </c>
      <c r="B65" s="413" t="s">
        <v>1316</v>
      </c>
      <c r="C65" s="411" t="s">
        <v>630</v>
      </c>
      <c r="D65" s="418">
        <v>0.5</v>
      </c>
      <c r="E65" s="260">
        <f t="shared" si="4"/>
        <v>0.55000000000000004</v>
      </c>
      <c r="F65" s="260">
        <f t="shared" si="3"/>
        <v>2.0350000000000001</v>
      </c>
      <c r="G65" s="468">
        <v>1.85</v>
      </c>
      <c r="H65" s="413" t="s">
        <v>365</v>
      </c>
      <c r="I65" s="417" t="s">
        <v>1465</v>
      </c>
      <c r="J65" s="413" t="s">
        <v>827</v>
      </c>
    </row>
    <row r="66" spans="1:11" s="203" customFormat="1" ht="31.5">
      <c r="A66" s="59" t="s">
        <v>2525</v>
      </c>
      <c r="B66" s="413" t="s">
        <v>1317</v>
      </c>
      <c r="C66" s="411" t="s">
        <v>630</v>
      </c>
      <c r="D66" s="468" t="s">
        <v>783</v>
      </c>
      <c r="E66" s="468" t="s">
        <v>783</v>
      </c>
      <c r="F66" s="260">
        <f t="shared" si="3"/>
        <v>526.13000000000011</v>
      </c>
      <c r="G66" s="260">
        <v>478.3</v>
      </c>
      <c r="H66" s="413" t="s">
        <v>366</v>
      </c>
      <c r="I66" s="417" t="s">
        <v>1466</v>
      </c>
      <c r="J66" s="413" t="s">
        <v>827</v>
      </c>
    </row>
    <row r="67" spans="1:11" s="133" customFormat="1" ht="126">
      <c r="A67" s="752" t="s">
        <v>2526</v>
      </c>
      <c r="B67" s="161" t="s">
        <v>1318</v>
      </c>
      <c r="C67" s="233" t="s">
        <v>630</v>
      </c>
      <c r="D67" s="180" t="s">
        <v>783</v>
      </c>
      <c r="E67" s="180" t="s">
        <v>783</v>
      </c>
      <c r="F67" s="180" t="s">
        <v>783</v>
      </c>
      <c r="G67" s="180" t="s">
        <v>783</v>
      </c>
      <c r="H67" s="161" t="s">
        <v>288</v>
      </c>
      <c r="I67" s="160" t="s">
        <v>1286</v>
      </c>
      <c r="J67" s="426" t="s">
        <v>827</v>
      </c>
    </row>
    <row r="68" spans="1:11" s="133" customFormat="1" ht="31.5">
      <c r="A68" s="752" t="s">
        <v>2527</v>
      </c>
      <c r="B68" s="161" t="s">
        <v>367</v>
      </c>
      <c r="C68" s="233" t="s">
        <v>630</v>
      </c>
      <c r="D68" s="180" t="s">
        <v>783</v>
      </c>
      <c r="E68" s="180" t="s">
        <v>783</v>
      </c>
      <c r="F68" s="180" t="s">
        <v>783</v>
      </c>
      <c r="G68" s="180" t="s">
        <v>783</v>
      </c>
      <c r="H68" s="161" t="s">
        <v>288</v>
      </c>
      <c r="I68" s="160" t="s">
        <v>423</v>
      </c>
      <c r="J68" s="426" t="s">
        <v>827</v>
      </c>
    </row>
    <row r="69" spans="1:11" s="133" customFormat="1" ht="52.5">
      <c r="A69" s="752" t="s">
        <v>2528</v>
      </c>
      <c r="B69" s="161" t="s">
        <v>1319</v>
      </c>
      <c r="C69" s="177" t="s">
        <v>630</v>
      </c>
      <c r="D69" s="180">
        <v>26</v>
      </c>
      <c r="E69" s="201">
        <f t="shared" si="4"/>
        <v>28.6</v>
      </c>
      <c r="F69" s="201">
        <f t="shared" si="3"/>
        <v>62.040000000000006</v>
      </c>
      <c r="G69" s="201">
        <v>56.4</v>
      </c>
      <c r="H69" s="161" t="s">
        <v>865</v>
      </c>
      <c r="I69" s="160" t="s">
        <v>1287</v>
      </c>
      <c r="J69" s="426" t="s">
        <v>827</v>
      </c>
    </row>
    <row r="70" spans="1:11" s="133" customFormat="1" ht="73.5">
      <c r="A70" s="752" t="s">
        <v>2528</v>
      </c>
      <c r="B70" s="161" t="s">
        <v>834</v>
      </c>
      <c r="C70" s="177" t="s">
        <v>630</v>
      </c>
      <c r="D70" s="180">
        <v>155</v>
      </c>
      <c r="E70" s="201">
        <f t="shared" si="4"/>
        <v>170.5</v>
      </c>
      <c r="F70" s="201">
        <f t="shared" si="3"/>
        <v>63.14</v>
      </c>
      <c r="G70" s="201">
        <v>57.4</v>
      </c>
      <c r="H70" s="161" t="s">
        <v>866</v>
      </c>
      <c r="I70" s="160" t="s">
        <v>1288</v>
      </c>
      <c r="J70" s="426" t="s">
        <v>827</v>
      </c>
    </row>
    <row r="71" spans="1:11" s="133" customFormat="1" ht="21">
      <c r="A71" s="349" t="s">
        <v>2529</v>
      </c>
      <c r="B71" s="161" t="s">
        <v>835</v>
      </c>
      <c r="C71" s="177" t="s">
        <v>630</v>
      </c>
      <c r="D71" s="180">
        <v>7</v>
      </c>
      <c r="E71" s="201">
        <f t="shared" si="4"/>
        <v>7.7000000000000011</v>
      </c>
      <c r="F71" s="201">
        <f t="shared" si="3"/>
        <v>15.345000000000001</v>
      </c>
      <c r="G71" s="201">
        <v>13.95</v>
      </c>
      <c r="H71" s="161"/>
      <c r="I71" s="307"/>
      <c r="J71" s="426" t="s">
        <v>827</v>
      </c>
    </row>
    <row r="72" spans="1:11" s="133" customFormat="1" ht="73.5">
      <c r="A72" s="349" t="s">
        <v>2530</v>
      </c>
      <c r="B72" s="161" t="s">
        <v>836</v>
      </c>
      <c r="C72" s="177" t="s">
        <v>630</v>
      </c>
      <c r="D72" s="180">
        <v>300</v>
      </c>
      <c r="E72" s="201">
        <f t="shared" si="4"/>
        <v>330</v>
      </c>
      <c r="F72" s="201">
        <f t="shared" si="3"/>
        <v>2205.4450000000002</v>
      </c>
      <c r="G72" s="201">
        <v>2004.95</v>
      </c>
      <c r="H72" s="161"/>
      <c r="I72" s="160" t="s">
        <v>837</v>
      </c>
      <c r="J72" s="426" t="s">
        <v>827</v>
      </c>
    </row>
    <row r="73" spans="1:11" s="203" customFormat="1">
      <c r="A73" s="57" t="s">
        <v>2217</v>
      </c>
      <c r="B73" s="414" t="s">
        <v>1418</v>
      </c>
      <c r="C73" s="411" t="s">
        <v>630</v>
      </c>
      <c r="D73" s="180">
        <v>4.5</v>
      </c>
      <c r="E73" s="260">
        <f t="shared" si="4"/>
        <v>4.95</v>
      </c>
      <c r="F73" s="260">
        <v>14.95</v>
      </c>
      <c r="G73" s="241" t="s">
        <v>783</v>
      </c>
      <c r="H73" s="410" t="s">
        <v>368</v>
      </c>
      <c r="I73" s="413" t="s">
        <v>1277</v>
      </c>
      <c r="J73" s="413"/>
    </row>
    <row r="74" spans="1:11" ht="12.75">
      <c r="A74" s="89" t="s">
        <v>2466</v>
      </c>
      <c r="B74" s="535" t="s">
        <v>1241</v>
      </c>
      <c r="C74" s="177" t="s">
        <v>630</v>
      </c>
      <c r="D74" s="241" t="s">
        <v>539</v>
      </c>
      <c r="E74" s="241" t="s">
        <v>539</v>
      </c>
      <c r="F74" s="241" t="s">
        <v>539</v>
      </c>
      <c r="G74" s="241" t="s">
        <v>539</v>
      </c>
      <c r="H74" s="161"/>
      <c r="I74" s="160"/>
      <c r="J74" s="160"/>
    </row>
    <row r="75" spans="1:11" ht="12.75">
      <c r="A75" s="89" t="s">
        <v>2467</v>
      </c>
      <c r="B75" s="535" t="s">
        <v>1242</v>
      </c>
      <c r="C75" s="177" t="s">
        <v>630</v>
      </c>
      <c r="D75" s="241" t="s">
        <v>539</v>
      </c>
      <c r="E75" s="241" t="s">
        <v>539</v>
      </c>
      <c r="F75" s="241" t="s">
        <v>539</v>
      </c>
      <c r="G75" s="241" t="s">
        <v>539</v>
      </c>
      <c r="H75" s="161"/>
      <c r="I75" s="160"/>
      <c r="J75" s="160"/>
    </row>
    <row r="76" spans="1:11" ht="12.75">
      <c r="A76" s="89" t="s">
        <v>2468</v>
      </c>
      <c r="B76" s="535" t="s">
        <v>1243</v>
      </c>
      <c r="C76" s="177" t="s">
        <v>630</v>
      </c>
      <c r="D76" s="241" t="s">
        <v>539</v>
      </c>
      <c r="E76" s="241" t="s">
        <v>539</v>
      </c>
      <c r="F76" s="241" t="s">
        <v>539</v>
      </c>
      <c r="G76" s="241" t="s">
        <v>539</v>
      </c>
      <c r="H76" s="161"/>
      <c r="I76" s="160"/>
      <c r="J76" s="160"/>
    </row>
    <row r="77" spans="1:11" s="4" customFormat="1" ht="12.75">
      <c r="A77" s="89" t="s">
        <v>2469</v>
      </c>
      <c r="B77" s="535" t="s">
        <v>1244</v>
      </c>
      <c r="C77" s="177" t="s">
        <v>630</v>
      </c>
      <c r="D77" s="241" t="s">
        <v>539</v>
      </c>
      <c r="E77" s="241" t="s">
        <v>539</v>
      </c>
      <c r="F77" s="241" t="s">
        <v>539</v>
      </c>
      <c r="G77" s="241" t="s">
        <v>539</v>
      </c>
      <c r="H77" s="161"/>
      <c r="I77" s="160"/>
      <c r="J77" s="160"/>
      <c r="K77" s="145"/>
    </row>
    <row r="78" spans="1:11" s="4" customFormat="1" ht="33.75">
      <c r="A78" s="57" t="s">
        <v>2470</v>
      </c>
      <c r="B78" s="535" t="s">
        <v>1245</v>
      </c>
      <c r="C78" s="177" t="s">
        <v>630</v>
      </c>
      <c r="D78" s="201">
        <v>4.5</v>
      </c>
      <c r="E78" s="201">
        <f t="shared" si="4"/>
        <v>4.95</v>
      </c>
      <c r="F78" s="241" t="s">
        <v>783</v>
      </c>
      <c r="G78" s="241" t="s">
        <v>783</v>
      </c>
      <c r="H78" s="161"/>
      <c r="I78" s="160"/>
      <c r="J78" s="160"/>
      <c r="K78" s="145"/>
    </row>
    <row r="79" spans="1:11" s="4" customFormat="1" ht="33.75">
      <c r="A79" s="57" t="s">
        <v>2222</v>
      </c>
      <c r="B79" s="535" t="s">
        <v>1246</v>
      </c>
      <c r="C79" s="177" t="s">
        <v>630</v>
      </c>
      <c r="D79" s="201">
        <v>7.1</v>
      </c>
      <c r="E79" s="201">
        <f t="shared" si="4"/>
        <v>7.8100000000000005</v>
      </c>
      <c r="F79" s="241" t="s">
        <v>783</v>
      </c>
      <c r="G79" s="241" t="s">
        <v>783</v>
      </c>
      <c r="H79" s="161"/>
      <c r="I79" s="160"/>
      <c r="J79" s="160"/>
      <c r="K79" s="145"/>
    </row>
    <row r="80" spans="1:11" s="4" customFormat="1" ht="33.75">
      <c r="A80" s="57" t="s">
        <v>2223</v>
      </c>
      <c r="B80" s="535" t="s">
        <v>1247</v>
      </c>
      <c r="C80" s="177" t="s">
        <v>630</v>
      </c>
      <c r="D80" s="201">
        <v>3</v>
      </c>
      <c r="E80" s="201">
        <f t="shared" si="4"/>
        <v>3.3000000000000003</v>
      </c>
      <c r="F80" s="241" t="s">
        <v>783</v>
      </c>
      <c r="G80" s="241" t="s">
        <v>783</v>
      </c>
      <c r="H80" s="161"/>
      <c r="I80" s="160"/>
      <c r="J80" s="160"/>
      <c r="K80" s="145"/>
    </row>
    <row r="81" spans="1:11" s="4" customFormat="1" ht="33.75">
      <c r="A81" s="57" t="s">
        <v>2224</v>
      </c>
      <c r="B81" s="535" t="s">
        <v>1248</v>
      </c>
      <c r="C81" s="177" t="s">
        <v>630</v>
      </c>
      <c r="D81" s="201">
        <v>5</v>
      </c>
      <c r="E81" s="201">
        <f t="shared" si="4"/>
        <v>5.5</v>
      </c>
      <c r="F81" s="241" t="s">
        <v>783</v>
      </c>
      <c r="G81" s="241" t="s">
        <v>783</v>
      </c>
      <c r="H81" s="161"/>
      <c r="I81" s="160"/>
      <c r="J81" s="160"/>
      <c r="K81" s="145"/>
    </row>
    <row r="82" spans="1:11" s="4" customFormat="1" ht="22.5">
      <c r="A82" s="57" t="s">
        <v>2225</v>
      </c>
      <c r="B82" s="535" t="s">
        <v>1249</v>
      </c>
      <c r="C82" s="177" t="s">
        <v>630</v>
      </c>
      <c r="D82" s="201">
        <v>7.1</v>
      </c>
      <c r="E82" s="201">
        <f t="shared" si="4"/>
        <v>7.8100000000000005</v>
      </c>
      <c r="F82" s="241" t="s">
        <v>783</v>
      </c>
      <c r="G82" s="241" t="s">
        <v>783</v>
      </c>
      <c r="H82" s="161"/>
      <c r="I82" s="160"/>
      <c r="J82" s="160"/>
      <c r="K82" s="145"/>
    </row>
    <row r="83" spans="1:11" s="133" customFormat="1" ht="168">
      <c r="A83" s="61" t="s">
        <v>2226</v>
      </c>
      <c r="B83" s="96" t="s">
        <v>307</v>
      </c>
      <c r="C83" s="233" t="s">
        <v>630</v>
      </c>
      <c r="D83" s="180">
        <v>14.95</v>
      </c>
      <c r="E83" s="201">
        <f t="shared" si="4"/>
        <v>16.445</v>
      </c>
      <c r="F83" s="353" t="s">
        <v>277</v>
      </c>
      <c r="G83" s="353" t="s">
        <v>277</v>
      </c>
      <c r="H83" s="161" t="s">
        <v>310</v>
      </c>
      <c r="I83" s="149" t="s">
        <v>308</v>
      </c>
      <c r="J83" s="374"/>
    </row>
    <row r="84" spans="1:11" s="133" customFormat="1" ht="42">
      <c r="A84" s="760" t="s">
        <v>2174</v>
      </c>
      <c r="B84" s="374" t="s">
        <v>754</v>
      </c>
      <c r="C84" s="233" t="s">
        <v>630</v>
      </c>
      <c r="D84" s="201">
        <v>35</v>
      </c>
      <c r="E84" s="201">
        <f t="shared" si="4"/>
        <v>38.5</v>
      </c>
      <c r="F84" s="201">
        <f t="shared" si="3"/>
        <v>49.500000000000007</v>
      </c>
      <c r="G84" s="201">
        <v>45</v>
      </c>
      <c r="H84" s="161" t="s">
        <v>342</v>
      </c>
      <c r="I84" s="96" t="s">
        <v>337</v>
      </c>
      <c r="J84" s="427" t="s">
        <v>656</v>
      </c>
    </row>
    <row r="85" spans="1:11" s="133" customFormat="1" ht="73.5">
      <c r="A85" s="61" t="s">
        <v>2175</v>
      </c>
      <c r="B85" s="163" t="s">
        <v>755</v>
      </c>
      <c r="C85" s="233" t="s">
        <v>630</v>
      </c>
      <c r="D85" s="201">
        <v>6.5</v>
      </c>
      <c r="E85" s="201">
        <f t="shared" si="4"/>
        <v>7.15</v>
      </c>
      <c r="F85" s="201">
        <f t="shared" si="3"/>
        <v>3.0250000000000004</v>
      </c>
      <c r="G85" s="201">
        <v>2.75</v>
      </c>
      <c r="H85" s="149" t="s">
        <v>353</v>
      </c>
      <c r="I85" s="148" t="s">
        <v>345</v>
      </c>
      <c r="J85" s="427" t="s">
        <v>656</v>
      </c>
    </row>
    <row r="86" spans="1:11" s="133" customFormat="1" ht="73.5">
      <c r="A86" s="61" t="s">
        <v>2176</v>
      </c>
      <c r="B86" s="163" t="s">
        <v>756</v>
      </c>
      <c r="C86" s="233" t="s">
        <v>630</v>
      </c>
      <c r="D86" s="201">
        <v>5.5</v>
      </c>
      <c r="E86" s="201">
        <f t="shared" si="4"/>
        <v>6.0500000000000007</v>
      </c>
      <c r="F86" s="201">
        <f t="shared" si="3"/>
        <v>3.0250000000000004</v>
      </c>
      <c r="G86" s="201">
        <v>2.75</v>
      </c>
      <c r="H86" s="149" t="s">
        <v>353</v>
      </c>
      <c r="I86" s="148" t="s">
        <v>345</v>
      </c>
      <c r="J86" s="427" t="s">
        <v>656</v>
      </c>
    </row>
    <row r="87" spans="1:11" s="133" customFormat="1" ht="73.5">
      <c r="A87" s="61" t="s">
        <v>2177</v>
      </c>
      <c r="B87" s="163" t="s">
        <v>757</v>
      </c>
      <c r="C87" s="233" t="s">
        <v>630</v>
      </c>
      <c r="D87" s="201">
        <v>4.5</v>
      </c>
      <c r="E87" s="201">
        <f t="shared" si="4"/>
        <v>4.95</v>
      </c>
      <c r="F87" s="201">
        <f t="shared" si="3"/>
        <v>3.0250000000000004</v>
      </c>
      <c r="G87" s="201">
        <v>2.75</v>
      </c>
      <c r="H87" s="149" t="s">
        <v>353</v>
      </c>
      <c r="I87" s="148" t="s">
        <v>345</v>
      </c>
      <c r="J87" s="427" t="s">
        <v>656</v>
      </c>
    </row>
    <row r="88" spans="1:11" s="133" customFormat="1" ht="73.5">
      <c r="A88" s="61" t="s">
        <v>2178</v>
      </c>
      <c r="B88" s="163" t="s">
        <v>758</v>
      </c>
      <c r="C88" s="233" t="s">
        <v>630</v>
      </c>
      <c r="D88" s="201">
        <v>4</v>
      </c>
      <c r="E88" s="201">
        <f t="shared" si="4"/>
        <v>4.4000000000000004</v>
      </c>
      <c r="F88" s="201">
        <f t="shared" si="3"/>
        <v>3.0250000000000004</v>
      </c>
      <c r="G88" s="201">
        <v>2.75</v>
      </c>
      <c r="H88" s="149" t="s">
        <v>353</v>
      </c>
      <c r="I88" s="148" t="s">
        <v>345</v>
      </c>
      <c r="J88" s="427" t="s">
        <v>656</v>
      </c>
    </row>
    <row r="89" spans="1:11" s="133" customFormat="1" ht="73.5">
      <c r="A89" s="61" t="s">
        <v>2179</v>
      </c>
      <c r="B89" s="163" t="s">
        <v>1456</v>
      </c>
      <c r="C89" s="233" t="s">
        <v>630</v>
      </c>
      <c r="D89" s="201">
        <v>3</v>
      </c>
      <c r="E89" s="201">
        <f t="shared" si="4"/>
        <v>3.3000000000000003</v>
      </c>
      <c r="F89" s="201">
        <f t="shared" si="3"/>
        <v>3.0250000000000004</v>
      </c>
      <c r="G89" s="201">
        <v>2.75</v>
      </c>
      <c r="H89" s="149" t="s">
        <v>353</v>
      </c>
      <c r="I89" s="148" t="s">
        <v>345</v>
      </c>
      <c r="J89" s="427" t="s">
        <v>656</v>
      </c>
    </row>
    <row r="90" spans="1:11" s="133" customFormat="1" ht="73.5">
      <c r="A90" s="61" t="s">
        <v>2180</v>
      </c>
      <c r="B90" s="163" t="s">
        <v>759</v>
      </c>
      <c r="C90" s="233" t="s">
        <v>630</v>
      </c>
      <c r="D90" s="201">
        <v>2.5</v>
      </c>
      <c r="E90" s="201">
        <f t="shared" si="4"/>
        <v>2.75</v>
      </c>
      <c r="F90" s="201">
        <f t="shared" si="3"/>
        <v>3.0250000000000004</v>
      </c>
      <c r="G90" s="201">
        <v>2.75</v>
      </c>
      <c r="H90" s="149" t="s">
        <v>353</v>
      </c>
      <c r="I90" s="148" t="s">
        <v>345</v>
      </c>
      <c r="J90" s="427" t="s">
        <v>656</v>
      </c>
    </row>
    <row r="91" spans="1:11" s="133" customFormat="1" ht="52.5">
      <c r="A91" s="61" t="s">
        <v>2181</v>
      </c>
      <c r="B91" s="96" t="s">
        <v>760</v>
      </c>
      <c r="C91" s="233" t="s">
        <v>630</v>
      </c>
      <c r="D91" s="314" t="s">
        <v>277</v>
      </c>
      <c r="E91" s="314" t="s">
        <v>277</v>
      </c>
      <c r="F91" s="201">
        <f t="shared" si="3"/>
        <v>104.50000000000001</v>
      </c>
      <c r="G91" s="201">
        <v>95</v>
      </c>
      <c r="H91" s="149" t="s">
        <v>344</v>
      </c>
      <c r="I91" s="149" t="s">
        <v>346</v>
      </c>
      <c r="J91" s="427" t="s">
        <v>656</v>
      </c>
    </row>
    <row r="92" spans="1:11" s="133" customFormat="1" ht="52.5">
      <c r="A92" s="61" t="s">
        <v>2227</v>
      </c>
      <c r="B92" s="96" t="s">
        <v>761</v>
      </c>
      <c r="C92" s="233" t="s">
        <v>630</v>
      </c>
      <c r="D92" s="314" t="s">
        <v>277</v>
      </c>
      <c r="E92" s="314" t="s">
        <v>277</v>
      </c>
      <c r="F92" s="201">
        <f t="shared" si="3"/>
        <v>214.50000000000003</v>
      </c>
      <c r="G92" s="201">
        <v>195</v>
      </c>
      <c r="H92" s="161" t="s">
        <v>343</v>
      </c>
      <c r="I92" s="96" t="s">
        <v>338</v>
      </c>
      <c r="J92" s="427" t="s">
        <v>656</v>
      </c>
    </row>
    <row r="93" spans="1:11" s="133" customFormat="1" ht="63">
      <c r="A93" s="61" t="s">
        <v>2531</v>
      </c>
      <c r="B93" s="96" t="s">
        <v>613</v>
      </c>
      <c r="C93" s="233" t="s">
        <v>630</v>
      </c>
      <c r="D93" s="180" t="s">
        <v>783</v>
      </c>
      <c r="E93" s="180" t="s">
        <v>783</v>
      </c>
      <c r="F93" s="180" t="s">
        <v>783</v>
      </c>
      <c r="G93" s="180" t="s">
        <v>783</v>
      </c>
      <c r="H93" s="161" t="s">
        <v>285</v>
      </c>
      <c r="I93" s="96" t="s">
        <v>614</v>
      </c>
      <c r="J93" s="427" t="s">
        <v>827</v>
      </c>
    </row>
    <row r="94" spans="1:11" s="133" customFormat="1" ht="31.5">
      <c r="A94" s="61" t="s">
        <v>2228</v>
      </c>
      <c r="B94" s="96" t="s">
        <v>617</v>
      </c>
      <c r="C94" s="233" t="s">
        <v>630</v>
      </c>
      <c r="D94" s="180" t="s">
        <v>783</v>
      </c>
      <c r="E94" s="180" t="s">
        <v>783</v>
      </c>
      <c r="F94" s="180" t="s">
        <v>783</v>
      </c>
      <c r="G94" s="180" t="s">
        <v>783</v>
      </c>
      <c r="H94" s="161" t="s">
        <v>288</v>
      </c>
      <c r="I94" s="96" t="s">
        <v>0</v>
      </c>
      <c r="J94" s="149"/>
    </row>
    <row r="95" spans="1:11" s="133" customFormat="1" ht="68.25" customHeight="1">
      <c r="A95" s="61" t="s">
        <v>2532</v>
      </c>
      <c r="B95" s="96" t="s">
        <v>838</v>
      </c>
      <c r="C95" s="233" t="s">
        <v>630</v>
      </c>
      <c r="D95" s="180" t="s">
        <v>783</v>
      </c>
      <c r="E95" s="180" t="s">
        <v>783</v>
      </c>
      <c r="F95" s="180" t="s">
        <v>783</v>
      </c>
      <c r="G95" s="180" t="s">
        <v>783</v>
      </c>
      <c r="H95" s="161" t="s">
        <v>288</v>
      </c>
      <c r="I95" s="96" t="s">
        <v>871</v>
      </c>
      <c r="J95" s="149"/>
    </row>
    <row r="96" spans="1:11" s="133" customFormat="1">
      <c r="A96" s="178"/>
      <c r="B96" s="142"/>
      <c r="F96" s="464"/>
      <c r="G96" s="464"/>
      <c r="J96" s="193"/>
    </row>
    <row r="97" spans="1:10" s="133" customFormat="1">
      <c r="A97" s="172"/>
      <c r="B97" s="179"/>
      <c r="C97" s="179"/>
      <c r="D97" s="179"/>
      <c r="E97" s="179"/>
      <c r="F97" s="465"/>
      <c r="G97" s="465"/>
      <c r="H97" s="179"/>
      <c r="I97" s="179"/>
      <c r="J97" s="313"/>
    </row>
    <row r="98" spans="1:10" s="133" customFormat="1">
      <c r="A98" s="172"/>
      <c r="B98" s="179"/>
      <c r="C98" s="179"/>
      <c r="D98" s="179"/>
      <c r="E98" s="179"/>
      <c r="F98" s="465"/>
      <c r="G98" s="465"/>
      <c r="H98" s="179"/>
      <c r="I98" s="179"/>
      <c r="J98" s="313"/>
    </row>
    <row r="99" spans="1:10" s="133" customFormat="1">
      <c r="A99" s="172"/>
      <c r="B99" s="179"/>
      <c r="C99" s="179"/>
      <c r="D99" s="179"/>
      <c r="E99" s="179"/>
      <c r="F99" s="465"/>
      <c r="G99" s="465"/>
      <c r="H99" s="179"/>
      <c r="I99" s="179"/>
      <c r="J99" s="313"/>
    </row>
    <row r="100" spans="1:10" s="133" customFormat="1">
      <c r="A100" s="172"/>
      <c r="B100" s="179"/>
      <c r="C100" s="179"/>
      <c r="D100" s="179"/>
      <c r="E100" s="179"/>
      <c r="F100" s="465"/>
      <c r="G100" s="465"/>
      <c r="H100" s="179"/>
      <c r="I100" s="179"/>
      <c r="J100" s="313"/>
    </row>
    <row r="101" spans="1:10" s="133" customFormat="1">
      <c r="A101" s="172"/>
      <c r="B101" s="179"/>
      <c r="C101" s="179"/>
      <c r="D101" s="179"/>
      <c r="E101" s="179"/>
      <c r="F101" s="465"/>
      <c r="G101" s="465"/>
      <c r="H101" s="179"/>
      <c r="I101" s="179"/>
      <c r="J101" s="313"/>
    </row>
    <row r="102" spans="1:10" s="133" customFormat="1">
      <c r="A102" s="172"/>
      <c r="B102" s="179"/>
      <c r="C102" s="179"/>
      <c r="D102" s="179"/>
      <c r="E102" s="179"/>
      <c r="F102" s="465"/>
      <c r="G102" s="465"/>
      <c r="H102" s="179"/>
      <c r="I102" s="179"/>
      <c r="J102" s="313"/>
    </row>
    <row r="103" spans="1:10" s="133" customFormat="1">
      <c r="A103" s="172"/>
      <c r="B103" s="179"/>
      <c r="C103" s="179"/>
      <c r="D103" s="179"/>
      <c r="E103" s="179"/>
      <c r="F103" s="465"/>
      <c r="G103" s="465"/>
      <c r="H103" s="179"/>
      <c r="I103" s="179"/>
      <c r="J103" s="313"/>
    </row>
    <row r="104" spans="1:10" s="133" customFormat="1">
      <c r="A104" s="172"/>
      <c r="B104" s="179"/>
      <c r="C104" s="179"/>
      <c r="D104" s="179"/>
      <c r="E104" s="179"/>
      <c r="F104" s="465"/>
      <c r="G104" s="465"/>
      <c r="H104" s="179"/>
      <c r="I104" s="179"/>
      <c r="J104" s="313"/>
    </row>
    <row r="105" spans="1:10" s="133" customFormat="1">
      <c r="A105" s="172"/>
      <c r="B105" s="179"/>
      <c r="C105" s="179"/>
      <c r="D105" s="179"/>
      <c r="E105" s="179"/>
      <c r="F105" s="465"/>
      <c r="G105" s="465"/>
      <c r="H105" s="179"/>
      <c r="I105" s="179"/>
      <c r="J105" s="313"/>
    </row>
    <row r="106" spans="1:10" s="133" customFormat="1">
      <c r="A106" s="172"/>
      <c r="B106" s="179"/>
      <c r="C106" s="179"/>
      <c r="D106" s="179"/>
      <c r="E106" s="179"/>
      <c r="F106" s="465"/>
      <c r="G106" s="465"/>
      <c r="H106" s="179"/>
      <c r="I106" s="179"/>
      <c r="J106" s="313"/>
    </row>
    <row r="107" spans="1:10" s="133" customFormat="1">
      <c r="A107" s="172"/>
      <c r="B107" s="179"/>
      <c r="C107" s="179"/>
      <c r="D107" s="179"/>
      <c r="E107" s="179"/>
      <c r="F107" s="465"/>
      <c r="G107" s="465"/>
      <c r="H107" s="179"/>
      <c r="I107" s="179"/>
      <c r="J107" s="313"/>
    </row>
    <row r="108" spans="1:10" s="133" customFormat="1">
      <c r="A108" s="172"/>
      <c r="B108" s="179"/>
      <c r="C108" s="179"/>
      <c r="D108" s="179"/>
      <c r="E108" s="179"/>
      <c r="F108" s="465"/>
      <c r="G108" s="465"/>
      <c r="H108" s="179"/>
      <c r="I108" s="179"/>
      <c r="J108" s="313"/>
    </row>
    <row r="109" spans="1:10" s="133" customFormat="1">
      <c r="A109" s="172"/>
      <c r="B109" s="179"/>
      <c r="C109" s="179"/>
      <c r="D109" s="179"/>
      <c r="E109" s="179"/>
      <c r="F109" s="465"/>
      <c r="G109" s="465"/>
      <c r="H109" s="179"/>
      <c r="I109" s="179"/>
      <c r="J109" s="313"/>
    </row>
    <row r="110" spans="1:10" s="133" customFormat="1">
      <c r="A110" s="172"/>
      <c r="B110" s="179"/>
      <c r="C110" s="179"/>
      <c r="D110" s="179"/>
      <c r="E110" s="179"/>
      <c r="F110" s="465"/>
      <c r="G110" s="465"/>
      <c r="H110" s="179"/>
      <c r="I110" s="179"/>
      <c r="J110" s="313"/>
    </row>
    <row r="111" spans="1:10" s="133" customFormat="1">
      <c r="A111" s="172"/>
      <c r="F111" s="464"/>
      <c r="G111" s="464"/>
      <c r="J111" s="193"/>
    </row>
    <row r="112" spans="1:10" s="133" customFormat="1">
      <c r="A112" s="170"/>
      <c r="B112" s="141"/>
      <c r="F112" s="464"/>
      <c r="G112" s="464"/>
      <c r="J112" s="193"/>
    </row>
    <row r="113" spans="1:10" s="133" customFormat="1">
      <c r="A113" s="170"/>
      <c r="B113" s="171"/>
      <c r="F113" s="464"/>
      <c r="G113" s="464"/>
      <c r="J113" s="193"/>
    </row>
    <row r="114" spans="1:10" s="133" customFormat="1">
      <c r="A114" s="170"/>
      <c r="B114" s="171"/>
      <c r="F114" s="464"/>
      <c r="G114" s="464"/>
      <c r="J114" s="193"/>
    </row>
    <row r="115" spans="1:10" s="133" customFormat="1">
      <c r="A115" s="172"/>
      <c r="F115" s="464"/>
      <c r="G115" s="464"/>
      <c r="J115" s="193"/>
    </row>
    <row r="116" spans="1:10" s="133" customFormat="1">
      <c r="A116" s="172"/>
      <c r="F116" s="464"/>
      <c r="G116" s="464"/>
      <c r="J116" s="193"/>
    </row>
    <row r="117" spans="1:10" s="133" customFormat="1">
      <c r="A117" s="172"/>
      <c r="F117" s="464"/>
      <c r="G117" s="464"/>
      <c r="J117" s="193"/>
    </row>
    <row r="118" spans="1:10" s="133" customFormat="1">
      <c r="A118" s="172"/>
      <c r="F118" s="464"/>
      <c r="G118" s="464"/>
      <c r="J118" s="193"/>
    </row>
    <row r="119" spans="1:10" s="133" customFormat="1">
      <c r="A119" s="172"/>
      <c r="F119" s="464"/>
      <c r="G119" s="464"/>
      <c r="J119" s="193"/>
    </row>
    <row r="120" spans="1:10" s="133" customFormat="1">
      <c r="A120" s="172"/>
      <c r="F120" s="464"/>
      <c r="G120" s="464"/>
      <c r="J120" s="193"/>
    </row>
    <row r="121" spans="1:10" s="133" customFormat="1">
      <c r="A121" s="172"/>
      <c r="F121" s="464"/>
      <c r="G121" s="464"/>
      <c r="J121" s="193"/>
    </row>
    <row r="122" spans="1:10" s="133" customFormat="1">
      <c r="A122" s="172"/>
      <c r="F122" s="464"/>
      <c r="G122" s="464"/>
      <c r="J122" s="193"/>
    </row>
    <row r="123" spans="1:10" s="133" customFormat="1">
      <c r="A123" s="172"/>
      <c r="F123" s="464"/>
      <c r="G123" s="464"/>
      <c r="J123" s="193"/>
    </row>
    <row r="124" spans="1:10" s="133" customFormat="1">
      <c r="A124" s="172"/>
      <c r="F124" s="464"/>
      <c r="G124" s="464"/>
      <c r="J124" s="193"/>
    </row>
    <row r="125" spans="1:10" s="133" customFormat="1">
      <c r="A125" s="172"/>
      <c r="F125" s="464"/>
      <c r="G125" s="464"/>
      <c r="J125" s="193"/>
    </row>
    <row r="126" spans="1:10" s="133" customFormat="1">
      <c r="A126" s="172"/>
      <c r="F126" s="464"/>
      <c r="G126" s="464"/>
      <c r="J126" s="193"/>
    </row>
    <row r="127" spans="1:10" s="133" customFormat="1">
      <c r="A127" s="172"/>
      <c r="F127" s="464"/>
      <c r="G127" s="464"/>
      <c r="J127" s="193"/>
    </row>
    <row r="128" spans="1:10">
      <c r="A128" s="133"/>
      <c r="B128" s="133"/>
      <c r="C128" s="133"/>
      <c r="D128" s="133"/>
      <c r="E128" s="133"/>
      <c r="F128" s="464"/>
      <c r="G128" s="464"/>
      <c r="H128" s="133"/>
      <c r="I128" s="133"/>
      <c r="J128" s="193"/>
    </row>
    <row r="129" spans="1:10">
      <c r="A129" s="133"/>
      <c r="B129" s="133"/>
      <c r="C129" s="133"/>
      <c r="D129" s="133"/>
      <c r="E129" s="133"/>
      <c r="F129" s="464"/>
      <c r="G129" s="464"/>
      <c r="H129" s="133"/>
      <c r="I129" s="133"/>
      <c r="J129" s="193"/>
    </row>
    <row r="130" spans="1:10">
      <c r="A130" s="133"/>
      <c r="B130" s="133"/>
      <c r="C130" s="133"/>
      <c r="D130" s="133"/>
      <c r="E130" s="133"/>
      <c r="F130" s="464"/>
      <c r="G130" s="464"/>
      <c r="H130" s="133"/>
      <c r="I130" s="133"/>
      <c r="J130" s="193"/>
    </row>
    <row r="131" spans="1:10">
      <c r="A131" s="133"/>
      <c r="B131" s="133"/>
      <c r="C131" s="133"/>
      <c r="D131" s="133"/>
      <c r="E131" s="133"/>
      <c r="F131" s="464"/>
      <c r="G131" s="464"/>
      <c r="H131" s="133"/>
      <c r="I131" s="133"/>
      <c r="J131" s="193"/>
    </row>
    <row r="132" spans="1:10">
      <c r="A132" s="133"/>
      <c r="B132" s="133"/>
      <c r="C132" s="133"/>
      <c r="D132" s="133"/>
      <c r="E132" s="133"/>
      <c r="F132" s="464"/>
      <c r="G132" s="464"/>
      <c r="H132" s="133"/>
      <c r="I132" s="133"/>
      <c r="J132" s="193"/>
    </row>
    <row r="133" spans="1:10">
      <c r="A133" s="133"/>
      <c r="B133" s="133"/>
      <c r="C133" s="133"/>
      <c r="D133" s="133"/>
      <c r="E133" s="133"/>
      <c r="F133" s="464"/>
      <c r="G133" s="464"/>
      <c r="H133" s="133"/>
      <c r="I133" s="133"/>
      <c r="J133" s="193"/>
    </row>
    <row r="134" spans="1:10">
      <c r="A134" s="133"/>
      <c r="B134" s="133"/>
      <c r="C134" s="133"/>
      <c r="D134" s="133"/>
      <c r="E134" s="133"/>
      <c r="F134" s="464"/>
      <c r="G134" s="464"/>
      <c r="H134" s="133"/>
      <c r="I134" s="133"/>
      <c r="J134" s="193"/>
    </row>
    <row r="135" spans="1:10">
      <c r="A135" s="133"/>
      <c r="B135" s="133"/>
      <c r="C135" s="133"/>
      <c r="D135" s="133"/>
      <c r="E135" s="133"/>
      <c r="F135" s="464"/>
      <c r="G135" s="464"/>
      <c r="H135" s="133"/>
      <c r="I135" s="133"/>
      <c r="J135" s="193"/>
    </row>
    <row r="136" spans="1:10">
      <c r="A136" s="133"/>
      <c r="B136" s="133"/>
      <c r="C136" s="133"/>
      <c r="D136" s="133"/>
      <c r="E136" s="133"/>
      <c r="F136" s="464"/>
      <c r="G136" s="464"/>
      <c r="H136" s="133"/>
      <c r="I136" s="133"/>
      <c r="J136" s="193"/>
    </row>
    <row r="137" spans="1:10">
      <c r="A137" s="133"/>
      <c r="B137" s="133"/>
      <c r="C137" s="133"/>
      <c r="D137" s="133"/>
      <c r="E137" s="133"/>
      <c r="F137" s="464"/>
      <c r="G137" s="464"/>
      <c r="H137" s="133"/>
      <c r="I137" s="133"/>
      <c r="J137" s="193"/>
    </row>
    <row r="138" spans="1:10">
      <c r="A138" s="133"/>
      <c r="B138" s="133"/>
      <c r="C138" s="133"/>
      <c r="D138" s="133"/>
      <c r="E138" s="133"/>
      <c r="F138" s="464"/>
      <c r="G138" s="464"/>
      <c r="H138" s="133"/>
      <c r="I138" s="133"/>
      <c r="J138" s="193"/>
    </row>
    <row r="139" spans="1:10">
      <c r="A139" s="133"/>
      <c r="B139" s="133"/>
      <c r="C139" s="133"/>
      <c r="D139" s="133"/>
      <c r="E139" s="133"/>
      <c r="F139" s="464"/>
      <c r="G139" s="464"/>
      <c r="H139" s="133"/>
      <c r="I139" s="133"/>
      <c r="J139" s="193"/>
    </row>
    <row r="140" spans="1:10">
      <c r="A140" s="133"/>
      <c r="B140" s="133"/>
      <c r="C140" s="133"/>
      <c r="D140" s="133"/>
      <c r="E140" s="133"/>
      <c r="F140" s="464"/>
      <c r="G140" s="464"/>
      <c r="H140" s="133"/>
      <c r="I140" s="133"/>
      <c r="J140" s="193"/>
    </row>
    <row r="141" spans="1:10">
      <c r="A141" s="133"/>
      <c r="B141" s="133"/>
      <c r="C141" s="133"/>
      <c r="D141" s="133"/>
      <c r="E141" s="133"/>
      <c r="F141" s="464"/>
      <c r="G141" s="464"/>
      <c r="H141" s="133"/>
      <c r="I141" s="133"/>
      <c r="J141" s="193"/>
    </row>
    <row r="142" spans="1:10">
      <c r="A142" s="133"/>
      <c r="B142" s="133"/>
      <c r="C142" s="133"/>
      <c r="D142" s="133"/>
      <c r="E142" s="133"/>
      <c r="F142" s="464"/>
      <c r="G142" s="464"/>
      <c r="H142" s="133"/>
      <c r="I142" s="133"/>
      <c r="J142" s="193"/>
    </row>
    <row r="143" spans="1:10">
      <c r="A143" s="133"/>
      <c r="B143" s="133"/>
      <c r="C143" s="133"/>
      <c r="D143" s="133"/>
      <c r="E143" s="133"/>
      <c r="F143" s="464"/>
      <c r="G143" s="464"/>
      <c r="H143" s="133"/>
      <c r="I143" s="133"/>
      <c r="J143" s="193"/>
    </row>
    <row r="144" spans="1:10">
      <c r="A144" s="133"/>
      <c r="B144" s="133"/>
      <c r="C144" s="133"/>
      <c r="D144" s="133"/>
      <c r="E144" s="133"/>
      <c r="F144" s="464"/>
      <c r="G144" s="464"/>
      <c r="H144" s="133"/>
      <c r="I144" s="133"/>
      <c r="J144" s="193"/>
    </row>
    <row r="145" spans="1:10">
      <c r="A145" s="133"/>
      <c r="B145" s="133"/>
      <c r="C145" s="133"/>
      <c r="D145" s="133"/>
      <c r="E145" s="133"/>
      <c r="F145" s="464"/>
      <c r="G145" s="464"/>
      <c r="H145" s="133"/>
      <c r="I145" s="133"/>
      <c r="J145" s="193"/>
    </row>
    <row r="146" spans="1:10">
      <c r="A146" s="133"/>
      <c r="B146" s="133"/>
      <c r="C146" s="133"/>
      <c r="D146" s="133"/>
      <c r="E146" s="133"/>
      <c r="F146" s="464"/>
      <c r="G146" s="464"/>
      <c r="H146" s="133"/>
      <c r="I146" s="133"/>
      <c r="J146" s="193"/>
    </row>
    <row r="147" spans="1:10">
      <c r="A147" s="133"/>
      <c r="B147" s="133"/>
      <c r="C147" s="133"/>
      <c r="D147" s="133"/>
      <c r="E147" s="133"/>
      <c r="F147" s="464"/>
      <c r="G147" s="464"/>
      <c r="H147" s="133"/>
      <c r="I147" s="133"/>
      <c r="J147" s="193"/>
    </row>
    <row r="148" spans="1:10">
      <c r="A148" s="133"/>
      <c r="B148" s="133"/>
      <c r="C148" s="133"/>
      <c r="D148" s="133"/>
      <c r="E148" s="133"/>
      <c r="F148" s="464"/>
      <c r="G148" s="464"/>
      <c r="H148" s="133"/>
      <c r="I148" s="133"/>
      <c r="J148" s="193"/>
    </row>
    <row r="149" spans="1:10">
      <c r="A149" s="133"/>
      <c r="B149" s="133"/>
      <c r="C149" s="133"/>
      <c r="D149" s="133"/>
      <c r="E149" s="133"/>
      <c r="F149" s="464"/>
      <c r="G149" s="464"/>
      <c r="H149" s="133"/>
      <c r="I149" s="133"/>
      <c r="J149" s="193"/>
    </row>
    <row r="150" spans="1:10">
      <c r="A150" s="133"/>
      <c r="B150" s="133"/>
      <c r="C150" s="133"/>
      <c r="D150" s="133"/>
      <c r="E150" s="133"/>
      <c r="F150" s="464"/>
      <c r="G150" s="464"/>
      <c r="H150" s="133"/>
      <c r="I150" s="133"/>
      <c r="J150" s="193"/>
    </row>
    <row r="151" spans="1:10">
      <c r="A151" s="133"/>
      <c r="B151" s="133"/>
      <c r="C151" s="133"/>
      <c r="D151" s="133"/>
      <c r="E151" s="133"/>
      <c r="F151" s="464"/>
      <c r="G151" s="464"/>
      <c r="H151" s="133"/>
      <c r="I151" s="133"/>
      <c r="J151" s="193"/>
    </row>
    <row r="152" spans="1:10">
      <c r="A152" s="133"/>
      <c r="B152" s="133"/>
      <c r="C152" s="133"/>
      <c r="D152" s="133"/>
      <c r="E152" s="133"/>
      <c r="F152" s="464"/>
      <c r="G152" s="464"/>
      <c r="H152" s="133"/>
      <c r="I152" s="133"/>
      <c r="J152" s="193"/>
    </row>
    <row r="153" spans="1:10">
      <c r="A153" s="133"/>
      <c r="B153" s="133"/>
      <c r="C153" s="133"/>
      <c r="D153" s="133"/>
      <c r="E153" s="133"/>
      <c r="F153" s="464"/>
      <c r="G153" s="464"/>
      <c r="H153" s="133"/>
      <c r="I153" s="133"/>
      <c r="J153" s="193"/>
    </row>
    <row r="154" spans="1:10">
      <c r="A154" s="133"/>
      <c r="B154" s="133"/>
      <c r="C154" s="133"/>
      <c r="D154" s="133"/>
      <c r="E154" s="133"/>
      <c r="F154" s="464"/>
      <c r="G154" s="464"/>
      <c r="H154" s="133"/>
      <c r="I154" s="133"/>
      <c r="J154" s="193"/>
    </row>
    <row r="155" spans="1:10">
      <c r="A155" s="133"/>
      <c r="B155" s="133"/>
      <c r="C155" s="133"/>
      <c r="D155" s="133"/>
      <c r="E155" s="133"/>
      <c r="F155" s="464"/>
      <c r="G155" s="464"/>
      <c r="H155" s="133"/>
      <c r="I155" s="133"/>
      <c r="J155" s="193"/>
    </row>
    <row r="156" spans="1:10">
      <c r="A156" s="133"/>
      <c r="B156" s="133"/>
      <c r="C156" s="133"/>
      <c r="D156" s="133"/>
      <c r="E156" s="133"/>
      <c r="F156" s="464"/>
      <c r="G156" s="464"/>
      <c r="H156" s="133"/>
      <c r="I156" s="133"/>
      <c r="J156" s="193"/>
    </row>
    <row r="157" spans="1:10">
      <c r="A157" s="133"/>
      <c r="B157" s="133"/>
      <c r="C157" s="133"/>
      <c r="D157" s="133"/>
      <c r="E157" s="133"/>
      <c r="F157" s="464"/>
      <c r="G157" s="464"/>
      <c r="H157" s="133"/>
      <c r="I157" s="133"/>
      <c r="J157" s="193"/>
    </row>
    <row r="158" spans="1:10">
      <c r="A158" s="133"/>
      <c r="B158" s="133"/>
      <c r="C158" s="133"/>
      <c r="D158" s="133"/>
      <c r="E158" s="133"/>
      <c r="F158" s="464"/>
      <c r="G158" s="464"/>
      <c r="H158" s="133"/>
      <c r="I158" s="133"/>
      <c r="J158" s="193"/>
    </row>
    <row r="159" spans="1:10">
      <c r="A159" s="133"/>
      <c r="B159" s="133"/>
      <c r="C159" s="133"/>
      <c r="D159" s="133"/>
      <c r="E159" s="133"/>
      <c r="F159" s="464"/>
      <c r="G159" s="464"/>
      <c r="H159" s="133"/>
      <c r="I159" s="133"/>
      <c r="J159" s="193"/>
    </row>
    <row r="160" spans="1:10">
      <c r="A160" s="133"/>
      <c r="B160" s="133"/>
      <c r="C160" s="133"/>
      <c r="D160" s="133"/>
      <c r="E160" s="133"/>
      <c r="F160" s="464"/>
      <c r="G160" s="464"/>
      <c r="H160" s="133"/>
      <c r="I160" s="133"/>
      <c r="J160" s="193"/>
    </row>
    <row r="161" spans="1:10">
      <c r="A161" s="133"/>
      <c r="B161" s="133"/>
      <c r="C161" s="133"/>
      <c r="D161" s="133"/>
      <c r="E161" s="133"/>
      <c r="F161" s="464"/>
      <c r="G161" s="464"/>
      <c r="H161" s="133"/>
      <c r="I161" s="133"/>
      <c r="J161" s="193"/>
    </row>
    <row r="162" spans="1:10">
      <c r="A162" s="133"/>
      <c r="B162" s="133"/>
      <c r="C162" s="133"/>
      <c r="D162" s="133"/>
      <c r="E162" s="133"/>
      <c r="F162" s="464"/>
      <c r="G162" s="464"/>
      <c r="H162" s="133"/>
      <c r="I162" s="133"/>
      <c r="J162" s="193"/>
    </row>
    <row r="163" spans="1:10">
      <c r="A163" s="133"/>
      <c r="B163" s="133"/>
      <c r="C163" s="133"/>
      <c r="D163" s="133"/>
      <c r="E163" s="133"/>
      <c r="F163" s="464"/>
      <c r="G163" s="464"/>
      <c r="H163" s="133"/>
      <c r="I163" s="133"/>
      <c r="J163" s="193"/>
    </row>
    <row r="164" spans="1:10">
      <c r="A164" s="133"/>
      <c r="B164" s="133"/>
      <c r="C164" s="133"/>
      <c r="D164" s="133"/>
      <c r="E164" s="133"/>
      <c r="F164" s="464"/>
      <c r="G164" s="464"/>
      <c r="H164" s="133"/>
      <c r="I164" s="133"/>
      <c r="J164" s="193"/>
    </row>
    <row r="165" spans="1:10">
      <c r="A165" s="133"/>
      <c r="B165" s="133"/>
      <c r="C165" s="133"/>
      <c r="D165" s="133"/>
      <c r="E165" s="133"/>
      <c r="F165" s="464"/>
      <c r="G165" s="464"/>
      <c r="H165" s="133"/>
      <c r="I165" s="133"/>
      <c r="J165" s="193"/>
    </row>
    <row r="166" spans="1:10">
      <c r="A166" s="133"/>
      <c r="B166" s="133"/>
      <c r="C166" s="133"/>
      <c r="D166" s="133"/>
      <c r="E166" s="133"/>
      <c r="F166" s="464"/>
      <c r="G166" s="464"/>
      <c r="H166" s="133"/>
      <c r="I166" s="133"/>
      <c r="J166" s="193"/>
    </row>
    <row r="167" spans="1:10">
      <c r="A167" s="133"/>
      <c r="B167" s="133"/>
      <c r="C167" s="133"/>
      <c r="D167" s="133"/>
      <c r="E167" s="133"/>
      <c r="F167" s="464"/>
      <c r="G167" s="464"/>
      <c r="H167" s="133"/>
      <c r="I167" s="133"/>
      <c r="J167" s="193"/>
    </row>
    <row r="168" spans="1:10">
      <c r="A168" s="133"/>
      <c r="B168" s="133"/>
      <c r="C168" s="133"/>
      <c r="D168" s="133"/>
      <c r="E168" s="133"/>
      <c r="F168" s="464"/>
      <c r="G168" s="464"/>
      <c r="H168" s="133"/>
      <c r="I168" s="133"/>
      <c r="J168" s="193"/>
    </row>
    <row r="169" spans="1:10">
      <c r="A169" s="133"/>
      <c r="B169" s="133"/>
      <c r="C169" s="133"/>
      <c r="D169" s="133"/>
      <c r="E169" s="133"/>
      <c r="F169" s="464"/>
      <c r="G169" s="464"/>
      <c r="H169" s="133"/>
      <c r="I169" s="133"/>
      <c r="J169" s="193"/>
    </row>
    <row r="170" spans="1:10">
      <c r="A170" s="133"/>
      <c r="B170" s="133"/>
      <c r="C170" s="133"/>
      <c r="D170" s="133"/>
      <c r="E170" s="133"/>
      <c r="F170" s="464"/>
      <c r="G170" s="464"/>
      <c r="H170" s="133"/>
      <c r="I170" s="133"/>
      <c r="J170" s="193"/>
    </row>
    <row r="171" spans="1:10">
      <c r="A171" s="133"/>
      <c r="B171" s="133"/>
      <c r="C171" s="133"/>
      <c r="D171" s="133"/>
      <c r="E171" s="133"/>
      <c r="F171" s="464"/>
      <c r="G171" s="464"/>
      <c r="H171" s="133"/>
      <c r="I171" s="133"/>
      <c r="J171" s="193"/>
    </row>
    <row r="172" spans="1:10">
      <c r="A172" s="133"/>
      <c r="B172" s="133"/>
      <c r="C172" s="133"/>
      <c r="D172" s="133"/>
      <c r="E172" s="133"/>
      <c r="F172" s="464"/>
      <c r="G172" s="464"/>
      <c r="H172" s="133"/>
      <c r="I172" s="133"/>
      <c r="J172" s="193"/>
    </row>
    <row r="173" spans="1:10">
      <c r="A173" s="133"/>
      <c r="B173" s="133"/>
      <c r="C173" s="133"/>
      <c r="D173" s="133"/>
      <c r="E173" s="133"/>
      <c r="F173" s="464"/>
      <c r="G173" s="464"/>
      <c r="H173" s="133"/>
      <c r="I173" s="133"/>
      <c r="J173" s="193"/>
    </row>
    <row r="174" spans="1:10">
      <c r="A174" s="133"/>
      <c r="B174" s="133"/>
      <c r="C174" s="133"/>
      <c r="D174" s="133"/>
      <c r="E174" s="133"/>
      <c r="F174" s="464"/>
      <c r="G174" s="464"/>
      <c r="H174" s="133"/>
      <c r="I174" s="133"/>
      <c r="J174" s="193"/>
    </row>
    <row r="175" spans="1:10">
      <c r="A175" s="133"/>
      <c r="B175" s="133"/>
      <c r="C175" s="133"/>
      <c r="D175" s="133"/>
      <c r="E175" s="133"/>
      <c r="F175" s="464"/>
      <c r="G175" s="464"/>
      <c r="H175" s="133"/>
      <c r="I175" s="133"/>
      <c r="J175" s="193"/>
    </row>
    <row r="176" spans="1:10">
      <c r="A176" s="133"/>
      <c r="B176" s="133"/>
      <c r="C176" s="133"/>
      <c r="D176" s="133"/>
      <c r="E176" s="133"/>
      <c r="F176" s="464"/>
      <c r="G176" s="464"/>
      <c r="H176" s="133"/>
      <c r="I176" s="133"/>
      <c r="J176" s="193"/>
    </row>
    <row r="177" spans="1:10">
      <c r="A177" s="133"/>
      <c r="B177" s="133"/>
      <c r="C177" s="133"/>
      <c r="D177" s="133"/>
      <c r="E177" s="133"/>
      <c r="F177" s="464"/>
      <c r="G177" s="464"/>
      <c r="H177" s="133"/>
      <c r="I177" s="133"/>
      <c r="J177" s="193"/>
    </row>
    <row r="178" spans="1:10">
      <c r="A178" s="133"/>
      <c r="B178" s="133"/>
      <c r="C178" s="133"/>
      <c r="D178" s="133"/>
      <c r="E178" s="133"/>
      <c r="F178" s="464"/>
      <c r="G178" s="464"/>
      <c r="H178" s="133"/>
      <c r="I178" s="133"/>
      <c r="J178" s="193"/>
    </row>
    <row r="179" spans="1:10">
      <c r="A179" s="133"/>
      <c r="B179" s="133"/>
      <c r="C179" s="133"/>
      <c r="D179" s="133"/>
      <c r="E179" s="133"/>
      <c r="F179" s="464"/>
      <c r="G179" s="464"/>
      <c r="H179" s="133"/>
      <c r="I179" s="133"/>
      <c r="J179" s="193"/>
    </row>
    <row r="180" spans="1:10">
      <c r="A180" s="133"/>
      <c r="B180" s="133"/>
      <c r="C180" s="133"/>
      <c r="D180" s="133"/>
      <c r="E180" s="133"/>
      <c r="F180" s="464"/>
      <c r="G180" s="464"/>
      <c r="H180" s="133"/>
      <c r="I180" s="133"/>
      <c r="J180" s="193"/>
    </row>
    <row r="181" spans="1:10">
      <c r="A181" s="133"/>
      <c r="B181" s="133"/>
      <c r="C181" s="133"/>
      <c r="D181" s="133"/>
      <c r="E181" s="133"/>
      <c r="F181" s="464"/>
      <c r="G181" s="464"/>
      <c r="H181" s="133"/>
      <c r="I181" s="133"/>
      <c r="J181" s="193"/>
    </row>
    <row r="182" spans="1:10">
      <c r="A182" s="133"/>
      <c r="B182" s="133"/>
      <c r="C182" s="133"/>
      <c r="D182" s="133"/>
      <c r="E182" s="133"/>
      <c r="F182" s="464"/>
      <c r="G182" s="464"/>
      <c r="H182" s="133"/>
      <c r="I182" s="133"/>
      <c r="J182" s="193"/>
    </row>
    <row r="183" spans="1:10">
      <c r="A183" s="133"/>
      <c r="B183" s="133"/>
      <c r="C183" s="133"/>
      <c r="D183" s="133"/>
      <c r="E183" s="133"/>
      <c r="F183" s="464"/>
      <c r="G183" s="464"/>
      <c r="H183" s="133"/>
      <c r="I183" s="133"/>
      <c r="J183" s="193"/>
    </row>
    <row r="184" spans="1:10">
      <c r="A184" s="133"/>
      <c r="B184" s="133"/>
      <c r="C184" s="133"/>
      <c r="D184" s="133"/>
      <c r="E184" s="133"/>
      <c r="F184" s="464"/>
      <c r="G184" s="464"/>
      <c r="H184" s="133"/>
      <c r="I184" s="133"/>
      <c r="J184" s="193"/>
    </row>
    <row r="185" spans="1:10">
      <c r="A185" s="133"/>
      <c r="B185" s="133"/>
      <c r="C185" s="133"/>
      <c r="D185" s="133"/>
      <c r="E185" s="133"/>
      <c r="F185" s="464"/>
      <c r="G185" s="464"/>
      <c r="H185" s="133"/>
      <c r="I185" s="133"/>
      <c r="J185" s="193"/>
    </row>
    <row r="186" spans="1:10">
      <c r="A186" s="133"/>
      <c r="B186" s="133"/>
      <c r="C186" s="133"/>
      <c r="D186" s="133"/>
      <c r="E186" s="133"/>
      <c r="F186" s="464"/>
      <c r="G186" s="464"/>
      <c r="H186" s="133"/>
      <c r="I186" s="133"/>
      <c r="J186" s="193"/>
    </row>
    <row r="187" spans="1:10">
      <c r="A187" s="133"/>
      <c r="B187" s="133"/>
      <c r="C187" s="133"/>
      <c r="D187" s="133"/>
      <c r="E187" s="133"/>
      <c r="F187" s="464"/>
      <c r="G187" s="464"/>
      <c r="H187" s="133"/>
      <c r="I187" s="133"/>
      <c r="J187" s="193"/>
    </row>
    <row r="188" spans="1:10">
      <c r="A188" s="133"/>
      <c r="B188" s="133"/>
      <c r="C188" s="133"/>
      <c r="D188" s="133"/>
      <c r="E188" s="133"/>
      <c r="F188" s="464"/>
      <c r="G188" s="464"/>
      <c r="H188" s="133"/>
      <c r="I188" s="133"/>
      <c r="J188" s="193"/>
    </row>
    <row r="189" spans="1:10">
      <c r="A189" s="133"/>
      <c r="B189" s="133"/>
      <c r="C189" s="133"/>
      <c r="D189" s="133"/>
      <c r="E189" s="133"/>
      <c r="F189" s="464"/>
      <c r="G189" s="464"/>
      <c r="H189" s="133"/>
      <c r="I189" s="133"/>
      <c r="J189" s="193"/>
    </row>
    <row r="190" spans="1:10">
      <c r="A190" s="133"/>
      <c r="B190" s="133"/>
      <c r="C190" s="133"/>
      <c r="D190" s="133"/>
      <c r="E190" s="133"/>
      <c r="F190" s="464"/>
      <c r="G190" s="464"/>
      <c r="H190" s="133"/>
      <c r="I190" s="133"/>
      <c r="J190" s="193"/>
    </row>
    <row r="191" spans="1:10">
      <c r="A191" s="133"/>
      <c r="B191" s="133"/>
      <c r="C191" s="133"/>
      <c r="D191" s="133"/>
      <c r="E191" s="133"/>
      <c r="F191" s="464"/>
      <c r="G191" s="464"/>
      <c r="H191" s="133"/>
      <c r="I191" s="133"/>
      <c r="J191" s="193"/>
    </row>
    <row r="192" spans="1:10">
      <c r="A192" s="133"/>
      <c r="B192" s="133"/>
      <c r="C192" s="133"/>
      <c r="D192" s="133"/>
      <c r="E192" s="133"/>
      <c r="F192" s="464"/>
      <c r="G192" s="464"/>
      <c r="H192" s="133"/>
      <c r="I192" s="133"/>
      <c r="J192" s="193"/>
    </row>
    <row r="193" spans="1:10">
      <c r="A193" s="133"/>
      <c r="B193" s="133"/>
      <c r="C193" s="133"/>
      <c r="D193" s="133"/>
      <c r="E193" s="133"/>
      <c r="F193" s="464"/>
      <c r="G193" s="464"/>
      <c r="H193" s="133"/>
      <c r="I193" s="133"/>
      <c r="J193" s="193"/>
    </row>
    <row r="194" spans="1:10">
      <c r="A194" s="133"/>
      <c r="B194" s="133"/>
      <c r="C194" s="133"/>
      <c r="D194" s="133"/>
      <c r="E194" s="133"/>
      <c r="F194" s="464"/>
      <c r="G194" s="464"/>
      <c r="H194" s="133"/>
      <c r="I194" s="133"/>
      <c r="J194" s="193"/>
    </row>
    <row r="195" spans="1:10">
      <c r="A195" s="133"/>
      <c r="B195" s="133"/>
      <c r="C195" s="133"/>
      <c r="D195" s="133"/>
      <c r="E195" s="133"/>
      <c r="F195" s="464"/>
      <c r="G195" s="464"/>
      <c r="H195" s="133"/>
      <c r="I195" s="133"/>
      <c r="J195" s="193"/>
    </row>
    <row r="196" spans="1:10">
      <c r="A196" s="133"/>
      <c r="B196" s="133"/>
      <c r="C196" s="133"/>
      <c r="D196" s="133"/>
      <c r="E196" s="133"/>
      <c r="F196" s="464"/>
      <c r="G196" s="464"/>
      <c r="H196" s="133"/>
      <c r="I196" s="133"/>
      <c r="J196" s="193"/>
    </row>
    <row r="197" spans="1:10">
      <c r="A197" s="133"/>
      <c r="B197" s="133"/>
      <c r="C197" s="133"/>
      <c r="D197" s="133"/>
      <c r="E197" s="133"/>
      <c r="F197" s="464"/>
      <c r="G197" s="464"/>
      <c r="H197" s="133"/>
      <c r="I197" s="133"/>
      <c r="J197" s="193"/>
    </row>
    <row r="198" spans="1:10">
      <c r="A198" s="133"/>
      <c r="B198" s="133"/>
      <c r="C198" s="133"/>
      <c r="D198" s="133"/>
      <c r="E198" s="133"/>
      <c r="F198" s="464"/>
      <c r="G198" s="464"/>
      <c r="H198" s="133"/>
      <c r="I198" s="133"/>
      <c r="J198" s="193"/>
    </row>
    <row r="199" spans="1:10">
      <c r="A199" s="133"/>
      <c r="B199" s="133"/>
      <c r="C199" s="133"/>
      <c r="D199" s="133"/>
      <c r="E199" s="133"/>
      <c r="F199" s="464"/>
      <c r="G199" s="464"/>
      <c r="H199" s="133"/>
      <c r="I199" s="133"/>
      <c r="J199" s="193"/>
    </row>
    <row r="200" spans="1:10">
      <c r="A200" s="133"/>
      <c r="B200" s="133"/>
      <c r="C200" s="133"/>
      <c r="D200" s="133"/>
      <c r="E200" s="133"/>
      <c r="F200" s="464"/>
      <c r="G200" s="464"/>
      <c r="H200" s="133"/>
      <c r="I200" s="133"/>
      <c r="J200" s="193"/>
    </row>
    <row r="201" spans="1:10">
      <c r="A201" s="133"/>
      <c r="B201" s="133"/>
      <c r="C201" s="133"/>
      <c r="D201" s="133"/>
      <c r="E201" s="133"/>
      <c r="F201" s="464"/>
      <c r="G201" s="464"/>
      <c r="H201" s="133"/>
      <c r="I201" s="133"/>
      <c r="J201" s="193"/>
    </row>
    <row r="202" spans="1:10">
      <c r="A202" s="133"/>
      <c r="B202" s="133"/>
      <c r="C202" s="133"/>
      <c r="D202" s="133"/>
      <c r="E202" s="133"/>
      <c r="F202" s="464"/>
      <c r="G202" s="464"/>
      <c r="H202" s="133"/>
      <c r="I202" s="133"/>
      <c r="J202" s="193"/>
    </row>
    <row r="203" spans="1:10">
      <c r="A203" s="133"/>
      <c r="B203" s="133"/>
      <c r="C203" s="133"/>
      <c r="D203" s="133"/>
      <c r="E203" s="133"/>
      <c r="F203" s="464"/>
      <c r="G203" s="464"/>
      <c r="H203" s="133"/>
      <c r="I203" s="133"/>
      <c r="J203" s="193"/>
    </row>
    <row r="204" spans="1:10">
      <c r="A204" s="133"/>
      <c r="B204" s="133"/>
      <c r="C204" s="133"/>
      <c r="D204" s="133"/>
      <c r="E204" s="133"/>
      <c r="F204" s="464"/>
      <c r="G204" s="464"/>
      <c r="H204" s="133"/>
      <c r="I204" s="133"/>
      <c r="J204" s="193"/>
    </row>
    <row r="205" spans="1:10">
      <c r="A205" s="133"/>
      <c r="B205" s="133"/>
      <c r="C205" s="133"/>
      <c r="D205" s="133"/>
      <c r="E205" s="133"/>
      <c r="F205" s="464"/>
      <c r="G205" s="464"/>
      <c r="H205" s="133"/>
      <c r="I205" s="133"/>
      <c r="J205" s="193"/>
    </row>
    <row r="206" spans="1:10">
      <c r="A206" s="133"/>
      <c r="B206" s="133"/>
      <c r="C206" s="133"/>
      <c r="D206" s="133"/>
      <c r="E206" s="133"/>
      <c r="F206" s="464"/>
      <c r="G206" s="464"/>
      <c r="H206" s="133"/>
      <c r="I206" s="133"/>
      <c r="J206" s="193"/>
    </row>
    <row r="207" spans="1:10">
      <c r="A207" s="133"/>
      <c r="B207" s="133"/>
      <c r="C207" s="133"/>
      <c r="D207" s="133"/>
      <c r="E207" s="133"/>
      <c r="F207" s="464"/>
      <c r="G207" s="464"/>
      <c r="H207" s="133"/>
      <c r="I207" s="133"/>
      <c r="J207" s="193"/>
    </row>
    <row r="208" spans="1:10">
      <c r="A208" s="133"/>
      <c r="B208" s="133"/>
      <c r="C208" s="133"/>
      <c r="D208" s="133"/>
      <c r="E208" s="133"/>
      <c r="F208" s="464"/>
      <c r="G208" s="464"/>
      <c r="H208" s="133"/>
      <c r="I208" s="133"/>
      <c r="J208" s="193"/>
    </row>
    <row r="209" spans="1:10">
      <c r="A209" s="133"/>
      <c r="B209" s="133"/>
      <c r="C209" s="133"/>
      <c r="D209" s="133"/>
      <c r="E209" s="133"/>
      <c r="F209" s="464"/>
      <c r="G209" s="464"/>
      <c r="H209" s="133"/>
      <c r="I209" s="133"/>
      <c r="J209" s="193"/>
    </row>
    <row r="210" spans="1:10">
      <c r="A210" s="133"/>
      <c r="B210" s="133"/>
      <c r="C210" s="133"/>
      <c r="D210" s="133"/>
      <c r="E210" s="133"/>
      <c r="F210" s="464"/>
      <c r="G210" s="464"/>
      <c r="H210" s="133"/>
      <c r="I210" s="133"/>
      <c r="J210" s="193"/>
    </row>
    <row r="211" spans="1:10">
      <c r="A211" s="133"/>
      <c r="B211" s="133"/>
      <c r="C211" s="133"/>
      <c r="D211" s="133"/>
      <c r="E211" s="133"/>
      <c r="F211" s="464"/>
      <c r="G211" s="464"/>
      <c r="H211" s="133"/>
      <c r="I211" s="133"/>
      <c r="J211" s="193"/>
    </row>
    <row r="212" spans="1:10">
      <c r="A212" s="133"/>
      <c r="B212" s="133"/>
      <c r="C212" s="133"/>
      <c r="D212" s="133"/>
      <c r="E212" s="133"/>
      <c r="F212" s="464"/>
      <c r="G212" s="464"/>
      <c r="H212" s="133"/>
      <c r="I212" s="133"/>
      <c r="J212" s="193"/>
    </row>
    <row r="213" spans="1:10">
      <c r="A213" s="133"/>
      <c r="B213" s="133"/>
      <c r="C213" s="133"/>
      <c r="D213" s="133"/>
      <c r="E213" s="133"/>
      <c r="F213" s="464"/>
      <c r="G213" s="464"/>
      <c r="H213" s="133"/>
      <c r="I213" s="133"/>
      <c r="J213" s="193"/>
    </row>
    <row r="214" spans="1:10">
      <c r="A214" s="133"/>
      <c r="B214" s="133"/>
      <c r="C214" s="133"/>
      <c r="D214" s="133"/>
      <c r="E214" s="133"/>
      <c r="F214" s="464"/>
      <c r="G214" s="464"/>
      <c r="H214" s="133"/>
      <c r="I214" s="133"/>
      <c r="J214" s="193"/>
    </row>
    <row r="215" spans="1:10">
      <c r="A215" s="133"/>
      <c r="B215" s="133"/>
      <c r="C215" s="133"/>
      <c r="D215" s="133"/>
      <c r="E215" s="133"/>
      <c r="F215" s="464"/>
      <c r="G215" s="464"/>
      <c r="H215" s="133"/>
      <c r="I215" s="133"/>
      <c r="J215" s="193"/>
    </row>
    <row r="216" spans="1:10">
      <c r="A216" s="133"/>
      <c r="B216" s="133"/>
      <c r="C216" s="133"/>
      <c r="D216" s="133"/>
      <c r="E216" s="133"/>
      <c r="F216" s="464"/>
      <c r="G216" s="464"/>
      <c r="H216" s="133"/>
      <c r="I216" s="133"/>
      <c r="J216" s="193"/>
    </row>
    <row r="217" spans="1:10">
      <c r="A217" s="133"/>
      <c r="B217" s="133"/>
      <c r="C217" s="133"/>
      <c r="D217" s="133"/>
      <c r="E217" s="133"/>
      <c r="F217" s="464"/>
      <c r="G217" s="464"/>
      <c r="H217" s="133"/>
      <c r="I217" s="133"/>
      <c r="J217" s="193"/>
    </row>
    <row r="218" spans="1:10">
      <c r="A218" s="133"/>
      <c r="B218" s="133"/>
      <c r="C218" s="133"/>
      <c r="D218" s="133"/>
      <c r="E218" s="133"/>
      <c r="F218" s="464"/>
      <c r="G218" s="464"/>
      <c r="H218" s="133"/>
      <c r="I218" s="133"/>
      <c r="J218" s="193"/>
    </row>
    <row r="219" spans="1:10">
      <c r="A219" s="133"/>
      <c r="B219" s="133"/>
      <c r="C219" s="133"/>
      <c r="D219" s="133"/>
      <c r="E219" s="133"/>
      <c r="F219" s="464"/>
      <c r="G219" s="464"/>
      <c r="H219" s="133"/>
      <c r="I219" s="133"/>
      <c r="J219" s="193"/>
    </row>
    <row r="220" spans="1:10">
      <c r="A220" s="133"/>
      <c r="B220" s="133"/>
      <c r="C220" s="133"/>
      <c r="D220" s="133"/>
      <c r="E220" s="133"/>
      <c r="F220" s="464"/>
      <c r="G220" s="464"/>
      <c r="H220" s="133"/>
      <c r="I220" s="133"/>
      <c r="J220" s="193"/>
    </row>
    <row r="221" spans="1:10">
      <c r="A221" s="133"/>
      <c r="B221" s="133"/>
      <c r="C221" s="133"/>
      <c r="D221" s="133"/>
      <c r="E221" s="133"/>
      <c r="F221" s="464"/>
      <c r="G221" s="464"/>
      <c r="H221" s="133"/>
      <c r="I221" s="133"/>
      <c r="J221" s="193"/>
    </row>
    <row r="222" spans="1:10">
      <c r="A222" s="133"/>
      <c r="B222" s="133"/>
      <c r="C222" s="133"/>
      <c r="D222" s="133"/>
      <c r="E222" s="133"/>
      <c r="F222" s="464"/>
      <c r="G222" s="464"/>
      <c r="H222" s="133"/>
      <c r="I222" s="133"/>
      <c r="J222" s="193"/>
    </row>
    <row r="223" spans="1:10">
      <c r="A223" s="133"/>
      <c r="B223" s="133"/>
      <c r="C223" s="133"/>
      <c r="D223" s="133"/>
      <c r="E223" s="133"/>
      <c r="F223" s="464"/>
      <c r="G223" s="464"/>
      <c r="H223" s="133"/>
      <c r="I223" s="133"/>
      <c r="J223" s="193"/>
    </row>
    <row r="224" spans="1:10">
      <c r="A224" s="133"/>
      <c r="B224" s="133"/>
      <c r="C224" s="133"/>
      <c r="D224" s="133"/>
      <c r="E224" s="133"/>
      <c r="F224" s="464"/>
      <c r="G224" s="464"/>
      <c r="H224" s="133"/>
      <c r="I224" s="133"/>
      <c r="J224" s="193"/>
    </row>
    <row r="225" spans="1:10">
      <c r="A225" s="133"/>
      <c r="B225" s="133"/>
      <c r="C225" s="133"/>
      <c r="D225" s="133"/>
      <c r="E225" s="133"/>
      <c r="F225" s="464"/>
      <c r="G225" s="464"/>
      <c r="H225" s="133"/>
      <c r="I225" s="133"/>
      <c r="J225" s="193"/>
    </row>
    <row r="226" spans="1:10">
      <c r="A226" s="133"/>
      <c r="B226" s="133"/>
      <c r="C226" s="133"/>
      <c r="D226" s="133"/>
      <c r="E226" s="133"/>
      <c r="F226" s="464"/>
      <c r="G226" s="464"/>
      <c r="H226" s="133"/>
      <c r="I226" s="133"/>
      <c r="J226" s="193"/>
    </row>
    <row r="227" spans="1:10">
      <c r="A227" s="133"/>
      <c r="B227" s="133"/>
      <c r="C227" s="133"/>
      <c r="D227" s="133"/>
      <c r="E227" s="133"/>
      <c r="F227" s="464"/>
      <c r="G227" s="464"/>
      <c r="H227" s="133"/>
      <c r="I227" s="133"/>
      <c r="J227" s="193"/>
    </row>
    <row r="228" spans="1:10">
      <c r="A228" s="133"/>
      <c r="B228" s="133"/>
      <c r="C228" s="133"/>
      <c r="D228" s="133"/>
      <c r="E228" s="133"/>
      <c r="F228" s="464"/>
      <c r="G228" s="464"/>
      <c r="H228" s="133"/>
      <c r="I228" s="133"/>
      <c r="J228" s="193"/>
    </row>
    <row r="229" spans="1:10">
      <c r="A229" s="133"/>
      <c r="B229" s="133"/>
      <c r="C229" s="133"/>
      <c r="D229" s="133"/>
      <c r="E229" s="133"/>
      <c r="F229" s="464"/>
      <c r="G229" s="464"/>
      <c r="H229" s="133"/>
      <c r="I229" s="133"/>
      <c r="J229" s="193"/>
    </row>
    <row r="230" spans="1:10">
      <c r="A230" s="133"/>
      <c r="B230" s="133"/>
      <c r="C230" s="133"/>
      <c r="D230" s="133"/>
      <c r="E230" s="133"/>
      <c r="F230" s="464"/>
      <c r="G230" s="464"/>
      <c r="H230" s="133"/>
      <c r="I230" s="133"/>
      <c r="J230" s="193"/>
    </row>
    <row r="231" spans="1:10">
      <c r="A231" s="133"/>
      <c r="B231" s="133"/>
      <c r="C231" s="133"/>
      <c r="D231" s="133"/>
      <c r="E231" s="133"/>
      <c r="F231" s="464"/>
      <c r="G231" s="464"/>
      <c r="H231" s="133"/>
      <c r="I231" s="133"/>
      <c r="J231" s="193"/>
    </row>
    <row r="232" spans="1:10">
      <c r="A232" s="133"/>
      <c r="B232" s="133"/>
      <c r="C232" s="133"/>
      <c r="D232" s="133"/>
      <c r="E232" s="133"/>
      <c r="F232" s="464"/>
      <c r="G232" s="464"/>
      <c r="H232" s="133"/>
      <c r="I232" s="133"/>
      <c r="J232" s="193"/>
    </row>
    <row r="233" spans="1:10">
      <c r="A233" s="133"/>
      <c r="B233" s="133"/>
      <c r="C233" s="133"/>
      <c r="D233" s="133"/>
      <c r="E233" s="133"/>
      <c r="F233" s="464"/>
      <c r="G233" s="464"/>
      <c r="H233" s="133"/>
      <c r="I233" s="133"/>
      <c r="J233" s="193"/>
    </row>
    <row r="234" spans="1:10">
      <c r="A234" s="133"/>
      <c r="B234" s="133"/>
      <c r="C234" s="133"/>
      <c r="D234" s="133"/>
      <c r="E234" s="133"/>
      <c r="F234" s="464"/>
      <c r="G234" s="464"/>
      <c r="H234" s="133"/>
      <c r="I234" s="133"/>
      <c r="J234" s="193"/>
    </row>
    <row r="235" spans="1:10">
      <c r="A235" s="133"/>
      <c r="B235" s="133"/>
      <c r="C235" s="133"/>
      <c r="D235" s="133"/>
      <c r="E235" s="133"/>
      <c r="F235" s="464"/>
      <c r="G235" s="464"/>
      <c r="H235" s="133"/>
      <c r="I235" s="133"/>
      <c r="J235" s="193"/>
    </row>
    <row r="236" spans="1:10">
      <c r="A236" s="133"/>
      <c r="B236" s="133"/>
      <c r="C236" s="133"/>
      <c r="D236" s="133"/>
      <c r="E236" s="133"/>
      <c r="F236" s="464"/>
      <c r="G236" s="464"/>
      <c r="H236" s="133"/>
      <c r="I236" s="133"/>
      <c r="J236" s="193"/>
    </row>
    <row r="237" spans="1:10">
      <c r="A237" s="133"/>
      <c r="B237" s="133"/>
      <c r="C237" s="133"/>
      <c r="D237" s="133"/>
      <c r="E237" s="133"/>
      <c r="F237" s="464"/>
      <c r="G237" s="464"/>
      <c r="H237" s="133"/>
      <c r="I237" s="133"/>
      <c r="J237" s="193"/>
    </row>
    <row r="238" spans="1:10">
      <c r="A238" s="133"/>
      <c r="B238" s="133"/>
      <c r="C238" s="133"/>
      <c r="D238" s="133"/>
      <c r="E238" s="133"/>
      <c r="F238" s="464"/>
      <c r="G238" s="464"/>
      <c r="H238" s="133"/>
      <c r="I238" s="133"/>
      <c r="J238" s="193"/>
    </row>
    <row r="239" spans="1:10">
      <c r="A239" s="133"/>
      <c r="B239" s="133"/>
      <c r="C239" s="133"/>
      <c r="D239" s="133"/>
      <c r="E239" s="133"/>
      <c r="F239" s="464"/>
      <c r="G239" s="464"/>
      <c r="H239" s="133"/>
      <c r="I239" s="133"/>
      <c r="J239" s="193"/>
    </row>
    <row r="240" spans="1:10">
      <c r="A240" s="133"/>
      <c r="B240" s="133"/>
      <c r="C240" s="133"/>
      <c r="D240" s="133"/>
      <c r="E240" s="133"/>
      <c r="F240" s="464"/>
      <c r="G240" s="464"/>
      <c r="H240" s="133"/>
      <c r="I240" s="133"/>
      <c r="J240" s="193"/>
    </row>
    <row r="241" spans="1:10">
      <c r="A241" s="133"/>
      <c r="B241" s="133"/>
      <c r="C241" s="133"/>
      <c r="D241" s="133"/>
      <c r="E241" s="133"/>
      <c r="F241" s="464"/>
      <c r="G241" s="464"/>
      <c r="H241" s="133"/>
      <c r="I241" s="133"/>
      <c r="J241" s="193"/>
    </row>
    <row r="242" spans="1:10">
      <c r="A242" s="133"/>
      <c r="B242" s="133"/>
      <c r="C242" s="133"/>
      <c r="D242" s="133"/>
      <c r="E242" s="133"/>
      <c r="F242" s="464"/>
      <c r="G242" s="464"/>
      <c r="H242" s="133"/>
      <c r="I242" s="133"/>
      <c r="J242" s="193"/>
    </row>
    <row r="243" spans="1:10">
      <c r="A243" s="133"/>
      <c r="B243" s="133"/>
      <c r="C243" s="133"/>
      <c r="D243" s="133"/>
      <c r="E243" s="133"/>
      <c r="F243" s="464"/>
      <c r="G243" s="464"/>
      <c r="H243" s="133"/>
      <c r="I243" s="133"/>
      <c r="J243" s="193"/>
    </row>
    <row r="244" spans="1:10">
      <c r="A244" s="133"/>
      <c r="B244" s="133"/>
      <c r="C244" s="133"/>
      <c r="D244" s="133"/>
      <c r="E244" s="133"/>
      <c r="F244" s="464"/>
      <c r="G244" s="464"/>
      <c r="H244" s="133"/>
      <c r="I244" s="133"/>
      <c r="J244" s="193"/>
    </row>
    <row r="245" spans="1:10">
      <c r="A245" s="133"/>
      <c r="B245" s="133"/>
      <c r="C245" s="133"/>
      <c r="D245" s="133"/>
      <c r="E245" s="133"/>
      <c r="F245" s="464"/>
      <c r="G245" s="464"/>
      <c r="H245" s="133"/>
      <c r="I245" s="133"/>
      <c r="J245" s="193"/>
    </row>
    <row r="246" spans="1:10">
      <c r="A246" s="133"/>
      <c r="B246" s="133"/>
      <c r="C246" s="133"/>
      <c r="D246" s="133"/>
      <c r="E246" s="133"/>
      <c r="F246" s="464"/>
      <c r="G246" s="464"/>
      <c r="H246" s="133"/>
      <c r="I246" s="133"/>
      <c r="J246" s="193"/>
    </row>
    <row r="247" spans="1:10">
      <c r="A247" s="133"/>
      <c r="B247" s="133"/>
      <c r="C247" s="133"/>
      <c r="D247" s="133"/>
      <c r="E247" s="133"/>
      <c r="F247" s="464"/>
      <c r="G247" s="464"/>
      <c r="H247" s="133"/>
      <c r="I247" s="133"/>
      <c r="J247" s="193"/>
    </row>
    <row r="248" spans="1:10">
      <c r="A248" s="133"/>
      <c r="B248" s="133"/>
      <c r="C248" s="133"/>
      <c r="D248" s="133"/>
      <c r="E248" s="133"/>
      <c r="F248" s="464"/>
      <c r="G248" s="464"/>
      <c r="H248" s="133"/>
      <c r="I248" s="133"/>
      <c r="J248" s="193"/>
    </row>
    <row r="249" spans="1:10">
      <c r="A249" s="133"/>
      <c r="B249" s="133"/>
      <c r="C249" s="133"/>
      <c r="D249" s="133"/>
      <c r="E249" s="133"/>
      <c r="F249" s="464"/>
      <c r="G249" s="464"/>
      <c r="H249" s="133"/>
      <c r="I249" s="133"/>
      <c r="J249" s="193"/>
    </row>
    <row r="250" spans="1:10">
      <c r="A250" s="133"/>
      <c r="B250" s="133"/>
      <c r="C250" s="133"/>
      <c r="D250" s="133"/>
      <c r="E250" s="133"/>
      <c r="F250" s="464"/>
      <c r="G250" s="464"/>
      <c r="H250" s="133"/>
      <c r="I250" s="133"/>
      <c r="J250" s="193"/>
    </row>
    <row r="251" spans="1:10">
      <c r="A251" s="133"/>
      <c r="B251" s="133"/>
      <c r="C251" s="133"/>
      <c r="D251" s="133"/>
      <c r="E251" s="133"/>
      <c r="F251" s="464"/>
      <c r="G251" s="464"/>
      <c r="H251" s="133"/>
      <c r="I251" s="133"/>
      <c r="J251" s="193"/>
    </row>
    <row r="252" spans="1:10">
      <c r="A252" s="133"/>
      <c r="B252" s="133"/>
      <c r="C252" s="133"/>
      <c r="D252" s="133"/>
      <c r="E252" s="133"/>
      <c r="F252" s="464"/>
      <c r="G252" s="464"/>
      <c r="H252" s="133"/>
      <c r="I252" s="133"/>
      <c r="J252" s="193"/>
    </row>
    <row r="253" spans="1:10">
      <c r="A253" s="133"/>
      <c r="B253" s="133"/>
      <c r="C253" s="133"/>
      <c r="D253" s="133"/>
      <c r="E253" s="133"/>
      <c r="F253" s="464"/>
      <c r="G253" s="464"/>
      <c r="H253" s="133"/>
      <c r="I253" s="133"/>
      <c r="J253" s="193"/>
    </row>
    <row r="254" spans="1:10">
      <c r="A254" s="133"/>
      <c r="B254" s="133"/>
      <c r="C254" s="133"/>
      <c r="D254" s="133"/>
      <c r="E254" s="133"/>
      <c r="F254" s="464"/>
      <c r="G254" s="464"/>
      <c r="H254" s="133"/>
      <c r="I254" s="133"/>
      <c r="J254" s="193"/>
    </row>
    <row r="255" spans="1:10">
      <c r="A255" s="133"/>
      <c r="B255" s="133"/>
      <c r="C255" s="133"/>
      <c r="D255" s="133"/>
      <c r="E255" s="133"/>
      <c r="F255" s="464"/>
      <c r="G255" s="464"/>
      <c r="H255" s="133"/>
      <c r="I255" s="133"/>
      <c r="J255" s="193"/>
    </row>
    <row r="256" spans="1:10">
      <c r="A256" s="133"/>
      <c r="B256" s="133"/>
      <c r="C256" s="133"/>
      <c r="D256" s="133"/>
      <c r="E256" s="133"/>
      <c r="F256" s="464"/>
      <c r="G256" s="464"/>
      <c r="H256" s="133"/>
      <c r="I256" s="133"/>
      <c r="J256" s="193"/>
    </row>
    <row r="257" spans="1:10">
      <c r="A257" s="133"/>
      <c r="B257" s="133"/>
      <c r="C257" s="133"/>
      <c r="D257" s="133"/>
      <c r="E257" s="133"/>
      <c r="F257" s="464"/>
      <c r="G257" s="464"/>
      <c r="H257" s="133"/>
      <c r="I257" s="133"/>
      <c r="J257" s="193"/>
    </row>
    <row r="258" spans="1:10">
      <c r="A258" s="133"/>
      <c r="B258" s="133"/>
      <c r="C258" s="133"/>
      <c r="D258" s="133"/>
      <c r="E258" s="133"/>
      <c r="F258" s="464"/>
      <c r="G258" s="464"/>
      <c r="H258" s="133"/>
      <c r="I258" s="133"/>
      <c r="J258" s="193"/>
    </row>
    <row r="259" spans="1:10">
      <c r="A259" s="133"/>
      <c r="B259" s="133"/>
      <c r="C259" s="133"/>
      <c r="D259" s="133"/>
      <c r="E259" s="133"/>
      <c r="F259" s="464"/>
      <c r="G259" s="464"/>
      <c r="H259" s="133"/>
      <c r="I259" s="133"/>
      <c r="J259" s="193"/>
    </row>
    <row r="260" spans="1:10">
      <c r="A260" s="133"/>
      <c r="B260" s="133"/>
      <c r="C260" s="133"/>
      <c r="D260" s="133"/>
      <c r="E260" s="133"/>
      <c r="F260" s="464"/>
      <c r="G260" s="464"/>
      <c r="H260" s="133"/>
      <c r="I260" s="133"/>
      <c r="J260" s="193"/>
    </row>
    <row r="261" spans="1:10">
      <c r="A261" s="133"/>
      <c r="B261" s="133"/>
      <c r="C261" s="133"/>
      <c r="D261" s="133"/>
      <c r="E261" s="133"/>
      <c r="F261" s="464"/>
      <c r="G261" s="464"/>
      <c r="H261" s="133"/>
      <c r="I261" s="133"/>
      <c r="J261" s="193"/>
    </row>
    <row r="262" spans="1:10">
      <c r="A262" s="133"/>
      <c r="B262" s="133"/>
      <c r="C262" s="133"/>
      <c r="D262" s="133"/>
      <c r="E262" s="133"/>
      <c r="F262" s="464"/>
      <c r="G262" s="464"/>
      <c r="H262" s="133"/>
      <c r="I262" s="133"/>
      <c r="J262" s="193"/>
    </row>
    <row r="263" spans="1:10">
      <c r="A263" s="133"/>
      <c r="B263" s="133"/>
      <c r="C263" s="133"/>
      <c r="D263" s="133"/>
      <c r="E263" s="133"/>
      <c r="F263" s="464"/>
      <c r="G263" s="464"/>
      <c r="H263" s="133"/>
      <c r="I263" s="133"/>
      <c r="J263" s="193"/>
    </row>
    <row r="264" spans="1:10">
      <c r="A264" s="133"/>
      <c r="B264" s="133"/>
      <c r="C264" s="133"/>
      <c r="D264" s="133"/>
      <c r="E264" s="133"/>
      <c r="F264" s="464"/>
      <c r="G264" s="464"/>
      <c r="H264" s="133"/>
      <c r="I264" s="133"/>
      <c r="J264" s="193"/>
    </row>
    <row r="265" spans="1:10">
      <c r="A265" s="133"/>
      <c r="B265" s="133"/>
      <c r="C265" s="133"/>
      <c r="D265" s="133"/>
      <c r="E265" s="133"/>
      <c r="F265" s="464"/>
      <c r="G265" s="464"/>
      <c r="H265" s="133"/>
      <c r="I265" s="133"/>
      <c r="J265" s="193"/>
    </row>
    <row r="266" spans="1:10">
      <c r="A266" s="133"/>
      <c r="B266" s="133"/>
      <c r="C266" s="133"/>
      <c r="D266" s="133"/>
      <c r="E266" s="133"/>
      <c r="F266" s="464"/>
      <c r="G266" s="464"/>
      <c r="H266" s="133"/>
      <c r="I266" s="133"/>
      <c r="J266" s="193"/>
    </row>
    <row r="267" spans="1:10">
      <c r="A267" s="133"/>
      <c r="B267" s="133"/>
      <c r="C267" s="133"/>
      <c r="D267" s="133"/>
      <c r="E267" s="133"/>
      <c r="F267" s="464"/>
      <c r="G267" s="464"/>
      <c r="H267" s="133"/>
      <c r="I267" s="133"/>
      <c r="J267" s="193"/>
    </row>
    <row r="268" spans="1:10">
      <c r="A268" s="133"/>
      <c r="B268" s="133"/>
      <c r="C268" s="133"/>
      <c r="D268" s="133"/>
      <c r="E268" s="133"/>
      <c r="F268" s="464"/>
      <c r="G268" s="464"/>
      <c r="H268" s="133"/>
      <c r="I268" s="133"/>
      <c r="J268" s="193"/>
    </row>
    <row r="269" spans="1:10">
      <c r="A269" s="133"/>
      <c r="B269" s="133"/>
      <c r="C269" s="133"/>
      <c r="D269" s="133"/>
      <c r="E269" s="133"/>
      <c r="F269" s="464"/>
      <c r="G269" s="464"/>
      <c r="H269" s="133"/>
      <c r="I269" s="133"/>
      <c r="J269" s="193"/>
    </row>
    <row r="270" spans="1:10">
      <c r="A270" s="133"/>
      <c r="B270" s="133"/>
      <c r="C270" s="133"/>
      <c r="D270" s="133"/>
      <c r="E270" s="133"/>
      <c r="F270" s="464"/>
      <c r="G270" s="464"/>
      <c r="H270" s="133"/>
      <c r="I270" s="133"/>
      <c r="J270" s="193"/>
    </row>
    <row r="271" spans="1:10">
      <c r="A271" s="133"/>
      <c r="B271" s="133"/>
      <c r="C271" s="133"/>
      <c r="D271" s="133"/>
      <c r="E271" s="133"/>
      <c r="F271" s="464"/>
      <c r="G271" s="464"/>
      <c r="H271" s="133"/>
      <c r="I271" s="133"/>
      <c r="J271" s="193"/>
    </row>
    <row r="272" spans="1:10">
      <c r="A272" s="133"/>
      <c r="B272" s="133"/>
      <c r="C272" s="133"/>
      <c r="D272" s="133"/>
      <c r="E272" s="133"/>
      <c r="F272" s="464"/>
      <c r="G272" s="464"/>
      <c r="H272" s="133"/>
      <c r="I272" s="133"/>
      <c r="J272" s="193"/>
    </row>
    <row r="273" spans="1:10">
      <c r="A273" s="133"/>
      <c r="B273" s="133"/>
      <c r="C273" s="133"/>
      <c r="D273" s="133"/>
      <c r="E273" s="133"/>
      <c r="F273" s="464"/>
      <c r="G273" s="464"/>
      <c r="H273" s="133"/>
      <c r="I273" s="133"/>
      <c r="J273" s="193"/>
    </row>
    <row r="274" spans="1:10">
      <c r="A274" s="133"/>
      <c r="B274" s="133"/>
      <c r="C274" s="133"/>
      <c r="D274" s="133"/>
      <c r="E274" s="133"/>
      <c r="F274" s="464"/>
      <c r="G274" s="464"/>
      <c r="H274" s="133"/>
      <c r="I274" s="133"/>
      <c r="J274" s="193"/>
    </row>
    <row r="275" spans="1:10">
      <c r="A275" s="133"/>
      <c r="B275" s="133"/>
      <c r="C275" s="133"/>
      <c r="D275" s="133"/>
      <c r="E275" s="133"/>
      <c r="F275" s="464"/>
      <c r="G275" s="464"/>
      <c r="H275" s="133"/>
      <c r="I275" s="133"/>
      <c r="J275" s="193"/>
    </row>
    <row r="276" spans="1:10">
      <c r="A276" s="133"/>
      <c r="B276" s="133"/>
      <c r="C276" s="133"/>
      <c r="D276" s="133"/>
      <c r="E276" s="133"/>
      <c r="F276" s="464"/>
      <c r="G276" s="464"/>
      <c r="H276" s="133"/>
      <c r="I276" s="133"/>
      <c r="J276" s="193"/>
    </row>
    <row r="277" spans="1:10">
      <c r="A277" s="133"/>
      <c r="B277" s="133"/>
      <c r="C277" s="133"/>
      <c r="D277" s="133"/>
      <c r="E277" s="133"/>
      <c r="F277" s="464"/>
      <c r="G277" s="464"/>
      <c r="H277" s="133"/>
      <c r="I277" s="133"/>
      <c r="J277" s="193"/>
    </row>
    <row r="278" spans="1:10">
      <c r="A278" s="133"/>
      <c r="B278" s="133"/>
      <c r="C278" s="133"/>
      <c r="D278" s="133"/>
      <c r="E278" s="133"/>
      <c r="F278" s="464"/>
      <c r="G278" s="464"/>
      <c r="H278" s="133"/>
      <c r="I278" s="133"/>
      <c r="J278" s="193"/>
    </row>
    <row r="279" spans="1:10">
      <c r="A279" s="133"/>
      <c r="B279" s="133"/>
      <c r="C279" s="133"/>
      <c r="D279" s="133"/>
      <c r="E279" s="133"/>
      <c r="F279" s="464"/>
      <c r="G279" s="464"/>
      <c r="H279" s="133"/>
      <c r="I279" s="133"/>
      <c r="J279" s="193"/>
    </row>
    <row r="280" spans="1:10">
      <c r="A280" s="133"/>
      <c r="B280" s="133"/>
      <c r="C280" s="133"/>
      <c r="D280" s="133"/>
      <c r="E280" s="133"/>
      <c r="F280" s="464"/>
      <c r="G280" s="464"/>
      <c r="H280" s="133"/>
      <c r="I280" s="133"/>
      <c r="J280" s="193"/>
    </row>
    <row r="281" spans="1:10">
      <c r="A281" s="133"/>
      <c r="B281" s="133"/>
      <c r="C281" s="133"/>
      <c r="D281" s="133"/>
      <c r="E281" s="133"/>
      <c r="F281" s="464"/>
      <c r="G281" s="464"/>
      <c r="H281" s="133"/>
      <c r="I281" s="133"/>
      <c r="J281" s="193"/>
    </row>
    <row r="282" spans="1:10">
      <c r="A282" s="133"/>
      <c r="B282" s="133"/>
      <c r="C282" s="133"/>
      <c r="D282" s="133"/>
      <c r="E282" s="133"/>
      <c r="F282" s="464"/>
      <c r="G282" s="464"/>
      <c r="H282" s="133"/>
      <c r="I282" s="133"/>
      <c r="J282" s="193"/>
    </row>
    <row r="283" spans="1:10">
      <c r="A283" s="133"/>
      <c r="B283" s="133"/>
      <c r="C283" s="133"/>
      <c r="D283" s="133"/>
      <c r="E283" s="133"/>
      <c r="F283" s="464"/>
      <c r="G283" s="464"/>
      <c r="H283" s="133"/>
      <c r="I283" s="133"/>
      <c r="J283" s="193"/>
    </row>
    <row r="284" spans="1:10">
      <c r="A284" s="133"/>
      <c r="B284" s="133"/>
      <c r="C284" s="133"/>
      <c r="D284" s="133"/>
      <c r="E284" s="133"/>
      <c r="F284" s="464"/>
      <c r="G284" s="464"/>
      <c r="H284" s="133"/>
      <c r="I284" s="133"/>
      <c r="J284" s="193"/>
    </row>
    <row r="285" spans="1:10">
      <c r="A285" s="133"/>
      <c r="B285" s="133"/>
      <c r="C285" s="133"/>
      <c r="D285" s="133"/>
      <c r="E285" s="133"/>
      <c r="F285" s="464"/>
      <c r="G285" s="464"/>
      <c r="H285" s="133"/>
      <c r="I285" s="133"/>
      <c r="J285" s="193"/>
    </row>
    <row r="286" spans="1:10">
      <c r="A286" s="133"/>
      <c r="B286" s="133"/>
      <c r="C286" s="133"/>
      <c r="D286" s="133"/>
      <c r="E286" s="133"/>
      <c r="F286" s="464"/>
      <c r="G286" s="464"/>
      <c r="H286" s="133"/>
      <c r="I286" s="133"/>
      <c r="J286" s="193"/>
    </row>
    <row r="287" spans="1:10">
      <c r="A287" s="133"/>
      <c r="B287" s="133"/>
      <c r="C287" s="133"/>
      <c r="D287" s="133"/>
      <c r="E287" s="133"/>
      <c r="F287" s="464"/>
      <c r="G287" s="464"/>
      <c r="H287" s="133"/>
      <c r="I287" s="133"/>
      <c r="J287" s="193"/>
    </row>
    <row r="288" spans="1:10">
      <c r="A288" s="133"/>
      <c r="B288" s="133"/>
      <c r="C288" s="133"/>
      <c r="D288" s="133"/>
      <c r="E288" s="133"/>
      <c r="F288" s="464"/>
      <c r="G288" s="464"/>
      <c r="H288" s="133"/>
      <c r="I288" s="133"/>
      <c r="J288" s="193"/>
    </row>
    <row r="289" spans="1:10">
      <c r="A289" s="133"/>
      <c r="B289" s="133"/>
      <c r="C289" s="133"/>
      <c r="D289" s="133"/>
      <c r="E289" s="133"/>
      <c r="F289" s="464"/>
      <c r="G289" s="464"/>
      <c r="H289" s="133"/>
      <c r="I289" s="133"/>
      <c r="J289" s="193"/>
    </row>
    <row r="290" spans="1:10">
      <c r="A290" s="133"/>
      <c r="B290" s="133"/>
      <c r="C290" s="133"/>
      <c r="D290" s="133"/>
      <c r="E290" s="133"/>
      <c r="F290" s="464"/>
      <c r="G290" s="464"/>
      <c r="H290" s="133"/>
      <c r="I290" s="133"/>
      <c r="J290" s="193"/>
    </row>
    <row r="291" spans="1:10">
      <c r="A291" s="133"/>
      <c r="B291" s="133"/>
      <c r="C291" s="133"/>
      <c r="D291" s="133"/>
      <c r="E291" s="133"/>
      <c r="F291" s="464"/>
      <c r="G291" s="464"/>
      <c r="H291" s="133"/>
      <c r="I291" s="133"/>
      <c r="J291" s="193"/>
    </row>
    <row r="292" spans="1:10">
      <c r="A292" s="133"/>
      <c r="B292" s="133"/>
      <c r="C292" s="133"/>
      <c r="D292" s="133"/>
      <c r="E292" s="133"/>
      <c r="F292" s="464"/>
      <c r="G292" s="464"/>
      <c r="H292" s="133"/>
      <c r="I292" s="133"/>
      <c r="J292" s="193"/>
    </row>
    <row r="293" spans="1:10">
      <c r="A293" s="133"/>
      <c r="B293" s="133"/>
      <c r="C293" s="133"/>
      <c r="D293" s="133"/>
      <c r="E293" s="133"/>
      <c r="F293" s="464"/>
      <c r="G293" s="464"/>
      <c r="H293" s="133"/>
      <c r="I293" s="133"/>
      <c r="J293" s="193"/>
    </row>
    <row r="294" spans="1:10">
      <c r="A294" s="133"/>
      <c r="B294" s="133"/>
      <c r="C294" s="133"/>
      <c r="D294" s="133"/>
      <c r="E294" s="133"/>
      <c r="F294" s="464"/>
      <c r="G294" s="464"/>
      <c r="H294" s="133"/>
      <c r="I294" s="133"/>
      <c r="J294" s="193"/>
    </row>
    <row r="295" spans="1:10">
      <c r="A295" s="133"/>
      <c r="B295" s="133"/>
      <c r="C295" s="133"/>
      <c r="D295" s="133"/>
      <c r="E295" s="133"/>
      <c r="F295" s="464"/>
      <c r="G295" s="464"/>
      <c r="H295" s="133"/>
      <c r="I295" s="133"/>
      <c r="J295" s="193"/>
    </row>
    <row r="296" spans="1:10">
      <c r="A296" s="133"/>
      <c r="B296" s="133"/>
      <c r="C296" s="133"/>
      <c r="D296" s="133"/>
      <c r="E296" s="133"/>
      <c r="F296" s="464"/>
      <c r="G296" s="464"/>
      <c r="H296" s="133"/>
      <c r="I296" s="133"/>
      <c r="J296" s="193"/>
    </row>
    <row r="297" spans="1:10">
      <c r="A297" s="133"/>
      <c r="B297" s="133"/>
      <c r="C297" s="133"/>
      <c r="D297" s="133"/>
      <c r="E297" s="133"/>
      <c r="F297" s="464"/>
      <c r="G297" s="464"/>
      <c r="H297" s="133"/>
      <c r="I297" s="133"/>
      <c r="J297" s="193"/>
    </row>
    <row r="298" spans="1:10">
      <c r="A298" s="133"/>
      <c r="B298" s="133"/>
      <c r="C298" s="133"/>
      <c r="D298" s="133"/>
      <c r="E298" s="133"/>
      <c r="F298" s="464"/>
      <c r="G298" s="464"/>
      <c r="H298" s="133"/>
      <c r="I298" s="133"/>
      <c r="J298" s="193"/>
    </row>
    <row r="299" spans="1:10">
      <c r="A299" s="133"/>
      <c r="B299" s="133"/>
      <c r="C299" s="133"/>
      <c r="D299" s="133"/>
      <c r="E299" s="133"/>
      <c r="F299" s="464"/>
      <c r="G299" s="464"/>
      <c r="H299" s="133"/>
      <c r="I299" s="133"/>
      <c r="J299" s="193"/>
    </row>
    <row r="300" spans="1:10">
      <c r="A300" s="133"/>
      <c r="B300" s="133"/>
      <c r="C300" s="133"/>
      <c r="D300" s="133"/>
      <c r="E300" s="133"/>
      <c r="F300" s="464"/>
      <c r="G300" s="464"/>
      <c r="H300" s="133"/>
      <c r="I300" s="133"/>
      <c r="J300" s="193"/>
    </row>
    <row r="301" spans="1:10">
      <c r="A301" s="133"/>
      <c r="B301" s="133"/>
      <c r="C301" s="133"/>
      <c r="D301" s="133"/>
      <c r="E301" s="133"/>
      <c r="F301" s="464"/>
      <c r="G301" s="464"/>
      <c r="H301" s="133"/>
      <c r="I301" s="133"/>
      <c r="J301" s="193"/>
    </row>
    <row r="302" spans="1:10">
      <c r="A302" s="133"/>
      <c r="B302" s="133"/>
      <c r="C302" s="133"/>
      <c r="D302" s="133"/>
      <c r="E302" s="133"/>
      <c r="F302" s="464"/>
      <c r="G302" s="464"/>
      <c r="H302" s="133"/>
      <c r="I302" s="133"/>
      <c r="J302" s="193"/>
    </row>
    <row r="303" spans="1:10">
      <c r="A303" s="133"/>
      <c r="B303" s="133"/>
      <c r="C303" s="133"/>
      <c r="D303" s="133"/>
      <c r="E303" s="133"/>
      <c r="F303" s="464"/>
      <c r="G303" s="464"/>
      <c r="H303" s="133"/>
      <c r="I303" s="133"/>
      <c r="J303" s="193"/>
    </row>
    <row r="304" spans="1:10">
      <c r="A304" s="133"/>
      <c r="B304" s="133"/>
      <c r="C304" s="133"/>
      <c r="D304" s="133"/>
      <c r="E304" s="133"/>
      <c r="F304" s="464"/>
      <c r="G304" s="464"/>
      <c r="H304" s="133"/>
      <c r="I304" s="133"/>
      <c r="J304" s="193"/>
    </row>
    <row r="305" spans="1:10">
      <c r="A305" s="133"/>
      <c r="B305" s="133"/>
      <c r="C305" s="133"/>
      <c r="D305" s="133"/>
      <c r="E305" s="133"/>
      <c r="F305" s="464"/>
      <c r="G305" s="464"/>
      <c r="H305" s="133"/>
      <c r="I305" s="133"/>
      <c r="J305" s="193"/>
    </row>
    <row r="306" spans="1:10">
      <c r="A306" s="133"/>
      <c r="B306" s="133"/>
      <c r="C306" s="133"/>
      <c r="D306" s="133"/>
      <c r="E306" s="133"/>
      <c r="F306" s="464"/>
      <c r="G306" s="464"/>
      <c r="H306" s="133"/>
      <c r="I306" s="133"/>
      <c r="J306" s="193"/>
    </row>
    <row r="307" spans="1:10">
      <c r="A307" s="133"/>
      <c r="B307" s="133"/>
      <c r="C307" s="133"/>
      <c r="D307" s="133"/>
      <c r="E307" s="133"/>
      <c r="F307" s="464"/>
      <c r="G307" s="464"/>
      <c r="H307" s="133"/>
      <c r="I307" s="133"/>
      <c r="J307" s="193"/>
    </row>
    <row r="308" spans="1:10">
      <c r="A308" s="133"/>
      <c r="B308" s="133"/>
      <c r="C308" s="133"/>
      <c r="D308" s="133"/>
      <c r="E308" s="133"/>
      <c r="F308" s="464"/>
      <c r="G308" s="464"/>
      <c r="H308" s="133"/>
      <c r="I308" s="133"/>
      <c r="J308" s="193"/>
    </row>
    <row r="309" spans="1:10">
      <c r="A309" s="133"/>
      <c r="B309" s="133"/>
      <c r="C309" s="133"/>
      <c r="D309" s="133"/>
      <c r="E309" s="133"/>
      <c r="F309" s="464"/>
      <c r="G309" s="464"/>
      <c r="H309" s="133"/>
      <c r="I309" s="133"/>
      <c r="J309" s="193"/>
    </row>
    <row r="310" spans="1:10">
      <c r="A310" s="133"/>
      <c r="B310" s="133"/>
      <c r="C310" s="133"/>
      <c r="D310" s="133"/>
      <c r="E310" s="133"/>
      <c r="F310" s="464"/>
      <c r="G310" s="464"/>
      <c r="H310" s="133"/>
      <c r="I310" s="133"/>
      <c r="J310" s="193"/>
    </row>
    <row r="311" spans="1:10">
      <c r="A311" s="133"/>
      <c r="B311" s="133"/>
      <c r="C311" s="133"/>
      <c r="D311" s="133"/>
      <c r="E311" s="133"/>
      <c r="F311" s="464"/>
      <c r="G311" s="464"/>
      <c r="H311" s="133"/>
      <c r="I311" s="133"/>
      <c r="J311" s="193"/>
    </row>
    <row r="312" spans="1:10">
      <c r="A312" s="133"/>
      <c r="B312" s="133"/>
      <c r="C312" s="133"/>
      <c r="D312" s="133"/>
      <c r="E312" s="133"/>
      <c r="F312" s="464"/>
      <c r="G312" s="464"/>
      <c r="H312" s="133"/>
      <c r="I312" s="133"/>
      <c r="J312" s="193"/>
    </row>
    <row r="313" spans="1:10">
      <c r="A313" s="133"/>
      <c r="B313" s="133"/>
      <c r="C313" s="133"/>
      <c r="D313" s="133"/>
      <c r="E313" s="133"/>
      <c r="F313" s="464"/>
      <c r="G313" s="464"/>
      <c r="H313" s="133"/>
      <c r="I313" s="133"/>
      <c r="J313" s="193"/>
    </row>
    <row r="314" spans="1:10">
      <c r="A314" s="133"/>
      <c r="B314" s="133"/>
      <c r="C314" s="133"/>
      <c r="D314" s="133"/>
      <c r="E314" s="133"/>
      <c r="F314" s="464"/>
      <c r="G314" s="464"/>
      <c r="H314" s="133"/>
      <c r="I314" s="133"/>
      <c r="J314" s="193"/>
    </row>
    <row r="315" spans="1:10">
      <c r="A315" s="133"/>
      <c r="B315" s="133"/>
      <c r="C315" s="133"/>
      <c r="D315" s="133"/>
      <c r="E315" s="133"/>
      <c r="F315" s="464"/>
      <c r="G315" s="464"/>
      <c r="H315" s="133"/>
      <c r="I315" s="133"/>
      <c r="J315" s="193"/>
    </row>
    <row r="316" spans="1:10">
      <c r="A316" s="133"/>
      <c r="B316" s="133"/>
      <c r="C316" s="133"/>
      <c r="D316" s="133"/>
      <c r="E316" s="133"/>
      <c r="F316" s="464"/>
      <c r="G316" s="464"/>
      <c r="H316" s="133"/>
      <c r="I316" s="133"/>
      <c r="J316" s="193"/>
    </row>
    <row r="317" spans="1:10">
      <c r="A317" s="133"/>
      <c r="B317" s="133"/>
      <c r="C317" s="133"/>
      <c r="D317" s="133"/>
      <c r="E317" s="133"/>
      <c r="F317" s="464"/>
      <c r="G317" s="464"/>
      <c r="H317" s="133"/>
      <c r="I317" s="133"/>
      <c r="J317" s="193"/>
    </row>
    <row r="318" spans="1:10">
      <c r="A318" s="133"/>
      <c r="B318" s="133"/>
      <c r="C318" s="133"/>
      <c r="D318" s="133"/>
      <c r="E318" s="133"/>
      <c r="F318" s="464"/>
      <c r="G318" s="464"/>
      <c r="H318" s="133"/>
      <c r="I318" s="133"/>
      <c r="J318" s="193"/>
    </row>
    <row r="319" spans="1:10">
      <c r="A319" s="133"/>
      <c r="B319" s="133"/>
      <c r="C319" s="133"/>
      <c r="D319" s="133"/>
      <c r="E319" s="133"/>
      <c r="F319" s="464"/>
      <c r="G319" s="464"/>
      <c r="H319" s="133"/>
      <c r="I319" s="133"/>
      <c r="J319" s="193"/>
    </row>
    <row r="320" spans="1:10">
      <c r="A320" s="133"/>
      <c r="B320" s="133"/>
      <c r="C320" s="133"/>
      <c r="D320" s="133"/>
      <c r="E320" s="133"/>
      <c r="F320" s="464"/>
      <c r="G320" s="464"/>
      <c r="H320" s="133"/>
      <c r="I320" s="133"/>
      <c r="J320" s="193"/>
    </row>
    <row r="321" spans="1:10">
      <c r="A321" s="133"/>
      <c r="B321" s="133"/>
      <c r="C321" s="133"/>
      <c r="D321" s="133"/>
      <c r="E321" s="133"/>
      <c r="F321" s="464"/>
      <c r="G321" s="464"/>
      <c r="H321" s="133"/>
      <c r="I321" s="133"/>
      <c r="J321" s="193"/>
    </row>
    <row r="322" spans="1:10">
      <c r="A322" s="133"/>
      <c r="B322" s="133"/>
      <c r="C322" s="133"/>
      <c r="D322" s="133"/>
      <c r="E322" s="133"/>
      <c r="F322" s="464"/>
      <c r="G322" s="464"/>
      <c r="H322" s="133"/>
      <c r="I322" s="133"/>
      <c r="J322" s="193"/>
    </row>
    <row r="323" spans="1:10">
      <c r="A323" s="133"/>
      <c r="B323" s="133"/>
      <c r="C323" s="133"/>
      <c r="D323" s="133"/>
      <c r="E323" s="133"/>
      <c r="F323" s="464"/>
      <c r="G323" s="464"/>
      <c r="H323" s="133"/>
      <c r="I323" s="133"/>
      <c r="J323" s="193"/>
    </row>
    <row r="324" spans="1:10">
      <c r="A324" s="133"/>
      <c r="B324" s="133"/>
      <c r="C324" s="133"/>
      <c r="D324" s="133"/>
      <c r="E324" s="133"/>
      <c r="F324" s="464"/>
      <c r="G324" s="464"/>
      <c r="H324" s="133"/>
      <c r="I324" s="133"/>
      <c r="J324" s="193"/>
    </row>
    <row r="325" spans="1:10">
      <c r="A325" s="133"/>
      <c r="B325" s="133"/>
      <c r="C325" s="133"/>
      <c r="D325" s="133"/>
      <c r="E325" s="133"/>
      <c r="F325" s="464"/>
      <c r="G325" s="464"/>
      <c r="H325" s="133"/>
      <c r="I325" s="133"/>
      <c r="J325" s="193"/>
    </row>
    <row r="326" spans="1:10">
      <c r="A326" s="133"/>
      <c r="B326" s="133"/>
      <c r="C326" s="133"/>
      <c r="D326" s="133"/>
      <c r="E326" s="133"/>
      <c r="F326" s="464"/>
      <c r="G326" s="464"/>
      <c r="H326" s="133"/>
      <c r="I326" s="133"/>
      <c r="J326" s="193"/>
    </row>
    <row r="327" spans="1:10">
      <c r="A327" s="133"/>
      <c r="B327" s="133"/>
      <c r="C327" s="133"/>
      <c r="D327" s="133"/>
      <c r="E327" s="133"/>
      <c r="F327" s="464"/>
      <c r="G327" s="464"/>
      <c r="H327" s="133"/>
      <c r="I327" s="133"/>
      <c r="J327" s="193"/>
    </row>
    <row r="328" spans="1:10">
      <c r="A328" s="133"/>
      <c r="B328" s="133"/>
      <c r="C328" s="133"/>
      <c r="D328" s="133"/>
      <c r="E328" s="133"/>
      <c r="F328" s="464"/>
      <c r="G328" s="464"/>
      <c r="H328" s="133"/>
      <c r="I328" s="133"/>
      <c r="J328" s="193"/>
    </row>
    <row r="329" spans="1:10">
      <c r="A329" s="133"/>
      <c r="B329" s="133"/>
      <c r="C329" s="133"/>
      <c r="D329" s="133"/>
      <c r="E329" s="133"/>
      <c r="F329" s="464"/>
      <c r="G329" s="464"/>
      <c r="H329" s="133"/>
      <c r="I329" s="133"/>
      <c r="J329" s="193"/>
    </row>
    <row r="330" spans="1:10">
      <c r="A330" s="133"/>
      <c r="B330" s="133"/>
      <c r="C330" s="133"/>
      <c r="D330" s="133"/>
      <c r="E330" s="133"/>
      <c r="F330" s="464"/>
      <c r="G330" s="464"/>
      <c r="H330" s="133"/>
      <c r="I330" s="133"/>
      <c r="J330" s="193"/>
    </row>
    <row r="331" spans="1:10">
      <c r="A331" s="133"/>
      <c r="B331" s="133"/>
      <c r="C331" s="133"/>
      <c r="D331" s="133"/>
      <c r="E331" s="133"/>
      <c r="F331" s="464"/>
      <c r="G331" s="464"/>
      <c r="H331" s="133"/>
      <c r="I331" s="133"/>
      <c r="J331" s="193"/>
    </row>
    <row r="332" spans="1:10">
      <c r="A332" s="133"/>
      <c r="B332" s="133"/>
      <c r="C332" s="133"/>
      <c r="D332" s="133"/>
      <c r="E332" s="133"/>
      <c r="F332" s="464"/>
      <c r="G332" s="464"/>
      <c r="H332" s="133"/>
      <c r="I332" s="133"/>
      <c r="J332" s="193"/>
    </row>
    <row r="333" spans="1:10">
      <c r="A333" s="133"/>
      <c r="B333" s="133"/>
      <c r="C333" s="133"/>
      <c r="D333" s="133"/>
      <c r="E333" s="133"/>
      <c r="F333" s="464"/>
      <c r="G333" s="464"/>
      <c r="H333" s="133"/>
      <c r="I333" s="133"/>
      <c r="J333" s="193"/>
    </row>
    <row r="334" spans="1:10">
      <c r="A334" s="133"/>
      <c r="B334" s="133"/>
      <c r="C334" s="133"/>
      <c r="D334" s="133"/>
      <c r="E334" s="133"/>
      <c r="F334" s="464"/>
      <c r="G334" s="464"/>
      <c r="H334" s="133"/>
      <c r="I334" s="133"/>
      <c r="J334" s="193"/>
    </row>
    <row r="335" spans="1:10">
      <c r="A335" s="133"/>
      <c r="B335" s="133"/>
      <c r="C335" s="133"/>
      <c r="D335" s="133"/>
      <c r="E335" s="133"/>
      <c r="F335" s="464"/>
      <c r="G335" s="464"/>
      <c r="H335" s="133"/>
      <c r="I335" s="133"/>
      <c r="J335" s="193"/>
    </row>
    <row r="336" spans="1:10">
      <c r="A336" s="133"/>
      <c r="B336" s="133"/>
      <c r="C336" s="133"/>
      <c r="D336" s="133"/>
      <c r="E336" s="133"/>
      <c r="F336" s="464"/>
      <c r="G336" s="464"/>
      <c r="H336" s="133"/>
      <c r="I336" s="133"/>
      <c r="J336" s="193"/>
    </row>
    <row r="337" spans="1:10">
      <c r="A337" s="133"/>
      <c r="B337" s="133"/>
      <c r="C337" s="133"/>
      <c r="D337" s="133"/>
      <c r="E337" s="133"/>
      <c r="F337" s="464"/>
      <c r="G337" s="464"/>
      <c r="H337" s="133"/>
      <c r="I337" s="133"/>
      <c r="J337" s="193"/>
    </row>
    <row r="338" spans="1:10">
      <c r="A338" s="133"/>
      <c r="B338" s="133"/>
      <c r="C338" s="133"/>
      <c r="D338" s="133"/>
      <c r="E338" s="133"/>
      <c r="F338" s="464"/>
      <c r="G338" s="464"/>
      <c r="H338" s="133"/>
      <c r="I338" s="133"/>
      <c r="J338" s="193"/>
    </row>
    <row r="339" spans="1:10">
      <c r="A339" s="133"/>
      <c r="B339" s="133"/>
      <c r="C339" s="133"/>
      <c r="D339" s="133"/>
      <c r="E339" s="133"/>
      <c r="F339" s="464"/>
      <c r="G339" s="464"/>
      <c r="H339" s="133"/>
      <c r="I339" s="133"/>
      <c r="J339" s="193"/>
    </row>
    <row r="340" spans="1:10">
      <c r="A340" s="133"/>
      <c r="B340" s="133"/>
      <c r="C340" s="133"/>
      <c r="D340" s="133"/>
      <c r="E340" s="133"/>
      <c r="F340" s="464"/>
      <c r="G340" s="464"/>
      <c r="H340" s="133"/>
      <c r="I340" s="133"/>
      <c r="J340" s="193"/>
    </row>
    <row r="341" spans="1:10">
      <c r="A341" s="133"/>
      <c r="B341" s="133"/>
      <c r="C341" s="133"/>
      <c r="D341" s="133"/>
      <c r="E341" s="133"/>
      <c r="F341" s="464"/>
      <c r="G341" s="464"/>
      <c r="H341" s="133"/>
      <c r="I341" s="133"/>
      <c r="J341" s="193"/>
    </row>
    <row r="342" spans="1:10">
      <c r="A342" s="133"/>
      <c r="B342" s="133"/>
      <c r="C342" s="133"/>
      <c r="D342" s="133"/>
      <c r="E342" s="133"/>
      <c r="F342" s="464"/>
      <c r="G342" s="464"/>
      <c r="H342" s="133"/>
      <c r="I342" s="133"/>
      <c r="J342" s="193"/>
    </row>
    <row r="343" spans="1:10">
      <c r="A343" s="133"/>
      <c r="B343" s="133"/>
      <c r="C343" s="133"/>
      <c r="D343" s="133"/>
      <c r="E343" s="133"/>
      <c r="F343" s="464"/>
      <c r="G343" s="464"/>
      <c r="H343" s="133"/>
      <c r="I343" s="133"/>
      <c r="J343" s="193"/>
    </row>
    <row r="344" spans="1:10">
      <c r="A344" s="133"/>
      <c r="B344" s="133"/>
      <c r="C344" s="133"/>
      <c r="D344" s="133"/>
      <c r="E344" s="133"/>
      <c r="F344" s="464"/>
      <c r="G344" s="464"/>
      <c r="H344" s="133"/>
      <c r="I344" s="133"/>
      <c r="J344" s="193"/>
    </row>
    <row r="345" spans="1:10">
      <c r="A345" s="133"/>
      <c r="B345" s="133"/>
      <c r="C345" s="133"/>
      <c r="D345" s="133"/>
      <c r="E345" s="133"/>
      <c r="F345" s="464"/>
      <c r="G345" s="464"/>
      <c r="H345" s="133"/>
      <c r="I345" s="133"/>
      <c r="J345" s="193"/>
    </row>
    <row r="346" spans="1:10">
      <c r="A346" s="133"/>
      <c r="B346" s="133"/>
      <c r="C346" s="133"/>
      <c r="D346" s="133"/>
      <c r="E346" s="133"/>
      <c r="F346" s="464"/>
      <c r="G346" s="464"/>
      <c r="H346" s="133"/>
      <c r="I346" s="133"/>
      <c r="J346" s="193"/>
    </row>
    <row r="347" spans="1:10">
      <c r="A347" s="133"/>
      <c r="B347" s="133"/>
      <c r="C347" s="133"/>
      <c r="D347" s="133"/>
      <c r="E347" s="133"/>
      <c r="F347" s="464"/>
      <c r="G347" s="464"/>
      <c r="H347" s="133"/>
      <c r="I347" s="133"/>
      <c r="J347" s="193"/>
    </row>
    <row r="348" spans="1:10">
      <c r="A348" s="133"/>
      <c r="B348" s="133"/>
      <c r="C348" s="133"/>
      <c r="D348" s="133"/>
      <c r="E348" s="133"/>
      <c r="F348" s="464"/>
      <c r="G348" s="464"/>
      <c r="H348" s="133"/>
      <c r="I348" s="133"/>
      <c r="J348" s="193"/>
    </row>
    <row r="349" spans="1:10">
      <c r="A349" s="133"/>
      <c r="B349" s="133"/>
      <c r="C349" s="133"/>
      <c r="D349" s="133"/>
      <c r="E349" s="133"/>
      <c r="F349" s="464"/>
      <c r="G349" s="464"/>
      <c r="H349" s="133"/>
      <c r="I349" s="133"/>
      <c r="J349" s="193"/>
    </row>
    <row r="350" spans="1:10">
      <c r="A350" s="133"/>
      <c r="B350" s="133"/>
      <c r="C350" s="133"/>
      <c r="D350" s="133"/>
      <c r="E350" s="133"/>
      <c r="F350" s="464"/>
      <c r="G350" s="464"/>
      <c r="H350" s="133"/>
      <c r="I350" s="133"/>
      <c r="J350" s="193"/>
    </row>
    <row r="351" spans="1:10">
      <c r="A351" s="133"/>
      <c r="B351" s="133"/>
      <c r="C351" s="133"/>
      <c r="D351" s="133"/>
      <c r="E351" s="133"/>
      <c r="F351" s="464"/>
      <c r="G351" s="464"/>
      <c r="H351" s="133"/>
      <c r="I351" s="133"/>
      <c r="J351" s="193"/>
    </row>
    <row r="352" spans="1:10">
      <c r="A352" s="133"/>
      <c r="B352" s="133"/>
      <c r="C352" s="133"/>
      <c r="D352" s="133"/>
      <c r="E352" s="133"/>
      <c r="F352" s="464"/>
      <c r="G352" s="464"/>
      <c r="H352" s="133"/>
      <c r="I352" s="133"/>
      <c r="J352" s="193"/>
    </row>
    <row r="353" spans="1:10">
      <c r="A353" s="133"/>
      <c r="B353" s="133"/>
      <c r="C353" s="133"/>
      <c r="D353" s="133"/>
      <c r="E353" s="133"/>
      <c r="F353" s="464"/>
      <c r="G353" s="464"/>
      <c r="H353" s="133"/>
      <c r="I353" s="133"/>
      <c r="J353" s="193"/>
    </row>
    <row r="354" spans="1:10">
      <c r="A354" s="133"/>
      <c r="B354" s="133"/>
      <c r="C354" s="133"/>
      <c r="D354" s="133"/>
      <c r="E354" s="133"/>
      <c r="F354" s="464"/>
      <c r="G354" s="464"/>
      <c r="H354" s="133"/>
      <c r="I354" s="133"/>
      <c r="J354" s="193"/>
    </row>
    <row r="355" spans="1:10">
      <c r="A355" s="133"/>
      <c r="B355" s="133"/>
      <c r="C355" s="133"/>
      <c r="D355" s="133"/>
      <c r="E355" s="133"/>
      <c r="F355" s="464"/>
      <c r="G355" s="464"/>
      <c r="H355" s="133"/>
      <c r="I355" s="133"/>
      <c r="J355" s="193"/>
    </row>
    <row r="356" spans="1:10">
      <c r="A356" s="133"/>
      <c r="B356" s="133"/>
      <c r="C356" s="133"/>
      <c r="D356" s="133"/>
      <c r="E356" s="133"/>
      <c r="F356" s="464"/>
      <c r="G356" s="464"/>
      <c r="H356" s="133"/>
      <c r="I356" s="133"/>
      <c r="J356" s="193"/>
    </row>
    <row r="357" spans="1:10">
      <c r="A357" s="133"/>
      <c r="B357" s="133"/>
      <c r="C357" s="133"/>
      <c r="D357" s="133"/>
      <c r="E357" s="133"/>
      <c r="F357" s="464"/>
      <c r="G357" s="464"/>
      <c r="H357" s="133"/>
      <c r="I357" s="133"/>
      <c r="J357" s="193"/>
    </row>
    <row r="358" spans="1:10">
      <c r="A358" s="133"/>
      <c r="B358" s="133"/>
      <c r="C358" s="133"/>
      <c r="D358" s="133"/>
      <c r="E358" s="133"/>
      <c r="F358" s="464"/>
      <c r="G358" s="464"/>
      <c r="H358" s="133"/>
      <c r="I358" s="133"/>
      <c r="J358" s="193"/>
    </row>
    <row r="359" spans="1:10">
      <c r="A359" s="133"/>
      <c r="B359" s="133"/>
      <c r="C359" s="133"/>
      <c r="D359" s="133"/>
      <c r="E359" s="133"/>
      <c r="F359" s="464"/>
      <c r="G359" s="464"/>
      <c r="H359" s="133"/>
      <c r="I359" s="133"/>
      <c r="J359" s="193"/>
    </row>
    <row r="360" spans="1:10">
      <c r="A360" s="133"/>
      <c r="B360" s="133"/>
      <c r="C360" s="133"/>
      <c r="D360" s="133"/>
      <c r="E360" s="133"/>
      <c r="F360" s="464"/>
      <c r="G360" s="464"/>
      <c r="H360" s="133"/>
      <c r="I360" s="133"/>
      <c r="J360" s="193"/>
    </row>
    <row r="361" spans="1:10">
      <c r="A361" s="133"/>
      <c r="B361" s="133"/>
      <c r="C361" s="133"/>
      <c r="D361" s="133"/>
      <c r="E361" s="133"/>
      <c r="F361" s="464"/>
      <c r="G361" s="464"/>
      <c r="H361" s="133"/>
      <c r="I361" s="133"/>
      <c r="J361" s="193"/>
    </row>
    <row r="362" spans="1:10">
      <c r="A362" s="133"/>
      <c r="B362" s="133"/>
      <c r="C362" s="133"/>
      <c r="D362" s="133"/>
      <c r="E362" s="133"/>
      <c r="F362" s="464"/>
      <c r="G362" s="464"/>
      <c r="H362" s="133"/>
      <c r="I362" s="133"/>
      <c r="J362" s="193"/>
    </row>
    <row r="363" spans="1:10">
      <c r="A363" s="133"/>
      <c r="B363" s="133"/>
      <c r="C363" s="133"/>
      <c r="D363" s="133"/>
      <c r="E363" s="133"/>
      <c r="F363" s="464"/>
      <c r="G363" s="464"/>
      <c r="H363" s="133"/>
      <c r="I363" s="133"/>
      <c r="J363" s="193"/>
    </row>
    <row r="364" spans="1:10">
      <c r="A364" s="133"/>
      <c r="B364" s="133"/>
      <c r="C364" s="133"/>
      <c r="D364" s="133"/>
      <c r="E364" s="133"/>
      <c r="F364" s="464"/>
      <c r="G364" s="464"/>
      <c r="H364" s="133"/>
      <c r="I364" s="133"/>
      <c r="J364" s="193"/>
    </row>
    <row r="365" spans="1:10">
      <c r="A365" s="133"/>
      <c r="B365" s="133"/>
      <c r="C365" s="133"/>
      <c r="D365" s="133"/>
      <c r="E365" s="133"/>
      <c r="F365" s="464"/>
      <c r="G365" s="464"/>
      <c r="H365" s="133"/>
      <c r="I365" s="133"/>
      <c r="J365" s="193"/>
    </row>
    <row r="366" spans="1:10">
      <c r="A366" s="133"/>
      <c r="B366" s="133"/>
      <c r="C366" s="133"/>
      <c r="D366" s="133"/>
      <c r="E366" s="133"/>
      <c r="F366" s="464"/>
      <c r="G366" s="464"/>
      <c r="H366" s="133"/>
      <c r="I366" s="133"/>
      <c r="J366" s="193"/>
    </row>
    <row r="367" spans="1:10">
      <c r="A367" s="133"/>
      <c r="B367" s="133"/>
      <c r="C367" s="133"/>
      <c r="D367" s="133"/>
      <c r="E367" s="133"/>
      <c r="F367" s="464"/>
      <c r="G367" s="464"/>
      <c r="H367" s="133"/>
      <c r="I367" s="133"/>
      <c r="J367" s="193"/>
    </row>
    <row r="368" spans="1:10">
      <c r="A368" s="133"/>
      <c r="B368" s="133"/>
      <c r="C368" s="133"/>
      <c r="D368" s="133"/>
      <c r="E368" s="133"/>
      <c r="F368" s="464"/>
      <c r="G368" s="464"/>
      <c r="H368" s="133"/>
      <c r="I368" s="133"/>
      <c r="J368" s="193"/>
    </row>
    <row r="369" spans="1:10">
      <c r="A369" s="133"/>
      <c r="B369" s="133"/>
      <c r="C369" s="133"/>
      <c r="D369" s="133"/>
      <c r="E369" s="133"/>
      <c r="F369" s="464"/>
      <c r="G369" s="464"/>
      <c r="H369" s="133"/>
      <c r="I369" s="133"/>
      <c r="J369" s="193"/>
    </row>
    <row r="370" spans="1:10">
      <c r="A370" s="133"/>
      <c r="B370" s="133"/>
      <c r="C370" s="133"/>
      <c r="D370" s="133"/>
      <c r="E370" s="133"/>
      <c r="F370" s="464"/>
      <c r="G370" s="464"/>
      <c r="H370" s="133"/>
      <c r="I370" s="133"/>
      <c r="J370" s="193"/>
    </row>
    <row r="371" spans="1:10">
      <c r="A371" s="133"/>
      <c r="B371" s="133"/>
      <c r="C371" s="133"/>
      <c r="D371" s="133"/>
      <c r="E371" s="133"/>
      <c r="F371" s="464"/>
      <c r="G371" s="464"/>
      <c r="H371" s="133"/>
      <c r="I371" s="133"/>
      <c r="J371" s="193"/>
    </row>
    <row r="372" spans="1:10">
      <c r="A372" s="133"/>
      <c r="B372" s="133"/>
      <c r="C372" s="133"/>
      <c r="D372" s="133"/>
      <c r="E372" s="133"/>
      <c r="F372" s="464"/>
      <c r="G372" s="464"/>
      <c r="H372" s="133"/>
      <c r="I372" s="133"/>
      <c r="J372" s="193"/>
    </row>
    <row r="373" spans="1:10">
      <c r="A373" s="133"/>
      <c r="B373" s="133"/>
      <c r="C373" s="133"/>
      <c r="D373" s="133"/>
      <c r="E373" s="133"/>
      <c r="F373" s="464"/>
      <c r="G373" s="464"/>
      <c r="H373" s="133"/>
      <c r="I373" s="133"/>
      <c r="J373" s="193"/>
    </row>
    <row r="374" spans="1:10">
      <c r="A374" s="133"/>
      <c r="B374" s="133"/>
      <c r="C374" s="133"/>
      <c r="D374" s="133"/>
      <c r="E374" s="133"/>
      <c r="F374" s="464"/>
      <c r="G374" s="464"/>
      <c r="H374" s="133"/>
      <c r="I374" s="133"/>
      <c r="J374" s="193"/>
    </row>
    <row r="375" spans="1:10">
      <c r="A375" s="133"/>
      <c r="B375" s="133"/>
      <c r="C375" s="133"/>
      <c r="D375" s="133"/>
      <c r="E375" s="133"/>
      <c r="F375" s="464"/>
      <c r="G375" s="464"/>
      <c r="H375" s="133"/>
      <c r="I375" s="133"/>
      <c r="J375" s="193"/>
    </row>
    <row r="376" spans="1:10">
      <c r="A376" s="133"/>
      <c r="B376" s="133"/>
      <c r="C376" s="133"/>
      <c r="D376" s="133"/>
      <c r="E376" s="133"/>
      <c r="F376" s="464"/>
      <c r="G376" s="464"/>
      <c r="H376" s="133"/>
      <c r="I376" s="133"/>
      <c r="J376" s="193"/>
    </row>
    <row r="377" spans="1:10">
      <c r="A377" s="133"/>
      <c r="B377" s="133"/>
      <c r="C377" s="133"/>
      <c r="D377" s="133"/>
      <c r="E377" s="133"/>
      <c r="F377" s="464"/>
      <c r="G377" s="464"/>
      <c r="H377" s="133"/>
      <c r="I377" s="133"/>
      <c r="J377" s="193"/>
    </row>
    <row r="378" spans="1:10">
      <c r="A378" s="133"/>
      <c r="B378" s="133"/>
      <c r="C378" s="133"/>
      <c r="D378" s="133"/>
      <c r="E378" s="133"/>
      <c r="F378" s="464"/>
      <c r="G378" s="464"/>
      <c r="H378" s="133"/>
      <c r="I378" s="133"/>
      <c r="J378" s="193"/>
    </row>
    <row r="379" spans="1:10">
      <c r="A379" s="133"/>
      <c r="B379" s="133"/>
      <c r="C379" s="133"/>
      <c r="D379" s="133"/>
      <c r="E379" s="133"/>
      <c r="F379" s="464"/>
      <c r="G379" s="464"/>
      <c r="H379" s="133"/>
      <c r="I379" s="133"/>
      <c r="J379" s="193"/>
    </row>
    <row r="380" spans="1:10">
      <c r="A380" s="133"/>
      <c r="B380" s="133"/>
      <c r="C380" s="133"/>
      <c r="D380" s="133"/>
      <c r="E380" s="133"/>
      <c r="F380" s="464"/>
      <c r="G380" s="464"/>
      <c r="H380" s="133"/>
      <c r="I380" s="133"/>
      <c r="J380" s="193"/>
    </row>
    <row r="381" spans="1:10">
      <c r="A381" s="133"/>
      <c r="B381" s="133"/>
      <c r="C381" s="133"/>
      <c r="D381" s="133"/>
      <c r="E381" s="133"/>
      <c r="F381" s="464"/>
      <c r="G381" s="464"/>
      <c r="H381" s="133"/>
      <c r="I381" s="133"/>
      <c r="J381" s="193"/>
    </row>
    <row r="382" spans="1:10">
      <c r="A382" s="133"/>
      <c r="B382" s="133"/>
      <c r="C382" s="133"/>
      <c r="D382" s="133"/>
      <c r="E382" s="133"/>
      <c r="F382" s="464"/>
      <c r="G382" s="464"/>
      <c r="H382" s="133"/>
      <c r="I382" s="133"/>
      <c r="J382" s="193"/>
    </row>
    <row r="383" spans="1:10">
      <c r="A383" s="133"/>
      <c r="B383" s="133"/>
      <c r="C383" s="133"/>
      <c r="D383" s="133"/>
      <c r="E383" s="133"/>
      <c r="F383" s="464"/>
      <c r="G383" s="464"/>
      <c r="H383" s="133"/>
      <c r="I383" s="133"/>
      <c r="J383" s="193"/>
    </row>
    <row r="384" spans="1:10">
      <c r="A384" s="133"/>
      <c r="B384" s="133"/>
      <c r="C384" s="133"/>
      <c r="D384" s="133"/>
      <c r="E384" s="133"/>
      <c r="F384" s="464"/>
      <c r="G384" s="464"/>
      <c r="H384" s="133"/>
      <c r="I384" s="133"/>
      <c r="J384" s="193"/>
    </row>
    <row r="385" spans="1:10">
      <c r="A385" s="133"/>
      <c r="B385" s="133"/>
      <c r="C385" s="133"/>
      <c r="D385" s="133"/>
      <c r="E385" s="133"/>
      <c r="F385" s="464"/>
      <c r="G385" s="464"/>
      <c r="H385" s="133"/>
      <c r="I385" s="133"/>
      <c r="J385" s="193"/>
    </row>
    <row r="386" spans="1:10">
      <c r="A386" s="133"/>
      <c r="B386" s="133"/>
      <c r="C386" s="133"/>
      <c r="D386" s="133"/>
      <c r="E386" s="133"/>
      <c r="F386" s="464"/>
      <c r="G386" s="464"/>
      <c r="H386" s="133"/>
      <c r="I386" s="133"/>
      <c r="J386" s="193"/>
    </row>
    <row r="387" spans="1:10">
      <c r="A387" s="133"/>
      <c r="B387" s="133"/>
      <c r="C387" s="133"/>
      <c r="D387" s="133"/>
      <c r="E387" s="133"/>
      <c r="F387" s="464"/>
      <c r="G387" s="464"/>
      <c r="H387" s="133"/>
      <c r="I387" s="133"/>
      <c r="J387" s="193"/>
    </row>
    <row r="388" spans="1:10">
      <c r="A388" s="133"/>
      <c r="B388" s="133"/>
      <c r="C388" s="133"/>
      <c r="D388" s="133"/>
      <c r="E388" s="133"/>
      <c r="F388" s="464"/>
      <c r="G388" s="464"/>
      <c r="H388" s="133"/>
      <c r="I388" s="133"/>
      <c r="J388" s="193"/>
    </row>
    <row r="389" spans="1:10">
      <c r="A389" s="133"/>
      <c r="B389" s="133"/>
      <c r="C389" s="133"/>
      <c r="D389" s="133"/>
      <c r="E389" s="133"/>
      <c r="F389" s="464"/>
      <c r="G389" s="464"/>
      <c r="H389" s="133"/>
      <c r="I389" s="133"/>
      <c r="J389" s="193"/>
    </row>
    <row r="390" spans="1:10">
      <c r="A390" s="133"/>
      <c r="B390" s="133"/>
      <c r="C390" s="133"/>
      <c r="D390" s="133"/>
      <c r="E390" s="133"/>
      <c r="F390" s="464"/>
      <c r="G390" s="464"/>
      <c r="H390" s="133"/>
      <c r="I390" s="133"/>
      <c r="J390" s="193"/>
    </row>
    <row r="391" spans="1:10">
      <c r="A391" s="133"/>
      <c r="B391" s="133"/>
      <c r="C391" s="133"/>
      <c r="D391" s="133"/>
      <c r="E391" s="133"/>
      <c r="F391" s="464"/>
      <c r="G391" s="464"/>
      <c r="H391" s="133"/>
      <c r="I391" s="133"/>
      <c r="J391" s="193"/>
    </row>
    <row r="392" spans="1:10">
      <c r="A392" s="133"/>
      <c r="B392" s="133"/>
      <c r="C392" s="133"/>
      <c r="D392" s="133"/>
      <c r="E392" s="133"/>
      <c r="F392" s="464"/>
      <c r="G392" s="464"/>
      <c r="H392" s="133"/>
      <c r="I392" s="133"/>
      <c r="J392" s="193"/>
    </row>
    <row r="393" spans="1:10">
      <c r="A393" s="133"/>
      <c r="B393" s="133"/>
      <c r="C393" s="133"/>
      <c r="D393" s="133"/>
      <c r="E393" s="133"/>
      <c r="F393" s="464"/>
      <c r="G393" s="464"/>
      <c r="H393" s="133"/>
      <c r="I393" s="133"/>
      <c r="J393" s="193"/>
    </row>
    <row r="394" spans="1:10">
      <c r="A394" s="133"/>
      <c r="B394" s="133"/>
      <c r="C394" s="133"/>
      <c r="D394" s="133"/>
      <c r="E394" s="133"/>
      <c r="F394" s="464"/>
      <c r="G394" s="464"/>
      <c r="H394" s="133"/>
      <c r="I394" s="133"/>
      <c r="J394" s="193"/>
    </row>
    <row r="395" spans="1:10">
      <c r="A395" s="133"/>
      <c r="B395" s="133"/>
      <c r="C395" s="133"/>
      <c r="D395" s="133"/>
      <c r="E395" s="133"/>
      <c r="F395" s="464"/>
      <c r="G395" s="464"/>
      <c r="H395" s="133"/>
      <c r="I395" s="133"/>
      <c r="J395" s="193"/>
    </row>
    <row r="396" spans="1:10">
      <c r="A396" s="133"/>
      <c r="B396" s="133"/>
      <c r="C396" s="133"/>
      <c r="D396" s="133"/>
      <c r="E396" s="133"/>
      <c r="F396" s="464"/>
      <c r="G396" s="464"/>
      <c r="H396" s="133"/>
      <c r="I396" s="133"/>
      <c r="J396" s="193"/>
    </row>
    <row r="397" spans="1:10">
      <c r="A397" s="133"/>
      <c r="B397" s="133"/>
      <c r="C397" s="133"/>
      <c r="D397" s="133"/>
      <c r="E397" s="133"/>
      <c r="F397" s="464"/>
      <c r="G397" s="464"/>
      <c r="H397" s="133"/>
      <c r="I397" s="133"/>
      <c r="J397" s="193"/>
    </row>
    <row r="398" spans="1:10">
      <c r="A398" s="133"/>
      <c r="B398" s="133"/>
      <c r="C398" s="133"/>
      <c r="D398" s="133"/>
      <c r="E398" s="133"/>
      <c r="F398" s="464"/>
      <c r="G398" s="464"/>
      <c r="H398" s="133"/>
      <c r="I398" s="133"/>
      <c r="J398" s="193"/>
    </row>
    <row r="399" spans="1:10">
      <c r="A399" s="133"/>
      <c r="B399" s="133"/>
      <c r="C399" s="133"/>
      <c r="D399" s="133"/>
      <c r="E399" s="133"/>
      <c r="F399" s="464"/>
      <c r="G399" s="464"/>
      <c r="H399" s="133"/>
      <c r="I399" s="133"/>
      <c r="J399" s="193"/>
    </row>
    <row r="400" spans="1:10">
      <c r="A400" s="133"/>
      <c r="B400" s="133"/>
      <c r="C400" s="133"/>
      <c r="D400" s="133"/>
      <c r="E400" s="133"/>
      <c r="F400" s="464"/>
      <c r="G400" s="464"/>
      <c r="H400" s="133"/>
      <c r="I400" s="133"/>
      <c r="J400" s="193"/>
    </row>
    <row r="401" spans="1:10">
      <c r="A401" s="133"/>
      <c r="B401" s="133"/>
      <c r="C401" s="133"/>
      <c r="D401" s="133"/>
      <c r="E401" s="133"/>
      <c r="F401" s="464"/>
      <c r="G401" s="464"/>
      <c r="H401" s="133"/>
      <c r="I401" s="133"/>
      <c r="J401" s="193"/>
    </row>
    <row r="402" spans="1:10">
      <c r="A402" s="133"/>
      <c r="B402" s="133"/>
      <c r="C402" s="133"/>
      <c r="D402" s="133"/>
      <c r="E402" s="133"/>
      <c r="F402" s="464"/>
      <c r="G402" s="464"/>
      <c r="H402" s="133"/>
      <c r="I402" s="133"/>
      <c r="J402" s="193"/>
    </row>
    <row r="403" spans="1:10">
      <c r="A403" s="133"/>
      <c r="B403" s="133"/>
      <c r="C403" s="133"/>
      <c r="D403" s="133"/>
      <c r="E403" s="133"/>
      <c r="F403" s="464"/>
      <c r="G403" s="464"/>
      <c r="H403" s="133"/>
      <c r="I403" s="133"/>
      <c r="J403" s="193"/>
    </row>
    <row r="404" spans="1:10">
      <c r="A404" s="133"/>
      <c r="B404" s="133"/>
      <c r="C404" s="133"/>
      <c r="D404" s="133"/>
      <c r="E404" s="133"/>
      <c r="F404" s="464"/>
      <c r="G404" s="464"/>
      <c r="H404" s="133"/>
      <c r="I404" s="133"/>
      <c r="J404" s="193"/>
    </row>
    <row r="405" spans="1:10">
      <c r="A405" s="133"/>
      <c r="B405" s="133"/>
      <c r="C405" s="133"/>
      <c r="D405" s="133"/>
      <c r="E405" s="133"/>
      <c r="F405" s="464"/>
      <c r="G405" s="464"/>
      <c r="H405" s="133"/>
      <c r="I405" s="133"/>
      <c r="J405" s="193"/>
    </row>
    <row r="406" spans="1:10">
      <c r="A406" s="133"/>
      <c r="B406" s="133"/>
      <c r="C406" s="133"/>
      <c r="D406" s="133"/>
      <c r="E406" s="133"/>
      <c r="F406" s="464"/>
      <c r="G406" s="464"/>
      <c r="H406" s="133"/>
      <c r="I406" s="133"/>
      <c r="J406" s="193"/>
    </row>
    <row r="407" spans="1:10">
      <c r="A407" s="133"/>
      <c r="B407" s="133"/>
      <c r="C407" s="133"/>
      <c r="D407" s="133"/>
      <c r="E407" s="133"/>
      <c r="F407" s="464"/>
      <c r="G407" s="464"/>
      <c r="H407" s="133"/>
      <c r="I407" s="133"/>
      <c r="J407" s="193"/>
    </row>
    <row r="408" spans="1:10">
      <c r="A408" s="133"/>
      <c r="B408" s="133"/>
      <c r="C408" s="133"/>
      <c r="D408" s="133"/>
      <c r="E408" s="133"/>
      <c r="F408" s="464"/>
      <c r="G408" s="464"/>
      <c r="H408" s="133"/>
      <c r="I408" s="133"/>
      <c r="J408" s="193"/>
    </row>
    <row r="409" spans="1:10">
      <c r="A409" s="133"/>
      <c r="B409" s="133"/>
      <c r="C409" s="133"/>
      <c r="D409" s="133"/>
      <c r="E409" s="133"/>
      <c r="F409" s="464"/>
      <c r="G409" s="464"/>
      <c r="H409" s="133"/>
      <c r="I409" s="133"/>
      <c r="J409" s="193"/>
    </row>
    <row r="410" spans="1:10">
      <c r="A410" s="133"/>
      <c r="B410" s="133"/>
      <c r="C410" s="133"/>
      <c r="D410" s="133"/>
      <c r="E410" s="133"/>
      <c r="F410" s="464"/>
      <c r="G410" s="464"/>
      <c r="H410" s="133"/>
      <c r="I410" s="133"/>
      <c r="J410" s="193"/>
    </row>
    <row r="411" spans="1:10">
      <c r="A411" s="133"/>
      <c r="B411" s="133"/>
      <c r="C411" s="133"/>
      <c r="D411" s="133"/>
      <c r="E411" s="133"/>
      <c r="F411" s="464"/>
      <c r="G411" s="464"/>
      <c r="H411" s="133"/>
      <c r="I411" s="133"/>
      <c r="J411" s="193"/>
    </row>
    <row r="412" spans="1:10">
      <c r="A412" s="133"/>
      <c r="B412" s="133"/>
      <c r="C412" s="133"/>
      <c r="D412" s="133"/>
      <c r="E412" s="133"/>
      <c r="F412" s="464"/>
      <c r="G412" s="464"/>
      <c r="H412" s="133"/>
      <c r="I412" s="133"/>
      <c r="J412" s="193"/>
    </row>
    <row r="413" spans="1:10">
      <c r="A413" s="133"/>
      <c r="B413" s="133"/>
      <c r="C413" s="133"/>
      <c r="D413" s="133"/>
      <c r="E413" s="133"/>
      <c r="F413" s="464"/>
      <c r="G413" s="464"/>
      <c r="H413" s="133"/>
      <c r="I413" s="133"/>
      <c r="J413" s="193"/>
    </row>
    <row r="414" spans="1:10">
      <c r="A414" s="133"/>
      <c r="B414" s="133"/>
      <c r="C414" s="133"/>
      <c r="D414" s="133"/>
      <c r="E414" s="133"/>
      <c r="F414" s="464"/>
      <c r="G414" s="464"/>
      <c r="H414" s="133"/>
      <c r="I414" s="133"/>
      <c r="J414" s="193"/>
    </row>
    <row r="415" spans="1:10">
      <c r="A415" s="133"/>
      <c r="B415" s="133"/>
      <c r="C415" s="133"/>
      <c r="D415" s="133"/>
      <c r="E415" s="133"/>
      <c r="F415" s="464"/>
      <c r="G415" s="464"/>
      <c r="H415" s="133"/>
      <c r="I415" s="133"/>
      <c r="J415" s="193"/>
    </row>
    <row r="416" spans="1:10">
      <c r="A416" s="133"/>
      <c r="B416" s="133"/>
      <c r="C416" s="133"/>
      <c r="D416" s="133"/>
      <c r="E416" s="133"/>
      <c r="F416" s="464"/>
      <c r="G416" s="464"/>
      <c r="H416" s="133"/>
      <c r="I416" s="133"/>
      <c r="J416" s="193"/>
    </row>
    <row r="417" spans="1:10">
      <c r="A417" s="133"/>
      <c r="B417" s="133"/>
      <c r="C417" s="133"/>
      <c r="D417" s="133"/>
      <c r="E417" s="133"/>
      <c r="F417" s="464"/>
      <c r="G417" s="464"/>
      <c r="H417" s="133"/>
      <c r="I417" s="133"/>
      <c r="J417" s="193"/>
    </row>
    <row r="418" spans="1:10">
      <c r="A418" s="133"/>
      <c r="B418" s="133"/>
      <c r="C418" s="133"/>
      <c r="D418" s="133"/>
      <c r="E418" s="133"/>
      <c r="F418" s="464"/>
      <c r="G418" s="464"/>
      <c r="H418" s="133"/>
      <c r="I418" s="133"/>
      <c r="J418" s="193"/>
    </row>
    <row r="419" spans="1:10">
      <c r="A419" s="133"/>
      <c r="B419" s="133"/>
      <c r="C419" s="133"/>
      <c r="D419" s="133"/>
      <c r="E419" s="133"/>
      <c r="F419" s="464"/>
      <c r="G419" s="464"/>
      <c r="H419" s="133"/>
      <c r="I419" s="133"/>
      <c r="J419" s="193"/>
    </row>
    <row r="420" spans="1:10">
      <c r="A420" s="133"/>
      <c r="B420" s="133"/>
      <c r="C420" s="133"/>
      <c r="D420" s="133"/>
      <c r="E420" s="133"/>
      <c r="F420" s="464"/>
      <c r="G420" s="464"/>
      <c r="H420" s="133"/>
      <c r="I420" s="133"/>
      <c r="J420" s="193"/>
    </row>
    <row r="421" spans="1:10">
      <c r="A421" s="133"/>
      <c r="B421" s="133"/>
      <c r="C421" s="133"/>
      <c r="D421" s="133"/>
      <c r="E421" s="133"/>
      <c r="F421" s="464"/>
      <c r="G421" s="464"/>
      <c r="H421" s="133"/>
      <c r="I421" s="133"/>
      <c r="J421" s="193"/>
    </row>
    <row r="422" spans="1:10">
      <c r="A422" s="133"/>
      <c r="B422" s="133"/>
      <c r="C422" s="133"/>
      <c r="D422" s="133"/>
      <c r="E422" s="133"/>
      <c r="F422" s="464"/>
      <c r="G422" s="464"/>
      <c r="H422" s="133"/>
      <c r="I422" s="133"/>
      <c r="J422" s="193"/>
    </row>
    <row r="423" spans="1:10">
      <c r="A423" s="133"/>
      <c r="B423" s="133"/>
      <c r="C423" s="133"/>
      <c r="D423" s="133"/>
      <c r="E423" s="133"/>
      <c r="F423" s="464"/>
      <c r="G423" s="464"/>
      <c r="H423" s="133"/>
      <c r="I423" s="133"/>
      <c r="J423" s="193"/>
    </row>
    <row r="424" spans="1:10">
      <c r="A424" s="133"/>
      <c r="B424" s="133"/>
      <c r="C424" s="133"/>
      <c r="D424" s="133"/>
      <c r="E424" s="133"/>
      <c r="F424" s="464"/>
      <c r="G424" s="464"/>
      <c r="H424" s="133"/>
      <c r="I424" s="133"/>
      <c r="J424" s="193"/>
    </row>
    <row r="425" spans="1:10">
      <c r="A425" s="133"/>
      <c r="B425" s="133"/>
      <c r="C425" s="133"/>
      <c r="D425" s="133"/>
      <c r="E425" s="133"/>
      <c r="F425" s="464"/>
      <c r="G425" s="464"/>
      <c r="H425" s="133"/>
      <c r="I425" s="133"/>
      <c r="J425" s="193"/>
    </row>
    <row r="426" spans="1:10">
      <c r="A426" s="133"/>
      <c r="B426" s="133"/>
      <c r="C426" s="133"/>
      <c r="D426" s="133"/>
      <c r="E426" s="133"/>
      <c r="F426" s="464"/>
      <c r="G426" s="464"/>
      <c r="H426" s="133"/>
      <c r="I426" s="133"/>
      <c r="J426" s="193"/>
    </row>
    <row r="427" spans="1:10">
      <c r="A427" s="133"/>
      <c r="B427" s="133"/>
      <c r="C427" s="133"/>
      <c r="D427" s="133"/>
      <c r="E427" s="133"/>
      <c r="F427" s="464"/>
      <c r="G427" s="464"/>
      <c r="H427" s="133"/>
      <c r="I427" s="133"/>
      <c r="J427" s="193"/>
    </row>
    <row r="428" spans="1:10">
      <c r="A428" s="133"/>
      <c r="B428" s="133"/>
      <c r="C428" s="133"/>
      <c r="D428" s="133"/>
      <c r="E428" s="133"/>
      <c r="F428" s="464"/>
      <c r="G428" s="464"/>
      <c r="H428" s="133"/>
      <c r="I428" s="133"/>
      <c r="J428" s="193"/>
    </row>
    <row r="429" spans="1:10">
      <c r="A429" s="133"/>
      <c r="B429" s="133"/>
      <c r="C429" s="133"/>
      <c r="D429" s="133"/>
      <c r="E429" s="133"/>
      <c r="F429" s="464"/>
      <c r="G429" s="464"/>
      <c r="H429" s="133"/>
      <c r="I429" s="133"/>
      <c r="J429" s="193"/>
    </row>
    <row r="430" spans="1:10">
      <c r="A430" s="133"/>
      <c r="B430" s="133"/>
      <c r="C430" s="133"/>
      <c r="D430" s="133"/>
      <c r="E430" s="133"/>
      <c r="F430" s="464"/>
      <c r="G430" s="464"/>
      <c r="H430" s="133"/>
      <c r="I430" s="133"/>
      <c r="J430" s="193"/>
    </row>
    <row r="431" spans="1:10">
      <c r="A431" s="133"/>
      <c r="B431" s="133"/>
      <c r="C431" s="133"/>
      <c r="D431" s="133"/>
      <c r="E431" s="133"/>
      <c r="F431" s="464"/>
      <c r="G431" s="464"/>
      <c r="H431" s="133"/>
      <c r="I431" s="133"/>
      <c r="J431" s="193"/>
    </row>
    <row r="432" spans="1:10">
      <c r="A432" s="133"/>
      <c r="B432" s="133"/>
      <c r="C432" s="133"/>
      <c r="D432" s="133"/>
      <c r="E432" s="133"/>
      <c r="F432" s="464"/>
      <c r="G432" s="464"/>
      <c r="H432" s="133"/>
      <c r="I432" s="133"/>
      <c r="J432" s="193"/>
    </row>
    <row r="433" spans="1:10">
      <c r="A433" s="133"/>
      <c r="B433" s="133"/>
      <c r="C433" s="133"/>
      <c r="D433" s="133"/>
      <c r="E433" s="133"/>
      <c r="F433" s="464"/>
      <c r="G433" s="464"/>
      <c r="H433" s="133"/>
      <c r="I433" s="133"/>
      <c r="J433" s="193"/>
    </row>
    <row r="434" spans="1:10">
      <c r="A434" s="133"/>
      <c r="B434" s="133"/>
      <c r="C434" s="133"/>
      <c r="D434" s="133"/>
      <c r="E434" s="133"/>
      <c r="F434" s="464"/>
      <c r="G434" s="464"/>
      <c r="H434" s="133"/>
      <c r="I434" s="133"/>
      <c r="J434" s="193"/>
    </row>
    <row r="435" spans="1:10">
      <c r="A435" s="133"/>
      <c r="B435" s="133"/>
      <c r="C435" s="133"/>
      <c r="D435" s="133"/>
      <c r="E435" s="133"/>
      <c r="F435" s="464"/>
      <c r="G435" s="464"/>
      <c r="H435" s="133"/>
      <c r="I435" s="133"/>
      <c r="J435" s="193"/>
    </row>
    <row r="436" spans="1:10">
      <c r="A436" s="133"/>
      <c r="B436" s="133"/>
      <c r="C436" s="133"/>
      <c r="D436" s="133"/>
      <c r="E436" s="133"/>
      <c r="F436" s="464"/>
      <c r="G436" s="464"/>
      <c r="H436" s="133"/>
      <c r="I436" s="133"/>
      <c r="J436" s="193"/>
    </row>
    <row r="437" spans="1:10">
      <c r="A437" s="133"/>
      <c r="B437" s="133"/>
      <c r="C437" s="133"/>
      <c r="D437" s="133"/>
      <c r="E437" s="133"/>
      <c r="F437" s="464"/>
      <c r="G437" s="464"/>
      <c r="H437" s="133"/>
      <c r="I437" s="133"/>
      <c r="J437" s="193"/>
    </row>
    <row r="438" spans="1:10">
      <c r="A438" s="133"/>
      <c r="B438" s="133"/>
      <c r="C438" s="133"/>
      <c r="D438" s="133"/>
      <c r="E438" s="133"/>
      <c r="F438" s="464"/>
      <c r="G438" s="464"/>
      <c r="H438" s="133"/>
      <c r="I438" s="133"/>
      <c r="J438" s="193"/>
    </row>
    <row r="439" spans="1:10">
      <c r="A439" s="133"/>
      <c r="B439" s="133"/>
      <c r="C439" s="133"/>
      <c r="D439" s="133"/>
      <c r="E439" s="133"/>
      <c r="F439" s="464"/>
      <c r="G439" s="464"/>
      <c r="H439" s="133"/>
      <c r="I439" s="133"/>
      <c r="J439" s="193"/>
    </row>
    <row r="440" spans="1:10">
      <c r="A440" s="133"/>
      <c r="B440" s="133"/>
      <c r="C440" s="133"/>
      <c r="D440" s="133"/>
      <c r="E440" s="133"/>
      <c r="F440" s="464"/>
      <c r="G440" s="464"/>
      <c r="H440" s="133"/>
      <c r="I440" s="133"/>
      <c r="J440" s="193"/>
    </row>
    <row r="441" spans="1:10">
      <c r="A441" s="133"/>
      <c r="B441" s="133"/>
      <c r="C441" s="133"/>
      <c r="D441" s="133"/>
      <c r="E441" s="133"/>
      <c r="F441" s="464"/>
      <c r="G441" s="464"/>
      <c r="H441" s="133"/>
      <c r="I441" s="133"/>
      <c r="J441" s="193"/>
    </row>
    <row r="442" spans="1:10">
      <c r="A442" s="133"/>
      <c r="B442" s="133"/>
      <c r="C442" s="133"/>
      <c r="D442" s="133"/>
      <c r="E442" s="133"/>
      <c r="F442" s="464"/>
      <c r="G442" s="464"/>
      <c r="H442" s="133"/>
      <c r="I442" s="133"/>
      <c r="J442" s="193"/>
    </row>
    <row r="443" spans="1:10">
      <c r="A443" s="133"/>
      <c r="B443" s="133"/>
      <c r="C443" s="133"/>
      <c r="D443" s="133"/>
      <c r="E443" s="133"/>
      <c r="F443" s="464"/>
      <c r="G443" s="464"/>
      <c r="H443" s="133"/>
      <c r="I443" s="133"/>
      <c r="J443" s="193"/>
    </row>
    <row r="444" spans="1:10">
      <c r="A444" s="133"/>
      <c r="B444" s="133"/>
      <c r="C444" s="133"/>
      <c r="D444" s="133"/>
      <c r="E444" s="133"/>
      <c r="F444" s="464"/>
      <c r="G444" s="464"/>
      <c r="H444" s="133"/>
      <c r="I444" s="133"/>
      <c r="J444" s="193"/>
    </row>
    <row r="445" spans="1:10">
      <c r="A445" s="133"/>
      <c r="B445" s="133"/>
      <c r="C445" s="133"/>
      <c r="D445" s="133"/>
      <c r="E445" s="133"/>
      <c r="F445" s="464"/>
      <c r="G445" s="464"/>
      <c r="H445" s="133"/>
      <c r="I445" s="133"/>
      <c r="J445" s="193"/>
    </row>
    <row r="446" spans="1:10">
      <c r="A446" s="133"/>
      <c r="B446" s="133"/>
      <c r="C446" s="133"/>
      <c r="D446" s="133"/>
      <c r="E446" s="133"/>
      <c r="F446" s="464"/>
      <c r="G446" s="464"/>
      <c r="H446" s="133"/>
      <c r="I446" s="133"/>
      <c r="J446" s="193"/>
    </row>
    <row r="447" spans="1:10">
      <c r="A447" s="133"/>
      <c r="B447" s="133"/>
      <c r="C447" s="133"/>
      <c r="D447" s="133"/>
      <c r="E447" s="133"/>
      <c r="F447" s="464"/>
      <c r="G447" s="464"/>
      <c r="H447" s="133"/>
      <c r="I447" s="133"/>
      <c r="J447" s="193"/>
    </row>
    <row r="448" spans="1:10">
      <c r="A448" s="133"/>
      <c r="B448" s="133"/>
      <c r="C448" s="133"/>
      <c r="D448" s="133"/>
      <c r="E448" s="133"/>
      <c r="F448" s="464"/>
      <c r="G448" s="464"/>
      <c r="H448" s="133"/>
      <c r="I448" s="133"/>
      <c r="J448" s="193"/>
    </row>
    <row r="449" spans="1:10">
      <c r="A449" s="133"/>
      <c r="B449" s="133"/>
      <c r="C449" s="133"/>
      <c r="D449" s="133"/>
      <c r="E449" s="133"/>
      <c r="F449" s="464"/>
      <c r="G449" s="464"/>
      <c r="H449" s="133"/>
      <c r="I449" s="133"/>
      <c r="J449" s="193"/>
    </row>
    <row r="450" spans="1:10">
      <c r="A450" s="133"/>
      <c r="B450" s="133"/>
      <c r="C450" s="133"/>
      <c r="D450" s="133"/>
      <c r="E450" s="133"/>
      <c r="F450" s="464"/>
      <c r="G450" s="464"/>
      <c r="H450" s="133"/>
      <c r="I450" s="133"/>
      <c r="J450" s="193"/>
    </row>
    <row r="451" spans="1:10">
      <c r="A451" s="133"/>
      <c r="B451" s="133"/>
      <c r="C451" s="133"/>
      <c r="D451" s="133"/>
      <c r="E451" s="133"/>
      <c r="F451" s="464"/>
      <c r="G451" s="464"/>
      <c r="H451" s="133"/>
      <c r="I451" s="133"/>
      <c r="J451" s="193"/>
    </row>
    <row r="452" spans="1:10">
      <c r="A452" s="133"/>
      <c r="B452" s="133"/>
      <c r="C452" s="133"/>
      <c r="D452" s="133"/>
      <c r="E452" s="133"/>
      <c r="F452" s="464"/>
      <c r="G452" s="464"/>
      <c r="H452" s="133"/>
      <c r="I452" s="133"/>
      <c r="J452" s="193"/>
    </row>
    <row r="453" spans="1:10">
      <c r="A453" s="133"/>
      <c r="B453" s="133"/>
      <c r="C453" s="133"/>
      <c r="D453" s="133"/>
      <c r="E453" s="133"/>
      <c r="F453" s="464"/>
      <c r="G453" s="464"/>
      <c r="H453" s="133"/>
      <c r="I453" s="133"/>
      <c r="J453" s="193"/>
    </row>
    <row r="454" spans="1:10">
      <c r="A454" s="133"/>
      <c r="B454" s="133"/>
      <c r="C454" s="133"/>
      <c r="D454" s="133"/>
      <c r="E454" s="133"/>
      <c r="F454" s="464"/>
      <c r="G454" s="464"/>
      <c r="H454" s="133"/>
      <c r="I454" s="133"/>
      <c r="J454" s="193"/>
    </row>
    <row r="455" spans="1:10">
      <c r="A455" s="133"/>
      <c r="B455" s="133"/>
      <c r="C455" s="133"/>
      <c r="D455" s="133"/>
      <c r="E455" s="133"/>
      <c r="F455" s="464"/>
      <c r="G455" s="464"/>
      <c r="H455" s="133"/>
      <c r="I455" s="133"/>
      <c r="J455" s="193"/>
    </row>
    <row r="456" spans="1:10">
      <c r="A456" s="133"/>
      <c r="B456" s="133"/>
      <c r="C456" s="133"/>
      <c r="D456" s="133"/>
      <c r="E456" s="133"/>
      <c r="F456" s="464"/>
      <c r="G456" s="464"/>
      <c r="H456" s="133"/>
      <c r="I456" s="133"/>
      <c r="J456" s="193"/>
    </row>
    <row r="457" spans="1:10">
      <c r="A457" s="133"/>
      <c r="B457" s="133"/>
      <c r="C457" s="133"/>
      <c r="D457" s="133"/>
      <c r="E457" s="133"/>
      <c r="F457" s="464"/>
      <c r="G457" s="464"/>
      <c r="H457" s="133"/>
      <c r="I457" s="133"/>
      <c r="J457" s="193"/>
    </row>
    <row r="458" spans="1:10">
      <c r="A458" s="133"/>
      <c r="B458" s="133"/>
      <c r="C458" s="133"/>
      <c r="D458" s="133"/>
      <c r="E458" s="133"/>
      <c r="F458" s="464"/>
      <c r="G458" s="464"/>
      <c r="H458" s="133"/>
      <c r="I458" s="133"/>
      <c r="J458" s="193"/>
    </row>
    <row r="459" spans="1:10">
      <c r="A459" s="133"/>
      <c r="B459" s="133"/>
      <c r="C459" s="133"/>
      <c r="D459" s="133"/>
      <c r="E459" s="133"/>
      <c r="F459" s="464"/>
      <c r="G459" s="464"/>
      <c r="H459" s="133"/>
      <c r="I459" s="133"/>
      <c r="J459" s="193"/>
    </row>
    <row r="460" spans="1:10">
      <c r="A460" s="133"/>
      <c r="B460" s="133"/>
      <c r="C460" s="133"/>
      <c r="D460" s="133"/>
      <c r="E460" s="133"/>
      <c r="F460" s="464"/>
      <c r="G460" s="464"/>
      <c r="H460" s="133"/>
      <c r="I460" s="133"/>
      <c r="J460" s="193"/>
    </row>
    <row r="461" spans="1:10">
      <c r="A461" s="133"/>
      <c r="B461" s="133"/>
      <c r="C461" s="133"/>
      <c r="D461" s="133"/>
      <c r="E461" s="133"/>
      <c r="F461" s="464"/>
      <c r="G461" s="464"/>
      <c r="H461" s="133"/>
      <c r="I461" s="133"/>
      <c r="J461" s="193"/>
    </row>
    <row r="462" spans="1:10">
      <c r="A462" s="133"/>
      <c r="B462" s="133"/>
      <c r="C462" s="133"/>
      <c r="D462" s="133"/>
      <c r="E462" s="133"/>
      <c r="F462" s="464"/>
      <c r="G462" s="464"/>
      <c r="H462" s="133"/>
      <c r="I462" s="133"/>
      <c r="J462" s="193"/>
    </row>
    <row r="463" spans="1:10">
      <c r="A463" s="133"/>
      <c r="B463" s="133"/>
      <c r="C463" s="133"/>
      <c r="D463" s="133"/>
      <c r="E463" s="133"/>
      <c r="F463" s="464"/>
      <c r="G463" s="464"/>
      <c r="H463" s="133"/>
      <c r="I463" s="133"/>
      <c r="J463" s="193"/>
    </row>
    <row r="464" spans="1:10">
      <c r="A464" s="133"/>
      <c r="B464" s="133"/>
      <c r="C464" s="133"/>
      <c r="D464" s="133"/>
      <c r="E464" s="133"/>
      <c r="F464" s="464"/>
      <c r="G464" s="464"/>
      <c r="H464" s="133"/>
      <c r="I464" s="133"/>
      <c r="J464" s="193"/>
    </row>
    <row r="465" spans="1:10">
      <c r="A465" s="133"/>
      <c r="B465" s="133"/>
      <c r="C465" s="133"/>
      <c r="D465" s="133"/>
      <c r="E465" s="133"/>
      <c r="F465" s="464"/>
      <c r="G465" s="464"/>
      <c r="H465" s="133"/>
      <c r="I465" s="133"/>
      <c r="J465" s="193"/>
    </row>
    <row r="466" spans="1:10">
      <c r="A466" s="133"/>
      <c r="B466" s="133"/>
      <c r="C466" s="133"/>
      <c r="D466" s="133"/>
      <c r="E466" s="133"/>
      <c r="F466" s="464"/>
      <c r="G466" s="464"/>
      <c r="H466" s="133"/>
      <c r="I466" s="133"/>
      <c r="J466" s="193"/>
    </row>
    <row r="467" spans="1:10">
      <c r="A467" s="133"/>
      <c r="B467" s="133"/>
      <c r="C467" s="133"/>
      <c r="D467" s="133"/>
      <c r="E467" s="133"/>
      <c r="F467" s="464"/>
      <c r="G467" s="464"/>
      <c r="H467" s="133"/>
      <c r="I467" s="133"/>
      <c r="J467" s="193"/>
    </row>
    <row r="468" spans="1:10">
      <c r="A468" s="133"/>
      <c r="B468" s="133"/>
      <c r="C468" s="133"/>
      <c r="D468" s="133"/>
      <c r="E468" s="133"/>
      <c r="F468" s="464"/>
      <c r="G468" s="464"/>
      <c r="H468" s="133"/>
      <c r="I468" s="133"/>
      <c r="J468" s="193"/>
    </row>
    <row r="469" spans="1:10">
      <c r="A469" s="133"/>
      <c r="B469" s="133"/>
      <c r="C469" s="133"/>
      <c r="D469" s="133"/>
      <c r="E469" s="133"/>
      <c r="F469" s="464"/>
      <c r="G469" s="464"/>
      <c r="H469" s="133"/>
      <c r="I469" s="133"/>
      <c r="J469" s="193"/>
    </row>
    <row r="470" spans="1:10">
      <c r="A470" s="133"/>
      <c r="B470" s="133"/>
      <c r="C470" s="133"/>
      <c r="D470" s="133"/>
      <c r="E470" s="133"/>
      <c r="F470" s="464"/>
      <c r="G470" s="464"/>
      <c r="H470" s="133"/>
      <c r="I470" s="133"/>
      <c r="J470" s="193"/>
    </row>
    <row r="471" spans="1:10">
      <c r="A471" s="133"/>
      <c r="B471" s="133"/>
      <c r="C471" s="133"/>
      <c r="D471" s="133"/>
      <c r="E471" s="133"/>
      <c r="F471" s="464"/>
      <c r="G471" s="464"/>
      <c r="H471" s="133"/>
      <c r="I471" s="133"/>
      <c r="J471" s="193"/>
    </row>
    <row r="472" spans="1:10">
      <c r="A472" s="133"/>
      <c r="B472" s="133"/>
      <c r="C472" s="133"/>
      <c r="D472" s="133"/>
      <c r="E472" s="133"/>
      <c r="F472" s="464"/>
      <c r="G472" s="464"/>
      <c r="H472" s="133"/>
      <c r="I472" s="133"/>
      <c r="J472" s="193"/>
    </row>
    <row r="473" spans="1:10">
      <c r="A473" s="133"/>
      <c r="B473" s="133"/>
      <c r="C473" s="133"/>
      <c r="D473" s="133"/>
      <c r="E473" s="133"/>
      <c r="F473" s="464"/>
      <c r="G473" s="464"/>
      <c r="H473" s="133"/>
      <c r="I473" s="133"/>
      <c r="J473" s="193"/>
    </row>
    <row r="474" spans="1:10">
      <c r="A474" s="133"/>
      <c r="B474" s="133"/>
      <c r="C474" s="133"/>
      <c r="D474" s="133"/>
      <c r="E474" s="133"/>
      <c r="F474" s="464"/>
      <c r="G474" s="464"/>
      <c r="H474" s="133"/>
      <c r="I474" s="133"/>
      <c r="J474" s="193"/>
    </row>
    <row r="475" spans="1:10">
      <c r="A475" s="133"/>
      <c r="B475" s="133"/>
      <c r="C475" s="133"/>
      <c r="D475" s="133"/>
      <c r="E475" s="133"/>
      <c r="F475" s="464"/>
      <c r="G475" s="464"/>
      <c r="H475" s="133"/>
      <c r="I475" s="133"/>
      <c r="J475" s="193"/>
    </row>
    <row r="476" spans="1:10">
      <c r="A476" s="133"/>
      <c r="B476" s="133"/>
      <c r="C476" s="133"/>
      <c r="D476" s="133"/>
      <c r="E476" s="133"/>
      <c r="F476" s="464"/>
      <c r="G476" s="464"/>
      <c r="H476" s="133"/>
      <c r="I476" s="133"/>
      <c r="J476" s="193"/>
    </row>
    <row r="477" spans="1:10">
      <c r="A477" s="133"/>
      <c r="B477" s="133"/>
      <c r="C477" s="133"/>
      <c r="D477" s="133"/>
      <c r="E477" s="133"/>
      <c r="F477" s="464"/>
      <c r="G477" s="464"/>
      <c r="H477" s="133"/>
      <c r="I477" s="133"/>
      <c r="J477" s="193"/>
    </row>
    <row r="478" spans="1:10">
      <c r="A478" s="133"/>
      <c r="B478" s="133"/>
      <c r="C478" s="133"/>
      <c r="D478" s="133"/>
      <c r="E478" s="133"/>
      <c r="F478" s="464"/>
      <c r="G478" s="464"/>
      <c r="H478" s="133"/>
      <c r="I478" s="133"/>
      <c r="J478" s="193"/>
    </row>
    <row r="479" spans="1:10">
      <c r="A479" s="133"/>
      <c r="B479" s="133"/>
      <c r="C479" s="133"/>
      <c r="D479" s="133"/>
      <c r="E479" s="133"/>
      <c r="F479" s="464"/>
      <c r="G479" s="464"/>
      <c r="H479" s="133"/>
      <c r="I479" s="133"/>
      <c r="J479" s="193"/>
    </row>
    <row r="480" spans="1:10">
      <c r="A480" s="133"/>
      <c r="B480" s="133"/>
      <c r="C480" s="133"/>
      <c r="D480" s="133"/>
      <c r="E480" s="133"/>
      <c r="F480" s="464"/>
      <c r="G480" s="464"/>
      <c r="H480" s="133"/>
      <c r="I480" s="133"/>
      <c r="J480" s="193"/>
    </row>
    <row r="481" spans="1:10">
      <c r="A481" s="133"/>
      <c r="B481" s="133"/>
      <c r="C481" s="133"/>
      <c r="D481" s="133"/>
      <c r="E481" s="133"/>
      <c r="F481" s="464"/>
      <c r="G481" s="464"/>
      <c r="H481" s="133"/>
      <c r="I481" s="133"/>
      <c r="J481" s="193"/>
    </row>
    <row r="482" spans="1:10">
      <c r="A482" s="133"/>
      <c r="B482" s="133"/>
      <c r="C482" s="133"/>
      <c r="D482" s="133"/>
      <c r="E482" s="133"/>
      <c r="F482" s="464"/>
      <c r="G482" s="464"/>
      <c r="H482" s="133"/>
      <c r="I482" s="133"/>
      <c r="J482" s="193"/>
    </row>
    <row r="483" spans="1:10">
      <c r="A483" s="133"/>
      <c r="B483" s="133"/>
      <c r="C483" s="133"/>
      <c r="D483" s="133"/>
      <c r="E483" s="133"/>
      <c r="F483" s="464"/>
      <c r="G483" s="464"/>
      <c r="H483" s="133"/>
      <c r="I483" s="133"/>
      <c r="J483" s="193"/>
    </row>
    <row r="484" spans="1:10">
      <c r="A484" s="133"/>
      <c r="B484" s="133"/>
      <c r="C484" s="133"/>
      <c r="D484" s="133"/>
      <c r="E484" s="133"/>
      <c r="F484" s="464"/>
      <c r="G484" s="464"/>
      <c r="H484" s="133"/>
      <c r="I484" s="133"/>
      <c r="J484" s="193"/>
    </row>
    <row r="485" spans="1:10">
      <c r="A485" s="133"/>
      <c r="B485" s="133"/>
      <c r="C485" s="133"/>
      <c r="D485" s="133"/>
      <c r="E485" s="133"/>
      <c r="F485" s="464"/>
      <c r="G485" s="464"/>
      <c r="H485" s="133"/>
      <c r="I485" s="133"/>
      <c r="J485" s="193"/>
    </row>
    <row r="486" spans="1:10">
      <c r="A486" s="133"/>
      <c r="B486" s="133"/>
      <c r="C486" s="133"/>
      <c r="D486" s="133"/>
      <c r="E486" s="133"/>
      <c r="F486" s="464"/>
      <c r="G486" s="464"/>
      <c r="H486" s="133"/>
      <c r="I486" s="133"/>
      <c r="J486" s="193"/>
    </row>
    <row r="487" spans="1:10">
      <c r="A487" s="133"/>
      <c r="B487" s="133"/>
      <c r="C487" s="133"/>
      <c r="D487" s="133"/>
      <c r="E487" s="133"/>
      <c r="F487" s="464"/>
      <c r="G487" s="464"/>
      <c r="H487" s="133"/>
      <c r="I487" s="133"/>
      <c r="J487" s="193"/>
    </row>
    <row r="488" spans="1:10">
      <c r="A488" s="133"/>
      <c r="B488" s="133"/>
      <c r="C488" s="133"/>
      <c r="D488" s="133"/>
      <c r="E488" s="133"/>
      <c r="F488" s="464"/>
      <c r="G488" s="464"/>
      <c r="H488" s="133"/>
      <c r="I488" s="133"/>
      <c r="J488" s="193"/>
    </row>
    <row r="489" spans="1:10">
      <c r="A489" s="133"/>
      <c r="B489" s="133"/>
      <c r="C489" s="133"/>
      <c r="D489" s="133"/>
      <c r="E489" s="133"/>
      <c r="F489" s="464"/>
      <c r="G489" s="464"/>
      <c r="H489" s="133"/>
      <c r="I489" s="133"/>
      <c r="J489" s="193"/>
    </row>
    <row r="490" spans="1:10">
      <c r="A490" s="133"/>
      <c r="B490" s="133"/>
      <c r="C490" s="133"/>
      <c r="D490" s="133"/>
      <c r="E490" s="133"/>
      <c r="F490" s="464"/>
      <c r="G490" s="464"/>
      <c r="H490" s="133"/>
      <c r="I490" s="133"/>
      <c r="J490" s="193"/>
    </row>
    <row r="491" spans="1:10">
      <c r="A491" s="133"/>
      <c r="B491" s="133"/>
      <c r="C491" s="133"/>
      <c r="D491" s="133"/>
      <c r="E491" s="133"/>
      <c r="F491" s="464"/>
      <c r="G491" s="464"/>
      <c r="H491" s="133"/>
      <c r="I491" s="133"/>
      <c r="J491" s="193"/>
    </row>
    <row r="492" spans="1:10">
      <c r="A492" s="133"/>
      <c r="B492" s="133"/>
      <c r="C492" s="133"/>
      <c r="D492" s="133"/>
      <c r="E492" s="133"/>
      <c r="F492" s="464"/>
      <c r="G492" s="464"/>
      <c r="H492" s="133"/>
      <c r="I492" s="133"/>
      <c r="J492" s="193"/>
    </row>
    <row r="493" spans="1:10">
      <c r="A493" s="133"/>
      <c r="B493" s="133"/>
      <c r="C493" s="133"/>
      <c r="D493" s="133"/>
      <c r="E493" s="133"/>
      <c r="F493" s="464"/>
      <c r="G493" s="464"/>
      <c r="H493" s="133"/>
      <c r="I493" s="133"/>
      <c r="J493" s="193"/>
    </row>
  </sheetData>
  <mergeCells count="10">
    <mergeCell ref="A1:B1"/>
    <mergeCell ref="B8:G8"/>
    <mergeCell ref="B2:D2"/>
    <mergeCell ref="E2:G4"/>
    <mergeCell ref="J2:J6"/>
    <mergeCell ref="A5:B6"/>
    <mergeCell ref="H5:I6"/>
    <mergeCell ref="F6:G6"/>
    <mergeCell ref="H7:I7"/>
    <mergeCell ref="H2:I4"/>
  </mergeCells>
  <pageMargins left="0.75" right="0.75" top="1" bottom="1" header="0.5" footer="0.5"/>
  <pageSetup scale="75" orientation="landscape" r:id="rId1"/>
  <headerFooter>
    <oddHeader>&amp;L&amp;F&amp;C&amp;A&amp;R&amp;G</oddHeader>
    <oddFooter>&amp;C&amp;"Tahoma,Italic"Use or disclosure of the data on this page or screen is subject to the restrictions on the title page or opening view screen of this proposal document or file.&amp;R&amp;P of &amp;N</oddFooter>
  </headerFooter>
  <ignoredErrors>
    <ignoredError sqref="F64:G64 F66:G66 E48 F14 F44 E78:E95 E12:G13 E9:F11 E49:G54 E56:G57 F67:G72 F83:G95 F59:G62 E45:G47 F65 E15:G43 E67:E73 E59:E65" unlockedFormula="1"/>
  </ignoredErrors>
  <legacyDrawingHF r:id="rId2"/>
</worksheet>
</file>

<file path=xl/worksheets/sheet15.xml><?xml version="1.0" encoding="utf-8"?>
<worksheet xmlns="http://schemas.openxmlformats.org/spreadsheetml/2006/main" xmlns:r="http://schemas.openxmlformats.org/officeDocument/2006/relationships">
  <sheetPr codeName="Sheet9" enableFormatConditionsCalculation="0">
    <tabColor theme="3" tint="0.79998168889431442"/>
  </sheetPr>
  <dimension ref="A1:X505"/>
  <sheetViews>
    <sheetView zoomScaleNormal="100" zoomScaleSheetLayoutView="100" workbookViewId="0">
      <selection sqref="A1:B1"/>
    </sheetView>
  </sheetViews>
  <sheetFormatPr defaultRowHeight="10.5"/>
  <cols>
    <col min="1" max="1" width="14.6640625" style="143" customWidth="1"/>
    <col min="2" max="2" width="24" style="143" customWidth="1"/>
    <col min="3" max="3" width="13.6640625" style="143" customWidth="1"/>
    <col min="4" max="4" width="12.33203125" style="474" hidden="1" customWidth="1"/>
    <col min="5" max="5" width="12.33203125" style="203" customWidth="1"/>
    <col min="6" max="6" width="9.1640625" style="143" customWidth="1"/>
    <col min="7" max="7" width="12.1640625" style="143" hidden="1" customWidth="1"/>
    <col min="8" max="8" width="11.1640625" style="143" customWidth="1"/>
    <col min="9" max="9" width="18.5" style="143" customWidth="1"/>
    <col min="10" max="10" width="30.6640625" style="480" customWidth="1"/>
  </cols>
  <sheetData>
    <row r="1" spans="1:24" ht="15" customHeight="1">
      <c r="A1" s="1342" t="s">
        <v>424</v>
      </c>
      <c r="B1" s="1344"/>
      <c r="C1" s="200"/>
      <c r="D1" s="428"/>
      <c r="E1" s="200"/>
      <c r="F1" s="200"/>
      <c r="G1" s="200"/>
      <c r="H1" s="200"/>
      <c r="I1" s="200"/>
      <c r="J1" s="475"/>
    </row>
    <row r="2" spans="1:24" s="81" customFormat="1" ht="11.25" customHeight="1">
      <c r="A2" s="69"/>
      <c r="B2" s="1333" t="s">
        <v>370</v>
      </c>
      <c r="C2" s="1333"/>
      <c r="D2" s="1333"/>
      <c r="E2" s="1336" t="s">
        <v>622</v>
      </c>
      <c r="F2" s="1336"/>
      <c r="G2" s="1336"/>
      <c r="H2" s="1334" t="s">
        <v>623</v>
      </c>
      <c r="I2" s="1334"/>
      <c r="J2" s="1354" t="s">
        <v>631</v>
      </c>
    </row>
    <row r="3" spans="1:24" s="81" customFormat="1" ht="10.5" customHeight="1">
      <c r="A3" s="102" t="s">
        <v>426</v>
      </c>
      <c r="B3" s="102"/>
      <c r="C3" s="102"/>
      <c r="D3" s="469"/>
      <c r="E3" s="1336"/>
      <c r="F3" s="1336"/>
      <c r="G3" s="1336"/>
      <c r="H3" s="1334"/>
      <c r="I3" s="1334"/>
      <c r="J3" s="1354"/>
    </row>
    <row r="4" spans="1:24" s="81" customFormat="1" ht="10.5" customHeight="1">
      <c r="A4" s="102"/>
      <c r="B4" s="102"/>
      <c r="C4" s="102"/>
      <c r="D4" s="469"/>
      <c r="E4" s="1336"/>
      <c r="F4" s="1336"/>
      <c r="G4" s="1336"/>
      <c r="H4" s="1334"/>
      <c r="I4" s="1334"/>
      <c r="J4" s="1354"/>
    </row>
    <row r="5" spans="1:24" s="81" customFormat="1" ht="12" customHeight="1">
      <c r="A5" s="1310" t="s">
        <v>633</v>
      </c>
      <c r="B5" s="1310"/>
      <c r="C5" s="127"/>
      <c r="D5" s="470" t="s">
        <v>624</v>
      </c>
      <c r="E5" s="1236"/>
      <c r="F5" s="1236"/>
      <c r="G5" s="1236"/>
      <c r="H5" s="1334" t="s">
        <v>625</v>
      </c>
      <c r="I5" s="1334"/>
      <c r="J5" s="1354"/>
    </row>
    <row r="6" spans="1:24" ht="58.5" customHeight="1">
      <c r="A6" s="1310"/>
      <c r="B6" s="1310"/>
      <c r="C6" s="325"/>
      <c r="D6" s="471"/>
      <c r="E6" s="1539"/>
      <c r="F6" s="1540"/>
      <c r="G6" s="1541"/>
      <c r="H6" s="1334"/>
      <c r="I6" s="1334"/>
      <c r="J6" s="1354"/>
    </row>
    <row r="7" spans="1:24" ht="21" customHeight="1">
      <c r="A7" s="331" t="s">
        <v>653</v>
      </c>
      <c r="B7" s="330" t="s">
        <v>428</v>
      </c>
      <c r="C7" s="1311" t="s">
        <v>429</v>
      </c>
      <c r="D7" s="1320" t="s">
        <v>620</v>
      </c>
      <c r="E7" s="1312" t="s">
        <v>432</v>
      </c>
      <c r="F7" s="1319" t="s">
        <v>430</v>
      </c>
      <c r="G7" s="1320" t="s">
        <v>621</v>
      </c>
      <c r="H7" s="1328" t="s">
        <v>431</v>
      </c>
      <c r="I7" s="1328"/>
      <c r="J7" s="1355" t="s">
        <v>627</v>
      </c>
      <c r="K7" s="8"/>
      <c r="L7" s="8"/>
      <c r="M7" s="8"/>
      <c r="N7" s="8"/>
      <c r="O7" s="8"/>
      <c r="P7" s="8"/>
      <c r="Q7" s="8"/>
      <c r="R7" s="8"/>
      <c r="S7" s="8"/>
      <c r="T7" s="8"/>
      <c r="U7" s="8"/>
      <c r="V7" s="8"/>
      <c r="W7" s="8"/>
      <c r="X7" s="8"/>
    </row>
    <row r="8" spans="1:24" ht="21" customHeight="1">
      <c r="A8" s="326"/>
      <c r="B8" s="99"/>
      <c r="C8" s="1311"/>
      <c r="D8" s="1320"/>
      <c r="E8" s="1312"/>
      <c r="F8" s="1319"/>
      <c r="G8" s="1321"/>
      <c r="H8" s="1328"/>
      <c r="I8" s="1328"/>
      <c r="J8" s="1355"/>
      <c r="K8" s="8"/>
      <c r="L8" s="8"/>
      <c r="M8" s="8"/>
      <c r="N8" s="8"/>
      <c r="O8" s="8"/>
      <c r="P8" s="8"/>
      <c r="Q8" s="8"/>
      <c r="R8" s="8"/>
      <c r="S8" s="8"/>
      <c r="T8" s="8"/>
      <c r="U8" s="8"/>
      <c r="V8" s="8"/>
      <c r="W8" s="8"/>
      <c r="X8" s="8"/>
    </row>
    <row r="9" spans="1:24">
      <c r="A9" s="251"/>
      <c r="B9" s="1274" t="s">
        <v>1238</v>
      </c>
      <c r="C9" s="1362"/>
      <c r="D9" s="1362"/>
      <c r="E9" s="1362"/>
      <c r="F9" s="1362"/>
      <c r="G9" s="1362"/>
      <c r="H9" s="232"/>
      <c r="I9" s="201"/>
      <c r="J9" s="476"/>
      <c r="K9" s="820"/>
      <c r="L9" s="8"/>
      <c r="M9" s="8"/>
      <c r="N9" s="8"/>
      <c r="O9" s="8"/>
      <c r="P9" s="8"/>
      <c r="Q9" s="8"/>
      <c r="R9" s="8"/>
      <c r="S9" s="8"/>
      <c r="T9" s="8"/>
      <c r="U9" s="8"/>
      <c r="V9" s="8"/>
      <c r="W9" s="8"/>
      <c r="X9" s="8"/>
    </row>
    <row r="10" spans="1:24" s="133" customFormat="1" ht="37.5" customHeight="1">
      <c r="A10" s="349" t="s">
        <v>1773</v>
      </c>
      <c r="B10" s="60" t="s">
        <v>1546</v>
      </c>
      <c r="C10" s="233" t="s">
        <v>628</v>
      </c>
      <c r="D10" s="216">
        <v>9.42</v>
      </c>
      <c r="E10" s="201">
        <f>SUM(D10*1.1)</f>
        <v>10.362</v>
      </c>
      <c r="F10" s="201">
        <v>26.52</v>
      </c>
      <c r="G10" s="201">
        <f>(F10-(F10*10%))</f>
        <v>23.867999999999999</v>
      </c>
      <c r="H10" s="619"/>
      <c r="I10" s="201"/>
      <c r="J10" s="321" t="s">
        <v>599</v>
      </c>
      <c r="K10" s="132"/>
      <c r="L10" s="8"/>
    </row>
    <row r="11" spans="1:24" s="133" customFormat="1" ht="50.25" customHeight="1">
      <c r="A11" s="349" t="s">
        <v>1774</v>
      </c>
      <c r="B11" s="60" t="s">
        <v>1547</v>
      </c>
      <c r="C11" s="233" t="s">
        <v>628</v>
      </c>
      <c r="D11" s="216">
        <v>8.65</v>
      </c>
      <c r="E11" s="201">
        <f>SUM(D11*1.1)</f>
        <v>9.5150000000000006</v>
      </c>
      <c r="F11" s="201">
        <v>9.69</v>
      </c>
      <c r="G11" s="201">
        <f>(F11-(F11*10%))</f>
        <v>8.7210000000000001</v>
      </c>
      <c r="H11" s="619"/>
      <c r="I11" s="201"/>
      <c r="J11" s="321" t="s">
        <v>599</v>
      </c>
      <c r="K11" s="132"/>
      <c r="L11" s="8"/>
    </row>
    <row r="12" spans="1:24" s="133" customFormat="1" ht="50.25" customHeight="1">
      <c r="A12" s="349" t="s">
        <v>1775</v>
      </c>
      <c r="B12" s="107" t="s">
        <v>1548</v>
      </c>
      <c r="C12" s="233" t="s">
        <v>628</v>
      </c>
      <c r="D12" s="216">
        <v>11.92</v>
      </c>
      <c r="E12" s="201">
        <f>SUM(D12*1.1)</f>
        <v>13.112</v>
      </c>
      <c r="F12" s="201">
        <v>26.52</v>
      </c>
      <c r="G12" s="201">
        <f>(F12-(F12*10%))</f>
        <v>23.867999999999999</v>
      </c>
      <c r="H12" s="620"/>
      <c r="I12" s="201"/>
      <c r="J12" s="321" t="s">
        <v>599</v>
      </c>
      <c r="K12" s="132"/>
    </row>
    <row r="13" spans="1:24" ht="42">
      <c r="A13" s="201" t="s">
        <v>1776</v>
      </c>
      <c r="B13" s="107" t="s">
        <v>1477</v>
      </c>
      <c r="C13" s="233" t="s">
        <v>628</v>
      </c>
      <c r="D13" s="201">
        <v>1.38</v>
      </c>
      <c r="E13" s="201">
        <f t="shared" ref="E13" si="0">SUM(D13*1.1)</f>
        <v>1.518</v>
      </c>
      <c r="F13" s="304">
        <v>10.199999999999999</v>
      </c>
      <c r="G13" s="201">
        <f>(F13-(F13*10%))</f>
        <v>9.18</v>
      </c>
      <c r="H13" s="215"/>
      <c r="I13" s="221"/>
      <c r="J13" s="476"/>
      <c r="K13" s="820"/>
      <c r="L13" s="8"/>
      <c r="M13" s="8"/>
      <c r="N13" s="8"/>
      <c r="O13" s="8"/>
      <c r="P13" s="8"/>
      <c r="Q13" s="8"/>
      <c r="R13" s="8"/>
      <c r="S13" s="8"/>
      <c r="T13" s="8"/>
      <c r="U13" s="8"/>
      <c r="V13" s="8"/>
      <c r="W13" s="8"/>
      <c r="X13" s="8"/>
    </row>
    <row r="14" spans="1:24" s="8" customFormat="1" ht="61.15" customHeight="1">
      <c r="A14" s="751" t="s">
        <v>1915</v>
      </c>
      <c r="B14" s="160" t="s">
        <v>719</v>
      </c>
      <c r="C14" s="817" t="s">
        <v>628</v>
      </c>
      <c r="D14" s="201" t="s">
        <v>277</v>
      </c>
      <c r="E14" s="201" t="s">
        <v>277</v>
      </c>
      <c r="F14" s="201">
        <f>SUM(G14*1.1)</f>
        <v>4.95</v>
      </c>
      <c r="G14" s="201">
        <v>4.5</v>
      </c>
      <c r="H14" s="215" t="s">
        <v>1474</v>
      </c>
      <c r="I14" s="155" t="s">
        <v>828</v>
      </c>
      <c r="J14" s="830" t="s">
        <v>790</v>
      </c>
      <c r="K14" s="820"/>
    </row>
    <row r="15" spans="1:24" s="8" customFormat="1" ht="35.450000000000003" customHeight="1">
      <c r="A15" s="751" t="s">
        <v>1916</v>
      </c>
      <c r="B15" s="75" t="s">
        <v>1478</v>
      </c>
      <c r="C15" s="817" t="s">
        <v>628</v>
      </c>
      <c r="D15" s="201" t="s">
        <v>277</v>
      </c>
      <c r="E15" s="201" t="s">
        <v>277</v>
      </c>
      <c r="F15" s="201">
        <f t="shared" ref="F15" si="1">SUM(G15*1.1)</f>
        <v>27.500000000000004</v>
      </c>
      <c r="G15" s="201">
        <v>25</v>
      </c>
      <c r="H15" s="215"/>
      <c r="I15" s="61" t="s">
        <v>1329</v>
      </c>
      <c r="J15" s="831" t="s">
        <v>720</v>
      </c>
      <c r="K15" s="820"/>
    </row>
    <row r="16" spans="1:24" s="23" customFormat="1" ht="31.5">
      <c r="A16" s="751" t="s">
        <v>1917</v>
      </c>
      <c r="B16" s="75" t="s">
        <v>1476</v>
      </c>
      <c r="C16" s="817" t="s">
        <v>628</v>
      </c>
      <c r="D16" s="201" t="s">
        <v>277</v>
      </c>
      <c r="E16" s="201" t="s">
        <v>277</v>
      </c>
      <c r="F16" s="201">
        <v>140.76</v>
      </c>
      <c r="G16" s="201">
        <f>(F16-(F16*10%))</f>
        <v>126.684</v>
      </c>
      <c r="H16" s="215"/>
      <c r="I16" s="149"/>
      <c r="J16" s="831" t="s">
        <v>721</v>
      </c>
      <c r="K16" s="825"/>
    </row>
    <row r="17" spans="1:11" s="8" customFormat="1" ht="11.25">
      <c r="A17" s="315"/>
      <c r="B17" s="316" t="s">
        <v>398</v>
      </c>
      <c r="C17" s="317" t="s">
        <v>628</v>
      </c>
      <c r="D17" s="318"/>
      <c r="E17" s="318"/>
      <c r="F17" s="318"/>
      <c r="G17" s="318"/>
      <c r="H17" s="319"/>
      <c r="I17" s="318"/>
      <c r="J17" s="477"/>
      <c r="K17" s="820"/>
    </row>
    <row r="18" spans="1:11" s="8" customFormat="1" ht="73.5">
      <c r="A18" s="59" t="s">
        <v>277</v>
      </c>
      <c r="B18" s="160" t="s">
        <v>281</v>
      </c>
      <c r="C18" s="233" t="s">
        <v>628</v>
      </c>
      <c r="D18" s="241" t="s">
        <v>783</v>
      </c>
      <c r="E18" s="241" t="s">
        <v>783</v>
      </c>
      <c r="F18" s="241" t="s">
        <v>783</v>
      </c>
      <c r="G18" s="241" t="s">
        <v>783</v>
      </c>
      <c r="H18" s="215"/>
      <c r="I18" s="160" t="s">
        <v>375</v>
      </c>
      <c r="J18" s="450"/>
      <c r="K18" s="820"/>
    </row>
    <row r="19" spans="1:11" s="8" customFormat="1" ht="31.5">
      <c r="A19" s="752" t="s">
        <v>277</v>
      </c>
      <c r="B19" s="160" t="s">
        <v>282</v>
      </c>
      <c r="C19" s="233" t="s">
        <v>628</v>
      </c>
      <c r="D19" s="241" t="s">
        <v>783</v>
      </c>
      <c r="E19" s="241" t="s">
        <v>783</v>
      </c>
      <c r="F19" s="241" t="s">
        <v>783</v>
      </c>
      <c r="G19" s="241" t="s">
        <v>783</v>
      </c>
      <c r="H19" s="215"/>
      <c r="I19" s="160" t="s">
        <v>283</v>
      </c>
      <c r="J19" s="450"/>
      <c r="K19" s="820"/>
    </row>
    <row r="20" spans="1:11" s="8" customFormat="1" ht="31.5">
      <c r="A20" s="59" t="s">
        <v>1777</v>
      </c>
      <c r="B20" s="161" t="s">
        <v>717</v>
      </c>
      <c r="C20" s="233" t="s">
        <v>628</v>
      </c>
      <c r="D20" s="201">
        <v>5</v>
      </c>
      <c r="E20" s="201">
        <f>SUM(D20*1.1)</f>
        <v>5.5</v>
      </c>
      <c r="F20" s="201">
        <v>9.69</v>
      </c>
      <c r="G20" s="201">
        <f>(F20-(F20*10%))</f>
        <v>8.7210000000000001</v>
      </c>
      <c r="H20" s="161" t="s">
        <v>284</v>
      </c>
      <c r="I20" s="160" t="s">
        <v>376</v>
      </c>
      <c r="J20" s="450" t="s">
        <v>718</v>
      </c>
      <c r="K20" s="820"/>
    </row>
    <row r="21" spans="1:11" s="8" customFormat="1" ht="31.5">
      <c r="A21" s="757" t="s">
        <v>1778</v>
      </c>
      <c r="B21" s="414" t="s">
        <v>781</v>
      </c>
      <c r="C21" s="411" t="s">
        <v>628</v>
      </c>
      <c r="D21" s="201">
        <v>5</v>
      </c>
      <c r="E21" s="201">
        <f>SUM(D21*1.1)</f>
        <v>5.5</v>
      </c>
      <c r="F21" s="201">
        <v>9.69</v>
      </c>
      <c r="G21" s="201">
        <f>(F21-(F21*10%))</f>
        <v>8.7210000000000001</v>
      </c>
      <c r="H21" s="161" t="s">
        <v>284</v>
      </c>
      <c r="I21" s="160" t="s">
        <v>376</v>
      </c>
      <c r="J21" s="450" t="s">
        <v>718</v>
      </c>
      <c r="K21" s="820"/>
    </row>
    <row r="22" spans="1:11" s="8" customFormat="1" ht="60.6" customHeight="1">
      <c r="A22" s="59" t="s">
        <v>1918</v>
      </c>
      <c r="B22" s="161" t="s">
        <v>287</v>
      </c>
      <c r="C22" s="233" t="s">
        <v>628</v>
      </c>
      <c r="D22" s="241" t="s">
        <v>783</v>
      </c>
      <c r="E22" s="241" t="s">
        <v>783</v>
      </c>
      <c r="F22" s="241" t="s">
        <v>783</v>
      </c>
      <c r="G22" s="241" t="s">
        <v>783</v>
      </c>
      <c r="H22" s="161" t="s">
        <v>288</v>
      </c>
      <c r="I22" s="160" t="s">
        <v>378</v>
      </c>
      <c r="J22" s="450"/>
      <c r="K22" s="820"/>
    </row>
    <row r="23" spans="1:11" s="8" customFormat="1" ht="94.5">
      <c r="A23" s="59" t="s">
        <v>1779</v>
      </c>
      <c r="B23" s="160" t="s">
        <v>698</v>
      </c>
      <c r="C23" s="233" t="s">
        <v>628</v>
      </c>
      <c r="D23" s="201">
        <v>0.4</v>
      </c>
      <c r="E23" s="201">
        <f>SUM(D23*1.1)</f>
        <v>0.44000000000000006</v>
      </c>
      <c r="F23" s="241" t="s">
        <v>783</v>
      </c>
      <c r="G23" s="241" t="s">
        <v>783</v>
      </c>
      <c r="H23" s="160" t="s">
        <v>289</v>
      </c>
      <c r="I23" s="160" t="s">
        <v>379</v>
      </c>
      <c r="J23" s="450" t="s">
        <v>699</v>
      </c>
      <c r="K23" s="820"/>
    </row>
    <row r="24" spans="1:11" s="8" customFormat="1" ht="31.5">
      <c r="A24" s="59" t="s">
        <v>1780</v>
      </c>
      <c r="B24" s="160" t="s">
        <v>700</v>
      </c>
      <c r="C24" s="233" t="s">
        <v>628</v>
      </c>
      <c r="D24" s="241" t="s">
        <v>277</v>
      </c>
      <c r="E24" s="241" t="s">
        <v>277</v>
      </c>
      <c r="F24" s="201">
        <v>40.700000000000003</v>
      </c>
      <c r="G24" s="201">
        <f>(F24-(F24*10%))</f>
        <v>36.630000000000003</v>
      </c>
      <c r="H24" s="160" t="s">
        <v>290</v>
      </c>
      <c r="I24" s="160" t="s">
        <v>1322</v>
      </c>
      <c r="J24" s="450" t="s">
        <v>699</v>
      </c>
      <c r="K24" s="820"/>
    </row>
    <row r="25" spans="1:11" s="8" customFormat="1" ht="31.5">
      <c r="A25" s="59" t="s">
        <v>277</v>
      </c>
      <c r="B25" s="160" t="s">
        <v>291</v>
      </c>
      <c r="C25" s="233" t="s">
        <v>628</v>
      </c>
      <c r="D25" s="241" t="s">
        <v>783</v>
      </c>
      <c r="E25" s="241" t="s">
        <v>783</v>
      </c>
      <c r="F25" s="241" t="s">
        <v>783</v>
      </c>
      <c r="G25" s="241" t="s">
        <v>783</v>
      </c>
      <c r="H25" s="160"/>
      <c r="I25" s="160" t="s">
        <v>380</v>
      </c>
      <c r="J25" s="450"/>
      <c r="K25" s="820"/>
    </row>
    <row r="26" spans="1:11" s="8" customFormat="1" ht="31.5">
      <c r="A26" s="59" t="s">
        <v>1919</v>
      </c>
      <c r="B26" s="161" t="s">
        <v>292</v>
      </c>
      <c r="C26" s="233" t="s">
        <v>628</v>
      </c>
      <c r="D26" s="241" t="s">
        <v>783</v>
      </c>
      <c r="E26" s="241" t="s">
        <v>783</v>
      </c>
      <c r="F26" s="241" t="s">
        <v>783</v>
      </c>
      <c r="G26" s="241" t="s">
        <v>783</v>
      </c>
      <c r="H26" s="161" t="s">
        <v>288</v>
      </c>
      <c r="I26" s="160" t="s">
        <v>412</v>
      </c>
      <c r="J26" s="450"/>
      <c r="K26" s="820"/>
    </row>
    <row r="27" spans="1:11" s="8" customFormat="1" ht="63">
      <c r="A27" s="59" t="s">
        <v>1781</v>
      </c>
      <c r="B27" s="160" t="s">
        <v>701</v>
      </c>
      <c r="C27" s="233" t="s">
        <v>628</v>
      </c>
      <c r="D27" s="201">
        <v>0.4</v>
      </c>
      <c r="E27" s="201">
        <f>SUM(D27*1.1)</f>
        <v>0.44000000000000006</v>
      </c>
      <c r="F27" s="241" t="s">
        <v>783</v>
      </c>
      <c r="G27" s="241" t="s">
        <v>783</v>
      </c>
      <c r="H27" s="160" t="s">
        <v>289</v>
      </c>
      <c r="I27" s="160" t="s">
        <v>413</v>
      </c>
      <c r="J27" s="450" t="s">
        <v>699</v>
      </c>
      <c r="K27" s="820"/>
    </row>
    <row r="28" spans="1:11" s="8" customFormat="1" ht="31.5">
      <c r="A28" s="59" t="s">
        <v>1782</v>
      </c>
      <c r="B28" s="160" t="s">
        <v>702</v>
      </c>
      <c r="C28" s="233" t="s">
        <v>628</v>
      </c>
      <c r="D28" s="304" t="s">
        <v>277</v>
      </c>
      <c r="E28" s="304" t="s">
        <v>277</v>
      </c>
      <c r="F28" s="201">
        <v>27.54</v>
      </c>
      <c r="G28" s="201">
        <f>(F28-(F28*10%))</f>
        <v>24.785999999999998</v>
      </c>
      <c r="H28" s="160" t="s">
        <v>290</v>
      </c>
      <c r="I28" s="160" t="s">
        <v>1322</v>
      </c>
      <c r="J28" s="450" t="s">
        <v>699</v>
      </c>
      <c r="K28" s="820"/>
    </row>
    <row r="29" spans="1:11" s="8" customFormat="1" ht="42">
      <c r="A29" s="59" t="s">
        <v>1783</v>
      </c>
      <c r="B29" s="160" t="s">
        <v>694</v>
      </c>
      <c r="C29" s="177" t="s">
        <v>628</v>
      </c>
      <c r="D29" s="201">
        <v>0.5</v>
      </c>
      <c r="E29" s="201">
        <f>SUM(D29*1.1)</f>
        <v>0.55000000000000004</v>
      </c>
      <c r="F29" s="201">
        <v>10.56</v>
      </c>
      <c r="G29" s="201">
        <f>(F29-(F29*10%))</f>
        <v>9.5040000000000013</v>
      </c>
      <c r="H29" s="160" t="s">
        <v>365</v>
      </c>
      <c r="I29" s="160" t="s">
        <v>382</v>
      </c>
      <c r="J29" s="450" t="s">
        <v>699</v>
      </c>
      <c r="K29" s="820"/>
    </row>
    <row r="30" spans="1:11" s="8" customFormat="1" ht="31.5">
      <c r="A30" s="136"/>
      <c r="B30" s="160" t="s">
        <v>803</v>
      </c>
      <c r="C30" s="177" t="s">
        <v>628</v>
      </c>
      <c r="D30" s="168" t="s">
        <v>277</v>
      </c>
      <c r="E30" s="168" t="s">
        <v>277</v>
      </c>
      <c r="F30" s="201">
        <f t="shared" ref="F30:F34" si="2">SUM(G30*1.1)</f>
        <v>11.385</v>
      </c>
      <c r="G30" s="201">
        <v>10.35</v>
      </c>
      <c r="H30" s="75" t="s">
        <v>290</v>
      </c>
      <c r="I30" s="160" t="s">
        <v>1322</v>
      </c>
      <c r="J30" s="478" t="s">
        <v>802</v>
      </c>
      <c r="K30" s="820"/>
    </row>
    <row r="31" spans="1:11" s="8" customFormat="1" ht="42">
      <c r="A31" s="136"/>
      <c r="B31" s="160" t="s">
        <v>695</v>
      </c>
      <c r="C31" s="177" t="s">
        <v>628</v>
      </c>
      <c r="D31" s="201">
        <v>0.5</v>
      </c>
      <c r="E31" s="201">
        <f>SUM(D31*1.1)</f>
        <v>0.55000000000000004</v>
      </c>
      <c r="F31" s="201">
        <f t="shared" si="2"/>
        <v>11.330000000000002</v>
      </c>
      <c r="G31" s="201">
        <v>10.3</v>
      </c>
      <c r="H31" s="160" t="s">
        <v>365</v>
      </c>
      <c r="I31" s="160" t="s">
        <v>383</v>
      </c>
      <c r="J31" s="450" t="s">
        <v>699</v>
      </c>
      <c r="K31" s="820"/>
    </row>
    <row r="32" spans="1:11" s="8" customFormat="1" ht="31.5">
      <c r="A32" s="59" t="s">
        <v>1784</v>
      </c>
      <c r="B32" s="160" t="s">
        <v>805</v>
      </c>
      <c r="C32" s="177" t="s">
        <v>628</v>
      </c>
      <c r="D32" s="304" t="s">
        <v>277</v>
      </c>
      <c r="E32" s="304" t="s">
        <v>277</v>
      </c>
      <c r="F32" s="201">
        <v>10.56</v>
      </c>
      <c r="G32" s="201">
        <f>(F32-(F32*10%))</f>
        <v>9.5040000000000013</v>
      </c>
      <c r="H32" s="75" t="s">
        <v>290</v>
      </c>
      <c r="I32" s="160" t="s">
        <v>1322</v>
      </c>
      <c r="J32" s="450"/>
      <c r="K32" s="820"/>
    </row>
    <row r="33" spans="1:11" s="8" customFormat="1" ht="42">
      <c r="A33" s="59" t="s">
        <v>1785</v>
      </c>
      <c r="B33" s="160" t="s">
        <v>696</v>
      </c>
      <c r="C33" s="177" t="s">
        <v>628</v>
      </c>
      <c r="D33" s="201">
        <v>0.75</v>
      </c>
      <c r="E33" s="201">
        <f>SUM(D33*1.1)</f>
        <v>0.82500000000000007</v>
      </c>
      <c r="F33" s="201">
        <v>10.56</v>
      </c>
      <c r="G33" s="201">
        <f>(F33-(F33*10%))</f>
        <v>9.5040000000000013</v>
      </c>
      <c r="H33" s="160" t="s">
        <v>365</v>
      </c>
      <c r="I33" s="160" t="s">
        <v>383</v>
      </c>
      <c r="J33" s="450" t="s">
        <v>699</v>
      </c>
      <c r="K33" s="820"/>
    </row>
    <row r="34" spans="1:11" s="8" customFormat="1" ht="42">
      <c r="A34" s="59" t="s">
        <v>1920</v>
      </c>
      <c r="B34" s="75" t="s">
        <v>804</v>
      </c>
      <c r="C34" s="177" t="s">
        <v>628</v>
      </c>
      <c r="D34" s="304" t="s">
        <v>277</v>
      </c>
      <c r="E34" s="304" t="s">
        <v>277</v>
      </c>
      <c r="F34" s="201">
        <f t="shared" si="2"/>
        <v>15.290000000000001</v>
      </c>
      <c r="G34" s="201">
        <v>13.9</v>
      </c>
      <c r="H34" s="160"/>
      <c r="I34" s="160"/>
      <c r="J34" s="450"/>
      <c r="K34" s="820"/>
    </row>
    <row r="35" spans="1:11" s="8" customFormat="1" ht="31.5">
      <c r="A35" s="59" t="s">
        <v>1786</v>
      </c>
      <c r="B35" s="161" t="s">
        <v>801</v>
      </c>
      <c r="C35" s="177" t="s">
        <v>628</v>
      </c>
      <c r="D35" s="241">
        <v>0.1</v>
      </c>
      <c r="E35" s="201">
        <f>SUM(D35*1.1)</f>
        <v>0.11000000000000001</v>
      </c>
      <c r="F35" s="241" t="s">
        <v>783</v>
      </c>
      <c r="G35" s="241" t="s">
        <v>783</v>
      </c>
      <c r="H35" s="161" t="s">
        <v>288</v>
      </c>
      <c r="I35" s="160" t="s">
        <v>384</v>
      </c>
      <c r="J35" s="450" t="s">
        <v>714</v>
      </c>
      <c r="K35" s="820"/>
    </row>
    <row r="36" spans="1:11" s="8" customFormat="1" ht="31.5">
      <c r="A36" s="59" t="s">
        <v>1787</v>
      </c>
      <c r="B36" s="161" t="s">
        <v>800</v>
      </c>
      <c r="C36" s="177" t="s">
        <v>628</v>
      </c>
      <c r="D36" s="304" t="s">
        <v>277</v>
      </c>
      <c r="E36" s="304" t="s">
        <v>277</v>
      </c>
      <c r="F36" s="201">
        <v>51.41</v>
      </c>
      <c r="G36" s="201">
        <f>(F36-(F36*10%))</f>
        <v>46.268999999999998</v>
      </c>
      <c r="H36" s="161" t="s">
        <v>290</v>
      </c>
      <c r="I36" s="160" t="s">
        <v>1322</v>
      </c>
      <c r="J36" s="450" t="s">
        <v>714</v>
      </c>
      <c r="K36" s="820"/>
    </row>
    <row r="37" spans="1:11" s="133" customFormat="1" ht="21">
      <c r="A37" s="59" t="s">
        <v>1921</v>
      </c>
      <c r="B37" s="74" t="s">
        <v>1325</v>
      </c>
      <c r="C37" s="177" t="s">
        <v>628</v>
      </c>
      <c r="D37" s="241" t="s">
        <v>783</v>
      </c>
      <c r="E37" s="241" t="s">
        <v>783</v>
      </c>
      <c r="F37" s="241" t="s">
        <v>783</v>
      </c>
      <c r="G37" s="241" t="s">
        <v>783</v>
      </c>
      <c r="H37" s="161" t="s">
        <v>288</v>
      </c>
      <c r="I37" s="160" t="s">
        <v>385</v>
      </c>
      <c r="J37" s="450"/>
      <c r="K37" s="132"/>
    </row>
    <row r="38" spans="1:11" s="133" customFormat="1" ht="21">
      <c r="A38" s="59" t="s">
        <v>1922</v>
      </c>
      <c r="B38" s="75" t="s">
        <v>1326</v>
      </c>
      <c r="C38" s="177" t="s">
        <v>628</v>
      </c>
      <c r="D38" s="241" t="s">
        <v>783</v>
      </c>
      <c r="E38" s="241" t="s">
        <v>783</v>
      </c>
      <c r="F38" s="241" t="s">
        <v>783</v>
      </c>
      <c r="G38" s="241" t="s">
        <v>783</v>
      </c>
      <c r="H38" s="160" t="s">
        <v>288</v>
      </c>
      <c r="I38" s="160" t="s">
        <v>385</v>
      </c>
      <c r="J38" s="450"/>
      <c r="K38" s="132"/>
    </row>
    <row r="39" spans="1:11" s="133" customFormat="1" ht="31.5">
      <c r="A39" s="59" t="s">
        <v>1923</v>
      </c>
      <c r="B39" s="75" t="s">
        <v>1327</v>
      </c>
      <c r="C39" s="177" t="s">
        <v>628</v>
      </c>
      <c r="D39" s="241" t="s">
        <v>783</v>
      </c>
      <c r="E39" s="241" t="s">
        <v>783</v>
      </c>
      <c r="F39" s="241" t="s">
        <v>783</v>
      </c>
      <c r="G39" s="241" t="s">
        <v>783</v>
      </c>
      <c r="H39" s="160" t="s">
        <v>288</v>
      </c>
      <c r="I39" s="160" t="s">
        <v>385</v>
      </c>
      <c r="J39" s="450"/>
      <c r="K39" s="132"/>
    </row>
    <row r="40" spans="1:11" s="133" customFormat="1" ht="21">
      <c r="A40" s="59" t="s">
        <v>1924</v>
      </c>
      <c r="B40" s="75" t="s">
        <v>1328</v>
      </c>
      <c r="C40" s="177" t="s">
        <v>628</v>
      </c>
      <c r="D40" s="241" t="s">
        <v>783</v>
      </c>
      <c r="E40" s="241" t="s">
        <v>783</v>
      </c>
      <c r="F40" s="241" t="s">
        <v>783</v>
      </c>
      <c r="G40" s="241" t="s">
        <v>783</v>
      </c>
      <c r="H40" s="160" t="s">
        <v>288</v>
      </c>
      <c r="I40" s="160" t="s">
        <v>385</v>
      </c>
      <c r="J40" s="450"/>
      <c r="K40" s="132"/>
    </row>
    <row r="41" spans="1:11" s="133" customFormat="1">
      <c r="A41" s="59" t="s">
        <v>1788</v>
      </c>
      <c r="B41" s="160" t="s">
        <v>615</v>
      </c>
      <c r="C41" s="177" t="s">
        <v>628</v>
      </c>
      <c r="D41" s="241" t="s">
        <v>783</v>
      </c>
      <c r="E41" s="241" t="s">
        <v>783</v>
      </c>
      <c r="F41" s="241" t="s">
        <v>783</v>
      </c>
      <c r="G41" s="241" t="s">
        <v>783</v>
      </c>
      <c r="H41" s="160" t="s">
        <v>365</v>
      </c>
      <c r="I41" s="160"/>
      <c r="J41" s="450"/>
      <c r="K41" s="132"/>
    </row>
    <row r="42" spans="1:11" s="133" customFormat="1" ht="21">
      <c r="A42" s="59" t="s">
        <v>1789</v>
      </c>
      <c r="B42" s="160" t="s">
        <v>792</v>
      </c>
      <c r="C42" s="177" t="s">
        <v>628</v>
      </c>
      <c r="D42" s="241" t="s">
        <v>783</v>
      </c>
      <c r="E42" s="241" t="s">
        <v>783</v>
      </c>
      <c r="F42" s="241" t="s">
        <v>783</v>
      </c>
      <c r="G42" s="241" t="s">
        <v>783</v>
      </c>
      <c r="H42" s="160" t="s">
        <v>289</v>
      </c>
      <c r="I42" s="160" t="s">
        <v>385</v>
      </c>
      <c r="J42" s="450"/>
      <c r="K42" s="132"/>
    </row>
    <row r="43" spans="1:11" s="133" customFormat="1" ht="42">
      <c r="A43" s="59" t="s">
        <v>1925</v>
      </c>
      <c r="B43" s="160" t="s">
        <v>770</v>
      </c>
      <c r="C43" s="177" t="s">
        <v>628</v>
      </c>
      <c r="D43" s="201">
        <v>0.1</v>
      </c>
      <c r="E43" s="201">
        <f>SUM(D43*1.1)</f>
        <v>0.11000000000000001</v>
      </c>
      <c r="F43" s="201">
        <f>SUM(G43*1.1)</f>
        <v>7.4250000000000007</v>
      </c>
      <c r="G43" s="201">
        <v>6.75</v>
      </c>
      <c r="H43" s="160" t="s">
        <v>289</v>
      </c>
      <c r="I43" s="75" t="s">
        <v>793</v>
      </c>
      <c r="J43" s="478" t="s">
        <v>772</v>
      </c>
      <c r="K43" s="132"/>
    </row>
    <row r="44" spans="1:11" s="133" customFormat="1" ht="31.5">
      <c r="A44" s="59" t="s">
        <v>1926</v>
      </c>
      <c r="B44" s="160" t="s">
        <v>771</v>
      </c>
      <c r="C44" s="177" t="s">
        <v>628</v>
      </c>
      <c r="D44" s="304" t="s">
        <v>277</v>
      </c>
      <c r="E44" s="304" t="s">
        <v>277</v>
      </c>
      <c r="F44" s="201">
        <f>SUM(G44*1.1)</f>
        <v>19.085000000000004</v>
      </c>
      <c r="G44" s="201">
        <v>17.350000000000001</v>
      </c>
      <c r="H44" s="160" t="s">
        <v>290</v>
      </c>
      <c r="I44" s="160" t="s">
        <v>1322</v>
      </c>
      <c r="J44" s="478" t="s">
        <v>772</v>
      </c>
      <c r="K44" s="132"/>
    </row>
    <row r="45" spans="1:11" s="133" customFormat="1">
      <c r="A45" s="59" t="s">
        <v>277</v>
      </c>
      <c r="B45" s="161" t="s">
        <v>295</v>
      </c>
      <c r="C45" s="177" t="s">
        <v>628</v>
      </c>
      <c r="D45" s="241" t="s">
        <v>783</v>
      </c>
      <c r="E45" s="241" t="s">
        <v>783</v>
      </c>
      <c r="F45" s="241" t="s">
        <v>783</v>
      </c>
      <c r="G45" s="241" t="s">
        <v>783</v>
      </c>
      <c r="H45" s="161" t="s">
        <v>288</v>
      </c>
      <c r="I45" s="75" t="s">
        <v>794</v>
      </c>
      <c r="J45" s="450"/>
      <c r="K45" s="132"/>
    </row>
    <row r="46" spans="1:11" s="133" customFormat="1" ht="42">
      <c r="A46" s="59" t="s">
        <v>1790</v>
      </c>
      <c r="B46" s="161" t="s">
        <v>703</v>
      </c>
      <c r="C46" s="177" t="s">
        <v>628</v>
      </c>
      <c r="D46" s="201">
        <v>1.1499999999999999</v>
      </c>
      <c r="E46" s="201">
        <f>SUM(D46*1.1)</f>
        <v>1.2649999999999999</v>
      </c>
      <c r="F46" s="201">
        <v>7.85</v>
      </c>
      <c r="G46" s="201">
        <f>(F46-(F46*10%))</f>
        <v>7.0649999999999995</v>
      </c>
      <c r="H46" s="161" t="s">
        <v>288</v>
      </c>
      <c r="I46" s="160" t="s">
        <v>386</v>
      </c>
      <c r="J46" s="450" t="s">
        <v>697</v>
      </c>
      <c r="K46" s="132"/>
    </row>
    <row r="47" spans="1:11" s="133" customFormat="1" ht="31.5">
      <c r="A47" s="59" t="s">
        <v>1791</v>
      </c>
      <c r="B47" s="161" t="s">
        <v>704</v>
      </c>
      <c r="C47" s="177" t="s">
        <v>628</v>
      </c>
      <c r="D47" s="304" t="s">
        <v>277</v>
      </c>
      <c r="E47" s="304" t="s">
        <v>277</v>
      </c>
      <c r="F47" s="201">
        <v>40.700000000000003</v>
      </c>
      <c r="G47" s="201">
        <f>(F47-(F47*10%))</f>
        <v>36.630000000000003</v>
      </c>
      <c r="H47" s="161" t="s">
        <v>290</v>
      </c>
      <c r="I47" s="160" t="s">
        <v>1322</v>
      </c>
      <c r="J47" s="450" t="s">
        <v>697</v>
      </c>
      <c r="K47" s="132"/>
    </row>
    <row r="48" spans="1:11" s="4" customFormat="1" ht="31.5">
      <c r="A48" s="57" t="s">
        <v>1792</v>
      </c>
      <c r="B48" s="161" t="s">
        <v>1409</v>
      </c>
      <c r="C48" s="177" t="s">
        <v>630</v>
      </c>
      <c r="D48" s="201" t="s">
        <v>783</v>
      </c>
      <c r="E48" s="201" t="s">
        <v>783</v>
      </c>
      <c r="F48" s="407">
        <v>7.85</v>
      </c>
      <c r="G48" s="201">
        <f>(F48-(F48*10%))</f>
        <v>7.0649999999999995</v>
      </c>
      <c r="H48" s="161" t="s">
        <v>288</v>
      </c>
      <c r="I48" s="160" t="s">
        <v>1251</v>
      </c>
      <c r="J48" s="450" t="s">
        <v>699</v>
      </c>
      <c r="K48" s="159"/>
    </row>
    <row r="49" spans="1:24" s="133" customFormat="1" ht="31.5">
      <c r="A49" s="757" t="s">
        <v>1793</v>
      </c>
      <c r="B49" s="161" t="s">
        <v>705</v>
      </c>
      <c r="C49" s="177" t="s">
        <v>628</v>
      </c>
      <c r="D49" s="304" t="s">
        <v>277</v>
      </c>
      <c r="E49" s="304" t="s">
        <v>277</v>
      </c>
      <c r="F49" s="201">
        <v>36.770000000000003</v>
      </c>
      <c r="G49" s="201">
        <f>(F49-(F49*10%))</f>
        <v>33.093000000000004</v>
      </c>
      <c r="H49" s="161" t="s">
        <v>290</v>
      </c>
      <c r="I49" s="75" t="s">
        <v>867</v>
      </c>
      <c r="J49" s="450" t="s">
        <v>699</v>
      </c>
      <c r="K49" s="132"/>
    </row>
    <row r="50" spans="1:24" s="133" customFormat="1" ht="42">
      <c r="A50" s="59" t="s">
        <v>1794</v>
      </c>
      <c r="B50" s="160" t="s">
        <v>296</v>
      </c>
      <c r="C50" s="177" t="s">
        <v>628</v>
      </c>
      <c r="D50" s="241" t="s">
        <v>783</v>
      </c>
      <c r="E50" s="241" t="s">
        <v>783</v>
      </c>
      <c r="F50" s="241" t="s">
        <v>783</v>
      </c>
      <c r="G50" s="241" t="s">
        <v>783</v>
      </c>
      <c r="H50" s="160" t="s">
        <v>288</v>
      </c>
      <c r="I50" s="160" t="s">
        <v>387</v>
      </c>
      <c r="J50" s="450"/>
      <c r="K50" s="132"/>
    </row>
    <row r="51" spans="1:24" s="133" customFormat="1" ht="31.5">
      <c r="A51" s="59" t="s">
        <v>1795</v>
      </c>
      <c r="B51" s="161" t="s">
        <v>298</v>
      </c>
      <c r="C51" s="177" t="s">
        <v>628</v>
      </c>
      <c r="D51" s="241" t="s">
        <v>783</v>
      </c>
      <c r="E51" s="241" t="s">
        <v>783</v>
      </c>
      <c r="F51" s="241" t="s">
        <v>783</v>
      </c>
      <c r="G51" s="241" t="s">
        <v>783</v>
      </c>
      <c r="H51" s="161" t="s">
        <v>288</v>
      </c>
      <c r="I51" s="75" t="s">
        <v>1324</v>
      </c>
      <c r="J51" s="478" t="s">
        <v>785</v>
      </c>
      <c r="K51" s="132"/>
    </row>
    <row r="52" spans="1:24" s="133" customFormat="1" ht="21">
      <c r="A52" s="241" t="s">
        <v>1927</v>
      </c>
      <c r="B52" s="160" t="s">
        <v>706</v>
      </c>
      <c r="C52" s="177" t="s">
        <v>628</v>
      </c>
      <c r="D52" s="201">
        <v>1.6</v>
      </c>
      <c r="E52" s="201">
        <f>SUM(D52*1.1)</f>
        <v>1.7600000000000002</v>
      </c>
      <c r="F52" s="241" t="s">
        <v>783</v>
      </c>
      <c r="G52" s="241" t="s">
        <v>783</v>
      </c>
      <c r="H52" s="160" t="s">
        <v>289</v>
      </c>
      <c r="I52" s="75"/>
      <c r="J52" s="478" t="s">
        <v>769</v>
      </c>
      <c r="K52" s="132"/>
    </row>
    <row r="53" spans="1:24" s="133" customFormat="1" ht="32.25" customHeight="1">
      <c r="A53" s="59" t="s">
        <v>1928</v>
      </c>
      <c r="B53" s="160" t="s">
        <v>707</v>
      </c>
      <c r="C53" s="177" t="s">
        <v>628</v>
      </c>
      <c r="D53" s="241" t="s">
        <v>783</v>
      </c>
      <c r="E53" s="241" t="s">
        <v>783</v>
      </c>
      <c r="F53" s="201">
        <v>19.940000000000001</v>
      </c>
      <c r="G53" s="201">
        <f>(F53-(F53*10%))</f>
        <v>17.946000000000002</v>
      </c>
      <c r="H53" s="160" t="s">
        <v>290</v>
      </c>
      <c r="I53" s="160" t="s">
        <v>1322</v>
      </c>
      <c r="J53" s="478" t="s">
        <v>769</v>
      </c>
      <c r="K53" s="132"/>
    </row>
    <row r="54" spans="1:24" s="133" customFormat="1" ht="94.5">
      <c r="A54" s="59" t="s">
        <v>1796</v>
      </c>
      <c r="B54" s="160" t="s">
        <v>708</v>
      </c>
      <c r="C54" s="177" t="s">
        <v>628</v>
      </c>
      <c r="D54" s="241" t="s">
        <v>783</v>
      </c>
      <c r="E54" s="241" t="s">
        <v>783</v>
      </c>
      <c r="F54" s="241" t="s">
        <v>783</v>
      </c>
      <c r="G54" s="241" t="s">
        <v>783</v>
      </c>
      <c r="H54" s="160" t="s">
        <v>374</v>
      </c>
      <c r="I54" s="160" t="s">
        <v>389</v>
      </c>
      <c r="J54" s="450"/>
      <c r="K54" s="132"/>
    </row>
    <row r="55" spans="1:24" s="133" customFormat="1">
      <c r="A55" s="59" t="s">
        <v>1872</v>
      </c>
      <c r="B55" s="160" t="s">
        <v>299</v>
      </c>
      <c r="C55" s="177" t="s">
        <v>628</v>
      </c>
      <c r="D55" s="241" t="s">
        <v>783</v>
      </c>
      <c r="E55" s="241" t="s">
        <v>783</v>
      </c>
      <c r="F55" s="241" t="s">
        <v>783</v>
      </c>
      <c r="G55" s="241" t="s">
        <v>783</v>
      </c>
      <c r="H55" s="160"/>
      <c r="I55" s="75" t="s">
        <v>426</v>
      </c>
      <c r="J55" s="450"/>
      <c r="K55" s="132"/>
    </row>
    <row r="56" spans="1:24" s="133" customFormat="1" ht="42">
      <c r="A56" s="59" t="s">
        <v>1797</v>
      </c>
      <c r="B56" s="161" t="s">
        <v>300</v>
      </c>
      <c r="C56" s="177" t="s">
        <v>628</v>
      </c>
      <c r="D56" s="241" t="s">
        <v>783</v>
      </c>
      <c r="E56" s="241" t="s">
        <v>783</v>
      </c>
      <c r="F56" s="241" t="s">
        <v>783</v>
      </c>
      <c r="G56" s="241" t="s">
        <v>783</v>
      </c>
      <c r="H56" s="161" t="s">
        <v>288</v>
      </c>
      <c r="I56" s="75" t="s">
        <v>1253</v>
      </c>
      <c r="J56" s="450"/>
      <c r="K56" s="132"/>
    </row>
    <row r="57" spans="1:24" s="133" customFormat="1" ht="21">
      <c r="A57" s="59" t="s">
        <v>1798</v>
      </c>
      <c r="B57" s="161" t="s">
        <v>301</v>
      </c>
      <c r="C57" s="177" t="s">
        <v>628</v>
      </c>
      <c r="D57" s="241" t="s">
        <v>783</v>
      </c>
      <c r="E57" s="241" t="s">
        <v>783</v>
      </c>
      <c r="F57" s="241" t="s">
        <v>783</v>
      </c>
      <c r="G57" s="241" t="s">
        <v>783</v>
      </c>
      <c r="H57" s="161" t="s">
        <v>288</v>
      </c>
      <c r="I57" s="160" t="s">
        <v>297</v>
      </c>
      <c r="J57" s="450"/>
      <c r="K57" s="132"/>
    </row>
    <row r="58" spans="1:24" s="133" customFormat="1" ht="21">
      <c r="A58" s="59" t="s">
        <v>1799</v>
      </c>
      <c r="B58" s="161" t="s">
        <v>302</v>
      </c>
      <c r="C58" s="177" t="s">
        <v>628</v>
      </c>
      <c r="D58" s="201" t="s">
        <v>277</v>
      </c>
      <c r="E58" s="201" t="s">
        <v>277</v>
      </c>
      <c r="F58" s="201">
        <f t="shared" ref="F58" si="3">SUM(G58*1.1)</f>
        <v>1.375</v>
      </c>
      <c r="G58" s="201">
        <v>1.25</v>
      </c>
      <c r="H58" s="161" t="s">
        <v>303</v>
      </c>
      <c r="I58" s="160" t="s">
        <v>360</v>
      </c>
      <c r="J58" s="446" t="s">
        <v>669</v>
      </c>
      <c r="K58" s="132"/>
    </row>
    <row r="59" spans="1:24" s="133" customFormat="1" ht="42">
      <c r="A59" s="59" t="s">
        <v>1800</v>
      </c>
      <c r="B59" s="161" t="s">
        <v>304</v>
      </c>
      <c r="C59" s="177" t="s">
        <v>628</v>
      </c>
      <c r="D59" s="241" t="s">
        <v>783</v>
      </c>
      <c r="E59" s="241" t="s">
        <v>783</v>
      </c>
      <c r="F59" s="241" t="s">
        <v>783</v>
      </c>
      <c r="G59" s="241" t="s">
        <v>783</v>
      </c>
      <c r="H59" s="161" t="s">
        <v>288</v>
      </c>
      <c r="I59" s="160" t="s">
        <v>391</v>
      </c>
      <c r="J59" s="450"/>
      <c r="K59" s="132"/>
    </row>
    <row r="60" spans="1:24" s="133" customFormat="1" ht="199.5">
      <c r="A60" s="136"/>
      <c r="B60" s="75" t="s">
        <v>1419</v>
      </c>
      <c r="C60" s="177" t="s">
        <v>628</v>
      </c>
      <c r="D60" s="241" t="s">
        <v>783</v>
      </c>
      <c r="E60" s="241" t="s">
        <v>783</v>
      </c>
      <c r="F60" s="241" t="s">
        <v>783</v>
      </c>
      <c r="G60" s="241" t="s">
        <v>783</v>
      </c>
      <c r="H60" s="160" t="s">
        <v>305</v>
      </c>
      <c r="I60" s="160" t="s">
        <v>400</v>
      </c>
      <c r="J60" s="450"/>
      <c r="K60" s="132"/>
    </row>
    <row r="61" spans="1:24" s="133" customFormat="1" ht="73.5">
      <c r="A61" s="136"/>
      <c r="B61" s="160" t="s">
        <v>306</v>
      </c>
      <c r="C61" s="177" t="s">
        <v>628</v>
      </c>
      <c r="D61" s="241" t="s">
        <v>783</v>
      </c>
      <c r="E61" s="241" t="s">
        <v>783</v>
      </c>
      <c r="F61" s="241" t="s">
        <v>783</v>
      </c>
      <c r="G61" s="241" t="s">
        <v>783</v>
      </c>
      <c r="H61" s="160"/>
      <c r="I61" s="160" t="s">
        <v>414</v>
      </c>
      <c r="J61" s="450"/>
      <c r="K61" s="132"/>
    </row>
    <row r="62" spans="1:24" s="203" customFormat="1" ht="21">
      <c r="A62" s="757" t="s">
        <v>1801</v>
      </c>
      <c r="B62" s="417" t="s">
        <v>1473</v>
      </c>
      <c r="C62" s="411" t="s">
        <v>628</v>
      </c>
      <c r="D62" s="242" t="s">
        <v>783</v>
      </c>
      <c r="E62" s="242" t="s">
        <v>783</v>
      </c>
      <c r="F62" s="242" t="s">
        <v>783</v>
      </c>
      <c r="G62" s="242" t="s">
        <v>783</v>
      </c>
      <c r="H62" s="413"/>
      <c r="I62" s="417" t="s">
        <v>1467</v>
      </c>
      <c r="J62" s="450"/>
      <c r="K62" s="132"/>
      <c r="L62" s="133"/>
      <c r="M62" s="133"/>
      <c r="N62" s="133"/>
      <c r="O62" s="133"/>
      <c r="P62" s="133"/>
      <c r="Q62" s="133"/>
      <c r="R62" s="133"/>
      <c r="S62" s="133"/>
      <c r="T62" s="133"/>
      <c r="U62" s="133"/>
      <c r="V62" s="133"/>
      <c r="W62" s="133"/>
      <c r="X62" s="133"/>
    </row>
    <row r="63" spans="1:24" s="133" customFormat="1" ht="94.5">
      <c r="A63" s="59" t="s">
        <v>1802</v>
      </c>
      <c r="B63" s="161" t="s">
        <v>715</v>
      </c>
      <c r="C63" s="177" t="s">
        <v>628</v>
      </c>
      <c r="D63" s="304" t="s">
        <v>783</v>
      </c>
      <c r="E63" s="304" t="s">
        <v>783</v>
      </c>
      <c r="F63" s="201">
        <v>20.399999999999999</v>
      </c>
      <c r="G63" s="201">
        <f>(F63-(F63*10%))</f>
        <v>18.36</v>
      </c>
      <c r="H63" s="161" t="s">
        <v>426</v>
      </c>
      <c r="I63" s="75" t="s">
        <v>662</v>
      </c>
      <c r="J63" s="450" t="s">
        <v>716</v>
      </c>
      <c r="K63" s="132"/>
    </row>
    <row r="64" spans="1:24" s="133" customFormat="1" ht="21">
      <c r="A64" s="59" t="s">
        <v>1803</v>
      </c>
      <c r="B64" s="161" t="s">
        <v>359</v>
      </c>
      <c r="C64" s="177" t="s">
        <v>628</v>
      </c>
      <c r="D64" s="304" t="s">
        <v>277</v>
      </c>
      <c r="E64" s="304" t="s">
        <v>277</v>
      </c>
      <c r="F64" s="201">
        <f t="shared" ref="F64:F66" si="4">SUM(G64*1.1)</f>
        <v>1.6500000000000001</v>
      </c>
      <c r="G64" s="201">
        <v>1.5</v>
      </c>
      <c r="H64" s="161" t="s">
        <v>303</v>
      </c>
      <c r="I64" s="162"/>
      <c r="J64" s="450" t="s">
        <v>722</v>
      </c>
      <c r="K64" s="132"/>
    </row>
    <row r="65" spans="1:24" s="133" customFormat="1" ht="31.5">
      <c r="A65" s="59" t="s">
        <v>1804</v>
      </c>
      <c r="B65" s="161" t="s">
        <v>361</v>
      </c>
      <c r="C65" s="177" t="s">
        <v>628</v>
      </c>
      <c r="D65" s="304" t="s">
        <v>277</v>
      </c>
      <c r="E65" s="304" t="s">
        <v>277</v>
      </c>
      <c r="F65" s="201">
        <f t="shared" si="4"/>
        <v>2.5410000000000004</v>
      </c>
      <c r="G65" s="201">
        <v>2.31</v>
      </c>
      <c r="H65" s="161" t="s">
        <v>303</v>
      </c>
      <c r="I65" s="160"/>
      <c r="J65" s="450" t="s">
        <v>722</v>
      </c>
      <c r="K65" s="132"/>
    </row>
    <row r="66" spans="1:24" s="133" customFormat="1" ht="52.5">
      <c r="A66" s="59" t="s">
        <v>1805</v>
      </c>
      <c r="B66" s="161" t="s">
        <v>362</v>
      </c>
      <c r="C66" s="177" t="s">
        <v>628</v>
      </c>
      <c r="D66" s="304" t="s">
        <v>277</v>
      </c>
      <c r="E66" s="304" t="s">
        <v>277</v>
      </c>
      <c r="F66" s="201">
        <f t="shared" si="4"/>
        <v>0.27500000000000002</v>
      </c>
      <c r="G66" s="241">
        <v>0.25</v>
      </c>
      <c r="H66" s="161" t="s">
        <v>288</v>
      </c>
      <c r="I66" s="75" t="s">
        <v>1523</v>
      </c>
      <c r="J66" s="450"/>
      <c r="K66" s="132"/>
    </row>
    <row r="67" spans="1:24" s="133" customFormat="1">
      <c r="A67" s="59" t="s">
        <v>277</v>
      </c>
      <c r="B67" s="160" t="s">
        <v>363</v>
      </c>
      <c r="C67" s="177" t="s">
        <v>628</v>
      </c>
      <c r="D67" s="241" t="s">
        <v>783</v>
      </c>
      <c r="E67" s="241" t="s">
        <v>783</v>
      </c>
      <c r="F67" s="241" t="s">
        <v>783</v>
      </c>
      <c r="G67" s="241" t="s">
        <v>783</v>
      </c>
      <c r="H67" s="160" t="s">
        <v>284</v>
      </c>
      <c r="I67" s="160"/>
      <c r="J67" s="450"/>
      <c r="K67" s="132"/>
    </row>
    <row r="68" spans="1:24" s="133" customFormat="1" ht="31.5">
      <c r="A68" s="758" t="s">
        <v>1806</v>
      </c>
      <c r="B68" s="74" t="s">
        <v>709</v>
      </c>
      <c r="C68" s="177" t="s">
        <v>628</v>
      </c>
      <c r="D68" s="201">
        <v>20</v>
      </c>
      <c r="E68" s="201">
        <f>SUM(D68*1.1)</f>
        <v>22</v>
      </c>
      <c r="F68" s="201">
        <v>30.24</v>
      </c>
      <c r="G68" s="201">
        <f>(F68-(F68*10%))</f>
        <v>27.215999999999998</v>
      </c>
      <c r="H68" s="161" t="s">
        <v>288</v>
      </c>
      <c r="I68" s="160" t="s">
        <v>420</v>
      </c>
      <c r="J68" s="450" t="s">
        <v>710</v>
      </c>
      <c r="K68" s="132"/>
    </row>
    <row r="69" spans="1:24" s="133" customFormat="1" ht="73.5">
      <c r="A69" s="59" t="s">
        <v>1807</v>
      </c>
      <c r="B69" s="160" t="s">
        <v>711</v>
      </c>
      <c r="C69" s="177" t="s">
        <v>628</v>
      </c>
      <c r="D69" s="201">
        <v>1.4</v>
      </c>
      <c r="E69" s="201">
        <f>SUM(D69*1.1)</f>
        <v>1.54</v>
      </c>
      <c r="F69" s="304" t="s">
        <v>277</v>
      </c>
      <c r="G69" s="304" t="s">
        <v>277</v>
      </c>
      <c r="H69" s="160" t="s">
        <v>365</v>
      </c>
      <c r="I69" s="160" t="s">
        <v>394</v>
      </c>
      <c r="J69" s="450" t="s">
        <v>713</v>
      </c>
      <c r="K69" s="132"/>
    </row>
    <row r="70" spans="1:24" s="133" customFormat="1" ht="52.5">
      <c r="A70" s="59" t="s">
        <v>1808</v>
      </c>
      <c r="B70" s="160" t="s">
        <v>712</v>
      </c>
      <c r="C70" s="177" t="s">
        <v>628</v>
      </c>
      <c r="D70" s="304" t="s">
        <v>277</v>
      </c>
      <c r="E70" s="304" t="s">
        <v>277</v>
      </c>
      <c r="F70" s="201">
        <f>SUM(G70*1.1)</f>
        <v>530.36500000000001</v>
      </c>
      <c r="G70" s="201">
        <v>482.15</v>
      </c>
      <c r="H70" s="160" t="s">
        <v>366</v>
      </c>
      <c r="I70" s="160" t="s">
        <v>421</v>
      </c>
      <c r="J70" s="450" t="s">
        <v>713</v>
      </c>
      <c r="K70" s="132"/>
    </row>
    <row r="71" spans="1:24" s="133" customFormat="1" ht="94.5">
      <c r="A71" s="59" t="s">
        <v>1809</v>
      </c>
      <c r="B71" s="161" t="s">
        <v>795</v>
      </c>
      <c r="C71" s="177" t="s">
        <v>628</v>
      </c>
      <c r="D71" s="241" t="s">
        <v>783</v>
      </c>
      <c r="E71" s="241" t="s">
        <v>783</v>
      </c>
      <c r="F71" s="241" t="s">
        <v>783</v>
      </c>
      <c r="G71" s="241" t="s">
        <v>783</v>
      </c>
      <c r="H71" s="161" t="s">
        <v>288</v>
      </c>
      <c r="I71" s="160" t="s">
        <v>422</v>
      </c>
      <c r="J71" s="450"/>
      <c r="K71" s="132"/>
    </row>
    <row r="72" spans="1:24" s="133" customFormat="1" ht="31.5">
      <c r="A72" s="59" t="s">
        <v>1810</v>
      </c>
      <c r="B72" s="161" t="s">
        <v>367</v>
      </c>
      <c r="C72" s="177" t="s">
        <v>628</v>
      </c>
      <c r="D72" s="241" t="s">
        <v>783</v>
      </c>
      <c r="E72" s="241" t="s">
        <v>783</v>
      </c>
      <c r="F72" s="241" t="s">
        <v>783</v>
      </c>
      <c r="G72" s="241" t="s">
        <v>783</v>
      </c>
      <c r="H72" s="161" t="s">
        <v>288</v>
      </c>
      <c r="I72" s="160" t="s">
        <v>423</v>
      </c>
      <c r="J72" s="450"/>
      <c r="K72" s="132"/>
    </row>
    <row r="73" spans="1:24" s="133" customFormat="1" ht="31.5">
      <c r="A73" s="349" t="s">
        <v>1929</v>
      </c>
      <c r="B73" s="161" t="s">
        <v>1319</v>
      </c>
      <c r="C73" s="177" t="s">
        <v>628</v>
      </c>
      <c r="D73" s="180">
        <v>30</v>
      </c>
      <c r="E73" s="201">
        <f t="shared" ref="E73:E76" si="5">SUM(D73*1.1)</f>
        <v>33</v>
      </c>
      <c r="F73" s="260">
        <f t="shared" ref="F73:F76" si="6">SUM(G73*1.1)</f>
        <v>48.235000000000007</v>
      </c>
      <c r="G73" s="201">
        <v>43.85</v>
      </c>
      <c r="H73" s="161" t="s">
        <v>865</v>
      </c>
      <c r="I73" s="75" t="s">
        <v>426</v>
      </c>
      <c r="J73" s="417" t="s">
        <v>1471</v>
      </c>
      <c r="K73" s="132"/>
    </row>
    <row r="74" spans="1:24" s="133" customFormat="1" ht="31.5">
      <c r="A74" s="349" t="s">
        <v>1930</v>
      </c>
      <c r="B74" s="74" t="s">
        <v>834</v>
      </c>
      <c r="C74" s="177" t="s">
        <v>628</v>
      </c>
      <c r="D74" s="180">
        <v>165</v>
      </c>
      <c r="E74" s="201">
        <f t="shared" si="5"/>
        <v>181.50000000000003</v>
      </c>
      <c r="F74" s="260">
        <f t="shared" si="6"/>
        <v>61.600000000000009</v>
      </c>
      <c r="G74" s="201">
        <v>56</v>
      </c>
      <c r="H74" s="161" t="s">
        <v>866</v>
      </c>
      <c r="I74" s="75" t="s">
        <v>426</v>
      </c>
      <c r="J74" s="417" t="s">
        <v>1471</v>
      </c>
      <c r="K74" s="132"/>
    </row>
    <row r="75" spans="1:24" s="133" customFormat="1" ht="31.5">
      <c r="A75" s="349" t="s">
        <v>1931</v>
      </c>
      <c r="B75" s="161" t="s">
        <v>835</v>
      </c>
      <c r="C75" s="177" t="s">
        <v>628</v>
      </c>
      <c r="D75" s="180">
        <v>15</v>
      </c>
      <c r="E75" s="201">
        <f t="shared" si="5"/>
        <v>16.5</v>
      </c>
      <c r="F75" s="260">
        <f t="shared" si="6"/>
        <v>16.665000000000003</v>
      </c>
      <c r="G75" s="241">
        <v>15.15</v>
      </c>
      <c r="H75" s="74" t="s">
        <v>1470</v>
      </c>
      <c r="I75" s="307" t="s">
        <v>426</v>
      </c>
      <c r="J75" s="417" t="s">
        <v>1471</v>
      </c>
      <c r="K75" s="132"/>
    </row>
    <row r="76" spans="1:24" s="133" customFormat="1" ht="31.5">
      <c r="A76" s="349" t="s">
        <v>1932</v>
      </c>
      <c r="B76" s="161" t="s">
        <v>836</v>
      </c>
      <c r="C76" s="177" t="s">
        <v>628</v>
      </c>
      <c r="D76" s="180">
        <v>300</v>
      </c>
      <c r="E76" s="201">
        <f t="shared" si="5"/>
        <v>330</v>
      </c>
      <c r="F76" s="260">
        <f t="shared" si="6"/>
        <v>2200</v>
      </c>
      <c r="G76" s="201">
        <v>2000</v>
      </c>
      <c r="H76" s="74" t="s">
        <v>1472</v>
      </c>
      <c r="I76" s="75" t="s">
        <v>426</v>
      </c>
      <c r="J76" s="417" t="s">
        <v>1471</v>
      </c>
      <c r="K76" s="132"/>
    </row>
    <row r="77" spans="1:24" s="203" customFormat="1" ht="31.5">
      <c r="A77" s="241" t="s">
        <v>1933</v>
      </c>
      <c r="B77" s="414" t="s">
        <v>1418</v>
      </c>
      <c r="C77" s="411" t="s">
        <v>628</v>
      </c>
      <c r="D77" s="201">
        <v>4.5</v>
      </c>
      <c r="E77" s="201">
        <f>SUM(D77*1.1)</f>
        <v>4.95</v>
      </c>
      <c r="F77" s="260">
        <f>SUM(G77*1.1)</f>
        <v>11</v>
      </c>
      <c r="G77" s="260">
        <v>10</v>
      </c>
      <c r="H77" s="410" t="s">
        <v>368</v>
      </c>
      <c r="I77" s="413" t="s">
        <v>369</v>
      </c>
      <c r="J77" s="450"/>
      <c r="K77" s="132"/>
      <c r="L77" s="133"/>
      <c r="M77" s="133"/>
      <c r="N77" s="133"/>
      <c r="O77" s="133"/>
      <c r="P77" s="133"/>
      <c r="Q77" s="133"/>
      <c r="R77" s="133"/>
      <c r="S77" s="133"/>
      <c r="T77" s="133"/>
      <c r="U77" s="133"/>
      <c r="V77" s="133"/>
      <c r="W77" s="133"/>
      <c r="X77" s="133"/>
    </row>
    <row r="78" spans="1:24" s="8" customFormat="1" ht="12.75">
      <c r="A78" s="89" t="s">
        <v>2462</v>
      </c>
      <c r="B78" s="535" t="s">
        <v>1241</v>
      </c>
      <c r="C78" s="411" t="s">
        <v>628</v>
      </c>
      <c r="D78" s="241" t="s">
        <v>539</v>
      </c>
      <c r="E78" s="241" t="s">
        <v>539</v>
      </c>
      <c r="F78" s="241" t="s">
        <v>539</v>
      </c>
      <c r="G78" s="241" t="s">
        <v>539</v>
      </c>
      <c r="H78" s="161"/>
      <c r="I78" s="160"/>
      <c r="J78" s="417"/>
      <c r="K78" s="820"/>
    </row>
    <row r="79" spans="1:24" s="8" customFormat="1" ht="12.75">
      <c r="A79" s="89" t="s">
        <v>2463</v>
      </c>
      <c r="B79" s="535" t="s">
        <v>1242</v>
      </c>
      <c r="C79" s="411" t="s">
        <v>628</v>
      </c>
      <c r="D79" s="241" t="s">
        <v>539</v>
      </c>
      <c r="E79" s="241" t="s">
        <v>539</v>
      </c>
      <c r="F79" s="241" t="s">
        <v>539</v>
      </c>
      <c r="G79" s="241" t="s">
        <v>539</v>
      </c>
      <c r="H79" s="161"/>
      <c r="I79" s="160"/>
      <c r="J79" s="417"/>
      <c r="K79" s="820"/>
    </row>
    <row r="80" spans="1:24" s="8" customFormat="1" ht="12.75">
      <c r="A80" s="89" t="s">
        <v>2464</v>
      </c>
      <c r="B80" s="535" t="s">
        <v>1243</v>
      </c>
      <c r="C80" s="411" t="s">
        <v>628</v>
      </c>
      <c r="D80" s="241" t="s">
        <v>539</v>
      </c>
      <c r="E80" s="241" t="s">
        <v>539</v>
      </c>
      <c r="F80" s="241" t="s">
        <v>539</v>
      </c>
      <c r="G80" s="241" t="s">
        <v>539</v>
      </c>
      <c r="H80" s="161"/>
      <c r="I80" s="160"/>
      <c r="J80" s="417"/>
      <c r="K80" s="820"/>
    </row>
    <row r="81" spans="1:24" s="4" customFormat="1" ht="12.75">
      <c r="A81" s="89" t="s">
        <v>2465</v>
      </c>
      <c r="B81" s="535" t="s">
        <v>1244</v>
      </c>
      <c r="C81" s="411" t="s">
        <v>628</v>
      </c>
      <c r="D81" s="241" t="s">
        <v>539</v>
      </c>
      <c r="E81" s="241" t="s">
        <v>539</v>
      </c>
      <c r="F81" s="241" t="s">
        <v>539</v>
      </c>
      <c r="G81" s="241" t="s">
        <v>539</v>
      </c>
      <c r="H81" s="161"/>
      <c r="I81" s="160"/>
      <c r="J81" s="417"/>
      <c r="K81" s="159"/>
    </row>
    <row r="82" spans="1:24" s="4" customFormat="1" ht="33.75">
      <c r="A82" s="57" t="s">
        <v>1892</v>
      </c>
      <c r="B82" s="535" t="s">
        <v>1245</v>
      </c>
      <c r="C82" s="411" t="s">
        <v>628</v>
      </c>
      <c r="D82" s="201">
        <v>4.5</v>
      </c>
      <c r="E82" s="201">
        <f t="shared" ref="E82:E86" si="7">SUM(D82*1.1)</f>
        <v>4.95</v>
      </c>
      <c r="F82" s="241" t="s">
        <v>783</v>
      </c>
      <c r="G82" s="241" t="s">
        <v>783</v>
      </c>
      <c r="H82" s="161"/>
      <c r="I82" s="160"/>
      <c r="J82" s="417"/>
      <c r="K82" s="159"/>
    </row>
    <row r="83" spans="1:24" s="4" customFormat="1" ht="33.75">
      <c r="A83" s="57" t="s">
        <v>1893</v>
      </c>
      <c r="B83" s="535" t="s">
        <v>1246</v>
      </c>
      <c r="C83" s="411" t="s">
        <v>628</v>
      </c>
      <c r="D83" s="201">
        <v>7.1</v>
      </c>
      <c r="E83" s="201">
        <f t="shared" si="7"/>
        <v>7.8100000000000005</v>
      </c>
      <c r="F83" s="241" t="s">
        <v>783</v>
      </c>
      <c r="G83" s="241" t="s">
        <v>783</v>
      </c>
      <c r="H83" s="161"/>
      <c r="I83" s="75"/>
      <c r="J83" s="417"/>
      <c r="K83" s="159"/>
    </row>
    <row r="84" spans="1:24" s="4" customFormat="1" ht="33.75">
      <c r="A84" s="57" t="s">
        <v>1894</v>
      </c>
      <c r="B84" s="535" t="s">
        <v>1247</v>
      </c>
      <c r="C84" s="411" t="s">
        <v>628</v>
      </c>
      <c r="D84" s="201">
        <v>3</v>
      </c>
      <c r="E84" s="201">
        <f t="shared" si="7"/>
        <v>3.3000000000000003</v>
      </c>
      <c r="F84" s="241" t="s">
        <v>783</v>
      </c>
      <c r="G84" s="241" t="s">
        <v>783</v>
      </c>
      <c r="H84" s="161"/>
      <c r="I84" s="75"/>
      <c r="J84" s="417"/>
      <c r="K84" s="159"/>
    </row>
    <row r="85" spans="1:24" s="4" customFormat="1" ht="33.75">
      <c r="A85" s="57" t="s">
        <v>1895</v>
      </c>
      <c r="B85" s="535" t="s">
        <v>1248</v>
      </c>
      <c r="C85" s="411" t="s">
        <v>628</v>
      </c>
      <c r="D85" s="201">
        <v>5</v>
      </c>
      <c r="E85" s="201">
        <f t="shared" si="7"/>
        <v>5.5</v>
      </c>
      <c r="F85" s="241" t="s">
        <v>783</v>
      </c>
      <c r="G85" s="241" t="s">
        <v>783</v>
      </c>
      <c r="H85" s="161"/>
      <c r="I85" s="75"/>
      <c r="J85" s="417"/>
      <c r="K85" s="159"/>
    </row>
    <row r="86" spans="1:24" s="4" customFormat="1" ht="22.5">
      <c r="A86" s="135" t="s">
        <v>1896</v>
      </c>
      <c r="B86" s="535" t="s">
        <v>1249</v>
      </c>
      <c r="C86" s="411" t="s">
        <v>628</v>
      </c>
      <c r="D86" s="201">
        <v>7.1</v>
      </c>
      <c r="E86" s="201">
        <f t="shared" si="7"/>
        <v>7.8100000000000005</v>
      </c>
      <c r="F86" s="241" t="s">
        <v>783</v>
      </c>
      <c r="G86" s="241" t="s">
        <v>783</v>
      </c>
      <c r="H86" s="161"/>
      <c r="I86" s="75"/>
      <c r="J86" s="417"/>
      <c r="K86" s="159"/>
    </row>
    <row r="87" spans="1:24" s="203" customFormat="1" ht="157.5" customHeight="1">
      <c r="A87" s="759" t="s">
        <v>1671</v>
      </c>
      <c r="B87" s="452" t="s">
        <v>307</v>
      </c>
      <c r="C87" s="411" t="s">
        <v>628</v>
      </c>
      <c r="D87" s="242" t="s">
        <v>546</v>
      </c>
      <c r="E87" s="242" t="s">
        <v>546</v>
      </c>
      <c r="F87" s="242" t="s">
        <v>546</v>
      </c>
      <c r="G87" s="242" t="s">
        <v>546</v>
      </c>
      <c r="H87" s="410" t="s">
        <v>310</v>
      </c>
      <c r="I87" s="458" t="s">
        <v>308</v>
      </c>
      <c r="J87" s="479"/>
      <c r="K87" s="132"/>
      <c r="L87" s="133"/>
      <c r="M87" s="133"/>
      <c r="N87" s="133"/>
      <c r="O87" s="133"/>
      <c r="P87" s="133"/>
      <c r="Q87" s="133"/>
      <c r="R87" s="133"/>
      <c r="S87" s="133"/>
      <c r="T87" s="133"/>
      <c r="U87" s="133"/>
      <c r="V87" s="133"/>
      <c r="W87" s="133"/>
      <c r="X87" s="133"/>
    </row>
    <row r="88" spans="1:24" s="133" customFormat="1" ht="94.5">
      <c r="A88" s="61" t="s">
        <v>1767</v>
      </c>
      <c r="B88" s="96" t="s">
        <v>796</v>
      </c>
      <c r="C88" s="177" t="s">
        <v>628</v>
      </c>
      <c r="D88" s="241">
        <v>21.75</v>
      </c>
      <c r="E88" s="201">
        <f t="shared" ref="E88:E95" si="8">SUM(D88*1.1)</f>
        <v>23.925000000000001</v>
      </c>
      <c r="F88" s="168" t="s">
        <v>277</v>
      </c>
      <c r="G88" s="168" t="s">
        <v>277</v>
      </c>
      <c r="H88" s="161" t="s">
        <v>310</v>
      </c>
      <c r="I88" s="149" t="s">
        <v>336</v>
      </c>
      <c r="J88" s="479"/>
      <c r="K88" s="132"/>
    </row>
    <row r="89" spans="1:24" s="133" customFormat="1" ht="42">
      <c r="A89" s="61" t="s">
        <v>1910</v>
      </c>
      <c r="B89" s="356" t="s">
        <v>754</v>
      </c>
      <c r="C89" s="177" t="s">
        <v>628</v>
      </c>
      <c r="D89" s="201">
        <v>35</v>
      </c>
      <c r="E89" s="201">
        <f t="shared" si="8"/>
        <v>38.5</v>
      </c>
      <c r="F89" s="201">
        <v>45.9</v>
      </c>
      <c r="G89" s="201">
        <f t="shared" ref="G89:G97" si="9">(F89-(F89*10%))</f>
        <v>41.31</v>
      </c>
      <c r="H89" s="161" t="s">
        <v>342</v>
      </c>
      <c r="I89" s="96" t="s">
        <v>337</v>
      </c>
      <c r="J89" s="450" t="s">
        <v>693</v>
      </c>
      <c r="K89" s="132"/>
    </row>
    <row r="90" spans="1:24" s="133" customFormat="1" ht="75" customHeight="1">
      <c r="A90" s="760" t="s">
        <v>1901</v>
      </c>
      <c r="B90" s="150" t="s">
        <v>755</v>
      </c>
      <c r="C90" s="177" t="s">
        <v>628</v>
      </c>
      <c r="D90" s="201">
        <v>6.5</v>
      </c>
      <c r="E90" s="201">
        <f t="shared" si="8"/>
        <v>7.15</v>
      </c>
      <c r="F90" s="201">
        <v>2.81</v>
      </c>
      <c r="G90" s="201">
        <f t="shared" si="9"/>
        <v>2.5289999999999999</v>
      </c>
      <c r="H90" s="149" t="s">
        <v>353</v>
      </c>
      <c r="I90" s="148" t="s">
        <v>345</v>
      </c>
      <c r="J90" s="450" t="s">
        <v>693</v>
      </c>
      <c r="K90" s="132"/>
    </row>
    <row r="91" spans="1:24" s="133" customFormat="1" ht="75" customHeight="1">
      <c r="A91" s="61" t="s">
        <v>1911</v>
      </c>
      <c r="B91" s="150" t="s">
        <v>756</v>
      </c>
      <c r="C91" s="177" t="s">
        <v>628</v>
      </c>
      <c r="D91" s="201">
        <v>5.5</v>
      </c>
      <c r="E91" s="201">
        <f t="shared" si="8"/>
        <v>6.0500000000000007</v>
      </c>
      <c r="F91" s="201">
        <v>2.81</v>
      </c>
      <c r="G91" s="201">
        <f t="shared" si="9"/>
        <v>2.5289999999999999</v>
      </c>
      <c r="H91" s="149" t="s">
        <v>353</v>
      </c>
      <c r="I91" s="148" t="s">
        <v>345</v>
      </c>
      <c r="J91" s="450" t="s">
        <v>693</v>
      </c>
      <c r="K91" s="132"/>
    </row>
    <row r="92" spans="1:24" s="133" customFormat="1" ht="75" customHeight="1">
      <c r="A92" s="61" t="s">
        <v>1900</v>
      </c>
      <c r="B92" s="150" t="s">
        <v>757</v>
      </c>
      <c r="C92" s="177" t="s">
        <v>628</v>
      </c>
      <c r="D92" s="201">
        <v>4.5</v>
      </c>
      <c r="E92" s="201">
        <f t="shared" si="8"/>
        <v>4.95</v>
      </c>
      <c r="F92" s="201">
        <v>2.81</v>
      </c>
      <c r="G92" s="201">
        <f t="shared" si="9"/>
        <v>2.5289999999999999</v>
      </c>
      <c r="H92" s="149" t="s">
        <v>353</v>
      </c>
      <c r="I92" s="148" t="s">
        <v>345</v>
      </c>
      <c r="J92" s="450" t="s">
        <v>693</v>
      </c>
      <c r="K92" s="132"/>
    </row>
    <row r="93" spans="1:24" s="133" customFormat="1" ht="75" customHeight="1">
      <c r="A93" s="61" t="s">
        <v>1912</v>
      </c>
      <c r="B93" s="150" t="s">
        <v>758</v>
      </c>
      <c r="C93" s="177" t="s">
        <v>628</v>
      </c>
      <c r="D93" s="201">
        <v>4</v>
      </c>
      <c r="E93" s="201">
        <f t="shared" si="8"/>
        <v>4.4000000000000004</v>
      </c>
      <c r="F93" s="201">
        <v>2.81</v>
      </c>
      <c r="G93" s="201">
        <f t="shared" si="9"/>
        <v>2.5289999999999999</v>
      </c>
      <c r="H93" s="149" t="s">
        <v>353</v>
      </c>
      <c r="I93" s="148" t="s">
        <v>345</v>
      </c>
      <c r="J93" s="450" t="s">
        <v>693</v>
      </c>
      <c r="K93" s="132"/>
    </row>
    <row r="94" spans="1:24" s="133" customFormat="1" ht="83.45" customHeight="1">
      <c r="A94" s="61" t="s">
        <v>1913</v>
      </c>
      <c r="B94" s="150" t="s">
        <v>1320</v>
      </c>
      <c r="C94" s="177" t="s">
        <v>628</v>
      </c>
      <c r="D94" s="201">
        <v>3</v>
      </c>
      <c r="E94" s="201">
        <f t="shared" si="8"/>
        <v>3.3000000000000003</v>
      </c>
      <c r="F94" s="201">
        <v>2.81</v>
      </c>
      <c r="G94" s="201">
        <f t="shared" si="9"/>
        <v>2.5289999999999999</v>
      </c>
      <c r="H94" s="149" t="s">
        <v>353</v>
      </c>
      <c r="I94" s="148" t="s">
        <v>345</v>
      </c>
      <c r="J94" s="450" t="s">
        <v>693</v>
      </c>
      <c r="K94" s="132"/>
    </row>
    <row r="95" spans="1:24" s="133" customFormat="1" ht="75" customHeight="1">
      <c r="A95" s="61" t="s">
        <v>1901</v>
      </c>
      <c r="B95" s="150" t="s">
        <v>759</v>
      </c>
      <c r="C95" s="177" t="s">
        <v>628</v>
      </c>
      <c r="D95" s="201">
        <v>2.5</v>
      </c>
      <c r="E95" s="201">
        <f t="shared" si="8"/>
        <v>2.75</v>
      </c>
      <c r="F95" s="201">
        <v>2.81</v>
      </c>
      <c r="G95" s="201">
        <f t="shared" si="9"/>
        <v>2.5289999999999999</v>
      </c>
      <c r="H95" s="149" t="s">
        <v>353</v>
      </c>
      <c r="I95" s="148" t="s">
        <v>345</v>
      </c>
      <c r="J95" s="450" t="s">
        <v>693</v>
      </c>
      <c r="K95" s="132"/>
    </row>
    <row r="96" spans="1:24" s="133" customFormat="1" ht="52.5">
      <c r="A96" s="61" t="s">
        <v>1914</v>
      </c>
      <c r="B96" s="96" t="s">
        <v>760</v>
      </c>
      <c r="C96" s="177" t="s">
        <v>628</v>
      </c>
      <c r="D96" s="241" t="s">
        <v>277</v>
      </c>
      <c r="E96" s="241" t="s">
        <v>277</v>
      </c>
      <c r="F96" s="201">
        <v>96.9</v>
      </c>
      <c r="G96" s="201">
        <f t="shared" si="9"/>
        <v>87.210000000000008</v>
      </c>
      <c r="H96" s="149" t="s">
        <v>344</v>
      </c>
      <c r="I96" s="149" t="s">
        <v>346</v>
      </c>
      <c r="J96" s="450" t="s">
        <v>693</v>
      </c>
      <c r="K96" s="132"/>
    </row>
    <row r="97" spans="1:24" s="133" customFormat="1" ht="52.5">
      <c r="A97" s="61" t="s">
        <v>1887</v>
      </c>
      <c r="B97" s="96" t="s">
        <v>761</v>
      </c>
      <c r="C97" s="177" t="s">
        <v>628</v>
      </c>
      <c r="D97" s="241" t="s">
        <v>277</v>
      </c>
      <c r="E97" s="241" t="s">
        <v>277</v>
      </c>
      <c r="F97" s="201">
        <v>198.9</v>
      </c>
      <c r="G97" s="201">
        <f t="shared" si="9"/>
        <v>179.01</v>
      </c>
      <c r="H97" s="161" t="s">
        <v>343</v>
      </c>
      <c r="I97" s="96" t="s">
        <v>338</v>
      </c>
      <c r="J97" s="450" t="s">
        <v>693</v>
      </c>
      <c r="K97" s="132"/>
    </row>
    <row r="98" spans="1:24" s="133" customFormat="1" ht="63">
      <c r="A98" s="61" t="s">
        <v>1811</v>
      </c>
      <c r="B98" s="96" t="s">
        <v>613</v>
      </c>
      <c r="C98" s="177" t="s">
        <v>628</v>
      </c>
      <c r="D98" s="241" t="s">
        <v>783</v>
      </c>
      <c r="E98" s="241" t="s">
        <v>783</v>
      </c>
      <c r="F98" s="241" t="s">
        <v>783</v>
      </c>
      <c r="G98" s="241" t="s">
        <v>783</v>
      </c>
      <c r="H98" s="161" t="s">
        <v>285</v>
      </c>
      <c r="I98" s="96" t="s">
        <v>614</v>
      </c>
      <c r="J98" s="450" t="s">
        <v>693</v>
      </c>
      <c r="K98" s="132"/>
    </row>
    <row r="99" spans="1:24" s="203" customFormat="1" ht="21">
      <c r="A99" s="482" t="s">
        <v>1934</v>
      </c>
      <c r="B99" s="482" t="s">
        <v>617</v>
      </c>
      <c r="C99" s="411" t="s">
        <v>628</v>
      </c>
      <c r="D99" s="242" t="s">
        <v>783</v>
      </c>
      <c r="E99" s="242" t="s">
        <v>783</v>
      </c>
      <c r="F99" s="242" t="s">
        <v>783</v>
      </c>
      <c r="G99" s="242" t="s">
        <v>783</v>
      </c>
      <c r="H99" s="410" t="s">
        <v>288</v>
      </c>
      <c r="I99" s="482" t="s">
        <v>426</v>
      </c>
      <c r="J99" s="450" t="s">
        <v>693</v>
      </c>
      <c r="K99" s="132"/>
      <c r="L99" s="133"/>
      <c r="M99" s="133"/>
      <c r="N99" s="133"/>
      <c r="O99" s="133"/>
      <c r="P99" s="133"/>
      <c r="Q99" s="133"/>
      <c r="R99" s="133"/>
      <c r="S99" s="133"/>
      <c r="T99" s="133"/>
      <c r="U99" s="133"/>
      <c r="V99" s="133"/>
      <c r="W99" s="133"/>
      <c r="X99" s="133"/>
    </row>
    <row r="100" spans="1:24" s="133" customFormat="1" ht="63">
      <c r="A100" s="61" t="s">
        <v>1812</v>
      </c>
      <c r="B100" s="96" t="s">
        <v>619</v>
      </c>
      <c r="C100" s="177" t="s">
        <v>628</v>
      </c>
      <c r="D100" s="241" t="s">
        <v>783</v>
      </c>
      <c r="E100" s="241" t="s">
        <v>783</v>
      </c>
      <c r="F100" s="241" t="s">
        <v>783</v>
      </c>
      <c r="G100" s="241" t="s">
        <v>783</v>
      </c>
      <c r="H100" s="161" t="s">
        <v>288</v>
      </c>
      <c r="I100" s="61" t="s">
        <v>870</v>
      </c>
      <c r="J100" s="450" t="s">
        <v>426</v>
      </c>
      <c r="K100" s="132"/>
    </row>
    <row r="101" spans="1:24" s="133" customFormat="1">
      <c r="A101" s="96"/>
      <c r="B101" s="142"/>
      <c r="D101" s="472"/>
      <c r="J101" s="480"/>
    </row>
    <row r="102" spans="1:24" s="133" customFormat="1">
      <c r="A102" s="178"/>
      <c r="B102" s="179"/>
      <c r="C102" s="179"/>
      <c r="D102" s="473"/>
      <c r="E102" s="179"/>
      <c r="F102" s="179"/>
      <c r="G102" s="179"/>
      <c r="H102" s="179"/>
      <c r="I102" s="179"/>
      <c r="J102" s="481"/>
    </row>
    <row r="103" spans="1:24" s="133" customFormat="1">
      <c r="A103" s="172" t="s">
        <v>632</v>
      </c>
      <c r="B103" s="179"/>
      <c r="C103" s="179"/>
      <c r="D103" s="473"/>
      <c r="E103" s="179"/>
      <c r="F103" s="179"/>
      <c r="G103" s="179"/>
      <c r="H103" s="179"/>
      <c r="I103" s="179"/>
      <c r="J103" s="481"/>
    </row>
    <row r="104" spans="1:24" s="133" customFormat="1">
      <c r="A104" s="172"/>
      <c r="B104" s="179"/>
      <c r="C104" s="179"/>
      <c r="D104" s="473"/>
      <c r="E104" s="179"/>
      <c r="F104" s="179"/>
      <c r="G104" s="179"/>
      <c r="H104" s="179"/>
      <c r="I104" s="179"/>
      <c r="J104" s="481"/>
    </row>
    <row r="105" spans="1:24" s="133" customFormat="1">
      <c r="A105" s="172"/>
      <c r="B105" s="179"/>
      <c r="C105" s="179"/>
      <c r="D105" s="473"/>
      <c r="E105" s="179"/>
      <c r="F105" s="179"/>
      <c r="G105" s="179"/>
      <c r="H105" s="179"/>
      <c r="I105" s="179"/>
      <c r="J105" s="481"/>
    </row>
    <row r="106" spans="1:24" s="133" customFormat="1">
      <c r="A106" s="172"/>
      <c r="B106" s="179"/>
      <c r="C106" s="179"/>
      <c r="D106" s="473"/>
      <c r="E106" s="179"/>
      <c r="F106" s="179"/>
      <c r="G106" s="179"/>
      <c r="H106" s="179"/>
      <c r="I106" s="179"/>
      <c r="J106" s="481"/>
    </row>
    <row r="107" spans="1:24" s="133" customFormat="1">
      <c r="A107" s="172"/>
      <c r="B107" s="179"/>
      <c r="C107" s="179"/>
      <c r="D107" s="473"/>
      <c r="E107" s="179"/>
      <c r="F107" s="179"/>
      <c r="G107" s="179"/>
      <c r="H107" s="179"/>
      <c r="I107" s="179"/>
      <c r="J107" s="481"/>
    </row>
    <row r="108" spans="1:24" s="133" customFormat="1">
      <c r="A108" s="172"/>
      <c r="B108" s="179"/>
      <c r="C108" s="179"/>
      <c r="D108" s="473"/>
      <c r="E108" s="179"/>
      <c r="F108" s="179"/>
      <c r="G108" s="179"/>
      <c r="H108" s="179"/>
      <c r="I108" s="179"/>
      <c r="J108" s="481"/>
    </row>
    <row r="109" spans="1:24" s="133" customFormat="1">
      <c r="A109" s="172"/>
      <c r="B109" s="179"/>
      <c r="C109" s="179"/>
      <c r="D109" s="473"/>
      <c r="E109" s="179"/>
      <c r="F109" s="179"/>
      <c r="G109" s="179"/>
      <c r="H109" s="179"/>
      <c r="I109" s="179"/>
      <c r="J109" s="481"/>
    </row>
    <row r="110" spans="1:24" s="133" customFormat="1">
      <c r="A110" s="172"/>
      <c r="B110" s="179"/>
      <c r="C110" s="179"/>
      <c r="D110" s="473"/>
      <c r="E110" s="179"/>
      <c r="F110" s="179"/>
      <c r="G110" s="179"/>
      <c r="H110" s="179"/>
      <c r="I110" s="179"/>
      <c r="J110" s="481"/>
    </row>
    <row r="111" spans="1:24" s="133" customFormat="1">
      <c r="A111" s="172"/>
      <c r="B111" s="179"/>
      <c r="C111" s="179"/>
      <c r="D111" s="473"/>
      <c r="E111" s="179"/>
      <c r="F111" s="179"/>
      <c r="G111" s="179"/>
      <c r="H111" s="179"/>
      <c r="I111" s="179"/>
      <c r="J111" s="481"/>
    </row>
    <row r="112" spans="1:24" s="133" customFormat="1">
      <c r="A112" s="172"/>
      <c r="B112" s="179"/>
      <c r="C112" s="179"/>
      <c r="D112" s="473"/>
      <c r="E112" s="179"/>
      <c r="F112" s="179"/>
      <c r="G112" s="179"/>
      <c r="H112" s="179"/>
      <c r="I112" s="179"/>
      <c r="J112" s="481"/>
    </row>
    <row r="113" spans="1:10" s="133" customFormat="1">
      <c r="A113" s="172"/>
      <c r="B113" s="179"/>
      <c r="C113" s="179"/>
      <c r="D113" s="473"/>
      <c r="E113" s="179"/>
      <c r="F113" s="179"/>
      <c r="G113" s="179"/>
      <c r="H113" s="179"/>
      <c r="I113" s="179"/>
      <c r="J113" s="481"/>
    </row>
    <row r="114" spans="1:10" s="133" customFormat="1">
      <c r="A114" s="172"/>
      <c r="B114" s="179"/>
      <c r="C114" s="179"/>
      <c r="D114" s="473"/>
      <c r="E114" s="179"/>
      <c r="F114" s="179"/>
      <c r="G114" s="179"/>
      <c r="H114" s="179"/>
      <c r="I114" s="179"/>
      <c r="J114" s="481"/>
    </row>
    <row r="115" spans="1:10" s="133" customFormat="1">
      <c r="A115" s="172"/>
      <c r="B115" s="179"/>
      <c r="C115" s="179"/>
      <c r="D115" s="473"/>
      <c r="E115" s="179"/>
      <c r="F115" s="179"/>
      <c r="G115" s="179"/>
      <c r="H115" s="179"/>
      <c r="I115" s="179"/>
      <c r="J115" s="481"/>
    </row>
    <row r="116" spans="1:10" s="133" customFormat="1">
      <c r="A116" s="172"/>
      <c r="B116" s="179"/>
      <c r="C116" s="179"/>
      <c r="D116" s="473"/>
      <c r="E116" s="179"/>
      <c r="F116" s="179"/>
      <c r="G116" s="179"/>
      <c r="H116" s="179"/>
      <c r="I116" s="179"/>
      <c r="J116" s="481"/>
    </row>
    <row r="117" spans="1:10" s="133" customFormat="1">
      <c r="A117" s="172"/>
      <c r="B117" s="179"/>
      <c r="C117" s="179"/>
      <c r="D117" s="473"/>
      <c r="E117" s="179"/>
      <c r="F117" s="179"/>
      <c r="G117" s="179"/>
      <c r="H117" s="179"/>
      <c r="I117" s="179"/>
      <c r="J117" s="481"/>
    </row>
    <row r="118" spans="1:10" s="133" customFormat="1">
      <c r="A118" s="172"/>
      <c r="B118" s="179"/>
      <c r="C118" s="179"/>
      <c r="D118" s="473"/>
      <c r="E118" s="179"/>
      <c r="F118" s="179"/>
      <c r="G118" s="179"/>
      <c r="H118" s="179"/>
      <c r="I118" s="179"/>
      <c r="J118" s="481"/>
    </row>
    <row r="119" spans="1:10" s="133" customFormat="1">
      <c r="A119" s="172"/>
      <c r="B119" s="179"/>
      <c r="C119" s="179"/>
      <c r="D119" s="473"/>
      <c r="E119" s="179"/>
      <c r="F119" s="179"/>
      <c r="G119" s="179"/>
      <c r="H119" s="179"/>
      <c r="I119" s="179"/>
      <c r="J119" s="481"/>
    </row>
    <row r="120" spans="1:10" s="133" customFormat="1">
      <c r="A120" s="172"/>
      <c r="B120" s="179"/>
      <c r="C120" s="179"/>
      <c r="D120" s="473"/>
      <c r="E120" s="179"/>
      <c r="F120" s="179"/>
      <c r="G120" s="179"/>
      <c r="H120" s="179"/>
      <c r="I120" s="179"/>
      <c r="J120" s="481"/>
    </row>
    <row r="121" spans="1:10" s="133" customFormat="1">
      <c r="A121" s="172"/>
      <c r="B121" s="179"/>
      <c r="C121" s="179"/>
      <c r="D121" s="473"/>
      <c r="E121" s="179"/>
      <c r="F121" s="179"/>
      <c r="G121" s="179"/>
      <c r="H121" s="179"/>
      <c r="I121" s="179"/>
      <c r="J121" s="481"/>
    </row>
    <row r="122" spans="1:10" s="133" customFormat="1">
      <c r="A122" s="172"/>
      <c r="D122" s="472"/>
      <c r="J122" s="480"/>
    </row>
    <row r="123" spans="1:10" s="133" customFormat="1">
      <c r="A123" s="172"/>
      <c r="B123" s="141"/>
      <c r="D123" s="472"/>
      <c r="J123" s="480"/>
    </row>
    <row r="124" spans="1:10" s="133" customFormat="1">
      <c r="A124" s="170"/>
      <c r="B124" s="171"/>
      <c r="D124" s="472"/>
      <c r="J124" s="480"/>
    </row>
    <row r="125" spans="1:10" s="133" customFormat="1">
      <c r="A125" s="170"/>
      <c r="B125" s="171"/>
      <c r="D125" s="472"/>
      <c r="J125" s="480"/>
    </row>
    <row r="126" spans="1:10" s="133" customFormat="1">
      <c r="A126" s="170"/>
      <c r="D126" s="472"/>
      <c r="J126" s="480"/>
    </row>
    <row r="127" spans="1:10" s="133" customFormat="1">
      <c r="A127" s="172"/>
      <c r="D127" s="472"/>
      <c r="J127" s="480"/>
    </row>
    <row r="128" spans="1:10" s="133" customFormat="1">
      <c r="A128" s="172"/>
      <c r="D128" s="472"/>
      <c r="J128" s="480"/>
    </row>
    <row r="129" spans="1:10" s="133" customFormat="1">
      <c r="A129" s="172"/>
      <c r="D129" s="472"/>
      <c r="J129" s="480"/>
    </row>
    <row r="130" spans="1:10" s="133" customFormat="1">
      <c r="A130" s="172"/>
      <c r="D130" s="472"/>
      <c r="J130" s="480"/>
    </row>
    <row r="131" spans="1:10" s="133" customFormat="1">
      <c r="A131" s="172"/>
      <c r="D131" s="472"/>
      <c r="J131" s="480"/>
    </row>
    <row r="132" spans="1:10" s="133" customFormat="1">
      <c r="A132" s="172"/>
      <c r="D132" s="472"/>
      <c r="J132" s="480"/>
    </row>
    <row r="133" spans="1:10" s="133" customFormat="1">
      <c r="A133" s="172"/>
      <c r="D133" s="472"/>
      <c r="J133" s="480"/>
    </row>
    <row r="134" spans="1:10" s="133" customFormat="1">
      <c r="A134" s="172"/>
      <c r="D134" s="472"/>
      <c r="J134" s="480"/>
    </row>
    <row r="135" spans="1:10" s="133" customFormat="1">
      <c r="A135" s="172"/>
      <c r="D135" s="472"/>
      <c r="J135" s="480"/>
    </row>
    <row r="136" spans="1:10" s="133" customFormat="1">
      <c r="A136" s="172"/>
      <c r="D136" s="472"/>
      <c r="J136" s="480"/>
    </row>
    <row r="137" spans="1:10" s="133" customFormat="1">
      <c r="A137" s="172"/>
      <c r="D137" s="472"/>
      <c r="J137" s="480"/>
    </row>
    <row r="138" spans="1:10" s="133" customFormat="1">
      <c r="A138" s="172"/>
      <c r="D138" s="472"/>
      <c r="J138" s="480"/>
    </row>
    <row r="139" spans="1:10" s="8" customFormat="1">
      <c r="A139" s="172"/>
      <c r="B139" s="133"/>
      <c r="C139" s="133"/>
      <c r="D139" s="472"/>
      <c r="E139" s="133"/>
      <c r="F139" s="133"/>
      <c r="G139" s="133"/>
      <c r="H139" s="133"/>
      <c r="I139" s="133"/>
      <c r="J139" s="480"/>
    </row>
    <row r="140" spans="1:10" s="8" customFormat="1">
      <c r="A140" s="133"/>
      <c r="B140" s="133"/>
      <c r="C140" s="133"/>
      <c r="D140" s="472"/>
      <c r="E140" s="133"/>
      <c r="F140" s="133"/>
      <c r="G140" s="133"/>
      <c r="H140" s="133"/>
      <c r="I140" s="133"/>
      <c r="J140" s="480"/>
    </row>
    <row r="141" spans="1:10" s="8" customFormat="1">
      <c r="A141" s="133"/>
      <c r="B141" s="133"/>
      <c r="C141" s="133"/>
      <c r="D141" s="472"/>
      <c r="E141" s="133"/>
      <c r="F141" s="133"/>
      <c r="G141" s="133"/>
      <c r="H141" s="133"/>
      <c r="I141" s="133"/>
      <c r="J141" s="480"/>
    </row>
    <row r="142" spans="1:10" s="8" customFormat="1">
      <c r="A142" s="133"/>
      <c r="B142" s="133"/>
      <c r="C142" s="133"/>
      <c r="D142" s="472"/>
      <c r="E142" s="133"/>
      <c r="F142" s="133"/>
      <c r="G142" s="133"/>
      <c r="H142" s="133"/>
      <c r="I142" s="133"/>
      <c r="J142" s="480"/>
    </row>
    <row r="143" spans="1:10" s="8" customFormat="1">
      <c r="A143" s="133"/>
      <c r="B143" s="133"/>
      <c r="C143" s="133"/>
      <c r="D143" s="472"/>
      <c r="E143" s="133"/>
      <c r="F143" s="133"/>
      <c r="G143" s="133"/>
      <c r="H143" s="133"/>
      <c r="I143" s="133"/>
      <c r="J143" s="480"/>
    </row>
    <row r="144" spans="1:10" s="8" customFormat="1">
      <c r="A144" s="133"/>
      <c r="B144" s="133"/>
      <c r="C144" s="133"/>
      <c r="D144" s="472"/>
      <c r="E144" s="133"/>
      <c r="F144" s="133"/>
      <c r="G144" s="133"/>
      <c r="H144" s="133"/>
      <c r="I144" s="133"/>
      <c r="J144" s="480"/>
    </row>
    <row r="145" spans="1:10" s="8" customFormat="1">
      <c r="A145" s="133"/>
      <c r="B145" s="133"/>
      <c r="C145" s="133"/>
      <c r="D145" s="472"/>
      <c r="E145" s="133"/>
      <c r="F145" s="133"/>
      <c r="G145" s="133"/>
      <c r="H145" s="133"/>
      <c r="I145" s="133"/>
      <c r="J145" s="480"/>
    </row>
    <row r="146" spans="1:10" s="8" customFormat="1">
      <c r="A146" s="133"/>
      <c r="B146" s="133"/>
      <c r="C146" s="133"/>
      <c r="D146" s="472"/>
      <c r="E146" s="133"/>
      <c r="F146" s="133"/>
      <c r="G146" s="133"/>
      <c r="H146" s="133"/>
      <c r="I146" s="133"/>
      <c r="J146" s="480"/>
    </row>
    <row r="147" spans="1:10" s="8" customFormat="1">
      <c r="A147" s="133"/>
      <c r="B147" s="133"/>
      <c r="C147" s="133"/>
      <c r="D147" s="472"/>
      <c r="E147" s="133"/>
      <c r="F147" s="133"/>
      <c r="G147" s="133"/>
      <c r="H147" s="133"/>
      <c r="I147" s="133"/>
      <c r="J147" s="480"/>
    </row>
    <row r="148" spans="1:10" s="8" customFormat="1">
      <c r="A148" s="133"/>
      <c r="B148" s="133"/>
      <c r="C148" s="133"/>
      <c r="D148" s="472"/>
      <c r="E148" s="133"/>
      <c r="F148" s="133"/>
      <c r="G148" s="133"/>
      <c r="H148" s="133"/>
      <c r="I148" s="133"/>
      <c r="J148" s="480"/>
    </row>
    <row r="149" spans="1:10" s="8" customFormat="1">
      <c r="A149" s="133"/>
      <c r="B149" s="133"/>
      <c r="C149" s="133"/>
      <c r="D149" s="472"/>
      <c r="E149" s="133"/>
      <c r="F149" s="133"/>
      <c r="G149" s="133"/>
      <c r="H149" s="133"/>
      <c r="I149" s="133"/>
      <c r="J149" s="480"/>
    </row>
    <row r="150" spans="1:10" s="8" customFormat="1">
      <c r="A150" s="133"/>
      <c r="B150" s="133"/>
      <c r="C150" s="133"/>
      <c r="D150" s="472"/>
      <c r="E150" s="133"/>
      <c r="F150" s="133"/>
      <c r="G150" s="133"/>
      <c r="H150" s="133"/>
      <c r="I150" s="133"/>
      <c r="J150" s="480"/>
    </row>
    <row r="151" spans="1:10" s="8" customFormat="1">
      <c r="A151" s="133"/>
      <c r="B151" s="133"/>
      <c r="C151" s="133"/>
      <c r="D151" s="472"/>
      <c r="E151" s="133"/>
      <c r="F151" s="133"/>
      <c r="G151" s="133"/>
      <c r="H151" s="133"/>
      <c r="I151" s="133"/>
      <c r="J151" s="480"/>
    </row>
    <row r="152" spans="1:10" s="8" customFormat="1">
      <c r="A152" s="133"/>
      <c r="B152" s="133"/>
      <c r="C152" s="133"/>
      <c r="D152" s="472"/>
      <c r="E152" s="133"/>
      <c r="F152" s="133"/>
      <c r="G152" s="133"/>
      <c r="H152" s="133"/>
      <c r="I152" s="133"/>
      <c r="J152" s="480"/>
    </row>
    <row r="153" spans="1:10" s="8" customFormat="1">
      <c r="A153" s="133"/>
      <c r="B153" s="133"/>
      <c r="C153" s="133"/>
      <c r="D153" s="472"/>
      <c r="E153" s="133"/>
      <c r="F153" s="133"/>
      <c r="G153" s="133"/>
      <c r="H153" s="133"/>
      <c r="I153" s="133"/>
      <c r="J153" s="480"/>
    </row>
    <row r="154" spans="1:10" s="8" customFormat="1">
      <c r="A154" s="133"/>
      <c r="B154" s="133"/>
      <c r="C154" s="133"/>
      <c r="D154" s="472"/>
      <c r="E154" s="133"/>
      <c r="F154" s="133"/>
      <c r="G154" s="133"/>
      <c r="H154" s="133"/>
      <c r="I154" s="133"/>
      <c r="J154" s="480"/>
    </row>
    <row r="155" spans="1:10" s="8" customFormat="1">
      <c r="A155" s="133"/>
      <c r="B155" s="133"/>
      <c r="C155" s="133"/>
      <c r="D155" s="472"/>
      <c r="E155" s="133"/>
      <c r="F155" s="133"/>
      <c r="G155" s="133"/>
      <c r="H155" s="133"/>
      <c r="I155" s="133"/>
      <c r="J155" s="480"/>
    </row>
    <row r="156" spans="1:10" s="8" customFormat="1">
      <c r="A156" s="133"/>
      <c r="B156" s="133"/>
      <c r="C156" s="133"/>
      <c r="D156" s="472"/>
      <c r="E156" s="133"/>
      <c r="F156" s="133"/>
      <c r="G156" s="133"/>
      <c r="H156" s="133"/>
      <c r="I156" s="133"/>
      <c r="J156" s="480"/>
    </row>
    <row r="157" spans="1:10" s="8" customFormat="1">
      <c r="A157" s="133"/>
      <c r="B157" s="133"/>
      <c r="C157" s="133"/>
      <c r="D157" s="472"/>
      <c r="E157" s="133"/>
      <c r="F157" s="133"/>
      <c r="G157" s="133"/>
      <c r="H157" s="133"/>
      <c r="I157" s="133"/>
      <c r="J157" s="480"/>
    </row>
    <row r="158" spans="1:10" s="8" customFormat="1">
      <c r="A158" s="133"/>
      <c r="B158" s="133"/>
      <c r="C158" s="133"/>
      <c r="D158" s="472"/>
      <c r="E158" s="133"/>
      <c r="F158" s="133"/>
      <c r="G158" s="133"/>
      <c r="H158" s="133"/>
      <c r="I158" s="133"/>
      <c r="J158" s="480"/>
    </row>
    <row r="159" spans="1:10" s="8" customFormat="1">
      <c r="A159" s="133"/>
      <c r="B159" s="133"/>
      <c r="C159" s="133"/>
      <c r="D159" s="472"/>
      <c r="E159" s="133"/>
      <c r="F159" s="133"/>
      <c r="G159" s="133"/>
      <c r="H159" s="133"/>
      <c r="I159" s="133"/>
      <c r="J159" s="480"/>
    </row>
    <row r="160" spans="1:10" s="8" customFormat="1">
      <c r="A160" s="133"/>
      <c r="B160" s="133"/>
      <c r="C160" s="133"/>
      <c r="D160" s="472"/>
      <c r="E160" s="133"/>
      <c r="F160" s="133"/>
      <c r="G160" s="133"/>
      <c r="H160" s="133"/>
      <c r="I160" s="133"/>
      <c r="J160" s="480"/>
    </row>
    <row r="161" spans="1:10" s="8" customFormat="1">
      <c r="A161" s="133"/>
      <c r="B161" s="133"/>
      <c r="C161" s="133"/>
      <c r="D161" s="472"/>
      <c r="E161" s="133"/>
      <c r="F161" s="133"/>
      <c r="G161" s="133"/>
      <c r="H161" s="133"/>
      <c r="I161" s="133"/>
      <c r="J161" s="480"/>
    </row>
    <row r="162" spans="1:10" s="8" customFormat="1">
      <c r="A162" s="133"/>
      <c r="B162" s="133"/>
      <c r="C162" s="133"/>
      <c r="D162" s="472"/>
      <c r="E162" s="133"/>
      <c r="F162" s="133"/>
      <c r="G162" s="133"/>
      <c r="H162" s="133"/>
      <c r="I162" s="133"/>
      <c r="J162" s="480"/>
    </row>
    <row r="163" spans="1:10" s="8" customFormat="1">
      <c r="A163" s="133"/>
      <c r="B163" s="133"/>
      <c r="C163" s="133"/>
      <c r="D163" s="472"/>
      <c r="E163" s="133"/>
      <c r="F163" s="133"/>
      <c r="G163" s="133"/>
      <c r="H163" s="133"/>
      <c r="I163" s="133"/>
      <c r="J163" s="480"/>
    </row>
    <row r="164" spans="1:10" s="8" customFormat="1">
      <c r="A164" s="133"/>
      <c r="B164" s="133"/>
      <c r="C164" s="133"/>
      <c r="D164" s="472"/>
      <c r="E164" s="133"/>
      <c r="F164" s="133"/>
      <c r="G164" s="133"/>
      <c r="H164" s="133"/>
      <c r="I164" s="133"/>
      <c r="J164" s="480"/>
    </row>
    <row r="165" spans="1:10" s="8" customFormat="1">
      <c r="A165" s="133"/>
      <c r="B165" s="133"/>
      <c r="C165" s="133"/>
      <c r="D165" s="472"/>
      <c r="E165" s="133"/>
      <c r="F165" s="133"/>
      <c r="G165" s="133"/>
      <c r="H165" s="133"/>
      <c r="I165" s="133"/>
      <c r="J165" s="480"/>
    </row>
    <row r="166" spans="1:10" s="8" customFormat="1">
      <c r="A166" s="133"/>
      <c r="B166" s="133"/>
      <c r="C166" s="133"/>
      <c r="D166" s="472"/>
      <c r="E166" s="133"/>
      <c r="F166" s="133"/>
      <c r="G166" s="133"/>
      <c r="H166" s="133"/>
      <c r="I166" s="133"/>
      <c r="J166" s="480"/>
    </row>
    <row r="167" spans="1:10" s="8" customFormat="1">
      <c r="A167" s="133"/>
      <c r="B167" s="133"/>
      <c r="C167" s="133"/>
      <c r="D167" s="472"/>
      <c r="E167" s="133"/>
      <c r="F167" s="133"/>
      <c r="G167" s="133"/>
      <c r="H167" s="133"/>
      <c r="I167" s="133"/>
      <c r="J167" s="480"/>
    </row>
    <row r="168" spans="1:10" s="8" customFormat="1">
      <c r="A168" s="133"/>
      <c r="B168" s="133"/>
      <c r="C168" s="133"/>
      <c r="D168" s="472"/>
      <c r="E168" s="133"/>
      <c r="F168" s="133"/>
      <c r="G168" s="133"/>
      <c r="H168" s="133"/>
      <c r="I168" s="133"/>
      <c r="J168" s="480"/>
    </row>
    <row r="169" spans="1:10" s="8" customFormat="1">
      <c r="A169" s="133"/>
      <c r="B169" s="133"/>
      <c r="C169" s="133"/>
      <c r="D169" s="472"/>
      <c r="E169" s="133"/>
      <c r="F169" s="133"/>
      <c r="G169" s="133"/>
      <c r="H169" s="133"/>
      <c r="I169" s="133"/>
      <c r="J169" s="480"/>
    </row>
    <row r="170" spans="1:10" s="8" customFormat="1">
      <c r="A170" s="133"/>
      <c r="B170" s="133"/>
      <c r="C170" s="133"/>
      <c r="D170" s="472"/>
      <c r="E170" s="133"/>
      <c r="F170" s="133"/>
      <c r="G170" s="133"/>
      <c r="H170" s="133"/>
      <c r="I170" s="133"/>
      <c r="J170" s="480"/>
    </row>
    <row r="171" spans="1:10" s="8" customFormat="1">
      <c r="A171" s="133"/>
      <c r="B171" s="133"/>
      <c r="C171" s="133"/>
      <c r="D171" s="472"/>
      <c r="E171" s="133"/>
      <c r="F171" s="133"/>
      <c r="G171" s="133"/>
      <c r="H171" s="133"/>
      <c r="I171" s="133"/>
      <c r="J171" s="480"/>
    </row>
    <row r="172" spans="1:10" s="8" customFormat="1">
      <c r="A172" s="133"/>
      <c r="B172" s="133"/>
      <c r="C172" s="133"/>
      <c r="D172" s="472"/>
      <c r="E172" s="133"/>
      <c r="F172" s="133"/>
      <c r="G172" s="133"/>
      <c r="H172" s="133"/>
      <c r="I172" s="133"/>
      <c r="J172" s="480"/>
    </row>
    <row r="173" spans="1:10" s="8" customFormat="1">
      <c r="A173" s="133"/>
      <c r="B173" s="133"/>
      <c r="C173" s="133"/>
      <c r="D173" s="472"/>
      <c r="E173" s="133"/>
      <c r="F173" s="133"/>
      <c r="G173" s="133"/>
      <c r="H173" s="133"/>
      <c r="I173" s="133"/>
      <c r="J173" s="480"/>
    </row>
    <row r="174" spans="1:10" s="8" customFormat="1">
      <c r="A174" s="133"/>
      <c r="B174" s="133"/>
      <c r="C174" s="133"/>
      <c r="D174" s="472"/>
      <c r="E174" s="133"/>
      <c r="F174" s="133"/>
      <c r="G174" s="133"/>
      <c r="H174" s="133"/>
      <c r="I174" s="133"/>
      <c r="J174" s="480"/>
    </row>
    <row r="175" spans="1:10" s="8" customFormat="1">
      <c r="A175" s="133"/>
      <c r="B175" s="133"/>
      <c r="C175" s="133"/>
      <c r="D175" s="472"/>
      <c r="E175" s="133"/>
      <c r="F175" s="133"/>
      <c r="G175" s="133"/>
      <c r="H175" s="133"/>
      <c r="I175" s="133"/>
      <c r="J175" s="480"/>
    </row>
    <row r="176" spans="1:10" s="8" customFormat="1">
      <c r="A176" s="133"/>
      <c r="B176" s="133"/>
      <c r="C176" s="133"/>
      <c r="D176" s="472"/>
      <c r="E176" s="133"/>
      <c r="F176" s="133"/>
      <c r="G176" s="133"/>
      <c r="H176" s="133"/>
      <c r="I176" s="133"/>
      <c r="J176" s="480"/>
    </row>
    <row r="177" spans="1:10" s="8" customFormat="1">
      <c r="A177" s="133"/>
      <c r="B177" s="133"/>
      <c r="C177" s="133"/>
      <c r="D177" s="472"/>
      <c r="E177" s="133"/>
      <c r="F177" s="133"/>
      <c r="G177" s="133"/>
      <c r="H177" s="133"/>
      <c r="I177" s="133"/>
      <c r="J177" s="480"/>
    </row>
    <row r="178" spans="1:10" s="8" customFormat="1">
      <c r="A178" s="133"/>
      <c r="B178" s="133"/>
      <c r="C178" s="133"/>
      <c r="D178" s="472"/>
      <c r="E178" s="133"/>
      <c r="F178" s="133"/>
      <c r="G178" s="133"/>
      <c r="H178" s="133"/>
      <c r="I178" s="133"/>
      <c r="J178" s="480"/>
    </row>
    <row r="179" spans="1:10" s="8" customFormat="1">
      <c r="A179" s="133"/>
      <c r="B179" s="133"/>
      <c r="C179" s="133"/>
      <c r="D179" s="472"/>
      <c r="E179" s="133"/>
      <c r="F179" s="133"/>
      <c r="G179" s="133"/>
      <c r="H179" s="133"/>
      <c r="I179" s="133"/>
      <c r="J179" s="480"/>
    </row>
    <row r="180" spans="1:10" s="8" customFormat="1">
      <c r="A180" s="133"/>
      <c r="B180" s="133"/>
      <c r="C180" s="133"/>
      <c r="D180" s="472"/>
      <c r="E180" s="133"/>
      <c r="F180" s="133"/>
      <c r="G180" s="133"/>
      <c r="H180" s="133"/>
      <c r="I180" s="133"/>
      <c r="J180" s="480"/>
    </row>
    <row r="181" spans="1:10" s="8" customFormat="1">
      <c r="A181" s="133"/>
      <c r="B181" s="133"/>
      <c r="C181" s="133"/>
      <c r="D181" s="472"/>
      <c r="E181" s="133"/>
      <c r="F181" s="133"/>
      <c r="G181" s="133"/>
      <c r="H181" s="133"/>
      <c r="I181" s="133"/>
      <c r="J181" s="480"/>
    </row>
    <row r="182" spans="1:10" s="8" customFormat="1">
      <c r="A182" s="133"/>
      <c r="B182" s="133"/>
      <c r="C182" s="133"/>
      <c r="D182" s="472"/>
      <c r="E182" s="133"/>
      <c r="F182" s="133"/>
      <c r="G182" s="133"/>
      <c r="H182" s="133"/>
      <c r="I182" s="133"/>
      <c r="J182" s="480"/>
    </row>
    <row r="183" spans="1:10" s="8" customFormat="1">
      <c r="A183" s="133"/>
      <c r="B183" s="133"/>
      <c r="C183" s="133"/>
      <c r="D183" s="472"/>
      <c r="E183" s="133"/>
      <c r="F183" s="133"/>
      <c r="G183" s="133"/>
      <c r="H183" s="133"/>
      <c r="I183" s="133"/>
      <c r="J183" s="480"/>
    </row>
    <row r="184" spans="1:10" s="8" customFormat="1">
      <c r="A184" s="133"/>
      <c r="B184" s="133"/>
      <c r="C184" s="133"/>
      <c r="D184" s="472"/>
      <c r="E184" s="133"/>
      <c r="F184" s="133"/>
      <c r="G184" s="133"/>
      <c r="H184" s="133"/>
      <c r="I184" s="133"/>
      <c r="J184" s="480"/>
    </row>
    <row r="185" spans="1:10" s="8" customFormat="1">
      <c r="A185" s="133"/>
      <c r="B185" s="133"/>
      <c r="C185" s="133"/>
      <c r="D185" s="472"/>
      <c r="E185" s="133"/>
      <c r="F185" s="133"/>
      <c r="G185" s="133"/>
      <c r="H185" s="133"/>
      <c r="I185" s="133"/>
      <c r="J185" s="480"/>
    </row>
    <row r="186" spans="1:10" s="8" customFormat="1">
      <c r="A186" s="133"/>
      <c r="B186" s="133"/>
      <c r="C186" s="133"/>
      <c r="D186" s="472"/>
      <c r="E186" s="133"/>
      <c r="F186" s="133"/>
      <c r="G186" s="133"/>
      <c r="H186" s="133"/>
      <c r="I186" s="133"/>
      <c r="J186" s="480"/>
    </row>
    <row r="187" spans="1:10" s="8" customFormat="1">
      <c r="A187" s="133"/>
      <c r="B187" s="133"/>
      <c r="C187" s="133"/>
      <c r="D187" s="472"/>
      <c r="E187" s="133"/>
      <c r="F187" s="133"/>
      <c r="G187" s="133"/>
      <c r="H187" s="133"/>
      <c r="I187" s="133"/>
      <c r="J187" s="480"/>
    </row>
    <row r="188" spans="1:10" s="8" customFormat="1">
      <c r="A188" s="133"/>
      <c r="B188" s="133"/>
      <c r="C188" s="133"/>
      <c r="D188" s="472"/>
      <c r="E188" s="133"/>
      <c r="F188" s="133"/>
      <c r="G188" s="133"/>
      <c r="H188" s="133"/>
      <c r="I188" s="133"/>
      <c r="J188" s="480"/>
    </row>
    <row r="189" spans="1:10" s="8" customFormat="1">
      <c r="A189" s="133"/>
      <c r="B189" s="133"/>
      <c r="C189" s="133"/>
      <c r="D189" s="472"/>
      <c r="E189" s="133"/>
      <c r="F189" s="133"/>
      <c r="G189" s="133"/>
      <c r="H189" s="133"/>
      <c r="I189" s="133"/>
      <c r="J189" s="480"/>
    </row>
    <row r="190" spans="1:10" s="8" customFormat="1">
      <c r="A190" s="133"/>
      <c r="B190" s="133"/>
      <c r="C190" s="133"/>
      <c r="D190" s="472"/>
      <c r="E190" s="133"/>
      <c r="F190" s="133"/>
      <c r="G190" s="133"/>
      <c r="H190" s="133"/>
      <c r="I190" s="133"/>
      <c r="J190" s="480"/>
    </row>
    <row r="191" spans="1:10" s="8" customFormat="1">
      <c r="A191" s="133"/>
      <c r="B191" s="133"/>
      <c r="C191" s="133"/>
      <c r="D191" s="472"/>
      <c r="E191" s="133"/>
      <c r="F191" s="133"/>
      <c r="G191" s="133"/>
      <c r="H191" s="133"/>
      <c r="I191" s="133"/>
      <c r="J191" s="480"/>
    </row>
    <row r="192" spans="1:10" s="8" customFormat="1">
      <c r="A192" s="133"/>
      <c r="B192" s="133"/>
      <c r="C192" s="133"/>
      <c r="D192" s="472"/>
      <c r="E192" s="133"/>
      <c r="F192" s="133"/>
      <c r="G192" s="133"/>
      <c r="H192" s="133"/>
      <c r="I192" s="133"/>
      <c r="J192" s="480"/>
    </row>
    <row r="193" spans="1:10" s="8" customFormat="1">
      <c r="A193" s="133"/>
      <c r="B193" s="133"/>
      <c r="C193" s="133"/>
      <c r="D193" s="472"/>
      <c r="E193" s="133"/>
      <c r="F193" s="133"/>
      <c r="G193" s="133"/>
      <c r="H193" s="133"/>
      <c r="I193" s="133"/>
      <c r="J193" s="480"/>
    </row>
    <row r="194" spans="1:10" s="8" customFormat="1">
      <c r="A194" s="133"/>
      <c r="B194" s="133"/>
      <c r="C194" s="133"/>
      <c r="D194" s="474"/>
      <c r="E194" s="203"/>
      <c r="F194" s="133"/>
      <c r="G194" s="133"/>
      <c r="H194" s="133"/>
      <c r="I194" s="133"/>
      <c r="J194" s="480"/>
    </row>
    <row r="195" spans="1:10" s="8" customFormat="1">
      <c r="A195" s="133"/>
      <c r="B195" s="133"/>
      <c r="C195" s="133"/>
      <c r="D195" s="474"/>
      <c r="E195" s="203"/>
      <c r="F195" s="133"/>
      <c r="G195" s="133"/>
      <c r="H195" s="133"/>
      <c r="I195" s="133"/>
      <c r="J195" s="480"/>
    </row>
    <row r="196" spans="1:10" s="8" customFormat="1">
      <c r="A196" s="133"/>
      <c r="B196" s="133"/>
      <c r="C196" s="133"/>
      <c r="D196" s="474"/>
      <c r="E196" s="203"/>
      <c r="F196" s="133"/>
      <c r="G196" s="133"/>
      <c r="H196" s="133"/>
      <c r="I196" s="133"/>
      <c r="J196" s="480"/>
    </row>
    <row r="197" spans="1:10" s="8" customFormat="1">
      <c r="A197" s="133"/>
      <c r="B197" s="133"/>
      <c r="C197" s="133"/>
      <c r="D197" s="474"/>
      <c r="E197" s="203"/>
      <c r="F197" s="133"/>
      <c r="G197" s="133"/>
      <c r="H197" s="133"/>
      <c r="I197" s="133"/>
      <c r="J197" s="480"/>
    </row>
    <row r="198" spans="1:10" s="8" customFormat="1">
      <c r="A198" s="133"/>
      <c r="B198" s="133"/>
      <c r="C198" s="133"/>
      <c r="D198" s="474"/>
      <c r="E198" s="203"/>
      <c r="F198" s="133"/>
      <c r="G198" s="133"/>
      <c r="H198" s="133"/>
      <c r="I198" s="133"/>
      <c r="J198" s="480"/>
    </row>
    <row r="199" spans="1:10" s="8" customFormat="1">
      <c r="A199" s="133"/>
      <c r="B199" s="133"/>
      <c r="C199" s="133"/>
      <c r="D199" s="474"/>
      <c r="E199" s="203"/>
      <c r="F199" s="133"/>
      <c r="G199" s="133"/>
      <c r="H199" s="133"/>
      <c r="I199" s="133"/>
      <c r="J199" s="480"/>
    </row>
    <row r="200" spans="1:10" s="8" customFormat="1">
      <c r="A200" s="133"/>
      <c r="B200" s="133"/>
      <c r="C200" s="133"/>
      <c r="D200" s="474"/>
      <c r="E200" s="203"/>
      <c r="F200" s="133"/>
      <c r="G200" s="133"/>
      <c r="H200" s="133"/>
      <c r="I200" s="133"/>
      <c r="J200" s="480"/>
    </row>
    <row r="201" spans="1:10" s="8" customFormat="1">
      <c r="A201" s="133"/>
      <c r="B201" s="133"/>
      <c r="C201" s="133"/>
      <c r="D201" s="474"/>
      <c r="E201" s="203"/>
      <c r="F201" s="133"/>
      <c r="G201" s="133"/>
      <c r="H201" s="133"/>
      <c r="I201" s="133"/>
      <c r="J201" s="480"/>
    </row>
    <row r="202" spans="1:10" s="8" customFormat="1">
      <c r="A202" s="133"/>
      <c r="B202" s="133"/>
      <c r="C202" s="133"/>
      <c r="D202" s="474"/>
      <c r="E202" s="203"/>
      <c r="F202" s="133"/>
      <c r="G202" s="133"/>
      <c r="H202" s="133"/>
      <c r="I202" s="133"/>
      <c r="J202" s="480"/>
    </row>
    <row r="203" spans="1:10" s="8" customFormat="1">
      <c r="A203" s="133"/>
      <c r="B203" s="133"/>
      <c r="C203" s="133"/>
      <c r="D203" s="474"/>
      <c r="E203" s="203"/>
      <c r="F203" s="133"/>
      <c r="G203" s="133"/>
      <c r="H203" s="133"/>
      <c r="I203" s="133"/>
      <c r="J203" s="480"/>
    </row>
    <row r="204" spans="1:10" s="8" customFormat="1">
      <c r="A204" s="133"/>
      <c r="B204" s="133"/>
      <c r="C204" s="133"/>
      <c r="D204" s="474"/>
      <c r="E204" s="203"/>
      <c r="F204" s="133"/>
      <c r="G204" s="133"/>
      <c r="H204" s="133"/>
      <c r="I204" s="133"/>
      <c r="J204" s="480"/>
    </row>
    <row r="205" spans="1:10" s="8" customFormat="1">
      <c r="A205" s="133"/>
      <c r="B205" s="133"/>
      <c r="C205" s="133"/>
      <c r="D205" s="474"/>
      <c r="E205" s="203"/>
      <c r="F205" s="133"/>
      <c r="G205" s="133"/>
      <c r="H205" s="133"/>
      <c r="I205" s="133"/>
      <c r="J205" s="480"/>
    </row>
    <row r="206" spans="1:10" s="8" customFormat="1">
      <c r="A206" s="133"/>
      <c r="B206" s="133"/>
      <c r="C206" s="133"/>
      <c r="D206" s="474"/>
      <c r="E206" s="203"/>
      <c r="F206" s="133"/>
      <c r="G206" s="133"/>
      <c r="H206" s="133"/>
      <c r="I206" s="133"/>
      <c r="J206" s="480"/>
    </row>
    <row r="207" spans="1:10" s="8" customFormat="1">
      <c r="A207" s="133"/>
      <c r="B207" s="133"/>
      <c r="C207" s="133"/>
      <c r="D207" s="474"/>
      <c r="E207" s="203"/>
      <c r="F207" s="133"/>
      <c r="G207" s="133"/>
      <c r="H207" s="133"/>
      <c r="I207" s="133"/>
      <c r="J207" s="480"/>
    </row>
    <row r="208" spans="1:10" s="8" customFormat="1">
      <c r="A208" s="133"/>
      <c r="B208" s="133"/>
      <c r="C208" s="133"/>
      <c r="D208" s="474"/>
      <c r="E208" s="203"/>
      <c r="F208" s="133"/>
      <c r="G208" s="133"/>
      <c r="H208" s="133"/>
      <c r="I208" s="133"/>
      <c r="J208" s="480"/>
    </row>
    <row r="209" spans="1:10" s="8" customFormat="1">
      <c r="A209" s="133"/>
      <c r="B209" s="133"/>
      <c r="C209" s="133"/>
      <c r="D209" s="474"/>
      <c r="E209" s="203"/>
      <c r="F209" s="133"/>
      <c r="G209" s="133"/>
      <c r="H209" s="133"/>
      <c r="I209" s="133"/>
      <c r="J209" s="480"/>
    </row>
    <row r="210" spans="1:10" s="8" customFormat="1">
      <c r="A210" s="133"/>
      <c r="B210" s="133"/>
      <c r="C210" s="133"/>
      <c r="D210" s="474"/>
      <c r="E210" s="203"/>
      <c r="F210" s="133"/>
      <c r="G210" s="133"/>
      <c r="H210" s="133"/>
      <c r="I210" s="133"/>
      <c r="J210" s="480"/>
    </row>
    <row r="211" spans="1:10" s="8" customFormat="1">
      <c r="A211" s="133"/>
      <c r="B211" s="133"/>
      <c r="C211" s="133"/>
      <c r="D211" s="474"/>
      <c r="E211" s="203"/>
      <c r="F211" s="133"/>
      <c r="G211" s="133"/>
      <c r="H211" s="133"/>
      <c r="I211" s="133"/>
      <c r="J211" s="480"/>
    </row>
    <row r="212" spans="1:10" s="8" customFormat="1">
      <c r="A212" s="133"/>
      <c r="B212" s="133"/>
      <c r="C212" s="133"/>
      <c r="D212" s="474"/>
      <c r="E212" s="203"/>
      <c r="F212" s="133"/>
      <c r="G212" s="133"/>
      <c r="H212" s="133"/>
      <c r="I212" s="133"/>
      <c r="J212" s="480"/>
    </row>
    <row r="213" spans="1:10" s="8" customFormat="1">
      <c r="A213" s="133"/>
      <c r="B213" s="133"/>
      <c r="C213" s="133"/>
      <c r="D213" s="474"/>
      <c r="E213" s="203"/>
      <c r="F213" s="133"/>
      <c r="G213" s="133"/>
      <c r="H213" s="133"/>
      <c r="I213" s="133"/>
      <c r="J213" s="480"/>
    </row>
    <row r="214" spans="1:10" s="8" customFormat="1">
      <c r="A214" s="133"/>
      <c r="B214" s="133"/>
      <c r="C214" s="133"/>
      <c r="D214" s="474"/>
      <c r="E214" s="203"/>
      <c r="F214" s="133"/>
      <c r="G214" s="133"/>
      <c r="H214" s="133"/>
      <c r="I214" s="133"/>
      <c r="J214" s="480"/>
    </row>
    <row r="215" spans="1:10" s="8" customFormat="1">
      <c r="A215" s="133"/>
      <c r="B215" s="133"/>
      <c r="C215" s="133"/>
      <c r="D215" s="474"/>
      <c r="E215" s="203"/>
      <c r="F215" s="133"/>
      <c r="G215" s="133"/>
      <c r="H215" s="133"/>
      <c r="I215" s="133"/>
      <c r="J215" s="480"/>
    </row>
    <row r="216" spans="1:10" s="8" customFormat="1">
      <c r="A216" s="133"/>
      <c r="B216" s="133"/>
      <c r="C216" s="133"/>
      <c r="D216" s="474"/>
      <c r="E216" s="203"/>
      <c r="F216" s="133"/>
      <c r="G216" s="133"/>
      <c r="H216" s="133"/>
      <c r="I216" s="133"/>
      <c r="J216" s="480"/>
    </row>
    <row r="217" spans="1:10" s="8" customFormat="1">
      <c r="A217" s="133"/>
      <c r="B217" s="133"/>
      <c r="C217" s="133"/>
      <c r="D217" s="474"/>
      <c r="E217" s="203"/>
      <c r="F217" s="133"/>
      <c r="G217" s="133"/>
      <c r="H217" s="133"/>
      <c r="I217" s="133"/>
      <c r="J217" s="480"/>
    </row>
    <row r="218" spans="1:10" s="8" customFormat="1">
      <c r="A218" s="133"/>
      <c r="B218" s="133"/>
      <c r="C218" s="133"/>
      <c r="D218" s="474"/>
      <c r="E218" s="203"/>
      <c r="F218" s="133"/>
      <c r="G218" s="133"/>
      <c r="H218" s="133"/>
      <c r="I218" s="133"/>
      <c r="J218" s="480"/>
    </row>
    <row r="219" spans="1:10" s="8" customFormat="1">
      <c r="A219" s="133"/>
      <c r="B219" s="133"/>
      <c r="C219" s="133"/>
      <c r="D219" s="474"/>
      <c r="E219" s="203"/>
      <c r="F219" s="133"/>
      <c r="G219" s="133"/>
      <c r="H219" s="133"/>
      <c r="I219" s="133"/>
      <c r="J219" s="480"/>
    </row>
    <row r="220" spans="1:10" s="8" customFormat="1">
      <c r="A220" s="133"/>
      <c r="B220" s="133"/>
      <c r="C220" s="133"/>
      <c r="D220" s="474"/>
      <c r="E220" s="203"/>
      <c r="F220" s="133"/>
      <c r="G220" s="133"/>
      <c r="H220" s="133"/>
      <c r="I220" s="133"/>
      <c r="J220" s="480"/>
    </row>
    <row r="221" spans="1:10" s="8" customFormat="1">
      <c r="A221" s="133"/>
      <c r="B221" s="133"/>
      <c r="C221" s="133"/>
      <c r="D221" s="474"/>
      <c r="E221" s="203"/>
      <c r="F221" s="133"/>
      <c r="G221" s="133"/>
      <c r="H221" s="133"/>
      <c r="I221" s="133"/>
      <c r="J221" s="480"/>
    </row>
    <row r="222" spans="1:10" s="8" customFormat="1">
      <c r="A222" s="133"/>
      <c r="B222" s="133"/>
      <c r="C222" s="133"/>
      <c r="D222" s="474"/>
      <c r="E222" s="203"/>
      <c r="F222" s="133"/>
      <c r="G222" s="133"/>
      <c r="H222" s="133"/>
      <c r="I222" s="133"/>
      <c r="J222" s="480"/>
    </row>
    <row r="223" spans="1:10" s="8" customFormat="1">
      <c r="A223" s="133"/>
      <c r="B223" s="133"/>
      <c r="C223" s="133"/>
      <c r="D223" s="474"/>
      <c r="E223" s="203"/>
      <c r="F223" s="133"/>
      <c r="G223" s="133"/>
      <c r="H223" s="133"/>
      <c r="I223" s="133"/>
      <c r="J223" s="480"/>
    </row>
    <row r="224" spans="1:10" s="8" customFormat="1">
      <c r="A224" s="133"/>
      <c r="B224" s="133"/>
      <c r="C224" s="133"/>
      <c r="D224" s="474"/>
      <c r="E224" s="203"/>
      <c r="F224" s="133"/>
      <c r="G224" s="133"/>
      <c r="H224" s="133"/>
      <c r="I224" s="133"/>
      <c r="J224" s="480"/>
    </row>
    <row r="225" spans="1:10" s="8" customFormat="1">
      <c r="A225" s="133"/>
      <c r="B225" s="133"/>
      <c r="C225" s="133"/>
      <c r="D225" s="474"/>
      <c r="E225" s="203"/>
      <c r="F225" s="133"/>
      <c r="G225" s="133"/>
      <c r="H225" s="133"/>
      <c r="I225" s="133"/>
      <c r="J225" s="480"/>
    </row>
    <row r="226" spans="1:10" s="8" customFormat="1">
      <c r="A226" s="133"/>
      <c r="B226" s="133"/>
      <c r="C226" s="133"/>
      <c r="D226" s="474"/>
      <c r="E226" s="203"/>
      <c r="F226" s="133"/>
      <c r="G226" s="133"/>
      <c r="H226" s="133"/>
      <c r="I226" s="133"/>
      <c r="J226" s="480"/>
    </row>
    <row r="227" spans="1:10" s="8" customFormat="1">
      <c r="A227" s="133"/>
      <c r="B227" s="133"/>
      <c r="C227" s="133"/>
      <c r="D227" s="474"/>
      <c r="E227" s="203"/>
      <c r="F227" s="133"/>
      <c r="G227" s="133"/>
      <c r="H227" s="133"/>
      <c r="I227" s="133"/>
      <c r="J227" s="480"/>
    </row>
    <row r="228" spans="1:10" s="8" customFormat="1">
      <c r="A228" s="133"/>
      <c r="B228" s="133"/>
      <c r="C228" s="133"/>
      <c r="D228" s="474"/>
      <c r="E228" s="203"/>
      <c r="F228" s="133"/>
      <c r="G228" s="133"/>
      <c r="H228" s="133"/>
      <c r="I228" s="133"/>
      <c r="J228" s="480"/>
    </row>
    <row r="229" spans="1:10" s="8" customFormat="1">
      <c r="A229" s="133"/>
      <c r="B229" s="133"/>
      <c r="C229" s="133"/>
      <c r="D229" s="474"/>
      <c r="E229" s="203"/>
      <c r="F229" s="133"/>
      <c r="G229" s="133"/>
      <c r="H229" s="133"/>
      <c r="I229" s="133"/>
      <c r="J229" s="480"/>
    </row>
    <row r="230" spans="1:10" s="8" customFormat="1">
      <c r="A230" s="133"/>
      <c r="B230" s="133"/>
      <c r="C230" s="133"/>
      <c r="D230" s="474"/>
      <c r="E230" s="203"/>
      <c r="F230" s="133"/>
      <c r="G230" s="133"/>
      <c r="H230" s="133"/>
      <c r="I230" s="133"/>
      <c r="J230" s="480"/>
    </row>
    <row r="231" spans="1:10" s="8" customFormat="1">
      <c r="A231" s="133"/>
      <c r="B231" s="133"/>
      <c r="C231" s="133"/>
      <c r="D231" s="474"/>
      <c r="E231" s="203"/>
      <c r="F231" s="133"/>
      <c r="G231" s="133"/>
      <c r="H231" s="133"/>
      <c r="I231" s="133"/>
      <c r="J231" s="480"/>
    </row>
    <row r="232" spans="1:10" s="8" customFormat="1">
      <c r="A232" s="133"/>
      <c r="B232" s="133"/>
      <c r="C232" s="133"/>
      <c r="D232" s="474"/>
      <c r="E232" s="203"/>
      <c r="F232" s="133"/>
      <c r="G232" s="133"/>
      <c r="H232" s="133"/>
      <c r="I232" s="133"/>
      <c r="J232" s="480"/>
    </row>
    <row r="233" spans="1:10" s="8" customFormat="1">
      <c r="A233" s="133"/>
      <c r="B233" s="133"/>
      <c r="C233" s="133"/>
      <c r="D233" s="474"/>
      <c r="E233" s="203"/>
      <c r="F233" s="133"/>
      <c r="G233" s="133"/>
      <c r="H233" s="133"/>
      <c r="I233" s="133"/>
      <c r="J233" s="480"/>
    </row>
    <row r="234" spans="1:10" s="8" customFormat="1">
      <c r="A234" s="133"/>
      <c r="B234" s="133"/>
      <c r="C234" s="133"/>
      <c r="D234" s="474"/>
      <c r="E234" s="203"/>
      <c r="F234" s="133"/>
      <c r="G234" s="133"/>
      <c r="H234" s="133"/>
      <c r="I234" s="133"/>
      <c r="J234" s="480"/>
    </row>
    <row r="235" spans="1:10" s="8" customFormat="1">
      <c r="A235" s="133"/>
      <c r="B235" s="133"/>
      <c r="C235" s="133"/>
      <c r="D235" s="474"/>
      <c r="E235" s="203"/>
      <c r="F235" s="133"/>
      <c r="G235" s="133"/>
      <c r="H235" s="133"/>
      <c r="I235" s="133"/>
      <c r="J235" s="480"/>
    </row>
    <row r="236" spans="1:10" s="8" customFormat="1">
      <c r="A236" s="133"/>
      <c r="B236" s="133"/>
      <c r="C236" s="133"/>
      <c r="D236" s="474"/>
      <c r="E236" s="203"/>
      <c r="F236" s="133"/>
      <c r="G236" s="133"/>
      <c r="H236" s="133"/>
      <c r="I236" s="133"/>
      <c r="J236" s="480"/>
    </row>
    <row r="237" spans="1:10" s="8" customFormat="1">
      <c r="A237" s="133"/>
      <c r="B237" s="133"/>
      <c r="C237" s="133"/>
      <c r="D237" s="474"/>
      <c r="E237" s="203"/>
      <c r="F237" s="133"/>
      <c r="G237" s="133"/>
      <c r="H237" s="133"/>
      <c r="I237" s="133"/>
      <c r="J237" s="480"/>
    </row>
    <row r="238" spans="1:10" s="8" customFormat="1">
      <c r="A238" s="133"/>
      <c r="B238" s="133"/>
      <c r="C238" s="133"/>
      <c r="D238" s="474"/>
      <c r="E238" s="203"/>
      <c r="F238" s="133"/>
      <c r="G238" s="133"/>
      <c r="H238" s="133"/>
      <c r="I238" s="133"/>
      <c r="J238" s="480"/>
    </row>
    <row r="239" spans="1:10" s="8" customFormat="1">
      <c r="A239" s="133"/>
      <c r="B239" s="133"/>
      <c r="C239" s="133"/>
      <c r="D239" s="474"/>
      <c r="E239" s="203"/>
      <c r="F239" s="133"/>
      <c r="G239" s="133"/>
      <c r="H239" s="133"/>
      <c r="I239" s="133"/>
      <c r="J239" s="480"/>
    </row>
    <row r="240" spans="1:10" s="8" customFormat="1">
      <c r="A240" s="133"/>
      <c r="B240" s="133"/>
      <c r="C240" s="133"/>
      <c r="D240" s="474"/>
      <c r="E240" s="203"/>
      <c r="F240" s="133"/>
      <c r="G240" s="133"/>
      <c r="H240" s="133"/>
      <c r="I240" s="133"/>
      <c r="J240" s="480"/>
    </row>
    <row r="241" spans="1:10" s="8" customFormat="1">
      <c r="A241" s="133"/>
      <c r="B241" s="133"/>
      <c r="C241" s="133"/>
      <c r="D241" s="474"/>
      <c r="E241" s="203"/>
      <c r="F241" s="133"/>
      <c r="G241" s="133"/>
      <c r="H241" s="133"/>
      <c r="I241" s="133"/>
      <c r="J241" s="480"/>
    </row>
    <row r="242" spans="1:10" s="8" customFormat="1">
      <c r="A242" s="133"/>
      <c r="B242" s="133"/>
      <c r="C242" s="133"/>
      <c r="D242" s="474"/>
      <c r="E242" s="203"/>
      <c r="F242" s="133"/>
      <c r="G242" s="133"/>
      <c r="H242" s="133"/>
      <c r="I242" s="133"/>
      <c r="J242" s="480"/>
    </row>
    <row r="243" spans="1:10" s="8" customFormat="1">
      <c r="A243" s="133"/>
      <c r="B243" s="133"/>
      <c r="C243" s="133"/>
      <c r="D243" s="474"/>
      <c r="E243" s="203"/>
      <c r="F243" s="133"/>
      <c r="G243" s="133"/>
      <c r="H243" s="133"/>
      <c r="I243" s="133"/>
      <c r="J243" s="480"/>
    </row>
    <row r="244" spans="1:10" s="8" customFormat="1">
      <c r="A244" s="133"/>
      <c r="B244" s="133"/>
      <c r="C244" s="133"/>
      <c r="D244" s="474"/>
      <c r="E244" s="203"/>
      <c r="F244" s="133"/>
      <c r="G244" s="133"/>
      <c r="H244" s="133"/>
      <c r="I244" s="133"/>
      <c r="J244" s="480"/>
    </row>
    <row r="245" spans="1:10" s="8" customFormat="1">
      <c r="A245" s="133"/>
      <c r="B245" s="133"/>
      <c r="C245" s="133"/>
      <c r="D245" s="474"/>
      <c r="E245" s="203"/>
      <c r="F245" s="133"/>
      <c r="G245" s="133"/>
      <c r="H245" s="133"/>
      <c r="I245" s="133"/>
      <c r="J245" s="480"/>
    </row>
    <row r="246" spans="1:10" s="8" customFormat="1">
      <c r="A246" s="133"/>
      <c r="B246" s="133"/>
      <c r="C246" s="133"/>
      <c r="D246" s="474"/>
      <c r="E246" s="203"/>
      <c r="F246" s="133"/>
      <c r="G246" s="133"/>
      <c r="H246" s="133"/>
      <c r="I246" s="133"/>
      <c r="J246" s="480"/>
    </row>
    <row r="247" spans="1:10" s="8" customFormat="1">
      <c r="A247" s="133"/>
      <c r="B247" s="133"/>
      <c r="C247" s="133"/>
      <c r="D247" s="474"/>
      <c r="E247" s="203"/>
      <c r="F247" s="133"/>
      <c r="G247" s="133"/>
      <c r="H247" s="133"/>
      <c r="I247" s="133"/>
      <c r="J247" s="480"/>
    </row>
    <row r="248" spans="1:10" s="8" customFormat="1">
      <c r="A248" s="133"/>
      <c r="B248" s="133"/>
      <c r="C248" s="133"/>
      <c r="D248" s="474"/>
      <c r="E248" s="203"/>
      <c r="F248" s="133"/>
      <c r="G248" s="133"/>
      <c r="H248" s="133"/>
      <c r="I248" s="133"/>
      <c r="J248" s="480"/>
    </row>
    <row r="249" spans="1:10" s="8" customFormat="1">
      <c r="A249" s="133"/>
      <c r="B249" s="133"/>
      <c r="C249" s="133"/>
      <c r="D249" s="474"/>
      <c r="E249" s="203"/>
      <c r="F249" s="133"/>
      <c r="G249" s="133"/>
      <c r="H249" s="133"/>
      <c r="I249" s="133"/>
      <c r="J249" s="480"/>
    </row>
    <row r="250" spans="1:10" s="8" customFormat="1">
      <c r="A250" s="133"/>
      <c r="B250" s="133"/>
      <c r="C250" s="133"/>
      <c r="D250" s="474"/>
      <c r="E250" s="203"/>
      <c r="F250" s="133"/>
      <c r="G250" s="133"/>
      <c r="H250" s="133"/>
      <c r="I250" s="133"/>
      <c r="J250" s="480"/>
    </row>
    <row r="251" spans="1:10" s="8" customFormat="1">
      <c r="A251" s="133"/>
      <c r="B251" s="133"/>
      <c r="C251" s="133"/>
      <c r="D251" s="474"/>
      <c r="E251" s="203"/>
      <c r="F251" s="133"/>
      <c r="G251" s="133"/>
      <c r="H251" s="133"/>
      <c r="I251" s="133"/>
      <c r="J251" s="480"/>
    </row>
    <row r="252" spans="1:10" s="8" customFormat="1">
      <c r="A252" s="133"/>
      <c r="B252" s="133"/>
      <c r="C252" s="133"/>
      <c r="D252" s="474"/>
      <c r="E252" s="203"/>
      <c r="F252" s="133"/>
      <c r="G252" s="133"/>
      <c r="H252" s="133"/>
      <c r="I252" s="133"/>
      <c r="J252" s="480"/>
    </row>
    <row r="253" spans="1:10" s="8" customFormat="1">
      <c r="A253" s="133"/>
      <c r="B253" s="133"/>
      <c r="C253" s="133"/>
      <c r="D253" s="474"/>
      <c r="E253" s="203"/>
      <c r="F253" s="133"/>
      <c r="G253" s="133"/>
      <c r="H253" s="133"/>
      <c r="I253" s="133"/>
      <c r="J253" s="480"/>
    </row>
    <row r="254" spans="1:10" s="8" customFormat="1">
      <c r="A254" s="133"/>
      <c r="B254" s="133"/>
      <c r="C254" s="133"/>
      <c r="D254" s="474"/>
      <c r="E254" s="203"/>
      <c r="F254" s="133"/>
      <c r="G254" s="133"/>
      <c r="H254" s="133"/>
      <c r="I254" s="133"/>
      <c r="J254" s="480"/>
    </row>
    <row r="255" spans="1:10" s="8" customFormat="1">
      <c r="A255" s="133"/>
      <c r="B255" s="133"/>
      <c r="C255" s="133"/>
      <c r="D255" s="474"/>
      <c r="E255" s="203"/>
      <c r="F255" s="133"/>
      <c r="G255" s="133"/>
      <c r="H255" s="133"/>
      <c r="I255" s="133"/>
      <c r="J255" s="480"/>
    </row>
    <row r="256" spans="1:10" s="8" customFormat="1">
      <c r="A256" s="133"/>
      <c r="B256" s="133"/>
      <c r="C256" s="133"/>
      <c r="D256" s="474"/>
      <c r="E256" s="203"/>
      <c r="F256" s="133"/>
      <c r="G256" s="133"/>
      <c r="H256" s="133"/>
      <c r="I256" s="133"/>
      <c r="J256" s="480"/>
    </row>
    <row r="257" spans="1:10" s="8" customFormat="1">
      <c r="A257" s="133"/>
      <c r="B257" s="133"/>
      <c r="C257" s="133"/>
      <c r="D257" s="474"/>
      <c r="E257" s="203"/>
      <c r="F257" s="133"/>
      <c r="G257" s="133"/>
      <c r="H257" s="133"/>
      <c r="I257" s="133"/>
      <c r="J257" s="480"/>
    </row>
    <row r="258" spans="1:10" s="8" customFormat="1">
      <c r="A258" s="133"/>
      <c r="B258" s="133"/>
      <c r="C258" s="133"/>
      <c r="D258" s="474"/>
      <c r="E258" s="203"/>
      <c r="F258" s="133"/>
      <c r="G258" s="133"/>
      <c r="H258" s="133"/>
      <c r="I258" s="133"/>
      <c r="J258" s="480"/>
    </row>
    <row r="259" spans="1:10" s="8" customFormat="1">
      <c r="A259" s="133"/>
      <c r="B259" s="133"/>
      <c r="C259" s="133"/>
      <c r="D259" s="474"/>
      <c r="E259" s="203"/>
      <c r="F259" s="133"/>
      <c r="G259" s="133"/>
      <c r="H259" s="133"/>
      <c r="I259" s="133"/>
      <c r="J259" s="480"/>
    </row>
    <row r="260" spans="1:10" s="8" customFormat="1">
      <c r="A260" s="133"/>
      <c r="B260" s="133"/>
      <c r="C260" s="133"/>
      <c r="D260" s="474"/>
      <c r="E260" s="203"/>
      <c r="F260" s="133"/>
      <c r="G260" s="133"/>
      <c r="H260" s="133"/>
      <c r="I260" s="133"/>
      <c r="J260" s="480"/>
    </row>
    <row r="261" spans="1:10" s="8" customFormat="1">
      <c r="A261" s="133"/>
      <c r="B261" s="133"/>
      <c r="C261" s="133"/>
      <c r="D261" s="474"/>
      <c r="E261" s="203"/>
      <c r="F261" s="133"/>
      <c r="G261" s="133"/>
      <c r="H261" s="133"/>
      <c r="I261" s="133"/>
      <c r="J261" s="480"/>
    </row>
    <row r="262" spans="1:10" s="8" customFormat="1">
      <c r="A262" s="133"/>
      <c r="B262" s="133"/>
      <c r="C262" s="133"/>
      <c r="D262" s="474"/>
      <c r="E262" s="203"/>
      <c r="F262" s="133"/>
      <c r="G262" s="133"/>
      <c r="H262" s="133"/>
      <c r="I262" s="133"/>
      <c r="J262" s="480"/>
    </row>
    <row r="263" spans="1:10" s="8" customFormat="1">
      <c r="A263" s="133"/>
      <c r="B263" s="133"/>
      <c r="C263" s="133"/>
      <c r="D263" s="474"/>
      <c r="E263" s="203"/>
      <c r="F263" s="133"/>
      <c r="G263" s="133"/>
      <c r="H263" s="133"/>
      <c r="I263" s="133"/>
      <c r="J263" s="480"/>
    </row>
    <row r="264" spans="1:10" s="8" customFormat="1">
      <c r="A264" s="133"/>
      <c r="B264" s="133"/>
      <c r="C264" s="133"/>
      <c r="D264" s="474"/>
      <c r="E264" s="203"/>
      <c r="F264" s="133"/>
      <c r="G264" s="133"/>
      <c r="H264" s="133"/>
      <c r="I264" s="133"/>
      <c r="J264" s="480"/>
    </row>
    <row r="265" spans="1:10" s="8" customFormat="1">
      <c r="A265" s="133"/>
      <c r="B265" s="133"/>
      <c r="C265" s="133"/>
      <c r="D265" s="474"/>
      <c r="E265" s="203"/>
      <c r="F265" s="133"/>
      <c r="G265" s="133"/>
      <c r="H265" s="133"/>
      <c r="I265" s="133"/>
      <c r="J265" s="480"/>
    </row>
    <row r="266" spans="1:10" s="8" customFormat="1">
      <c r="A266" s="133"/>
      <c r="B266" s="133"/>
      <c r="C266" s="133"/>
      <c r="D266" s="474"/>
      <c r="E266" s="203"/>
      <c r="F266" s="133"/>
      <c r="G266" s="133"/>
      <c r="H266" s="133"/>
      <c r="I266" s="133"/>
      <c r="J266" s="480"/>
    </row>
    <row r="267" spans="1:10" s="8" customFormat="1">
      <c r="A267" s="133"/>
      <c r="B267" s="133"/>
      <c r="C267" s="133"/>
      <c r="D267" s="474"/>
      <c r="E267" s="203"/>
      <c r="F267" s="133"/>
      <c r="G267" s="133"/>
      <c r="H267" s="133"/>
      <c r="I267" s="133"/>
      <c r="J267" s="480"/>
    </row>
    <row r="268" spans="1:10" s="8" customFormat="1">
      <c r="A268" s="133"/>
      <c r="B268" s="133"/>
      <c r="C268" s="133"/>
      <c r="D268" s="474"/>
      <c r="E268" s="203"/>
      <c r="F268" s="133"/>
      <c r="G268" s="133"/>
      <c r="H268" s="133"/>
      <c r="I268" s="133"/>
      <c r="J268" s="480"/>
    </row>
    <row r="269" spans="1:10" s="8" customFormat="1">
      <c r="A269" s="133"/>
      <c r="B269" s="133"/>
      <c r="C269" s="133"/>
      <c r="D269" s="474"/>
      <c r="E269" s="203"/>
      <c r="F269" s="133"/>
      <c r="G269" s="133"/>
      <c r="H269" s="133"/>
      <c r="I269" s="133"/>
      <c r="J269" s="480"/>
    </row>
    <row r="270" spans="1:10" s="8" customFormat="1">
      <c r="A270" s="133"/>
      <c r="B270" s="133"/>
      <c r="C270" s="133"/>
      <c r="D270" s="474"/>
      <c r="E270" s="203"/>
      <c r="F270" s="133"/>
      <c r="G270" s="133"/>
      <c r="H270" s="133"/>
      <c r="I270" s="133"/>
      <c r="J270" s="480"/>
    </row>
    <row r="271" spans="1:10" s="8" customFormat="1">
      <c r="A271" s="133"/>
      <c r="B271" s="133"/>
      <c r="C271" s="133"/>
      <c r="D271" s="474"/>
      <c r="E271" s="203"/>
      <c r="F271" s="133"/>
      <c r="G271" s="133"/>
      <c r="H271" s="133"/>
      <c r="I271" s="133"/>
      <c r="J271" s="480"/>
    </row>
    <row r="272" spans="1:10" s="8" customFormat="1">
      <c r="A272" s="133"/>
      <c r="B272" s="133"/>
      <c r="C272" s="133"/>
      <c r="D272" s="474"/>
      <c r="E272" s="203"/>
      <c r="F272" s="133"/>
      <c r="G272" s="133"/>
      <c r="H272" s="133"/>
      <c r="I272" s="133"/>
      <c r="J272" s="480"/>
    </row>
    <row r="273" spans="1:10" s="8" customFormat="1">
      <c r="A273" s="133"/>
      <c r="B273" s="133"/>
      <c r="C273" s="133"/>
      <c r="D273" s="474"/>
      <c r="E273" s="203"/>
      <c r="F273" s="133"/>
      <c r="G273" s="133"/>
      <c r="H273" s="133"/>
      <c r="I273" s="133"/>
      <c r="J273" s="480"/>
    </row>
    <row r="274" spans="1:10" s="8" customFormat="1">
      <c r="A274" s="133"/>
      <c r="B274" s="133"/>
      <c r="C274" s="133"/>
      <c r="D274" s="474"/>
      <c r="E274" s="203"/>
      <c r="F274" s="133"/>
      <c r="G274" s="133"/>
      <c r="H274" s="133"/>
      <c r="I274" s="133"/>
      <c r="J274" s="480"/>
    </row>
    <row r="275" spans="1:10" s="8" customFormat="1">
      <c r="A275" s="133"/>
      <c r="B275" s="133"/>
      <c r="C275" s="133"/>
      <c r="D275" s="474"/>
      <c r="E275" s="203"/>
      <c r="F275" s="133"/>
      <c r="G275" s="133"/>
      <c r="H275" s="133"/>
      <c r="I275" s="133"/>
      <c r="J275" s="480"/>
    </row>
    <row r="276" spans="1:10" s="8" customFormat="1">
      <c r="A276" s="133"/>
      <c r="B276" s="133"/>
      <c r="C276" s="133"/>
      <c r="D276" s="474"/>
      <c r="E276" s="203"/>
      <c r="F276" s="133"/>
      <c r="G276" s="133"/>
      <c r="H276" s="133"/>
      <c r="I276" s="133"/>
      <c r="J276" s="480"/>
    </row>
    <row r="277" spans="1:10" s="8" customFormat="1">
      <c r="A277" s="133"/>
      <c r="B277" s="133"/>
      <c r="C277" s="133"/>
      <c r="D277" s="474"/>
      <c r="E277" s="203"/>
      <c r="F277" s="133"/>
      <c r="G277" s="133"/>
      <c r="H277" s="133"/>
      <c r="I277" s="133"/>
      <c r="J277" s="480"/>
    </row>
    <row r="278" spans="1:10" s="8" customFormat="1">
      <c r="A278" s="133"/>
      <c r="B278" s="133"/>
      <c r="C278" s="133"/>
      <c r="D278" s="474"/>
      <c r="E278" s="203"/>
      <c r="F278" s="133"/>
      <c r="G278" s="133"/>
      <c r="H278" s="133"/>
      <c r="I278" s="133"/>
      <c r="J278" s="480"/>
    </row>
    <row r="279" spans="1:10" s="8" customFormat="1">
      <c r="A279" s="133"/>
      <c r="B279" s="133"/>
      <c r="C279" s="133"/>
      <c r="D279" s="474"/>
      <c r="E279" s="203"/>
      <c r="F279" s="133"/>
      <c r="G279" s="133"/>
      <c r="H279" s="133"/>
      <c r="I279" s="133"/>
      <c r="J279" s="480"/>
    </row>
    <row r="280" spans="1:10" s="8" customFormat="1">
      <c r="A280" s="133"/>
      <c r="B280" s="133"/>
      <c r="C280" s="133"/>
      <c r="D280" s="474"/>
      <c r="E280" s="203"/>
      <c r="F280" s="133"/>
      <c r="G280" s="133"/>
      <c r="H280" s="133"/>
      <c r="I280" s="133"/>
      <c r="J280" s="480"/>
    </row>
    <row r="281" spans="1:10" s="8" customFormat="1">
      <c r="A281" s="133"/>
      <c r="B281" s="133"/>
      <c r="C281" s="133"/>
      <c r="D281" s="474"/>
      <c r="E281" s="203"/>
      <c r="F281" s="133"/>
      <c r="G281" s="133"/>
      <c r="H281" s="133"/>
      <c r="I281" s="133"/>
      <c r="J281" s="480"/>
    </row>
    <row r="282" spans="1:10" s="8" customFormat="1">
      <c r="A282" s="133"/>
      <c r="B282" s="133"/>
      <c r="C282" s="133"/>
      <c r="D282" s="474"/>
      <c r="E282" s="203"/>
      <c r="F282" s="133"/>
      <c r="G282" s="133"/>
      <c r="H282" s="133"/>
      <c r="I282" s="133"/>
      <c r="J282" s="480"/>
    </row>
    <row r="283" spans="1:10" s="8" customFormat="1">
      <c r="A283" s="133"/>
      <c r="B283" s="133"/>
      <c r="C283" s="133"/>
      <c r="D283" s="474"/>
      <c r="E283" s="203"/>
      <c r="F283" s="133"/>
      <c r="G283" s="133"/>
      <c r="H283" s="133"/>
      <c r="I283" s="133"/>
      <c r="J283" s="480"/>
    </row>
    <row r="284" spans="1:10" s="8" customFormat="1">
      <c r="A284" s="133"/>
      <c r="B284" s="133"/>
      <c r="C284" s="133"/>
      <c r="D284" s="474"/>
      <c r="E284" s="203"/>
      <c r="F284" s="133"/>
      <c r="G284" s="133"/>
      <c r="H284" s="133"/>
      <c r="I284" s="133"/>
      <c r="J284" s="480"/>
    </row>
    <row r="285" spans="1:10" s="8" customFormat="1">
      <c r="A285" s="133"/>
      <c r="B285" s="133"/>
      <c r="C285" s="133"/>
      <c r="D285" s="474"/>
      <c r="E285" s="203"/>
      <c r="F285" s="133"/>
      <c r="G285" s="133"/>
      <c r="H285" s="133"/>
      <c r="I285" s="133"/>
      <c r="J285" s="480"/>
    </row>
    <row r="286" spans="1:10" s="8" customFormat="1">
      <c r="A286" s="133"/>
      <c r="B286" s="133"/>
      <c r="C286" s="133"/>
      <c r="D286" s="474"/>
      <c r="E286" s="203"/>
      <c r="F286" s="133"/>
      <c r="G286" s="133"/>
      <c r="H286" s="133"/>
      <c r="I286" s="133"/>
      <c r="J286" s="480"/>
    </row>
    <row r="287" spans="1:10" s="8" customFormat="1">
      <c r="A287" s="133"/>
      <c r="B287" s="133"/>
      <c r="C287" s="133"/>
      <c r="D287" s="474"/>
      <c r="E287" s="203"/>
      <c r="F287" s="133"/>
      <c r="G287" s="133"/>
      <c r="H287" s="133"/>
      <c r="I287" s="133"/>
      <c r="J287" s="480"/>
    </row>
    <row r="288" spans="1:10" s="8" customFormat="1">
      <c r="A288" s="133"/>
      <c r="B288" s="133"/>
      <c r="C288" s="133"/>
      <c r="D288" s="474"/>
      <c r="E288" s="203"/>
      <c r="F288" s="133"/>
      <c r="G288" s="133"/>
      <c r="H288" s="133"/>
      <c r="I288" s="133"/>
      <c r="J288" s="480"/>
    </row>
    <row r="289" spans="1:10" s="8" customFormat="1">
      <c r="A289" s="133"/>
      <c r="B289" s="133"/>
      <c r="C289" s="133"/>
      <c r="D289" s="474"/>
      <c r="E289" s="203"/>
      <c r="F289" s="133"/>
      <c r="G289" s="133"/>
      <c r="H289" s="133"/>
      <c r="I289" s="133"/>
      <c r="J289" s="480"/>
    </row>
    <row r="290" spans="1:10" s="8" customFormat="1">
      <c r="A290" s="133"/>
      <c r="B290" s="133"/>
      <c r="C290" s="133"/>
      <c r="D290" s="474"/>
      <c r="E290" s="203"/>
      <c r="F290" s="133"/>
      <c r="G290" s="133"/>
      <c r="H290" s="133"/>
      <c r="I290" s="133"/>
      <c r="J290" s="480"/>
    </row>
    <row r="291" spans="1:10" s="8" customFormat="1">
      <c r="A291" s="133"/>
      <c r="B291" s="133"/>
      <c r="C291" s="133"/>
      <c r="D291" s="474"/>
      <c r="E291" s="203"/>
      <c r="F291" s="133"/>
      <c r="G291" s="133"/>
      <c r="H291" s="133"/>
      <c r="I291" s="133"/>
      <c r="J291" s="480"/>
    </row>
    <row r="292" spans="1:10" s="8" customFormat="1">
      <c r="A292" s="133"/>
      <c r="B292" s="133"/>
      <c r="C292" s="133"/>
      <c r="D292" s="474"/>
      <c r="E292" s="203"/>
      <c r="F292" s="133"/>
      <c r="G292" s="133"/>
      <c r="H292" s="133"/>
      <c r="I292" s="133"/>
      <c r="J292" s="480"/>
    </row>
    <row r="293" spans="1:10" s="8" customFormat="1">
      <c r="A293" s="133"/>
      <c r="B293" s="133"/>
      <c r="C293" s="133"/>
      <c r="D293" s="474"/>
      <c r="E293" s="203"/>
      <c r="F293" s="133"/>
      <c r="G293" s="133"/>
      <c r="H293" s="133"/>
      <c r="I293" s="133"/>
      <c r="J293" s="480"/>
    </row>
    <row r="294" spans="1:10" s="8" customFormat="1">
      <c r="A294" s="133"/>
      <c r="B294" s="133"/>
      <c r="C294" s="133"/>
      <c r="D294" s="474"/>
      <c r="E294" s="203"/>
      <c r="F294" s="133"/>
      <c r="G294" s="133"/>
      <c r="H294" s="133"/>
      <c r="I294" s="133"/>
      <c r="J294" s="480"/>
    </row>
    <row r="295" spans="1:10" s="8" customFormat="1">
      <c r="A295" s="133"/>
      <c r="B295" s="133"/>
      <c r="C295" s="133"/>
      <c r="D295" s="474"/>
      <c r="E295" s="203"/>
      <c r="F295" s="133"/>
      <c r="G295" s="133"/>
      <c r="H295" s="133"/>
      <c r="I295" s="133"/>
      <c r="J295" s="480"/>
    </row>
    <row r="296" spans="1:10" s="8" customFormat="1">
      <c r="A296" s="133"/>
      <c r="B296" s="133"/>
      <c r="C296" s="133"/>
      <c r="D296" s="474"/>
      <c r="E296" s="203"/>
      <c r="F296" s="133"/>
      <c r="G296" s="133"/>
      <c r="H296" s="133"/>
      <c r="I296" s="133"/>
      <c r="J296" s="480"/>
    </row>
    <row r="297" spans="1:10" s="8" customFormat="1">
      <c r="A297" s="133"/>
      <c r="B297" s="133"/>
      <c r="C297" s="133"/>
      <c r="D297" s="474"/>
      <c r="E297" s="203"/>
      <c r="F297" s="133"/>
      <c r="G297" s="133"/>
      <c r="H297" s="133"/>
      <c r="I297" s="133"/>
      <c r="J297" s="480"/>
    </row>
    <row r="298" spans="1:10" s="8" customFormat="1">
      <c r="A298" s="133"/>
      <c r="B298" s="133"/>
      <c r="C298" s="133"/>
      <c r="D298" s="474"/>
      <c r="E298" s="203"/>
      <c r="F298" s="133"/>
      <c r="G298" s="133"/>
      <c r="H298" s="133"/>
      <c r="I298" s="133"/>
      <c r="J298" s="480"/>
    </row>
    <row r="299" spans="1:10" s="8" customFormat="1">
      <c r="A299" s="133"/>
      <c r="B299" s="133"/>
      <c r="C299" s="133"/>
      <c r="D299" s="474"/>
      <c r="E299" s="203"/>
      <c r="F299" s="133"/>
      <c r="G299" s="133"/>
      <c r="H299" s="133"/>
      <c r="I299" s="133"/>
      <c r="J299" s="480"/>
    </row>
    <row r="300" spans="1:10" s="8" customFormat="1">
      <c r="A300" s="133"/>
      <c r="B300" s="133"/>
      <c r="C300" s="133"/>
      <c r="D300" s="474"/>
      <c r="E300" s="203"/>
      <c r="F300" s="133"/>
      <c r="G300" s="133"/>
      <c r="H300" s="133"/>
      <c r="I300" s="133"/>
      <c r="J300" s="480"/>
    </row>
    <row r="301" spans="1:10" s="8" customFormat="1">
      <c r="A301" s="133"/>
      <c r="B301" s="133"/>
      <c r="C301" s="133"/>
      <c r="D301" s="474"/>
      <c r="E301" s="203"/>
      <c r="F301" s="133"/>
      <c r="G301" s="133"/>
      <c r="H301" s="133"/>
      <c r="I301" s="133"/>
      <c r="J301" s="480"/>
    </row>
    <row r="302" spans="1:10" s="8" customFormat="1">
      <c r="A302" s="133"/>
      <c r="B302" s="133"/>
      <c r="C302" s="133"/>
      <c r="D302" s="474"/>
      <c r="E302" s="203"/>
      <c r="F302" s="133"/>
      <c r="G302" s="133"/>
      <c r="H302" s="133"/>
      <c r="I302" s="133"/>
      <c r="J302" s="480"/>
    </row>
    <row r="303" spans="1:10" s="8" customFormat="1">
      <c r="A303" s="133"/>
      <c r="B303" s="133"/>
      <c r="C303" s="133"/>
      <c r="D303" s="474"/>
      <c r="E303" s="203"/>
      <c r="F303" s="133"/>
      <c r="G303" s="133"/>
      <c r="H303" s="133"/>
      <c r="I303" s="133"/>
      <c r="J303" s="480"/>
    </row>
    <row r="304" spans="1:10" s="8" customFormat="1">
      <c r="A304" s="133"/>
      <c r="B304" s="133"/>
      <c r="C304" s="133"/>
      <c r="D304" s="474"/>
      <c r="E304" s="203"/>
      <c r="F304" s="133"/>
      <c r="G304" s="133"/>
      <c r="H304" s="133"/>
      <c r="I304" s="133"/>
      <c r="J304" s="480"/>
    </row>
    <row r="305" spans="1:10" s="8" customFormat="1">
      <c r="A305" s="133"/>
      <c r="B305" s="133"/>
      <c r="C305" s="133"/>
      <c r="D305" s="474"/>
      <c r="E305" s="203"/>
      <c r="F305" s="133"/>
      <c r="G305" s="133"/>
      <c r="H305" s="133"/>
      <c r="I305" s="133"/>
      <c r="J305" s="480"/>
    </row>
    <row r="306" spans="1:10" s="8" customFormat="1">
      <c r="A306" s="133"/>
      <c r="B306" s="133"/>
      <c r="C306" s="133"/>
      <c r="D306" s="474"/>
      <c r="E306" s="203"/>
      <c r="F306" s="133"/>
      <c r="G306" s="133"/>
      <c r="H306" s="133"/>
      <c r="I306" s="133"/>
      <c r="J306" s="480"/>
    </row>
    <row r="307" spans="1:10" s="8" customFormat="1">
      <c r="A307" s="133"/>
      <c r="B307" s="133"/>
      <c r="C307" s="133"/>
      <c r="D307" s="474"/>
      <c r="E307" s="203"/>
      <c r="F307" s="133"/>
      <c r="G307" s="133"/>
      <c r="H307" s="133"/>
      <c r="I307" s="133"/>
      <c r="J307" s="480"/>
    </row>
    <row r="308" spans="1:10" s="8" customFormat="1">
      <c r="A308" s="133"/>
      <c r="B308" s="133"/>
      <c r="C308" s="133"/>
      <c r="D308" s="474"/>
      <c r="E308" s="203"/>
      <c r="F308" s="133"/>
      <c r="G308" s="133"/>
      <c r="H308" s="133"/>
      <c r="I308" s="133"/>
      <c r="J308" s="480"/>
    </row>
    <row r="309" spans="1:10" s="8" customFormat="1">
      <c r="A309" s="133"/>
      <c r="B309" s="133"/>
      <c r="C309" s="133"/>
      <c r="D309" s="474"/>
      <c r="E309" s="203"/>
      <c r="F309" s="133"/>
      <c r="G309" s="133"/>
      <c r="H309" s="133"/>
      <c r="I309" s="133"/>
      <c r="J309" s="480"/>
    </row>
    <row r="310" spans="1:10" s="8" customFormat="1">
      <c r="A310" s="133"/>
      <c r="B310" s="133"/>
      <c r="C310" s="133"/>
      <c r="D310" s="474"/>
      <c r="E310" s="203"/>
      <c r="F310" s="133"/>
      <c r="G310" s="133"/>
      <c r="H310" s="133"/>
      <c r="I310" s="133"/>
      <c r="J310" s="480"/>
    </row>
    <row r="311" spans="1:10" s="8" customFormat="1">
      <c r="A311" s="133"/>
      <c r="B311" s="133"/>
      <c r="C311" s="133"/>
      <c r="D311" s="474"/>
      <c r="E311" s="203"/>
      <c r="F311" s="133"/>
      <c r="G311" s="133"/>
      <c r="H311" s="133"/>
      <c r="I311" s="133"/>
      <c r="J311" s="480"/>
    </row>
    <row r="312" spans="1:10" s="8" customFormat="1">
      <c r="A312" s="133"/>
      <c r="B312" s="133"/>
      <c r="C312" s="133"/>
      <c r="D312" s="474"/>
      <c r="E312" s="203"/>
      <c r="F312" s="133"/>
      <c r="G312" s="133"/>
      <c r="H312" s="133"/>
      <c r="I312" s="133"/>
      <c r="J312" s="480"/>
    </row>
    <row r="313" spans="1:10" s="8" customFormat="1">
      <c r="A313" s="133"/>
      <c r="B313" s="133"/>
      <c r="C313" s="133"/>
      <c r="D313" s="474"/>
      <c r="E313" s="203"/>
      <c r="F313" s="133"/>
      <c r="G313" s="133"/>
      <c r="H313" s="133"/>
      <c r="I313" s="133"/>
      <c r="J313" s="480"/>
    </row>
    <row r="314" spans="1:10" s="8" customFormat="1">
      <c r="A314" s="133"/>
      <c r="B314" s="133"/>
      <c r="C314" s="133"/>
      <c r="D314" s="474"/>
      <c r="E314" s="203"/>
      <c r="F314" s="133"/>
      <c r="G314" s="133"/>
      <c r="H314" s="133"/>
      <c r="I314" s="133"/>
      <c r="J314" s="480"/>
    </row>
    <row r="315" spans="1:10" s="8" customFormat="1">
      <c r="A315" s="133"/>
      <c r="B315" s="133"/>
      <c r="C315" s="133"/>
      <c r="D315" s="474"/>
      <c r="E315" s="203"/>
      <c r="F315" s="133"/>
      <c r="G315" s="133"/>
      <c r="H315" s="133"/>
      <c r="I315" s="133"/>
      <c r="J315" s="480"/>
    </row>
    <row r="316" spans="1:10" s="8" customFormat="1">
      <c r="A316" s="133"/>
      <c r="B316" s="133"/>
      <c r="C316" s="133"/>
      <c r="D316" s="474"/>
      <c r="E316" s="203"/>
      <c r="F316" s="133"/>
      <c r="G316" s="133"/>
      <c r="H316" s="133"/>
      <c r="I316" s="133"/>
      <c r="J316" s="480"/>
    </row>
    <row r="317" spans="1:10" s="8" customFormat="1">
      <c r="A317" s="133"/>
      <c r="B317" s="133"/>
      <c r="C317" s="133"/>
      <c r="D317" s="474"/>
      <c r="E317" s="203"/>
      <c r="F317" s="133"/>
      <c r="G317" s="133"/>
      <c r="H317" s="133"/>
      <c r="I317" s="133"/>
      <c r="J317" s="480"/>
    </row>
    <row r="318" spans="1:10" s="8" customFormat="1">
      <c r="A318" s="133"/>
      <c r="B318" s="133"/>
      <c r="C318" s="133"/>
      <c r="D318" s="474"/>
      <c r="E318" s="203"/>
      <c r="F318" s="133"/>
      <c r="G318" s="133"/>
      <c r="H318" s="133"/>
      <c r="I318" s="133"/>
      <c r="J318" s="480"/>
    </row>
    <row r="319" spans="1:10" s="8" customFormat="1">
      <c r="A319" s="133"/>
      <c r="B319" s="133"/>
      <c r="C319" s="133"/>
      <c r="D319" s="474"/>
      <c r="E319" s="203"/>
      <c r="F319" s="133"/>
      <c r="G319" s="133"/>
      <c r="H319" s="133"/>
      <c r="I319" s="133"/>
      <c r="J319" s="480"/>
    </row>
    <row r="320" spans="1:10" s="8" customFormat="1">
      <c r="A320" s="133"/>
      <c r="B320" s="133"/>
      <c r="C320" s="133"/>
      <c r="D320" s="474"/>
      <c r="E320" s="203"/>
      <c r="F320" s="133"/>
      <c r="G320" s="133"/>
      <c r="H320" s="133"/>
      <c r="I320" s="133"/>
      <c r="J320" s="480"/>
    </row>
    <row r="321" spans="1:10" s="8" customFormat="1">
      <c r="A321" s="133"/>
      <c r="B321" s="133"/>
      <c r="C321" s="133"/>
      <c r="D321" s="474"/>
      <c r="E321" s="203"/>
      <c r="F321" s="133"/>
      <c r="G321" s="133"/>
      <c r="H321" s="133"/>
      <c r="I321" s="133"/>
      <c r="J321" s="480"/>
    </row>
    <row r="322" spans="1:10" s="8" customFormat="1">
      <c r="A322" s="133"/>
      <c r="B322" s="133"/>
      <c r="C322" s="133"/>
      <c r="D322" s="474"/>
      <c r="E322" s="203"/>
      <c r="F322" s="133"/>
      <c r="G322" s="133"/>
      <c r="H322" s="133"/>
      <c r="I322" s="133"/>
      <c r="J322" s="480"/>
    </row>
    <row r="323" spans="1:10" s="8" customFormat="1">
      <c r="A323" s="133"/>
      <c r="B323" s="133"/>
      <c r="C323" s="133"/>
      <c r="D323" s="474"/>
      <c r="E323" s="203"/>
      <c r="F323" s="133"/>
      <c r="G323" s="133"/>
      <c r="H323" s="133"/>
      <c r="I323" s="133"/>
      <c r="J323" s="480"/>
    </row>
    <row r="324" spans="1:10" s="8" customFormat="1">
      <c r="A324" s="133"/>
      <c r="B324" s="133"/>
      <c r="C324" s="133"/>
      <c r="D324" s="474"/>
      <c r="E324" s="203"/>
      <c r="F324" s="133"/>
      <c r="G324" s="133"/>
      <c r="H324" s="133"/>
      <c r="I324" s="133"/>
      <c r="J324" s="480"/>
    </row>
    <row r="325" spans="1:10" s="8" customFormat="1">
      <c r="A325" s="133"/>
      <c r="B325" s="133"/>
      <c r="C325" s="133"/>
      <c r="D325" s="474"/>
      <c r="E325" s="203"/>
      <c r="F325" s="133"/>
      <c r="G325" s="133"/>
      <c r="H325" s="133"/>
      <c r="I325" s="133"/>
      <c r="J325" s="480"/>
    </row>
    <row r="326" spans="1:10" s="8" customFormat="1">
      <c r="A326" s="133"/>
      <c r="B326" s="133"/>
      <c r="C326" s="133"/>
      <c r="D326" s="474"/>
      <c r="E326" s="203"/>
      <c r="F326" s="133"/>
      <c r="G326" s="133"/>
      <c r="H326" s="133"/>
      <c r="I326" s="133"/>
      <c r="J326" s="480"/>
    </row>
    <row r="327" spans="1:10" s="8" customFormat="1">
      <c r="A327" s="133"/>
      <c r="B327" s="133"/>
      <c r="C327" s="133"/>
      <c r="D327" s="474"/>
      <c r="E327" s="203"/>
      <c r="F327" s="133"/>
      <c r="G327" s="133"/>
      <c r="H327" s="133"/>
      <c r="I327" s="133"/>
      <c r="J327" s="480"/>
    </row>
    <row r="328" spans="1:10" s="8" customFormat="1">
      <c r="A328" s="133"/>
      <c r="B328" s="133"/>
      <c r="C328" s="133"/>
      <c r="D328" s="474"/>
      <c r="E328" s="203"/>
      <c r="F328" s="133"/>
      <c r="G328" s="133"/>
      <c r="H328" s="133"/>
      <c r="I328" s="133"/>
      <c r="J328" s="480"/>
    </row>
    <row r="329" spans="1:10" s="8" customFormat="1">
      <c r="A329" s="133"/>
      <c r="B329" s="133"/>
      <c r="C329" s="133"/>
      <c r="D329" s="474"/>
      <c r="E329" s="203"/>
      <c r="F329" s="133"/>
      <c r="G329" s="133"/>
      <c r="H329" s="133"/>
      <c r="I329" s="133"/>
      <c r="J329" s="480"/>
    </row>
    <row r="330" spans="1:10" s="8" customFormat="1">
      <c r="A330" s="133"/>
      <c r="B330" s="133"/>
      <c r="C330" s="133"/>
      <c r="D330" s="474"/>
      <c r="E330" s="203"/>
      <c r="F330" s="133"/>
      <c r="G330" s="133"/>
      <c r="H330" s="133"/>
      <c r="I330" s="133"/>
      <c r="J330" s="480"/>
    </row>
    <row r="331" spans="1:10" s="8" customFormat="1">
      <c r="A331" s="133"/>
      <c r="B331" s="133"/>
      <c r="C331" s="133"/>
      <c r="D331" s="474"/>
      <c r="E331" s="203"/>
      <c r="F331" s="133"/>
      <c r="G331" s="133"/>
      <c r="H331" s="133"/>
      <c r="I331" s="133"/>
      <c r="J331" s="480"/>
    </row>
    <row r="332" spans="1:10" s="8" customFormat="1">
      <c r="A332" s="133"/>
      <c r="B332" s="133"/>
      <c r="C332" s="133"/>
      <c r="D332" s="474"/>
      <c r="E332" s="203"/>
      <c r="F332" s="133"/>
      <c r="G332" s="133"/>
      <c r="H332" s="133"/>
      <c r="I332" s="133"/>
      <c r="J332" s="480"/>
    </row>
    <row r="333" spans="1:10" s="8" customFormat="1">
      <c r="A333" s="133"/>
      <c r="B333" s="133"/>
      <c r="C333" s="133"/>
      <c r="D333" s="474"/>
      <c r="E333" s="203"/>
      <c r="F333" s="133"/>
      <c r="G333" s="133"/>
      <c r="H333" s="133"/>
      <c r="I333" s="133"/>
      <c r="J333" s="480"/>
    </row>
    <row r="334" spans="1:10" s="8" customFormat="1">
      <c r="A334" s="133"/>
      <c r="B334" s="133"/>
      <c r="C334" s="133"/>
      <c r="D334" s="474"/>
      <c r="E334" s="203"/>
      <c r="F334" s="133"/>
      <c r="G334" s="133"/>
      <c r="H334" s="133"/>
      <c r="I334" s="133"/>
      <c r="J334" s="480"/>
    </row>
    <row r="335" spans="1:10" s="8" customFormat="1">
      <c r="A335" s="133"/>
      <c r="B335" s="133"/>
      <c r="C335" s="133"/>
      <c r="D335" s="474"/>
      <c r="E335" s="203"/>
      <c r="F335" s="133"/>
      <c r="G335" s="133"/>
      <c r="H335" s="133"/>
      <c r="I335" s="133"/>
      <c r="J335" s="480"/>
    </row>
    <row r="336" spans="1:10" s="8" customFormat="1">
      <c r="A336" s="133"/>
      <c r="B336" s="133"/>
      <c r="C336" s="133"/>
      <c r="D336" s="474"/>
      <c r="E336" s="203"/>
      <c r="F336" s="133"/>
      <c r="G336" s="133"/>
      <c r="H336" s="133"/>
      <c r="I336" s="133"/>
      <c r="J336" s="480"/>
    </row>
    <row r="337" spans="1:10" s="8" customFormat="1">
      <c r="A337" s="133"/>
      <c r="B337" s="133"/>
      <c r="C337" s="133"/>
      <c r="D337" s="474"/>
      <c r="E337" s="203"/>
      <c r="F337" s="133"/>
      <c r="G337" s="133"/>
      <c r="H337" s="133"/>
      <c r="I337" s="133"/>
      <c r="J337" s="480"/>
    </row>
    <row r="338" spans="1:10" s="8" customFormat="1">
      <c r="A338" s="133"/>
      <c r="B338" s="133"/>
      <c r="C338" s="133"/>
      <c r="D338" s="474"/>
      <c r="E338" s="203"/>
      <c r="F338" s="133"/>
      <c r="G338" s="133"/>
      <c r="H338" s="133"/>
      <c r="I338" s="133"/>
      <c r="J338" s="480"/>
    </row>
    <row r="339" spans="1:10" s="8" customFormat="1">
      <c r="A339" s="133"/>
      <c r="B339" s="133"/>
      <c r="C339" s="133"/>
      <c r="D339" s="474"/>
      <c r="E339" s="203"/>
      <c r="F339" s="133"/>
      <c r="G339" s="133"/>
      <c r="H339" s="133"/>
      <c r="I339" s="133"/>
      <c r="J339" s="480"/>
    </row>
    <row r="340" spans="1:10" s="8" customFormat="1">
      <c r="A340" s="133"/>
      <c r="B340" s="133"/>
      <c r="C340" s="133"/>
      <c r="D340" s="474"/>
      <c r="E340" s="203"/>
      <c r="F340" s="133"/>
      <c r="G340" s="133"/>
      <c r="H340" s="133"/>
      <c r="I340" s="133"/>
      <c r="J340" s="480"/>
    </row>
    <row r="341" spans="1:10" s="8" customFormat="1">
      <c r="A341" s="133"/>
      <c r="B341" s="133"/>
      <c r="C341" s="133"/>
      <c r="D341" s="474"/>
      <c r="E341" s="203"/>
      <c r="F341" s="133"/>
      <c r="G341" s="133"/>
      <c r="H341" s="133"/>
      <c r="I341" s="133"/>
      <c r="J341" s="480"/>
    </row>
    <row r="342" spans="1:10" s="8" customFormat="1">
      <c r="A342" s="133"/>
      <c r="B342" s="133"/>
      <c r="C342" s="133"/>
      <c r="D342" s="474"/>
      <c r="E342" s="203"/>
      <c r="F342" s="133"/>
      <c r="G342" s="133"/>
      <c r="H342" s="133"/>
      <c r="I342" s="133"/>
      <c r="J342" s="480"/>
    </row>
    <row r="343" spans="1:10" s="8" customFormat="1">
      <c r="A343" s="133"/>
      <c r="B343" s="133"/>
      <c r="C343" s="133"/>
      <c r="D343" s="474"/>
      <c r="E343" s="203"/>
      <c r="F343" s="133"/>
      <c r="G343" s="133"/>
      <c r="H343" s="133"/>
      <c r="I343" s="133"/>
      <c r="J343" s="480"/>
    </row>
    <row r="344" spans="1:10" s="8" customFormat="1">
      <c r="A344" s="133"/>
      <c r="B344" s="133"/>
      <c r="C344" s="133"/>
      <c r="D344" s="474"/>
      <c r="E344" s="203"/>
      <c r="F344" s="133"/>
      <c r="G344" s="133"/>
      <c r="H344" s="133"/>
      <c r="I344" s="133"/>
      <c r="J344" s="480"/>
    </row>
    <row r="345" spans="1:10" s="8" customFormat="1">
      <c r="A345" s="133"/>
      <c r="B345" s="133"/>
      <c r="C345" s="133"/>
      <c r="D345" s="474"/>
      <c r="E345" s="203"/>
      <c r="F345" s="133"/>
      <c r="G345" s="133"/>
      <c r="H345" s="133"/>
      <c r="I345" s="133"/>
      <c r="J345" s="480"/>
    </row>
    <row r="346" spans="1:10" s="8" customFormat="1">
      <c r="A346" s="133"/>
      <c r="B346" s="133"/>
      <c r="C346" s="133"/>
      <c r="D346" s="474"/>
      <c r="E346" s="203"/>
      <c r="F346" s="133"/>
      <c r="G346" s="133"/>
      <c r="H346" s="133"/>
      <c r="I346" s="133"/>
      <c r="J346" s="480"/>
    </row>
    <row r="347" spans="1:10" s="8" customFormat="1">
      <c r="A347" s="133"/>
      <c r="B347" s="133"/>
      <c r="C347" s="133"/>
      <c r="D347" s="474"/>
      <c r="E347" s="203"/>
      <c r="F347" s="133"/>
      <c r="G347" s="133"/>
      <c r="H347" s="133"/>
      <c r="I347" s="133"/>
      <c r="J347" s="480"/>
    </row>
    <row r="348" spans="1:10" s="8" customFormat="1">
      <c r="A348" s="133"/>
      <c r="B348" s="133"/>
      <c r="C348" s="133"/>
      <c r="D348" s="474"/>
      <c r="E348" s="203"/>
      <c r="F348" s="133"/>
      <c r="G348" s="133"/>
      <c r="H348" s="133"/>
      <c r="I348" s="133"/>
      <c r="J348" s="480"/>
    </row>
    <row r="349" spans="1:10" s="8" customFormat="1">
      <c r="A349" s="133"/>
      <c r="B349" s="133"/>
      <c r="C349" s="133"/>
      <c r="D349" s="474"/>
      <c r="E349" s="203"/>
      <c r="F349" s="133"/>
      <c r="G349" s="133"/>
      <c r="H349" s="133"/>
      <c r="I349" s="133"/>
      <c r="J349" s="480"/>
    </row>
    <row r="350" spans="1:10" s="8" customFormat="1">
      <c r="A350" s="133"/>
      <c r="B350" s="133"/>
      <c r="C350" s="133"/>
      <c r="D350" s="474"/>
      <c r="E350" s="203"/>
      <c r="F350" s="133"/>
      <c r="G350" s="133"/>
      <c r="H350" s="133"/>
      <c r="I350" s="133"/>
      <c r="J350" s="480"/>
    </row>
    <row r="351" spans="1:10" s="8" customFormat="1">
      <c r="A351" s="133"/>
      <c r="B351" s="133"/>
      <c r="C351" s="133"/>
      <c r="D351" s="474"/>
      <c r="E351" s="203"/>
      <c r="F351" s="133"/>
      <c r="G351" s="133"/>
      <c r="H351" s="133"/>
      <c r="I351" s="133"/>
      <c r="J351" s="480"/>
    </row>
    <row r="352" spans="1:10" s="8" customFormat="1">
      <c r="A352" s="133"/>
      <c r="B352" s="133"/>
      <c r="C352" s="133"/>
      <c r="D352" s="474"/>
      <c r="E352" s="203"/>
      <c r="F352" s="133"/>
      <c r="G352" s="133"/>
      <c r="H352" s="133"/>
      <c r="I352" s="133"/>
      <c r="J352" s="480"/>
    </row>
    <row r="353" spans="1:10" s="8" customFormat="1">
      <c r="A353" s="133"/>
      <c r="B353" s="133"/>
      <c r="C353" s="133"/>
      <c r="D353" s="474"/>
      <c r="E353" s="203"/>
      <c r="F353" s="133"/>
      <c r="G353" s="133"/>
      <c r="H353" s="133"/>
      <c r="I353" s="133"/>
      <c r="J353" s="480"/>
    </row>
    <row r="354" spans="1:10" s="8" customFormat="1">
      <c r="A354" s="133"/>
      <c r="B354" s="133"/>
      <c r="C354" s="133"/>
      <c r="D354" s="474"/>
      <c r="E354" s="203"/>
      <c r="F354" s="133"/>
      <c r="G354" s="133"/>
      <c r="H354" s="133"/>
      <c r="I354" s="133"/>
      <c r="J354" s="480"/>
    </row>
    <row r="355" spans="1:10" s="8" customFormat="1">
      <c r="A355" s="133"/>
      <c r="B355" s="133"/>
      <c r="C355" s="133"/>
      <c r="D355" s="474"/>
      <c r="E355" s="203"/>
      <c r="F355" s="133"/>
      <c r="G355" s="133"/>
      <c r="H355" s="133"/>
      <c r="I355" s="133"/>
      <c r="J355" s="480"/>
    </row>
    <row r="356" spans="1:10" s="8" customFormat="1">
      <c r="A356" s="133"/>
      <c r="B356" s="133"/>
      <c r="C356" s="133"/>
      <c r="D356" s="474"/>
      <c r="E356" s="203"/>
      <c r="F356" s="133"/>
      <c r="G356" s="133"/>
      <c r="H356" s="133"/>
      <c r="I356" s="133"/>
      <c r="J356" s="480"/>
    </row>
    <row r="357" spans="1:10" s="8" customFormat="1">
      <c r="A357" s="133"/>
      <c r="B357" s="133"/>
      <c r="C357" s="133"/>
      <c r="D357" s="474"/>
      <c r="E357" s="203"/>
      <c r="F357" s="133"/>
      <c r="G357" s="133"/>
      <c r="H357" s="133"/>
      <c r="I357" s="133"/>
      <c r="J357" s="480"/>
    </row>
    <row r="358" spans="1:10" s="8" customFormat="1">
      <c r="A358" s="133"/>
      <c r="B358" s="133"/>
      <c r="C358" s="133"/>
      <c r="D358" s="474"/>
      <c r="E358" s="203"/>
      <c r="F358" s="133"/>
      <c r="G358" s="133"/>
      <c r="H358" s="133"/>
      <c r="I358" s="133"/>
      <c r="J358" s="480"/>
    </row>
    <row r="359" spans="1:10" s="8" customFormat="1">
      <c r="A359" s="133"/>
      <c r="B359" s="133"/>
      <c r="C359" s="133"/>
      <c r="D359" s="474"/>
      <c r="E359" s="203"/>
      <c r="F359" s="133"/>
      <c r="G359" s="133"/>
      <c r="H359" s="133"/>
      <c r="I359" s="133"/>
      <c r="J359" s="480"/>
    </row>
    <row r="360" spans="1:10" s="8" customFormat="1">
      <c r="A360" s="133"/>
      <c r="B360" s="133"/>
      <c r="C360" s="133"/>
      <c r="D360" s="474"/>
      <c r="E360" s="203"/>
      <c r="F360" s="133"/>
      <c r="G360" s="133"/>
      <c r="H360" s="133"/>
      <c r="I360" s="133"/>
      <c r="J360" s="480"/>
    </row>
    <row r="361" spans="1:10" s="8" customFormat="1">
      <c r="A361" s="133"/>
      <c r="B361" s="133"/>
      <c r="C361" s="133"/>
      <c r="D361" s="474"/>
      <c r="E361" s="203"/>
      <c r="F361" s="133"/>
      <c r="G361" s="133"/>
      <c r="H361" s="133"/>
      <c r="I361" s="133"/>
      <c r="J361" s="480"/>
    </row>
    <row r="362" spans="1:10" s="8" customFormat="1">
      <c r="A362" s="133"/>
      <c r="B362" s="133"/>
      <c r="C362" s="133"/>
      <c r="D362" s="474"/>
      <c r="E362" s="203"/>
      <c r="F362" s="133"/>
      <c r="G362" s="133"/>
      <c r="H362" s="133"/>
      <c r="I362" s="133"/>
      <c r="J362" s="480"/>
    </row>
    <row r="363" spans="1:10" s="8" customFormat="1">
      <c r="A363" s="133"/>
      <c r="B363" s="133"/>
      <c r="C363" s="133"/>
      <c r="D363" s="474"/>
      <c r="E363" s="203"/>
      <c r="F363" s="133"/>
      <c r="G363" s="133"/>
      <c r="H363" s="133"/>
      <c r="I363" s="133"/>
      <c r="J363" s="480"/>
    </row>
    <row r="364" spans="1:10" s="8" customFormat="1">
      <c r="A364" s="133"/>
      <c r="B364" s="133"/>
      <c r="C364" s="133"/>
      <c r="D364" s="474"/>
      <c r="E364" s="203"/>
      <c r="F364" s="133"/>
      <c r="G364" s="133"/>
      <c r="H364" s="133"/>
      <c r="I364" s="133"/>
      <c r="J364" s="480"/>
    </row>
    <row r="365" spans="1:10" s="8" customFormat="1">
      <c r="A365" s="133"/>
      <c r="B365" s="133"/>
      <c r="C365" s="133"/>
      <c r="D365" s="474"/>
      <c r="E365" s="203"/>
      <c r="F365" s="133"/>
      <c r="G365" s="133"/>
      <c r="H365" s="133"/>
      <c r="I365" s="133"/>
      <c r="J365" s="480"/>
    </row>
    <row r="366" spans="1:10" s="8" customFormat="1">
      <c r="A366" s="133"/>
      <c r="B366" s="133"/>
      <c r="C366" s="133"/>
      <c r="D366" s="474"/>
      <c r="E366" s="203"/>
      <c r="F366" s="133"/>
      <c r="G366" s="133"/>
      <c r="H366" s="133"/>
      <c r="I366" s="133"/>
      <c r="J366" s="480"/>
    </row>
    <row r="367" spans="1:10" s="8" customFormat="1">
      <c r="A367" s="133"/>
      <c r="B367" s="133"/>
      <c r="C367" s="133"/>
      <c r="D367" s="474"/>
      <c r="E367" s="203"/>
      <c r="F367" s="133"/>
      <c r="G367" s="133"/>
      <c r="H367" s="133"/>
      <c r="I367" s="133"/>
      <c r="J367" s="480"/>
    </row>
    <row r="368" spans="1:10" s="8" customFormat="1">
      <c r="A368" s="133"/>
      <c r="B368" s="133"/>
      <c r="C368" s="133"/>
      <c r="D368" s="474"/>
      <c r="E368" s="203"/>
      <c r="F368" s="133"/>
      <c r="G368" s="133"/>
      <c r="H368" s="133"/>
      <c r="I368" s="133"/>
      <c r="J368" s="480"/>
    </row>
    <row r="369" spans="1:10" s="8" customFormat="1">
      <c r="A369" s="133"/>
      <c r="B369" s="133"/>
      <c r="C369" s="133"/>
      <c r="D369" s="474"/>
      <c r="E369" s="203"/>
      <c r="F369" s="133"/>
      <c r="G369" s="133"/>
      <c r="H369" s="133"/>
      <c r="I369" s="133"/>
      <c r="J369" s="480"/>
    </row>
    <row r="370" spans="1:10" s="8" customFormat="1">
      <c r="A370" s="133"/>
      <c r="B370" s="133"/>
      <c r="C370" s="133"/>
      <c r="D370" s="474"/>
      <c r="E370" s="203"/>
      <c r="F370" s="133"/>
      <c r="G370" s="133"/>
      <c r="H370" s="133"/>
      <c r="I370" s="133"/>
      <c r="J370" s="480"/>
    </row>
    <row r="371" spans="1:10" s="8" customFormat="1">
      <c r="A371" s="133"/>
      <c r="B371" s="133"/>
      <c r="C371" s="133"/>
      <c r="D371" s="474"/>
      <c r="E371" s="203"/>
      <c r="F371" s="133"/>
      <c r="G371" s="133"/>
      <c r="H371" s="133"/>
      <c r="I371" s="133"/>
      <c r="J371" s="480"/>
    </row>
    <row r="372" spans="1:10" s="8" customFormat="1">
      <c r="A372" s="133"/>
      <c r="B372" s="133"/>
      <c r="C372" s="133"/>
      <c r="D372" s="474"/>
      <c r="E372" s="203"/>
      <c r="F372" s="133"/>
      <c r="G372" s="133"/>
      <c r="H372" s="133"/>
      <c r="I372" s="133"/>
      <c r="J372" s="480"/>
    </row>
    <row r="373" spans="1:10" s="8" customFormat="1">
      <c r="A373" s="133"/>
      <c r="B373" s="133"/>
      <c r="C373" s="133"/>
      <c r="D373" s="474"/>
      <c r="E373" s="203"/>
      <c r="F373" s="133"/>
      <c r="G373" s="133"/>
      <c r="H373" s="133"/>
      <c r="I373" s="133"/>
      <c r="J373" s="480"/>
    </row>
    <row r="374" spans="1:10" s="8" customFormat="1">
      <c r="A374" s="133"/>
      <c r="B374" s="133"/>
      <c r="C374" s="133"/>
      <c r="D374" s="474"/>
      <c r="E374" s="203"/>
      <c r="F374" s="133"/>
      <c r="G374" s="133"/>
      <c r="H374" s="133"/>
      <c r="I374" s="133"/>
      <c r="J374" s="480"/>
    </row>
    <row r="375" spans="1:10" s="8" customFormat="1">
      <c r="A375" s="133"/>
      <c r="B375" s="133"/>
      <c r="C375" s="133"/>
      <c r="D375" s="474"/>
      <c r="E375" s="203"/>
      <c r="F375" s="133"/>
      <c r="G375" s="133"/>
      <c r="H375" s="133"/>
      <c r="I375" s="133"/>
      <c r="J375" s="480"/>
    </row>
    <row r="376" spans="1:10" s="8" customFormat="1">
      <c r="A376" s="133"/>
      <c r="B376" s="133"/>
      <c r="C376" s="133"/>
      <c r="D376" s="474"/>
      <c r="E376" s="203"/>
      <c r="F376" s="133"/>
      <c r="G376" s="133"/>
      <c r="H376" s="133"/>
      <c r="I376" s="133"/>
      <c r="J376" s="480"/>
    </row>
    <row r="377" spans="1:10" s="8" customFormat="1">
      <c r="A377" s="133"/>
      <c r="B377" s="133"/>
      <c r="C377" s="133"/>
      <c r="D377" s="474"/>
      <c r="E377" s="203"/>
      <c r="F377" s="133"/>
      <c r="G377" s="133"/>
      <c r="H377" s="133"/>
      <c r="I377" s="133"/>
      <c r="J377" s="480"/>
    </row>
    <row r="378" spans="1:10" s="8" customFormat="1">
      <c r="A378" s="133"/>
      <c r="B378" s="133"/>
      <c r="C378" s="133"/>
      <c r="D378" s="474"/>
      <c r="E378" s="203"/>
      <c r="F378" s="133"/>
      <c r="G378" s="133"/>
      <c r="H378" s="133"/>
      <c r="I378" s="133"/>
      <c r="J378" s="480"/>
    </row>
    <row r="379" spans="1:10" s="8" customFormat="1">
      <c r="A379" s="133"/>
      <c r="B379" s="133"/>
      <c r="C379" s="133"/>
      <c r="D379" s="474"/>
      <c r="E379" s="203"/>
      <c r="F379" s="133"/>
      <c r="G379" s="133"/>
      <c r="H379" s="133"/>
      <c r="I379" s="133"/>
      <c r="J379" s="480"/>
    </row>
    <row r="380" spans="1:10" s="8" customFormat="1">
      <c r="A380" s="133"/>
      <c r="B380" s="133"/>
      <c r="C380" s="133"/>
      <c r="D380" s="474"/>
      <c r="E380" s="203"/>
      <c r="F380" s="133"/>
      <c r="G380" s="133"/>
      <c r="H380" s="133"/>
      <c r="I380" s="133"/>
      <c r="J380" s="480"/>
    </row>
    <row r="381" spans="1:10" s="8" customFormat="1">
      <c r="A381" s="133"/>
      <c r="B381" s="133"/>
      <c r="C381" s="133"/>
      <c r="D381" s="474"/>
      <c r="E381" s="203"/>
      <c r="F381" s="133"/>
      <c r="G381" s="133"/>
      <c r="H381" s="133"/>
      <c r="I381" s="133"/>
      <c r="J381" s="480"/>
    </row>
    <row r="382" spans="1:10" s="8" customFormat="1">
      <c r="A382" s="133"/>
      <c r="B382" s="133"/>
      <c r="C382" s="133"/>
      <c r="D382" s="474"/>
      <c r="E382" s="203"/>
      <c r="F382" s="133"/>
      <c r="G382" s="133"/>
      <c r="H382" s="133"/>
      <c r="I382" s="133"/>
      <c r="J382" s="480"/>
    </row>
    <row r="383" spans="1:10" s="8" customFormat="1">
      <c r="A383" s="133"/>
      <c r="B383" s="133"/>
      <c r="C383" s="133"/>
      <c r="D383" s="474"/>
      <c r="E383" s="203"/>
      <c r="F383" s="133"/>
      <c r="G383" s="133"/>
      <c r="H383" s="133"/>
      <c r="I383" s="133"/>
      <c r="J383" s="480"/>
    </row>
    <row r="384" spans="1:10" s="8" customFormat="1">
      <c r="A384" s="133"/>
      <c r="B384" s="133"/>
      <c r="C384" s="133"/>
      <c r="D384" s="474"/>
      <c r="E384" s="203"/>
      <c r="F384" s="133"/>
      <c r="G384" s="133"/>
      <c r="H384" s="133"/>
      <c r="I384" s="133"/>
      <c r="J384" s="480"/>
    </row>
    <row r="385" spans="1:10" s="8" customFormat="1">
      <c r="A385" s="133"/>
      <c r="B385" s="133"/>
      <c r="C385" s="133"/>
      <c r="D385" s="474"/>
      <c r="E385" s="203"/>
      <c r="F385" s="133"/>
      <c r="G385" s="133"/>
      <c r="H385" s="133"/>
      <c r="I385" s="133"/>
      <c r="J385" s="480"/>
    </row>
    <row r="386" spans="1:10" s="8" customFormat="1">
      <c r="A386" s="133"/>
      <c r="B386" s="133"/>
      <c r="C386" s="133"/>
      <c r="D386" s="474"/>
      <c r="E386" s="203"/>
      <c r="F386" s="133"/>
      <c r="G386" s="133"/>
      <c r="H386" s="133"/>
      <c r="I386" s="133"/>
      <c r="J386" s="480"/>
    </row>
    <row r="387" spans="1:10" s="8" customFormat="1">
      <c r="A387" s="133"/>
      <c r="B387" s="133"/>
      <c r="C387" s="133"/>
      <c r="D387" s="474"/>
      <c r="E387" s="203"/>
      <c r="F387" s="133"/>
      <c r="G387" s="133"/>
      <c r="H387" s="133"/>
      <c r="I387" s="133"/>
      <c r="J387" s="480"/>
    </row>
    <row r="388" spans="1:10" s="8" customFormat="1">
      <c r="A388" s="133"/>
      <c r="B388" s="133"/>
      <c r="C388" s="133"/>
      <c r="D388" s="474"/>
      <c r="E388" s="203"/>
      <c r="F388" s="133"/>
      <c r="G388" s="133"/>
      <c r="H388" s="133"/>
      <c r="I388" s="133"/>
      <c r="J388" s="480"/>
    </row>
    <row r="389" spans="1:10" s="8" customFormat="1">
      <c r="A389" s="133"/>
      <c r="B389" s="133"/>
      <c r="C389" s="133"/>
      <c r="D389" s="474"/>
      <c r="E389" s="203"/>
      <c r="F389" s="133"/>
      <c r="G389" s="133"/>
      <c r="H389" s="133"/>
      <c r="I389" s="133"/>
      <c r="J389" s="480"/>
    </row>
    <row r="390" spans="1:10" s="8" customFormat="1">
      <c r="A390" s="133"/>
      <c r="B390" s="133"/>
      <c r="C390" s="133"/>
      <c r="D390" s="474"/>
      <c r="E390" s="203"/>
      <c r="F390" s="133"/>
      <c r="G390" s="133"/>
      <c r="H390" s="133"/>
      <c r="I390" s="133"/>
      <c r="J390" s="480"/>
    </row>
    <row r="391" spans="1:10" s="8" customFormat="1">
      <c r="A391" s="133"/>
      <c r="B391" s="133"/>
      <c r="C391" s="133"/>
      <c r="D391" s="474"/>
      <c r="E391" s="203"/>
      <c r="F391" s="133"/>
      <c r="G391" s="133"/>
      <c r="H391" s="133"/>
      <c r="I391" s="133"/>
      <c r="J391" s="480"/>
    </row>
    <row r="392" spans="1:10" s="8" customFormat="1">
      <c r="A392" s="133"/>
      <c r="B392" s="133"/>
      <c r="C392" s="133"/>
      <c r="D392" s="474"/>
      <c r="E392" s="203"/>
      <c r="F392" s="133"/>
      <c r="G392" s="133"/>
      <c r="H392" s="133"/>
      <c r="I392" s="133"/>
      <c r="J392" s="480"/>
    </row>
    <row r="393" spans="1:10" s="8" customFormat="1">
      <c r="A393" s="133"/>
      <c r="B393" s="133"/>
      <c r="C393" s="133"/>
      <c r="D393" s="474"/>
      <c r="E393" s="203"/>
      <c r="F393" s="133"/>
      <c r="G393" s="133"/>
      <c r="H393" s="133"/>
      <c r="I393" s="133"/>
      <c r="J393" s="480"/>
    </row>
    <row r="394" spans="1:10" s="8" customFormat="1">
      <c r="A394" s="133"/>
      <c r="B394" s="133"/>
      <c r="C394" s="133"/>
      <c r="D394" s="474"/>
      <c r="E394" s="203"/>
      <c r="F394" s="133"/>
      <c r="G394" s="133"/>
      <c r="H394" s="133"/>
      <c r="I394" s="133"/>
      <c r="J394" s="480"/>
    </row>
    <row r="395" spans="1:10" s="8" customFormat="1">
      <c r="A395" s="133"/>
      <c r="B395" s="133"/>
      <c r="C395" s="133"/>
      <c r="D395" s="474"/>
      <c r="E395" s="203"/>
      <c r="F395" s="133"/>
      <c r="G395" s="133"/>
      <c r="H395" s="133"/>
      <c r="I395" s="133"/>
      <c r="J395" s="480"/>
    </row>
    <row r="396" spans="1:10" s="8" customFormat="1">
      <c r="A396" s="133"/>
      <c r="B396" s="133"/>
      <c r="C396" s="133"/>
      <c r="D396" s="474"/>
      <c r="E396" s="203"/>
      <c r="F396" s="133"/>
      <c r="G396" s="133"/>
      <c r="H396" s="133"/>
      <c r="I396" s="133"/>
      <c r="J396" s="480"/>
    </row>
    <row r="397" spans="1:10" s="8" customFormat="1">
      <c r="A397" s="133"/>
      <c r="B397" s="133"/>
      <c r="C397" s="133"/>
      <c r="D397" s="474"/>
      <c r="E397" s="203"/>
      <c r="F397" s="133"/>
      <c r="G397" s="133"/>
      <c r="H397" s="133"/>
      <c r="I397" s="133"/>
      <c r="J397" s="480"/>
    </row>
    <row r="398" spans="1:10" s="8" customFormat="1">
      <c r="A398" s="133"/>
      <c r="B398" s="133"/>
      <c r="C398" s="133"/>
      <c r="D398" s="474"/>
      <c r="E398" s="203"/>
      <c r="F398" s="133"/>
      <c r="G398" s="133"/>
      <c r="H398" s="133"/>
      <c r="I398" s="133"/>
      <c r="J398" s="480"/>
    </row>
    <row r="399" spans="1:10" s="8" customFormat="1">
      <c r="A399" s="133"/>
      <c r="B399" s="133"/>
      <c r="C399" s="133"/>
      <c r="D399" s="474"/>
      <c r="E399" s="203"/>
      <c r="F399" s="133"/>
      <c r="G399" s="133"/>
      <c r="H399" s="133"/>
      <c r="I399" s="133"/>
      <c r="J399" s="480"/>
    </row>
    <row r="400" spans="1:10" s="8" customFormat="1">
      <c r="A400" s="133"/>
      <c r="B400" s="133"/>
      <c r="C400" s="133"/>
      <c r="D400" s="474"/>
      <c r="E400" s="203"/>
      <c r="F400" s="133"/>
      <c r="G400" s="133"/>
      <c r="H400" s="133"/>
      <c r="I400" s="133"/>
      <c r="J400" s="480"/>
    </row>
    <row r="401" spans="1:10" s="8" customFormat="1">
      <c r="A401" s="133"/>
      <c r="B401" s="133"/>
      <c r="C401" s="133"/>
      <c r="D401" s="474"/>
      <c r="E401" s="203"/>
      <c r="F401" s="133"/>
      <c r="G401" s="133"/>
      <c r="H401" s="133"/>
      <c r="I401" s="133"/>
      <c r="J401" s="480"/>
    </row>
    <row r="402" spans="1:10" s="8" customFormat="1">
      <c r="A402" s="133"/>
      <c r="B402" s="133"/>
      <c r="C402" s="133"/>
      <c r="D402" s="474"/>
      <c r="E402" s="203"/>
      <c r="F402" s="133"/>
      <c r="G402" s="133"/>
      <c r="H402" s="133"/>
      <c r="I402" s="133"/>
      <c r="J402" s="480"/>
    </row>
    <row r="403" spans="1:10" s="8" customFormat="1">
      <c r="A403" s="133"/>
      <c r="B403" s="133"/>
      <c r="C403" s="133"/>
      <c r="D403" s="474"/>
      <c r="E403" s="203"/>
      <c r="F403" s="133"/>
      <c r="G403" s="133"/>
      <c r="H403" s="133"/>
      <c r="I403" s="133"/>
      <c r="J403" s="480"/>
    </row>
    <row r="404" spans="1:10" s="8" customFormat="1">
      <c r="A404" s="133"/>
      <c r="B404" s="133"/>
      <c r="C404" s="133"/>
      <c r="D404" s="474"/>
      <c r="E404" s="203"/>
      <c r="F404" s="133"/>
      <c r="G404" s="133"/>
      <c r="H404" s="133"/>
      <c r="I404" s="133"/>
      <c r="J404" s="480"/>
    </row>
    <row r="405" spans="1:10" s="8" customFormat="1">
      <c r="A405" s="133"/>
      <c r="B405" s="133"/>
      <c r="C405" s="133"/>
      <c r="D405" s="474"/>
      <c r="E405" s="203"/>
      <c r="F405" s="133"/>
      <c r="G405" s="133"/>
      <c r="H405" s="133"/>
      <c r="I405" s="133"/>
      <c r="J405" s="480"/>
    </row>
    <row r="406" spans="1:10" s="8" customFormat="1">
      <c r="A406" s="133"/>
      <c r="B406" s="133"/>
      <c r="C406" s="133"/>
      <c r="D406" s="474"/>
      <c r="E406" s="203"/>
      <c r="F406" s="133"/>
      <c r="G406" s="133"/>
      <c r="H406" s="133"/>
      <c r="I406" s="133"/>
      <c r="J406" s="480"/>
    </row>
    <row r="407" spans="1:10" s="8" customFormat="1">
      <c r="A407" s="133"/>
      <c r="B407" s="133"/>
      <c r="C407" s="133"/>
      <c r="D407" s="474"/>
      <c r="E407" s="203"/>
      <c r="F407" s="133"/>
      <c r="G407" s="133"/>
      <c r="H407" s="133"/>
      <c r="I407" s="133"/>
      <c r="J407" s="480"/>
    </row>
    <row r="408" spans="1:10" s="8" customFormat="1">
      <c r="A408" s="133"/>
      <c r="B408" s="133"/>
      <c r="C408" s="133"/>
      <c r="D408" s="474"/>
      <c r="E408" s="203"/>
      <c r="F408" s="133"/>
      <c r="G408" s="133"/>
      <c r="H408" s="133"/>
      <c r="I408" s="133"/>
      <c r="J408" s="480"/>
    </row>
    <row r="409" spans="1:10" s="8" customFormat="1">
      <c r="A409" s="133"/>
      <c r="B409" s="133"/>
      <c r="C409" s="133"/>
      <c r="D409" s="474"/>
      <c r="E409" s="203"/>
      <c r="F409" s="133"/>
      <c r="G409" s="133"/>
      <c r="H409" s="133"/>
      <c r="I409" s="133"/>
      <c r="J409" s="480"/>
    </row>
    <row r="410" spans="1:10" s="8" customFormat="1">
      <c r="A410" s="133"/>
      <c r="B410" s="133"/>
      <c r="C410" s="133"/>
      <c r="D410" s="474"/>
      <c r="E410" s="203"/>
      <c r="F410" s="133"/>
      <c r="G410" s="133"/>
      <c r="H410" s="133"/>
      <c r="I410" s="133"/>
      <c r="J410" s="480"/>
    </row>
    <row r="411" spans="1:10" s="8" customFormat="1">
      <c r="A411" s="133"/>
      <c r="B411" s="133"/>
      <c r="C411" s="133"/>
      <c r="D411" s="474"/>
      <c r="E411" s="203"/>
      <c r="F411" s="133"/>
      <c r="G411" s="133"/>
      <c r="H411" s="133"/>
      <c r="I411" s="133"/>
      <c r="J411" s="480"/>
    </row>
    <row r="412" spans="1:10" s="8" customFormat="1">
      <c r="A412" s="133"/>
      <c r="B412" s="133"/>
      <c r="C412" s="133"/>
      <c r="D412" s="474"/>
      <c r="E412" s="203"/>
      <c r="F412" s="133"/>
      <c r="G412" s="133"/>
      <c r="H412" s="133"/>
      <c r="I412" s="133"/>
      <c r="J412" s="480"/>
    </row>
    <row r="413" spans="1:10" s="8" customFormat="1">
      <c r="A413" s="133"/>
      <c r="B413" s="133"/>
      <c r="C413" s="133"/>
      <c r="D413" s="474"/>
      <c r="E413" s="203"/>
      <c r="F413" s="133"/>
      <c r="G413" s="133"/>
      <c r="H413" s="133"/>
      <c r="I413" s="133"/>
      <c r="J413" s="480"/>
    </row>
    <row r="414" spans="1:10" s="8" customFormat="1">
      <c r="A414" s="133"/>
      <c r="B414" s="133"/>
      <c r="C414" s="133"/>
      <c r="D414" s="474"/>
      <c r="E414" s="203"/>
      <c r="F414" s="133"/>
      <c r="G414" s="133"/>
      <c r="H414" s="133"/>
      <c r="I414" s="133"/>
      <c r="J414" s="480"/>
    </row>
    <row r="415" spans="1:10" s="8" customFormat="1">
      <c r="A415" s="133"/>
      <c r="B415" s="133"/>
      <c r="C415" s="133"/>
      <c r="D415" s="474"/>
      <c r="E415" s="203"/>
      <c r="F415" s="133"/>
      <c r="G415" s="133"/>
      <c r="H415" s="133"/>
      <c r="I415" s="133"/>
      <c r="J415" s="480"/>
    </row>
    <row r="416" spans="1:10" s="8" customFormat="1">
      <c r="A416" s="133"/>
      <c r="B416" s="133"/>
      <c r="C416" s="133"/>
      <c r="D416" s="474"/>
      <c r="E416" s="203"/>
      <c r="F416" s="133"/>
      <c r="G416" s="133"/>
      <c r="H416" s="133"/>
      <c r="I416" s="133"/>
      <c r="J416" s="480"/>
    </row>
    <row r="417" spans="1:10" s="8" customFormat="1">
      <c r="A417" s="133"/>
      <c r="B417" s="133"/>
      <c r="C417" s="133"/>
      <c r="D417" s="474"/>
      <c r="E417" s="203"/>
      <c r="F417" s="133"/>
      <c r="G417" s="133"/>
      <c r="H417" s="133"/>
      <c r="I417" s="133"/>
      <c r="J417" s="480"/>
    </row>
    <row r="418" spans="1:10" s="8" customFormat="1">
      <c r="A418" s="133"/>
      <c r="B418" s="133"/>
      <c r="C418" s="133"/>
      <c r="D418" s="474"/>
      <c r="E418" s="203"/>
      <c r="F418" s="133"/>
      <c r="G418" s="133"/>
      <c r="H418" s="133"/>
      <c r="I418" s="133"/>
      <c r="J418" s="480"/>
    </row>
    <row r="419" spans="1:10" s="8" customFormat="1">
      <c r="A419" s="133"/>
      <c r="B419" s="133"/>
      <c r="C419" s="133"/>
      <c r="D419" s="474"/>
      <c r="E419" s="203"/>
      <c r="F419" s="133"/>
      <c r="G419" s="133"/>
      <c r="H419" s="133"/>
      <c r="I419" s="133"/>
      <c r="J419" s="480"/>
    </row>
    <row r="420" spans="1:10" s="8" customFormat="1">
      <c r="A420" s="133"/>
      <c r="B420" s="133"/>
      <c r="C420" s="133"/>
      <c r="D420" s="474"/>
      <c r="E420" s="203"/>
      <c r="F420" s="133"/>
      <c r="G420" s="133"/>
      <c r="H420" s="133"/>
      <c r="I420" s="133"/>
      <c r="J420" s="480"/>
    </row>
    <row r="421" spans="1:10" s="8" customFormat="1">
      <c r="A421" s="133"/>
      <c r="B421" s="133"/>
      <c r="C421" s="133"/>
      <c r="D421" s="474"/>
      <c r="E421" s="203"/>
      <c r="F421" s="133"/>
      <c r="G421" s="133"/>
      <c r="H421" s="133"/>
      <c r="I421" s="133"/>
      <c r="J421" s="480"/>
    </row>
    <row r="422" spans="1:10" s="8" customFormat="1">
      <c r="A422" s="133"/>
      <c r="B422" s="133"/>
      <c r="C422" s="133"/>
      <c r="D422" s="474"/>
      <c r="E422" s="203"/>
      <c r="F422" s="133"/>
      <c r="G422" s="133"/>
      <c r="H422" s="133"/>
      <c r="I422" s="133"/>
      <c r="J422" s="480"/>
    </row>
    <row r="423" spans="1:10" s="8" customFormat="1">
      <c r="A423" s="133"/>
      <c r="B423" s="133"/>
      <c r="C423" s="133"/>
      <c r="D423" s="474"/>
      <c r="E423" s="203"/>
      <c r="F423" s="133"/>
      <c r="G423" s="133"/>
      <c r="H423" s="133"/>
      <c r="I423" s="133"/>
      <c r="J423" s="480"/>
    </row>
    <row r="424" spans="1:10" s="8" customFormat="1">
      <c r="A424" s="133"/>
      <c r="B424" s="133"/>
      <c r="C424" s="133"/>
      <c r="D424" s="474"/>
      <c r="E424" s="203"/>
      <c r="F424" s="133"/>
      <c r="G424" s="133"/>
      <c r="H424" s="133"/>
      <c r="I424" s="133"/>
      <c r="J424" s="480"/>
    </row>
    <row r="425" spans="1:10" s="8" customFormat="1">
      <c r="A425" s="133"/>
      <c r="B425" s="133"/>
      <c r="C425" s="133"/>
      <c r="D425" s="474"/>
      <c r="E425" s="203"/>
      <c r="F425" s="133"/>
      <c r="G425" s="133"/>
      <c r="H425" s="133"/>
      <c r="I425" s="133"/>
      <c r="J425" s="480"/>
    </row>
    <row r="426" spans="1:10" s="8" customFormat="1">
      <c r="A426" s="133"/>
      <c r="B426" s="133"/>
      <c r="C426" s="133"/>
      <c r="D426" s="474"/>
      <c r="E426" s="203"/>
      <c r="F426" s="133"/>
      <c r="G426" s="133"/>
      <c r="H426" s="133"/>
      <c r="I426" s="133"/>
      <c r="J426" s="480"/>
    </row>
    <row r="427" spans="1:10" s="8" customFormat="1">
      <c r="A427" s="133"/>
      <c r="B427" s="133"/>
      <c r="C427" s="133"/>
      <c r="D427" s="474"/>
      <c r="E427" s="203"/>
      <c r="F427" s="133"/>
      <c r="G427" s="133"/>
      <c r="H427" s="133"/>
      <c r="I427" s="133"/>
      <c r="J427" s="480"/>
    </row>
    <row r="428" spans="1:10" s="8" customFormat="1">
      <c r="A428" s="133"/>
      <c r="B428" s="133"/>
      <c r="C428" s="133"/>
      <c r="D428" s="474"/>
      <c r="E428" s="203"/>
      <c r="F428" s="133"/>
      <c r="G428" s="133"/>
      <c r="H428" s="133"/>
      <c r="I428" s="133"/>
      <c r="J428" s="480"/>
    </row>
    <row r="429" spans="1:10" s="8" customFormat="1">
      <c r="A429" s="133"/>
      <c r="B429" s="133"/>
      <c r="C429" s="133"/>
      <c r="D429" s="474"/>
      <c r="E429" s="203"/>
      <c r="F429" s="133"/>
      <c r="G429" s="133"/>
      <c r="H429" s="133"/>
      <c r="I429" s="133"/>
      <c r="J429" s="480"/>
    </row>
    <row r="430" spans="1:10" s="8" customFormat="1">
      <c r="A430" s="133"/>
      <c r="B430" s="133"/>
      <c r="C430" s="133"/>
      <c r="D430" s="474"/>
      <c r="E430" s="203"/>
      <c r="F430" s="133"/>
      <c r="G430" s="133"/>
      <c r="H430" s="133"/>
      <c r="I430" s="133"/>
      <c r="J430" s="480"/>
    </row>
    <row r="431" spans="1:10" s="8" customFormat="1">
      <c r="A431" s="133"/>
      <c r="B431" s="133"/>
      <c r="C431" s="133"/>
      <c r="D431" s="474"/>
      <c r="E431" s="203"/>
      <c r="F431" s="133"/>
      <c r="G431" s="133"/>
      <c r="H431" s="133"/>
      <c r="I431" s="133"/>
      <c r="J431" s="480"/>
    </row>
    <row r="432" spans="1:10" s="8" customFormat="1">
      <c r="A432" s="133"/>
      <c r="B432" s="133"/>
      <c r="C432" s="133"/>
      <c r="D432" s="474"/>
      <c r="E432" s="203"/>
      <c r="F432" s="133"/>
      <c r="G432" s="133"/>
      <c r="H432" s="133"/>
      <c r="I432" s="133"/>
      <c r="J432" s="480"/>
    </row>
    <row r="433" spans="1:10" s="8" customFormat="1">
      <c r="A433" s="133"/>
      <c r="B433" s="133"/>
      <c r="C433" s="133"/>
      <c r="D433" s="474"/>
      <c r="E433" s="203"/>
      <c r="F433" s="133"/>
      <c r="G433" s="133"/>
      <c r="H433" s="133"/>
      <c r="I433" s="133"/>
      <c r="J433" s="480"/>
    </row>
    <row r="434" spans="1:10" s="8" customFormat="1">
      <c r="A434" s="133"/>
      <c r="B434" s="133"/>
      <c r="C434" s="133"/>
      <c r="D434" s="474"/>
      <c r="E434" s="203"/>
      <c r="F434" s="133"/>
      <c r="G434" s="133"/>
      <c r="H434" s="133"/>
      <c r="I434" s="133"/>
      <c r="J434" s="480"/>
    </row>
    <row r="435" spans="1:10" s="8" customFormat="1">
      <c r="A435" s="133"/>
      <c r="B435" s="133"/>
      <c r="C435" s="133"/>
      <c r="D435" s="474"/>
      <c r="E435" s="203"/>
      <c r="F435" s="133"/>
      <c r="G435" s="133"/>
      <c r="H435" s="133"/>
      <c r="I435" s="133"/>
      <c r="J435" s="480"/>
    </row>
    <row r="436" spans="1:10" s="8" customFormat="1">
      <c r="A436" s="133"/>
      <c r="B436" s="133"/>
      <c r="C436" s="133"/>
      <c r="D436" s="474"/>
      <c r="E436" s="203"/>
      <c r="F436" s="133"/>
      <c r="G436" s="133"/>
      <c r="H436" s="133"/>
      <c r="I436" s="133"/>
      <c r="J436" s="480"/>
    </row>
    <row r="437" spans="1:10" s="8" customFormat="1">
      <c r="A437" s="133"/>
      <c r="B437" s="133"/>
      <c r="C437" s="133"/>
      <c r="D437" s="474"/>
      <c r="E437" s="203"/>
      <c r="F437" s="133"/>
      <c r="G437" s="133"/>
      <c r="H437" s="133"/>
      <c r="I437" s="133"/>
      <c r="J437" s="480"/>
    </row>
    <row r="438" spans="1:10" s="8" customFormat="1">
      <c r="A438" s="133"/>
      <c r="B438" s="133"/>
      <c r="C438" s="133"/>
      <c r="D438" s="474"/>
      <c r="E438" s="203"/>
      <c r="F438" s="133"/>
      <c r="G438" s="133"/>
      <c r="H438" s="133"/>
      <c r="I438" s="133"/>
      <c r="J438" s="480"/>
    </row>
    <row r="439" spans="1:10" s="8" customFormat="1">
      <c r="A439" s="133"/>
      <c r="B439" s="133"/>
      <c r="C439" s="133"/>
      <c r="D439" s="474"/>
      <c r="E439" s="203"/>
      <c r="F439" s="133"/>
      <c r="G439" s="133"/>
      <c r="H439" s="133"/>
      <c r="I439" s="133"/>
      <c r="J439" s="480"/>
    </row>
    <row r="440" spans="1:10" s="8" customFormat="1">
      <c r="A440" s="133"/>
      <c r="B440" s="133"/>
      <c r="C440" s="133"/>
      <c r="D440" s="474"/>
      <c r="E440" s="203"/>
      <c r="F440" s="133"/>
      <c r="G440" s="133"/>
      <c r="H440" s="133"/>
      <c r="I440" s="133"/>
      <c r="J440" s="480"/>
    </row>
    <row r="441" spans="1:10" s="8" customFormat="1">
      <c r="A441" s="133"/>
      <c r="B441" s="133"/>
      <c r="C441" s="133"/>
      <c r="D441" s="474"/>
      <c r="E441" s="203"/>
      <c r="F441" s="133"/>
      <c r="G441" s="133"/>
      <c r="H441" s="133"/>
      <c r="I441" s="133"/>
      <c r="J441" s="480"/>
    </row>
    <row r="442" spans="1:10" s="8" customFormat="1">
      <c r="A442" s="133"/>
      <c r="B442" s="133"/>
      <c r="C442" s="133"/>
      <c r="D442" s="474"/>
      <c r="E442" s="203"/>
      <c r="F442" s="133"/>
      <c r="G442" s="133"/>
      <c r="H442" s="133"/>
      <c r="I442" s="133"/>
      <c r="J442" s="480"/>
    </row>
    <row r="443" spans="1:10" s="8" customFormat="1">
      <c r="A443" s="133"/>
      <c r="B443" s="133"/>
      <c r="C443" s="133"/>
      <c r="D443" s="474"/>
      <c r="E443" s="203"/>
      <c r="F443" s="133"/>
      <c r="G443" s="133"/>
      <c r="H443" s="133"/>
      <c r="I443" s="133"/>
      <c r="J443" s="480"/>
    </row>
    <row r="444" spans="1:10" s="8" customFormat="1">
      <c r="A444" s="133"/>
      <c r="B444" s="133"/>
      <c r="C444" s="133"/>
      <c r="D444" s="474"/>
      <c r="E444" s="203"/>
      <c r="F444" s="133"/>
      <c r="G444" s="133"/>
      <c r="H444" s="133"/>
      <c r="I444" s="133"/>
      <c r="J444" s="480"/>
    </row>
    <row r="445" spans="1:10" s="8" customFormat="1">
      <c r="A445" s="133"/>
      <c r="B445" s="133"/>
      <c r="C445" s="133"/>
      <c r="D445" s="474"/>
      <c r="E445" s="203"/>
      <c r="F445" s="133"/>
      <c r="G445" s="133"/>
      <c r="H445" s="133"/>
      <c r="I445" s="133"/>
      <c r="J445" s="480"/>
    </row>
    <row r="446" spans="1:10" s="8" customFormat="1">
      <c r="A446" s="133"/>
      <c r="B446" s="133"/>
      <c r="C446" s="133"/>
      <c r="D446" s="474"/>
      <c r="E446" s="203"/>
      <c r="F446" s="133"/>
      <c r="G446" s="133"/>
      <c r="H446" s="133"/>
      <c r="I446" s="133"/>
      <c r="J446" s="480"/>
    </row>
    <row r="447" spans="1:10" s="8" customFormat="1">
      <c r="A447" s="133"/>
      <c r="B447" s="133"/>
      <c r="C447" s="133"/>
      <c r="D447" s="474"/>
      <c r="E447" s="203"/>
      <c r="F447" s="133"/>
      <c r="G447" s="133"/>
      <c r="H447" s="133"/>
      <c r="I447" s="133"/>
      <c r="J447" s="480"/>
    </row>
    <row r="448" spans="1:10" s="8" customFormat="1">
      <c r="A448" s="133"/>
      <c r="B448" s="133"/>
      <c r="C448" s="133"/>
      <c r="D448" s="474"/>
      <c r="E448" s="203"/>
      <c r="F448" s="133"/>
      <c r="G448" s="133"/>
      <c r="H448" s="133"/>
      <c r="I448" s="133"/>
      <c r="J448" s="480"/>
    </row>
    <row r="449" spans="1:10" s="8" customFormat="1">
      <c r="A449" s="133"/>
      <c r="B449" s="133"/>
      <c r="C449" s="133"/>
      <c r="D449" s="474"/>
      <c r="E449" s="203"/>
      <c r="F449" s="133"/>
      <c r="G449" s="133"/>
      <c r="H449" s="133"/>
      <c r="I449" s="133"/>
      <c r="J449" s="480"/>
    </row>
    <row r="450" spans="1:10" s="8" customFormat="1">
      <c r="A450" s="133"/>
      <c r="B450" s="133"/>
      <c r="C450" s="133"/>
      <c r="D450" s="474"/>
      <c r="E450" s="203"/>
      <c r="F450" s="133"/>
      <c r="G450" s="133"/>
      <c r="H450" s="133"/>
      <c r="I450" s="133"/>
      <c r="J450" s="480"/>
    </row>
    <row r="451" spans="1:10" s="8" customFormat="1">
      <c r="A451" s="133"/>
      <c r="B451" s="133"/>
      <c r="C451" s="133"/>
      <c r="D451" s="474"/>
      <c r="E451" s="203"/>
      <c r="F451" s="133"/>
      <c r="G451" s="133"/>
      <c r="H451" s="133"/>
      <c r="I451" s="133"/>
      <c r="J451" s="480"/>
    </row>
    <row r="452" spans="1:10" s="8" customFormat="1">
      <c r="A452" s="133"/>
      <c r="B452" s="133"/>
      <c r="C452" s="133"/>
      <c r="D452" s="474"/>
      <c r="E452" s="203"/>
      <c r="F452" s="133"/>
      <c r="G452" s="133"/>
      <c r="H452" s="133"/>
      <c r="I452" s="133"/>
      <c r="J452" s="480"/>
    </row>
    <row r="453" spans="1:10" s="8" customFormat="1">
      <c r="A453" s="133"/>
      <c r="B453" s="133"/>
      <c r="C453" s="133"/>
      <c r="D453" s="474"/>
      <c r="E453" s="203"/>
      <c r="F453" s="133"/>
      <c r="G453" s="133"/>
      <c r="H453" s="133"/>
      <c r="I453" s="133"/>
      <c r="J453" s="480"/>
    </row>
    <row r="454" spans="1:10" s="8" customFormat="1">
      <c r="A454" s="133"/>
      <c r="B454" s="133"/>
      <c r="C454" s="133"/>
      <c r="D454" s="474"/>
      <c r="E454" s="203"/>
      <c r="F454" s="133"/>
      <c r="G454" s="133"/>
      <c r="H454" s="133"/>
      <c r="I454" s="133"/>
      <c r="J454" s="480"/>
    </row>
    <row r="455" spans="1:10" s="8" customFormat="1">
      <c r="A455" s="133"/>
      <c r="B455" s="133"/>
      <c r="C455" s="133"/>
      <c r="D455" s="474"/>
      <c r="E455" s="203"/>
      <c r="F455" s="133"/>
      <c r="G455" s="133"/>
      <c r="H455" s="133"/>
      <c r="I455" s="133"/>
      <c r="J455" s="480"/>
    </row>
    <row r="456" spans="1:10" s="8" customFormat="1">
      <c r="A456" s="133"/>
      <c r="B456" s="133"/>
      <c r="C456" s="133"/>
      <c r="D456" s="474"/>
      <c r="E456" s="203"/>
      <c r="F456" s="133"/>
      <c r="G456" s="133"/>
      <c r="H456" s="133"/>
      <c r="I456" s="133"/>
      <c r="J456" s="480"/>
    </row>
    <row r="457" spans="1:10" s="8" customFormat="1">
      <c r="A457" s="133"/>
      <c r="B457" s="133"/>
      <c r="C457" s="133"/>
      <c r="D457" s="474"/>
      <c r="E457" s="203"/>
      <c r="F457" s="133"/>
      <c r="G457" s="133"/>
      <c r="H457" s="133"/>
      <c r="I457" s="133"/>
      <c r="J457" s="480"/>
    </row>
    <row r="458" spans="1:10" s="8" customFormat="1">
      <c r="A458" s="133"/>
      <c r="B458" s="133"/>
      <c r="C458" s="133"/>
      <c r="D458" s="474"/>
      <c r="E458" s="203"/>
      <c r="F458" s="133"/>
      <c r="G458" s="133"/>
      <c r="H458" s="133"/>
      <c r="I458" s="133"/>
      <c r="J458" s="480"/>
    </row>
    <row r="459" spans="1:10" s="8" customFormat="1">
      <c r="A459" s="133"/>
      <c r="B459" s="133"/>
      <c r="C459" s="133"/>
      <c r="D459" s="474"/>
      <c r="E459" s="203"/>
      <c r="F459" s="133"/>
      <c r="G459" s="133"/>
      <c r="H459" s="133"/>
      <c r="I459" s="133"/>
      <c r="J459" s="480"/>
    </row>
    <row r="460" spans="1:10" s="8" customFormat="1">
      <c r="A460" s="133"/>
      <c r="B460" s="133"/>
      <c r="C460" s="133"/>
      <c r="D460" s="474"/>
      <c r="E460" s="203"/>
      <c r="F460" s="133"/>
      <c r="G460" s="133"/>
      <c r="H460" s="133"/>
      <c r="I460" s="133"/>
      <c r="J460" s="480"/>
    </row>
    <row r="461" spans="1:10" s="8" customFormat="1">
      <c r="A461" s="133"/>
      <c r="B461" s="133"/>
      <c r="C461" s="133"/>
      <c r="D461" s="474"/>
      <c r="E461" s="203"/>
      <c r="F461" s="133"/>
      <c r="G461" s="133"/>
      <c r="H461" s="133"/>
      <c r="I461" s="133"/>
      <c r="J461" s="480"/>
    </row>
    <row r="462" spans="1:10" s="8" customFormat="1">
      <c r="A462" s="133"/>
      <c r="B462" s="133"/>
      <c r="C462" s="133"/>
      <c r="D462" s="474"/>
      <c r="E462" s="203"/>
      <c r="F462" s="133"/>
      <c r="G462" s="133"/>
      <c r="H462" s="133"/>
      <c r="I462" s="133"/>
      <c r="J462" s="480"/>
    </row>
    <row r="463" spans="1:10" s="8" customFormat="1">
      <c r="A463" s="133"/>
      <c r="B463" s="133"/>
      <c r="C463" s="133"/>
      <c r="D463" s="474"/>
      <c r="E463" s="203"/>
      <c r="F463" s="133"/>
      <c r="G463" s="133"/>
      <c r="H463" s="133"/>
      <c r="I463" s="133"/>
      <c r="J463" s="480"/>
    </row>
    <row r="464" spans="1:10" s="8" customFormat="1">
      <c r="A464" s="133"/>
      <c r="B464" s="133"/>
      <c r="C464" s="133"/>
      <c r="D464" s="474"/>
      <c r="E464" s="203"/>
      <c r="F464" s="133"/>
      <c r="G464" s="133"/>
      <c r="H464" s="133"/>
      <c r="I464" s="133"/>
      <c r="J464" s="480"/>
    </row>
    <row r="465" spans="1:10" s="8" customFormat="1">
      <c r="A465" s="133"/>
      <c r="B465" s="133"/>
      <c r="C465" s="133"/>
      <c r="D465" s="474"/>
      <c r="E465" s="203"/>
      <c r="F465" s="133"/>
      <c r="G465" s="133"/>
      <c r="H465" s="133"/>
      <c r="I465" s="133"/>
      <c r="J465" s="480"/>
    </row>
    <row r="466" spans="1:10" s="8" customFormat="1">
      <c r="A466" s="133"/>
      <c r="B466" s="133"/>
      <c r="C466" s="133"/>
      <c r="D466" s="474"/>
      <c r="E466" s="203"/>
      <c r="F466" s="133"/>
      <c r="G466" s="133"/>
      <c r="H466" s="133"/>
      <c r="I466" s="133"/>
      <c r="J466" s="480"/>
    </row>
    <row r="467" spans="1:10" s="8" customFormat="1">
      <c r="A467" s="133"/>
      <c r="B467" s="133"/>
      <c r="C467" s="133"/>
      <c r="D467" s="474"/>
      <c r="E467" s="203"/>
      <c r="F467" s="133"/>
      <c r="G467" s="133"/>
      <c r="H467" s="133"/>
      <c r="I467" s="133"/>
      <c r="J467" s="480"/>
    </row>
    <row r="468" spans="1:10" s="8" customFormat="1">
      <c r="A468" s="133"/>
      <c r="B468" s="133"/>
      <c r="C468" s="133"/>
      <c r="D468" s="474"/>
      <c r="E468" s="203"/>
      <c r="F468" s="133"/>
      <c r="G468" s="133"/>
      <c r="H468" s="133"/>
      <c r="I468" s="133"/>
      <c r="J468" s="480"/>
    </row>
    <row r="469" spans="1:10" s="8" customFormat="1">
      <c r="A469" s="133"/>
      <c r="B469" s="133"/>
      <c r="C469" s="133"/>
      <c r="D469" s="474"/>
      <c r="E469" s="203"/>
      <c r="F469" s="133"/>
      <c r="G469" s="133"/>
      <c r="H469" s="133"/>
      <c r="I469" s="133"/>
      <c r="J469" s="480"/>
    </row>
    <row r="470" spans="1:10" s="8" customFormat="1">
      <c r="A470" s="133"/>
      <c r="B470" s="133"/>
      <c r="C470" s="133"/>
      <c r="D470" s="474"/>
      <c r="E470" s="203"/>
      <c r="F470" s="133"/>
      <c r="G470" s="133"/>
      <c r="H470" s="133"/>
      <c r="I470" s="133"/>
      <c r="J470" s="480"/>
    </row>
    <row r="471" spans="1:10" s="8" customFormat="1">
      <c r="A471" s="133"/>
      <c r="B471" s="133"/>
      <c r="C471" s="133"/>
      <c r="D471" s="474"/>
      <c r="E471" s="203"/>
      <c r="F471" s="133"/>
      <c r="G471" s="133"/>
      <c r="H471" s="133"/>
      <c r="I471" s="133"/>
      <c r="J471" s="480"/>
    </row>
    <row r="472" spans="1:10" s="8" customFormat="1">
      <c r="A472" s="133"/>
      <c r="B472" s="133"/>
      <c r="C472" s="133"/>
      <c r="D472" s="474"/>
      <c r="E472" s="203"/>
      <c r="F472" s="133"/>
      <c r="G472" s="133"/>
      <c r="H472" s="133"/>
      <c r="I472" s="133"/>
      <c r="J472" s="480"/>
    </row>
    <row r="473" spans="1:10" s="8" customFormat="1">
      <c r="A473" s="133"/>
      <c r="B473" s="133"/>
      <c r="C473" s="133"/>
      <c r="D473" s="474"/>
      <c r="E473" s="203"/>
      <c r="F473" s="133"/>
      <c r="G473" s="133"/>
      <c r="H473" s="133"/>
      <c r="I473" s="133"/>
      <c r="J473" s="480"/>
    </row>
    <row r="474" spans="1:10" s="8" customFormat="1">
      <c r="A474" s="133"/>
      <c r="B474" s="133"/>
      <c r="C474" s="133"/>
      <c r="D474" s="474"/>
      <c r="E474" s="203"/>
      <c r="F474" s="133"/>
      <c r="G474" s="133"/>
      <c r="H474" s="133"/>
      <c r="I474" s="133"/>
      <c r="J474" s="480"/>
    </row>
    <row r="475" spans="1:10" s="8" customFormat="1">
      <c r="A475" s="133"/>
      <c r="B475" s="133"/>
      <c r="C475" s="133"/>
      <c r="D475" s="474"/>
      <c r="E475" s="203"/>
      <c r="F475" s="133"/>
      <c r="G475" s="133"/>
      <c r="H475" s="133"/>
      <c r="I475" s="133"/>
      <c r="J475" s="480"/>
    </row>
    <row r="476" spans="1:10" s="8" customFormat="1">
      <c r="A476" s="133"/>
      <c r="B476" s="133"/>
      <c r="C476" s="133"/>
      <c r="D476" s="474"/>
      <c r="E476" s="203"/>
      <c r="F476" s="133"/>
      <c r="G476" s="133"/>
      <c r="H476" s="133"/>
      <c r="I476" s="133"/>
      <c r="J476" s="480"/>
    </row>
    <row r="477" spans="1:10" s="8" customFormat="1">
      <c r="A477" s="133"/>
      <c r="B477" s="133"/>
      <c r="C477" s="133"/>
      <c r="D477" s="474"/>
      <c r="E477" s="203"/>
      <c r="F477" s="133"/>
      <c r="G477" s="133"/>
      <c r="H477" s="133"/>
      <c r="I477" s="133"/>
      <c r="J477" s="480"/>
    </row>
    <row r="478" spans="1:10" s="8" customFormat="1">
      <c r="A478" s="133"/>
      <c r="B478" s="133"/>
      <c r="C478" s="133"/>
      <c r="D478" s="474"/>
      <c r="E478" s="203"/>
      <c r="F478" s="133"/>
      <c r="G478" s="133"/>
      <c r="H478" s="133"/>
      <c r="I478" s="133"/>
      <c r="J478" s="480"/>
    </row>
    <row r="479" spans="1:10" s="8" customFormat="1">
      <c r="A479" s="133"/>
      <c r="B479" s="133"/>
      <c r="C479" s="133"/>
      <c r="D479" s="474"/>
      <c r="E479" s="203"/>
      <c r="F479" s="133"/>
      <c r="G479" s="133"/>
      <c r="H479" s="133"/>
      <c r="I479" s="133"/>
      <c r="J479" s="480"/>
    </row>
    <row r="480" spans="1:10" s="8" customFormat="1">
      <c r="A480" s="133"/>
      <c r="B480" s="133"/>
      <c r="C480" s="133"/>
      <c r="D480" s="474"/>
      <c r="E480" s="203"/>
      <c r="F480" s="133"/>
      <c r="G480" s="133"/>
      <c r="H480" s="133"/>
      <c r="I480" s="133"/>
      <c r="J480" s="480"/>
    </row>
    <row r="481" spans="1:10" s="8" customFormat="1">
      <c r="A481" s="133"/>
      <c r="B481" s="133"/>
      <c r="C481" s="133"/>
      <c r="D481" s="474"/>
      <c r="E481" s="203"/>
      <c r="F481" s="133"/>
      <c r="G481" s="133"/>
      <c r="H481" s="133"/>
      <c r="I481" s="133"/>
      <c r="J481" s="480"/>
    </row>
    <row r="482" spans="1:10" s="8" customFormat="1">
      <c r="A482" s="133"/>
      <c r="B482" s="133"/>
      <c r="C482" s="133"/>
      <c r="D482" s="474"/>
      <c r="E482" s="203"/>
      <c r="F482" s="133"/>
      <c r="G482" s="133"/>
      <c r="H482" s="133"/>
      <c r="I482" s="133"/>
      <c r="J482" s="480"/>
    </row>
    <row r="483" spans="1:10" s="8" customFormat="1">
      <c r="A483" s="133"/>
      <c r="B483" s="133"/>
      <c r="C483" s="133"/>
      <c r="D483" s="474"/>
      <c r="E483" s="203"/>
      <c r="F483" s="133"/>
      <c r="G483" s="133"/>
      <c r="H483" s="133"/>
      <c r="I483" s="133"/>
      <c r="J483" s="480"/>
    </row>
    <row r="484" spans="1:10" s="8" customFormat="1">
      <c r="A484" s="133"/>
      <c r="B484" s="133"/>
      <c r="C484" s="133"/>
      <c r="D484" s="474"/>
      <c r="E484" s="203"/>
      <c r="F484" s="133"/>
      <c r="G484" s="133"/>
      <c r="H484" s="133"/>
      <c r="I484" s="133"/>
      <c r="J484" s="480"/>
    </row>
    <row r="485" spans="1:10" s="8" customFormat="1">
      <c r="A485" s="133"/>
      <c r="B485" s="133"/>
      <c r="C485" s="133"/>
      <c r="D485" s="474"/>
      <c r="E485" s="203"/>
      <c r="F485" s="133"/>
      <c r="G485" s="133"/>
      <c r="H485" s="133"/>
      <c r="I485" s="133"/>
      <c r="J485" s="480"/>
    </row>
    <row r="486" spans="1:10" s="8" customFormat="1">
      <c r="A486" s="133"/>
      <c r="B486" s="133"/>
      <c r="C486" s="133"/>
      <c r="D486" s="474"/>
      <c r="E486" s="203"/>
      <c r="F486" s="133"/>
      <c r="G486" s="133"/>
      <c r="H486" s="133"/>
      <c r="I486" s="133"/>
      <c r="J486" s="480"/>
    </row>
    <row r="487" spans="1:10" s="8" customFormat="1">
      <c r="A487" s="133"/>
      <c r="B487" s="133"/>
      <c r="C487" s="133"/>
      <c r="D487" s="474"/>
      <c r="E487" s="203"/>
      <c r="F487" s="133"/>
      <c r="G487" s="133"/>
      <c r="H487" s="133"/>
      <c r="I487" s="133"/>
      <c r="J487" s="480"/>
    </row>
    <row r="488" spans="1:10" s="8" customFormat="1">
      <c r="A488" s="133"/>
      <c r="B488" s="133"/>
      <c r="C488" s="133"/>
      <c r="D488" s="474"/>
      <c r="E488" s="203"/>
      <c r="F488" s="133"/>
      <c r="G488" s="133"/>
      <c r="H488" s="133"/>
      <c r="I488" s="133"/>
      <c r="J488" s="480"/>
    </row>
    <row r="489" spans="1:10" s="8" customFormat="1">
      <c r="A489" s="133"/>
      <c r="B489" s="133"/>
      <c r="C489" s="133"/>
      <c r="D489" s="474"/>
      <c r="E489" s="203"/>
      <c r="F489" s="133"/>
      <c r="G489" s="133"/>
      <c r="H489" s="133"/>
      <c r="I489" s="133"/>
      <c r="J489" s="480"/>
    </row>
    <row r="490" spans="1:10" s="8" customFormat="1">
      <c r="A490" s="133"/>
      <c r="B490" s="133"/>
      <c r="C490" s="133"/>
      <c r="D490" s="474"/>
      <c r="E490" s="203"/>
      <c r="F490" s="133"/>
      <c r="G490" s="133"/>
      <c r="H490" s="133"/>
      <c r="I490" s="133"/>
      <c r="J490" s="480"/>
    </row>
    <row r="491" spans="1:10" s="8" customFormat="1">
      <c r="A491" s="133"/>
      <c r="B491" s="133"/>
      <c r="C491" s="133"/>
      <c r="D491" s="474"/>
      <c r="E491" s="203"/>
      <c r="F491" s="133"/>
      <c r="G491" s="133"/>
      <c r="H491" s="133"/>
      <c r="I491" s="133"/>
      <c r="J491" s="480"/>
    </row>
    <row r="492" spans="1:10" s="8" customFormat="1">
      <c r="A492" s="133"/>
      <c r="B492" s="133"/>
      <c r="C492" s="133"/>
      <c r="D492" s="474"/>
      <c r="E492" s="203"/>
      <c r="F492" s="133"/>
      <c r="G492" s="133"/>
      <c r="H492" s="133"/>
      <c r="I492" s="133"/>
      <c r="J492" s="480"/>
    </row>
    <row r="493" spans="1:10" s="8" customFormat="1">
      <c r="A493" s="133"/>
      <c r="B493" s="133"/>
      <c r="C493" s="133"/>
      <c r="D493" s="474"/>
      <c r="E493" s="203"/>
      <c r="F493" s="133"/>
      <c r="G493" s="133"/>
      <c r="H493" s="133"/>
      <c r="I493" s="133"/>
      <c r="J493" s="480"/>
    </row>
    <row r="494" spans="1:10" s="8" customFormat="1">
      <c r="A494" s="133"/>
      <c r="B494" s="133"/>
      <c r="C494" s="133"/>
      <c r="D494" s="474"/>
      <c r="E494" s="203"/>
      <c r="F494" s="133"/>
      <c r="G494" s="133"/>
      <c r="H494" s="133"/>
      <c r="I494" s="133"/>
      <c r="J494" s="480"/>
    </row>
    <row r="495" spans="1:10" s="8" customFormat="1">
      <c r="A495" s="133"/>
      <c r="B495" s="133"/>
      <c r="C495" s="133"/>
      <c r="D495" s="474"/>
      <c r="E495" s="203"/>
      <c r="F495" s="133"/>
      <c r="G495" s="133"/>
      <c r="H495" s="133"/>
      <c r="I495" s="133"/>
      <c r="J495" s="480"/>
    </row>
    <row r="496" spans="1:10" s="8" customFormat="1">
      <c r="A496" s="133"/>
      <c r="B496" s="133"/>
      <c r="C496" s="133"/>
      <c r="D496" s="474"/>
      <c r="E496" s="203"/>
      <c r="F496" s="133"/>
      <c r="G496" s="133"/>
      <c r="H496" s="133"/>
      <c r="I496" s="133"/>
      <c r="J496" s="480"/>
    </row>
    <row r="497" spans="1:10" s="8" customFormat="1">
      <c r="A497" s="133"/>
      <c r="B497" s="133"/>
      <c r="C497" s="133"/>
      <c r="D497" s="474"/>
      <c r="E497" s="203"/>
      <c r="F497" s="133"/>
      <c r="G497" s="133"/>
      <c r="H497" s="133"/>
      <c r="I497" s="133"/>
      <c r="J497" s="480"/>
    </row>
    <row r="498" spans="1:10" s="8" customFormat="1">
      <c r="A498" s="133"/>
      <c r="B498" s="133"/>
      <c r="C498" s="133"/>
      <c r="D498" s="474"/>
      <c r="E498" s="203"/>
      <c r="F498" s="133"/>
      <c r="G498" s="133"/>
      <c r="H498" s="133"/>
      <c r="I498" s="133"/>
      <c r="J498" s="480"/>
    </row>
    <row r="499" spans="1:10" s="8" customFormat="1">
      <c r="A499" s="133"/>
      <c r="B499" s="133"/>
      <c r="C499" s="133"/>
      <c r="D499" s="474"/>
      <c r="E499" s="203"/>
      <c r="F499" s="133"/>
      <c r="G499" s="133"/>
      <c r="H499" s="133"/>
      <c r="I499" s="133"/>
      <c r="J499" s="480"/>
    </row>
    <row r="500" spans="1:10" s="8" customFormat="1">
      <c r="A500" s="133"/>
      <c r="B500" s="133"/>
      <c r="C500" s="133"/>
      <c r="D500" s="474"/>
      <c r="E500" s="203"/>
      <c r="F500" s="133"/>
      <c r="G500" s="133"/>
      <c r="H500" s="133"/>
      <c r="I500" s="133"/>
      <c r="J500" s="480"/>
    </row>
    <row r="501" spans="1:10" s="8" customFormat="1">
      <c r="A501" s="133"/>
      <c r="B501" s="133"/>
      <c r="C501" s="133"/>
      <c r="D501" s="474"/>
      <c r="E501" s="203"/>
      <c r="F501" s="133"/>
      <c r="G501" s="133"/>
      <c r="H501" s="133"/>
      <c r="I501" s="133"/>
      <c r="J501" s="480"/>
    </row>
    <row r="502" spans="1:10" s="8" customFormat="1">
      <c r="A502" s="133"/>
      <c r="B502" s="133"/>
      <c r="C502" s="133"/>
      <c r="D502" s="474"/>
      <c r="E502" s="203"/>
      <c r="F502" s="133"/>
      <c r="G502" s="133"/>
      <c r="H502" s="133"/>
      <c r="I502" s="133"/>
      <c r="J502" s="480"/>
    </row>
    <row r="503" spans="1:10" s="8" customFormat="1">
      <c r="A503" s="133"/>
      <c r="B503" s="133"/>
      <c r="C503" s="133"/>
      <c r="D503" s="474"/>
      <c r="E503" s="203"/>
      <c r="F503" s="133"/>
      <c r="G503" s="133"/>
      <c r="H503" s="133"/>
      <c r="I503" s="133"/>
      <c r="J503" s="480"/>
    </row>
    <row r="504" spans="1:10" s="8" customFormat="1">
      <c r="A504" s="133"/>
      <c r="B504" s="133"/>
      <c r="C504" s="133"/>
      <c r="D504" s="474"/>
      <c r="E504" s="203"/>
      <c r="F504" s="133"/>
      <c r="G504" s="133"/>
      <c r="H504" s="133"/>
      <c r="I504" s="133"/>
      <c r="J504" s="480"/>
    </row>
    <row r="505" spans="1:10">
      <c r="A505" s="133"/>
    </row>
  </sheetData>
  <mergeCells count="16">
    <mergeCell ref="A1:B1"/>
    <mergeCell ref="B9:G9"/>
    <mergeCell ref="C7:C8"/>
    <mergeCell ref="D7:D8"/>
    <mergeCell ref="G7:G8"/>
    <mergeCell ref="F7:F8"/>
    <mergeCell ref="E7:E8"/>
    <mergeCell ref="J2:J6"/>
    <mergeCell ref="A5:B6"/>
    <mergeCell ref="H5:I6"/>
    <mergeCell ref="H7:I8"/>
    <mergeCell ref="B2:D2"/>
    <mergeCell ref="H2:I4"/>
    <mergeCell ref="J7:J8"/>
    <mergeCell ref="E2:G4"/>
    <mergeCell ref="F6:G6"/>
  </mergeCells>
  <phoneticPr fontId="0" type="noConversion"/>
  <printOptions horizontalCentered="1"/>
  <pageMargins left="0.75" right="0.75" top="1" bottom="1" header="0.5" footer="0.5"/>
  <pageSetup scale="76" fitToHeight="40" orientation="landscape" r:id="rId1"/>
  <headerFooter alignWithMargins="0">
    <oddHeader>&amp;L&amp;F&amp;C&amp;"Tahoma,Bold"&amp;11&amp;A&amp;R&amp;G</oddHeader>
    <oddFooter>&amp;C&amp;"Tahoma,Italic"Use or disclosure of the data on this page or screen is subject to the restrictions on the title page or opening view screen of this proposal document or file.&amp;R&amp;P of &amp;N</oddFooter>
  </headerFooter>
  <rowBreaks count="3" manualBreakCount="3">
    <brk id="90" max="16383" man="1"/>
    <brk id="95" max="16383" man="1"/>
    <brk id="104" max="16383" man="1"/>
  </rowBreaks>
  <ignoredErrors>
    <ignoredError sqref="F43:G43 F34:G34 G61 G87 G99 F22:G22 E52 F73:F77 E82:E86 G14 F69:G72 E11:E16 E20 E49 E68:E77 F98:G98 E89:E98 F44:G45 E64:G67 E88:G88 E100:G100 E50:G51 E59:G60 E54:G57 E17:G19 F37:G42 F25:G26 F30:G31 F14:F15 E22:E47" unlockedFormula="1"/>
  </ignoredErrors>
  <legacyDrawingHF r:id="rId2"/>
</worksheet>
</file>

<file path=xl/worksheets/sheet16.xml><?xml version="1.0" encoding="utf-8"?>
<worksheet xmlns="http://schemas.openxmlformats.org/spreadsheetml/2006/main" xmlns:r="http://schemas.openxmlformats.org/officeDocument/2006/relationships">
  <sheetPr>
    <tabColor theme="3" tint="0.79998168889431442"/>
  </sheetPr>
  <dimension ref="A1:AV82"/>
  <sheetViews>
    <sheetView zoomScale="85" zoomScaleNormal="85" workbookViewId="0">
      <selection activeCell="A2" sqref="A2"/>
    </sheetView>
  </sheetViews>
  <sheetFormatPr defaultRowHeight="10.5"/>
  <cols>
    <col min="1" max="1" width="17.5" style="143" customWidth="1"/>
    <col min="2" max="2" width="21.1640625" style="143" customWidth="1"/>
    <col min="3" max="3" width="17.6640625" style="143" customWidth="1"/>
    <col min="4" max="4" width="13" style="143" hidden="1" customWidth="1"/>
    <col min="5" max="6" width="11.6640625" style="143" customWidth="1"/>
    <col min="7" max="7" width="11.83203125" style="143" hidden="1" customWidth="1"/>
    <col min="8" max="8" width="12.1640625" style="143" customWidth="1"/>
    <col min="9" max="9" width="31.1640625" style="143" customWidth="1"/>
    <col min="10" max="10" width="32.6640625" style="143" customWidth="1"/>
    <col min="11" max="48" width="9.33203125" style="8"/>
    <col min="253" max="253" width="17.5" customWidth="1"/>
    <col min="254" max="254" width="21.1640625" customWidth="1"/>
    <col min="255" max="255" width="17.6640625" customWidth="1"/>
    <col min="256" max="256" width="13" customWidth="1"/>
    <col min="257" max="257" width="11.6640625" customWidth="1"/>
    <col min="260" max="260" width="11.6640625" customWidth="1"/>
    <col min="262" max="262" width="12.1640625" customWidth="1"/>
    <col min="263" max="263" width="13.5" customWidth="1"/>
    <col min="264" max="264" width="12.1640625" customWidth="1"/>
    <col min="265" max="265" width="31.1640625" customWidth="1"/>
    <col min="266" max="266" width="32.6640625" customWidth="1"/>
    <col min="509" max="509" width="17.5" customWidth="1"/>
    <col min="510" max="510" width="21.1640625" customWidth="1"/>
    <col min="511" max="511" width="17.6640625" customWidth="1"/>
    <col min="512" max="512" width="13" customWidth="1"/>
    <col min="513" max="513" width="11.6640625" customWidth="1"/>
    <col min="516" max="516" width="11.6640625" customWidth="1"/>
    <col min="518" max="518" width="12.1640625" customWidth="1"/>
    <col min="519" max="519" width="13.5" customWidth="1"/>
    <col min="520" max="520" width="12.1640625" customWidth="1"/>
    <col min="521" max="521" width="31.1640625" customWidth="1"/>
    <col min="522" max="522" width="32.6640625" customWidth="1"/>
    <col min="765" max="765" width="17.5" customWidth="1"/>
    <col min="766" max="766" width="21.1640625" customWidth="1"/>
    <col min="767" max="767" width="17.6640625" customWidth="1"/>
    <col min="768" max="768" width="13" customWidth="1"/>
    <col min="769" max="769" width="11.6640625" customWidth="1"/>
    <col min="772" max="772" width="11.6640625" customWidth="1"/>
    <col min="774" max="774" width="12.1640625" customWidth="1"/>
    <col min="775" max="775" width="13.5" customWidth="1"/>
    <col min="776" max="776" width="12.1640625" customWidth="1"/>
    <col min="777" max="777" width="31.1640625" customWidth="1"/>
    <col min="778" max="778" width="32.6640625" customWidth="1"/>
    <col min="1021" max="1021" width="17.5" customWidth="1"/>
    <col min="1022" max="1022" width="21.1640625" customWidth="1"/>
    <col min="1023" max="1023" width="17.6640625" customWidth="1"/>
    <col min="1024" max="1024" width="13" customWidth="1"/>
    <col min="1025" max="1025" width="11.6640625" customWidth="1"/>
    <col min="1028" max="1028" width="11.6640625" customWidth="1"/>
    <col min="1030" max="1030" width="12.1640625" customWidth="1"/>
    <col min="1031" max="1031" width="13.5" customWidth="1"/>
    <col min="1032" max="1032" width="12.1640625" customWidth="1"/>
    <col min="1033" max="1033" width="31.1640625" customWidth="1"/>
    <col min="1034" max="1034" width="32.6640625" customWidth="1"/>
    <col min="1277" max="1277" width="17.5" customWidth="1"/>
    <col min="1278" max="1278" width="21.1640625" customWidth="1"/>
    <col min="1279" max="1279" width="17.6640625" customWidth="1"/>
    <col min="1280" max="1280" width="13" customWidth="1"/>
    <col min="1281" max="1281" width="11.6640625" customWidth="1"/>
    <col min="1284" max="1284" width="11.6640625" customWidth="1"/>
    <col min="1286" max="1286" width="12.1640625" customWidth="1"/>
    <col min="1287" max="1287" width="13.5" customWidth="1"/>
    <col min="1288" max="1288" width="12.1640625" customWidth="1"/>
    <col min="1289" max="1289" width="31.1640625" customWidth="1"/>
    <col min="1290" max="1290" width="32.6640625" customWidth="1"/>
    <col min="1533" max="1533" width="17.5" customWidth="1"/>
    <col min="1534" max="1534" width="21.1640625" customWidth="1"/>
    <col min="1535" max="1535" width="17.6640625" customWidth="1"/>
    <col min="1536" max="1536" width="13" customWidth="1"/>
    <col min="1537" max="1537" width="11.6640625" customWidth="1"/>
    <col min="1540" max="1540" width="11.6640625" customWidth="1"/>
    <col min="1542" max="1542" width="12.1640625" customWidth="1"/>
    <col min="1543" max="1543" width="13.5" customWidth="1"/>
    <col min="1544" max="1544" width="12.1640625" customWidth="1"/>
    <col min="1545" max="1545" width="31.1640625" customWidth="1"/>
    <col min="1546" max="1546" width="32.6640625" customWidth="1"/>
    <col min="1789" max="1789" width="17.5" customWidth="1"/>
    <col min="1790" max="1790" width="21.1640625" customWidth="1"/>
    <col min="1791" max="1791" width="17.6640625" customWidth="1"/>
    <col min="1792" max="1792" width="13" customWidth="1"/>
    <col min="1793" max="1793" width="11.6640625" customWidth="1"/>
    <col min="1796" max="1796" width="11.6640625" customWidth="1"/>
    <col min="1798" max="1798" width="12.1640625" customWidth="1"/>
    <col min="1799" max="1799" width="13.5" customWidth="1"/>
    <col min="1800" max="1800" width="12.1640625" customWidth="1"/>
    <col min="1801" max="1801" width="31.1640625" customWidth="1"/>
    <col min="1802" max="1802" width="32.6640625" customWidth="1"/>
    <col min="2045" max="2045" width="17.5" customWidth="1"/>
    <col min="2046" max="2046" width="21.1640625" customWidth="1"/>
    <col min="2047" max="2047" width="17.6640625" customWidth="1"/>
    <col min="2048" max="2048" width="13" customWidth="1"/>
    <col min="2049" max="2049" width="11.6640625" customWidth="1"/>
    <col min="2052" max="2052" width="11.6640625" customWidth="1"/>
    <col min="2054" max="2054" width="12.1640625" customWidth="1"/>
    <col min="2055" max="2055" width="13.5" customWidth="1"/>
    <col min="2056" max="2056" width="12.1640625" customWidth="1"/>
    <col min="2057" max="2057" width="31.1640625" customWidth="1"/>
    <col min="2058" max="2058" width="32.6640625" customWidth="1"/>
    <col min="2301" max="2301" width="17.5" customWidth="1"/>
    <col min="2302" max="2302" width="21.1640625" customWidth="1"/>
    <col min="2303" max="2303" width="17.6640625" customWidth="1"/>
    <col min="2304" max="2304" width="13" customWidth="1"/>
    <col min="2305" max="2305" width="11.6640625" customWidth="1"/>
    <col min="2308" max="2308" width="11.6640625" customWidth="1"/>
    <col min="2310" max="2310" width="12.1640625" customWidth="1"/>
    <col min="2311" max="2311" width="13.5" customWidth="1"/>
    <col min="2312" max="2312" width="12.1640625" customWidth="1"/>
    <col min="2313" max="2313" width="31.1640625" customWidth="1"/>
    <col min="2314" max="2314" width="32.6640625" customWidth="1"/>
    <col min="2557" max="2557" width="17.5" customWidth="1"/>
    <col min="2558" max="2558" width="21.1640625" customWidth="1"/>
    <col min="2559" max="2559" width="17.6640625" customWidth="1"/>
    <col min="2560" max="2560" width="13" customWidth="1"/>
    <col min="2561" max="2561" width="11.6640625" customWidth="1"/>
    <col min="2564" max="2564" width="11.6640625" customWidth="1"/>
    <col min="2566" max="2566" width="12.1640625" customWidth="1"/>
    <col min="2567" max="2567" width="13.5" customWidth="1"/>
    <col min="2568" max="2568" width="12.1640625" customWidth="1"/>
    <col min="2569" max="2569" width="31.1640625" customWidth="1"/>
    <col min="2570" max="2570" width="32.6640625" customWidth="1"/>
    <col min="2813" max="2813" width="17.5" customWidth="1"/>
    <col min="2814" max="2814" width="21.1640625" customWidth="1"/>
    <col min="2815" max="2815" width="17.6640625" customWidth="1"/>
    <col min="2816" max="2816" width="13" customWidth="1"/>
    <col min="2817" max="2817" width="11.6640625" customWidth="1"/>
    <col min="2820" max="2820" width="11.6640625" customWidth="1"/>
    <col min="2822" max="2822" width="12.1640625" customWidth="1"/>
    <col min="2823" max="2823" width="13.5" customWidth="1"/>
    <col min="2824" max="2824" width="12.1640625" customWidth="1"/>
    <col min="2825" max="2825" width="31.1640625" customWidth="1"/>
    <col min="2826" max="2826" width="32.6640625" customWidth="1"/>
    <col min="3069" max="3069" width="17.5" customWidth="1"/>
    <col min="3070" max="3070" width="21.1640625" customWidth="1"/>
    <col min="3071" max="3071" width="17.6640625" customWidth="1"/>
    <col min="3072" max="3072" width="13" customWidth="1"/>
    <col min="3073" max="3073" width="11.6640625" customWidth="1"/>
    <col min="3076" max="3076" width="11.6640625" customWidth="1"/>
    <col min="3078" max="3078" width="12.1640625" customWidth="1"/>
    <col min="3079" max="3079" width="13.5" customWidth="1"/>
    <col min="3080" max="3080" width="12.1640625" customWidth="1"/>
    <col min="3081" max="3081" width="31.1640625" customWidth="1"/>
    <col min="3082" max="3082" width="32.6640625" customWidth="1"/>
    <col min="3325" max="3325" width="17.5" customWidth="1"/>
    <col min="3326" max="3326" width="21.1640625" customWidth="1"/>
    <col min="3327" max="3327" width="17.6640625" customWidth="1"/>
    <col min="3328" max="3328" width="13" customWidth="1"/>
    <col min="3329" max="3329" width="11.6640625" customWidth="1"/>
    <col min="3332" max="3332" width="11.6640625" customWidth="1"/>
    <col min="3334" max="3334" width="12.1640625" customWidth="1"/>
    <col min="3335" max="3335" width="13.5" customWidth="1"/>
    <col min="3336" max="3336" width="12.1640625" customWidth="1"/>
    <col min="3337" max="3337" width="31.1640625" customWidth="1"/>
    <col min="3338" max="3338" width="32.6640625" customWidth="1"/>
    <col min="3581" max="3581" width="17.5" customWidth="1"/>
    <col min="3582" max="3582" width="21.1640625" customWidth="1"/>
    <col min="3583" max="3583" width="17.6640625" customWidth="1"/>
    <col min="3584" max="3584" width="13" customWidth="1"/>
    <col min="3585" max="3585" width="11.6640625" customWidth="1"/>
    <col min="3588" max="3588" width="11.6640625" customWidth="1"/>
    <col min="3590" max="3590" width="12.1640625" customWidth="1"/>
    <col min="3591" max="3591" width="13.5" customWidth="1"/>
    <col min="3592" max="3592" width="12.1640625" customWidth="1"/>
    <col min="3593" max="3593" width="31.1640625" customWidth="1"/>
    <col min="3594" max="3594" width="32.6640625" customWidth="1"/>
    <col min="3837" max="3837" width="17.5" customWidth="1"/>
    <col min="3838" max="3838" width="21.1640625" customWidth="1"/>
    <col min="3839" max="3839" width="17.6640625" customWidth="1"/>
    <col min="3840" max="3840" width="13" customWidth="1"/>
    <col min="3841" max="3841" width="11.6640625" customWidth="1"/>
    <col min="3844" max="3844" width="11.6640625" customWidth="1"/>
    <col min="3846" max="3846" width="12.1640625" customWidth="1"/>
    <col min="3847" max="3847" width="13.5" customWidth="1"/>
    <col min="3848" max="3848" width="12.1640625" customWidth="1"/>
    <col min="3849" max="3849" width="31.1640625" customWidth="1"/>
    <col min="3850" max="3850" width="32.6640625" customWidth="1"/>
    <col min="4093" max="4093" width="17.5" customWidth="1"/>
    <col min="4094" max="4094" width="21.1640625" customWidth="1"/>
    <col min="4095" max="4095" width="17.6640625" customWidth="1"/>
    <col min="4096" max="4096" width="13" customWidth="1"/>
    <col min="4097" max="4097" width="11.6640625" customWidth="1"/>
    <col min="4100" max="4100" width="11.6640625" customWidth="1"/>
    <col min="4102" max="4102" width="12.1640625" customWidth="1"/>
    <col min="4103" max="4103" width="13.5" customWidth="1"/>
    <col min="4104" max="4104" width="12.1640625" customWidth="1"/>
    <col min="4105" max="4105" width="31.1640625" customWidth="1"/>
    <col min="4106" max="4106" width="32.6640625" customWidth="1"/>
    <col min="4349" max="4349" width="17.5" customWidth="1"/>
    <col min="4350" max="4350" width="21.1640625" customWidth="1"/>
    <col min="4351" max="4351" width="17.6640625" customWidth="1"/>
    <col min="4352" max="4352" width="13" customWidth="1"/>
    <col min="4353" max="4353" width="11.6640625" customWidth="1"/>
    <col min="4356" max="4356" width="11.6640625" customWidth="1"/>
    <col min="4358" max="4358" width="12.1640625" customWidth="1"/>
    <col min="4359" max="4359" width="13.5" customWidth="1"/>
    <col min="4360" max="4360" width="12.1640625" customWidth="1"/>
    <col min="4361" max="4361" width="31.1640625" customWidth="1"/>
    <col min="4362" max="4362" width="32.6640625" customWidth="1"/>
    <col min="4605" max="4605" width="17.5" customWidth="1"/>
    <col min="4606" max="4606" width="21.1640625" customWidth="1"/>
    <col min="4607" max="4607" width="17.6640625" customWidth="1"/>
    <col min="4608" max="4608" width="13" customWidth="1"/>
    <col min="4609" max="4609" width="11.6640625" customWidth="1"/>
    <col min="4612" max="4612" width="11.6640625" customWidth="1"/>
    <col min="4614" max="4614" width="12.1640625" customWidth="1"/>
    <col min="4615" max="4615" width="13.5" customWidth="1"/>
    <col min="4616" max="4616" width="12.1640625" customWidth="1"/>
    <col min="4617" max="4617" width="31.1640625" customWidth="1"/>
    <col min="4618" max="4618" width="32.6640625" customWidth="1"/>
    <col min="4861" max="4861" width="17.5" customWidth="1"/>
    <col min="4862" max="4862" width="21.1640625" customWidth="1"/>
    <col min="4863" max="4863" width="17.6640625" customWidth="1"/>
    <col min="4864" max="4864" width="13" customWidth="1"/>
    <col min="4865" max="4865" width="11.6640625" customWidth="1"/>
    <col min="4868" max="4868" width="11.6640625" customWidth="1"/>
    <col min="4870" max="4870" width="12.1640625" customWidth="1"/>
    <col min="4871" max="4871" width="13.5" customWidth="1"/>
    <col min="4872" max="4872" width="12.1640625" customWidth="1"/>
    <col min="4873" max="4873" width="31.1640625" customWidth="1"/>
    <col min="4874" max="4874" width="32.6640625" customWidth="1"/>
    <col min="5117" max="5117" width="17.5" customWidth="1"/>
    <col min="5118" max="5118" width="21.1640625" customWidth="1"/>
    <col min="5119" max="5119" width="17.6640625" customWidth="1"/>
    <col min="5120" max="5120" width="13" customWidth="1"/>
    <col min="5121" max="5121" width="11.6640625" customWidth="1"/>
    <col min="5124" max="5124" width="11.6640625" customWidth="1"/>
    <col min="5126" max="5126" width="12.1640625" customWidth="1"/>
    <col min="5127" max="5127" width="13.5" customWidth="1"/>
    <col min="5128" max="5128" width="12.1640625" customWidth="1"/>
    <col min="5129" max="5129" width="31.1640625" customWidth="1"/>
    <col min="5130" max="5130" width="32.6640625" customWidth="1"/>
    <col min="5373" max="5373" width="17.5" customWidth="1"/>
    <col min="5374" max="5374" width="21.1640625" customWidth="1"/>
    <col min="5375" max="5375" width="17.6640625" customWidth="1"/>
    <col min="5376" max="5376" width="13" customWidth="1"/>
    <col min="5377" max="5377" width="11.6640625" customWidth="1"/>
    <col min="5380" max="5380" width="11.6640625" customWidth="1"/>
    <col min="5382" max="5382" width="12.1640625" customWidth="1"/>
    <col min="5383" max="5383" width="13.5" customWidth="1"/>
    <col min="5384" max="5384" width="12.1640625" customWidth="1"/>
    <col min="5385" max="5385" width="31.1640625" customWidth="1"/>
    <col min="5386" max="5386" width="32.6640625" customWidth="1"/>
    <col min="5629" max="5629" width="17.5" customWidth="1"/>
    <col min="5630" max="5630" width="21.1640625" customWidth="1"/>
    <col min="5631" max="5631" width="17.6640625" customWidth="1"/>
    <col min="5632" max="5632" width="13" customWidth="1"/>
    <col min="5633" max="5633" width="11.6640625" customWidth="1"/>
    <col min="5636" max="5636" width="11.6640625" customWidth="1"/>
    <col min="5638" max="5638" width="12.1640625" customWidth="1"/>
    <col min="5639" max="5639" width="13.5" customWidth="1"/>
    <col min="5640" max="5640" width="12.1640625" customWidth="1"/>
    <col min="5641" max="5641" width="31.1640625" customWidth="1"/>
    <col min="5642" max="5642" width="32.6640625" customWidth="1"/>
    <col min="5885" max="5885" width="17.5" customWidth="1"/>
    <col min="5886" max="5886" width="21.1640625" customWidth="1"/>
    <col min="5887" max="5887" width="17.6640625" customWidth="1"/>
    <col min="5888" max="5888" width="13" customWidth="1"/>
    <col min="5889" max="5889" width="11.6640625" customWidth="1"/>
    <col min="5892" max="5892" width="11.6640625" customWidth="1"/>
    <col min="5894" max="5894" width="12.1640625" customWidth="1"/>
    <col min="5895" max="5895" width="13.5" customWidth="1"/>
    <col min="5896" max="5896" width="12.1640625" customWidth="1"/>
    <col min="5897" max="5897" width="31.1640625" customWidth="1"/>
    <col min="5898" max="5898" width="32.6640625" customWidth="1"/>
    <col min="6141" max="6141" width="17.5" customWidth="1"/>
    <col min="6142" max="6142" width="21.1640625" customWidth="1"/>
    <col min="6143" max="6143" width="17.6640625" customWidth="1"/>
    <col min="6144" max="6144" width="13" customWidth="1"/>
    <col min="6145" max="6145" width="11.6640625" customWidth="1"/>
    <col min="6148" max="6148" width="11.6640625" customWidth="1"/>
    <col min="6150" max="6150" width="12.1640625" customWidth="1"/>
    <col min="6151" max="6151" width="13.5" customWidth="1"/>
    <col min="6152" max="6152" width="12.1640625" customWidth="1"/>
    <col min="6153" max="6153" width="31.1640625" customWidth="1"/>
    <col min="6154" max="6154" width="32.6640625" customWidth="1"/>
    <col min="6397" max="6397" width="17.5" customWidth="1"/>
    <col min="6398" max="6398" width="21.1640625" customWidth="1"/>
    <col min="6399" max="6399" width="17.6640625" customWidth="1"/>
    <col min="6400" max="6400" width="13" customWidth="1"/>
    <col min="6401" max="6401" width="11.6640625" customWidth="1"/>
    <col min="6404" max="6404" width="11.6640625" customWidth="1"/>
    <col min="6406" max="6406" width="12.1640625" customWidth="1"/>
    <col min="6407" max="6407" width="13.5" customWidth="1"/>
    <col min="6408" max="6408" width="12.1640625" customWidth="1"/>
    <col min="6409" max="6409" width="31.1640625" customWidth="1"/>
    <col min="6410" max="6410" width="32.6640625" customWidth="1"/>
    <col min="6653" max="6653" width="17.5" customWidth="1"/>
    <col min="6654" max="6654" width="21.1640625" customWidth="1"/>
    <col min="6655" max="6655" width="17.6640625" customWidth="1"/>
    <col min="6656" max="6656" width="13" customWidth="1"/>
    <col min="6657" max="6657" width="11.6640625" customWidth="1"/>
    <col min="6660" max="6660" width="11.6640625" customWidth="1"/>
    <col min="6662" max="6662" width="12.1640625" customWidth="1"/>
    <col min="6663" max="6663" width="13.5" customWidth="1"/>
    <col min="6664" max="6664" width="12.1640625" customWidth="1"/>
    <col min="6665" max="6665" width="31.1640625" customWidth="1"/>
    <col min="6666" max="6666" width="32.6640625" customWidth="1"/>
    <col min="6909" max="6909" width="17.5" customWidth="1"/>
    <col min="6910" max="6910" width="21.1640625" customWidth="1"/>
    <col min="6911" max="6911" width="17.6640625" customWidth="1"/>
    <col min="6912" max="6912" width="13" customWidth="1"/>
    <col min="6913" max="6913" width="11.6640625" customWidth="1"/>
    <col min="6916" max="6916" width="11.6640625" customWidth="1"/>
    <col min="6918" max="6918" width="12.1640625" customWidth="1"/>
    <col min="6919" max="6919" width="13.5" customWidth="1"/>
    <col min="6920" max="6920" width="12.1640625" customWidth="1"/>
    <col min="6921" max="6921" width="31.1640625" customWidth="1"/>
    <col min="6922" max="6922" width="32.6640625" customWidth="1"/>
    <col min="7165" max="7165" width="17.5" customWidth="1"/>
    <col min="7166" max="7166" width="21.1640625" customWidth="1"/>
    <col min="7167" max="7167" width="17.6640625" customWidth="1"/>
    <col min="7168" max="7168" width="13" customWidth="1"/>
    <col min="7169" max="7169" width="11.6640625" customWidth="1"/>
    <col min="7172" max="7172" width="11.6640625" customWidth="1"/>
    <col min="7174" max="7174" width="12.1640625" customWidth="1"/>
    <col min="7175" max="7175" width="13.5" customWidth="1"/>
    <col min="7176" max="7176" width="12.1640625" customWidth="1"/>
    <col min="7177" max="7177" width="31.1640625" customWidth="1"/>
    <col min="7178" max="7178" width="32.6640625" customWidth="1"/>
    <col min="7421" max="7421" width="17.5" customWidth="1"/>
    <col min="7422" max="7422" width="21.1640625" customWidth="1"/>
    <col min="7423" max="7423" width="17.6640625" customWidth="1"/>
    <col min="7424" max="7424" width="13" customWidth="1"/>
    <col min="7425" max="7425" width="11.6640625" customWidth="1"/>
    <col min="7428" max="7428" width="11.6640625" customWidth="1"/>
    <col min="7430" max="7430" width="12.1640625" customWidth="1"/>
    <col min="7431" max="7431" width="13.5" customWidth="1"/>
    <col min="7432" max="7432" width="12.1640625" customWidth="1"/>
    <col min="7433" max="7433" width="31.1640625" customWidth="1"/>
    <col min="7434" max="7434" width="32.6640625" customWidth="1"/>
    <col min="7677" max="7677" width="17.5" customWidth="1"/>
    <col min="7678" max="7678" width="21.1640625" customWidth="1"/>
    <col min="7679" max="7679" width="17.6640625" customWidth="1"/>
    <col min="7680" max="7680" width="13" customWidth="1"/>
    <col min="7681" max="7681" width="11.6640625" customWidth="1"/>
    <col min="7684" max="7684" width="11.6640625" customWidth="1"/>
    <col min="7686" max="7686" width="12.1640625" customWidth="1"/>
    <col min="7687" max="7687" width="13.5" customWidth="1"/>
    <col min="7688" max="7688" width="12.1640625" customWidth="1"/>
    <col min="7689" max="7689" width="31.1640625" customWidth="1"/>
    <col min="7690" max="7690" width="32.6640625" customWidth="1"/>
    <col min="7933" max="7933" width="17.5" customWidth="1"/>
    <col min="7934" max="7934" width="21.1640625" customWidth="1"/>
    <col min="7935" max="7935" width="17.6640625" customWidth="1"/>
    <col min="7936" max="7936" width="13" customWidth="1"/>
    <col min="7937" max="7937" width="11.6640625" customWidth="1"/>
    <col min="7940" max="7940" width="11.6640625" customWidth="1"/>
    <col min="7942" max="7942" width="12.1640625" customWidth="1"/>
    <col min="7943" max="7943" width="13.5" customWidth="1"/>
    <col min="7944" max="7944" width="12.1640625" customWidth="1"/>
    <col min="7945" max="7945" width="31.1640625" customWidth="1"/>
    <col min="7946" max="7946" width="32.6640625" customWidth="1"/>
    <col min="8189" max="8189" width="17.5" customWidth="1"/>
    <col min="8190" max="8190" width="21.1640625" customWidth="1"/>
    <col min="8191" max="8191" width="17.6640625" customWidth="1"/>
    <col min="8192" max="8192" width="13" customWidth="1"/>
    <col min="8193" max="8193" width="11.6640625" customWidth="1"/>
    <col min="8196" max="8196" width="11.6640625" customWidth="1"/>
    <col min="8198" max="8198" width="12.1640625" customWidth="1"/>
    <col min="8199" max="8199" width="13.5" customWidth="1"/>
    <col min="8200" max="8200" width="12.1640625" customWidth="1"/>
    <col min="8201" max="8201" width="31.1640625" customWidth="1"/>
    <col min="8202" max="8202" width="32.6640625" customWidth="1"/>
    <col min="8445" max="8445" width="17.5" customWidth="1"/>
    <col min="8446" max="8446" width="21.1640625" customWidth="1"/>
    <col min="8447" max="8447" width="17.6640625" customWidth="1"/>
    <col min="8448" max="8448" width="13" customWidth="1"/>
    <col min="8449" max="8449" width="11.6640625" customWidth="1"/>
    <col min="8452" max="8452" width="11.6640625" customWidth="1"/>
    <col min="8454" max="8454" width="12.1640625" customWidth="1"/>
    <col min="8455" max="8455" width="13.5" customWidth="1"/>
    <col min="8456" max="8456" width="12.1640625" customWidth="1"/>
    <col min="8457" max="8457" width="31.1640625" customWidth="1"/>
    <col min="8458" max="8458" width="32.6640625" customWidth="1"/>
    <col min="8701" max="8701" width="17.5" customWidth="1"/>
    <col min="8702" max="8702" width="21.1640625" customWidth="1"/>
    <col min="8703" max="8703" width="17.6640625" customWidth="1"/>
    <col min="8704" max="8704" width="13" customWidth="1"/>
    <col min="8705" max="8705" width="11.6640625" customWidth="1"/>
    <col min="8708" max="8708" width="11.6640625" customWidth="1"/>
    <col min="8710" max="8710" width="12.1640625" customWidth="1"/>
    <col min="8711" max="8711" width="13.5" customWidth="1"/>
    <col min="8712" max="8712" width="12.1640625" customWidth="1"/>
    <col min="8713" max="8713" width="31.1640625" customWidth="1"/>
    <col min="8714" max="8714" width="32.6640625" customWidth="1"/>
    <col min="8957" max="8957" width="17.5" customWidth="1"/>
    <col min="8958" max="8958" width="21.1640625" customWidth="1"/>
    <col min="8959" max="8959" width="17.6640625" customWidth="1"/>
    <col min="8960" max="8960" width="13" customWidth="1"/>
    <col min="8961" max="8961" width="11.6640625" customWidth="1"/>
    <col min="8964" max="8964" width="11.6640625" customWidth="1"/>
    <col min="8966" max="8966" width="12.1640625" customWidth="1"/>
    <col min="8967" max="8967" width="13.5" customWidth="1"/>
    <col min="8968" max="8968" width="12.1640625" customWidth="1"/>
    <col min="8969" max="8969" width="31.1640625" customWidth="1"/>
    <col min="8970" max="8970" width="32.6640625" customWidth="1"/>
    <col min="9213" max="9213" width="17.5" customWidth="1"/>
    <col min="9214" max="9214" width="21.1640625" customWidth="1"/>
    <col min="9215" max="9215" width="17.6640625" customWidth="1"/>
    <col min="9216" max="9216" width="13" customWidth="1"/>
    <col min="9217" max="9217" width="11.6640625" customWidth="1"/>
    <col min="9220" max="9220" width="11.6640625" customWidth="1"/>
    <col min="9222" max="9222" width="12.1640625" customWidth="1"/>
    <col min="9223" max="9223" width="13.5" customWidth="1"/>
    <col min="9224" max="9224" width="12.1640625" customWidth="1"/>
    <col min="9225" max="9225" width="31.1640625" customWidth="1"/>
    <col min="9226" max="9226" width="32.6640625" customWidth="1"/>
    <col min="9469" max="9469" width="17.5" customWidth="1"/>
    <col min="9470" max="9470" width="21.1640625" customWidth="1"/>
    <col min="9471" max="9471" width="17.6640625" customWidth="1"/>
    <col min="9472" max="9472" width="13" customWidth="1"/>
    <col min="9473" max="9473" width="11.6640625" customWidth="1"/>
    <col min="9476" max="9476" width="11.6640625" customWidth="1"/>
    <col min="9478" max="9478" width="12.1640625" customWidth="1"/>
    <col min="9479" max="9479" width="13.5" customWidth="1"/>
    <col min="9480" max="9480" width="12.1640625" customWidth="1"/>
    <col min="9481" max="9481" width="31.1640625" customWidth="1"/>
    <col min="9482" max="9482" width="32.6640625" customWidth="1"/>
    <col min="9725" max="9725" width="17.5" customWidth="1"/>
    <col min="9726" max="9726" width="21.1640625" customWidth="1"/>
    <col min="9727" max="9727" width="17.6640625" customWidth="1"/>
    <col min="9728" max="9728" width="13" customWidth="1"/>
    <col min="9729" max="9729" width="11.6640625" customWidth="1"/>
    <col min="9732" max="9732" width="11.6640625" customWidth="1"/>
    <col min="9734" max="9734" width="12.1640625" customWidth="1"/>
    <col min="9735" max="9735" width="13.5" customWidth="1"/>
    <col min="9736" max="9736" width="12.1640625" customWidth="1"/>
    <col min="9737" max="9737" width="31.1640625" customWidth="1"/>
    <col min="9738" max="9738" width="32.6640625" customWidth="1"/>
    <col min="9981" max="9981" width="17.5" customWidth="1"/>
    <col min="9982" max="9982" width="21.1640625" customWidth="1"/>
    <col min="9983" max="9983" width="17.6640625" customWidth="1"/>
    <col min="9984" max="9984" width="13" customWidth="1"/>
    <col min="9985" max="9985" width="11.6640625" customWidth="1"/>
    <col min="9988" max="9988" width="11.6640625" customWidth="1"/>
    <col min="9990" max="9990" width="12.1640625" customWidth="1"/>
    <col min="9991" max="9991" width="13.5" customWidth="1"/>
    <col min="9992" max="9992" width="12.1640625" customWidth="1"/>
    <col min="9993" max="9993" width="31.1640625" customWidth="1"/>
    <col min="9994" max="9994" width="32.6640625" customWidth="1"/>
    <col min="10237" max="10237" width="17.5" customWidth="1"/>
    <col min="10238" max="10238" width="21.1640625" customWidth="1"/>
    <col min="10239" max="10239" width="17.6640625" customWidth="1"/>
    <col min="10240" max="10240" width="13" customWidth="1"/>
    <col min="10241" max="10241" width="11.6640625" customWidth="1"/>
    <col min="10244" max="10244" width="11.6640625" customWidth="1"/>
    <col min="10246" max="10246" width="12.1640625" customWidth="1"/>
    <col min="10247" max="10247" width="13.5" customWidth="1"/>
    <col min="10248" max="10248" width="12.1640625" customWidth="1"/>
    <col min="10249" max="10249" width="31.1640625" customWidth="1"/>
    <col min="10250" max="10250" width="32.6640625" customWidth="1"/>
    <col min="10493" max="10493" width="17.5" customWidth="1"/>
    <col min="10494" max="10494" width="21.1640625" customWidth="1"/>
    <col min="10495" max="10495" width="17.6640625" customWidth="1"/>
    <col min="10496" max="10496" width="13" customWidth="1"/>
    <col min="10497" max="10497" width="11.6640625" customWidth="1"/>
    <col min="10500" max="10500" width="11.6640625" customWidth="1"/>
    <col min="10502" max="10502" width="12.1640625" customWidth="1"/>
    <col min="10503" max="10503" width="13.5" customWidth="1"/>
    <col min="10504" max="10504" width="12.1640625" customWidth="1"/>
    <col min="10505" max="10505" width="31.1640625" customWidth="1"/>
    <col min="10506" max="10506" width="32.6640625" customWidth="1"/>
    <col min="10749" max="10749" width="17.5" customWidth="1"/>
    <col min="10750" max="10750" width="21.1640625" customWidth="1"/>
    <col min="10751" max="10751" width="17.6640625" customWidth="1"/>
    <col min="10752" max="10752" width="13" customWidth="1"/>
    <col min="10753" max="10753" width="11.6640625" customWidth="1"/>
    <col min="10756" max="10756" width="11.6640625" customWidth="1"/>
    <col min="10758" max="10758" width="12.1640625" customWidth="1"/>
    <col min="10759" max="10759" width="13.5" customWidth="1"/>
    <col min="10760" max="10760" width="12.1640625" customWidth="1"/>
    <col min="10761" max="10761" width="31.1640625" customWidth="1"/>
    <col min="10762" max="10762" width="32.6640625" customWidth="1"/>
    <col min="11005" max="11005" width="17.5" customWidth="1"/>
    <col min="11006" max="11006" width="21.1640625" customWidth="1"/>
    <col min="11007" max="11007" width="17.6640625" customWidth="1"/>
    <col min="11008" max="11008" width="13" customWidth="1"/>
    <col min="11009" max="11009" width="11.6640625" customWidth="1"/>
    <col min="11012" max="11012" width="11.6640625" customWidth="1"/>
    <col min="11014" max="11014" width="12.1640625" customWidth="1"/>
    <col min="11015" max="11015" width="13.5" customWidth="1"/>
    <col min="11016" max="11016" width="12.1640625" customWidth="1"/>
    <col min="11017" max="11017" width="31.1640625" customWidth="1"/>
    <col min="11018" max="11018" width="32.6640625" customWidth="1"/>
    <col min="11261" max="11261" width="17.5" customWidth="1"/>
    <col min="11262" max="11262" width="21.1640625" customWidth="1"/>
    <col min="11263" max="11263" width="17.6640625" customWidth="1"/>
    <col min="11264" max="11264" width="13" customWidth="1"/>
    <col min="11265" max="11265" width="11.6640625" customWidth="1"/>
    <col min="11268" max="11268" width="11.6640625" customWidth="1"/>
    <col min="11270" max="11270" width="12.1640625" customWidth="1"/>
    <col min="11271" max="11271" width="13.5" customWidth="1"/>
    <col min="11272" max="11272" width="12.1640625" customWidth="1"/>
    <col min="11273" max="11273" width="31.1640625" customWidth="1"/>
    <col min="11274" max="11274" width="32.6640625" customWidth="1"/>
    <col min="11517" max="11517" width="17.5" customWidth="1"/>
    <col min="11518" max="11518" width="21.1640625" customWidth="1"/>
    <col min="11519" max="11519" width="17.6640625" customWidth="1"/>
    <col min="11520" max="11520" width="13" customWidth="1"/>
    <col min="11521" max="11521" width="11.6640625" customWidth="1"/>
    <col min="11524" max="11524" width="11.6640625" customWidth="1"/>
    <col min="11526" max="11526" width="12.1640625" customWidth="1"/>
    <col min="11527" max="11527" width="13.5" customWidth="1"/>
    <col min="11528" max="11528" width="12.1640625" customWidth="1"/>
    <col min="11529" max="11529" width="31.1640625" customWidth="1"/>
    <col min="11530" max="11530" width="32.6640625" customWidth="1"/>
    <col min="11773" max="11773" width="17.5" customWidth="1"/>
    <col min="11774" max="11774" width="21.1640625" customWidth="1"/>
    <col min="11775" max="11775" width="17.6640625" customWidth="1"/>
    <col min="11776" max="11776" width="13" customWidth="1"/>
    <col min="11777" max="11777" width="11.6640625" customWidth="1"/>
    <col min="11780" max="11780" width="11.6640625" customWidth="1"/>
    <col min="11782" max="11782" width="12.1640625" customWidth="1"/>
    <col min="11783" max="11783" width="13.5" customWidth="1"/>
    <col min="11784" max="11784" width="12.1640625" customWidth="1"/>
    <col min="11785" max="11785" width="31.1640625" customWidth="1"/>
    <col min="11786" max="11786" width="32.6640625" customWidth="1"/>
    <col min="12029" max="12029" width="17.5" customWidth="1"/>
    <col min="12030" max="12030" width="21.1640625" customWidth="1"/>
    <col min="12031" max="12031" width="17.6640625" customWidth="1"/>
    <col min="12032" max="12032" width="13" customWidth="1"/>
    <col min="12033" max="12033" width="11.6640625" customWidth="1"/>
    <col min="12036" max="12036" width="11.6640625" customWidth="1"/>
    <col min="12038" max="12038" width="12.1640625" customWidth="1"/>
    <col min="12039" max="12039" width="13.5" customWidth="1"/>
    <col min="12040" max="12040" width="12.1640625" customWidth="1"/>
    <col min="12041" max="12041" width="31.1640625" customWidth="1"/>
    <col min="12042" max="12042" width="32.6640625" customWidth="1"/>
    <col min="12285" max="12285" width="17.5" customWidth="1"/>
    <col min="12286" max="12286" width="21.1640625" customWidth="1"/>
    <col min="12287" max="12287" width="17.6640625" customWidth="1"/>
    <col min="12288" max="12288" width="13" customWidth="1"/>
    <col min="12289" max="12289" width="11.6640625" customWidth="1"/>
    <col min="12292" max="12292" width="11.6640625" customWidth="1"/>
    <col min="12294" max="12294" width="12.1640625" customWidth="1"/>
    <col min="12295" max="12295" width="13.5" customWidth="1"/>
    <col min="12296" max="12296" width="12.1640625" customWidth="1"/>
    <col min="12297" max="12297" width="31.1640625" customWidth="1"/>
    <col min="12298" max="12298" width="32.6640625" customWidth="1"/>
    <col min="12541" max="12541" width="17.5" customWidth="1"/>
    <col min="12542" max="12542" width="21.1640625" customWidth="1"/>
    <col min="12543" max="12543" width="17.6640625" customWidth="1"/>
    <col min="12544" max="12544" width="13" customWidth="1"/>
    <col min="12545" max="12545" width="11.6640625" customWidth="1"/>
    <col min="12548" max="12548" width="11.6640625" customWidth="1"/>
    <col min="12550" max="12550" width="12.1640625" customWidth="1"/>
    <col min="12551" max="12551" width="13.5" customWidth="1"/>
    <col min="12552" max="12552" width="12.1640625" customWidth="1"/>
    <col min="12553" max="12553" width="31.1640625" customWidth="1"/>
    <col min="12554" max="12554" width="32.6640625" customWidth="1"/>
    <col min="12797" max="12797" width="17.5" customWidth="1"/>
    <col min="12798" max="12798" width="21.1640625" customWidth="1"/>
    <col min="12799" max="12799" width="17.6640625" customWidth="1"/>
    <col min="12800" max="12800" width="13" customWidth="1"/>
    <col min="12801" max="12801" width="11.6640625" customWidth="1"/>
    <col min="12804" max="12804" width="11.6640625" customWidth="1"/>
    <col min="12806" max="12806" width="12.1640625" customWidth="1"/>
    <col min="12807" max="12807" width="13.5" customWidth="1"/>
    <col min="12808" max="12808" width="12.1640625" customWidth="1"/>
    <col min="12809" max="12809" width="31.1640625" customWidth="1"/>
    <col min="12810" max="12810" width="32.6640625" customWidth="1"/>
    <col min="13053" max="13053" width="17.5" customWidth="1"/>
    <col min="13054" max="13054" width="21.1640625" customWidth="1"/>
    <col min="13055" max="13055" width="17.6640625" customWidth="1"/>
    <col min="13056" max="13056" width="13" customWidth="1"/>
    <col min="13057" max="13057" width="11.6640625" customWidth="1"/>
    <col min="13060" max="13060" width="11.6640625" customWidth="1"/>
    <col min="13062" max="13062" width="12.1640625" customWidth="1"/>
    <col min="13063" max="13063" width="13.5" customWidth="1"/>
    <col min="13064" max="13064" width="12.1640625" customWidth="1"/>
    <col min="13065" max="13065" width="31.1640625" customWidth="1"/>
    <col min="13066" max="13066" width="32.6640625" customWidth="1"/>
    <col min="13309" max="13309" width="17.5" customWidth="1"/>
    <col min="13310" max="13310" width="21.1640625" customWidth="1"/>
    <col min="13311" max="13311" width="17.6640625" customWidth="1"/>
    <col min="13312" max="13312" width="13" customWidth="1"/>
    <col min="13313" max="13313" width="11.6640625" customWidth="1"/>
    <col min="13316" max="13316" width="11.6640625" customWidth="1"/>
    <col min="13318" max="13318" width="12.1640625" customWidth="1"/>
    <col min="13319" max="13319" width="13.5" customWidth="1"/>
    <col min="13320" max="13320" width="12.1640625" customWidth="1"/>
    <col min="13321" max="13321" width="31.1640625" customWidth="1"/>
    <col min="13322" max="13322" width="32.6640625" customWidth="1"/>
    <col min="13565" max="13565" width="17.5" customWidth="1"/>
    <col min="13566" max="13566" width="21.1640625" customWidth="1"/>
    <col min="13567" max="13567" width="17.6640625" customWidth="1"/>
    <col min="13568" max="13568" width="13" customWidth="1"/>
    <col min="13569" max="13569" width="11.6640625" customWidth="1"/>
    <col min="13572" max="13572" width="11.6640625" customWidth="1"/>
    <col min="13574" max="13574" width="12.1640625" customWidth="1"/>
    <col min="13575" max="13575" width="13.5" customWidth="1"/>
    <col min="13576" max="13576" width="12.1640625" customWidth="1"/>
    <col min="13577" max="13577" width="31.1640625" customWidth="1"/>
    <col min="13578" max="13578" width="32.6640625" customWidth="1"/>
    <col min="13821" max="13821" width="17.5" customWidth="1"/>
    <col min="13822" max="13822" width="21.1640625" customWidth="1"/>
    <col min="13823" max="13823" width="17.6640625" customWidth="1"/>
    <col min="13824" max="13824" width="13" customWidth="1"/>
    <col min="13825" max="13825" width="11.6640625" customWidth="1"/>
    <col min="13828" max="13828" width="11.6640625" customWidth="1"/>
    <col min="13830" max="13830" width="12.1640625" customWidth="1"/>
    <col min="13831" max="13831" width="13.5" customWidth="1"/>
    <col min="13832" max="13832" width="12.1640625" customWidth="1"/>
    <col min="13833" max="13833" width="31.1640625" customWidth="1"/>
    <col min="13834" max="13834" width="32.6640625" customWidth="1"/>
    <col min="14077" max="14077" width="17.5" customWidth="1"/>
    <col min="14078" max="14078" width="21.1640625" customWidth="1"/>
    <col min="14079" max="14079" width="17.6640625" customWidth="1"/>
    <col min="14080" max="14080" width="13" customWidth="1"/>
    <col min="14081" max="14081" width="11.6640625" customWidth="1"/>
    <col min="14084" max="14084" width="11.6640625" customWidth="1"/>
    <col min="14086" max="14086" width="12.1640625" customWidth="1"/>
    <col min="14087" max="14087" width="13.5" customWidth="1"/>
    <col min="14088" max="14088" width="12.1640625" customWidth="1"/>
    <col min="14089" max="14089" width="31.1640625" customWidth="1"/>
    <col min="14090" max="14090" width="32.6640625" customWidth="1"/>
    <col min="14333" max="14333" width="17.5" customWidth="1"/>
    <col min="14334" max="14334" width="21.1640625" customWidth="1"/>
    <col min="14335" max="14335" width="17.6640625" customWidth="1"/>
    <col min="14336" max="14336" width="13" customWidth="1"/>
    <col min="14337" max="14337" width="11.6640625" customWidth="1"/>
    <col min="14340" max="14340" width="11.6640625" customWidth="1"/>
    <col min="14342" max="14342" width="12.1640625" customWidth="1"/>
    <col min="14343" max="14343" width="13.5" customWidth="1"/>
    <col min="14344" max="14344" width="12.1640625" customWidth="1"/>
    <col min="14345" max="14345" width="31.1640625" customWidth="1"/>
    <col min="14346" max="14346" width="32.6640625" customWidth="1"/>
    <col min="14589" max="14589" width="17.5" customWidth="1"/>
    <col min="14590" max="14590" width="21.1640625" customWidth="1"/>
    <col min="14591" max="14591" width="17.6640625" customWidth="1"/>
    <col min="14592" max="14592" width="13" customWidth="1"/>
    <col min="14593" max="14593" width="11.6640625" customWidth="1"/>
    <col min="14596" max="14596" width="11.6640625" customWidth="1"/>
    <col min="14598" max="14598" width="12.1640625" customWidth="1"/>
    <col min="14599" max="14599" width="13.5" customWidth="1"/>
    <col min="14600" max="14600" width="12.1640625" customWidth="1"/>
    <col min="14601" max="14601" width="31.1640625" customWidth="1"/>
    <col min="14602" max="14602" width="32.6640625" customWidth="1"/>
    <col min="14845" max="14845" width="17.5" customWidth="1"/>
    <col min="14846" max="14846" width="21.1640625" customWidth="1"/>
    <col min="14847" max="14847" width="17.6640625" customWidth="1"/>
    <col min="14848" max="14848" width="13" customWidth="1"/>
    <col min="14849" max="14849" width="11.6640625" customWidth="1"/>
    <col min="14852" max="14852" width="11.6640625" customWidth="1"/>
    <col min="14854" max="14854" width="12.1640625" customWidth="1"/>
    <col min="14855" max="14855" width="13.5" customWidth="1"/>
    <col min="14856" max="14856" width="12.1640625" customWidth="1"/>
    <col min="14857" max="14857" width="31.1640625" customWidth="1"/>
    <col min="14858" max="14858" width="32.6640625" customWidth="1"/>
    <col min="15101" max="15101" width="17.5" customWidth="1"/>
    <col min="15102" max="15102" width="21.1640625" customWidth="1"/>
    <col min="15103" max="15103" width="17.6640625" customWidth="1"/>
    <col min="15104" max="15104" width="13" customWidth="1"/>
    <col min="15105" max="15105" width="11.6640625" customWidth="1"/>
    <col min="15108" max="15108" width="11.6640625" customWidth="1"/>
    <col min="15110" max="15110" width="12.1640625" customWidth="1"/>
    <col min="15111" max="15111" width="13.5" customWidth="1"/>
    <col min="15112" max="15112" width="12.1640625" customWidth="1"/>
    <col min="15113" max="15113" width="31.1640625" customWidth="1"/>
    <col min="15114" max="15114" width="32.6640625" customWidth="1"/>
    <col min="15357" max="15357" width="17.5" customWidth="1"/>
    <col min="15358" max="15358" width="21.1640625" customWidth="1"/>
    <col min="15359" max="15359" width="17.6640625" customWidth="1"/>
    <col min="15360" max="15360" width="13" customWidth="1"/>
    <col min="15361" max="15361" width="11.6640625" customWidth="1"/>
    <col min="15364" max="15364" width="11.6640625" customWidth="1"/>
    <col min="15366" max="15366" width="12.1640625" customWidth="1"/>
    <col min="15367" max="15367" width="13.5" customWidth="1"/>
    <col min="15368" max="15368" width="12.1640625" customWidth="1"/>
    <col min="15369" max="15369" width="31.1640625" customWidth="1"/>
    <col min="15370" max="15370" width="32.6640625" customWidth="1"/>
    <col min="15613" max="15613" width="17.5" customWidth="1"/>
    <col min="15614" max="15614" width="21.1640625" customWidth="1"/>
    <col min="15615" max="15615" width="17.6640625" customWidth="1"/>
    <col min="15616" max="15616" width="13" customWidth="1"/>
    <col min="15617" max="15617" width="11.6640625" customWidth="1"/>
    <col min="15620" max="15620" width="11.6640625" customWidth="1"/>
    <col min="15622" max="15622" width="12.1640625" customWidth="1"/>
    <col min="15623" max="15623" width="13.5" customWidth="1"/>
    <col min="15624" max="15624" width="12.1640625" customWidth="1"/>
    <col min="15625" max="15625" width="31.1640625" customWidth="1"/>
    <col min="15626" max="15626" width="32.6640625" customWidth="1"/>
    <col min="15869" max="15869" width="17.5" customWidth="1"/>
    <col min="15870" max="15870" width="21.1640625" customWidth="1"/>
    <col min="15871" max="15871" width="17.6640625" customWidth="1"/>
    <col min="15872" max="15872" width="13" customWidth="1"/>
    <col min="15873" max="15873" width="11.6640625" customWidth="1"/>
    <col min="15876" max="15876" width="11.6640625" customWidth="1"/>
    <col min="15878" max="15878" width="12.1640625" customWidth="1"/>
    <col min="15879" max="15879" width="13.5" customWidth="1"/>
    <col min="15880" max="15880" width="12.1640625" customWidth="1"/>
    <col min="15881" max="15881" width="31.1640625" customWidth="1"/>
    <col min="15882" max="15882" width="32.6640625" customWidth="1"/>
    <col min="16125" max="16125" width="17.5" customWidth="1"/>
    <col min="16126" max="16126" width="21.1640625" customWidth="1"/>
    <col min="16127" max="16127" width="17.6640625" customWidth="1"/>
    <col min="16128" max="16128" width="13" customWidth="1"/>
    <col min="16129" max="16129" width="11.6640625" customWidth="1"/>
    <col min="16132" max="16132" width="11.6640625" customWidth="1"/>
    <col min="16134" max="16134" width="12.1640625" customWidth="1"/>
    <col min="16135" max="16135" width="13.5" customWidth="1"/>
    <col min="16136" max="16136" width="12.1640625" customWidth="1"/>
    <col min="16137" max="16137" width="31.1640625" customWidth="1"/>
    <col min="16138" max="16138" width="32.6640625" customWidth="1"/>
  </cols>
  <sheetData>
    <row r="1" spans="1:48" ht="15" customHeight="1">
      <c r="A1" s="1342" t="s">
        <v>424</v>
      </c>
      <c r="B1" s="1344"/>
      <c r="C1" s="226"/>
      <c r="D1" s="226"/>
      <c r="E1" s="226"/>
      <c r="F1" s="226"/>
      <c r="G1" s="226"/>
      <c r="H1" s="226"/>
      <c r="I1" s="226"/>
      <c r="J1" s="226"/>
    </row>
    <row r="2" spans="1:48" s="81" customFormat="1" ht="11.25" customHeight="1">
      <c r="A2" s="379"/>
      <c r="B2" s="1339" t="s">
        <v>370</v>
      </c>
      <c r="C2" s="1339"/>
      <c r="D2" s="1339"/>
      <c r="E2" s="1340" t="s">
        <v>622</v>
      </c>
      <c r="F2" s="1340"/>
      <c r="G2" s="1340"/>
      <c r="H2" s="1341" t="s">
        <v>623</v>
      </c>
      <c r="I2" s="1341"/>
      <c r="J2" s="1335" t="s">
        <v>631</v>
      </c>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row>
    <row r="3" spans="1:48" s="81" customFormat="1" ht="10.5" customHeight="1">
      <c r="A3" s="419" t="s">
        <v>426</v>
      </c>
      <c r="B3" s="419"/>
      <c r="C3" s="419"/>
      <c r="D3" s="419"/>
      <c r="E3" s="1340"/>
      <c r="F3" s="1340"/>
      <c r="G3" s="1340"/>
      <c r="H3" s="1341"/>
      <c r="I3" s="1341"/>
      <c r="J3" s="1335"/>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row>
    <row r="4" spans="1:48" s="81" customFormat="1" ht="10.5" customHeight="1">
      <c r="A4" s="419"/>
      <c r="B4" s="419"/>
      <c r="C4" s="419"/>
      <c r="D4" s="419"/>
      <c r="E4" s="1340"/>
      <c r="F4" s="1340"/>
      <c r="G4" s="1340"/>
      <c r="H4" s="1341"/>
      <c r="I4" s="1341"/>
      <c r="J4" s="1335"/>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row>
    <row r="5" spans="1:48" s="81" customFormat="1" ht="12" customHeight="1">
      <c r="A5" s="1313" t="s">
        <v>1330</v>
      </c>
      <c r="B5" s="1313"/>
      <c r="C5" s="386"/>
      <c r="D5" s="275" t="s">
        <v>624</v>
      </c>
      <c r="E5" s="1238"/>
      <c r="F5" s="1238"/>
      <c r="G5" s="1238"/>
      <c r="H5" s="1341" t="s">
        <v>625</v>
      </c>
      <c r="I5" s="1341"/>
      <c r="J5" s="1335"/>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c r="AR5" s="138"/>
      <c r="AS5" s="138"/>
      <c r="AT5" s="138"/>
      <c r="AU5" s="138"/>
      <c r="AV5" s="138"/>
    </row>
    <row r="6" spans="1:48" ht="69.75" customHeight="1">
      <c r="A6" s="1313"/>
      <c r="B6" s="1313"/>
      <c r="C6" s="390"/>
      <c r="D6" s="237"/>
      <c r="E6" s="1240"/>
      <c r="F6" s="1542"/>
      <c r="G6" s="1542"/>
      <c r="H6" s="1341"/>
      <c r="I6" s="1341"/>
      <c r="J6" s="1335"/>
    </row>
    <row r="7" spans="1:48" ht="21" customHeight="1">
      <c r="A7" s="375" t="s">
        <v>653</v>
      </c>
      <c r="B7" s="330" t="s">
        <v>428</v>
      </c>
      <c r="C7" s="1311" t="s">
        <v>429</v>
      </c>
      <c r="D7" s="1317" t="s">
        <v>620</v>
      </c>
      <c r="E7" s="1318" t="s">
        <v>432</v>
      </c>
      <c r="F7" s="1316" t="s">
        <v>430</v>
      </c>
      <c r="G7" s="1317" t="s">
        <v>621</v>
      </c>
      <c r="H7" s="1328" t="s">
        <v>431</v>
      </c>
      <c r="I7" s="1328"/>
      <c r="J7" s="1327" t="s">
        <v>627</v>
      </c>
    </row>
    <row r="8" spans="1:48" ht="21" customHeight="1">
      <c r="A8" s="367"/>
      <c r="B8" s="99"/>
      <c r="C8" s="1311"/>
      <c r="D8" s="1317"/>
      <c r="E8" s="1318"/>
      <c r="F8" s="1316"/>
      <c r="G8" s="1317"/>
      <c r="H8" s="1328"/>
      <c r="I8" s="1328"/>
      <c r="J8" s="1327"/>
    </row>
    <row r="9" spans="1:48">
      <c r="A9" s="194"/>
      <c r="B9" s="1274" t="s">
        <v>511</v>
      </c>
      <c r="C9" s="1275"/>
      <c r="D9" s="1275"/>
      <c r="E9" s="1275"/>
      <c r="F9" s="1275"/>
      <c r="G9" s="1275"/>
      <c r="H9" s="367"/>
      <c r="I9" s="194"/>
      <c r="J9" s="194"/>
    </row>
    <row r="10" spans="1:48" ht="38.25" customHeight="1">
      <c r="A10" s="59" t="s">
        <v>2533</v>
      </c>
      <c r="B10" s="160" t="s">
        <v>478</v>
      </c>
      <c r="C10" s="177" t="s">
        <v>630</v>
      </c>
      <c r="D10" s="180">
        <v>92</v>
      </c>
      <c r="E10" s="180">
        <f>D10*1.1</f>
        <v>101.2</v>
      </c>
      <c r="F10" s="180">
        <v>0</v>
      </c>
      <c r="G10" s="180">
        <v>0</v>
      </c>
      <c r="H10" s="215"/>
      <c r="I10" s="208" t="s">
        <v>798</v>
      </c>
      <c r="J10" s="227" t="s">
        <v>839</v>
      </c>
    </row>
    <row r="11" spans="1:48" ht="21">
      <c r="A11" s="59" t="s">
        <v>2534</v>
      </c>
      <c r="B11" s="160" t="s">
        <v>475</v>
      </c>
      <c r="C11" s="177" t="s">
        <v>630</v>
      </c>
      <c r="D11" s="180">
        <v>34</v>
      </c>
      <c r="E11" s="180">
        <f t="shared" ref="E11:E12" si="0">D11*1.1</f>
        <v>37.400000000000006</v>
      </c>
      <c r="F11" s="180">
        <v>0</v>
      </c>
      <c r="G11" s="180">
        <v>0</v>
      </c>
      <c r="H11" s="215"/>
      <c r="I11" s="208" t="s">
        <v>726</v>
      </c>
      <c r="J11" s="227"/>
    </row>
    <row r="12" spans="1:48" ht="25.5" customHeight="1">
      <c r="A12" s="59" t="s">
        <v>2535</v>
      </c>
      <c r="B12" s="160" t="s">
        <v>476</v>
      </c>
      <c r="C12" s="177" t="s">
        <v>630</v>
      </c>
      <c r="D12" s="180">
        <v>10</v>
      </c>
      <c r="E12" s="180">
        <f t="shared" si="0"/>
        <v>11</v>
      </c>
      <c r="F12" s="180">
        <v>0</v>
      </c>
      <c r="G12" s="180">
        <v>0</v>
      </c>
      <c r="H12" s="215"/>
      <c r="I12" s="688" t="s">
        <v>537</v>
      </c>
      <c r="J12" s="227" t="s">
        <v>839</v>
      </c>
    </row>
    <row r="13" spans="1:48">
      <c r="A13" s="154"/>
      <c r="B13" s="1274" t="s">
        <v>468</v>
      </c>
      <c r="C13" s="1275"/>
      <c r="D13" s="1275"/>
      <c r="E13" s="1275"/>
      <c r="F13" s="1275"/>
      <c r="G13" s="1275"/>
      <c r="H13" s="406"/>
      <c r="I13" s="230"/>
      <c r="J13" s="230"/>
    </row>
    <row r="14" spans="1:48" ht="25.5" customHeight="1">
      <c r="A14" s="61" t="s">
        <v>2536</v>
      </c>
      <c r="B14" s="61" t="s">
        <v>1289</v>
      </c>
      <c r="C14" s="233" t="s">
        <v>630</v>
      </c>
      <c r="D14" s="180">
        <v>49</v>
      </c>
      <c r="E14" s="201">
        <f>SUM(D14*1.1)</f>
        <v>53.900000000000006</v>
      </c>
      <c r="F14" s="201">
        <f>SUM(G14*1.1)</f>
        <v>511.50000000000006</v>
      </c>
      <c r="G14" s="201">
        <v>465</v>
      </c>
      <c r="H14" s="215"/>
      <c r="I14" s="227" t="s">
        <v>840</v>
      </c>
      <c r="J14" s="227" t="s">
        <v>839</v>
      </c>
    </row>
    <row r="15" spans="1:48" s="8" customFormat="1" ht="38.25" customHeight="1">
      <c r="A15" s="61" t="s">
        <v>2537</v>
      </c>
      <c r="B15" s="96" t="s">
        <v>1290</v>
      </c>
      <c r="C15" s="817" t="s">
        <v>630</v>
      </c>
      <c r="D15" s="180">
        <v>30</v>
      </c>
      <c r="E15" s="201">
        <f t="shared" ref="E15:E16" si="1">SUM(D15*1.1)</f>
        <v>33</v>
      </c>
      <c r="F15" s="201" t="s">
        <v>277</v>
      </c>
      <c r="G15" s="201" t="s">
        <v>277</v>
      </c>
      <c r="H15" s="215"/>
      <c r="I15" s="819" t="s">
        <v>841</v>
      </c>
      <c r="J15" s="819" t="s">
        <v>839</v>
      </c>
    </row>
    <row r="16" spans="1:48" s="8" customFormat="1" ht="38.25" customHeight="1">
      <c r="A16" s="61" t="s">
        <v>2538</v>
      </c>
      <c r="B16" s="61" t="s">
        <v>1291</v>
      </c>
      <c r="C16" s="817" t="s">
        <v>630</v>
      </c>
      <c r="D16" s="180">
        <v>0.3</v>
      </c>
      <c r="E16" s="201">
        <f t="shared" si="1"/>
        <v>0.33</v>
      </c>
      <c r="F16" s="201" t="s">
        <v>277</v>
      </c>
      <c r="G16" s="201" t="s">
        <v>277</v>
      </c>
      <c r="H16" s="215"/>
      <c r="I16" s="819" t="s">
        <v>467</v>
      </c>
      <c r="J16" s="819" t="s">
        <v>839</v>
      </c>
    </row>
    <row r="17" spans="1:48" s="8" customFormat="1">
      <c r="A17" s="818"/>
      <c r="B17" s="818"/>
      <c r="C17" s="818"/>
      <c r="D17" s="818"/>
      <c r="E17" s="818"/>
      <c r="F17" s="818"/>
      <c r="G17" s="818"/>
      <c r="H17" s="216"/>
      <c r="I17" s="818"/>
      <c r="J17" s="818"/>
    </row>
    <row r="18" spans="1:48" s="8" customFormat="1">
      <c r="A18" s="134"/>
      <c r="B18" s="1307" t="s">
        <v>469</v>
      </c>
      <c r="C18" s="1308"/>
      <c r="D18" s="1308"/>
      <c r="E18" s="1308"/>
      <c r="F18" s="1308"/>
      <c r="G18" s="1308"/>
      <c r="H18" s="216"/>
      <c r="I18" s="818"/>
      <c r="J18" s="819" t="s">
        <v>426</v>
      </c>
    </row>
    <row r="19" spans="1:48" s="8" customFormat="1" ht="25.5" customHeight="1">
      <c r="A19" s="88" t="s">
        <v>2539</v>
      </c>
      <c r="B19" s="96" t="s">
        <v>1292</v>
      </c>
      <c r="C19" s="817" t="s">
        <v>630</v>
      </c>
      <c r="D19" s="180">
        <v>24</v>
      </c>
      <c r="E19" s="201">
        <f t="shared" ref="E19:E21" si="2">SUM(D19*1.1)</f>
        <v>26.400000000000002</v>
      </c>
      <c r="F19" s="201">
        <f t="shared" ref="F19" si="3">SUM(G19*1.1)</f>
        <v>550</v>
      </c>
      <c r="G19" s="201">
        <v>500</v>
      </c>
      <c r="H19" s="215"/>
      <c r="I19" s="819" t="s">
        <v>840</v>
      </c>
      <c r="J19" s="819" t="s">
        <v>839</v>
      </c>
    </row>
    <row r="20" spans="1:48" s="8" customFormat="1" ht="38.25" customHeight="1">
      <c r="A20" s="88" t="s">
        <v>2540</v>
      </c>
      <c r="B20" s="96" t="s">
        <v>1290</v>
      </c>
      <c r="C20" s="817" t="s">
        <v>630</v>
      </c>
      <c r="D20" s="180">
        <v>30</v>
      </c>
      <c r="E20" s="201">
        <f t="shared" si="2"/>
        <v>33</v>
      </c>
      <c r="F20" s="304" t="s">
        <v>277</v>
      </c>
      <c r="G20" s="304" t="s">
        <v>277</v>
      </c>
      <c r="H20" s="215"/>
      <c r="I20" s="819" t="s">
        <v>841</v>
      </c>
      <c r="J20" s="819" t="s">
        <v>839</v>
      </c>
    </row>
    <row r="21" spans="1:48" s="8" customFormat="1" ht="38.25" customHeight="1">
      <c r="A21" s="88" t="s">
        <v>2538</v>
      </c>
      <c r="B21" s="96" t="s">
        <v>1291</v>
      </c>
      <c r="C21" s="817" t="s">
        <v>630</v>
      </c>
      <c r="D21" s="180">
        <v>0.3</v>
      </c>
      <c r="E21" s="201">
        <f t="shared" si="2"/>
        <v>0.33</v>
      </c>
      <c r="F21" s="304" t="s">
        <v>277</v>
      </c>
      <c r="G21" s="304" t="s">
        <v>277</v>
      </c>
      <c r="H21" s="215"/>
      <c r="I21" s="819" t="s">
        <v>467</v>
      </c>
      <c r="J21" s="819" t="s">
        <v>839</v>
      </c>
    </row>
    <row r="22" spans="1:48" s="133" customFormat="1" ht="10.5" customHeight="1">
      <c r="A22" s="357"/>
      <c r="B22" s="357"/>
      <c r="C22" s="357"/>
      <c r="D22" s="357"/>
      <c r="E22" s="357"/>
      <c r="F22" s="357"/>
      <c r="G22" s="357"/>
      <c r="H22" s="261"/>
      <c r="I22" s="183"/>
      <c r="J22" s="357"/>
    </row>
    <row r="23" spans="1:48" s="4" customFormat="1">
      <c r="A23" s="818"/>
      <c r="B23" s="1307" t="s">
        <v>327</v>
      </c>
      <c r="C23" s="1308"/>
      <c r="D23" s="1308"/>
      <c r="E23" s="1308"/>
      <c r="F23" s="1308"/>
      <c r="G23" s="1308"/>
      <c r="H23" s="215"/>
      <c r="I23" s="818"/>
      <c r="J23" s="818"/>
    </row>
    <row r="24" spans="1:48" s="145" customFormat="1" ht="21">
      <c r="A24" s="181" t="s">
        <v>2541</v>
      </c>
      <c r="B24" s="182" t="s">
        <v>1524</v>
      </c>
      <c r="C24" s="177" t="s">
        <v>630</v>
      </c>
      <c r="D24" s="180">
        <v>30</v>
      </c>
      <c r="E24" s="201">
        <f t="shared" ref="E24:E26" si="4">SUM(D24*1.1)</f>
        <v>33</v>
      </c>
      <c r="F24" s="201">
        <f t="shared" ref="F24" si="5">SUM(G24*1.1)</f>
        <v>550</v>
      </c>
      <c r="G24" s="201">
        <v>500</v>
      </c>
      <c r="H24" s="215"/>
      <c r="I24" s="688" t="s">
        <v>840</v>
      </c>
      <c r="J24" s="688" t="s">
        <v>839</v>
      </c>
    </row>
    <row r="25" spans="1:48" s="145" customFormat="1" ht="33.75" customHeight="1">
      <c r="A25" s="181" t="s">
        <v>2542</v>
      </c>
      <c r="B25" s="96" t="s">
        <v>1290</v>
      </c>
      <c r="C25" s="177" t="s">
        <v>630</v>
      </c>
      <c r="D25" s="180">
        <v>30</v>
      </c>
      <c r="E25" s="201">
        <f t="shared" si="4"/>
        <v>33</v>
      </c>
      <c r="F25" s="201" t="s">
        <v>277</v>
      </c>
      <c r="G25" s="201" t="s">
        <v>277</v>
      </c>
      <c r="H25" s="215"/>
      <c r="I25" s="688" t="s">
        <v>841</v>
      </c>
      <c r="J25" s="688" t="s">
        <v>839</v>
      </c>
    </row>
    <row r="26" spans="1:48" s="145" customFormat="1" ht="33.75" customHeight="1">
      <c r="A26" s="1223" t="s">
        <v>2543</v>
      </c>
      <c r="B26" s="96" t="s">
        <v>1291</v>
      </c>
      <c r="C26" s="177" t="s">
        <v>630</v>
      </c>
      <c r="D26" s="180">
        <v>0.3</v>
      </c>
      <c r="E26" s="201">
        <f t="shared" si="4"/>
        <v>0.33</v>
      </c>
      <c r="F26" s="201" t="s">
        <v>277</v>
      </c>
      <c r="G26" s="201" t="s">
        <v>277</v>
      </c>
      <c r="H26" s="215"/>
      <c r="I26" s="688" t="s">
        <v>467</v>
      </c>
      <c r="J26" s="688" t="s">
        <v>839</v>
      </c>
    </row>
    <row r="27" spans="1:48" s="145" customFormat="1" ht="11.25" customHeight="1">
      <c r="A27" s="818"/>
      <c r="B27" s="687"/>
      <c r="C27" s="687"/>
      <c r="D27" s="687"/>
      <c r="E27" s="687"/>
      <c r="F27" s="687"/>
      <c r="G27" s="687"/>
      <c r="H27" s="215"/>
      <c r="I27" s="688"/>
      <c r="J27" s="687"/>
    </row>
    <row r="28" spans="1:48" s="9" customFormat="1">
      <c r="A28" s="818"/>
      <c r="B28" s="1307" t="s">
        <v>326</v>
      </c>
      <c r="C28" s="1308"/>
      <c r="D28" s="1308"/>
      <c r="E28" s="1308"/>
      <c r="F28" s="1308"/>
      <c r="G28" s="1308"/>
      <c r="H28" s="215"/>
      <c r="I28" s="687"/>
      <c r="J28" s="688" t="s">
        <v>839</v>
      </c>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145" customFormat="1" ht="34.5" customHeight="1">
      <c r="A29" s="181" t="s">
        <v>2544</v>
      </c>
      <c r="B29" s="182" t="s">
        <v>1525</v>
      </c>
      <c r="C29" s="177" t="s">
        <v>630</v>
      </c>
      <c r="D29" s="180">
        <v>30</v>
      </c>
      <c r="E29" s="201">
        <f t="shared" ref="E29:E31" si="6">SUM(D29*1.1)</f>
        <v>33</v>
      </c>
      <c r="F29" s="201">
        <f t="shared" ref="F29" si="7">SUM(G29*1.1)</f>
        <v>33</v>
      </c>
      <c r="G29" s="201">
        <v>30</v>
      </c>
      <c r="H29" s="215"/>
      <c r="I29" s="688" t="s">
        <v>840</v>
      </c>
      <c r="J29" s="688" t="s">
        <v>839</v>
      </c>
    </row>
    <row r="30" spans="1:48" s="145" customFormat="1" ht="33.75" customHeight="1">
      <c r="A30" s="181" t="s">
        <v>2545</v>
      </c>
      <c r="B30" s="96" t="s">
        <v>1290</v>
      </c>
      <c r="C30" s="177" t="s">
        <v>630</v>
      </c>
      <c r="D30" s="180">
        <v>30</v>
      </c>
      <c r="E30" s="201">
        <f t="shared" si="6"/>
        <v>33</v>
      </c>
      <c r="F30" s="201" t="s">
        <v>277</v>
      </c>
      <c r="G30" s="201" t="s">
        <v>277</v>
      </c>
      <c r="H30" s="215"/>
      <c r="I30" s="688" t="s">
        <v>841</v>
      </c>
      <c r="J30" s="688" t="s">
        <v>839</v>
      </c>
    </row>
    <row r="31" spans="1:48" s="145" customFormat="1" ht="33.75" customHeight="1">
      <c r="A31" s="1224" t="s">
        <v>2540</v>
      </c>
      <c r="B31" s="96" t="s">
        <v>1291</v>
      </c>
      <c r="C31" s="177" t="s">
        <v>630</v>
      </c>
      <c r="D31" s="180">
        <v>0.3</v>
      </c>
      <c r="E31" s="201">
        <f t="shared" si="6"/>
        <v>0.33</v>
      </c>
      <c r="F31" s="201" t="s">
        <v>277</v>
      </c>
      <c r="G31" s="201" t="s">
        <v>277</v>
      </c>
      <c r="H31" s="215"/>
      <c r="I31" s="688" t="s">
        <v>467</v>
      </c>
      <c r="J31" s="688" t="s">
        <v>839</v>
      </c>
    </row>
    <row r="32" spans="1:48" s="145" customFormat="1" ht="14.25" customHeight="1">
      <c r="A32" s="748"/>
      <c r="B32" s="1218"/>
      <c r="C32" s="1219"/>
      <c r="D32" s="1220"/>
      <c r="E32" s="690"/>
      <c r="F32" s="690"/>
      <c r="G32" s="690"/>
      <c r="H32" s="691"/>
      <c r="I32" s="892"/>
      <c r="J32" s="893"/>
    </row>
    <row r="33" spans="1:48" s="18" customFormat="1" ht="14.25" customHeight="1">
      <c r="A33" s="1222"/>
      <c r="B33" s="1363" t="s">
        <v>3033</v>
      </c>
      <c r="C33" s="1364"/>
      <c r="D33" s="1364"/>
      <c r="E33" s="1364"/>
      <c r="F33" s="1364"/>
      <c r="G33" s="1364"/>
      <c r="H33" s="1364"/>
      <c r="I33" s="1365"/>
      <c r="J33" s="891"/>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row>
    <row r="34" spans="1:48" s="18" customFormat="1" ht="21">
      <c r="A34" s="1214"/>
      <c r="B34" s="888" t="s">
        <v>3034</v>
      </c>
      <c r="C34" s="501" t="s">
        <v>630</v>
      </c>
      <c r="D34" s="815">
        <v>35</v>
      </c>
      <c r="E34" s="201">
        <f t="shared" ref="E34:E45" si="8">SUM(D34*1.1)</f>
        <v>38.5</v>
      </c>
      <c r="F34" s="201">
        <f t="shared" ref="F34:F35" si="9">SUM(G34*1.1)</f>
        <v>182.60000000000002</v>
      </c>
      <c r="G34" s="815">
        <v>166</v>
      </c>
      <c r="H34" s="818"/>
      <c r="I34" s="818" t="s">
        <v>3035</v>
      </c>
      <c r="J34" s="1" t="s">
        <v>3036</v>
      </c>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row>
    <row r="35" spans="1:48" s="18" customFormat="1" ht="21">
      <c r="A35" s="65"/>
      <c r="B35" s="888" t="s">
        <v>3037</v>
      </c>
      <c r="C35" s="501" t="s">
        <v>630</v>
      </c>
      <c r="D35" s="815">
        <v>55</v>
      </c>
      <c r="E35" s="201">
        <f t="shared" si="8"/>
        <v>60.500000000000007</v>
      </c>
      <c r="F35" s="201">
        <f t="shared" si="9"/>
        <v>221.10000000000002</v>
      </c>
      <c r="G35" s="815">
        <v>201</v>
      </c>
      <c r="H35" s="818"/>
      <c r="I35" s="818" t="s">
        <v>3035</v>
      </c>
      <c r="J35" s="891"/>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row>
    <row r="36" spans="1:48" s="18" customFormat="1" ht="32.25">
      <c r="A36" s="1215"/>
      <c r="B36" s="888" t="s">
        <v>3038</v>
      </c>
      <c r="C36" s="501" t="s">
        <v>630</v>
      </c>
      <c r="D36" s="815">
        <v>40</v>
      </c>
      <c r="E36" s="201">
        <f t="shared" si="8"/>
        <v>44</v>
      </c>
      <c r="F36" s="201" t="s">
        <v>1499</v>
      </c>
      <c r="G36" s="815" t="s">
        <v>277</v>
      </c>
      <c r="H36" s="818"/>
      <c r="I36" s="818" t="s">
        <v>3039</v>
      </c>
      <c r="J36" s="891"/>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row>
    <row r="37" spans="1:48" s="18" customFormat="1" ht="32.25">
      <c r="A37" s="1215"/>
      <c r="B37" s="888" t="s">
        <v>3040</v>
      </c>
      <c r="C37" s="501" t="s">
        <v>630</v>
      </c>
      <c r="D37" s="815">
        <v>4</v>
      </c>
      <c r="E37" s="201">
        <f t="shared" si="8"/>
        <v>4.4000000000000004</v>
      </c>
      <c r="F37" s="201" t="s">
        <v>1499</v>
      </c>
      <c r="G37" s="815" t="s">
        <v>277</v>
      </c>
      <c r="H37" s="818"/>
      <c r="I37" s="818" t="s">
        <v>3041</v>
      </c>
      <c r="J37" s="891"/>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row>
    <row r="38" spans="1:48" s="18" customFormat="1" ht="32.25">
      <c r="A38" s="1215"/>
      <c r="B38" s="888" t="s">
        <v>3042</v>
      </c>
      <c r="C38" s="501" t="s">
        <v>630</v>
      </c>
      <c r="D38" s="815">
        <v>40</v>
      </c>
      <c r="E38" s="201">
        <f t="shared" si="8"/>
        <v>44</v>
      </c>
      <c r="F38" s="201" t="s">
        <v>1499</v>
      </c>
      <c r="G38" s="815" t="s">
        <v>277</v>
      </c>
      <c r="H38" s="818"/>
      <c r="I38" s="818" t="s">
        <v>3039</v>
      </c>
      <c r="J38" s="891"/>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row>
    <row r="39" spans="1:48" s="18" customFormat="1" ht="32.25">
      <c r="A39" s="1215"/>
      <c r="B39" s="888" t="s">
        <v>3043</v>
      </c>
      <c r="C39" s="501" t="s">
        <v>630</v>
      </c>
      <c r="D39" s="815">
        <v>4</v>
      </c>
      <c r="E39" s="201">
        <f t="shared" si="8"/>
        <v>4.4000000000000004</v>
      </c>
      <c r="F39" s="201" t="s">
        <v>1499</v>
      </c>
      <c r="G39" s="815" t="s">
        <v>277</v>
      </c>
      <c r="H39" s="818"/>
      <c r="I39" s="818" t="s">
        <v>3041</v>
      </c>
      <c r="J39" s="891"/>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row>
    <row r="40" spans="1:48" s="18" customFormat="1" ht="32.25">
      <c r="A40" s="1215"/>
      <c r="B40" s="888" t="s">
        <v>3044</v>
      </c>
      <c r="C40" s="501" t="s">
        <v>630</v>
      </c>
      <c r="D40" s="815">
        <v>40</v>
      </c>
      <c r="E40" s="201">
        <f t="shared" si="8"/>
        <v>44</v>
      </c>
      <c r="F40" s="201" t="s">
        <v>1499</v>
      </c>
      <c r="G40" s="815" t="s">
        <v>277</v>
      </c>
      <c r="H40" s="818"/>
      <c r="I40" s="818" t="s">
        <v>3039</v>
      </c>
      <c r="J40" s="891"/>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row>
    <row r="41" spans="1:48" s="18" customFormat="1" ht="31.5">
      <c r="A41" s="134"/>
      <c r="B41" s="888" t="s">
        <v>3045</v>
      </c>
      <c r="C41" s="501" t="s">
        <v>630</v>
      </c>
      <c r="D41" s="815">
        <v>4</v>
      </c>
      <c r="E41" s="201">
        <f t="shared" si="8"/>
        <v>4.4000000000000004</v>
      </c>
      <c r="F41" s="201" t="s">
        <v>1499</v>
      </c>
      <c r="G41" s="815" t="s">
        <v>277</v>
      </c>
      <c r="H41" s="818"/>
      <c r="I41" s="818" t="s">
        <v>3041</v>
      </c>
      <c r="J41" s="891"/>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row>
    <row r="42" spans="1:48" s="18" customFormat="1" ht="31.5">
      <c r="A42" s="134"/>
      <c r="B42" s="888" t="s">
        <v>3046</v>
      </c>
      <c r="C42" s="501" t="s">
        <v>630</v>
      </c>
      <c r="D42" s="815">
        <v>40</v>
      </c>
      <c r="E42" s="201">
        <f t="shared" si="8"/>
        <v>44</v>
      </c>
      <c r="F42" s="201" t="s">
        <v>1499</v>
      </c>
      <c r="G42" s="815" t="s">
        <v>277</v>
      </c>
      <c r="H42" s="818"/>
      <c r="I42" s="818" t="s">
        <v>3039</v>
      </c>
      <c r="J42" s="891"/>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row>
    <row r="43" spans="1:48" s="18" customFormat="1" ht="31.5">
      <c r="A43" s="134"/>
      <c r="B43" s="888" t="s">
        <v>3047</v>
      </c>
      <c r="C43" s="501" t="s">
        <v>630</v>
      </c>
      <c r="D43" s="815">
        <v>4</v>
      </c>
      <c r="E43" s="201">
        <f t="shared" si="8"/>
        <v>4.4000000000000004</v>
      </c>
      <c r="F43" s="201" t="s">
        <v>1499</v>
      </c>
      <c r="G43" s="815" t="s">
        <v>277</v>
      </c>
      <c r="H43" s="818"/>
      <c r="I43" s="818" t="s">
        <v>3041</v>
      </c>
      <c r="J43" s="891"/>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row>
    <row r="44" spans="1:48" s="18" customFormat="1" ht="31.5">
      <c r="A44" s="134"/>
      <c r="B44" s="888" t="s">
        <v>3048</v>
      </c>
      <c r="C44" s="501" t="s">
        <v>630</v>
      </c>
      <c r="D44" s="815">
        <v>40</v>
      </c>
      <c r="E44" s="201">
        <f t="shared" si="8"/>
        <v>44</v>
      </c>
      <c r="F44" s="201" t="s">
        <v>1499</v>
      </c>
      <c r="G44" s="815" t="s">
        <v>277</v>
      </c>
      <c r="H44" s="818"/>
      <c r="I44" s="818" t="s">
        <v>3039</v>
      </c>
      <c r="J44" s="891"/>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row>
    <row r="45" spans="1:48" s="18" customFormat="1" ht="31.5">
      <c r="A45" s="134"/>
      <c r="B45" s="888" t="s">
        <v>3049</v>
      </c>
      <c r="C45" s="501" t="s">
        <v>630</v>
      </c>
      <c r="D45" s="815">
        <v>4</v>
      </c>
      <c r="E45" s="201">
        <f t="shared" si="8"/>
        <v>4.4000000000000004</v>
      </c>
      <c r="F45" s="201" t="s">
        <v>1499</v>
      </c>
      <c r="G45" s="815" t="s">
        <v>277</v>
      </c>
      <c r="H45" s="818"/>
      <c r="I45" s="818" t="s">
        <v>3041</v>
      </c>
      <c r="J45" s="891"/>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row>
    <row r="46" spans="1:48" s="18" customFormat="1">
      <c r="A46" s="134"/>
      <c r="B46" s="818"/>
      <c r="C46" s="818"/>
      <c r="D46" s="818"/>
      <c r="E46" s="818"/>
      <c r="F46" s="818"/>
      <c r="G46" s="818"/>
      <c r="H46" s="818"/>
      <c r="I46" s="818"/>
      <c r="J46" s="891"/>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row>
    <row r="47" spans="1:48" s="18" customFormat="1" ht="15" customHeight="1">
      <c r="A47" s="1222"/>
      <c r="B47" s="1366" t="s">
        <v>3050</v>
      </c>
      <c r="C47" s="1367"/>
      <c r="D47" s="1367"/>
      <c r="E47" s="1367"/>
      <c r="F47" s="1367"/>
      <c r="G47" s="1367"/>
      <c r="H47" s="1368"/>
      <c r="I47" s="818"/>
      <c r="J47" s="891"/>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row>
    <row r="48" spans="1:48" s="18" customFormat="1" ht="21">
      <c r="A48" s="134"/>
      <c r="B48" s="888" t="s">
        <v>3051</v>
      </c>
      <c r="C48" s="501" t="s">
        <v>654</v>
      </c>
      <c r="D48" s="201">
        <v>35</v>
      </c>
      <c r="E48" s="201">
        <f t="shared" ref="E48:E58" si="10">SUM(D48*1.1)</f>
        <v>38.5</v>
      </c>
      <c r="F48" s="201">
        <f t="shared" ref="F48" si="11">SUM(G48*1.1)</f>
        <v>149.27000000000001</v>
      </c>
      <c r="G48" s="201">
        <v>135.69999999999999</v>
      </c>
      <c r="H48" s="818"/>
      <c r="I48" s="818" t="s">
        <v>3035</v>
      </c>
      <c r="J48" s="1" t="s">
        <v>3036</v>
      </c>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row>
    <row r="49" spans="1:48" s="18" customFormat="1" ht="31.5">
      <c r="A49" s="134"/>
      <c r="B49" s="888" t="s">
        <v>3038</v>
      </c>
      <c r="C49" s="501" t="s">
        <v>654</v>
      </c>
      <c r="D49" s="813">
        <v>26.7</v>
      </c>
      <c r="E49" s="201">
        <f t="shared" si="10"/>
        <v>29.37</v>
      </c>
      <c r="F49" s="201" t="s">
        <v>277</v>
      </c>
      <c r="G49" s="501" t="s">
        <v>277</v>
      </c>
      <c r="H49" s="818"/>
      <c r="I49" s="818" t="s">
        <v>3039</v>
      </c>
      <c r="J49" s="891"/>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row>
    <row r="50" spans="1:48" s="18" customFormat="1" ht="31.5">
      <c r="A50" s="134"/>
      <c r="B50" s="888" t="s">
        <v>3040</v>
      </c>
      <c r="C50" s="501" t="s">
        <v>654</v>
      </c>
      <c r="D50" s="815">
        <v>9.5</v>
      </c>
      <c r="E50" s="201">
        <f t="shared" si="10"/>
        <v>10.450000000000001</v>
      </c>
      <c r="F50" s="201" t="s">
        <v>277</v>
      </c>
      <c r="G50" s="501" t="s">
        <v>277</v>
      </c>
      <c r="H50" s="818"/>
      <c r="I50" s="818" t="s">
        <v>3052</v>
      </c>
      <c r="J50" s="891"/>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row>
    <row r="51" spans="1:48" s="18" customFormat="1" ht="31.5">
      <c r="A51" s="134"/>
      <c r="B51" s="888" t="s">
        <v>3042</v>
      </c>
      <c r="C51" s="501" t="s">
        <v>654</v>
      </c>
      <c r="D51" s="813">
        <v>29</v>
      </c>
      <c r="E51" s="201">
        <f t="shared" si="10"/>
        <v>31.900000000000002</v>
      </c>
      <c r="F51" s="201" t="s">
        <v>277</v>
      </c>
      <c r="G51" s="501" t="s">
        <v>277</v>
      </c>
      <c r="H51" s="818"/>
      <c r="I51" s="818" t="s">
        <v>3039</v>
      </c>
      <c r="J51" s="891"/>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row>
    <row r="52" spans="1:48" s="18" customFormat="1" ht="31.5">
      <c r="A52" s="134"/>
      <c r="B52" s="888" t="s">
        <v>3043</v>
      </c>
      <c r="C52" s="501" t="s">
        <v>654</v>
      </c>
      <c r="D52" s="813">
        <v>9.5</v>
      </c>
      <c r="E52" s="201">
        <f t="shared" si="10"/>
        <v>10.450000000000001</v>
      </c>
      <c r="F52" s="201" t="s">
        <v>277</v>
      </c>
      <c r="G52" s="501" t="s">
        <v>277</v>
      </c>
      <c r="H52" s="818"/>
      <c r="I52" s="818" t="s">
        <v>3052</v>
      </c>
      <c r="J52" s="891"/>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row>
    <row r="53" spans="1:48" s="18" customFormat="1" ht="31.5">
      <c r="A53" s="134"/>
      <c r="B53" s="888" t="s">
        <v>3044</v>
      </c>
      <c r="C53" s="501" t="s">
        <v>654</v>
      </c>
      <c r="D53" s="813">
        <v>29</v>
      </c>
      <c r="E53" s="201">
        <f t="shared" si="10"/>
        <v>31.900000000000002</v>
      </c>
      <c r="F53" s="201" t="s">
        <v>277</v>
      </c>
      <c r="G53" s="501" t="s">
        <v>277</v>
      </c>
      <c r="H53" s="818"/>
      <c r="I53" s="818" t="s">
        <v>3039</v>
      </c>
      <c r="J53" s="891"/>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row>
    <row r="54" spans="1:48" s="18" customFormat="1" ht="31.5">
      <c r="A54" s="134"/>
      <c r="B54" s="888" t="s">
        <v>3045</v>
      </c>
      <c r="C54" s="501" t="s">
        <v>654</v>
      </c>
      <c r="D54" s="813">
        <v>9.5</v>
      </c>
      <c r="E54" s="201">
        <f t="shared" si="10"/>
        <v>10.450000000000001</v>
      </c>
      <c r="F54" s="201" t="s">
        <v>277</v>
      </c>
      <c r="G54" s="501" t="s">
        <v>277</v>
      </c>
      <c r="H54" s="818"/>
      <c r="I54" s="818" t="s">
        <v>3052</v>
      </c>
      <c r="J54" s="891"/>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row>
    <row r="55" spans="1:48" ht="31.5">
      <c r="A55" s="134"/>
      <c r="B55" s="888" t="s">
        <v>3046</v>
      </c>
      <c r="C55" s="501" t="s">
        <v>654</v>
      </c>
      <c r="D55" s="813">
        <v>256</v>
      </c>
      <c r="E55" s="201">
        <f t="shared" si="10"/>
        <v>281.60000000000002</v>
      </c>
      <c r="F55" s="201" t="s">
        <v>277</v>
      </c>
      <c r="G55" s="501" t="s">
        <v>277</v>
      </c>
      <c r="H55" s="818"/>
      <c r="I55" s="818" t="s">
        <v>3039</v>
      </c>
      <c r="J55" s="891"/>
    </row>
    <row r="56" spans="1:48" ht="31.5">
      <c r="A56" s="134"/>
      <c r="B56" s="888" t="s">
        <v>3047</v>
      </c>
      <c r="C56" s="501" t="s">
        <v>654</v>
      </c>
      <c r="D56" s="813">
        <v>8.75</v>
      </c>
      <c r="E56" s="201">
        <f t="shared" si="10"/>
        <v>9.625</v>
      </c>
      <c r="F56" s="201" t="s">
        <v>277</v>
      </c>
      <c r="G56" s="501" t="s">
        <v>277</v>
      </c>
      <c r="H56" s="818"/>
      <c r="I56" s="818" t="s">
        <v>3052</v>
      </c>
      <c r="J56" s="891"/>
    </row>
    <row r="57" spans="1:48" ht="31.5">
      <c r="A57" s="134"/>
      <c r="B57" s="888" t="s">
        <v>3048</v>
      </c>
      <c r="C57" s="501" t="s">
        <v>654</v>
      </c>
      <c r="D57" s="813">
        <v>256</v>
      </c>
      <c r="E57" s="201">
        <f t="shared" si="10"/>
        <v>281.60000000000002</v>
      </c>
      <c r="F57" s="201" t="s">
        <v>277</v>
      </c>
      <c r="G57" s="501" t="s">
        <v>277</v>
      </c>
      <c r="H57" s="818"/>
      <c r="I57" s="818" t="s">
        <v>3039</v>
      </c>
      <c r="J57" s="891"/>
    </row>
    <row r="58" spans="1:48" ht="31.5">
      <c r="A58" s="134"/>
      <c r="B58" s="888" t="s">
        <v>3049</v>
      </c>
      <c r="C58" s="501" t="s">
        <v>654</v>
      </c>
      <c r="D58" s="813">
        <v>8.75</v>
      </c>
      <c r="E58" s="201">
        <f t="shared" si="10"/>
        <v>9.625</v>
      </c>
      <c r="F58" s="201" t="s">
        <v>277</v>
      </c>
      <c r="G58" s="501" t="s">
        <v>277</v>
      </c>
      <c r="H58" s="818"/>
      <c r="I58" s="818" t="s">
        <v>3052</v>
      </c>
      <c r="J58" s="891"/>
    </row>
    <row r="59" spans="1:48">
      <c r="A59" s="445"/>
    </row>
    <row r="60" spans="1:48">
      <c r="A60" s="445"/>
    </row>
    <row r="61" spans="1:48">
      <c r="A61" s="445"/>
    </row>
    <row r="62" spans="1:48">
      <c r="A62" s="445"/>
    </row>
    <row r="63" spans="1:48">
      <c r="A63" s="445"/>
    </row>
    <row r="64" spans="1:48">
      <c r="A64" s="445"/>
    </row>
    <row r="65" spans="1:1">
      <c r="A65" s="445"/>
    </row>
    <row r="66" spans="1:1">
      <c r="A66" s="445"/>
    </row>
    <row r="67" spans="1:1">
      <c r="A67" s="445"/>
    </row>
    <row r="68" spans="1:1">
      <c r="A68" s="445"/>
    </row>
    <row r="69" spans="1:1">
      <c r="A69" s="445"/>
    </row>
    <row r="70" spans="1:1">
      <c r="A70" s="445"/>
    </row>
    <row r="71" spans="1:1">
      <c r="A71" s="445"/>
    </row>
    <row r="72" spans="1:1">
      <c r="A72" s="445"/>
    </row>
    <row r="73" spans="1:1">
      <c r="A73" s="445"/>
    </row>
    <row r="74" spans="1:1">
      <c r="A74" s="445"/>
    </row>
    <row r="75" spans="1:1">
      <c r="A75" s="445"/>
    </row>
    <row r="76" spans="1:1">
      <c r="A76" s="445"/>
    </row>
    <row r="77" spans="1:1">
      <c r="A77" s="445"/>
    </row>
    <row r="78" spans="1:1">
      <c r="A78" s="445"/>
    </row>
    <row r="79" spans="1:1">
      <c r="A79" s="445"/>
    </row>
    <row r="80" spans="1:1">
      <c r="A80" s="445"/>
    </row>
    <row r="81" spans="1:1">
      <c r="A81" s="445"/>
    </row>
    <row r="82" spans="1:1">
      <c r="A82" s="445"/>
    </row>
  </sheetData>
  <mergeCells count="22">
    <mergeCell ref="A1:B1"/>
    <mergeCell ref="J2:J6"/>
    <mergeCell ref="A5:B6"/>
    <mergeCell ref="H5:I6"/>
    <mergeCell ref="F6:G6"/>
    <mergeCell ref="B13:G13"/>
    <mergeCell ref="J7:J8"/>
    <mergeCell ref="B9:G9"/>
    <mergeCell ref="C7:C8"/>
    <mergeCell ref="D7:D8"/>
    <mergeCell ref="E7:E8"/>
    <mergeCell ref="F7:F8"/>
    <mergeCell ref="G7:G8"/>
    <mergeCell ref="B33:I33"/>
    <mergeCell ref="B47:H47"/>
    <mergeCell ref="B2:D2"/>
    <mergeCell ref="E2:G4"/>
    <mergeCell ref="H2:I4"/>
    <mergeCell ref="B18:G18"/>
    <mergeCell ref="B23:G23"/>
    <mergeCell ref="B28:G28"/>
    <mergeCell ref="H7:I8"/>
  </mergeCells>
  <pageMargins left="0.75" right="0.75" top="1" bottom="1" header="0.5" footer="0.5"/>
  <pageSetup scale="60" orientation="landscape" r:id="rId1"/>
  <headerFooter>
    <oddHeader>&amp;L&amp;F&amp;C&amp;A&amp;R&amp;G</oddHeader>
    <oddFooter>&amp;C&amp;"Tahoma,Italic"Use or disclosure of the data on this page or screen is subject to the restrictions on the title page or opening view screen of this proposal document or file.&amp;R&amp;P of &amp;N</oddFooter>
  </headerFooter>
  <ignoredErrors>
    <ignoredError sqref="B15:G15 B17:G31 C16:G16 C14:G14" unlockedFormula="1"/>
  </ignoredErrors>
  <legacyDrawingHF r:id="rId2"/>
</worksheet>
</file>

<file path=xl/worksheets/sheet17.xml><?xml version="1.0" encoding="utf-8"?>
<worksheet xmlns="http://schemas.openxmlformats.org/spreadsheetml/2006/main" xmlns:r="http://schemas.openxmlformats.org/officeDocument/2006/relationships">
  <sheetPr codeName="Sheet10" enableFormatConditionsCalculation="0">
    <tabColor theme="3" tint="0.79998168889431442"/>
    <pageSetUpPr fitToPage="1"/>
  </sheetPr>
  <dimension ref="A1:AV112"/>
  <sheetViews>
    <sheetView zoomScaleNormal="100" zoomScaleSheetLayoutView="100" zoomScalePageLayoutView="80" workbookViewId="0">
      <selection sqref="A1:B1"/>
    </sheetView>
  </sheetViews>
  <sheetFormatPr defaultRowHeight="10.5"/>
  <cols>
    <col min="1" max="1" width="17.5" customWidth="1"/>
    <col min="2" max="2" width="21.1640625" customWidth="1"/>
    <col min="3" max="3" width="17.6640625" style="143" customWidth="1"/>
    <col min="4" max="4" width="13" style="143" hidden="1" customWidth="1"/>
    <col min="5" max="5" width="13" style="203" customWidth="1"/>
    <col min="6" max="6" width="9.6640625" style="203" customWidth="1"/>
    <col min="7" max="7" width="0" style="143" hidden="1" customWidth="1"/>
    <col min="8" max="8" width="12.1640625" customWidth="1"/>
    <col min="9" max="9" width="31.1640625" style="143" customWidth="1"/>
    <col min="10" max="10" width="33.1640625" customWidth="1"/>
    <col min="11" max="43" width="9.33203125" style="8" customWidth="1"/>
  </cols>
  <sheetData>
    <row r="1" spans="1:48" ht="15" customHeight="1">
      <c r="A1" s="1246" t="s">
        <v>424</v>
      </c>
      <c r="B1" s="1544"/>
      <c r="C1" s="226"/>
      <c r="D1" s="226"/>
      <c r="E1" s="226"/>
      <c r="F1" s="226"/>
      <c r="G1" s="226"/>
      <c r="H1" s="103"/>
      <c r="I1" s="226"/>
      <c r="J1" s="103"/>
    </row>
    <row r="2" spans="1:48" s="81" customFormat="1" ht="11.25" customHeight="1">
      <c r="A2" s="69"/>
      <c r="B2" s="1333" t="s">
        <v>370</v>
      </c>
      <c r="C2" s="1333"/>
      <c r="D2" s="1333"/>
      <c r="E2" s="1336" t="s">
        <v>622</v>
      </c>
      <c r="F2" s="1336"/>
      <c r="G2" s="1336"/>
      <c r="H2" s="1334" t="s">
        <v>623</v>
      </c>
      <c r="I2" s="1334"/>
      <c r="J2" s="1335" t="s">
        <v>631</v>
      </c>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row>
    <row r="3" spans="1:48" s="81" customFormat="1" ht="10.5" customHeight="1">
      <c r="A3" s="102" t="s">
        <v>426</v>
      </c>
      <c r="B3" s="102"/>
      <c r="C3" s="102"/>
      <c r="D3" s="102"/>
      <c r="E3" s="1336"/>
      <c r="F3" s="1336"/>
      <c r="G3" s="1336"/>
      <c r="H3" s="1334"/>
      <c r="I3" s="1334"/>
      <c r="J3" s="1335"/>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row>
    <row r="4" spans="1:48" s="81" customFormat="1" ht="10.5" customHeight="1">
      <c r="A4" s="102"/>
      <c r="B4" s="102"/>
      <c r="C4" s="102"/>
      <c r="D4" s="102"/>
      <c r="E4" s="1336"/>
      <c r="F4" s="1336"/>
      <c r="G4" s="1336"/>
      <c r="H4" s="1334"/>
      <c r="I4" s="1334"/>
      <c r="J4" s="1335"/>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row>
    <row r="5" spans="1:48" s="81" customFormat="1" ht="12" customHeight="1">
      <c r="A5" s="1310" t="s">
        <v>633</v>
      </c>
      <c r="B5" s="1310"/>
      <c r="C5" s="127"/>
      <c r="D5" s="328" t="s">
        <v>624</v>
      </c>
      <c r="E5" s="1236"/>
      <c r="F5" s="1236"/>
      <c r="G5" s="1236"/>
      <c r="H5" s="1334" t="s">
        <v>625</v>
      </c>
      <c r="I5" s="1334"/>
      <c r="J5" s="1335"/>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c r="AR5" s="138"/>
      <c r="AS5" s="138"/>
      <c r="AT5" s="138"/>
      <c r="AU5" s="138"/>
      <c r="AV5" s="138"/>
    </row>
    <row r="6" spans="1:48" ht="69.75" customHeight="1">
      <c r="A6" s="1310"/>
      <c r="B6" s="1310"/>
      <c r="C6" s="325"/>
      <c r="D6" s="101"/>
      <c r="E6" s="1539"/>
      <c r="F6" s="1543"/>
      <c r="G6" s="1543"/>
      <c r="H6" s="1334"/>
      <c r="I6" s="1334"/>
      <c r="J6" s="1335"/>
      <c r="AR6" s="8"/>
      <c r="AS6" s="8"/>
      <c r="AT6" s="8"/>
      <c r="AU6" s="8"/>
      <c r="AV6" s="8"/>
    </row>
    <row r="7" spans="1:48" ht="21" customHeight="1">
      <c r="A7" s="331" t="s">
        <v>653</v>
      </c>
      <c r="B7" s="330" t="s">
        <v>428</v>
      </c>
      <c r="C7" s="1311" t="s">
        <v>429</v>
      </c>
      <c r="D7" s="1320" t="s">
        <v>620</v>
      </c>
      <c r="E7" s="1312" t="s">
        <v>432</v>
      </c>
      <c r="F7" s="1319" t="s">
        <v>430</v>
      </c>
      <c r="G7" s="1320" t="s">
        <v>621</v>
      </c>
      <c r="H7" s="1328" t="s">
        <v>431</v>
      </c>
      <c r="I7" s="1328"/>
      <c r="J7" s="1327" t="s">
        <v>627</v>
      </c>
      <c r="AR7" s="8"/>
      <c r="AS7" s="8"/>
      <c r="AT7" s="8"/>
      <c r="AU7" s="8"/>
      <c r="AV7" s="8"/>
    </row>
    <row r="8" spans="1:48" ht="21" customHeight="1">
      <c r="A8" s="326"/>
      <c r="B8" s="99"/>
      <c r="C8" s="1311"/>
      <c r="D8" s="1320"/>
      <c r="E8" s="1312"/>
      <c r="F8" s="1319"/>
      <c r="G8" s="1321"/>
      <c r="H8" s="1328"/>
      <c r="I8" s="1328"/>
      <c r="J8" s="1327"/>
      <c r="AR8" s="8"/>
      <c r="AS8" s="8"/>
      <c r="AT8" s="8"/>
      <c r="AU8" s="8"/>
      <c r="AV8" s="8"/>
    </row>
    <row r="9" spans="1:48" ht="12.75">
      <c r="A9" s="25"/>
      <c r="B9" s="1372" t="s">
        <v>511</v>
      </c>
      <c r="C9" s="1373"/>
      <c r="D9" s="1373"/>
      <c r="E9" s="1373"/>
      <c r="F9" s="1373"/>
      <c r="G9" s="1373"/>
      <c r="H9" s="112"/>
      <c r="I9" s="194"/>
      <c r="J9" s="25"/>
      <c r="K9" s="820"/>
    </row>
    <row r="10" spans="1:48" ht="42" customHeight="1">
      <c r="A10" s="87" t="s">
        <v>1653</v>
      </c>
      <c r="B10" s="160" t="s">
        <v>478</v>
      </c>
      <c r="C10" s="177" t="s">
        <v>628</v>
      </c>
      <c r="D10" s="201">
        <v>92</v>
      </c>
      <c r="E10" s="201">
        <f>SUM(D10*1.1)</f>
        <v>101.2</v>
      </c>
      <c r="F10" s="201">
        <v>0</v>
      </c>
      <c r="G10" s="201">
        <v>0</v>
      </c>
      <c r="H10" s="82"/>
      <c r="I10" s="208" t="s">
        <v>798</v>
      </c>
      <c r="J10" s="688" t="s">
        <v>727</v>
      </c>
      <c r="K10" s="820"/>
    </row>
    <row r="11" spans="1:48" ht="21">
      <c r="A11" s="87" t="s">
        <v>1654</v>
      </c>
      <c r="B11" s="160" t="s">
        <v>475</v>
      </c>
      <c r="C11" s="177" t="s">
        <v>628</v>
      </c>
      <c r="D11" s="201">
        <v>34</v>
      </c>
      <c r="E11" s="201">
        <f t="shared" ref="E11:E12" si="0">SUM(D11*1.1)</f>
        <v>37.400000000000006</v>
      </c>
      <c r="F11" s="304">
        <v>0</v>
      </c>
      <c r="G11" s="241" t="s">
        <v>277</v>
      </c>
      <c r="H11" s="82"/>
      <c r="I11" s="208" t="s">
        <v>726</v>
      </c>
      <c r="J11" s="688" t="s">
        <v>727</v>
      </c>
      <c r="K11" s="820"/>
    </row>
    <row r="12" spans="1:48" ht="25.5" customHeight="1">
      <c r="A12" s="87" t="s">
        <v>1655</v>
      </c>
      <c r="B12" s="160" t="s">
        <v>476</v>
      </c>
      <c r="C12" s="177" t="s">
        <v>628</v>
      </c>
      <c r="D12" s="201">
        <v>10</v>
      </c>
      <c r="E12" s="201">
        <f t="shared" si="0"/>
        <v>11</v>
      </c>
      <c r="F12" s="304">
        <v>0</v>
      </c>
      <c r="G12" s="241" t="s">
        <v>277</v>
      </c>
      <c r="H12" s="82"/>
      <c r="I12" s="688" t="s">
        <v>537</v>
      </c>
      <c r="J12" s="688" t="s">
        <v>727</v>
      </c>
      <c r="K12" s="820"/>
    </row>
    <row r="13" spans="1:48" s="8" customFormat="1" ht="9.6" customHeight="1">
      <c r="A13" s="87"/>
      <c r="B13" s="660"/>
      <c r="C13" s="177"/>
      <c r="D13" s="180"/>
      <c r="E13" s="180"/>
      <c r="F13" s="201"/>
      <c r="G13" s="201"/>
      <c r="H13" s="82"/>
      <c r="I13" s="688"/>
      <c r="J13" s="354"/>
      <c r="K13" s="820"/>
    </row>
    <row r="14" spans="1:48" s="199" customFormat="1" ht="21.6" customHeight="1">
      <c r="A14" s="181"/>
      <c r="B14" s="1372" t="s">
        <v>872</v>
      </c>
      <c r="C14" s="1373"/>
      <c r="D14" s="1373"/>
      <c r="E14" s="1373"/>
      <c r="F14" s="1373"/>
      <c r="G14" s="1373"/>
      <c r="H14" s="91"/>
      <c r="I14" s="228"/>
      <c r="J14" s="224"/>
      <c r="K14" s="820"/>
      <c r="L14" s="204"/>
      <c r="M14" s="204"/>
      <c r="N14" s="204"/>
      <c r="O14" s="204"/>
      <c r="P14" s="204"/>
      <c r="Q14" s="204"/>
      <c r="R14" s="204"/>
      <c r="S14" s="204"/>
      <c r="T14" s="204"/>
      <c r="U14" s="204"/>
      <c r="V14" s="204"/>
      <c r="W14" s="204"/>
      <c r="X14" s="204"/>
      <c r="Y14" s="204"/>
      <c r="Z14" s="204"/>
      <c r="AA14" s="204"/>
      <c r="AB14" s="204"/>
      <c r="AC14" s="204"/>
      <c r="AD14" s="204"/>
      <c r="AE14" s="204"/>
      <c r="AF14" s="204"/>
      <c r="AG14" s="204"/>
      <c r="AH14" s="204"/>
      <c r="AI14" s="204"/>
      <c r="AJ14" s="204"/>
      <c r="AK14" s="204"/>
      <c r="AL14" s="204"/>
      <c r="AM14" s="204"/>
      <c r="AN14" s="204"/>
      <c r="AO14" s="204"/>
      <c r="AP14" s="204"/>
      <c r="AQ14" s="204"/>
      <c r="AR14" s="204"/>
      <c r="AS14" s="204"/>
    </row>
    <row r="15" spans="1:48" s="199" customFormat="1" ht="20.45" customHeight="1">
      <c r="A15" s="181" t="s">
        <v>1935</v>
      </c>
      <c r="B15" s="182" t="s">
        <v>332</v>
      </c>
      <c r="C15" s="233" t="s">
        <v>628</v>
      </c>
      <c r="D15" s="358">
        <v>42.35</v>
      </c>
      <c r="E15" s="201">
        <f t="shared" ref="E15:E17" si="1">SUM(D15*1.1)</f>
        <v>46.585000000000008</v>
      </c>
      <c r="F15" s="201">
        <v>164.22</v>
      </c>
      <c r="G15" s="201">
        <f>(F15-(F15*10%))</f>
        <v>147.798</v>
      </c>
      <c r="H15" s="82"/>
      <c r="I15" s="148" t="s">
        <v>471</v>
      </c>
      <c r="J15" s="227" t="s">
        <v>737</v>
      </c>
      <c r="K15" s="820"/>
      <c r="L15" s="204"/>
      <c r="M15" s="204"/>
      <c r="N15" s="204"/>
      <c r="O15" s="204"/>
      <c r="P15" s="204"/>
      <c r="Q15" s="204"/>
      <c r="R15" s="204"/>
      <c r="S15" s="204"/>
      <c r="T15" s="204"/>
      <c r="U15" s="204"/>
      <c r="V15" s="204"/>
      <c r="W15" s="204"/>
      <c r="X15" s="204"/>
      <c r="Y15" s="204"/>
      <c r="Z15" s="204"/>
      <c r="AA15" s="204"/>
      <c r="AB15" s="204"/>
      <c r="AC15" s="204"/>
      <c r="AD15" s="204"/>
      <c r="AE15" s="204"/>
      <c r="AF15" s="204"/>
      <c r="AG15" s="204"/>
      <c r="AH15" s="204"/>
      <c r="AI15" s="204"/>
      <c r="AJ15" s="204"/>
      <c r="AK15" s="204"/>
      <c r="AL15" s="204"/>
      <c r="AM15" s="204"/>
      <c r="AN15" s="204"/>
      <c r="AO15" s="204"/>
      <c r="AP15" s="204"/>
      <c r="AQ15" s="204"/>
      <c r="AR15" s="204"/>
      <c r="AS15" s="204"/>
    </row>
    <row r="16" spans="1:48" s="199" customFormat="1" ht="24" customHeight="1">
      <c r="A16" s="181" t="s">
        <v>1936</v>
      </c>
      <c r="B16" s="182" t="s">
        <v>333</v>
      </c>
      <c r="C16" s="233" t="s">
        <v>628</v>
      </c>
      <c r="D16" s="358">
        <v>10.6</v>
      </c>
      <c r="E16" s="201">
        <f t="shared" si="1"/>
        <v>11.66</v>
      </c>
      <c r="F16" s="304" t="s">
        <v>277</v>
      </c>
      <c r="G16" s="241" t="s">
        <v>277</v>
      </c>
      <c r="H16" s="82"/>
      <c r="I16" s="148" t="s">
        <v>466</v>
      </c>
      <c r="J16" s="236" t="s">
        <v>739</v>
      </c>
      <c r="K16" s="820"/>
      <c r="L16" s="204"/>
      <c r="M16" s="204"/>
      <c r="N16" s="204"/>
      <c r="O16" s="204"/>
      <c r="P16" s="204"/>
      <c r="Q16" s="204"/>
      <c r="R16" s="204"/>
      <c r="S16" s="204"/>
      <c r="T16" s="204"/>
      <c r="U16" s="204"/>
      <c r="V16" s="204"/>
      <c r="W16" s="204"/>
      <c r="X16" s="204"/>
      <c r="Y16" s="204"/>
      <c r="Z16" s="204"/>
      <c r="AA16" s="204"/>
      <c r="AB16" s="204"/>
      <c r="AC16" s="204"/>
      <c r="AD16" s="204"/>
      <c r="AE16" s="204"/>
      <c r="AF16" s="204"/>
      <c r="AG16" s="204"/>
      <c r="AH16" s="204"/>
      <c r="AI16" s="204"/>
      <c r="AJ16" s="204"/>
      <c r="AK16" s="204"/>
      <c r="AL16" s="204"/>
      <c r="AM16" s="204"/>
      <c r="AN16" s="204"/>
      <c r="AO16" s="204"/>
      <c r="AP16" s="204"/>
      <c r="AQ16" s="204"/>
      <c r="AR16" s="204"/>
      <c r="AS16" s="204"/>
    </row>
    <row r="17" spans="1:45" s="199" customFormat="1" ht="27" customHeight="1">
      <c r="A17" s="181" t="s">
        <v>1937</v>
      </c>
      <c r="B17" s="182" t="s">
        <v>334</v>
      </c>
      <c r="C17" s="233" t="s">
        <v>628</v>
      </c>
      <c r="D17" s="358">
        <v>8.6999999999999993</v>
      </c>
      <c r="E17" s="201">
        <f t="shared" si="1"/>
        <v>9.57</v>
      </c>
      <c r="F17" s="304" t="s">
        <v>277</v>
      </c>
      <c r="G17" s="241" t="s">
        <v>277</v>
      </c>
      <c r="H17" s="82"/>
      <c r="I17" s="148" t="s">
        <v>465</v>
      </c>
      <c r="J17" s="236" t="s">
        <v>738</v>
      </c>
      <c r="K17" s="820"/>
      <c r="L17" s="204"/>
      <c r="M17" s="204"/>
      <c r="N17" s="204"/>
      <c r="O17" s="204"/>
      <c r="P17" s="204"/>
      <c r="Q17" s="204"/>
      <c r="R17" s="204"/>
      <c r="S17" s="204"/>
      <c r="T17" s="204"/>
      <c r="U17" s="204"/>
      <c r="V17" s="204"/>
      <c r="W17" s="204"/>
      <c r="X17" s="204"/>
      <c r="Y17" s="204"/>
      <c r="Z17" s="204"/>
      <c r="AA17" s="204"/>
      <c r="AB17" s="204"/>
      <c r="AC17" s="204"/>
      <c r="AD17" s="204"/>
      <c r="AE17" s="204"/>
      <c r="AF17" s="204"/>
      <c r="AG17" s="204"/>
      <c r="AH17" s="204"/>
      <c r="AI17" s="204"/>
      <c r="AJ17" s="204"/>
      <c r="AK17" s="204"/>
      <c r="AL17" s="204"/>
      <c r="AM17" s="204"/>
      <c r="AN17" s="204"/>
      <c r="AO17" s="204"/>
      <c r="AP17" s="204"/>
      <c r="AQ17" s="204"/>
      <c r="AR17" s="204"/>
      <c r="AS17" s="204"/>
    </row>
    <row r="18" spans="1:45" s="8" customFormat="1" ht="9.6" customHeight="1">
      <c r="A18" s="87"/>
      <c r="B18" s="660"/>
      <c r="C18" s="177"/>
      <c r="D18" s="180"/>
      <c r="E18" s="180"/>
      <c r="F18" s="201"/>
      <c r="G18" s="201"/>
      <c r="H18" s="82"/>
      <c r="I18" s="688"/>
      <c r="J18" s="354"/>
      <c r="K18" s="820"/>
    </row>
    <row r="19" spans="1:45" s="204" customFormat="1" ht="18" customHeight="1">
      <c r="A19" s="10"/>
      <c r="B19" s="1372" t="s">
        <v>327</v>
      </c>
      <c r="C19" s="1373"/>
      <c r="D19" s="1373"/>
      <c r="E19" s="1373"/>
      <c r="F19" s="1373"/>
      <c r="G19" s="1373"/>
      <c r="H19" s="223"/>
      <c r="I19" s="229"/>
      <c r="J19" s="224"/>
      <c r="K19" s="820"/>
    </row>
    <row r="20" spans="1:45" s="204" customFormat="1" ht="25.9" customHeight="1">
      <c r="A20" s="359" t="s">
        <v>1770</v>
      </c>
      <c r="B20" s="182" t="s">
        <v>314</v>
      </c>
      <c r="C20" s="177" t="s">
        <v>628</v>
      </c>
      <c r="D20" s="358">
        <v>72.599999999999994</v>
      </c>
      <c r="E20" s="201">
        <f t="shared" ref="E20:E29" si="2">SUM(D20*1.1)</f>
        <v>79.86</v>
      </c>
      <c r="F20" s="201">
        <v>213.2</v>
      </c>
      <c r="G20" s="201">
        <f>(F20-(F20*10%))</f>
        <v>191.88</v>
      </c>
      <c r="H20" s="223"/>
      <c r="I20" s="148" t="s">
        <v>471</v>
      </c>
      <c r="J20" s="227" t="s">
        <v>728</v>
      </c>
      <c r="K20" s="820"/>
    </row>
    <row r="21" spans="1:45" s="204" customFormat="1" ht="30" customHeight="1">
      <c r="A21" s="181" t="s">
        <v>1938</v>
      </c>
      <c r="B21" s="182" t="s">
        <v>317</v>
      </c>
      <c r="C21" s="233" t="s">
        <v>628</v>
      </c>
      <c r="D21" s="358">
        <v>11.5</v>
      </c>
      <c r="E21" s="201">
        <f t="shared" si="2"/>
        <v>12.65</v>
      </c>
      <c r="F21" s="304" t="s">
        <v>277</v>
      </c>
      <c r="G21" s="201" t="s">
        <v>277</v>
      </c>
      <c r="H21" s="223"/>
      <c r="I21" s="148" t="s">
        <v>466</v>
      </c>
      <c r="J21" s="240" t="s">
        <v>740</v>
      </c>
      <c r="K21" s="820"/>
    </row>
    <row r="22" spans="1:45" s="204" customFormat="1" ht="27.6" customHeight="1">
      <c r="A22" s="181" t="s">
        <v>1769</v>
      </c>
      <c r="B22" s="182" t="s">
        <v>320</v>
      </c>
      <c r="C22" s="233" t="s">
        <v>628</v>
      </c>
      <c r="D22" s="359">
        <v>7.25</v>
      </c>
      <c r="E22" s="201">
        <f t="shared" si="2"/>
        <v>7.9750000000000005</v>
      </c>
      <c r="F22" s="304" t="s">
        <v>277</v>
      </c>
      <c r="G22" s="201" t="s">
        <v>277</v>
      </c>
      <c r="H22" s="223"/>
      <c r="I22" s="148" t="s">
        <v>465</v>
      </c>
      <c r="J22" s="240" t="s">
        <v>744</v>
      </c>
      <c r="K22" s="820"/>
    </row>
    <row r="23" spans="1:45" s="204" customFormat="1" ht="30.6" customHeight="1">
      <c r="A23" s="181" t="s">
        <v>1941</v>
      </c>
      <c r="B23" s="182" t="s">
        <v>316</v>
      </c>
      <c r="C23" s="233" t="s">
        <v>628</v>
      </c>
      <c r="D23" s="359">
        <v>75.5</v>
      </c>
      <c r="E23" s="201">
        <f t="shared" si="2"/>
        <v>83.050000000000011</v>
      </c>
      <c r="F23" s="201">
        <v>219.3</v>
      </c>
      <c r="G23" s="201">
        <f>(F23-(F23*10%))</f>
        <v>197.37</v>
      </c>
      <c r="H23" s="223"/>
      <c r="I23" s="148" t="s">
        <v>471</v>
      </c>
      <c r="J23" s="240" t="s">
        <v>737</v>
      </c>
      <c r="K23" s="820"/>
    </row>
    <row r="24" spans="1:45" s="204" customFormat="1" ht="34.9" customHeight="1">
      <c r="A24" s="181" t="s">
        <v>1942</v>
      </c>
      <c r="B24" s="182" t="s">
        <v>321</v>
      </c>
      <c r="C24" s="233" t="s">
        <v>628</v>
      </c>
      <c r="D24" s="201">
        <v>5.0999999999999996</v>
      </c>
      <c r="E24" s="201">
        <f t="shared" si="2"/>
        <v>5.61</v>
      </c>
      <c r="F24" s="304" t="s">
        <v>277</v>
      </c>
      <c r="G24" s="241" t="s">
        <v>277</v>
      </c>
      <c r="H24" s="223"/>
      <c r="I24" s="148" t="s">
        <v>466</v>
      </c>
      <c r="J24" s="229" t="s">
        <v>745</v>
      </c>
      <c r="K24" s="820"/>
    </row>
    <row r="25" spans="1:45" s="204" customFormat="1" ht="31.15" customHeight="1">
      <c r="A25" s="181" t="s">
        <v>1939</v>
      </c>
      <c r="B25" s="182" t="s">
        <v>319</v>
      </c>
      <c r="C25" s="233" t="s">
        <v>628</v>
      </c>
      <c r="D25" s="201">
        <v>7.25</v>
      </c>
      <c r="E25" s="201">
        <f t="shared" si="2"/>
        <v>7.9750000000000005</v>
      </c>
      <c r="F25" s="304" t="s">
        <v>277</v>
      </c>
      <c r="G25" s="241" t="s">
        <v>277</v>
      </c>
      <c r="H25" s="82"/>
      <c r="I25" s="148" t="s">
        <v>465</v>
      </c>
      <c r="J25" s="208" t="s">
        <v>746</v>
      </c>
      <c r="K25" s="820"/>
    </row>
    <row r="26" spans="1:45" s="204" customFormat="1" ht="47.45" customHeight="1">
      <c r="A26" s="181" t="s">
        <v>1943</v>
      </c>
      <c r="B26" s="182" t="s">
        <v>322</v>
      </c>
      <c r="C26" s="233" t="s">
        <v>628</v>
      </c>
      <c r="D26" s="358">
        <v>5.4</v>
      </c>
      <c r="E26" s="201">
        <f t="shared" si="2"/>
        <v>5.9400000000000013</v>
      </c>
      <c r="F26" s="304" t="s">
        <v>277</v>
      </c>
      <c r="G26" s="241" t="s">
        <v>277</v>
      </c>
      <c r="H26" s="223"/>
      <c r="I26" s="148" t="s">
        <v>467</v>
      </c>
      <c r="J26" s="240" t="s">
        <v>747</v>
      </c>
      <c r="K26" s="820"/>
    </row>
    <row r="27" spans="1:45" s="204" customFormat="1" ht="31.9" customHeight="1">
      <c r="A27" s="181" t="s">
        <v>1944</v>
      </c>
      <c r="B27" s="182" t="s">
        <v>325</v>
      </c>
      <c r="C27" s="233" t="s">
        <v>628</v>
      </c>
      <c r="D27" s="358">
        <v>32.4</v>
      </c>
      <c r="E27" s="201">
        <f t="shared" si="2"/>
        <v>35.64</v>
      </c>
      <c r="F27" s="304" t="s">
        <v>277</v>
      </c>
      <c r="G27" s="241" t="s">
        <v>277</v>
      </c>
      <c r="H27" s="223"/>
      <c r="I27" s="148" t="s">
        <v>466</v>
      </c>
      <c r="J27" s="240" t="s">
        <v>747</v>
      </c>
      <c r="K27" s="820"/>
    </row>
    <row r="28" spans="1:45" s="204" customFormat="1" ht="36.6" customHeight="1">
      <c r="A28" s="181" t="s">
        <v>1945</v>
      </c>
      <c r="B28" s="182" t="s">
        <v>347</v>
      </c>
      <c r="C28" s="233" t="s">
        <v>628</v>
      </c>
      <c r="D28" s="358">
        <v>40.700000000000003</v>
      </c>
      <c r="E28" s="201">
        <f t="shared" si="2"/>
        <v>44.77000000000001</v>
      </c>
      <c r="F28" s="201">
        <v>40.799999999999997</v>
      </c>
      <c r="G28" s="201">
        <f>(F28-(F28*10%))</f>
        <v>36.72</v>
      </c>
      <c r="H28" s="242" t="s">
        <v>426</v>
      </c>
      <c r="I28" s="148" t="s">
        <v>348</v>
      </c>
      <c r="J28" s="242" t="s">
        <v>753</v>
      </c>
      <c r="K28" s="820"/>
    </row>
    <row r="29" spans="1:45" s="204" customFormat="1" ht="31.9" customHeight="1">
      <c r="A29" s="359" t="s">
        <v>1946</v>
      </c>
      <c r="B29" s="182" t="s">
        <v>611</v>
      </c>
      <c r="C29" s="177" t="s">
        <v>628</v>
      </c>
      <c r="D29" s="358">
        <v>10.3</v>
      </c>
      <c r="E29" s="201">
        <f t="shared" si="2"/>
        <v>11.330000000000002</v>
      </c>
      <c r="F29" s="201">
        <v>45</v>
      </c>
      <c r="G29" s="201">
        <f>(F29-(F29*10%))</f>
        <v>40.5</v>
      </c>
      <c r="H29" s="223"/>
      <c r="I29" s="148" t="s">
        <v>612</v>
      </c>
      <c r="J29" s="240" t="s">
        <v>751</v>
      </c>
      <c r="K29" s="820"/>
    </row>
    <row r="30" spans="1:45" s="8" customFormat="1" ht="9.6" customHeight="1">
      <c r="A30" s="87"/>
      <c r="B30" s="660"/>
      <c r="C30" s="177"/>
      <c r="D30" s="180"/>
      <c r="E30" s="180"/>
      <c r="F30" s="201"/>
      <c r="G30" s="201"/>
      <c r="H30" s="82"/>
      <c r="I30" s="688"/>
      <c r="J30" s="354"/>
      <c r="K30" s="820"/>
    </row>
    <row r="31" spans="1:45" ht="12.75">
      <c r="A31" s="62"/>
      <c r="B31" s="1370" t="s">
        <v>468</v>
      </c>
      <c r="C31" s="1371"/>
      <c r="D31" s="1371"/>
      <c r="E31" s="1371"/>
      <c r="F31" s="1371"/>
      <c r="G31" s="1371"/>
      <c r="H31" s="83"/>
      <c r="I31" s="230"/>
      <c r="J31" s="184"/>
      <c r="K31" s="820"/>
    </row>
    <row r="32" spans="1:45" ht="25.5" customHeight="1">
      <c r="A32" s="88" t="s">
        <v>1656</v>
      </c>
      <c r="B32" s="96" t="s">
        <v>461</v>
      </c>
      <c r="C32" s="177" t="s">
        <v>628</v>
      </c>
      <c r="D32" s="201">
        <v>62.35</v>
      </c>
      <c r="E32" s="201">
        <f t="shared" ref="E32:E35" si="3">SUM(D32*1.1)</f>
        <v>68.585000000000008</v>
      </c>
      <c r="F32" s="201">
        <v>169.83</v>
      </c>
      <c r="G32" s="201">
        <f>(F32-(F32*10%))</f>
        <v>152.84700000000001</v>
      </c>
      <c r="H32" s="82"/>
      <c r="I32" s="227" t="s">
        <v>464</v>
      </c>
      <c r="J32" s="227" t="s">
        <v>728</v>
      </c>
      <c r="K32" s="820"/>
    </row>
    <row r="33" spans="1:11" s="8" customFormat="1" ht="38.25" customHeight="1">
      <c r="A33" s="88" t="s">
        <v>1769</v>
      </c>
      <c r="B33" s="96" t="s">
        <v>462</v>
      </c>
      <c r="C33" s="817" t="s">
        <v>628</v>
      </c>
      <c r="D33" s="359">
        <v>7.25</v>
      </c>
      <c r="E33" s="201">
        <f t="shared" si="3"/>
        <v>7.9750000000000005</v>
      </c>
      <c r="F33" s="304" t="s">
        <v>277</v>
      </c>
      <c r="G33" s="241" t="s">
        <v>277</v>
      </c>
      <c r="H33" s="82"/>
      <c r="I33" s="819" t="s">
        <v>465</v>
      </c>
      <c r="J33" s="208" t="s">
        <v>744</v>
      </c>
      <c r="K33" s="820"/>
    </row>
    <row r="34" spans="1:11" s="8" customFormat="1" ht="51" customHeight="1">
      <c r="A34" s="88" t="s">
        <v>1947</v>
      </c>
      <c r="B34" s="96" t="s">
        <v>393</v>
      </c>
      <c r="C34" s="817" t="s">
        <v>628</v>
      </c>
      <c r="D34" s="201">
        <v>5</v>
      </c>
      <c r="E34" s="201">
        <f t="shared" si="3"/>
        <v>5.5</v>
      </c>
      <c r="F34" s="304" t="s">
        <v>277</v>
      </c>
      <c r="G34" s="241" t="s">
        <v>277</v>
      </c>
      <c r="H34" s="82"/>
      <c r="I34" s="819" t="s">
        <v>466</v>
      </c>
      <c r="J34" s="819" t="s">
        <v>734</v>
      </c>
      <c r="K34" s="820"/>
    </row>
    <row r="35" spans="1:11" s="8" customFormat="1" ht="38.25" customHeight="1">
      <c r="A35" s="88" t="s">
        <v>1657</v>
      </c>
      <c r="B35" s="96" t="s">
        <v>463</v>
      </c>
      <c r="C35" s="817" t="s">
        <v>628</v>
      </c>
      <c r="D35" s="358">
        <v>5.0999999999999996</v>
      </c>
      <c r="E35" s="201">
        <f t="shared" si="3"/>
        <v>5.61</v>
      </c>
      <c r="F35" s="304" t="s">
        <v>277</v>
      </c>
      <c r="G35" s="241" t="s">
        <v>277</v>
      </c>
      <c r="H35" s="90"/>
      <c r="I35" s="208" t="s">
        <v>736</v>
      </c>
      <c r="J35" s="816" t="s">
        <v>735</v>
      </c>
      <c r="K35" s="820"/>
    </row>
    <row r="36" spans="1:11" s="8" customFormat="1" ht="11.25">
      <c r="A36" s="10"/>
      <c r="B36" s="10"/>
      <c r="C36" s="687"/>
      <c r="D36" s="687"/>
      <c r="E36" s="687"/>
      <c r="F36" s="687"/>
      <c r="G36" s="687"/>
      <c r="H36" s="83"/>
      <c r="I36" s="687"/>
      <c r="J36" s="10"/>
      <c r="K36" s="820"/>
    </row>
    <row r="37" spans="1:11" s="204" customFormat="1" ht="11.25">
      <c r="A37" s="181"/>
      <c r="B37" s="1370" t="s">
        <v>326</v>
      </c>
      <c r="C37" s="1371"/>
      <c r="D37" s="1371"/>
      <c r="E37" s="1371"/>
      <c r="F37" s="1371"/>
      <c r="G37" s="1371"/>
      <c r="H37" s="91"/>
      <c r="I37" s="154"/>
      <c r="J37" s="225"/>
      <c r="K37" s="820"/>
    </row>
    <row r="38" spans="1:11" s="204" customFormat="1" ht="22.5">
      <c r="A38" s="359" t="s">
        <v>1771</v>
      </c>
      <c r="B38" s="182" t="s">
        <v>328</v>
      </c>
      <c r="C38" s="177" t="s">
        <v>628</v>
      </c>
      <c r="D38" s="358">
        <v>119.1</v>
      </c>
      <c r="E38" s="201">
        <f t="shared" ref="E38:E47" si="4">SUM(D38*1.1)</f>
        <v>131.01</v>
      </c>
      <c r="F38" s="201">
        <v>307.2</v>
      </c>
      <c r="G38" s="201">
        <f>(F38-(F38*10%))</f>
        <v>276.48</v>
      </c>
      <c r="H38" s="90"/>
      <c r="I38" s="148" t="s">
        <v>471</v>
      </c>
      <c r="J38" s="225"/>
      <c r="K38" s="820"/>
    </row>
    <row r="39" spans="1:11" s="204" customFormat="1" ht="33.75">
      <c r="A39" s="181" t="s">
        <v>1772</v>
      </c>
      <c r="B39" s="182" t="s">
        <v>329</v>
      </c>
      <c r="C39" s="233" t="s">
        <v>628</v>
      </c>
      <c r="D39" s="358">
        <v>10.45</v>
      </c>
      <c r="E39" s="201">
        <f t="shared" si="4"/>
        <v>11.495000000000001</v>
      </c>
      <c r="F39" s="304" t="s">
        <v>277</v>
      </c>
      <c r="G39" s="201" t="s">
        <v>277</v>
      </c>
      <c r="H39" s="90"/>
      <c r="I39" s="148" t="s">
        <v>466</v>
      </c>
      <c r="J39" s="239" t="s">
        <v>740</v>
      </c>
      <c r="K39" s="820"/>
    </row>
    <row r="40" spans="1:11" s="204" customFormat="1" ht="22.5">
      <c r="A40" s="181" t="s">
        <v>1769</v>
      </c>
      <c r="B40" s="182" t="s">
        <v>320</v>
      </c>
      <c r="C40" s="233" t="s">
        <v>628</v>
      </c>
      <c r="D40" s="359">
        <v>7.25</v>
      </c>
      <c r="E40" s="201">
        <f t="shared" si="4"/>
        <v>7.9750000000000005</v>
      </c>
      <c r="F40" s="304" t="s">
        <v>277</v>
      </c>
      <c r="G40" s="201" t="s">
        <v>277</v>
      </c>
      <c r="H40" s="223"/>
      <c r="I40" s="148" t="s">
        <v>465</v>
      </c>
      <c r="J40" s="240" t="s">
        <v>744</v>
      </c>
      <c r="K40" s="820"/>
    </row>
    <row r="41" spans="1:11" s="204" customFormat="1" ht="22.5">
      <c r="A41" s="359" t="s">
        <v>1949</v>
      </c>
      <c r="B41" s="182" t="s">
        <v>330</v>
      </c>
      <c r="C41" s="177" t="s">
        <v>628</v>
      </c>
      <c r="D41" s="358">
        <v>107.4</v>
      </c>
      <c r="E41" s="201">
        <f t="shared" si="4"/>
        <v>118.14000000000001</v>
      </c>
      <c r="F41" s="201">
        <v>307.2</v>
      </c>
      <c r="G41" s="201">
        <f>(F41-(F41*10%))</f>
        <v>276.48</v>
      </c>
      <c r="H41" s="90"/>
      <c r="I41" s="148" t="s">
        <v>471</v>
      </c>
      <c r="J41" s="239" t="s">
        <v>735</v>
      </c>
      <c r="K41" s="820"/>
    </row>
    <row r="42" spans="1:11" s="204" customFormat="1" ht="33.75">
      <c r="A42" s="181" t="s">
        <v>1942</v>
      </c>
      <c r="B42" s="182" t="s">
        <v>321</v>
      </c>
      <c r="C42" s="177" t="s">
        <v>628</v>
      </c>
      <c r="D42" s="201">
        <v>5.0999999999999996</v>
      </c>
      <c r="E42" s="201">
        <f t="shared" si="4"/>
        <v>5.61</v>
      </c>
      <c r="F42" s="304" t="s">
        <v>277</v>
      </c>
      <c r="G42" s="241" t="s">
        <v>277</v>
      </c>
      <c r="H42" s="90"/>
      <c r="I42" s="148" t="s">
        <v>466</v>
      </c>
      <c r="J42" s="239" t="s">
        <v>750</v>
      </c>
      <c r="K42" s="820"/>
    </row>
    <row r="43" spans="1:11" s="204" customFormat="1" ht="33.75">
      <c r="A43" s="181" t="s">
        <v>1939</v>
      </c>
      <c r="B43" s="182" t="s">
        <v>319</v>
      </c>
      <c r="C43" s="177" t="s">
        <v>628</v>
      </c>
      <c r="D43" s="359">
        <v>7.25</v>
      </c>
      <c r="E43" s="201">
        <f t="shared" si="4"/>
        <v>7.9750000000000005</v>
      </c>
      <c r="F43" s="304" t="s">
        <v>277</v>
      </c>
      <c r="G43" s="241" t="s">
        <v>277</v>
      </c>
      <c r="H43" s="223"/>
      <c r="I43" s="148" t="s">
        <v>465</v>
      </c>
      <c r="J43" s="240" t="s">
        <v>744</v>
      </c>
      <c r="K43" s="820"/>
    </row>
    <row r="44" spans="1:11" s="204" customFormat="1" ht="33.75">
      <c r="A44" s="10" t="s">
        <v>1943</v>
      </c>
      <c r="B44" s="182" t="s">
        <v>322</v>
      </c>
      <c r="C44" s="177" t="s">
        <v>628</v>
      </c>
      <c r="D44" s="358">
        <v>5.0999999999999996</v>
      </c>
      <c r="E44" s="201">
        <f t="shared" si="4"/>
        <v>5.61</v>
      </c>
      <c r="F44" s="304" t="s">
        <v>277</v>
      </c>
      <c r="G44" s="241" t="s">
        <v>277</v>
      </c>
      <c r="H44" s="90"/>
      <c r="I44" s="208" t="s">
        <v>736</v>
      </c>
      <c r="J44" s="239" t="s">
        <v>735</v>
      </c>
      <c r="K44" s="820"/>
    </row>
    <row r="45" spans="1:11" s="204" customFormat="1" ht="33.75">
      <c r="A45" s="10" t="s">
        <v>1948</v>
      </c>
      <c r="B45" s="182" t="s">
        <v>331</v>
      </c>
      <c r="C45" s="177" t="s">
        <v>628</v>
      </c>
      <c r="D45" s="358">
        <v>32.4</v>
      </c>
      <c r="E45" s="201">
        <f t="shared" si="4"/>
        <v>35.64</v>
      </c>
      <c r="F45" s="304" t="s">
        <v>277</v>
      </c>
      <c r="G45" s="241" t="s">
        <v>277</v>
      </c>
      <c r="H45" s="90"/>
      <c r="I45" s="148" t="s">
        <v>466</v>
      </c>
      <c r="J45" s="239" t="s">
        <v>748</v>
      </c>
      <c r="K45" s="820"/>
    </row>
    <row r="46" spans="1:11" s="204" customFormat="1" ht="33.75">
      <c r="A46" s="181" t="s">
        <v>1945</v>
      </c>
      <c r="B46" s="182" t="s">
        <v>347</v>
      </c>
      <c r="C46" s="177" t="s">
        <v>628</v>
      </c>
      <c r="D46" s="358">
        <v>40.700000000000003</v>
      </c>
      <c r="E46" s="201">
        <f t="shared" si="4"/>
        <v>44.77000000000001</v>
      </c>
      <c r="F46" s="201">
        <v>40.799999999999997</v>
      </c>
      <c r="G46" s="201">
        <f>(F46-(F46*10%))</f>
        <v>36.72</v>
      </c>
      <c r="H46" s="90"/>
      <c r="I46" s="148" t="s">
        <v>348</v>
      </c>
      <c r="J46" s="239" t="s">
        <v>749</v>
      </c>
      <c r="K46" s="820"/>
    </row>
    <row r="47" spans="1:11" s="204" customFormat="1" ht="33.75">
      <c r="A47" s="359" t="s">
        <v>1946</v>
      </c>
      <c r="B47" s="182" t="s">
        <v>616</v>
      </c>
      <c r="C47" s="177" t="s">
        <v>628</v>
      </c>
      <c r="D47" s="358">
        <v>10.3</v>
      </c>
      <c r="E47" s="201">
        <f t="shared" si="4"/>
        <v>11.330000000000002</v>
      </c>
      <c r="F47" s="201">
        <v>45</v>
      </c>
      <c r="G47" s="201">
        <f>(F47-(F47*10%))</f>
        <v>40.5</v>
      </c>
      <c r="H47" s="223"/>
      <c r="I47" s="148" t="s">
        <v>612</v>
      </c>
      <c r="J47" s="240" t="s">
        <v>751</v>
      </c>
      <c r="K47" s="820"/>
    </row>
    <row r="48" spans="1:11" s="8" customFormat="1" ht="11.25">
      <c r="A48" s="10"/>
      <c r="B48" s="10"/>
      <c r="C48" s="687"/>
      <c r="D48" s="687"/>
      <c r="E48" s="687"/>
      <c r="F48" s="687"/>
      <c r="G48" s="687"/>
      <c r="H48" s="83"/>
      <c r="I48" s="687"/>
      <c r="J48" s="10"/>
      <c r="K48" s="820"/>
    </row>
    <row r="49" spans="1:43" ht="14.25">
      <c r="A49" s="10"/>
      <c r="B49" s="1370" t="s">
        <v>469</v>
      </c>
      <c r="C49" s="1371"/>
      <c r="D49" s="1371"/>
      <c r="E49" s="1371"/>
      <c r="F49" s="1371"/>
      <c r="G49" s="1371"/>
      <c r="H49" s="83"/>
      <c r="I49" s="194"/>
      <c r="J49" s="32"/>
      <c r="K49" s="820"/>
    </row>
    <row r="50" spans="1:43" ht="25.5" customHeight="1">
      <c r="A50" s="241" t="s">
        <v>1950</v>
      </c>
      <c r="B50" s="96" t="s">
        <v>545</v>
      </c>
      <c r="C50" s="177" t="s">
        <v>628</v>
      </c>
      <c r="D50" s="201">
        <v>80.7</v>
      </c>
      <c r="E50" s="201">
        <f t="shared" ref="E50:E59" si="5">SUM(D50*1.1)</f>
        <v>88.77000000000001</v>
      </c>
      <c r="F50" s="201">
        <v>107.1</v>
      </c>
      <c r="G50" s="201">
        <f>(F50-(F50*10%))</f>
        <v>96.389999999999986</v>
      </c>
      <c r="H50" s="90"/>
      <c r="I50" s="227" t="s">
        <v>471</v>
      </c>
      <c r="J50" s="227" t="s">
        <v>728</v>
      </c>
      <c r="K50" s="820"/>
    </row>
    <row r="51" spans="1:43" s="8" customFormat="1" ht="38.25" customHeight="1">
      <c r="A51" s="241" t="s">
        <v>1769</v>
      </c>
      <c r="B51" s="96" t="s">
        <v>470</v>
      </c>
      <c r="C51" s="817" t="s">
        <v>628</v>
      </c>
      <c r="D51" s="201">
        <v>8.6999999999999993</v>
      </c>
      <c r="E51" s="201">
        <f t="shared" si="5"/>
        <v>9.57</v>
      </c>
      <c r="F51" s="304" t="s">
        <v>277</v>
      </c>
      <c r="G51" s="241" t="s">
        <v>783</v>
      </c>
      <c r="H51" s="90"/>
      <c r="I51" s="819" t="s">
        <v>465</v>
      </c>
      <c r="J51" s="819" t="s">
        <v>730</v>
      </c>
      <c r="K51" s="820"/>
    </row>
    <row r="52" spans="1:43" s="8" customFormat="1" ht="51" customHeight="1">
      <c r="A52" s="10" t="s">
        <v>1947</v>
      </c>
      <c r="B52" s="96" t="s">
        <v>315</v>
      </c>
      <c r="C52" s="817" t="s">
        <v>628</v>
      </c>
      <c r="D52" s="201">
        <v>5.0999999999999996</v>
      </c>
      <c r="E52" s="201">
        <f t="shared" si="5"/>
        <v>5.61</v>
      </c>
      <c r="F52" s="304" t="s">
        <v>277</v>
      </c>
      <c r="G52" s="241" t="s">
        <v>783</v>
      </c>
      <c r="H52" s="90"/>
      <c r="I52" s="819" t="s">
        <v>466</v>
      </c>
      <c r="J52" s="819" t="s">
        <v>730</v>
      </c>
      <c r="K52" s="820"/>
    </row>
    <row r="53" spans="1:43" s="8" customFormat="1" ht="38.25" customHeight="1">
      <c r="A53" s="10" t="s">
        <v>1657</v>
      </c>
      <c r="B53" s="96" t="s">
        <v>324</v>
      </c>
      <c r="C53" s="817" t="s">
        <v>628</v>
      </c>
      <c r="D53" s="201">
        <v>5.4</v>
      </c>
      <c r="E53" s="201">
        <f t="shared" si="5"/>
        <v>5.9400000000000013</v>
      </c>
      <c r="F53" s="304" t="s">
        <v>277</v>
      </c>
      <c r="G53" s="241" t="s">
        <v>783</v>
      </c>
      <c r="H53" s="90"/>
      <c r="I53" s="208" t="s">
        <v>729</v>
      </c>
      <c r="J53" s="819" t="s">
        <v>730</v>
      </c>
      <c r="K53" s="820"/>
    </row>
    <row r="54" spans="1:43" s="133" customFormat="1" ht="38.25" customHeight="1">
      <c r="A54" s="241" t="s">
        <v>1951</v>
      </c>
      <c r="B54" s="96" t="s">
        <v>312</v>
      </c>
      <c r="C54" s="177" t="s">
        <v>628</v>
      </c>
      <c r="D54" s="201">
        <v>108</v>
      </c>
      <c r="E54" s="201">
        <f t="shared" si="5"/>
        <v>118.80000000000001</v>
      </c>
      <c r="F54" s="201">
        <f t="shared" ref="F54" si="6">SUM(G54*1.1)</f>
        <v>236.50000000000003</v>
      </c>
      <c r="G54" s="201">
        <v>215</v>
      </c>
      <c r="H54" s="82"/>
      <c r="I54" s="148" t="s">
        <v>471</v>
      </c>
      <c r="J54" s="148" t="s">
        <v>742</v>
      </c>
      <c r="K54" s="132"/>
    </row>
    <row r="55" spans="1:43" s="133" customFormat="1" ht="51" customHeight="1">
      <c r="A55" s="225" t="s">
        <v>1942</v>
      </c>
      <c r="B55" s="96" t="s">
        <v>323</v>
      </c>
      <c r="C55" s="233" t="s">
        <v>628</v>
      </c>
      <c r="D55" s="201">
        <v>5.0999999999999996</v>
      </c>
      <c r="E55" s="201">
        <f t="shared" si="5"/>
        <v>5.61</v>
      </c>
      <c r="F55" s="304" t="s">
        <v>277</v>
      </c>
      <c r="G55" s="241" t="s">
        <v>277</v>
      </c>
      <c r="H55" s="82"/>
      <c r="I55" s="148" t="s">
        <v>466</v>
      </c>
      <c r="J55" s="148" t="s">
        <v>741</v>
      </c>
      <c r="K55" s="132"/>
    </row>
    <row r="56" spans="1:43" s="133" customFormat="1" ht="51" customHeight="1">
      <c r="A56" s="225" t="s">
        <v>1939</v>
      </c>
      <c r="B56" s="96" t="s">
        <v>313</v>
      </c>
      <c r="C56" s="233" t="s">
        <v>628</v>
      </c>
      <c r="D56" s="201">
        <v>7.25</v>
      </c>
      <c r="E56" s="201">
        <f t="shared" si="5"/>
        <v>7.9750000000000005</v>
      </c>
      <c r="F56" s="304" t="s">
        <v>277</v>
      </c>
      <c r="G56" s="241" t="s">
        <v>277</v>
      </c>
      <c r="H56" s="82"/>
      <c r="I56" s="148" t="s">
        <v>465</v>
      </c>
      <c r="J56" s="208" t="s">
        <v>743</v>
      </c>
      <c r="K56" s="132"/>
    </row>
    <row r="57" spans="1:43" s="133" customFormat="1" ht="51" customHeight="1">
      <c r="A57" s="251" t="s">
        <v>1943</v>
      </c>
      <c r="B57" s="96" t="s">
        <v>322</v>
      </c>
      <c r="C57" s="233" t="s">
        <v>628</v>
      </c>
      <c r="D57" s="358">
        <v>5.0999999999999996</v>
      </c>
      <c r="E57" s="201">
        <f t="shared" si="5"/>
        <v>5.61</v>
      </c>
      <c r="F57" s="304" t="s">
        <v>277</v>
      </c>
      <c r="G57" s="241" t="s">
        <v>277</v>
      </c>
      <c r="H57" s="90"/>
      <c r="I57" s="208" t="s">
        <v>736</v>
      </c>
      <c r="J57" s="239" t="s">
        <v>735</v>
      </c>
      <c r="K57" s="132"/>
    </row>
    <row r="58" spans="1:43" s="133" customFormat="1" ht="63.75" customHeight="1">
      <c r="A58" s="88" t="s">
        <v>1952</v>
      </c>
      <c r="B58" s="96" t="s">
        <v>318</v>
      </c>
      <c r="C58" s="233" t="s">
        <v>628</v>
      </c>
      <c r="D58" s="358">
        <v>32.4</v>
      </c>
      <c r="E58" s="201">
        <f t="shared" si="5"/>
        <v>35.64</v>
      </c>
      <c r="F58" s="304" t="s">
        <v>277</v>
      </c>
      <c r="G58" s="241" t="s">
        <v>277</v>
      </c>
      <c r="H58" s="82"/>
      <c r="I58" s="183" t="s">
        <v>466</v>
      </c>
      <c r="J58" s="239" t="s">
        <v>748</v>
      </c>
      <c r="K58" s="132"/>
    </row>
    <row r="59" spans="1:43" s="133" customFormat="1" ht="53.25" customHeight="1">
      <c r="A59" s="88" t="s">
        <v>1945</v>
      </c>
      <c r="B59" s="96" t="s">
        <v>347</v>
      </c>
      <c r="C59" s="233" t="s">
        <v>628</v>
      </c>
      <c r="D59" s="358">
        <v>40.700000000000003</v>
      </c>
      <c r="E59" s="201">
        <f t="shared" si="5"/>
        <v>44.77000000000001</v>
      </c>
      <c r="F59" s="201">
        <v>40.799999999999997</v>
      </c>
      <c r="G59" s="201">
        <f>(F59-(F59*10%))</f>
        <v>36.72</v>
      </c>
      <c r="H59" s="82"/>
      <c r="I59" s="148" t="s">
        <v>348</v>
      </c>
      <c r="J59" s="208" t="s">
        <v>752</v>
      </c>
      <c r="K59" s="132"/>
    </row>
    <row r="60" spans="1:43" s="133" customFormat="1" ht="10.5" customHeight="1">
      <c r="A60" s="871"/>
      <c r="B60" s="872"/>
      <c r="C60" s="872"/>
      <c r="D60" s="872"/>
      <c r="E60" s="872"/>
      <c r="F60" s="872"/>
      <c r="G60" s="872"/>
      <c r="H60" s="873"/>
      <c r="I60" s="874"/>
      <c r="J60" s="872"/>
    </row>
    <row r="61" spans="1:43" ht="13.5" customHeight="1">
      <c r="A61" s="1225"/>
      <c r="B61" s="1221" t="s">
        <v>3033</v>
      </c>
      <c r="C61" s="1216"/>
      <c r="D61" s="1216"/>
      <c r="E61" s="1216"/>
      <c r="F61" s="1216"/>
      <c r="G61" s="1216"/>
      <c r="H61" s="1216"/>
      <c r="I61" s="1217"/>
      <c r="J61" s="818"/>
      <c r="K61" s="4"/>
      <c r="L61" s="4"/>
      <c r="M61" s="4"/>
      <c r="N61" s="4"/>
      <c r="O61" s="4"/>
      <c r="P61" s="4"/>
      <c r="Q61" s="4"/>
      <c r="AG61"/>
      <c r="AH61"/>
      <c r="AI61"/>
      <c r="AJ61"/>
      <c r="AK61"/>
      <c r="AL61"/>
      <c r="AM61"/>
      <c r="AN61"/>
      <c r="AO61"/>
      <c r="AP61"/>
      <c r="AQ61"/>
    </row>
    <row r="62" spans="1:43" ht="21">
      <c r="A62" s="1226"/>
      <c r="B62" s="888" t="s">
        <v>3034</v>
      </c>
      <c r="C62" s="501" t="s">
        <v>628</v>
      </c>
      <c r="D62" s="890">
        <v>27.75</v>
      </c>
      <c r="E62" s="201">
        <f t="shared" ref="E62:E86" si="7">SUM(D62*1.1)</f>
        <v>30.525000000000002</v>
      </c>
      <c r="F62" s="201">
        <f t="shared" ref="F62:F76" si="8">SUM(G62*1.1)</f>
        <v>168.3</v>
      </c>
      <c r="G62" s="890">
        <v>153</v>
      </c>
      <c r="H62" s="818"/>
      <c r="I62" s="818" t="s">
        <v>3035</v>
      </c>
      <c r="J62" s="888" t="s">
        <v>3053</v>
      </c>
      <c r="K62" s="4"/>
      <c r="L62" s="4"/>
      <c r="M62" s="4"/>
      <c r="N62" s="4"/>
      <c r="O62" s="4"/>
      <c r="P62" s="4"/>
      <c r="Q62" s="4"/>
      <c r="AG62"/>
      <c r="AH62"/>
      <c r="AI62"/>
      <c r="AJ62"/>
      <c r="AK62"/>
      <c r="AL62"/>
      <c r="AM62"/>
      <c r="AN62"/>
      <c r="AO62"/>
      <c r="AP62"/>
      <c r="AQ62"/>
    </row>
    <row r="63" spans="1:43" s="18" customFormat="1" ht="21">
      <c r="A63" s="1227"/>
      <c r="B63" s="888" t="s">
        <v>3037</v>
      </c>
      <c r="C63" s="501" t="s">
        <v>628</v>
      </c>
      <c r="D63" s="890">
        <v>63.75</v>
      </c>
      <c r="E63" s="201">
        <f t="shared" si="7"/>
        <v>70.125</v>
      </c>
      <c r="F63" s="201">
        <f t="shared" si="8"/>
        <v>192.50000000000003</v>
      </c>
      <c r="G63" s="890">
        <v>175</v>
      </c>
      <c r="H63" s="818"/>
      <c r="I63" s="818" t="s">
        <v>3035</v>
      </c>
      <c r="J63" s="888"/>
      <c r="K63" s="19"/>
      <c r="L63" s="19"/>
      <c r="M63" s="19"/>
      <c r="N63" s="19"/>
      <c r="O63" s="19"/>
      <c r="P63" s="19"/>
      <c r="Q63" s="19"/>
      <c r="R63" s="23"/>
      <c r="S63" s="23"/>
      <c r="T63" s="23"/>
      <c r="U63" s="23"/>
      <c r="V63" s="23"/>
      <c r="W63" s="23"/>
      <c r="X63" s="23"/>
      <c r="Y63" s="23"/>
      <c r="Z63" s="23"/>
      <c r="AA63" s="23"/>
      <c r="AB63" s="23"/>
      <c r="AC63" s="23"/>
      <c r="AD63" s="23"/>
      <c r="AE63" s="23"/>
      <c r="AF63" s="23"/>
    </row>
    <row r="64" spans="1:43" s="18" customFormat="1" ht="32.25">
      <c r="A64" s="1228"/>
      <c r="B64" s="888" t="s">
        <v>3038</v>
      </c>
      <c r="C64" s="501" t="s">
        <v>628</v>
      </c>
      <c r="D64" s="890">
        <v>20</v>
      </c>
      <c r="E64" s="201">
        <f t="shared" si="7"/>
        <v>22</v>
      </c>
      <c r="F64" s="201" t="s">
        <v>1499</v>
      </c>
      <c r="G64" s="890" t="s">
        <v>277</v>
      </c>
      <c r="H64" s="818"/>
      <c r="I64" s="818" t="s">
        <v>3039</v>
      </c>
      <c r="J64" s="888"/>
      <c r="K64" s="19"/>
      <c r="L64" s="19"/>
      <c r="M64" s="19"/>
      <c r="N64" s="19"/>
      <c r="O64" s="19"/>
      <c r="P64" s="19"/>
      <c r="Q64" s="19"/>
      <c r="R64" s="23"/>
      <c r="S64" s="23"/>
      <c r="T64" s="23"/>
      <c r="U64" s="23"/>
      <c r="V64" s="23"/>
      <c r="W64" s="23"/>
      <c r="X64" s="23"/>
      <c r="Y64" s="23"/>
      <c r="Z64" s="23"/>
      <c r="AA64" s="23"/>
      <c r="AB64" s="23"/>
      <c r="AC64" s="23"/>
      <c r="AD64" s="23"/>
      <c r="AE64" s="23"/>
      <c r="AF64" s="23"/>
    </row>
    <row r="65" spans="1:43" s="18" customFormat="1" ht="32.25">
      <c r="A65" s="1228"/>
      <c r="B65" s="888" t="s">
        <v>3040</v>
      </c>
      <c r="C65" s="501" t="s">
        <v>628</v>
      </c>
      <c r="D65" s="890">
        <v>5.3</v>
      </c>
      <c r="E65" s="201">
        <f t="shared" si="7"/>
        <v>5.83</v>
      </c>
      <c r="F65" s="201" t="s">
        <v>1499</v>
      </c>
      <c r="G65" s="890" t="s">
        <v>277</v>
      </c>
      <c r="H65" s="818"/>
      <c r="I65" s="818" t="s">
        <v>3041</v>
      </c>
      <c r="J65" s="888"/>
      <c r="K65" s="19"/>
      <c r="L65" s="19"/>
      <c r="M65" s="19"/>
      <c r="N65" s="19"/>
      <c r="O65" s="19"/>
      <c r="P65" s="19"/>
      <c r="Q65" s="19"/>
      <c r="R65" s="23"/>
      <c r="S65" s="23"/>
      <c r="T65" s="23"/>
      <c r="U65" s="23"/>
      <c r="V65" s="23"/>
      <c r="W65" s="23"/>
      <c r="X65" s="23"/>
      <c r="Y65" s="23"/>
      <c r="Z65" s="23"/>
      <c r="AA65" s="23"/>
      <c r="AB65" s="23"/>
      <c r="AC65" s="23"/>
      <c r="AD65" s="23"/>
      <c r="AE65" s="23"/>
      <c r="AF65" s="23"/>
    </row>
    <row r="66" spans="1:43" s="18" customFormat="1" ht="32.25">
      <c r="A66" s="1228"/>
      <c r="B66" s="888" t="s">
        <v>3042</v>
      </c>
      <c r="C66" s="501" t="s">
        <v>628</v>
      </c>
      <c r="D66" s="890">
        <v>19.5</v>
      </c>
      <c r="E66" s="201">
        <f t="shared" si="7"/>
        <v>21.450000000000003</v>
      </c>
      <c r="F66" s="201" t="s">
        <v>1499</v>
      </c>
      <c r="G66" s="890" t="s">
        <v>277</v>
      </c>
      <c r="H66" s="818"/>
      <c r="I66" s="818" t="s">
        <v>3039</v>
      </c>
      <c r="J66" s="888"/>
      <c r="K66" s="19"/>
      <c r="L66" s="19"/>
      <c r="M66" s="19"/>
      <c r="N66" s="19"/>
      <c r="O66" s="19"/>
      <c r="P66" s="19"/>
      <c r="Q66" s="19"/>
      <c r="R66" s="23"/>
      <c r="S66" s="23"/>
      <c r="T66" s="23"/>
      <c r="U66" s="23"/>
      <c r="V66" s="23"/>
      <c r="W66" s="23"/>
      <c r="X66" s="23"/>
      <c r="Y66" s="23"/>
      <c r="Z66" s="23"/>
      <c r="AA66" s="23"/>
      <c r="AB66" s="23"/>
      <c r="AC66" s="23"/>
      <c r="AD66" s="23"/>
      <c r="AE66" s="23"/>
      <c r="AF66" s="23"/>
    </row>
    <row r="67" spans="1:43" s="18" customFormat="1" ht="32.25">
      <c r="A67" s="1228"/>
      <c r="B67" s="888" t="s">
        <v>3043</v>
      </c>
      <c r="C67" s="501" t="s">
        <v>628</v>
      </c>
      <c r="D67" s="890">
        <v>5.3</v>
      </c>
      <c r="E67" s="201">
        <f t="shared" si="7"/>
        <v>5.83</v>
      </c>
      <c r="F67" s="201" t="s">
        <v>1499</v>
      </c>
      <c r="G67" s="890" t="s">
        <v>277</v>
      </c>
      <c r="H67" s="818"/>
      <c r="I67" s="818" t="s">
        <v>3041</v>
      </c>
      <c r="J67" s="888"/>
      <c r="K67" s="19"/>
      <c r="L67" s="19"/>
      <c r="M67" s="19"/>
      <c r="N67" s="19"/>
      <c r="O67" s="19"/>
      <c r="P67" s="19"/>
      <c r="Q67" s="19"/>
      <c r="R67" s="23"/>
      <c r="S67" s="23"/>
      <c r="T67" s="23"/>
      <c r="U67" s="23"/>
      <c r="V67" s="23"/>
      <c r="W67" s="23"/>
      <c r="X67" s="23"/>
      <c r="Y67" s="23"/>
      <c r="Z67" s="23"/>
      <c r="AA67" s="23"/>
      <c r="AB67" s="23"/>
      <c r="AC67" s="23"/>
      <c r="AD67" s="23"/>
      <c r="AE67" s="23"/>
      <c r="AF67" s="23"/>
    </row>
    <row r="68" spans="1:43" s="18" customFormat="1" ht="32.25">
      <c r="A68" s="1228"/>
      <c r="B68" s="888" t="s">
        <v>3044</v>
      </c>
      <c r="C68" s="501" t="s">
        <v>628</v>
      </c>
      <c r="D68" s="890">
        <v>19</v>
      </c>
      <c r="E68" s="201">
        <f t="shared" si="7"/>
        <v>20.900000000000002</v>
      </c>
      <c r="F68" s="201" t="s">
        <v>1499</v>
      </c>
      <c r="G68" s="890" t="s">
        <v>277</v>
      </c>
      <c r="H68" s="818"/>
      <c r="I68" s="818" t="s">
        <v>3039</v>
      </c>
      <c r="J68" s="818"/>
      <c r="K68" s="19"/>
      <c r="L68" s="19"/>
      <c r="M68" s="19"/>
      <c r="N68" s="19"/>
      <c r="O68" s="19"/>
      <c r="P68" s="19"/>
      <c r="Q68" s="19"/>
      <c r="R68" s="23"/>
      <c r="S68" s="23"/>
      <c r="T68" s="23"/>
      <c r="U68" s="23"/>
      <c r="V68" s="23"/>
      <c r="W68" s="23"/>
      <c r="X68" s="23"/>
      <c r="Y68" s="23"/>
      <c r="Z68" s="23"/>
      <c r="AA68" s="23"/>
      <c r="AB68" s="23"/>
      <c r="AC68" s="23"/>
      <c r="AD68" s="23"/>
      <c r="AE68" s="23"/>
      <c r="AF68" s="23"/>
    </row>
    <row r="69" spans="1:43" s="18" customFormat="1" ht="31.5">
      <c r="A69" s="1229"/>
      <c r="B69" s="888" t="s">
        <v>3045</v>
      </c>
      <c r="C69" s="501" t="s">
        <v>628</v>
      </c>
      <c r="D69" s="890">
        <v>5.3</v>
      </c>
      <c r="E69" s="201">
        <f t="shared" si="7"/>
        <v>5.83</v>
      </c>
      <c r="F69" s="201" t="s">
        <v>1499</v>
      </c>
      <c r="G69" s="890" t="s">
        <v>277</v>
      </c>
      <c r="H69" s="818"/>
      <c r="I69" s="818" t="s">
        <v>3041</v>
      </c>
      <c r="J69" s="818"/>
      <c r="K69" s="19"/>
      <c r="L69" s="19"/>
      <c r="M69" s="19"/>
      <c r="N69" s="19"/>
      <c r="O69" s="19"/>
      <c r="P69" s="19"/>
      <c r="Q69" s="19"/>
      <c r="R69" s="23"/>
      <c r="S69" s="23"/>
      <c r="T69" s="23"/>
      <c r="U69" s="23"/>
      <c r="V69" s="23"/>
      <c r="W69" s="23"/>
      <c r="X69" s="23"/>
      <c r="Y69" s="23"/>
      <c r="Z69" s="23"/>
      <c r="AA69" s="23"/>
      <c r="AB69" s="23"/>
      <c r="AC69" s="23"/>
      <c r="AD69" s="23"/>
      <c r="AE69" s="23"/>
      <c r="AF69" s="23"/>
    </row>
    <row r="70" spans="1:43" s="18" customFormat="1" ht="31.5">
      <c r="A70" s="1229"/>
      <c r="B70" s="888" t="s">
        <v>3046</v>
      </c>
      <c r="C70" s="501" t="s">
        <v>628</v>
      </c>
      <c r="D70" s="890">
        <v>18.75</v>
      </c>
      <c r="E70" s="201">
        <f t="shared" si="7"/>
        <v>20.625</v>
      </c>
      <c r="F70" s="201" t="s">
        <v>1499</v>
      </c>
      <c r="G70" s="890" t="s">
        <v>277</v>
      </c>
      <c r="H70" s="818"/>
      <c r="I70" s="818" t="s">
        <v>3039</v>
      </c>
      <c r="J70" s="818"/>
      <c r="K70" s="19"/>
      <c r="L70" s="19"/>
      <c r="M70" s="19"/>
      <c r="N70" s="19"/>
      <c r="O70" s="19"/>
      <c r="P70" s="19"/>
      <c r="Q70" s="19"/>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row>
    <row r="71" spans="1:43" s="18" customFormat="1" ht="31.5">
      <c r="A71" s="1229"/>
      <c r="B71" s="888" t="s">
        <v>3047</v>
      </c>
      <c r="C71" s="501" t="s">
        <v>628</v>
      </c>
      <c r="D71" s="890">
        <v>5.3</v>
      </c>
      <c r="E71" s="201">
        <f t="shared" si="7"/>
        <v>5.83</v>
      </c>
      <c r="F71" s="201" t="s">
        <v>1499</v>
      </c>
      <c r="G71" s="890" t="s">
        <v>277</v>
      </c>
      <c r="H71" s="818"/>
      <c r="I71" s="818" t="s">
        <v>3041</v>
      </c>
      <c r="J71" s="818"/>
      <c r="K71" s="19"/>
      <c r="L71" s="19"/>
      <c r="M71" s="19"/>
      <c r="N71" s="19"/>
      <c r="O71" s="19"/>
      <c r="P71" s="19"/>
      <c r="Q71" s="19"/>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row>
    <row r="72" spans="1:43" s="18" customFormat="1" ht="31.5">
      <c r="A72" s="1229"/>
      <c r="B72" s="888" t="s">
        <v>3048</v>
      </c>
      <c r="C72" s="501" t="s">
        <v>628</v>
      </c>
      <c r="D72" s="890">
        <v>55.75</v>
      </c>
      <c r="E72" s="201">
        <f t="shared" si="7"/>
        <v>61.325000000000003</v>
      </c>
      <c r="F72" s="201" t="s">
        <v>1499</v>
      </c>
      <c r="G72" s="890" t="s">
        <v>277</v>
      </c>
      <c r="H72" s="818"/>
      <c r="I72" s="818" t="s">
        <v>3039</v>
      </c>
      <c r="J72" s="818"/>
      <c r="K72" s="19"/>
      <c r="L72" s="19"/>
      <c r="M72" s="19"/>
      <c r="N72" s="19"/>
      <c r="O72" s="19"/>
      <c r="P72" s="19"/>
      <c r="Q72" s="19"/>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row>
    <row r="73" spans="1:43" s="18" customFormat="1" ht="31.5">
      <c r="A73" s="1229"/>
      <c r="B73" s="888" t="s">
        <v>3049</v>
      </c>
      <c r="C73" s="501" t="s">
        <v>628</v>
      </c>
      <c r="D73" s="890">
        <v>4.49</v>
      </c>
      <c r="E73" s="201">
        <f t="shared" si="7"/>
        <v>4.9390000000000009</v>
      </c>
      <c r="F73" s="201" t="s">
        <v>1499</v>
      </c>
      <c r="G73" s="890" t="s">
        <v>277</v>
      </c>
      <c r="H73" s="818"/>
      <c r="I73" s="818" t="s">
        <v>3041</v>
      </c>
      <c r="J73" s="818"/>
      <c r="K73" s="19"/>
      <c r="L73" s="19"/>
      <c r="M73" s="19"/>
      <c r="N73" s="19"/>
      <c r="O73" s="19"/>
      <c r="P73" s="19"/>
      <c r="Q73" s="19"/>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row>
    <row r="74" spans="1:43" s="18" customFormat="1">
      <c r="A74" s="1229"/>
      <c r="B74" s="818"/>
      <c r="C74" s="501"/>
      <c r="D74" s="890"/>
      <c r="E74" s="201"/>
      <c r="F74" s="201"/>
      <c r="G74" s="890"/>
      <c r="H74" s="818"/>
      <c r="I74" s="818"/>
      <c r="J74" s="818"/>
      <c r="K74" s="19"/>
      <c r="L74" s="19"/>
      <c r="M74" s="19"/>
      <c r="N74" s="19"/>
      <c r="O74" s="19"/>
      <c r="P74" s="19"/>
      <c r="Q74" s="19"/>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row>
    <row r="75" spans="1:43" s="18" customFormat="1" ht="12.75">
      <c r="B75" s="1232" t="s">
        <v>3054</v>
      </c>
      <c r="C75" s="1230"/>
      <c r="D75" s="1230"/>
      <c r="E75" s="1230"/>
      <c r="F75" s="1231"/>
      <c r="G75" s="134"/>
      <c r="H75" s="818"/>
      <c r="I75" s="818"/>
      <c r="J75" s="818"/>
      <c r="K75" s="19"/>
      <c r="L75" s="19"/>
      <c r="M75" s="19"/>
      <c r="N75" s="19"/>
      <c r="O75" s="19"/>
      <c r="P75" s="19"/>
      <c r="Q75" s="19"/>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row>
    <row r="76" spans="1:43" s="18" customFormat="1" ht="21">
      <c r="A76" s="1229"/>
      <c r="B76" s="888" t="s">
        <v>3051</v>
      </c>
      <c r="C76" s="501" t="s">
        <v>628</v>
      </c>
      <c r="D76" s="890">
        <v>24</v>
      </c>
      <c r="E76" s="201">
        <f t="shared" si="7"/>
        <v>26.400000000000002</v>
      </c>
      <c r="F76" s="201">
        <f t="shared" si="8"/>
        <v>124.30000000000001</v>
      </c>
      <c r="G76" s="890">
        <v>113</v>
      </c>
      <c r="H76" s="818"/>
      <c r="I76" s="818" t="s">
        <v>3035</v>
      </c>
      <c r="J76" s="818" t="s">
        <v>3055</v>
      </c>
      <c r="K76" s="19"/>
      <c r="L76" s="19"/>
      <c r="M76" s="19"/>
      <c r="N76" s="19"/>
      <c r="O76" s="19"/>
      <c r="P76" s="19"/>
      <c r="Q76" s="19"/>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row>
    <row r="77" spans="1:43" s="18" customFormat="1" ht="31.5">
      <c r="A77" s="1229"/>
      <c r="B77" s="888" t="s">
        <v>3038</v>
      </c>
      <c r="C77" s="501" t="s">
        <v>628</v>
      </c>
      <c r="D77" s="890">
        <v>12</v>
      </c>
      <c r="E77" s="201">
        <f t="shared" si="7"/>
        <v>13.200000000000001</v>
      </c>
      <c r="F77" s="201" t="s">
        <v>277</v>
      </c>
      <c r="G77" s="890" t="s">
        <v>277</v>
      </c>
      <c r="H77" s="818"/>
      <c r="I77" s="818" t="s">
        <v>3039</v>
      </c>
      <c r="J77" s="818"/>
      <c r="K77" s="19"/>
      <c r="L77" s="19"/>
      <c r="M77" s="19"/>
      <c r="N77" s="19"/>
      <c r="O77" s="19"/>
      <c r="P77" s="19"/>
      <c r="Q77" s="19"/>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row>
    <row r="78" spans="1:43" s="18" customFormat="1" ht="31.5">
      <c r="A78" s="1229"/>
      <c r="B78" s="888" t="s">
        <v>3040</v>
      </c>
      <c r="C78" s="501" t="s">
        <v>628</v>
      </c>
      <c r="D78" s="508">
        <v>0.59</v>
      </c>
      <c r="E78" s="201">
        <f t="shared" si="7"/>
        <v>0.64900000000000002</v>
      </c>
      <c r="F78" s="201" t="s">
        <v>277</v>
      </c>
      <c r="G78" s="890" t="s">
        <v>277</v>
      </c>
      <c r="H78" s="818"/>
      <c r="I78" s="818" t="s">
        <v>3052</v>
      </c>
      <c r="J78" s="818"/>
      <c r="K78" s="19"/>
      <c r="L78" s="19"/>
      <c r="M78" s="19"/>
      <c r="N78" s="19"/>
      <c r="O78" s="19"/>
      <c r="P78" s="19"/>
      <c r="Q78" s="19"/>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row>
    <row r="79" spans="1:43" s="18" customFormat="1" ht="31.5">
      <c r="A79" s="1229"/>
      <c r="B79" s="888" t="s">
        <v>3042</v>
      </c>
      <c r="C79" s="501" t="s">
        <v>628</v>
      </c>
      <c r="D79" s="508">
        <v>12</v>
      </c>
      <c r="E79" s="201">
        <f t="shared" si="7"/>
        <v>13.200000000000001</v>
      </c>
      <c r="F79" s="201" t="s">
        <v>277</v>
      </c>
      <c r="G79" s="890" t="s">
        <v>277</v>
      </c>
      <c r="H79" s="818"/>
      <c r="I79" s="818" t="s">
        <v>3039</v>
      </c>
      <c r="J79" s="818"/>
      <c r="K79" s="19"/>
      <c r="L79" s="19"/>
      <c r="M79" s="19"/>
      <c r="N79" s="19"/>
      <c r="O79" s="19"/>
      <c r="P79" s="19"/>
      <c r="Q79" s="19"/>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row>
    <row r="80" spans="1:43" s="18" customFormat="1" ht="31.5">
      <c r="A80" s="1229"/>
      <c r="B80" s="888" t="s">
        <v>3043</v>
      </c>
      <c r="C80" s="501" t="s">
        <v>628</v>
      </c>
      <c r="D80" s="508">
        <v>2.2000000000000002</v>
      </c>
      <c r="E80" s="201">
        <f t="shared" si="7"/>
        <v>2.4200000000000004</v>
      </c>
      <c r="F80" s="201" t="s">
        <v>277</v>
      </c>
      <c r="G80" s="890" t="s">
        <v>277</v>
      </c>
      <c r="H80" s="818"/>
      <c r="I80" s="818" t="s">
        <v>3052</v>
      </c>
      <c r="J80" s="818"/>
      <c r="K80" s="19"/>
      <c r="L80" s="19"/>
      <c r="M80" s="19"/>
      <c r="N80" s="19"/>
      <c r="O80" s="19"/>
      <c r="P80" s="19"/>
      <c r="Q80" s="19"/>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row>
    <row r="81" spans="1:43" s="18" customFormat="1" ht="31.5">
      <c r="A81" s="1229"/>
      <c r="B81" s="888" t="s">
        <v>3044</v>
      </c>
      <c r="C81" s="501" t="s">
        <v>628</v>
      </c>
      <c r="D81" s="508">
        <v>11</v>
      </c>
      <c r="E81" s="201">
        <f t="shared" si="7"/>
        <v>12.100000000000001</v>
      </c>
      <c r="F81" s="201" t="s">
        <v>277</v>
      </c>
      <c r="G81" s="890" t="s">
        <v>277</v>
      </c>
      <c r="H81" s="818"/>
      <c r="I81" s="818" t="s">
        <v>3039</v>
      </c>
      <c r="J81" s="818"/>
      <c r="K81" s="19"/>
      <c r="L81" s="19"/>
      <c r="M81" s="19"/>
      <c r="N81" s="19"/>
      <c r="O81" s="19"/>
      <c r="P81" s="19"/>
      <c r="Q81" s="19"/>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row>
    <row r="82" spans="1:43" s="18" customFormat="1" ht="31.5">
      <c r="A82" s="1229"/>
      <c r="B82" s="888" t="s">
        <v>3045</v>
      </c>
      <c r="C82" s="501" t="s">
        <v>628</v>
      </c>
      <c r="D82" s="508">
        <v>3.28</v>
      </c>
      <c r="E82" s="201">
        <f t="shared" si="7"/>
        <v>3.6080000000000001</v>
      </c>
      <c r="F82" s="201" t="s">
        <v>277</v>
      </c>
      <c r="G82" s="890" t="s">
        <v>277</v>
      </c>
      <c r="H82" s="818"/>
      <c r="I82" s="818" t="s">
        <v>3052</v>
      </c>
      <c r="J82" s="818"/>
      <c r="K82" s="19"/>
      <c r="L82" s="19"/>
      <c r="M82" s="19"/>
      <c r="N82" s="19"/>
      <c r="O82" s="19"/>
      <c r="P82" s="19"/>
      <c r="Q82" s="19"/>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row>
    <row r="83" spans="1:43" s="18" customFormat="1" ht="31.5">
      <c r="A83" s="1229"/>
      <c r="B83" s="888" t="s">
        <v>3046</v>
      </c>
      <c r="C83" s="501" t="s">
        <v>628</v>
      </c>
      <c r="D83" s="508">
        <v>11</v>
      </c>
      <c r="E83" s="201">
        <f t="shared" si="7"/>
        <v>12.100000000000001</v>
      </c>
      <c r="F83" s="201" t="s">
        <v>277</v>
      </c>
      <c r="G83" s="890" t="s">
        <v>277</v>
      </c>
      <c r="H83" s="818"/>
      <c r="I83" s="818" t="s">
        <v>3039</v>
      </c>
      <c r="J83" s="818"/>
      <c r="K83" s="19"/>
      <c r="L83" s="19"/>
      <c r="M83" s="19"/>
      <c r="N83" s="19"/>
      <c r="O83" s="19"/>
      <c r="P83" s="19"/>
      <c r="Q83" s="19"/>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row>
    <row r="84" spans="1:43" s="18" customFormat="1" ht="31.5">
      <c r="A84" s="1229"/>
      <c r="B84" s="888" t="s">
        <v>3047</v>
      </c>
      <c r="C84" s="501" t="s">
        <v>628</v>
      </c>
      <c r="D84" s="508">
        <v>3.28</v>
      </c>
      <c r="E84" s="201">
        <f t="shared" si="7"/>
        <v>3.6080000000000001</v>
      </c>
      <c r="F84" s="201" t="s">
        <v>277</v>
      </c>
      <c r="G84" s="890" t="s">
        <v>277</v>
      </c>
      <c r="H84" s="818"/>
      <c r="I84" s="818" t="s">
        <v>3052</v>
      </c>
      <c r="J84" s="818"/>
      <c r="K84" s="19"/>
      <c r="L84" s="19"/>
      <c r="M84" s="19"/>
      <c r="N84" s="19"/>
      <c r="O84" s="19"/>
      <c r="P84" s="19"/>
      <c r="Q84" s="19"/>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row>
    <row r="85" spans="1:43" s="18" customFormat="1" ht="31.5">
      <c r="A85" s="1229"/>
      <c r="B85" s="888" t="s">
        <v>3048</v>
      </c>
      <c r="C85" s="501" t="s">
        <v>628</v>
      </c>
      <c r="D85" s="508">
        <v>11</v>
      </c>
      <c r="E85" s="201">
        <f t="shared" si="7"/>
        <v>12.100000000000001</v>
      </c>
      <c r="F85" s="201" t="s">
        <v>277</v>
      </c>
      <c r="G85" s="890" t="s">
        <v>277</v>
      </c>
      <c r="H85" s="818"/>
      <c r="I85" s="818" t="s">
        <v>3039</v>
      </c>
      <c r="J85" s="818"/>
      <c r="K85" s="19"/>
      <c r="L85" s="19"/>
      <c r="M85" s="19"/>
      <c r="N85" s="19"/>
      <c r="O85" s="19"/>
      <c r="P85" s="19"/>
      <c r="Q85" s="19"/>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row>
    <row r="86" spans="1:43" ht="31.5">
      <c r="A86" s="1229"/>
      <c r="B86" s="888" t="s">
        <v>3049</v>
      </c>
      <c r="C86" s="501" t="s">
        <v>628</v>
      </c>
      <c r="D86" s="508">
        <v>3.28</v>
      </c>
      <c r="E86" s="201">
        <f t="shared" si="7"/>
        <v>3.6080000000000001</v>
      </c>
      <c r="F86" s="201" t="s">
        <v>277</v>
      </c>
      <c r="G86" s="890" t="s">
        <v>277</v>
      </c>
      <c r="H86" s="818"/>
      <c r="I86" s="818" t="s">
        <v>3052</v>
      </c>
      <c r="J86" s="818"/>
      <c r="K86" s="4"/>
      <c r="L86" s="4"/>
      <c r="M86" s="4"/>
      <c r="N86" s="4"/>
      <c r="O86" s="4"/>
      <c r="P86" s="4"/>
      <c r="Q86" s="4"/>
    </row>
    <row r="87" spans="1:43">
      <c r="A87" s="49"/>
      <c r="C87" s="190"/>
      <c r="D87" s="145"/>
      <c r="E87" s="145"/>
      <c r="F87" s="145"/>
      <c r="G87" s="145"/>
      <c r="H87" s="4"/>
      <c r="I87" s="190"/>
      <c r="J87" s="9"/>
      <c r="K87" s="4"/>
      <c r="L87" s="4"/>
      <c r="M87" s="4"/>
      <c r="N87" s="4"/>
      <c r="O87" s="4"/>
      <c r="P87" s="4"/>
      <c r="Q87" s="4"/>
    </row>
    <row r="88" spans="1:43">
      <c r="A88" s="49"/>
      <c r="C88" s="190"/>
      <c r="D88" s="145"/>
      <c r="E88" s="145"/>
      <c r="F88" s="145"/>
      <c r="G88" s="145"/>
      <c r="H88" s="4"/>
      <c r="I88" s="190"/>
      <c r="J88" s="9"/>
      <c r="K88" s="4"/>
      <c r="L88" s="4"/>
      <c r="M88" s="4"/>
      <c r="N88" s="4"/>
      <c r="O88" s="4"/>
      <c r="P88" s="4"/>
      <c r="Q88" s="4"/>
    </row>
    <row r="89" spans="1:43">
      <c r="A89" s="49"/>
      <c r="C89" s="190"/>
      <c r="D89" s="145"/>
      <c r="E89" s="145"/>
      <c r="F89" s="145"/>
      <c r="G89" s="145"/>
      <c r="H89" s="4"/>
      <c r="I89" s="190"/>
      <c r="J89" s="9"/>
      <c r="K89" s="4"/>
      <c r="L89" s="4"/>
      <c r="M89" s="4"/>
      <c r="N89" s="4"/>
      <c r="O89" s="4"/>
      <c r="P89" s="4"/>
      <c r="Q89" s="4"/>
    </row>
    <row r="90" spans="1:43">
      <c r="A90" s="49"/>
      <c r="C90" s="190"/>
      <c r="D90" s="145"/>
      <c r="E90" s="145"/>
      <c r="F90" s="145"/>
      <c r="G90" s="145"/>
      <c r="H90" s="4"/>
      <c r="I90" s="190"/>
      <c r="J90" s="9"/>
      <c r="K90" s="4"/>
      <c r="L90" s="4"/>
      <c r="M90" s="4"/>
      <c r="N90" s="4"/>
      <c r="O90" s="4"/>
      <c r="P90" s="4"/>
      <c r="Q90" s="4"/>
    </row>
    <row r="91" spans="1:43">
      <c r="A91" s="49"/>
      <c r="C91" s="190"/>
      <c r="D91" s="145"/>
      <c r="E91" s="145"/>
      <c r="F91" s="145"/>
      <c r="G91" s="145"/>
      <c r="H91" s="4"/>
      <c r="I91" s="190"/>
      <c r="J91" s="9"/>
      <c r="K91" s="4"/>
      <c r="L91" s="4"/>
      <c r="M91" s="4"/>
      <c r="N91" s="4"/>
      <c r="O91" s="4"/>
      <c r="P91" s="4"/>
      <c r="Q91" s="4"/>
    </row>
    <row r="92" spans="1:43">
      <c r="A92" s="49"/>
      <c r="C92" s="190"/>
      <c r="D92" s="145"/>
      <c r="E92" s="145"/>
      <c r="F92" s="145"/>
      <c r="G92" s="145"/>
      <c r="H92" s="4"/>
      <c r="I92" s="190"/>
      <c r="J92" s="9"/>
      <c r="K92" s="4"/>
      <c r="L92" s="4"/>
      <c r="M92" s="4"/>
      <c r="N92" s="4"/>
      <c r="O92" s="4"/>
      <c r="P92" s="4"/>
      <c r="Q92" s="4"/>
    </row>
    <row r="93" spans="1:43">
      <c r="A93" s="49"/>
      <c r="C93" s="190"/>
      <c r="D93" s="145"/>
      <c r="E93" s="145"/>
      <c r="F93" s="145"/>
      <c r="G93" s="145"/>
      <c r="H93" s="4"/>
      <c r="I93" s="190"/>
      <c r="J93" s="9"/>
      <c r="K93" s="4"/>
      <c r="L93" s="4"/>
      <c r="M93" s="4"/>
      <c r="N93" s="4"/>
      <c r="O93" s="4"/>
      <c r="P93" s="4"/>
      <c r="Q93" s="4"/>
    </row>
    <row r="94" spans="1:43">
      <c r="A94" s="49"/>
      <c r="C94" s="190"/>
      <c r="D94" s="145"/>
      <c r="E94" s="145"/>
      <c r="F94" s="145"/>
      <c r="G94" s="145"/>
      <c r="H94" s="4"/>
      <c r="I94" s="190"/>
      <c r="J94" s="9"/>
      <c r="K94" s="4"/>
      <c r="L94" s="4"/>
      <c r="M94" s="4"/>
      <c r="N94" s="4"/>
      <c r="O94" s="4"/>
      <c r="P94" s="4"/>
      <c r="Q94" s="4"/>
    </row>
    <row r="95" spans="1:43">
      <c r="A95" s="49"/>
      <c r="C95" s="190"/>
      <c r="D95" s="145"/>
      <c r="E95" s="145"/>
      <c r="F95" s="145"/>
      <c r="G95" s="145"/>
      <c r="H95" s="4"/>
      <c r="I95" s="190"/>
      <c r="J95" s="9"/>
      <c r="K95" s="4"/>
      <c r="L95" s="4"/>
      <c r="M95" s="4"/>
      <c r="N95" s="4"/>
      <c r="O95" s="4"/>
      <c r="P95" s="4"/>
      <c r="Q95" s="4"/>
    </row>
    <row r="96" spans="1:43">
      <c r="A96" s="49"/>
      <c r="C96" s="190"/>
      <c r="D96" s="145"/>
      <c r="E96" s="145"/>
      <c r="F96" s="145"/>
      <c r="G96" s="145"/>
      <c r="H96" s="4"/>
      <c r="I96" s="190"/>
      <c r="J96" s="9"/>
      <c r="K96" s="4"/>
      <c r="L96" s="4"/>
      <c r="M96" s="4"/>
      <c r="N96" s="4"/>
      <c r="O96" s="4"/>
      <c r="P96" s="4"/>
      <c r="Q96" s="4"/>
    </row>
    <row r="97" spans="1:17">
      <c r="A97" s="49"/>
      <c r="C97" s="190"/>
      <c r="D97" s="190"/>
      <c r="E97" s="363"/>
      <c r="F97" s="363"/>
      <c r="G97" s="190"/>
      <c r="H97" s="9"/>
      <c r="I97" s="190"/>
      <c r="J97" s="9"/>
      <c r="K97" s="4"/>
      <c r="L97" s="4"/>
      <c r="M97" s="4"/>
      <c r="N97" s="4"/>
      <c r="O97" s="4"/>
      <c r="P97" s="4"/>
      <c r="Q97" s="4"/>
    </row>
    <row r="98" spans="1:17">
      <c r="A98" s="49"/>
    </row>
    <row r="99" spans="1:17">
      <c r="A99" s="49"/>
    </row>
    <row r="100" spans="1:17">
      <c r="A100" s="49"/>
    </row>
    <row r="101" spans="1:17">
      <c r="A101" s="49"/>
    </row>
    <row r="102" spans="1:17">
      <c r="A102" s="49"/>
    </row>
    <row r="103" spans="1:17">
      <c r="A103" s="49"/>
    </row>
    <row r="104" spans="1:17">
      <c r="A104" s="49"/>
    </row>
    <row r="105" spans="1:17">
      <c r="A105" s="49"/>
    </row>
    <row r="106" spans="1:17">
      <c r="A106" s="49"/>
    </row>
    <row r="107" spans="1:17">
      <c r="A107" s="49"/>
    </row>
    <row r="108" spans="1:17">
      <c r="A108" s="49"/>
    </row>
    <row r="109" spans="1:17">
      <c r="A109" s="49"/>
    </row>
    <row r="110" spans="1:17">
      <c r="A110" s="49"/>
    </row>
    <row r="111" spans="1:17">
      <c r="A111" s="49"/>
    </row>
    <row r="112" spans="1:17">
      <c r="A112" s="49"/>
    </row>
  </sheetData>
  <mergeCells count="21">
    <mergeCell ref="A1:B1"/>
    <mergeCell ref="B2:D2"/>
    <mergeCell ref="H2:I4"/>
    <mergeCell ref="J2:J6"/>
    <mergeCell ref="A5:B6"/>
    <mergeCell ref="H5:I6"/>
    <mergeCell ref="F6:G6"/>
    <mergeCell ref="E2:G4"/>
    <mergeCell ref="H7:I8"/>
    <mergeCell ref="J7:J8"/>
    <mergeCell ref="G7:G8"/>
    <mergeCell ref="C7:C8"/>
    <mergeCell ref="D7:D8"/>
    <mergeCell ref="B49:G49"/>
    <mergeCell ref="B9:G9"/>
    <mergeCell ref="B31:G31"/>
    <mergeCell ref="B19:G19"/>
    <mergeCell ref="B14:G14"/>
    <mergeCell ref="B37:G37"/>
    <mergeCell ref="E7:E8"/>
    <mergeCell ref="F7:F8"/>
  </mergeCells>
  <phoneticPr fontId="0" type="noConversion"/>
  <printOptions horizontalCentered="1"/>
  <pageMargins left="3.3854166666666664E-2" right="0.75" top="1" bottom="1" header="0.5" footer="0.5"/>
  <pageSetup scale="74" fitToHeight="29" orientation="landscape" r:id="rId1"/>
  <headerFooter alignWithMargins="0">
    <oddHeader>&amp;L&amp;F&amp;C&amp;"Tahoma,Bold"&amp;11&amp;A&amp;R&amp;G</oddHeader>
    <oddFooter>&amp;C&amp;"Tahoma,Italic"Use or disclosure of the data on this page or screen is subject to the restrictions on the title page or opening view screen of this proposal document or file.&amp;R&amp;P of &amp;N</oddFooter>
  </headerFooter>
  <rowBreaks count="2" manualBreakCount="2">
    <brk id="48" max="16383" man="1"/>
    <brk id="59" max="16383" man="1"/>
  </rowBreaks>
  <ignoredErrors>
    <ignoredError sqref="B13:E14 B10:C10 E10 B11:C11 E11 B12:C12 E12 G11 G12 B21:E22 B20:C20 E20 B30:E31 B29:C29 E29 B39:E40 B38:C38 E38 B42:E45 B41:C41 E41 B48:E49 B47:C47 E47 B52:E53 B50:C51 E51 F55:G58 B54:C54 E54 F17:G19 B15:E15 B24:E27 B32:E32 B28:E28 B33:E37 F16 B46:E46 E50 B59:E59 B16:E16 F13:G14 F21:G22 F30:G31 F39:G40 F42:G45 F48:G49 F52:G53 F51:G51 F54:G54 F24:G27 F33:G37 B23:E23 B17:E19 B55:E58" unlockedFormula="1"/>
  </ignoredErrors>
  <legacyDrawingHF r:id="rId2"/>
</worksheet>
</file>

<file path=xl/worksheets/sheet18.xml><?xml version="1.0" encoding="utf-8"?>
<worksheet xmlns="http://schemas.openxmlformats.org/spreadsheetml/2006/main" xmlns:r="http://schemas.openxmlformats.org/officeDocument/2006/relationships">
  <sheetPr>
    <tabColor theme="3" tint="0.79998168889431442"/>
  </sheetPr>
  <dimension ref="A1:AV112"/>
  <sheetViews>
    <sheetView zoomScaleNormal="100" workbookViewId="0">
      <selection activeCell="A2" sqref="A2"/>
    </sheetView>
  </sheetViews>
  <sheetFormatPr defaultRowHeight="10.5"/>
  <cols>
    <col min="1" max="1" width="11" style="143" customWidth="1"/>
    <col min="2" max="2" width="25.6640625" style="143" customWidth="1"/>
    <col min="3" max="3" width="17" style="143" customWidth="1"/>
    <col min="4" max="4" width="13.33203125" style="143" hidden="1" customWidth="1"/>
    <col min="5" max="5" width="9.6640625" style="143" bestFit="1" customWidth="1"/>
    <col min="6" max="6" width="13.83203125" style="143" customWidth="1"/>
    <col min="7" max="7" width="12.6640625" style="143" hidden="1" customWidth="1"/>
    <col min="8" max="8" width="9" style="143" customWidth="1"/>
    <col min="9" max="9" width="17" style="143" customWidth="1"/>
    <col min="10" max="10" width="19.1640625" style="309" customWidth="1"/>
    <col min="255" max="255" width="11" customWidth="1"/>
    <col min="256" max="256" width="25.6640625" customWidth="1"/>
    <col min="257" max="257" width="17" customWidth="1"/>
    <col min="258" max="258" width="13.33203125" customWidth="1"/>
    <col min="259" max="259" width="9.6640625" bestFit="1" customWidth="1"/>
    <col min="260" max="260" width="13.83203125" customWidth="1"/>
    <col min="261" max="261" width="12.6640625" customWidth="1"/>
    <col min="262" max="262" width="13.1640625" customWidth="1"/>
    <col min="263" max="263" width="10.83203125" customWidth="1"/>
    <col min="264" max="264" width="9" customWidth="1"/>
    <col min="265" max="265" width="14.1640625" customWidth="1"/>
    <col min="266" max="266" width="19.1640625" customWidth="1"/>
    <col min="511" max="511" width="11" customWidth="1"/>
    <col min="512" max="512" width="25.6640625" customWidth="1"/>
    <col min="513" max="513" width="17" customWidth="1"/>
    <col min="514" max="514" width="13.33203125" customWidth="1"/>
    <col min="515" max="515" width="9.6640625" bestFit="1" customWidth="1"/>
    <col min="516" max="516" width="13.83203125" customWidth="1"/>
    <col min="517" max="517" width="12.6640625" customWidth="1"/>
    <col min="518" max="518" width="13.1640625" customWidth="1"/>
    <col min="519" max="519" width="10.83203125" customWidth="1"/>
    <col min="520" max="520" width="9" customWidth="1"/>
    <col min="521" max="521" width="14.1640625" customWidth="1"/>
    <col min="522" max="522" width="19.1640625" customWidth="1"/>
    <col min="767" max="767" width="11" customWidth="1"/>
    <col min="768" max="768" width="25.6640625" customWidth="1"/>
    <col min="769" max="769" width="17" customWidth="1"/>
    <col min="770" max="770" width="13.33203125" customWidth="1"/>
    <col min="771" max="771" width="9.6640625" bestFit="1" customWidth="1"/>
    <col min="772" max="772" width="13.83203125" customWidth="1"/>
    <col min="773" max="773" width="12.6640625" customWidth="1"/>
    <col min="774" max="774" width="13.1640625" customWidth="1"/>
    <col min="775" max="775" width="10.83203125" customWidth="1"/>
    <col min="776" max="776" width="9" customWidth="1"/>
    <col min="777" max="777" width="14.1640625" customWidth="1"/>
    <col min="778" max="778" width="19.1640625" customWidth="1"/>
    <col min="1023" max="1023" width="11" customWidth="1"/>
    <col min="1024" max="1024" width="25.6640625" customWidth="1"/>
    <col min="1025" max="1025" width="17" customWidth="1"/>
    <col min="1026" max="1026" width="13.33203125" customWidth="1"/>
    <col min="1027" max="1027" width="9.6640625" bestFit="1" customWidth="1"/>
    <col min="1028" max="1028" width="13.83203125" customWidth="1"/>
    <col min="1029" max="1029" width="12.6640625" customWidth="1"/>
    <col min="1030" max="1030" width="13.1640625" customWidth="1"/>
    <col min="1031" max="1031" width="10.83203125" customWidth="1"/>
    <col min="1032" max="1032" width="9" customWidth="1"/>
    <col min="1033" max="1033" width="14.1640625" customWidth="1"/>
    <col min="1034" max="1034" width="19.1640625" customWidth="1"/>
    <col min="1279" max="1279" width="11" customWidth="1"/>
    <col min="1280" max="1280" width="25.6640625" customWidth="1"/>
    <col min="1281" max="1281" width="17" customWidth="1"/>
    <col min="1282" max="1282" width="13.33203125" customWidth="1"/>
    <col min="1283" max="1283" width="9.6640625" bestFit="1" customWidth="1"/>
    <col min="1284" max="1284" width="13.83203125" customWidth="1"/>
    <col min="1285" max="1285" width="12.6640625" customWidth="1"/>
    <col min="1286" max="1286" width="13.1640625" customWidth="1"/>
    <col min="1287" max="1287" width="10.83203125" customWidth="1"/>
    <col min="1288" max="1288" width="9" customWidth="1"/>
    <col min="1289" max="1289" width="14.1640625" customWidth="1"/>
    <col min="1290" max="1290" width="19.1640625" customWidth="1"/>
    <col min="1535" max="1535" width="11" customWidth="1"/>
    <col min="1536" max="1536" width="25.6640625" customWidth="1"/>
    <col min="1537" max="1537" width="17" customWidth="1"/>
    <col min="1538" max="1538" width="13.33203125" customWidth="1"/>
    <col min="1539" max="1539" width="9.6640625" bestFit="1" customWidth="1"/>
    <col min="1540" max="1540" width="13.83203125" customWidth="1"/>
    <col min="1541" max="1541" width="12.6640625" customWidth="1"/>
    <col min="1542" max="1542" width="13.1640625" customWidth="1"/>
    <col min="1543" max="1543" width="10.83203125" customWidth="1"/>
    <col min="1544" max="1544" width="9" customWidth="1"/>
    <col min="1545" max="1545" width="14.1640625" customWidth="1"/>
    <col min="1546" max="1546" width="19.1640625" customWidth="1"/>
    <col min="1791" max="1791" width="11" customWidth="1"/>
    <col min="1792" max="1792" width="25.6640625" customWidth="1"/>
    <col min="1793" max="1793" width="17" customWidth="1"/>
    <col min="1794" max="1794" width="13.33203125" customWidth="1"/>
    <col min="1795" max="1795" width="9.6640625" bestFit="1" customWidth="1"/>
    <col min="1796" max="1796" width="13.83203125" customWidth="1"/>
    <col min="1797" max="1797" width="12.6640625" customWidth="1"/>
    <col min="1798" max="1798" width="13.1640625" customWidth="1"/>
    <col min="1799" max="1799" width="10.83203125" customWidth="1"/>
    <col min="1800" max="1800" width="9" customWidth="1"/>
    <col min="1801" max="1801" width="14.1640625" customWidth="1"/>
    <col min="1802" max="1802" width="19.1640625" customWidth="1"/>
    <col min="2047" max="2047" width="11" customWidth="1"/>
    <col min="2048" max="2048" width="25.6640625" customWidth="1"/>
    <col min="2049" max="2049" width="17" customWidth="1"/>
    <col min="2050" max="2050" width="13.33203125" customWidth="1"/>
    <col min="2051" max="2051" width="9.6640625" bestFit="1" customWidth="1"/>
    <col min="2052" max="2052" width="13.83203125" customWidth="1"/>
    <col min="2053" max="2053" width="12.6640625" customWidth="1"/>
    <col min="2054" max="2054" width="13.1640625" customWidth="1"/>
    <col min="2055" max="2055" width="10.83203125" customWidth="1"/>
    <col min="2056" max="2056" width="9" customWidth="1"/>
    <col min="2057" max="2057" width="14.1640625" customWidth="1"/>
    <col min="2058" max="2058" width="19.1640625" customWidth="1"/>
    <col min="2303" max="2303" width="11" customWidth="1"/>
    <col min="2304" max="2304" width="25.6640625" customWidth="1"/>
    <col min="2305" max="2305" width="17" customWidth="1"/>
    <col min="2306" max="2306" width="13.33203125" customWidth="1"/>
    <col min="2307" max="2307" width="9.6640625" bestFit="1" customWidth="1"/>
    <col min="2308" max="2308" width="13.83203125" customWidth="1"/>
    <col min="2309" max="2309" width="12.6640625" customWidth="1"/>
    <col min="2310" max="2310" width="13.1640625" customWidth="1"/>
    <col min="2311" max="2311" width="10.83203125" customWidth="1"/>
    <col min="2312" max="2312" width="9" customWidth="1"/>
    <col min="2313" max="2313" width="14.1640625" customWidth="1"/>
    <col min="2314" max="2314" width="19.1640625" customWidth="1"/>
    <col min="2559" max="2559" width="11" customWidth="1"/>
    <col min="2560" max="2560" width="25.6640625" customWidth="1"/>
    <col min="2561" max="2561" width="17" customWidth="1"/>
    <col min="2562" max="2562" width="13.33203125" customWidth="1"/>
    <col min="2563" max="2563" width="9.6640625" bestFit="1" customWidth="1"/>
    <col min="2564" max="2564" width="13.83203125" customWidth="1"/>
    <col min="2565" max="2565" width="12.6640625" customWidth="1"/>
    <col min="2566" max="2566" width="13.1640625" customWidth="1"/>
    <col min="2567" max="2567" width="10.83203125" customWidth="1"/>
    <col min="2568" max="2568" width="9" customWidth="1"/>
    <col min="2569" max="2569" width="14.1640625" customWidth="1"/>
    <col min="2570" max="2570" width="19.1640625" customWidth="1"/>
    <col min="2815" max="2815" width="11" customWidth="1"/>
    <col min="2816" max="2816" width="25.6640625" customWidth="1"/>
    <col min="2817" max="2817" width="17" customWidth="1"/>
    <col min="2818" max="2818" width="13.33203125" customWidth="1"/>
    <col min="2819" max="2819" width="9.6640625" bestFit="1" customWidth="1"/>
    <col min="2820" max="2820" width="13.83203125" customWidth="1"/>
    <col min="2821" max="2821" width="12.6640625" customWidth="1"/>
    <col min="2822" max="2822" width="13.1640625" customWidth="1"/>
    <col min="2823" max="2823" width="10.83203125" customWidth="1"/>
    <col min="2824" max="2824" width="9" customWidth="1"/>
    <col min="2825" max="2825" width="14.1640625" customWidth="1"/>
    <col min="2826" max="2826" width="19.1640625" customWidth="1"/>
    <col min="3071" max="3071" width="11" customWidth="1"/>
    <col min="3072" max="3072" width="25.6640625" customWidth="1"/>
    <col min="3073" max="3073" width="17" customWidth="1"/>
    <col min="3074" max="3074" width="13.33203125" customWidth="1"/>
    <col min="3075" max="3075" width="9.6640625" bestFit="1" customWidth="1"/>
    <col min="3076" max="3076" width="13.83203125" customWidth="1"/>
    <col min="3077" max="3077" width="12.6640625" customWidth="1"/>
    <col min="3078" max="3078" width="13.1640625" customWidth="1"/>
    <col min="3079" max="3079" width="10.83203125" customWidth="1"/>
    <col min="3080" max="3080" width="9" customWidth="1"/>
    <col min="3081" max="3081" width="14.1640625" customWidth="1"/>
    <col min="3082" max="3082" width="19.1640625" customWidth="1"/>
    <col min="3327" max="3327" width="11" customWidth="1"/>
    <col min="3328" max="3328" width="25.6640625" customWidth="1"/>
    <col min="3329" max="3329" width="17" customWidth="1"/>
    <col min="3330" max="3330" width="13.33203125" customWidth="1"/>
    <col min="3331" max="3331" width="9.6640625" bestFit="1" customWidth="1"/>
    <col min="3332" max="3332" width="13.83203125" customWidth="1"/>
    <col min="3333" max="3333" width="12.6640625" customWidth="1"/>
    <col min="3334" max="3334" width="13.1640625" customWidth="1"/>
    <col min="3335" max="3335" width="10.83203125" customWidth="1"/>
    <col min="3336" max="3336" width="9" customWidth="1"/>
    <col min="3337" max="3337" width="14.1640625" customWidth="1"/>
    <col min="3338" max="3338" width="19.1640625" customWidth="1"/>
    <col min="3583" max="3583" width="11" customWidth="1"/>
    <col min="3584" max="3584" width="25.6640625" customWidth="1"/>
    <col min="3585" max="3585" width="17" customWidth="1"/>
    <col min="3586" max="3586" width="13.33203125" customWidth="1"/>
    <col min="3587" max="3587" width="9.6640625" bestFit="1" customWidth="1"/>
    <col min="3588" max="3588" width="13.83203125" customWidth="1"/>
    <col min="3589" max="3589" width="12.6640625" customWidth="1"/>
    <col min="3590" max="3590" width="13.1640625" customWidth="1"/>
    <col min="3591" max="3591" width="10.83203125" customWidth="1"/>
    <col min="3592" max="3592" width="9" customWidth="1"/>
    <col min="3593" max="3593" width="14.1640625" customWidth="1"/>
    <col min="3594" max="3594" width="19.1640625" customWidth="1"/>
    <col min="3839" max="3839" width="11" customWidth="1"/>
    <col min="3840" max="3840" width="25.6640625" customWidth="1"/>
    <col min="3841" max="3841" width="17" customWidth="1"/>
    <col min="3842" max="3842" width="13.33203125" customWidth="1"/>
    <col min="3843" max="3843" width="9.6640625" bestFit="1" customWidth="1"/>
    <col min="3844" max="3844" width="13.83203125" customWidth="1"/>
    <col min="3845" max="3845" width="12.6640625" customWidth="1"/>
    <col min="3846" max="3846" width="13.1640625" customWidth="1"/>
    <col min="3847" max="3847" width="10.83203125" customWidth="1"/>
    <col min="3848" max="3848" width="9" customWidth="1"/>
    <col min="3849" max="3849" width="14.1640625" customWidth="1"/>
    <col min="3850" max="3850" width="19.1640625" customWidth="1"/>
    <col min="4095" max="4095" width="11" customWidth="1"/>
    <col min="4096" max="4096" width="25.6640625" customWidth="1"/>
    <col min="4097" max="4097" width="17" customWidth="1"/>
    <col min="4098" max="4098" width="13.33203125" customWidth="1"/>
    <col min="4099" max="4099" width="9.6640625" bestFit="1" customWidth="1"/>
    <col min="4100" max="4100" width="13.83203125" customWidth="1"/>
    <col min="4101" max="4101" width="12.6640625" customWidth="1"/>
    <col min="4102" max="4102" width="13.1640625" customWidth="1"/>
    <col min="4103" max="4103" width="10.83203125" customWidth="1"/>
    <col min="4104" max="4104" width="9" customWidth="1"/>
    <col min="4105" max="4105" width="14.1640625" customWidth="1"/>
    <col min="4106" max="4106" width="19.1640625" customWidth="1"/>
    <col min="4351" max="4351" width="11" customWidth="1"/>
    <col min="4352" max="4352" width="25.6640625" customWidth="1"/>
    <col min="4353" max="4353" width="17" customWidth="1"/>
    <col min="4354" max="4354" width="13.33203125" customWidth="1"/>
    <col min="4355" max="4355" width="9.6640625" bestFit="1" customWidth="1"/>
    <col min="4356" max="4356" width="13.83203125" customWidth="1"/>
    <col min="4357" max="4357" width="12.6640625" customWidth="1"/>
    <col min="4358" max="4358" width="13.1640625" customWidth="1"/>
    <col min="4359" max="4359" width="10.83203125" customWidth="1"/>
    <col min="4360" max="4360" width="9" customWidth="1"/>
    <col min="4361" max="4361" width="14.1640625" customWidth="1"/>
    <col min="4362" max="4362" width="19.1640625" customWidth="1"/>
    <col min="4607" max="4607" width="11" customWidth="1"/>
    <col min="4608" max="4608" width="25.6640625" customWidth="1"/>
    <col min="4609" max="4609" width="17" customWidth="1"/>
    <col min="4610" max="4610" width="13.33203125" customWidth="1"/>
    <col min="4611" max="4611" width="9.6640625" bestFit="1" customWidth="1"/>
    <col min="4612" max="4612" width="13.83203125" customWidth="1"/>
    <col min="4613" max="4613" width="12.6640625" customWidth="1"/>
    <col min="4614" max="4614" width="13.1640625" customWidth="1"/>
    <col min="4615" max="4615" width="10.83203125" customWidth="1"/>
    <col min="4616" max="4616" width="9" customWidth="1"/>
    <col min="4617" max="4617" width="14.1640625" customWidth="1"/>
    <col min="4618" max="4618" width="19.1640625" customWidth="1"/>
    <col min="4863" max="4863" width="11" customWidth="1"/>
    <col min="4864" max="4864" width="25.6640625" customWidth="1"/>
    <col min="4865" max="4865" width="17" customWidth="1"/>
    <col min="4866" max="4866" width="13.33203125" customWidth="1"/>
    <col min="4867" max="4867" width="9.6640625" bestFit="1" customWidth="1"/>
    <col min="4868" max="4868" width="13.83203125" customWidth="1"/>
    <col min="4869" max="4869" width="12.6640625" customWidth="1"/>
    <col min="4870" max="4870" width="13.1640625" customWidth="1"/>
    <col min="4871" max="4871" width="10.83203125" customWidth="1"/>
    <col min="4872" max="4872" width="9" customWidth="1"/>
    <col min="4873" max="4873" width="14.1640625" customWidth="1"/>
    <col min="4874" max="4874" width="19.1640625" customWidth="1"/>
    <col min="5119" max="5119" width="11" customWidth="1"/>
    <col min="5120" max="5120" width="25.6640625" customWidth="1"/>
    <col min="5121" max="5121" width="17" customWidth="1"/>
    <col min="5122" max="5122" width="13.33203125" customWidth="1"/>
    <col min="5123" max="5123" width="9.6640625" bestFit="1" customWidth="1"/>
    <col min="5124" max="5124" width="13.83203125" customWidth="1"/>
    <col min="5125" max="5125" width="12.6640625" customWidth="1"/>
    <col min="5126" max="5126" width="13.1640625" customWidth="1"/>
    <col min="5127" max="5127" width="10.83203125" customWidth="1"/>
    <col min="5128" max="5128" width="9" customWidth="1"/>
    <col min="5129" max="5129" width="14.1640625" customWidth="1"/>
    <col min="5130" max="5130" width="19.1640625" customWidth="1"/>
    <col min="5375" max="5375" width="11" customWidth="1"/>
    <col min="5376" max="5376" width="25.6640625" customWidth="1"/>
    <col min="5377" max="5377" width="17" customWidth="1"/>
    <col min="5378" max="5378" width="13.33203125" customWidth="1"/>
    <col min="5379" max="5379" width="9.6640625" bestFit="1" customWidth="1"/>
    <col min="5380" max="5380" width="13.83203125" customWidth="1"/>
    <col min="5381" max="5381" width="12.6640625" customWidth="1"/>
    <col min="5382" max="5382" width="13.1640625" customWidth="1"/>
    <col min="5383" max="5383" width="10.83203125" customWidth="1"/>
    <col min="5384" max="5384" width="9" customWidth="1"/>
    <col min="5385" max="5385" width="14.1640625" customWidth="1"/>
    <col min="5386" max="5386" width="19.1640625" customWidth="1"/>
    <col min="5631" max="5631" width="11" customWidth="1"/>
    <col min="5632" max="5632" width="25.6640625" customWidth="1"/>
    <col min="5633" max="5633" width="17" customWidth="1"/>
    <col min="5634" max="5634" width="13.33203125" customWidth="1"/>
    <col min="5635" max="5635" width="9.6640625" bestFit="1" customWidth="1"/>
    <col min="5636" max="5636" width="13.83203125" customWidth="1"/>
    <col min="5637" max="5637" width="12.6640625" customWidth="1"/>
    <col min="5638" max="5638" width="13.1640625" customWidth="1"/>
    <col min="5639" max="5639" width="10.83203125" customWidth="1"/>
    <col min="5640" max="5640" width="9" customWidth="1"/>
    <col min="5641" max="5641" width="14.1640625" customWidth="1"/>
    <col min="5642" max="5642" width="19.1640625" customWidth="1"/>
    <col min="5887" max="5887" width="11" customWidth="1"/>
    <col min="5888" max="5888" width="25.6640625" customWidth="1"/>
    <col min="5889" max="5889" width="17" customWidth="1"/>
    <col min="5890" max="5890" width="13.33203125" customWidth="1"/>
    <col min="5891" max="5891" width="9.6640625" bestFit="1" customWidth="1"/>
    <col min="5892" max="5892" width="13.83203125" customWidth="1"/>
    <col min="5893" max="5893" width="12.6640625" customWidth="1"/>
    <col min="5894" max="5894" width="13.1640625" customWidth="1"/>
    <col min="5895" max="5895" width="10.83203125" customWidth="1"/>
    <col min="5896" max="5896" width="9" customWidth="1"/>
    <col min="5897" max="5897" width="14.1640625" customWidth="1"/>
    <col min="5898" max="5898" width="19.1640625" customWidth="1"/>
    <col min="6143" max="6143" width="11" customWidth="1"/>
    <col min="6144" max="6144" width="25.6640625" customWidth="1"/>
    <col min="6145" max="6145" width="17" customWidth="1"/>
    <col min="6146" max="6146" width="13.33203125" customWidth="1"/>
    <col min="6147" max="6147" width="9.6640625" bestFit="1" customWidth="1"/>
    <col min="6148" max="6148" width="13.83203125" customWidth="1"/>
    <col min="6149" max="6149" width="12.6640625" customWidth="1"/>
    <col min="6150" max="6150" width="13.1640625" customWidth="1"/>
    <col min="6151" max="6151" width="10.83203125" customWidth="1"/>
    <col min="6152" max="6152" width="9" customWidth="1"/>
    <col min="6153" max="6153" width="14.1640625" customWidth="1"/>
    <col min="6154" max="6154" width="19.1640625" customWidth="1"/>
    <col min="6399" max="6399" width="11" customWidth="1"/>
    <col min="6400" max="6400" width="25.6640625" customWidth="1"/>
    <col min="6401" max="6401" width="17" customWidth="1"/>
    <col min="6402" max="6402" width="13.33203125" customWidth="1"/>
    <col min="6403" max="6403" width="9.6640625" bestFit="1" customWidth="1"/>
    <col min="6404" max="6404" width="13.83203125" customWidth="1"/>
    <col min="6405" max="6405" width="12.6640625" customWidth="1"/>
    <col min="6406" max="6406" width="13.1640625" customWidth="1"/>
    <col min="6407" max="6407" width="10.83203125" customWidth="1"/>
    <col min="6408" max="6408" width="9" customWidth="1"/>
    <col min="6409" max="6409" width="14.1640625" customWidth="1"/>
    <col min="6410" max="6410" width="19.1640625" customWidth="1"/>
    <col min="6655" max="6655" width="11" customWidth="1"/>
    <col min="6656" max="6656" width="25.6640625" customWidth="1"/>
    <col min="6657" max="6657" width="17" customWidth="1"/>
    <col min="6658" max="6658" width="13.33203125" customWidth="1"/>
    <col min="6659" max="6659" width="9.6640625" bestFit="1" customWidth="1"/>
    <col min="6660" max="6660" width="13.83203125" customWidth="1"/>
    <col min="6661" max="6661" width="12.6640625" customWidth="1"/>
    <col min="6662" max="6662" width="13.1640625" customWidth="1"/>
    <col min="6663" max="6663" width="10.83203125" customWidth="1"/>
    <col min="6664" max="6664" width="9" customWidth="1"/>
    <col min="6665" max="6665" width="14.1640625" customWidth="1"/>
    <col min="6666" max="6666" width="19.1640625" customWidth="1"/>
    <col min="6911" max="6911" width="11" customWidth="1"/>
    <col min="6912" max="6912" width="25.6640625" customWidth="1"/>
    <col min="6913" max="6913" width="17" customWidth="1"/>
    <col min="6914" max="6914" width="13.33203125" customWidth="1"/>
    <col min="6915" max="6915" width="9.6640625" bestFit="1" customWidth="1"/>
    <col min="6916" max="6916" width="13.83203125" customWidth="1"/>
    <col min="6917" max="6917" width="12.6640625" customWidth="1"/>
    <col min="6918" max="6918" width="13.1640625" customWidth="1"/>
    <col min="6919" max="6919" width="10.83203125" customWidth="1"/>
    <col min="6920" max="6920" width="9" customWidth="1"/>
    <col min="6921" max="6921" width="14.1640625" customWidth="1"/>
    <col min="6922" max="6922" width="19.1640625" customWidth="1"/>
    <col min="7167" max="7167" width="11" customWidth="1"/>
    <col min="7168" max="7168" width="25.6640625" customWidth="1"/>
    <col min="7169" max="7169" width="17" customWidth="1"/>
    <col min="7170" max="7170" width="13.33203125" customWidth="1"/>
    <col min="7171" max="7171" width="9.6640625" bestFit="1" customWidth="1"/>
    <col min="7172" max="7172" width="13.83203125" customWidth="1"/>
    <col min="7173" max="7173" width="12.6640625" customWidth="1"/>
    <col min="7174" max="7174" width="13.1640625" customWidth="1"/>
    <col min="7175" max="7175" width="10.83203125" customWidth="1"/>
    <col min="7176" max="7176" width="9" customWidth="1"/>
    <col min="7177" max="7177" width="14.1640625" customWidth="1"/>
    <col min="7178" max="7178" width="19.1640625" customWidth="1"/>
    <col min="7423" max="7423" width="11" customWidth="1"/>
    <col min="7424" max="7424" width="25.6640625" customWidth="1"/>
    <col min="7425" max="7425" width="17" customWidth="1"/>
    <col min="7426" max="7426" width="13.33203125" customWidth="1"/>
    <col min="7427" max="7427" width="9.6640625" bestFit="1" customWidth="1"/>
    <col min="7428" max="7428" width="13.83203125" customWidth="1"/>
    <col min="7429" max="7429" width="12.6640625" customWidth="1"/>
    <col min="7430" max="7430" width="13.1640625" customWidth="1"/>
    <col min="7431" max="7431" width="10.83203125" customWidth="1"/>
    <col min="7432" max="7432" width="9" customWidth="1"/>
    <col min="7433" max="7433" width="14.1640625" customWidth="1"/>
    <col min="7434" max="7434" width="19.1640625" customWidth="1"/>
    <col min="7679" max="7679" width="11" customWidth="1"/>
    <col min="7680" max="7680" width="25.6640625" customWidth="1"/>
    <col min="7681" max="7681" width="17" customWidth="1"/>
    <col min="7682" max="7682" width="13.33203125" customWidth="1"/>
    <col min="7683" max="7683" width="9.6640625" bestFit="1" customWidth="1"/>
    <col min="7684" max="7684" width="13.83203125" customWidth="1"/>
    <col min="7685" max="7685" width="12.6640625" customWidth="1"/>
    <col min="7686" max="7686" width="13.1640625" customWidth="1"/>
    <col min="7687" max="7687" width="10.83203125" customWidth="1"/>
    <col min="7688" max="7688" width="9" customWidth="1"/>
    <col min="7689" max="7689" width="14.1640625" customWidth="1"/>
    <col min="7690" max="7690" width="19.1640625" customWidth="1"/>
    <col min="7935" max="7935" width="11" customWidth="1"/>
    <col min="7936" max="7936" width="25.6640625" customWidth="1"/>
    <col min="7937" max="7937" width="17" customWidth="1"/>
    <col min="7938" max="7938" width="13.33203125" customWidth="1"/>
    <col min="7939" max="7939" width="9.6640625" bestFit="1" customWidth="1"/>
    <col min="7940" max="7940" width="13.83203125" customWidth="1"/>
    <col min="7941" max="7941" width="12.6640625" customWidth="1"/>
    <col min="7942" max="7942" width="13.1640625" customWidth="1"/>
    <col min="7943" max="7943" width="10.83203125" customWidth="1"/>
    <col min="7944" max="7944" width="9" customWidth="1"/>
    <col min="7945" max="7945" width="14.1640625" customWidth="1"/>
    <col min="7946" max="7946" width="19.1640625" customWidth="1"/>
    <col min="8191" max="8191" width="11" customWidth="1"/>
    <col min="8192" max="8192" width="25.6640625" customWidth="1"/>
    <col min="8193" max="8193" width="17" customWidth="1"/>
    <col min="8194" max="8194" width="13.33203125" customWidth="1"/>
    <col min="8195" max="8195" width="9.6640625" bestFit="1" customWidth="1"/>
    <col min="8196" max="8196" width="13.83203125" customWidth="1"/>
    <col min="8197" max="8197" width="12.6640625" customWidth="1"/>
    <col min="8198" max="8198" width="13.1640625" customWidth="1"/>
    <col min="8199" max="8199" width="10.83203125" customWidth="1"/>
    <col min="8200" max="8200" width="9" customWidth="1"/>
    <col min="8201" max="8201" width="14.1640625" customWidth="1"/>
    <col min="8202" max="8202" width="19.1640625" customWidth="1"/>
    <col min="8447" max="8447" width="11" customWidth="1"/>
    <col min="8448" max="8448" width="25.6640625" customWidth="1"/>
    <col min="8449" max="8449" width="17" customWidth="1"/>
    <col min="8450" max="8450" width="13.33203125" customWidth="1"/>
    <col min="8451" max="8451" width="9.6640625" bestFit="1" customWidth="1"/>
    <col min="8452" max="8452" width="13.83203125" customWidth="1"/>
    <col min="8453" max="8453" width="12.6640625" customWidth="1"/>
    <col min="8454" max="8454" width="13.1640625" customWidth="1"/>
    <col min="8455" max="8455" width="10.83203125" customWidth="1"/>
    <col min="8456" max="8456" width="9" customWidth="1"/>
    <col min="8457" max="8457" width="14.1640625" customWidth="1"/>
    <col min="8458" max="8458" width="19.1640625" customWidth="1"/>
    <col min="8703" max="8703" width="11" customWidth="1"/>
    <col min="8704" max="8704" width="25.6640625" customWidth="1"/>
    <col min="8705" max="8705" width="17" customWidth="1"/>
    <col min="8706" max="8706" width="13.33203125" customWidth="1"/>
    <col min="8707" max="8707" width="9.6640625" bestFit="1" customWidth="1"/>
    <col min="8708" max="8708" width="13.83203125" customWidth="1"/>
    <col min="8709" max="8709" width="12.6640625" customWidth="1"/>
    <col min="8710" max="8710" width="13.1640625" customWidth="1"/>
    <col min="8711" max="8711" width="10.83203125" customWidth="1"/>
    <col min="8712" max="8712" width="9" customWidth="1"/>
    <col min="8713" max="8713" width="14.1640625" customWidth="1"/>
    <col min="8714" max="8714" width="19.1640625" customWidth="1"/>
    <col min="8959" max="8959" width="11" customWidth="1"/>
    <col min="8960" max="8960" width="25.6640625" customWidth="1"/>
    <col min="8961" max="8961" width="17" customWidth="1"/>
    <col min="8962" max="8962" width="13.33203125" customWidth="1"/>
    <col min="8963" max="8963" width="9.6640625" bestFit="1" customWidth="1"/>
    <col min="8964" max="8964" width="13.83203125" customWidth="1"/>
    <col min="8965" max="8965" width="12.6640625" customWidth="1"/>
    <col min="8966" max="8966" width="13.1640625" customWidth="1"/>
    <col min="8967" max="8967" width="10.83203125" customWidth="1"/>
    <col min="8968" max="8968" width="9" customWidth="1"/>
    <col min="8969" max="8969" width="14.1640625" customWidth="1"/>
    <col min="8970" max="8970" width="19.1640625" customWidth="1"/>
    <col min="9215" max="9215" width="11" customWidth="1"/>
    <col min="9216" max="9216" width="25.6640625" customWidth="1"/>
    <col min="9217" max="9217" width="17" customWidth="1"/>
    <col min="9218" max="9218" width="13.33203125" customWidth="1"/>
    <col min="9219" max="9219" width="9.6640625" bestFit="1" customWidth="1"/>
    <col min="9220" max="9220" width="13.83203125" customWidth="1"/>
    <col min="9221" max="9221" width="12.6640625" customWidth="1"/>
    <col min="9222" max="9222" width="13.1640625" customWidth="1"/>
    <col min="9223" max="9223" width="10.83203125" customWidth="1"/>
    <col min="9224" max="9224" width="9" customWidth="1"/>
    <col min="9225" max="9225" width="14.1640625" customWidth="1"/>
    <col min="9226" max="9226" width="19.1640625" customWidth="1"/>
    <col min="9471" max="9471" width="11" customWidth="1"/>
    <col min="9472" max="9472" width="25.6640625" customWidth="1"/>
    <col min="9473" max="9473" width="17" customWidth="1"/>
    <col min="9474" max="9474" width="13.33203125" customWidth="1"/>
    <col min="9475" max="9475" width="9.6640625" bestFit="1" customWidth="1"/>
    <col min="9476" max="9476" width="13.83203125" customWidth="1"/>
    <col min="9477" max="9477" width="12.6640625" customWidth="1"/>
    <col min="9478" max="9478" width="13.1640625" customWidth="1"/>
    <col min="9479" max="9479" width="10.83203125" customWidth="1"/>
    <col min="9480" max="9480" width="9" customWidth="1"/>
    <col min="9481" max="9481" width="14.1640625" customWidth="1"/>
    <col min="9482" max="9482" width="19.1640625" customWidth="1"/>
    <col min="9727" max="9727" width="11" customWidth="1"/>
    <col min="9728" max="9728" width="25.6640625" customWidth="1"/>
    <col min="9729" max="9729" width="17" customWidth="1"/>
    <col min="9730" max="9730" width="13.33203125" customWidth="1"/>
    <col min="9731" max="9731" width="9.6640625" bestFit="1" customWidth="1"/>
    <col min="9732" max="9732" width="13.83203125" customWidth="1"/>
    <col min="9733" max="9733" width="12.6640625" customWidth="1"/>
    <col min="9734" max="9734" width="13.1640625" customWidth="1"/>
    <col min="9735" max="9735" width="10.83203125" customWidth="1"/>
    <col min="9736" max="9736" width="9" customWidth="1"/>
    <col min="9737" max="9737" width="14.1640625" customWidth="1"/>
    <col min="9738" max="9738" width="19.1640625" customWidth="1"/>
    <col min="9983" max="9983" width="11" customWidth="1"/>
    <col min="9984" max="9984" width="25.6640625" customWidth="1"/>
    <col min="9985" max="9985" width="17" customWidth="1"/>
    <col min="9986" max="9986" width="13.33203125" customWidth="1"/>
    <col min="9987" max="9987" width="9.6640625" bestFit="1" customWidth="1"/>
    <col min="9988" max="9988" width="13.83203125" customWidth="1"/>
    <col min="9989" max="9989" width="12.6640625" customWidth="1"/>
    <col min="9990" max="9990" width="13.1640625" customWidth="1"/>
    <col min="9991" max="9991" width="10.83203125" customWidth="1"/>
    <col min="9992" max="9992" width="9" customWidth="1"/>
    <col min="9993" max="9993" width="14.1640625" customWidth="1"/>
    <col min="9994" max="9994" width="19.1640625" customWidth="1"/>
    <col min="10239" max="10239" width="11" customWidth="1"/>
    <col min="10240" max="10240" width="25.6640625" customWidth="1"/>
    <col min="10241" max="10241" width="17" customWidth="1"/>
    <col min="10242" max="10242" width="13.33203125" customWidth="1"/>
    <col min="10243" max="10243" width="9.6640625" bestFit="1" customWidth="1"/>
    <col min="10244" max="10244" width="13.83203125" customWidth="1"/>
    <col min="10245" max="10245" width="12.6640625" customWidth="1"/>
    <col min="10246" max="10246" width="13.1640625" customWidth="1"/>
    <col min="10247" max="10247" width="10.83203125" customWidth="1"/>
    <col min="10248" max="10248" width="9" customWidth="1"/>
    <col min="10249" max="10249" width="14.1640625" customWidth="1"/>
    <col min="10250" max="10250" width="19.1640625" customWidth="1"/>
    <col min="10495" max="10495" width="11" customWidth="1"/>
    <col min="10496" max="10496" width="25.6640625" customWidth="1"/>
    <col min="10497" max="10497" width="17" customWidth="1"/>
    <col min="10498" max="10498" width="13.33203125" customWidth="1"/>
    <col min="10499" max="10499" width="9.6640625" bestFit="1" customWidth="1"/>
    <col min="10500" max="10500" width="13.83203125" customWidth="1"/>
    <col min="10501" max="10501" width="12.6640625" customWidth="1"/>
    <col min="10502" max="10502" width="13.1640625" customWidth="1"/>
    <col min="10503" max="10503" width="10.83203125" customWidth="1"/>
    <col min="10504" max="10504" width="9" customWidth="1"/>
    <col min="10505" max="10505" width="14.1640625" customWidth="1"/>
    <col min="10506" max="10506" width="19.1640625" customWidth="1"/>
    <col min="10751" max="10751" width="11" customWidth="1"/>
    <col min="10752" max="10752" width="25.6640625" customWidth="1"/>
    <col min="10753" max="10753" width="17" customWidth="1"/>
    <col min="10754" max="10754" width="13.33203125" customWidth="1"/>
    <col min="10755" max="10755" width="9.6640625" bestFit="1" customWidth="1"/>
    <col min="10756" max="10756" width="13.83203125" customWidth="1"/>
    <col min="10757" max="10757" width="12.6640625" customWidth="1"/>
    <col min="10758" max="10758" width="13.1640625" customWidth="1"/>
    <col min="10759" max="10759" width="10.83203125" customWidth="1"/>
    <col min="10760" max="10760" width="9" customWidth="1"/>
    <col min="10761" max="10761" width="14.1640625" customWidth="1"/>
    <col min="10762" max="10762" width="19.1640625" customWidth="1"/>
    <col min="11007" max="11007" width="11" customWidth="1"/>
    <col min="11008" max="11008" width="25.6640625" customWidth="1"/>
    <col min="11009" max="11009" width="17" customWidth="1"/>
    <col min="11010" max="11010" width="13.33203125" customWidth="1"/>
    <col min="11011" max="11011" width="9.6640625" bestFit="1" customWidth="1"/>
    <col min="11012" max="11012" width="13.83203125" customWidth="1"/>
    <col min="11013" max="11013" width="12.6640625" customWidth="1"/>
    <col min="11014" max="11014" width="13.1640625" customWidth="1"/>
    <col min="11015" max="11015" width="10.83203125" customWidth="1"/>
    <col min="11016" max="11016" width="9" customWidth="1"/>
    <col min="11017" max="11017" width="14.1640625" customWidth="1"/>
    <col min="11018" max="11018" width="19.1640625" customWidth="1"/>
    <col min="11263" max="11263" width="11" customWidth="1"/>
    <col min="11264" max="11264" width="25.6640625" customWidth="1"/>
    <col min="11265" max="11265" width="17" customWidth="1"/>
    <col min="11266" max="11266" width="13.33203125" customWidth="1"/>
    <col min="11267" max="11267" width="9.6640625" bestFit="1" customWidth="1"/>
    <col min="11268" max="11268" width="13.83203125" customWidth="1"/>
    <col min="11269" max="11269" width="12.6640625" customWidth="1"/>
    <col min="11270" max="11270" width="13.1640625" customWidth="1"/>
    <col min="11271" max="11271" width="10.83203125" customWidth="1"/>
    <col min="11272" max="11272" width="9" customWidth="1"/>
    <col min="11273" max="11273" width="14.1640625" customWidth="1"/>
    <col min="11274" max="11274" width="19.1640625" customWidth="1"/>
    <col min="11519" max="11519" width="11" customWidth="1"/>
    <col min="11520" max="11520" width="25.6640625" customWidth="1"/>
    <col min="11521" max="11521" width="17" customWidth="1"/>
    <col min="11522" max="11522" width="13.33203125" customWidth="1"/>
    <col min="11523" max="11523" width="9.6640625" bestFit="1" customWidth="1"/>
    <col min="11524" max="11524" width="13.83203125" customWidth="1"/>
    <col min="11525" max="11525" width="12.6640625" customWidth="1"/>
    <col min="11526" max="11526" width="13.1640625" customWidth="1"/>
    <col min="11527" max="11527" width="10.83203125" customWidth="1"/>
    <col min="11528" max="11528" width="9" customWidth="1"/>
    <col min="11529" max="11529" width="14.1640625" customWidth="1"/>
    <col min="11530" max="11530" width="19.1640625" customWidth="1"/>
    <col min="11775" max="11775" width="11" customWidth="1"/>
    <col min="11776" max="11776" width="25.6640625" customWidth="1"/>
    <col min="11777" max="11777" width="17" customWidth="1"/>
    <col min="11778" max="11778" width="13.33203125" customWidth="1"/>
    <col min="11779" max="11779" width="9.6640625" bestFit="1" customWidth="1"/>
    <col min="11780" max="11780" width="13.83203125" customWidth="1"/>
    <col min="11781" max="11781" width="12.6640625" customWidth="1"/>
    <col min="11782" max="11782" width="13.1640625" customWidth="1"/>
    <col min="11783" max="11783" width="10.83203125" customWidth="1"/>
    <col min="11784" max="11784" width="9" customWidth="1"/>
    <col min="11785" max="11785" width="14.1640625" customWidth="1"/>
    <col min="11786" max="11786" width="19.1640625" customWidth="1"/>
    <col min="12031" max="12031" width="11" customWidth="1"/>
    <col min="12032" max="12032" width="25.6640625" customWidth="1"/>
    <col min="12033" max="12033" width="17" customWidth="1"/>
    <col min="12034" max="12034" width="13.33203125" customWidth="1"/>
    <col min="12035" max="12035" width="9.6640625" bestFit="1" customWidth="1"/>
    <col min="12036" max="12036" width="13.83203125" customWidth="1"/>
    <col min="12037" max="12037" width="12.6640625" customWidth="1"/>
    <col min="12038" max="12038" width="13.1640625" customWidth="1"/>
    <col min="12039" max="12039" width="10.83203125" customWidth="1"/>
    <col min="12040" max="12040" width="9" customWidth="1"/>
    <col min="12041" max="12041" width="14.1640625" customWidth="1"/>
    <col min="12042" max="12042" width="19.1640625" customWidth="1"/>
    <col min="12287" max="12287" width="11" customWidth="1"/>
    <col min="12288" max="12288" width="25.6640625" customWidth="1"/>
    <col min="12289" max="12289" width="17" customWidth="1"/>
    <col min="12290" max="12290" width="13.33203125" customWidth="1"/>
    <col min="12291" max="12291" width="9.6640625" bestFit="1" customWidth="1"/>
    <col min="12292" max="12292" width="13.83203125" customWidth="1"/>
    <col min="12293" max="12293" width="12.6640625" customWidth="1"/>
    <col min="12294" max="12294" width="13.1640625" customWidth="1"/>
    <col min="12295" max="12295" width="10.83203125" customWidth="1"/>
    <col min="12296" max="12296" width="9" customWidth="1"/>
    <col min="12297" max="12297" width="14.1640625" customWidth="1"/>
    <col min="12298" max="12298" width="19.1640625" customWidth="1"/>
    <col min="12543" max="12543" width="11" customWidth="1"/>
    <col min="12544" max="12544" width="25.6640625" customWidth="1"/>
    <col min="12545" max="12545" width="17" customWidth="1"/>
    <col min="12546" max="12546" width="13.33203125" customWidth="1"/>
    <col min="12547" max="12547" width="9.6640625" bestFit="1" customWidth="1"/>
    <col min="12548" max="12548" width="13.83203125" customWidth="1"/>
    <col min="12549" max="12549" width="12.6640625" customWidth="1"/>
    <col min="12550" max="12550" width="13.1640625" customWidth="1"/>
    <col min="12551" max="12551" width="10.83203125" customWidth="1"/>
    <col min="12552" max="12552" width="9" customWidth="1"/>
    <col min="12553" max="12553" width="14.1640625" customWidth="1"/>
    <col min="12554" max="12554" width="19.1640625" customWidth="1"/>
    <col min="12799" max="12799" width="11" customWidth="1"/>
    <col min="12800" max="12800" width="25.6640625" customWidth="1"/>
    <col min="12801" max="12801" width="17" customWidth="1"/>
    <col min="12802" max="12802" width="13.33203125" customWidth="1"/>
    <col min="12803" max="12803" width="9.6640625" bestFit="1" customWidth="1"/>
    <col min="12804" max="12804" width="13.83203125" customWidth="1"/>
    <col min="12805" max="12805" width="12.6640625" customWidth="1"/>
    <col min="12806" max="12806" width="13.1640625" customWidth="1"/>
    <col min="12807" max="12807" width="10.83203125" customWidth="1"/>
    <col min="12808" max="12808" width="9" customWidth="1"/>
    <col min="12809" max="12809" width="14.1640625" customWidth="1"/>
    <col min="12810" max="12810" width="19.1640625" customWidth="1"/>
    <col min="13055" max="13055" width="11" customWidth="1"/>
    <col min="13056" max="13056" width="25.6640625" customWidth="1"/>
    <col min="13057" max="13057" width="17" customWidth="1"/>
    <col min="13058" max="13058" width="13.33203125" customWidth="1"/>
    <col min="13059" max="13059" width="9.6640625" bestFit="1" customWidth="1"/>
    <col min="13060" max="13060" width="13.83203125" customWidth="1"/>
    <col min="13061" max="13061" width="12.6640625" customWidth="1"/>
    <col min="13062" max="13062" width="13.1640625" customWidth="1"/>
    <col min="13063" max="13063" width="10.83203125" customWidth="1"/>
    <col min="13064" max="13064" width="9" customWidth="1"/>
    <col min="13065" max="13065" width="14.1640625" customWidth="1"/>
    <col min="13066" max="13066" width="19.1640625" customWidth="1"/>
    <col min="13311" max="13311" width="11" customWidth="1"/>
    <col min="13312" max="13312" width="25.6640625" customWidth="1"/>
    <col min="13313" max="13313" width="17" customWidth="1"/>
    <col min="13314" max="13314" width="13.33203125" customWidth="1"/>
    <col min="13315" max="13315" width="9.6640625" bestFit="1" customWidth="1"/>
    <col min="13316" max="13316" width="13.83203125" customWidth="1"/>
    <col min="13317" max="13317" width="12.6640625" customWidth="1"/>
    <col min="13318" max="13318" width="13.1640625" customWidth="1"/>
    <col min="13319" max="13319" width="10.83203125" customWidth="1"/>
    <col min="13320" max="13320" width="9" customWidth="1"/>
    <col min="13321" max="13321" width="14.1640625" customWidth="1"/>
    <col min="13322" max="13322" width="19.1640625" customWidth="1"/>
    <col min="13567" max="13567" width="11" customWidth="1"/>
    <col min="13568" max="13568" width="25.6640625" customWidth="1"/>
    <col min="13569" max="13569" width="17" customWidth="1"/>
    <col min="13570" max="13570" width="13.33203125" customWidth="1"/>
    <col min="13571" max="13571" width="9.6640625" bestFit="1" customWidth="1"/>
    <col min="13572" max="13572" width="13.83203125" customWidth="1"/>
    <col min="13573" max="13573" width="12.6640625" customWidth="1"/>
    <col min="13574" max="13574" width="13.1640625" customWidth="1"/>
    <col min="13575" max="13575" width="10.83203125" customWidth="1"/>
    <col min="13576" max="13576" width="9" customWidth="1"/>
    <col min="13577" max="13577" width="14.1640625" customWidth="1"/>
    <col min="13578" max="13578" width="19.1640625" customWidth="1"/>
    <col min="13823" max="13823" width="11" customWidth="1"/>
    <col min="13824" max="13824" width="25.6640625" customWidth="1"/>
    <col min="13825" max="13825" width="17" customWidth="1"/>
    <col min="13826" max="13826" width="13.33203125" customWidth="1"/>
    <col min="13827" max="13827" width="9.6640625" bestFit="1" customWidth="1"/>
    <col min="13828" max="13828" width="13.83203125" customWidth="1"/>
    <col min="13829" max="13829" width="12.6640625" customWidth="1"/>
    <col min="13830" max="13830" width="13.1640625" customWidth="1"/>
    <col min="13831" max="13831" width="10.83203125" customWidth="1"/>
    <col min="13832" max="13832" width="9" customWidth="1"/>
    <col min="13833" max="13833" width="14.1640625" customWidth="1"/>
    <col min="13834" max="13834" width="19.1640625" customWidth="1"/>
    <col min="14079" max="14079" width="11" customWidth="1"/>
    <col min="14080" max="14080" width="25.6640625" customWidth="1"/>
    <col min="14081" max="14081" width="17" customWidth="1"/>
    <col min="14082" max="14082" width="13.33203125" customWidth="1"/>
    <col min="14083" max="14083" width="9.6640625" bestFit="1" customWidth="1"/>
    <col min="14084" max="14084" width="13.83203125" customWidth="1"/>
    <col min="14085" max="14085" width="12.6640625" customWidth="1"/>
    <col min="14086" max="14086" width="13.1640625" customWidth="1"/>
    <col min="14087" max="14087" width="10.83203125" customWidth="1"/>
    <col min="14088" max="14088" width="9" customWidth="1"/>
    <col min="14089" max="14089" width="14.1640625" customWidth="1"/>
    <col min="14090" max="14090" width="19.1640625" customWidth="1"/>
    <col min="14335" max="14335" width="11" customWidth="1"/>
    <col min="14336" max="14336" width="25.6640625" customWidth="1"/>
    <col min="14337" max="14337" width="17" customWidth="1"/>
    <col min="14338" max="14338" width="13.33203125" customWidth="1"/>
    <col min="14339" max="14339" width="9.6640625" bestFit="1" customWidth="1"/>
    <col min="14340" max="14340" width="13.83203125" customWidth="1"/>
    <col min="14341" max="14341" width="12.6640625" customWidth="1"/>
    <col min="14342" max="14342" width="13.1640625" customWidth="1"/>
    <col min="14343" max="14343" width="10.83203125" customWidth="1"/>
    <col min="14344" max="14344" width="9" customWidth="1"/>
    <col min="14345" max="14345" width="14.1640625" customWidth="1"/>
    <col min="14346" max="14346" width="19.1640625" customWidth="1"/>
    <col min="14591" max="14591" width="11" customWidth="1"/>
    <col min="14592" max="14592" width="25.6640625" customWidth="1"/>
    <col min="14593" max="14593" width="17" customWidth="1"/>
    <col min="14594" max="14594" width="13.33203125" customWidth="1"/>
    <col min="14595" max="14595" width="9.6640625" bestFit="1" customWidth="1"/>
    <col min="14596" max="14596" width="13.83203125" customWidth="1"/>
    <col min="14597" max="14597" width="12.6640625" customWidth="1"/>
    <col min="14598" max="14598" width="13.1640625" customWidth="1"/>
    <col min="14599" max="14599" width="10.83203125" customWidth="1"/>
    <col min="14600" max="14600" width="9" customWidth="1"/>
    <col min="14601" max="14601" width="14.1640625" customWidth="1"/>
    <col min="14602" max="14602" width="19.1640625" customWidth="1"/>
    <col min="14847" max="14847" width="11" customWidth="1"/>
    <col min="14848" max="14848" width="25.6640625" customWidth="1"/>
    <col min="14849" max="14849" width="17" customWidth="1"/>
    <col min="14850" max="14850" width="13.33203125" customWidth="1"/>
    <col min="14851" max="14851" width="9.6640625" bestFit="1" customWidth="1"/>
    <col min="14852" max="14852" width="13.83203125" customWidth="1"/>
    <col min="14853" max="14853" width="12.6640625" customWidth="1"/>
    <col min="14854" max="14854" width="13.1640625" customWidth="1"/>
    <col min="14855" max="14855" width="10.83203125" customWidth="1"/>
    <col min="14856" max="14856" width="9" customWidth="1"/>
    <col min="14857" max="14857" width="14.1640625" customWidth="1"/>
    <col min="14858" max="14858" width="19.1640625" customWidth="1"/>
    <col min="15103" max="15103" width="11" customWidth="1"/>
    <col min="15104" max="15104" width="25.6640625" customWidth="1"/>
    <col min="15105" max="15105" width="17" customWidth="1"/>
    <col min="15106" max="15106" width="13.33203125" customWidth="1"/>
    <col min="15107" max="15107" width="9.6640625" bestFit="1" customWidth="1"/>
    <col min="15108" max="15108" width="13.83203125" customWidth="1"/>
    <col min="15109" max="15109" width="12.6640625" customWidth="1"/>
    <col min="15110" max="15110" width="13.1640625" customWidth="1"/>
    <col min="15111" max="15111" width="10.83203125" customWidth="1"/>
    <col min="15112" max="15112" width="9" customWidth="1"/>
    <col min="15113" max="15113" width="14.1640625" customWidth="1"/>
    <col min="15114" max="15114" width="19.1640625" customWidth="1"/>
    <col min="15359" max="15359" width="11" customWidth="1"/>
    <col min="15360" max="15360" width="25.6640625" customWidth="1"/>
    <col min="15361" max="15361" width="17" customWidth="1"/>
    <col min="15362" max="15362" width="13.33203125" customWidth="1"/>
    <col min="15363" max="15363" width="9.6640625" bestFit="1" customWidth="1"/>
    <col min="15364" max="15364" width="13.83203125" customWidth="1"/>
    <col min="15365" max="15365" width="12.6640625" customWidth="1"/>
    <col min="15366" max="15366" width="13.1640625" customWidth="1"/>
    <col min="15367" max="15367" width="10.83203125" customWidth="1"/>
    <col min="15368" max="15368" width="9" customWidth="1"/>
    <col min="15369" max="15369" width="14.1640625" customWidth="1"/>
    <col min="15370" max="15370" width="19.1640625" customWidth="1"/>
    <col min="15615" max="15615" width="11" customWidth="1"/>
    <col min="15616" max="15616" width="25.6640625" customWidth="1"/>
    <col min="15617" max="15617" width="17" customWidth="1"/>
    <col min="15618" max="15618" width="13.33203125" customWidth="1"/>
    <col min="15619" max="15619" width="9.6640625" bestFit="1" customWidth="1"/>
    <col min="15620" max="15620" width="13.83203125" customWidth="1"/>
    <col min="15621" max="15621" width="12.6640625" customWidth="1"/>
    <col min="15622" max="15622" width="13.1640625" customWidth="1"/>
    <col min="15623" max="15623" width="10.83203125" customWidth="1"/>
    <col min="15624" max="15624" width="9" customWidth="1"/>
    <col min="15625" max="15625" width="14.1640625" customWidth="1"/>
    <col min="15626" max="15626" width="19.1640625" customWidth="1"/>
    <col min="15871" max="15871" width="11" customWidth="1"/>
    <col min="15872" max="15872" width="25.6640625" customWidth="1"/>
    <col min="15873" max="15873" width="17" customWidth="1"/>
    <col min="15874" max="15874" width="13.33203125" customWidth="1"/>
    <col min="15875" max="15875" width="9.6640625" bestFit="1" customWidth="1"/>
    <col min="15876" max="15876" width="13.83203125" customWidth="1"/>
    <col min="15877" max="15877" width="12.6640625" customWidth="1"/>
    <col min="15878" max="15878" width="13.1640625" customWidth="1"/>
    <col min="15879" max="15879" width="10.83203125" customWidth="1"/>
    <col min="15880" max="15880" width="9" customWidth="1"/>
    <col min="15881" max="15881" width="14.1640625" customWidth="1"/>
    <col min="15882" max="15882" width="19.1640625" customWidth="1"/>
    <col min="16127" max="16127" width="11" customWidth="1"/>
    <col min="16128" max="16128" width="25.6640625" customWidth="1"/>
    <col min="16129" max="16129" width="17" customWidth="1"/>
    <col min="16130" max="16130" width="13.33203125" customWidth="1"/>
    <col min="16131" max="16131" width="9.6640625" bestFit="1" customWidth="1"/>
    <col min="16132" max="16132" width="13.83203125" customWidth="1"/>
    <col min="16133" max="16133" width="12.6640625" customWidth="1"/>
    <col min="16134" max="16134" width="13.1640625" customWidth="1"/>
    <col min="16135" max="16135" width="10.83203125" customWidth="1"/>
    <col min="16136" max="16136" width="9" customWidth="1"/>
    <col min="16137" max="16137" width="14.1640625" customWidth="1"/>
    <col min="16138" max="16138" width="19.1640625" customWidth="1"/>
  </cols>
  <sheetData>
    <row r="1" spans="1:48" ht="60" customHeight="1">
      <c r="A1" s="1342" t="s">
        <v>424</v>
      </c>
      <c r="B1" s="1343"/>
      <c r="C1" s="1344"/>
      <c r="D1" s="226"/>
      <c r="E1" s="226"/>
      <c r="F1" s="226"/>
      <c r="G1" s="226"/>
      <c r="H1" s="226"/>
      <c r="I1" s="226"/>
      <c r="J1" s="226"/>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row>
    <row r="2" spans="1:48" s="81" customFormat="1" ht="11.25" customHeight="1">
      <c r="A2" s="379"/>
      <c r="B2" s="1339" t="s">
        <v>370</v>
      </c>
      <c r="C2" s="1339"/>
      <c r="D2" s="1339"/>
      <c r="E2" s="1340" t="s">
        <v>622</v>
      </c>
      <c r="F2" s="1340"/>
      <c r="G2" s="1340"/>
      <c r="H2" s="1341" t="s">
        <v>623</v>
      </c>
      <c r="I2" s="1341"/>
      <c r="J2" s="1335" t="s">
        <v>631</v>
      </c>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row>
    <row r="3" spans="1:48" s="81" customFormat="1" ht="10.5" customHeight="1">
      <c r="A3" s="419" t="s">
        <v>426</v>
      </c>
      <c r="B3" s="419"/>
      <c r="C3" s="419"/>
      <c r="D3" s="419"/>
      <c r="E3" s="1340"/>
      <c r="F3" s="1340"/>
      <c r="G3" s="1340"/>
      <c r="H3" s="1341"/>
      <c r="I3" s="1341"/>
      <c r="J3" s="1335"/>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row>
    <row r="4" spans="1:48" s="81" customFormat="1" ht="10.5" customHeight="1">
      <c r="A4" s="419"/>
      <c r="B4" s="419"/>
      <c r="C4" s="419"/>
      <c r="D4" s="419"/>
      <c r="E4" s="1340"/>
      <c r="F4" s="1340"/>
      <c r="G4" s="1340"/>
      <c r="H4" s="1341"/>
      <c r="I4" s="1341"/>
      <c r="J4" s="1335"/>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row>
    <row r="5" spans="1:48" s="81" customFormat="1" ht="12" customHeight="1">
      <c r="A5" s="1313" t="s">
        <v>1330</v>
      </c>
      <c r="B5" s="1313"/>
      <c r="C5" s="386"/>
      <c r="D5" s="275" t="s">
        <v>624</v>
      </c>
      <c r="E5" s="1238"/>
      <c r="F5" s="1238"/>
      <c r="G5" s="1238"/>
      <c r="H5" s="1341" t="s">
        <v>625</v>
      </c>
      <c r="I5" s="1341"/>
      <c r="J5" s="1335"/>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c r="AR5" s="138"/>
      <c r="AS5" s="138"/>
      <c r="AT5" s="138"/>
      <c r="AU5" s="138"/>
      <c r="AV5" s="138"/>
    </row>
    <row r="6" spans="1:48" ht="69.75" customHeight="1">
      <c r="A6" s="1313"/>
      <c r="B6" s="1313"/>
      <c r="C6" s="390"/>
      <c r="D6" s="237"/>
      <c r="E6" s="1240"/>
      <c r="F6" s="1542"/>
      <c r="G6" s="1542"/>
      <c r="H6" s="1341"/>
      <c r="I6" s="1341"/>
      <c r="J6" s="1335"/>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row>
    <row r="7" spans="1:48" ht="21" customHeight="1">
      <c r="A7" s="375" t="s">
        <v>653</v>
      </c>
      <c r="B7" s="330" t="s">
        <v>428</v>
      </c>
      <c r="C7" s="1311" t="s">
        <v>429</v>
      </c>
      <c r="D7" s="1317" t="s">
        <v>620</v>
      </c>
      <c r="E7" s="1318" t="s">
        <v>432</v>
      </c>
      <c r="F7" s="1316" t="s">
        <v>430</v>
      </c>
      <c r="G7" s="1317" t="s">
        <v>621</v>
      </c>
      <c r="H7" s="1328" t="s">
        <v>431</v>
      </c>
      <c r="I7" s="1328"/>
      <c r="J7" s="1327" t="s">
        <v>627</v>
      </c>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row>
    <row r="8" spans="1:48" ht="21" customHeight="1">
      <c r="A8" s="367"/>
      <c r="B8" s="99"/>
      <c r="C8" s="1311"/>
      <c r="D8" s="1317"/>
      <c r="E8" s="1318"/>
      <c r="F8" s="1316"/>
      <c r="G8" s="1317"/>
      <c r="H8" s="1328"/>
      <c r="I8" s="1328"/>
      <c r="J8" s="1327"/>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row>
    <row r="9" spans="1:48" ht="21" customHeight="1">
      <c r="A9" s="194"/>
      <c r="B9" s="1374" t="s">
        <v>515</v>
      </c>
      <c r="C9" s="1375"/>
      <c r="D9" s="1375"/>
      <c r="E9" s="1375"/>
      <c r="F9" s="1375"/>
      <c r="G9" s="1375"/>
      <c r="H9" s="367"/>
      <c r="I9" s="484"/>
      <c r="J9" s="237"/>
    </row>
    <row r="10" spans="1:48" ht="22.5">
      <c r="A10" s="753" t="s">
        <v>2546</v>
      </c>
      <c r="B10" s="210" t="s">
        <v>1480</v>
      </c>
      <c r="C10" s="177" t="s">
        <v>630</v>
      </c>
      <c r="D10" s="201" t="s">
        <v>277</v>
      </c>
      <c r="E10" s="201" t="s">
        <v>277</v>
      </c>
      <c r="F10" s="201">
        <f>SUM(G10*1.1)</f>
        <v>55.000000000000007</v>
      </c>
      <c r="G10" s="201">
        <v>50</v>
      </c>
      <c r="H10" s="215"/>
      <c r="I10" s="201"/>
      <c r="J10" s="333" t="s">
        <v>659</v>
      </c>
    </row>
    <row r="11" spans="1:48" ht="21">
      <c r="A11" s="754" t="s">
        <v>2547</v>
      </c>
      <c r="B11" s="160" t="s">
        <v>1481</v>
      </c>
      <c r="C11" s="177" t="s">
        <v>630</v>
      </c>
      <c r="D11" s="201" t="s">
        <v>277</v>
      </c>
      <c r="E11" s="201" t="s">
        <v>277</v>
      </c>
      <c r="F11" s="201">
        <f>SUM(G11*1.1)</f>
        <v>55.000000000000007</v>
      </c>
      <c r="G11" s="201">
        <v>50</v>
      </c>
      <c r="H11" s="215"/>
      <c r="I11" s="201"/>
      <c r="J11" s="152" t="s">
        <v>660</v>
      </c>
    </row>
    <row r="12" spans="1:48" ht="21">
      <c r="A12" s="754" t="s">
        <v>2548</v>
      </c>
      <c r="B12" s="160" t="s">
        <v>1482</v>
      </c>
      <c r="C12" s="177" t="s">
        <v>630</v>
      </c>
      <c r="D12" s="201">
        <v>5</v>
      </c>
      <c r="E12" s="201">
        <f>SUM(D12*1.1)</f>
        <v>5.5</v>
      </c>
      <c r="F12" s="201">
        <f>SUM(G12*1.1)</f>
        <v>56.1</v>
      </c>
      <c r="G12" s="201">
        <v>51</v>
      </c>
      <c r="H12" s="215"/>
      <c r="I12" s="201"/>
      <c r="J12" s="152" t="s">
        <v>660</v>
      </c>
    </row>
    <row r="14" spans="1:48" s="9" customFormat="1">
      <c r="A14" s="485" t="s">
        <v>632</v>
      </c>
      <c r="B14" s="486"/>
      <c r="C14" s="487"/>
      <c r="D14" s="487"/>
      <c r="E14" s="488"/>
      <c r="F14" s="488"/>
      <c r="G14" s="488"/>
      <c r="H14" s="249"/>
      <c r="I14" s="249"/>
      <c r="J14" s="378"/>
    </row>
    <row r="15" spans="1:48" s="9" customFormat="1">
      <c r="A15" s="485"/>
      <c r="B15" s="486"/>
      <c r="C15" s="487"/>
      <c r="D15" s="487"/>
      <c r="E15" s="488"/>
      <c r="F15" s="488"/>
      <c r="G15" s="488"/>
      <c r="H15" s="249"/>
      <c r="I15" s="249"/>
      <c r="J15" s="378"/>
    </row>
    <row r="16" spans="1:48" s="9" customFormat="1">
      <c r="A16" s="190"/>
      <c r="B16" s="486"/>
      <c r="C16" s="487"/>
      <c r="D16" s="487"/>
      <c r="E16" s="488"/>
      <c r="F16" s="488"/>
      <c r="G16" s="488"/>
      <c r="H16" s="249"/>
      <c r="I16" s="249"/>
      <c r="J16" s="378"/>
    </row>
    <row r="17" spans="1:10" s="9" customFormat="1">
      <c r="A17" s="190"/>
      <c r="B17" s="486"/>
      <c r="C17" s="487"/>
      <c r="D17" s="487"/>
      <c r="E17" s="488"/>
      <c r="F17" s="488"/>
      <c r="G17" s="488"/>
      <c r="H17" s="249"/>
      <c r="I17" s="249"/>
      <c r="J17" s="378"/>
    </row>
    <row r="18" spans="1:10" s="9" customFormat="1">
      <c r="A18" s="190"/>
      <c r="B18" s="486"/>
      <c r="C18" s="487"/>
      <c r="D18" s="487"/>
      <c r="E18" s="488"/>
      <c r="F18" s="488"/>
      <c r="G18" s="488"/>
      <c r="H18" s="249"/>
      <c r="I18" s="249"/>
      <c r="J18" s="378"/>
    </row>
    <row r="19" spans="1:10" s="9" customFormat="1">
      <c r="A19" s="190"/>
      <c r="B19" s="486"/>
      <c r="C19" s="487"/>
      <c r="D19" s="487"/>
      <c r="E19" s="488"/>
      <c r="F19" s="488"/>
      <c r="G19" s="488"/>
      <c r="H19" s="249"/>
      <c r="I19" s="249"/>
      <c r="J19" s="378"/>
    </row>
    <row r="20" spans="1:10" s="9" customFormat="1">
      <c r="A20" s="151"/>
      <c r="B20" s="142"/>
      <c r="C20" s="143"/>
      <c r="D20" s="143"/>
      <c r="E20" s="488"/>
      <c r="F20" s="488"/>
      <c r="G20" s="488"/>
      <c r="H20" s="249"/>
      <c r="I20" s="249"/>
      <c r="J20" s="378"/>
    </row>
    <row r="21" spans="1:10" s="9" customFormat="1">
      <c r="A21" s="145"/>
      <c r="B21" s="144"/>
      <c r="C21" s="143"/>
      <c r="D21" s="143"/>
      <c r="E21" s="488"/>
      <c r="F21" s="488"/>
      <c r="G21" s="488"/>
      <c r="H21" s="249"/>
      <c r="I21" s="249"/>
      <c r="J21" s="378"/>
    </row>
    <row r="22" spans="1:10" s="9" customFormat="1">
      <c r="A22" s="145"/>
      <c r="B22" s="146"/>
      <c r="C22" s="143"/>
      <c r="D22" s="143"/>
      <c r="E22" s="488"/>
      <c r="F22" s="488"/>
      <c r="G22" s="488"/>
      <c r="H22" s="249"/>
      <c r="I22" s="249"/>
      <c r="J22" s="378"/>
    </row>
    <row r="23" spans="1:10" s="9" customFormat="1">
      <c r="A23" s="145"/>
      <c r="B23" s="146"/>
      <c r="C23" s="143"/>
      <c r="D23" s="143"/>
      <c r="E23" s="488"/>
      <c r="F23" s="488"/>
      <c r="G23" s="488"/>
      <c r="H23" s="249"/>
      <c r="I23" s="249"/>
      <c r="J23" s="378"/>
    </row>
    <row r="24" spans="1:10" s="9" customFormat="1">
      <c r="A24" s="143"/>
      <c r="B24" s="143"/>
      <c r="C24" s="143"/>
      <c r="D24" s="143"/>
      <c r="E24" s="488"/>
      <c r="F24" s="488"/>
      <c r="G24" s="488"/>
      <c r="H24" s="249"/>
      <c r="I24" s="249"/>
      <c r="J24" s="378"/>
    </row>
    <row r="25" spans="1:10" s="9" customFormat="1">
      <c r="A25" s="143"/>
      <c r="B25" s="143"/>
      <c r="C25" s="143"/>
      <c r="D25" s="143"/>
      <c r="E25" s="488"/>
      <c r="F25" s="488"/>
      <c r="G25" s="488"/>
      <c r="H25" s="249"/>
      <c r="I25" s="249"/>
      <c r="J25" s="378"/>
    </row>
    <row r="26" spans="1:10" s="9" customFormat="1">
      <c r="A26" s="143"/>
      <c r="B26" s="143"/>
      <c r="C26" s="143"/>
      <c r="D26" s="143"/>
      <c r="E26" s="488"/>
      <c r="F26" s="488"/>
      <c r="G26" s="488"/>
      <c r="H26" s="249"/>
      <c r="I26" s="249"/>
      <c r="J26" s="378"/>
    </row>
    <row r="27" spans="1:10" s="9" customFormat="1">
      <c r="A27" s="190"/>
      <c r="B27" s="486"/>
      <c r="C27" s="487"/>
      <c r="D27" s="487"/>
      <c r="E27" s="488"/>
      <c r="F27" s="488"/>
      <c r="G27" s="488"/>
      <c r="H27" s="249"/>
      <c r="I27" s="249"/>
      <c r="J27" s="378"/>
    </row>
    <row r="28" spans="1:10" s="9" customFormat="1">
      <c r="A28" s="190"/>
      <c r="B28" s="190"/>
      <c r="C28" s="190"/>
      <c r="D28" s="190"/>
      <c r="E28" s="190"/>
      <c r="F28" s="190"/>
      <c r="G28" s="190"/>
      <c r="H28" s="145"/>
      <c r="I28" s="145"/>
      <c r="J28" s="141"/>
    </row>
    <row r="29" spans="1:10">
      <c r="H29" s="145"/>
      <c r="I29" s="145"/>
      <c r="J29" s="141"/>
    </row>
    <row r="30" spans="1:10">
      <c r="H30" s="145"/>
      <c r="I30" s="145"/>
      <c r="J30" s="141"/>
    </row>
    <row r="31" spans="1:10">
      <c r="H31" s="145"/>
      <c r="I31" s="145"/>
      <c r="J31" s="141"/>
    </row>
    <row r="32" spans="1:10">
      <c r="H32" s="145"/>
      <c r="I32" s="145"/>
      <c r="J32" s="141"/>
    </row>
    <row r="33" spans="8:10">
      <c r="H33" s="145"/>
      <c r="I33" s="145"/>
      <c r="J33" s="141"/>
    </row>
    <row r="34" spans="8:10">
      <c r="H34" s="145"/>
      <c r="I34" s="145"/>
      <c r="J34" s="141"/>
    </row>
    <row r="35" spans="8:10">
      <c r="H35" s="145"/>
      <c r="I35" s="145"/>
      <c r="J35" s="141"/>
    </row>
    <row r="36" spans="8:10">
      <c r="H36" s="145"/>
      <c r="I36" s="145"/>
      <c r="J36" s="141"/>
    </row>
    <row r="37" spans="8:10">
      <c r="H37" s="145"/>
      <c r="I37" s="145"/>
      <c r="J37" s="141"/>
    </row>
    <row r="38" spans="8:10">
      <c r="H38" s="145"/>
      <c r="I38" s="145"/>
      <c r="J38" s="141"/>
    </row>
    <row r="39" spans="8:10">
      <c r="H39" s="145"/>
      <c r="I39" s="145"/>
      <c r="J39" s="141"/>
    </row>
    <row r="40" spans="8:10">
      <c r="H40" s="145"/>
      <c r="I40" s="145"/>
      <c r="J40" s="141"/>
    </row>
    <row r="41" spans="8:10">
      <c r="H41" s="145"/>
      <c r="I41" s="145"/>
      <c r="J41" s="141"/>
    </row>
    <row r="42" spans="8:10">
      <c r="H42" s="145"/>
      <c r="I42" s="145"/>
      <c r="J42" s="141"/>
    </row>
    <row r="43" spans="8:10">
      <c r="H43" s="145"/>
      <c r="I43" s="145"/>
      <c r="J43" s="141"/>
    </row>
    <row r="44" spans="8:10">
      <c r="H44" s="145"/>
      <c r="I44" s="145"/>
      <c r="J44" s="141"/>
    </row>
    <row r="45" spans="8:10">
      <c r="H45" s="145"/>
      <c r="I45" s="145"/>
      <c r="J45" s="141"/>
    </row>
    <row r="46" spans="8:10">
      <c r="H46" s="145"/>
      <c r="I46" s="145"/>
      <c r="J46" s="141"/>
    </row>
    <row r="47" spans="8:10">
      <c r="H47" s="145"/>
      <c r="I47" s="145"/>
      <c r="J47" s="141"/>
    </row>
    <row r="48" spans="8:10">
      <c r="H48" s="145"/>
      <c r="I48" s="145"/>
      <c r="J48" s="141"/>
    </row>
    <row r="49" spans="8:10">
      <c r="H49" s="145"/>
      <c r="I49" s="145"/>
      <c r="J49" s="141"/>
    </row>
    <row r="50" spans="8:10">
      <c r="H50" s="145"/>
      <c r="I50" s="145"/>
      <c r="J50" s="141"/>
    </row>
    <row r="51" spans="8:10">
      <c r="H51" s="145"/>
      <c r="I51" s="145"/>
      <c r="J51" s="141"/>
    </row>
    <row r="52" spans="8:10">
      <c r="H52" s="145"/>
      <c r="I52" s="145"/>
      <c r="J52" s="141"/>
    </row>
    <row r="53" spans="8:10">
      <c r="H53" s="145"/>
      <c r="I53" s="145"/>
      <c r="J53" s="141"/>
    </row>
    <row r="54" spans="8:10">
      <c r="H54" s="145"/>
      <c r="I54" s="145"/>
      <c r="J54" s="141"/>
    </row>
    <row r="55" spans="8:10">
      <c r="H55" s="145"/>
      <c r="I55" s="145"/>
      <c r="J55" s="141"/>
    </row>
    <row r="56" spans="8:10">
      <c r="H56" s="145"/>
      <c r="I56" s="145"/>
      <c r="J56" s="141"/>
    </row>
    <row r="57" spans="8:10">
      <c r="H57" s="145"/>
      <c r="I57" s="145"/>
      <c r="J57" s="141"/>
    </row>
    <row r="58" spans="8:10">
      <c r="H58" s="145"/>
      <c r="I58" s="145"/>
      <c r="J58" s="141"/>
    </row>
    <row r="59" spans="8:10">
      <c r="H59" s="145"/>
      <c r="I59" s="145"/>
      <c r="J59" s="141"/>
    </row>
    <row r="60" spans="8:10">
      <c r="H60" s="145"/>
      <c r="I60" s="145"/>
      <c r="J60" s="141"/>
    </row>
    <row r="61" spans="8:10">
      <c r="H61" s="145"/>
      <c r="I61" s="145"/>
      <c r="J61" s="141"/>
    </row>
    <row r="62" spans="8:10">
      <c r="H62" s="145"/>
      <c r="I62" s="145"/>
      <c r="J62" s="141"/>
    </row>
    <row r="63" spans="8:10">
      <c r="H63" s="145"/>
      <c r="I63" s="145"/>
      <c r="J63" s="141"/>
    </row>
    <row r="64" spans="8:10">
      <c r="H64" s="145"/>
      <c r="I64" s="145"/>
      <c r="J64" s="141"/>
    </row>
    <row r="65" spans="8:10">
      <c r="H65" s="145"/>
      <c r="I65" s="145"/>
      <c r="J65" s="141"/>
    </row>
    <row r="66" spans="8:10">
      <c r="H66" s="145"/>
      <c r="I66" s="145"/>
      <c r="J66" s="141"/>
    </row>
    <row r="67" spans="8:10">
      <c r="H67" s="145"/>
      <c r="I67" s="145"/>
      <c r="J67" s="141"/>
    </row>
    <row r="68" spans="8:10">
      <c r="H68" s="145"/>
      <c r="I68" s="145"/>
      <c r="J68" s="141"/>
    </row>
    <row r="69" spans="8:10">
      <c r="H69" s="145"/>
      <c r="I69" s="145"/>
      <c r="J69" s="141"/>
    </row>
    <row r="70" spans="8:10">
      <c r="H70" s="145"/>
      <c r="I70" s="145"/>
      <c r="J70" s="141"/>
    </row>
    <row r="71" spans="8:10">
      <c r="H71" s="145"/>
      <c r="I71" s="145"/>
      <c r="J71" s="141"/>
    </row>
    <row r="72" spans="8:10">
      <c r="H72" s="145"/>
      <c r="I72" s="145"/>
      <c r="J72" s="141"/>
    </row>
    <row r="73" spans="8:10">
      <c r="H73" s="145"/>
      <c r="I73" s="145"/>
      <c r="J73" s="141"/>
    </row>
    <row r="74" spans="8:10">
      <c r="H74" s="145"/>
      <c r="I74" s="145"/>
      <c r="J74" s="141"/>
    </row>
    <row r="75" spans="8:10">
      <c r="H75" s="145"/>
      <c r="I75" s="145"/>
      <c r="J75" s="141"/>
    </row>
    <row r="76" spans="8:10">
      <c r="H76" s="145"/>
      <c r="I76" s="145"/>
      <c r="J76" s="141"/>
    </row>
    <row r="77" spans="8:10">
      <c r="H77" s="145"/>
      <c r="I77" s="145"/>
      <c r="J77" s="141"/>
    </row>
    <row r="78" spans="8:10">
      <c r="H78" s="145"/>
      <c r="I78" s="145"/>
      <c r="J78" s="141"/>
    </row>
    <row r="79" spans="8:10">
      <c r="H79" s="145"/>
      <c r="I79" s="145"/>
      <c r="J79" s="141"/>
    </row>
    <row r="80" spans="8:10">
      <c r="H80" s="145"/>
      <c r="I80" s="145"/>
      <c r="J80" s="141"/>
    </row>
    <row r="81" spans="8:10">
      <c r="H81" s="145"/>
      <c r="I81" s="145"/>
      <c r="J81" s="141"/>
    </row>
    <row r="82" spans="8:10">
      <c r="H82" s="145"/>
      <c r="I82" s="145"/>
      <c r="J82" s="141"/>
    </row>
    <row r="83" spans="8:10">
      <c r="H83" s="145"/>
      <c r="I83" s="145"/>
      <c r="J83" s="141"/>
    </row>
    <row r="84" spans="8:10">
      <c r="H84" s="145"/>
      <c r="I84" s="145"/>
      <c r="J84" s="141"/>
    </row>
    <row r="85" spans="8:10">
      <c r="H85" s="145"/>
      <c r="I85" s="145"/>
      <c r="J85" s="141"/>
    </row>
    <row r="86" spans="8:10">
      <c r="H86" s="145"/>
      <c r="I86" s="145"/>
      <c r="J86" s="141"/>
    </row>
    <row r="87" spans="8:10">
      <c r="H87" s="145"/>
      <c r="I87" s="145"/>
      <c r="J87" s="141"/>
    </row>
    <row r="88" spans="8:10">
      <c r="H88" s="145"/>
      <c r="I88" s="145"/>
      <c r="J88" s="141"/>
    </row>
    <row r="89" spans="8:10">
      <c r="H89" s="145"/>
      <c r="I89" s="145"/>
      <c r="J89" s="141"/>
    </row>
    <row r="90" spans="8:10">
      <c r="H90" s="145"/>
      <c r="I90" s="145"/>
      <c r="J90" s="141"/>
    </row>
    <row r="91" spans="8:10">
      <c r="H91" s="145"/>
      <c r="I91" s="145"/>
      <c r="J91" s="141"/>
    </row>
    <row r="92" spans="8:10">
      <c r="H92" s="145"/>
      <c r="I92" s="145"/>
      <c r="J92" s="141"/>
    </row>
    <row r="93" spans="8:10">
      <c r="H93" s="145"/>
      <c r="I93" s="145"/>
      <c r="J93" s="141"/>
    </row>
    <row r="94" spans="8:10">
      <c r="H94" s="145"/>
      <c r="I94" s="145"/>
      <c r="J94" s="141"/>
    </row>
    <row r="95" spans="8:10">
      <c r="H95" s="145"/>
      <c r="I95" s="145"/>
      <c r="J95" s="141"/>
    </row>
    <row r="96" spans="8:10">
      <c r="H96" s="145"/>
      <c r="I96" s="145"/>
      <c r="J96" s="141"/>
    </row>
    <row r="97" spans="8:10">
      <c r="H97" s="145"/>
      <c r="I97" s="145"/>
      <c r="J97" s="141"/>
    </row>
    <row r="98" spans="8:10">
      <c r="H98" s="145"/>
      <c r="I98" s="145"/>
      <c r="J98" s="141"/>
    </row>
    <row r="99" spans="8:10">
      <c r="H99" s="145"/>
      <c r="I99" s="145"/>
      <c r="J99" s="141"/>
    </row>
    <row r="100" spans="8:10">
      <c r="H100" s="145"/>
      <c r="I100" s="145"/>
      <c r="J100" s="141"/>
    </row>
    <row r="101" spans="8:10">
      <c r="H101" s="145"/>
      <c r="I101" s="145"/>
      <c r="J101" s="141"/>
    </row>
    <row r="102" spans="8:10">
      <c r="H102" s="145"/>
      <c r="I102" s="145"/>
      <c r="J102" s="141"/>
    </row>
    <row r="103" spans="8:10">
      <c r="H103" s="145"/>
      <c r="I103" s="145"/>
      <c r="J103" s="141"/>
    </row>
    <row r="104" spans="8:10">
      <c r="H104" s="145"/>
      <c r="I104" s="145"/>
      <c r="J104" s="141"/>
    </row>
    <row r="105" spans="8:10">
      <c r="H105" s="145"/>
      <c r="I105" s="145"/>
      <c r="J105" s="141"/>
    </row>
    <row r="106" spans="8:10">
      <c r="H106" s="145"/>
      <c r="I106" s="145"/>
      <c r="J106" s="141"/>
    </row>
    <row r="107" spans="8:10">
      <c r="H107" s="145"/>
      <c r="I107" s="145"/>
      <c r="J107" s="141"/>
    </row>
    <row r="108" spans="8:10">
      <c r="H108" s="145"/>
      <c r="I108" s="145"/>
      <c r="J108" s="141"/>
    </row>
    <row r="109" spans="8:10">
      <c r="H109" s="145"/>
      <c r="I109" s="145"/>
      <c r="J109" s="141"/>
    </row>
    <row r="110" spans="8:10">
      <c r="H110" s="145"/>
      <c r="I110" s="145"/>
      <c r="J110" s="141"/>
    </row>
    <row r="111" spans="8:10">
      <c r="H111" s="145"/>
      <c r="I111" s="145"/>
      <c r="J111" s="141"/>
    </row>
    <row r="112" spans="8:10">
      <c r="H112" s="145"/>
      <c r="I112" s="145"/>
      <c r="J112" s="141"/>
    </row>
  </sheetData>
  <mergeCells count="16">
    <mergeCell ref="B9:G9"/>
    <mergeCell ref="C7:C8"/>
    <mergeCell ref="D7:D8"/>
    <mergeCell ref="E7:E8"/>
    <mergeCell ref="F7:F8"/>
    <mergeCell ref="G7:G8"/>
    <mergeCell ref="A1:C1"/>
    <mergeCell ref="B2:D2"/>
    <mergeCell ref="E2:G4"/>
    <mergeCell ref="H2:I4"/>
    <mergeCell ref="A5:B6"/>
    <mergeCell ref="J2:J6"/>
    <mergeCell ref="H5:I6"/>
    <mergeCell ref="F6:G6"/>
    <mergeCell ref="H7:I8"/>
    <mergeCell ref="J7:J8"/>
  </mergeCells>
  <pageMargins left="0.75" right="0.75" top="1" bottom="1" header="0.5" footer="0.5"/>
  <pageSetup scale="80" orientation="landscape" r:id="rId1"/>
  <headerFooter>
    <oddHeader>&amp;L&amp;F&amp;C&amp;A&amp;R&amp;G</oddHeader>
    <oddFooter>&amp;C&amp;"Tahoma,Italic"Use or disclosure of the data on this page or screen is subject to the restrictions on the title page or opening view screen of this proposal document or file.&amp;R&amp;P of &amp;N</oddFooter>
  </headerFooter>
  <ignoredErrors>
    <ignoredError sqref="E12 F10 F11 F12" unlockedFormula="1"/>
  </ignoredErrors>
  <legacyDrawingHF r:id="rId2"/>
</worksheet>
</file>

<file path=xl/worksheets/sheet19.xml><?xml version="1.0" encoding="utf-8"?>
<worksheet xmlns="http://schemas.openxmlformats.org/spreadsheetml/2006/main" xmlns:r="http://schemas.openxmlformats.org/officeDocument/2006/relationships">
  <sheetPr codeName="Sheet13" enableFormatConditionsCalculation="0">
    <tabColor theme="3" tint="0.79998168889431442"/>
    <pageSetUpPr fitToPage="1"/>
  </sheetPr>
  <dimension ref="A1:AU112"/>
  <sheetViews>
    <sheetView zoomScaleNormal="100" zoomScaleSheetLayoutView="100" workbookViewId="0">
      <selection activeCell="A7" sqref="A7"/>
    </sheetView>
  </sheetViews>
  <sheetFormatPr defaultRowHeight="10.5"/>
  <cols>
    <col min="1" max="1" width="11" customWidth="1"/>
    <col min="2" max="2" width="17.33203125" customWidth="1"/>
    <col min="3" max="3" width="19.1640625" customWidth="1"/>
    <col min="4" max="4" width="15.83203125" hidden="1" customWidth="1"/>
    <col min="5" max="5" width="9.6640625" bestFit="1" customWidth="1"/>
    <col min="6" max="6" width="13.83203125" customWidth="1"/>
    <col min="7" max="7" width="13.83203125" hidden="1" customWidth="1"/>
    <col min="8" max="8" width="13" style="269" customWidth="1"/>
    <col min="9" max="9" width="17.83203125" customWidth="1"/>
    <col min="10" max="10" width="17.6640625" customWidth="1"/>
  </cols>
  <sheetData>
    <row r="1" spans="1:47" ht="15" customHeight="1">
      <c r="A1" s="1246" t="s">
        <v>424</v>
      </c>
      <c r="B1" s="1544"/>
      <c r="C1" s="103"/>
      <c r="D1" s="103"/>
      <c r="E1" s="103"/>
      <c r="F1" s="103"/>
      <c r="G1" s="103"/>
      <c r="H1" s="283"/>
      <c r="I1" s="103"/>
      <c r="J1" s="103"/>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row>
    <row r="2" spans="1:47" s="81" customFormat="1" ht="11.25" customHeight="1">
      <c r="A2" s="69"/>
      <c r="B2" s="1333" t="s">
        <v>370</v>
      </c>
      <c r="C2" s="1333"/>
      <c r="D2" s="1333"/>
      <c r="E2" s="1336" t="s">
        <v>622</v>
      </c>
      <c r="F2" s="1336"/>
      <c r="G2" s="1336"/>
      <c r="H2" s="1334" t="s">
        <v>623</v>
      </c>
      <c r="I2" s="1334"/>
      <c r="J2" s="1335" t="s">
        <v>631</v>
      </c>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row>
    <row r="3" spans="1:47" s="81" customFormat="1" ht="10.5" customHeight="1">
      <c r="A3" s="102" t="s">
        <v>426</v>
      </c>
      <c r="B3" s="102"/>
      <c r="C3" s="102"/>
      <c r="D3" s="102"/>
      <c r="E3" s="1336"/>
      <c r="F3" s="1336"/>
      <c r="G3" s="1336"/>
      <c r="H3" s="1334"/>
      <c r="I3" s="1334"/>
      <c r="J3" s="1335"/>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row>
    <row r="4" spans="1:47" s="81" customFormat="1" ht="10.5" customHeight="1">
      <c r="A4" s="102"/>
      <c r="B4" s="102"/>
      <c r="C4" s="102"/>
      <c r="D4" s="102"/>
      <c r="E4" s="1336"/>
      <c r="F4" s="1336"/>
      <c r="G4" s="1336"/>
      <c r="H4" s="1334"/>
      <c r="I4" s="1334"/>
      <c r="J4" s="1335"/>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row>
    <row r="5" spans="1:47" s="81" customFormat="1" ht="12" customHeight="1">
      <c r="A5" s="1310" t="s">
        <v>3071</v>
      </c>
      <c r="B5" s="1310"/>
      <c r="C5" s="127"/>
      <c r="D5" s="328"/>
      <c r="E5" s="328"/>
      <c r="F5" s="1236"/>
      <c r="G5" s="1236"/>
      <c r="H5" s="1334" t="s">
        <v>625</v>
      </c>
      <c r="I5" s="1334"/>
      <c r="J5" s="1335"/>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c r="AR5" s="138"/>
      <c r="AS5" s="138"/>
      <c r="AT5" s="138"/>
      <c r="AU5" s="138"/>
    </row>
    <row r="6" spans="1:47" ht="69.75" customHeight="1">
      <c r="A6" s="1310"/>
      <c r="B6" s="1310"/>
      <c r="C6" s="325"/>
      <c r="D6" s="101"/>
      <c r="E6" s="101"/>
      <c r="F6" s="1543"/>
      <c r="G6" s="1543"/>
      <c r="H6" s="1334"/>
      <c r="I6" s="1334"/>
      <c r="J6" s="1335"/>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row>
    <row r="7" spans="1:47" ht="21" customHeight="1">
      <c r="A7" s="832" t="s">
        <v>653</v>
      </c>
      <c r="B7" s="330" t="s">
        <v>428</v>
      </c>
      <c r="C7" s="1311" t="s">
        <v>429</v>
      </c>
      <c r="D7" s="1320" t="s">
        <v>620</v>
      </c>
      <c r="E7" s="1312" t="s">
        <v>432</v>
      </c>
      <c r="F7" s="1319" t="s">
        <v>430</v>
      </c>
      <c r="G7" s="1320" t="s">
        <v>621</v>
      </c>
      <c r="H7" s="1328" t="s">
        <v>431</v>
      </c>
      <c r="I7" s="1328"/>
      <c r="J7" s="1327" t="s">
        <v>627</v>
      </c>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row>
    <row r="8" spans="1:47" ht="21" customHeight="1">
      <c r="A8" s="833"/>
      <c r="B8" s="99"/>
      <c r="C8" s="1311"/>
      <c r="D8" s="1320"/>
      <c r="E8" s="1312"/>
      <c r="F8" s="1319"/>
      <c r="G8" s="1321"/>
      <c r="H8" s="1328"/>
      <c r="I8" s="1328"/>
      <c r="J8" s="1327"/>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row>
    <row r="9" spans="1:47" ht="14.25">
      <c r="A9" s="834"/>
      <c r="B9" s="1376" t="s">
        <v>515</v>
      </c>
      <c r="C9" s="1377"/>
      <c r="D9" s="1377"/>
      <c r="E9" s="1377"/>
      <c r="F9" s="1377"/>
      <c r="G9" s="1377"/>
      <c r="H9" s="114"/>
      <c r="I9" s="31"/>
      <c r="J9" s="110"/>
    </row>
    <row r="10" spans="1:47" ht="32.25">
      <c r="A10" s="835" t="s">
        <v>1813</v>
      </c>
      <c r="B10" s="2" t="s">
        <v>807</v>
      </c>
      <c r="C10" s="177" t="s">
        <v>628</v>
      </c>
      <c r="D10" s="241" t="s">
        <v>277</v>
      </c>
      <c r="E10" s="241" t="s">
        <v>277</v>
      </c>
      <c r="F10" s="201">
        <f>SUM(G10*1.1)</f>
        <v>55.000000000000007</v>
      </c>
      <c r="G10" s="201">
        <v>50</v>
      </c>
      <c r="H10" s="265" t="s">
        <v>810</v>
      </c>
      <c r="I10" s="16"/>
      <c r="J10" s="333" t="s">
        <v>806</v>
      </c>
    </row>
    <row r="11" spans="1:47" ht="31.5">
      <c r="A11" s="836" t="s">
        <v>1814</v>
      </c>
      <c r="B11" s="75" t="s">
        <v>808</v>
      </c>
      <c r="C11" s="177" t="s">
        <v>628</v>
      </c>
      <c r="D11" s="241" t="s">
        <v>277</v>
      </c>
      <c r="E11" s="241" t="s">
        <v>277</v>
      </c>
      <c r="F11" s="201">
        <f>SUM(G11*1.1)</f>
        <v>55.000000000000007</v>
      </c>
      <c r="G11" s="201">
        <v>50</v>
      </c>
      <c r="H11" s="265" t="s">
        <v>810</v>
      </c>
      <c r="I11" s="16"/>
      <c r="J11" s="333" t="s">
        <v>806</v>
      </c>
    </row>
    <row r="12" spans="1:47" ht="21">
      <c r="A12" s="836" t="s">
        <v>1815</v>
      </c>
      <c r="B12" s="75" t="s">
        <v>809</v>
      </c>
      <c r="C12" s="177" t="s">
        <v>628</v>
      </c>
      <c r="D12" s="241" t="s">
        <v>277</v>
      </c>
      <c r="E12" s="241" t="s">
        <v>277</v>
      </c>
      <c r="F12" s="201">
        <f>SUM(G12*1.1)</f>
        <v>56.1</v>
      </c>
      <c r="G12" s="201">
        <v>51</v>
      </c>
      <c r="H12" s="265" t="s">
        <v>810</v>
      </c>
      <c r="I12" s="16"/>
      <c r="J12" s="333" t="s">
        <v>806</v>
      </c>
    </row>
    <row r="13" spans="1:47" ht="42">
      <c r="A13" t="s">
        <v>1953</v>
      </c>
      <c r="B13" s="265" t="s">
        <v>811</v>
      </c>
      <c r="C13" s="177" t="s">
        <v>628</v>
      </c>
      <c r="D13" s="489">
        <v>4.0999999999999996</v>
      </c>
      <c r="E13" s="201">
        <f>SUM(D13*1.1)</f>
        <v>4.51</v>
      </c>
      <c r="F13" s="304" t="s">
        <v>277</v>
      </c>
      <c r="G13" s="304" t="s">
        <v>277</v>
      </c>
      <c r="H13" s="265" t="s">
        <v>810</v>
      </c>
      <c r="I13" s="1"/>
      <c r="J13" s="333" t="s">
        <v>806</v>
      </c>
    </row>
    <row r="14" spans="1:47" s="9" customFormat="1" ht="14.25">
      <c r="A14" s="55" t="s">
        <v>632</v>
      </c>
      <c r="B14" s="40"/>
      <c r="C14" s="41"/>
      <c r="D14" s="41"/>
      <c r="E14" s="42"/>
      <c r="F14" s="42"/>
      <c r="G14" s="42"/>
      <c r="H14" s="284"/>
      <c r="I14" s="43"/>
      <c r="J14" s="113"/>
    </row>
    <row r="15" spans="1:47" s="9" customFormat="1" ht="14.25">
      <c r="A15" s="55"/>
      <c r="B15" s="40"/>
      <c r="C15" s="41"/>
      <c r="D15" s="41"/>
      <c r="E15" s="42"/>
      <c r="F15" s="42"/>
      <c r="G15" s="42"/>
      <c r="H15" s="284"/>
      <c r="I15" s="43"/>
      <c r="J15" s="113"/>
    </row>
    <row r="16" spans="1:47" s="9" customFormat="1" ht="14.25">
      <c r="A16" s="39"/>
      <c r="B16" s="40"/>
      <c r="C16" s="41"/>
      <c r="D16" s="41"/>
      <c r="E16" s="42"/>
      <c r="F16" s="42"/>
      <c r="G16" s="42"/>
      <c r="H16" s="284"/>
      <c r="I16" s="43"/>
      <c r="J16" s="113"/>
    </row>
    <row r="17" spans="1:10" s="9" customFormat="1" ht="14.25">
      <c r="A17" s="39"/>
      <c r="B17" s="40"/>
      <c r="C17" s="41"/>
      <c r="D17" s="41"/>
      <c r="E17" s="42"/>
      <c r="F17" s="42"/>
      <c r="G17" s="42"/>
      <c r="H17" s="284"/>
      <c r="I17" s="43"/>
      <c r="J17" s="113"/>
    </row>
    <row r="18" spans="1:10" s="9" customFormat="1" ht="14.25">
      <c r="A18" s="39"/>
      <c r="B18" s="40"/>
      <c r="C18" s="41"/>
      <c r="D18" s="41"/>
      <c r="E18" s="42"/>
      <c r="F18" s="42"/>
      <c r="G18" s="42"/>
      <c r="H18" s="284"/>
      <c r="I18" s="43"/>
      <c r="J18" s="113"/>
    </row>
    <row r="19" spans="1:10" s="9" customFormat="1" ht="14.25">
      <c r="A19" s="39"/>
      <c r="B19" s="40"/>
      <c r="C19" s="41"/>
      <c r="D19" s="41"/>
      <c r="E19" s="42"/>
      <c r="F19" s="42"/>
      <c r="G19" s="42"/>
      <c r="H19" s="284"/>
      <c r="I19" s="43"/>
      <c r="J19" s="113"/>
    </row>
    <row r="20" spans="1:10" s="9" customFormat="1" ht="14.25">
      <c r="A20" s="79"/>
      <c r="B20" s="34"/>
      <c r="C20" s="33"/>
      <c r="D20" s="33"/>
      <c r="E20" s="42"/>
      <c r="F20" s="42"/>
      <c r="G20" s="42"/>
      <c r="H20" s="284"/>
      <c r="I20" s="43"/>
      <c r="J20" s="113"/>
    </row>
    <row r="21" spans="1:10" s="9" customFormat="1" ht="14.25">
      <c r="A21" s="35"/>
      <c r="B21" s="36"/>
      <c r="C21" s="33"/>
      <c r="D21" s="33"/>
      <c r="E21" s="42"/>
      <c r="F21" s="42"/>
      <c r="G21" s="42"/>
      <c r="H21" s="284"/>
      <c r="I21" s="43"/>
      <c r="J21" s="113"/>
    </row>
    <row r="22" spans="1:10" s="9" customFormat="1" ht="14.25">
      <c r="A22" s="35"/>
      <c r="B22" s="37"/>
      <c r="C22" s="33"/>
      <c r="D22" s="33"/>
      <c r="E22" s="42"/>
      <c r="F22" s="42"/>
      <c r="G22" s="42"/>
      <c r="H22" s="284"/>
      <c r="I22" s="43"/>
      <c r="J22" s="113"/>
    </row>
    <row r="23" spans="1:10" s="9" customFormat="1" ht="14.25">
      <c r="A23" s="35"/>
      <c r="B23" s="37"/>
      <c r="C23" s="33"/>
      <c r="D23" s="33"/>
      <c r="E23" s="42"/>
      <c r="F23" s="42"/>
      <c r="G23" s="42"/>
      <c r="H23" s="284"/>
      <c r="I23" s="43"/>
      <c r="J23" s="113"/>
    </row>
    <row r="24" spans="1:10" s="9" customFormat="1" ht="12.75">
      <c r="A24"/>
      <c r="B24"/>
      <c r="C24"/>
      <c r="D24"/>
      <c r="E24" s="14"/>
      <c r="F24" s="14"/>
      <c r="G24" s="14"/>
      <c r="H24" s="285"/>
      <c r="I24" s="3"/>
      <c r="J24" s="108"/>
    </row>
    <row r="25" spans="1:10" s="9" customFormat="1" ht="12.75">
      <c r="A25"/>
      <c r="B25"/>
      <c r="C25"/>
      <c r="D25"/>
      <c r="E25" s="14"/>
      <c r="F25" s="14"/>
      <c r="G25" s="14"/>
      <c r="H25" s="285"/>
      <c r="I25" s="3"/>
      <c r="J25" s="108"/>
    </row>
    <row r="26" spans="1:10" s="9" customFormat="1" ht="12.75">
      <c r="A26"/>
      <c r="B26"/>
      <c r="C26"/>
      <c r="D26"/>
      <c r="E26" s="14"/>
      <c r="F26" s="14"/>
      <c r="G26" s="14"/>
      <c r="H26" s="285"/>
      <c r="I26" s="3"/>
      <c r="J26" s="108"/>
    </row>
    <row r="27" spans="1:10" s="9" customFormat="1" ht="12.75">
      <c r="B27" s="12"/>
      <c r="C27" s="13"/>
      <c r="D27" s="13"/>
      <c r="E27" s="14"/>
      <c r="F27" s="14"/>
      <c r="G27" s="14"/>
      <c r="H27" s="285"/>
      <c r="I27" s="3"/>
      <c r="J27" s="108"/>
    </row>
    <row r="28" spans="1:10" s="9" customFormat="1">
      <c r="H28" s="6"/>
      <c r="I28" s="4"/>
      <c r="J28" s="4"/>
    </row>
    <row r="29" spans="1:10">
      <c r="H29" s="6"/>
      <c r="I29" s="4"/>
      <c r="J29" s="4"/>
    </row>
    <row r="30" spans="1:10">
      <c r="H30" s="6"/>
      <c r="I30" s="4"/>
      <c r="J30" s="4"/>
    </row>
    <row r="31" spans="1:10">
      <c r="H31" s="6"/>
      <c r="I31" s="4"/>
      <c r="J31" s="4"/>
    </row>
    <row r="32" spans="1:10">
      <c r="H32" s="6"/>
      <c r="I32" s="4"/>
      <c r="J32" s="4"/>
    </row>
    <row r="33" spans="8:10">
      <c r="H33" s="6"/>
      <c r="I33" s="4"/>
      <c r="J33" s="4"/>
    </row>
    <row r="34" spans="8:10">
      <c r="H34" s="6"/>
      <c r="I34" s="4"/>
      <c r="J34" s="4"/>
    </row>
    <row r="35" spans="8:10">
      <c r="H35" s="6"/>
      <c r="I35" s="4"/>
      <c r="J35" s="4"/>
    </row>
    <row r="36" spans="8:10">
      <c r="H36" s="6"/>
      <c r="I36" s="4"/>
      <c r="J36" s="4"/>
    </row>
    <row r="37" spans="8:10">
      <c r="H37" s="6"/>
      <c r="I37" s="4"/>
      <c r="J37" s="4"/>
    </row>
    <row r="38" spans="8:10">
      <c r="H38" s="6"/>
      <c r="I38" s="4"/>
      <c r="J38" s="4"/>
    </row>
    <row r="39" spans="8:10">
      <c r="H39" s="6"/>
      <c r="I39" s="4"/>
      <c r="J39" s="4"/>
    </row>
    <row r="40" spans="8:10">
      <c r="H40" s="6"/>
      <c r="I40" s="4"/>
      <c r="J40" s="4"/>
    </row>
    <row r="41" spans="8:10">
      <c r="H41" s="6"/>
      <c r="I41" s="4"/>
      <c r="J41" s="4"/>
    </row>
    <row r="42" spans="8:10">
      <c r="H42" s="6"/>
      <c r="I42" s="4"/>
      <c r="J42" s="4"/>
    </row>
    <row r="43" spans="8:10">
      <c r="H43" s="6"/>
      <c r="I43" s="4"/>
      <c r="J43" s="4"/>
    </row>
    <row r="44" spans="8:10">
      <c r="H44" s="6"/>
      <c r="I44" s="4"/>
      <c r="J44" s="4"/>
    </row>
    <row r="45" spans="8:10">
      <c r="H45" s="6"/>
      <c r="I45" s="4"/>
      <c r="J45" s="4"/>
    </row>
    <row r="46" spans="8:10">
      <c r="H46" s="6"/>
      <c r="I46" s="4"/>
      <c r="J46" s="4"/>
    </row>
    <row r="47" spans="8:10">
      <c r="H47" s="6"/>
      <c r="I47" s="4"/>
      <c r="J47" s="4"/>
    </row>
    <row r="48" spans="8:10">
      <c r="H48" s="6"/>
      <c r="I48" s="4"/>
      <c r="J48" s="4"/>
    </row>
    <row r="49" spans="8:10">
      <c r="H49" s="6"/>
      <c r="I49" s="4"/>
      <c r="J49" s="4"/>
    </row>
    <row r="50" spans="8:10">
      <c r="H50" s="6"/>
      <c r="I50" s="4"/>
      <c r="J50" s="4"/>
    </row>
    <row r="51" spans="8:10">
      <c r="H51" s="6"/>
      <c r="I51" s="4"/>
      <c r="J51" s="4"/>
    </row>
    <row r="52" spans="8:10">
      <c r="H52" s="6"/>
      <c r="I52" s="4"/>
      <c r="J52" s="4"/>
    </row>
    <row r="53" spans="8:10">
      <c r="H53" s="6"/>
      <c r="I53" s="4"/>
      <c r="J53" s="4"/>
    </row>
    <row r="54" spans="8:10">
      <c r="H54" s="6"/>
      <c r="I54" s="4"/>
      <c r="J54" s="4"/>
    </row>
    <row r="55" spans="8:10">
      <c r="H55" s="6"/>
      <c r="I55" s="4"/>
      <c r="J55" s="4"/>
    </row>
    <row r="56" spans="8:10">
      <c r="H56" s="6"/>
      <c r="I56" s="4"/>
      <c r="J56" s="4"/>
    </row>
    <row r="57" spans="8:10">
      <c r="H57" s="6"/>
      <c r="I57" s="4"/>
      <c r="J57" s="4"/>
    </row>
    <row r="58" spans="8:10">
      <c r="H58" s="6"/>
      <c r="I58" s="4"/>
      <c r="J58" s="4"/>
    </row>
    <row r="59" spans="8:10">
      <c r="H59" s="6"/>
      <c r="I59" s="4"/>
      <c r="J59" s="4"/>
    </row>
    <row r="60" spans="8:10">
      <c r="H60" s="6"/>
      <c r="I60" s="4"/>
      <c r="J60" s="4"/>
    </row>
    <row r="61" spans="8:10">
      <c r="H61" s="6"/>
      <c r="I61" s="4"/>
      <c r="J61" s="4"/>
    </row>
    <row r="62" spans="8:10">
      <c r="H62" s="6"/>
      <c r="I62" s="4"/>
      <c r="J62" s="4"/>
    </row>
    <row r="63" spans="8:10">
      <c r="H63" s="6"/>
      <c r="I63" s="4"/>
      <c r="J63" s="4"/>
    </row>
    <row r="64" spans="8:10">
      <c r="H64" s="6"/>
      <c r="I64" s="4"/>
      <c r="J64" s="4"/>
    </row>
    <row r="65" spans="8:10">
      <c r="H65" s="6"/>
      <c r="I65" s="4"/>
      <c r="J65" s="4"/>
    </row>
    <row r="66" spans="8:10">
      <c r="H66" s="6"/>
      <c r="I66" s="4"/>
      <c r="J66" s="4"/>
    </row>
    <row r="67" spans="8:10">
      <c r="H67" s="6"/>
      <c r="I67" s="4"/>
      <c r="J67" s="4"/>
    </row>
    <row r="68" spans="8:10">
      <c r="H68" s="6"/>
      <c r="I68" s="4"/>
      <c r="J68" s="4"/>
    </row>
    <row r="69" spans="8:10">
      <c r="H69" s="6"/>
      <c r="I69" s="4"/>
      <c r="J69" s="4"/>
    </row>
    <row r="70" spans="8:10">
      <c r="H70" s="6"/>
      <c r="I70" s="4"/>
      <c r="J70" s="4"/>
    </row>
    <row r="71" spans="8:10">
      <c r="H71" s="6"/>
      <c r="I71" s="4"/>
      <c r="J71" s="4"/>
    </row>
    <row r="72" spans="8:10">
      <c r="H72" s="6"/>
      <c r="I72" s="4"/>
      <c r="J72" s="4"/>
    </row>
    <row r="73" spans="8:10">
      <c r="H73" s="6"/>
      <c r="I73" s="4"/>
      <c r="J73" s="4"/>
    </row>
    <row r="74" spans="8:10">
      <c r="H74" s="6"/>
      <c r="I74" s="4"/>
      <c r="J74" s="4"/>
    </row>
    <row r="75" spans="8:10">
      <c r="H75" s="6"/>
      <c r="I75" s="4"/>
      <c r="J75" s="4"/>
    </row>
    <row r="76" spans="8:10">
      <c r="H76" s="6"/>
      <c r="I76" s="4"/>
      <c r="J76" s="4"/>
    </row>
    <row r="77" spans="8:10">
      <c r="H77" s="6"/>
      <c r="I77" s="4"/>
      <c r="J77" s="4"/>
    </row>
    <row r="78" spans="8:10">
      <c r="H78" s="6"/>
      <c r="I78" s="4"/>
      <c r="J78" s="4"/>
    </row>
    <row r="79" spans="8:10">
      <c r="H79" s="6"/>
      <c r="I79" s="4"/>
      <c r="J79" s="4"/>
    </row>
    <row r="80" spans="8:10">
      <c r="H80" s="6"/>
      <c r="I80" s="4"/>
      <c r="J80" s="4"/>
    </row>
    <row r="81" spans="8:10">
      <c r="H81" s="6"/>
      <c r="I81" s="4"/>
      <c r="J81" s="4"/>
    </row>
    <row r="82" spans="8:10">
      <c r="H82" s="6"/>
      <c r="I82" s="4"/>
      <c r="J82" s="4"/>
    </row>
    <row r="83" spans="8:10">
      <c r="H83" s="6"/>
      <c r="I83" s="4"/>
      <c r="J83" s="4"/>
    </row>
    <row r="84" spans="8:10">
      <c r="H84" s="6"/>
      <c r="I84" s="4"/>
      <c r="J84" s="4"/>
    </row>
    <row r="85" spans="8:10">
      <c r="H85" s="6"/>
      <c r="I85" s="4"/>
      <c r="J85" s="4"/>
    </row>
    <row r="86" spans="8:10">
      <c r="H86" s="6"/>
      <c r="I86" s="4"/>
      <c r="J86" s="4"/>
    </row>
    <row r="87" spans="8:10">
      <c r="H87" s="6"/>
      <c r="I87" s="4"/>
      <c r="J87" s="4"/>
    </row>
    <row r="88" spans="8:10">
      <c r="H88" s="6"/>
      <c r="I88" s="4"/>
      <c r="J88" s="4"/>
    </row>
    <row r="89" spans="8:10">
      <c r="H89" s="6"/>
      <c r="I89" s="4"/>
      <c r="J89" s="4"/>
    </row>
    <row r="90" spans="8:10">
      <c r="H90" s="6"/>
      <c r="I90" s="4"/>
      <c r="J90" s="4"/>
    </row>
    <row r="91" spans="8:10">
      <c r="H91" s="6"/>
      <c r="I91" s="4"/>
      <c r="J91" s="4"/>
    </row>
    <row r="92" spans="8:10">
      <c r="H92" s="6"/>
      <c r="I92" s="4"/>
      <c r="J92" s="4"/>
    </row>
    <row r="93" spans="8:10">
      <c r="H93" s="6"/>
      <c r="I93" s="4"/>
      <c r="J93" s="4"/>
    </row>
    <row r="94" spans="8:10">
      <c r="H94" s="6"/>
      <c r="I94" s="4"/>
      <c r="J94" s="4"/>
    </row>
    <row r="95" spans="8:10">
      <c r="H95" s="6"/>
      <c r="I95" s="4"/>
      <c r="J95" s="4"/>
    </row>
    <row r="96" spans="8:10">
      <c r="H96" s="6"/>
      <c r="I96" s="4"/>
      <c r="J96" s="4"/>
    </row>
    <row r="97" spans="8:10">
      <c r="H97" s="6"/>
      <c r="I97" s="4"/>
      <c r="J97" s="4"/>
    </row>
    <row r="98" spans="8:10">
      <c r="H98" s="6"/>
      <c r="I98" s="4"/>
      <c r="J98" s="4"/>
    </row>
    <row r="99" spans="8:10">
      <c r="H99" s="6"/>
      <c r="I99" s="4"/>
      <c r="J99" s="4"/>
    </row>
    <row r="100" spans="8:10">
      <c r="H100" s="6"/>
      <c r="I100" s="4"/>
      <c r="J100" s="4"/>
    </row>
    <row r="101" spans="8:10">
      <c r="H101" s="6"/>
      <c r="I101" s="4"/>
      <c r="J101" s="4"/>
    </row>
    <row r="102" spans="8:10">
      <c r="H102" s="6"/>
      <c r="I102" s="4"/>
      <c r="J102" s="4"/>
    </row>
    <row r="103" spans="8:10">
      <c r="H103" s="6"/>
      <c r="I103" s="4"/>
      <c r="J103" s="4"/>
    </row>
    <row r="104" spans="8:10">
      <c r="H104" s="6"/>
      <c r="I104" s="4"/>
      <c r="J104" s="4"/>
    </row>
    <row r="105" spans="8:10">
      <c r="H105" s="6"/>
      <c r="I105" s="4"/>
      <c r="J105" s="4"/>
    </row>
    <row r="106" spans="8:10">
      <c r="H106" s="6"/>
      <c r="I106" s="4"/>
      <c r="J106" s="4"/>
    </row>
    <row r="107" spans="8:10">
      <c r="H107" s="6"/>
      <c r="I107" s="4"/>
      <c r="J107" s="4"/>
    </row>
    <row r="108" spans="8:10">
      <c r="H108" s="6"/>
      <c r="I108" s="4"/>
      <c r="J108" s="4"/>
    </row>
    <row r="109" spans="8:10">
      <c r="H109" s="6"/>
      <c r="I109" s="4"/>
      <c r="J109" s="4"/>
    </row>
    <row r="110" spans="8:10">
      <c r="H110" s="6"/>
      <c r="I110" s="4"/>
      <c r="J110" s="4"/>
    </row>
    <row r="111" spans="8:10">
      <c r="H111" s="6"/>
      <c r="I111" s="4"/>
      <c r="J111" s="4"/>
    </row>
    <row r="112" spans="8:10">
      <c r="H112" s="6"/>
      <c r="I112" s="4"/>
      <c r="J112" s="4"/>
    </row>
  </sheetData>
  <mergeCells count="16">
    <mergeCell ref="A1:B1"/>
    <mergeCell ref="B2:D2"/>
    <mergeCell ref="E2:G4"/>
    <mergeCell ref="J2:J6"/>
    <mergeCell ref="A5:B6"/>
    <mergeCell ref="F6:G6"/>
    <mergeCell ref="H2:I4"/>
    <mergeCell ref="H5:I6"/>
    <mergeCell ref="J7:J8"/>
    <mergeCell ref="B9:G9"/>
    <mergeCell ref="C7:C8"/>
    <mergeCell ref="D7:D8"/>
    <mergeCell ref="E7:E8"/>
    <mergeCell ref="F7:F8"/>
    <mergeCell ref="G7:G8"/>
    <mergeCell ref="H7:I8"/>
  </mergeCells>
  <phoneticPr fontId="0" type="noConversion"/>
  <printOptions horizontalCentered="1"/>
  <pageMargins left="0.75" right="0.75" top="1" bottom="1" header="0.5" footer="0.5"/>
  <pageSetup scale="79" fitToHeight="27" orientation="landscape" r:id="rId1"/>
  <headerFooter alignWithMargins="0">
    <oddHeader>&amp;L&amp;F&amp;C&amp;"Tahoma,Bold"&amp;11&amp;A&amp;R&amp;G</oddHeader>
    <oddFooter>&amp;C&amp;"Tahoma,Italic"Use or disclosure of the data on this page or screen is subject to the restrictions on the title page or opening view screen of this proposal document or file.&amp;R&amp;P of &amp;N</oddFooter>
  </headerFooter>
  <rowBreaks count="1" manualBreakCount="1">
    <brk id="24" max="16383" man="1"/>
  </rowBreaks>
  <ignoredErrors>
    <ignoredError sqref="F10 E13" unlockedFormula="1"/>
  </ignoredErrors>
  <legacyDrawingHF r:id="rId2"/>
</worksheet>
</file>

<file path=xl/worksheets/sheet20.xml><?xml version="1.0" encoding="utf-8"?>
<worksheet xmlns="http://schemas.openxmlformats.org/spreadsheetml/2006/main" xmlns:r="http://schemas.openxmlformats.org/officeDocument/2006/relationships">
  <sheetPr>
    <tabColor theme="4" tint="0.39997558519241921"/>
  </sheetPr>
  <dimension ref="A1:AU117"/>
  <sheetViews>
    <sheetView view="pageBreakPreview" zoomScaleNormal="100" zoomScaleSheetLayoutView="100" zoomScalePageLayoutView="75" workbookViewId="0">
      <selection sqref="A1:B1"/>
    </sheetView>
  </sheetViews>
  <sheetFormatPr defaultRowHeight="10.5"/>
  <cols>
    <col min="1" max="1" width="18.1640625" style="143" customWidth="1"/>
    <col min="2" max="2" width="39.6640625" style="143" customWidth="1"/>
    <col min="3" max="3" width="30.1640625" style="143" customWidth="1"/>
    <col min="4" max="4" width="13.1640625" style="143" hidden="1" customWidth="1"/>
    <col min="5" max="5" width="11.83203125" style="143" customWidth="1"/>
    <col min="6" max="6" width="13.33203125" style="143" customWidth="1"/>
    <col min="7" max="7" width="12.33203125" style="143" hidden="1" customWidth="1"/>
    <col min="8" max="8" width="12.1640625" style="143" customWidth="1"/>
    <col min="9" max="9" width="21.83203125" style="143" customWidth="1"/>
    <col min="10" max="10" width="30.83203125" style="143" customWidth="1"/>
    <col min="11" max="11" width="51" style="9" customWidth="1"/>
    <col min="12" max="22" width="9.33203125" style="9" customWidth="1"/>
  </cols>
  <sheetData>
    <row r="1" spans="1:47" ht="15" customHeight="1">
      <c r="A1" s="1545" t="s">
        <v>424</v>
      </c>
      <c r="B1" s="1546"/>
      <c r="C1" s="226"/>
      <c r="D1" s="226"/>
      <c r="E1" s="226"/>
      <c r="F1" s="226"/>
      <c r="G1" s="226"/>
      <c r="H1" s="226"/>
      <c r="I1" s="226"/>
      <c r="J1" s="578"/>
      <c r="K1" s="4"/>
      <c r="L1" s="4"/>
      <c r="M1" s="4"/>
      <c r="N1" s="4"/>
      <c r="O1" s="4"/>
      <c r="P1" s="4"/>
      <c r="Q1" s="4"/>
      <c r="R1" s="4"/>
      <c r="S1" s="4"/>
      <c r="T1" s="4"/>
      <c r="U1" s="4"/>
      <c r="V1" s="4"/>
      <c r="W1" s="8"/>
      <c r="X1" s="8"/>
      <c r="Y1" s="8"/>
      <c r="Z1" s="8"/>
      <c r="AA1" s="8"/>
      <c r="AB1" s="8"/>
      <c r="AC1" s="8"/>
      <c r="AD1" s="8"/>
      <c r="AE1" s="8"/>
      <c r="AF1" s="8"/>
      <c r="AG1" s="8"/>
      <c r="AH1" s="8"/>
      <c r="AI1" s="8"/>
      <c r="AJ1" s="8"/>
      <c r="AK1" s="8"/>
      <c r="AL1" s="8"/>
      <c r="AM1" s="8"/>
      <c r="AN1" s="8"/>
      <c r="AO1" s="8"/>
      <c r="AP1" s="8"/>
      <c r="AQ1" s="8"/>
      <c r="AR1" s="8"/>
      <c r="AS1" s="8"/>
      <c r="AT1" s="8"/>
      <c r="AU1" s="8"/>
    </row>
    <row r="2" spans="1:47" s="81" customFormat="1" ht="39.75" customHeight="1">
      <c r="A2" s="379"/>
      <c r="B2" s="1339" t="s">
        <v>370</v>
      </c>
      <c r="C2" s="1339"/>
      <c r="D2" s="1339"/>
      <c r="E2" s="1340" t="s">
        <v>622</v>
      </c>
      <c r="F2" s="1340"/>
      <c r="G2" s="1340"/>
      <c r="H2" s="1341" t="s">
        <v>623</v>
      </c>
      <c r="I2" s="1403"/>
      <c r="J2" s="577" t="s">
        <v>631</v>
      </c>
      <c r="K2" s="147"/>
      <c r="L2" s="147"/>
      <c r="M2" s="147"/>
      <c r="N2" s="147"/>
      <c r="O2" s="147"/>
      <c r="P2" s="147"/>
      <c r="Q2" s="147"/>
      <c r="R2" s="147"/>
      <c r="S2" s="147"/>
      <c r="T2" s="147"/>
      <c r="U2" s="147"/>
      <c r="V2" s="147"/>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row>
    <row r="3" spans="1:47" s="81" customFormat="1" ht="10.5" customHeight="1">
      <c r="A3" s="419" t="s">
        <v>426</v>
      </c>
      <c r="B3" s="419"/>
      <c r="C3" s="419"/>
      <c r="D3" s="419"/>
      <c r="E3" s="1340"/>
      <c r="F3" s="1340"/>
      <c r="G3" s="1340"/>
      <c r="H3" s="1341"/>
      <c r="I3" s="1403"/>
      <c r="J3" s="577"/>
      <c r="K3" s="147"/>
      <c r="L3" s="147"/>
      <c r="M3" s="147"/>
      <c r="N3" s="147"/>
      <c r="O3" s="147"/>
      <c r="P3" s="147"/>
      <c r="Q3" s="147"/>
      <c r="R3" s="147"/>
      <c r="S3" s="147"/>
      <c r="T3" s="147"/>
      <c r="U3" s="147"/>
      <c r="V3" s="147"/>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row>
    <row r="4" spans="1:47" s="81" customFormat="1" ht="10.5" customHeight="1">
      <c r="A4" s="419"/>
      <c r="B4" s="419"/>
      <c r="C4" s="419"/>
      <c r="D4" s="419"/>
      <c r="E4" s="1340"/>
      <c r="F4" s="1340"/>
      <c r="G4" s="1340"/>
      <c r="H4" s="1341"/>
      <c r="I4" s="1403"/>
      <c r="J4" s="577"/>
      <c r="K4" s="147"/>
      <c r="L4" s="147"/>
      <c r="M4" s="147"/>
      <c r="N4" s="147"/>
      <c r="O4" s="147"/>
      <c r="P4" s="147"/>
      <c r="Q4" s="147"/>
      <c r="R4" s="147"/>
      <c r="S4" s="147"/>
      <c r="T4" s="147"/>
      <c r="U4" s="147"/>
      <c r="V4" s="147"/>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row>
    <row r="5" spans="1:47" s="81" customFormat="1" ht="12" customHeight="1">
      <c r="A5" s="1313" t="s">
        <v>1330</v>
      </c>
      <c r="B5" s="1313"/>
      <c r="C5" s="386"/>
      <c r="D5" s="1238"/>
      <c r="E5" s="1238"/>
      <c r="F5" s="1238"/>
      <c r="G5" s="1238"/>
      <c r="H5" s="1341" t="s">
        <v>625</v>
      </c>
      <c r="I5" s="1403"/>
      <c r="J5" s="577"/>
      <c r="K5" s="147"/>
      <c r="L5" s="147"/>
      <c r="M5" s="147"/>
      <c r="N5" s="147"/>
      <c r="O5" s="147"/>
      <c r="P5" s="147"/>
      <c r="Q5" s="147"/>
      <c r="R5" s="147"/>
      <c r="S5" s="147"/>
      <c r="T5" s="147"/>
      <c r="U5" s="147"/>
      <c r="V5" s="147"/>
      <c r="W5" s="138"/>
      <c r="X5" s="138"/>
      <c r="Y5" s="138"/>
      <c r="Z5" s="138"/>
      <c r="AA5" s="138"/>
      <c r="AB5" s="138"/>
      <c r="AC5" s="138"/>
      <c r="AD5" s="138"/>
      <c r="AE5" s="138"/>
      <c r="AF5" s="138"/>
      <c r="AG5" s="138"/>
      <c r="AH5" s="138"/>
      <c r="AI5" s="138"/>
      <c r="AJ5" s="138"/>
      <c r="AK5" s="138"/>
      <c r="AL5" s="138"/>
      <c r="AM5" s="138"/>
      <c r="AN5" s="138"/>
      <c r="AO5" s="138"/>
      <c r="AP5" s="138"/>
      <c r="AQ5" s="138"/>
      <c r="AR5" s="138"/>
      <c r="AS5" s="138"/>
      <c r="AT5" s="138"/>
      <c r="AU5" s="138"/>
    </row>
    <row r="6" spans="1:47" ht="69.75" customHeight="1">
      <c r="A6" s="1313"/>
      <c r="B6" s="1313"/>
      <c r="C6" s="575"/>
      <c r="D6" s="1240"/>
      <c r="E6" s="1240"/>
      <c r="F6" s="1542"/>
      <c r="G6" s="1542"/>
      <c r="H6" s="1341"/>
      <c r="I6" s="1403"/>
      <c r="J6" s="577"/>
      <c r="K6" s="4"/>
      <c r="L6" s="4"/>
      <c r="M6" s="4"/>
      <c r="N6" s="4"/>
      <c r="O6" s="4"/>
      <c r="P6" s="4"/>
      <c r="Q6" s="4"/>
      <c r="R6" s="4"/>
      <c r="S6" s="4"/>
      <c r="T6" s="4"/>
      <c r="U6" s="4"/>
      <c r="V6" s="4"/>
      <c r="W6" s="8"/>
      <c r="X6" s="8"/>
      <c r="Y6" s="8"/>
      <c r="Z6" s="8"/>
      <c r="AA6" s="8"/>
      <c r="AB6" s="8"/>
      <c r="AC6" s="8"/>
      <c r="AD6" s="8"/>
      <c r="AE6" s="8"/>
      <c r="AF6" s="8"/>
      <c r="AG6" s="8"/>
      <c r="AH6" s="8"/>
      <c r="AI6" s="8"/>
      <c r="AJ6" s="8"/>
      <c r="AK6" s="8"/>
      <c r="AL6" s="8"/>
      <c r="AM6" s="8"/>
      <c r="AN6" s="8"/>
      <c r="AO6" s="8"/>
      <c r="AP6" s="8"/>
      <c r="AQ6" s="8"/>
      <c r="AR6" s="8"/>
      <c r="AS6" s="8"/>
      <c r="AT6" s="8"/>
      <c r="AU6" s="8"/>
    </row>
    <row r="7" spans="1:47" ht="21" customHeight="1">
      <c r="A7" s="579" t="s">
        <v>653</v>
      </c>
      <c r="B7" s="330" t="s">
        <v>428</v>
      </c>
      <c r="C7" s="1311" t="s">
        <v>429</v>
      </c>
      <c r="D7" s="1317" t="s">
        <v>620</v>
      </c>
      <c r="E7" s="1318" t="s">
        <v>432</v>
      </c>
      <c r="F7" s="1316" t="s">
        <v>430</v>
      </c>
      <c r="G7" s="1317" t="s">
        <v>621</v>
      </c>
      <c r="H7" s="1328" t="s">
        <v>431</v>
      </c>
      <c r="I7" s="1404"/>
      <c r="J7" s="576" t="s">
        <v>627</v>
      </c>
      <c r="K7" s="4"/>
      <c r="L7" s="4"/>
      <c r="M7" s="4"/>
      <c r="N7" s="4"/>
      <c r="O7" s="4"/>
      <c r="P7" s="4"/>
      <c r="Q7" s="4"/>
      <c r="R7" s="4"/>
      <c r="S7" s="4"/>
      <c r="T7" s="4"/>
      <c r="U7" s="4"/>
      <c r="V7" s="4"/>
      <c r="W7" s="8"/>
      <c r="X7" s="8"/>
      <c r="Y7" s="8"/>
      <c r="Z7" s="8"/>
      <c r="AA7" s="8"/>
      <c r="AB7" s="8"/>
      <c r="AC7" s="8"/>
      <c r="AD7" s="8"/>
      <c r="AE7" s="8"/>
      <c r="AF7" s="8"/>
      <c r="AG7" s="8"/>
      <c r="AH7" s="8"/>
      <c r="AI7" s="8"/>
      <c r="AJ7" s="8"/>
      <c r="AK7" s="8"/>
      <c r="AL7" s="8"/>
      <c r="AM7" s="8"/>
      <c r="AN7" s="8"/>
      <c r="AO7" s="8"/>
      <c r="AP7" s="8"/>
      <c r="AQ7" s="8"/>
      <c r="AR7" s="8"/>
      <c r="AS7" s="8"/>
      <c r="AT7" s="8"/>
      <c r="AU7" s="8"/>
    </row>
    <row r="8" spans="1:47" ht="21" customHeight="1">
      <c r="A8" s="574"/>
      <c r="B8" s="99"/>
      <c r="C8" s="1311"/>
      <c r="D8" s="1317"/>
      <c r="E8" s="1318"/>
      <c r="F8" s="1316"/>
      <c r="G8" s="1317"/>
      <c r="H8" s="1328"/>
      <c r="I8" s="1404"/>
      <c r="J8" s="576"/>
      <c r="K8" s="4"/>
      <c r="L8" s="4"/>
      <c r="M8" s="4"/>
      <c r="N8" s="4"/>
      <c r="O8" s="4"/>
      <c r="P8" s="4"/>
      <c r="Q8" s="4"/>
      <c r="R8" s="4"/>
      <c r="S8" s="4"/>
      <c r="T8" s="4"/>
      <c r="U8" s="4"/>
      <c r="V8" s="4"/>
      <c r="W8" s="8"/>
      <c r="X8" s="8"/>
      <c r="Y8" s="8"/>
      <c r="Z8" s="8"/>
      <c r="AA8" s="8"/>
      <c r="AB8" s="8"/>
      <c r="AC8" s="8"/>
      <c r="AD8" s="8"/>
      <c r="AE8" s="8"/>
      <c r="AF8" s="8"/>
      <c r="AG8" s="8"/>
      <c r="AH8" s="8"/>
      <c r="AI8" s="8"/>
      <c r="AJ8" s="8"/>
      <c r="AK8" s="8"/>
      <c r="AL8" s="8"/>
      <c r="AM8" s="8"/>
      <c r="AN8" s="8"/>
      <c r="AO8" s="8"/>
      <c r="AP8" s="8"/>
      <c r="AQ8" s="8"/>
      <c r="AR8" s="8"/>
      <c r="AS8" s="8"/>
      <c r="AT8" s="8"/>
      <c r="AU8" s="8"/>
    </row>
    <row r="9" spans="1:47" s="27" customFormat="1" ht="15" thickBot="1">
      <c r="A9" s="251"/>
      <c r="B9" s="1399" t="s">
        <v>517</v>
      </c>
      <c r="C9" s="1400"/>
      <c r="D9" s="1400"/>
      <c r="E9" s="1400"/>
      <c r="F9" s="1400"/>
      <c r="G9" s="1400"/>
      <c r="H9" s="513"/>
      <c r="I9" s="514"/>
      <c r="J9" s="582"/>
      <c r="K9" s="583"/>
      <c r="L9" s="26"/>
      <c r="M9" s="26"/>
      <c r="N9" s="26"/>
      <c r="O9" s="26"/>
      <c r="P9" s="26"/>
      <c r="Q9" s="26"/>
      <c r="R9" s="26"/>
      <c r="S9" s="26"/>
      <c r="T9" s="26"/>
      <c r="U9" s="26"/>
      <c r="V9" s="26"/>
    </row>
    <row r="10" spans="1:47" s="27" customFormat="1" ht="12.75" customHeight="1">
      <c r="A10" s="515"/>
      <c r="B10" s="1401" t="s">
        <v>406</v>
      </c>
      <c r="C10" s="1402"/>
      <c r="D10" s="580"/>
      <c r="E10" s="516"/>
      <c r="F10" s="517"/>
      <c r="G10" s="517"/>
      <c r="H10" s="518"/>
      <c r="I10" s="519"/>
      <c r="J10" s="582"/>
      <c r="K10" s="583"/>
      <c r="L10" s="26"/>
      <c r="M10" s="26"/>
      <c r="N10" s="26"/>
      <c r="O10" s="26"/>
      <c r="P10" s="26"/>
      <c r="Q10" s="26"/>
      <c r="R10" s="26"/>
      <c r="S10" s="26"/>
      <c r="T10" s="26"/>
      <c r="U10" s="26"/>
      <c r="V10" s="26"/>
    </row>
    <row r="11" spans="1:47" ht="12.75" customHeight="1">
      <c r="A11" s="92" t="s">
        <v>1816</v>
      </c>
      <c r="B11" s="1396" t="s">
        <v>401</v>
      </c>
      <c r="C11" s="1398"/>
      <c r="D11" s="1384">
        <v>21.99</v>
      </c>
      <c r="E11" s="1384">
        <f>D11*1.1</f>
        <v>24.189</v>
      </c>
      <c r="F11" s="1394" t="s">
        <v>783</v>
      </c>
      <c r="G11" s="1394" t="s">
        <v>783</v>
      </c>
      <c r="H11" s="1378" t="s">
        <v>1502</v>
      </c>
      <c r="I11" s="1379"/>
      <c r="J11" s="581"/>
      <c r="K11" s="185"/>
    </row>
    <row r="12" spans="1:47" ht="12.75" customHeight="1">
      <c r="A12" s="510"/>
      <c r="B12" s="520" t="s">
        <v>635</v>
      </c>
      <c r="C12" s="495" t="s">
        <v>652</v>
      </c>
      <c r="D12" s="1384"/>
      <c r="E12" s="1384"/>
      <c r="F12" s="1394"/>
      <c r="G12" s="1394"/>
      <c r="H12" s="1380"/>
      <c r="I12" s="1381"/>
      <c r="J12" s="581"/>
      <c r="K12" s="185"/>
    </row>
    <row r="13" spans="1:47" ht="12.75" customHeight="1">
      <c r="A13" s="510"/>
      <c r="B13" s="520" t="s">
        <v>636</v>
      </c>
      <c r="C13" s="495" t="s">
        <v>652</v>
      </c>
      <c r="D13" s="1384"/>
      <c r="E13" s="1384"/>
      <c r="F13" s="1394"/>
      <c r="G13" s="1394"/>
      <c r="H13" s="1380"/>
      <c r="I13" s="1381"/>
      <c r="J13" s="581"/>
      <c r="K13" s="185"/>
    </row>
    <row r="14" spans="1:47" ht="42" customHeight="1">
      <c r="A14" s="510"/>
      <c r="B14" s="520" t="s">
        <v>637</v>
      </c>
      <c r="C14" s="495" t="s">
        <v>652</v>
      </c>
      <c r="D14" s="1384"/>
      <c r="E14" s="1384"/>
      <c r="F14" s="1394"/>
      <c r="G14" s="1394"/>
      <c r="H14" s="1382"/>
      <c r="I14" s="1383"/>
      <c r="J14" s="581"/>
      <c r="K14" s="185"/>
    </row>
    <row r="15" spans="1:47" ht="12.75" customHeight="1">
      <c r="A15" s="92" t="s">
        <v>1817</v>
      </c>
      <c r="B15" s="1396" t="s">
        <v>402</v>
      </c>
      <c r="C15" s="1391"/>
      <c r="D15" s="1384">
        <v>29.99</v>
      </c>
      <c r="E15" s="1384">
        <f t="shared" ref="E15" si="0">D15*1.1</f>
        <v>32.989000000000004</v>
      </c>
      <c r="F15" s="1394" t="s">
        <v>783</v>
      </c>
      <c r="G15" s="1394" t="s">
        <v>783</v>
      </c>
      <c r="H15" s="1378" t="s">
        <v>1503</v>
      </c>
      <c r="I15" s="1407"/>
      <c r="J15" s="581"/>
      <c r="K15" s="185"/>
    </row>
    <row r="16" spans="1:47" ht="12.75" customHeight="1">
      <c r="A16" s="510"/>
      <c r="B16" s="520" t="s">
        <v>638</v>
      </c>
      <c r="C16" s="495" t="s">
        <v>652</v>
      </c>
      <c r="D16" s="1384"/>
      <c r="E16" s="1384"/>
      <c r="F16" s="1394"/>
      <c r="G16" s="1394"/>
      <c r="H16" s="1408"/>
      <c r="I16" s="1409"/>
      <c r="J16" s="581"/>
      <c r="K16" s="185"/>
    </row>
    <row r="17" spans="1:11" ht="12.75" customHeight="1">
      <c r="A17" s="510"/>
      <c r="B17" s="520" t="s">
        <v>639</v>
      </c>
      <c r="C17" s="495" t="s">
        <v>652</v>
      </c>
      <c r="D17" s="1384"/>
      <c r="E17" s="1384"/>
      <c r="F17" s="1394"/>
      <c r="G17" s="1394"/>
      <c r="H17" s="1408"/>
      <c r="I17" s="1409"/>
      <c r="J17" s="581"/>
      <c r="K17" s="185"/>
    </row>
    <row r="18" spans="1:11" ht="37.5" customHeight="1">
      <c r="A18" s="521"/>
      <c r="B18" s="520" t="s">
        <v>637</v>
      </c>
      <c r="C18" s="495" t="s">
        <v>652</v>
      </c>
      <c r="D18" s="1384"/>
      <c r="E18" s="1384"/>
      <c r="F18" s="1394"/>
      <c r="G18" s="1394"/>
      <c r="H18" s="1410"/>
      <c r="I18" s="1411"/>
      <c r="J18" s="581"/>
      <c r="K18" s="185"/>
    </row>
    <row r="19" spans="1:11" ht="12.75" customHeight="1">
      <c r="A19" s="92" t="s">
        <v>1818</v>
      </c>
      <c r="B19" s="1396" t="s">
        <v>403</v>
      </c>
      <c r="C19" s="1391"/>
      <c r="D19" s="1384">
        <v>34.99</v>
      </c>
      <c r="E19" s="1384">
        <f t="shared" ref="E19" si="1">D19*1.1</f>
        <v>38.489000000000004</v>
      </c>
      <c r="F19" s="1394" t="s">
        <v>783</v>
      </c>
      <c r="G19" s="1394" t="s">
        <v>783</v>
      </c>
      <c r="H19" s="1378" t="s">
        <v>1503</v>
      </c>
      <c r="I19" s="1407"/>
      <c r="J19" s="581"/>
      <c r="K19" s="185"/>
    </row>
    <row r="20" spans="1:11" ht="12.75" customHeight="1">
      <c r="A20" s="510"/>
      <c r="B20" s="520" t="s">
        <v>640</v>
      </c>
      <c r="C20" s="495" t="s">
        <v>652</v>
      </c>
      <c r="D20" s="1384"/>
      <c r="E20" s="1384"/>
      <c r="F20" s="1394"/>
      <c r="G20" s="1394"/>
      <c r="H20" s="1408"/>
      <c r="I20" s="1409"/>
      <c r="J20" s="581"/>
      <c r="K20" s="185"/>
    </row>
    <row r="21" spans="1:11" ht="12.75" customHeight="1">
      <c r="A21" s="510"/>
      <c r="B21" s="520" t="s">
        <v>641</v>
      </c>
      <c r="C21" s="495" t="s">
        <v>652</v>
      </c>
      <c r="D21" s="1384"/>
      <c r="E21" s="1384"/>
      <c r="F21" s="1394"/>
      <c r="G21" s="1394"/>
      <c r="H21" s="1408"/>
      <c r="I21" s="1409"/>
      <c r="J21" s="581"/>
      <c r="K21" s="185"/>
    </row>
    <row r="22" spans="1:11" ht="36.75" customHeight="1">
      <c r="A22" s="510"/>
      <c r="B22" s="520" t="s">
        <v>637</v>
      </c>
      <c r="C22" s="495" t="s">
        <v>652</v>
      </c>
      <c r="D22" s="1384"/>
      <c r="E22" s="1384"/>
      <c r="F22" s="1394"/>
      <c r="G22" s="1394"/>
      <c r="H22" s="1410"/>
      <c r="I22" s="1411"/>
      <c r="J22" s="581"/>
      <c r="K22" s="185"/>
    </row>
    <row r="23" spans="1:11" ht="12.75" customHeight="1">
      <c r="A23" s="92" t="s">
        <v>1819</v>
      </c>
      <c r="B23" s="1396" t="s">
        <v>404</v>
      </c>
      <c r="C23" s="1391"/>
      <c r="D23" s="1384">
        <v>49.99</v>
      </c>
      <c r="E23" s="1384">
        <f t="shared" ref="E23" si="2">D23*1.1</f>
        <v>54.989000000000004</v>
      </c>
      <c r="F23" s="1394" t="s">
        <v>783</v>
      </c>
      <c r="G23" s="1394" t="s">
        <v>783</v>
      </c>
      <c r="H23" s="1378" t="s">
        <v>1503</v>
      </c>
      <c r="I23" s="1407"/>
      <c r="J23" s="581"/>
      <c r="K23" s="185"/>
    </row>
    <row r="24" spans="1:11" ht="12.75" customHeight="1">
      <c r="A24" s="510"/>
      <c r="B24" s="520" t="s">
        <v>642</v>
      </c>
      <c r="C24" s="495" t="s">
        <v>652</v>
      </c>
      <c r="D24" s="1384"/>
      <c r="E24" s="1384"/>
      <c r="F24" s="1394"/>
      <c r="G24" s="1394"/>
      <c r="H24" s="1408"/>
      <c r="I24" s="1409"/>
      <c r="J24" s="581"/>
      <c r="K24" s="185"/>
    </row>
    <row r="25" spans="1:11" ht="12.75" customHeight="1">
      <c r="A25" s="134"/>
      <c r="B25" s="522" t="s">
        <v>643</v>
      </c>
      <c r="C25" s="495" t="s">
        <v>652</v>
      </c>
      <c r="D25" s="1384"/>
      <c r="E25" s="1384"/>
      <c r="F25" s="1394"/>
      <c r="G25" s="1394"/>
      <c r="H25" s="1408"/>
      <c r="I25" s="1409"/>
      <c r="J25" s="581"/>
      <c r="K25" s="185"/>
    </row>
    <row r="26" spans="1:11" ht="42" customHeight="1">
      <c r="A26" s="134"/>
      <c r="B26" s="522" t="s">
        <v>637</v>
      </c>
      <c r="C26" s="495" t="s">
        <v>652</v>
      </c>
      <c r="D26" s="1384"/>
      <c r="E26" s="1384"/>
      <c r="F26" s="1394"/>
      <c r="G26" s="1394"/>
      <c r="H26" s="1410"/>
      <c r="I26" s="1411"/>
      <c r="J26" s="581"/>
      <c r="K26" s="185"/>
    </row>
    <row r="27" spans="1:11" ht="12.75" customHeight="1">
      <c r="A27" s="134"/>
      <c r="B27" s="841" t="s">
        <v>1501</v>
      </c>
      <c r="C27" s="523"/>
      <c r="D27" s="584"/>
      <c r="E27" s="585"/>
      <c r="F27" s="586"/>
      <c r="G27" s="585"/>
      <c r="H27" s="261"/>
      <c r="I27" s="358"/>
      <c r="J27" s="594"/>
      <c r="K27" s="185"/>
    </row>
    <row r="28" spans="1:11" ht="12.75" customHeight="1">
      <c r="A28" s="63" t="s">
        <v>1975</v>
      </c>
      <c r="B28" s="1395" t="s">
        <v>401</v>
      </c>
      <c r="C28" s="1397"/>
      <c r="D28" s="1384">
        <v>40</v>
      </c>
      <c r="E28" s="1384">
        <f t="shared" ref="E28:E40" si="3">D28*1.1</f>
        <v>44</v>
      </c>
      <c r="F28" s="1394" t="s">
        <v>783</v>
      </c>
      <c r="G28" s="1394" t="s">
        <v>783</v>
      </c>
      <c r="H28" s="1378" t="s">
        <v>1504</v>
      </c>
      <c r="I28" s="1407"/>
      <c r="J28" s="594"/>
      <c r="K28" s="593"/>
    </row>
    <row r="29" spans="1:11" ht="12.75" customHeight="1">
      <c r="A29" s="134"/>
      <c r="B29" s="520" t="s">
        <v>635</v>
      </c>
      <c r="C29" s="495" t="s">
        <v>652</v>
      </c>
      <c r="D29" s="1384"/>
      <c r="E29" s="1384"/>
      <c r="F29" s="1394"/>
      <c r="G29" s="1394"/>
      <c r="H29" s="1408"/>
      <c r="I29" s="1409"/>
      <c r="J29" s="594"/>
      <c r="K29" s="593"/>
    </row>
    <row r="30" spans="1:11" ht="12.75" customHeight="1">
      <c r="A30" s="134"/>
      <c r="B30" s="520" t="s">
        <v>636</v>
      </c>
      <c r="C30" s="495" t="s">
        <v>652</v>
      </c>
      <c r="D30" s="1384"/>
      <c r="E30" s="1384"/>
      <c r="F30" s="1394"/>
      <c r="G30" s="1394"/>
      <c r="H30" s="1408"/>
      <c r="I30" s="1409"/>
      <c r="J30" s="594"/>
      <c r="K30" s="593"/>
    </row>
    <row r="31" spans="1:11" ht="28.5" customHeight="1">
      <c r="A31" s="134"/>
      <c r="B31" s="520" t="s">
        <v>637</v>
      </c>
      <c r="C31" s="495" t="s">
        <v>652</v>
      </c>
      <c r="D31" s="1384"/>
      <c r="E31" s="1384"/>
      <c r="F31" s="1394"/>
      <c r="G31" s="1394"/>
      <c r="H31" s="1410"/>
      <c r="I31" s="1411"/>
      <c r="J31" s="594"/>
      <c r="K31" s="593"/>
    </row>
    <row r="32" spans="1:11" ht="12.75" customHeight="1">
      <c r="A32" s="63" t="s">
        <v>1974</v>
      </c>
      <c r="B32" s="1395" t="s">
        <v>402</v>
      </c>
      <c r="C32" s="1389"/>
      <c r="D32" s="1384">
        <v>45</v>
      </c>
      <c r="E32" s="1384">
        <f t="shared" si="3"/>
        <v>49.500000000000007</v>
      </c>
      <c r="F32" s="1394" t="s">
        <v>783</v>
      </c>
      <c r="G32" s="1394" t="s">
        <v>783</v>
      </c>
      <c r="H32" s="1378" t="s">
        <v>1504</v>
      </c>
      <c r="I32" s="1407"/>
      <c r="J32" s="594"/>
      <c r="K32" s="593"/>
    </row>
    <row r="33" spans="1:22" ht="12.75" customHeight="1">
      <c r="A33" s="134"/>
      <c r="B33" s="520" t="s">
        <v>638</v>
      </c>
      <c r="C33" s="495" t="s">
        <v>652</v>
      </c>
      <c r="D33" s="1384"/>
      <c r="E33" s="1384"/>
      <c r="F33" s="1394"/>
      <c r="G33" s="1394"/>
      <c r="H33" s="1408"/>
      <c r="I33" s="1409"/>
      <c r="J33" s="594"/>
      <c r="K33" s="593"/>
    </row>
    <row r="34" spans="1:22" ht="12.75" customHeight="1">
      <c r="A34" s="134"/>
      <c r="B34" s="520" t="s">
        <v>639</v>
      </c>
      <c r="C34" s="495" t="s">
        <v>652</v>
      </c>
      <c r="D34" s="1384"/>
      <c r="E34" s="1384"/>
      <c r="F34" s="1394"/>
      <c r="G34" s="1394"/>
      <c r="H34" s="1408"/>
      <c r="I34" s="1409"/>
      <c r="J34" s="594"/>
      <c r="K34" s="593"/>
    </row>
    <row r="35" spans="1:22" ht="19.5" customHeight="1">
      <c r="A35" s="134"/>
      <c r="B35" s="520" t="s">
        <v>637</v>
      </c>
      <c r="C35" s="495" t="s">
        <v>652</v>
      </c>
      <c r="D35" s="1384"/>
      <c r="E35" s="1384"/>
      <c r="F35" s="1394"/>
      <c r="G35" s="1394"/>
      <c r="H35" s="1410"/>
      <c r="I35" s="1411"/>
      <c r="J35" s="594"/>
      <c r="K35" s="593"/>
    </row>
    <row r="36" spans="1:22" ht="12.75" customHeight="1">
      <c r="A36" s="63" t="s">
        <v>1976</v>
      </c>
      <c r="B36" s="1395" t="s">
        <v>403</v>
      </c>
      <c r="C36" s="1389"/>
      <c r="D36" s="1384">
        <v>50</v>
      </c>
      <c r="E36" s="1384">
        <f t="shared" si="3"/>
        <v>55.000000000000007</v>
      </c>
      <c r="F36" s="1394" t="s">
        <v>783</v>
      </c>
      <c r="G36" s="1394" t="s">
        <v>783</v>
      </c>
      <c r="H36" s="1378" t="s">
        <v>1504</v>
      </c>
      <c r="I36" s="1407"/>
      <c r="J36" s="594"/>
      <c r="K36" s="593"/>
    </row>
    <row r="37" spans="1:22" ht="12.75" customHeight="1">
      <c r="A37" s="134"/>
      <c r="B37" s="520" t="s">
        <v>640</v>
      </c>
      <c r="C37" s="495" t="s">
        <v>652</v>
      </c>
      <c r="D37" s="1384"/>
      <c r="E37" s="1384"/>
      <c r="F37" s="1394"/>
      <c r="G37" s="1394"/>
      <c r="H37" s="1408"/>
      <c r="I37" s="1409"/>
      <c r="J37" s="594"/>
      <c r="K37" s="593"/>
    </row>
    <row r="38" spans="1:22" ht="12.75" customHeight="1">
      <c r="A38" s="134"/>
      <c r="B38" s="520" t="s">
        <v>641</v>
      </c>
      <c r="C38" s="495" t="s">
        <v>652</v>
      </c>
      <c r="D38" s="1384"/>
      <c r="E38" s="1384"/>
      <c r="F38" s="1394"/>
      <c r="G38" s="1394"/>
      <c r="H38" s="1408"/>
      <c r="I38" s="1409"/>
      <c r="J38" s="594"/>
      <c r="K38" s="593"/>
    </row>
    <row r="39" spans="1:22" ht="12.75" customHeight="1">
      <c r="A39" s="134"/>
      <c r="B39" s="520" t="s">
        <v>637</v>
      </c>
      <c r="C39" s="495" t="s">
        <v>652</v>
      </c>
      <c r="D39" s="1384"/>
      <c r="E39" s="1384"/>
      <c r="F39" s="1394"/>
      <c r="G39" s="1394"/>
      <c r="H39" s="1410"/>
      <c r="I39" s="1411"/>
      <c r="J39" s="594"/>
      <c r="K39" s="593"/>
    </row>
    <row r="40" spans="1:22" ht="12.75" customHeight="1">
      <c r="A40" s="63" t="s">
        <v>1977</v>
      </c>
      <c r="B40" s="1395" t="s">
        <v>404</v>
      </c>
      <c r="C40" s="1389"/>
      <c r="D40" s="1384">
        <v>65</v>
      </c>
      <c r="E40" s="1384">
        <f t="shared" si="3"/>
        <v>71.5</v>
      </c>
      <c r="F40" s="1394" t="s">
        <v>783</v>
      </c>
      <c r="G40" s="1394" t="s">
        <v>783</v>
      </c>
      <c r="H40" s="1378" t="s">
        <v>1504</v>
      </c>
      <c r="I40" s="1407"/>
      <c r="J40" s="594"/>
      <c r="K40" s="593"/>
    </row>
    <row r="41" spans="1:22" ht="12.75" customHeight="1">
      <c r="A41" s="134"/>
      <c r="B41" s="520" t="s">
        <v>642</v>
      </c>
      <c r="C41" s="495" t="s">
        <v>652</v>
      </c>
      <c r="D41" s="1384"/>
      <c r="E41" s="1384"/>
      <c r="F41" s="1394"/>
      <c r="G41" s="1394"/>
      <c r="H41" s="1408"/>
      <c r="I41" s="1409"/>
      <c r="J41" s="594"/>
      <c r="K41" s="593"/>
    </row>
    <row r="42" spans="1:22" ht="12.75" customHeight="1">
      <c r="A42" s="134"/>
      <c r="B42" s="522" t="s">
        <v>643</v>
      </c>
      <c r="C42" s="495" t="s">
        <v>652</v>
      </c>
      <c r="D42" s="1384"/>
      <c r="E42" s="1384"/>
      <c r="F42" s="1394"/>
      <c r="G42" s="1394"/>
      <c r="H42" s="1408"/>
      <c r="I42" s="1409"/>
      <c r="J42" s="594"/>
      <c r="K42" s="593"/>
    </row>
    <row r="43" spans="1:22" ht="12.75" customHeight="1">
      <c r="A43" s="134"/>
      <c r="B43" s="522" t="s">
        <v>637</v>
      </c>
      <c r="C43" s="495" t="s">
        <v>652</v>
      </c>
      <c r="D43" s="1384"/>
      <c r="E43" s="1384"/>
      <c r="F43" s="1394"/>
      <c r="G43" s="1394"/>
      <c r="H43" s="1410"/>
      <c r="I43" s="1411"/>
      <c r="J43" s="594"/>
      <c r="K43" s="593"/>
    </row>
    <row r="44" spans="1:22" ht="12.75" customHeight="1">
      <c r="A44" s="134"/>
      <c r="B44" s="145"/>
      <c r="C44" s="523"/>
      <c r="D44" s="584"/>
      <c r="E44" s="585"/>
      <c r="F44" s="586"/>
      <c r="G44" s="585"/>
      <c r="H44" s="595"/>
      <c r="I44" s="584"/>
      <c r="J44" s="594"/>
      <c r="K44" s="185"/>
    </row>
    <row r="45" spans="1:22" s="27" customFormat="1" ht="15" thickBot="1">
      <c r="A45" s="430"/>
      <c r="B45" s="1392" t="s">
        <v>405</v>
      </c>
      <c r="C45" s="1392"/>
      <c r="D45" s="524"/>
      <c r="E45" s="190"/>
      <c r="F45" s="190"/>
      <c r="G45" s="190"/>
      <c r="H45" s="596"/>
      <c r="I45" s="145"/>
      <c r="J45" s="600"/>
      <c r="K45" s="44"/>
      <c r="L45" s="26"/>
      <c r="M45" s="26"/>
      <c r="N45" s="26"/>
      <c r="O45" s="26"/>
      <c r="P45" s="26"/>
      <c r="Q45" s="26"/>
      <c r="R45" s="26"/>
      <c r="S45" s="26"/>
      <c r="T45" s="26"/>
      <c r="U45" s="26"/>
      <c r="V45" s="26"/>
    </row>
    <row r="46" spans="1:22" s="18" customFormat="1" ht="15" thickBot="1">
      <c r="A46" s="753" t="s">
        <v>1820</v>
      </c>
      <c r="B46" s="704" t="s">
        <v>644</v>
      </c>
      <c r="C46" s="705" t="s">
        <v>652</v>
      </c>
      <c r="D46" s="706" t="s">
        <v>277</v>
      </c>
      <c r="E46" s="707" t="s">
        <v>277</v>
      </c>
      <c r="F46" s="717">
        <f>G46*1.1</f>
        <v>68.254999999999995</v>
      </c>
      <c r="G46" s="708">
        <v>62.05</v>
      </c>
      <c r="H46" s="709"/>
      <c r="I46" s="711"/>
      <c r="J46" s="710"/>
      <c r="K46" s="44"/>
      <c r="L46" s="21"/>
      <c r="M46" s="21"/>
      <c r="N46" s="21"/>
      <c r="O46" s="21"/>
      <c r="P46" s="21"/>
      <c r="Q46" s="21"/>
      <c r="R46" s="21"/>
      <c r="S46" s="21"/>
      <c r="T46" s="21"/>
      <c r="U46" s="21"/>
      <c r="V46" s="21"/>
    </row>
    <row r="47" spans="1:22" s="589" customFormat="1" ht="15" thickBot="1">
      <c r="A47" s="753" t="s">
        <v>1821</v>
      </c>
      <c r="B47" s="525" t="s">
        <v>645</v>
      </c>
      <c r="C47" s="587" t="s">
        <v>652</v>
      </c>
      <c r="D47" s="526" t="s">
        <v>277</v>
      </c>
      <c r="E47" s="699" t="s">
        <v>277</v>
      </c>
      <c r="F47" s="717">
        <f>G47*1.1</f>
        <v>95.75500000000001</v>
      </c>
      <c r="G47" s="700">
        <v>87.05</v>
      </c>
      <c r="H47" s="701"/>
      <c r="I47" s="712"/>
      <c r="J47" s="710"/>
      <c r="K47" s="588"/>
    </row>
    <row r="48" spans="1:22" s="18" customFormat="1" ht="15" thickBot="1">
      <c r="A48" s="172"/>
      <c r="B48" s="143"/>
      <c r="C48" s="143"/>
      <c r="D48" s="169"/>
      <c r="E48" s="143"/>
      <c r="F48" s="143"/>
      <c r="G48" s="143"/>
      <c r="H48" s="596"/>
      <c r="I48" s="145"/>
      <c r="J48" s="597"/>
      <c r="K48" s="44"/>
      <c r="L48" s="21"/>
      <c r="M48" s="21"/>
      <c r="N48" s="21"/>
      <c r="O48" s="21"/>
      <c r="P48" s="21"/>
      <c r="Q48" s="21"/>
      <c r="R48" s="21"/>
      <c r="S48" s="21"/>
      <c r="T48" s="21"/>
      <c r="U48" s="21"/>
      <c r="V48" s="21"/>
    </row>
    <row r="49" spans="1:22" s="27" customFormat="1" ht="14.25">
      <c r="A49" s="134"/>
      <c r="B49" s="1393" t="s">
        <v>399</v>
      </c>
      <c r="C49" s="1393"/>
      <c r="D49" s="527"/>
      <c r="E49" s="528"/>
      <c r="F49" s="528"/>
      <c r="G49" s="528"/>
      <c r="H49" s="702"/>
      <c r="I49" s="703"/>
      <c r="J49" s="598"/>
      <c r="K49" s="39"/>
      <c r="L49" s="26"/>
      <c r="M49" s="26"/>
      <c r="N49" s="26"/>
      <c r="O49" s="26"/>
      <c r="P49" s="26"/>
      <c r="Q49" s="26"/>
      <c r="R49" s="26"/>
      <c r="S49" s="26"/>
      <c r="T49" s="26"/>
      <c r="U49" s="26"/>
      <c r="V49" s="26"/>
    </row>
    <row r="50" spans="1:22" ht="12.75" customHeight="1">
      <c r="A50" s="63" t="s">
        <v>1822</v>
      </c>
      <c r="B50" s="1390" t="s">
        <v>407</v>
      </c>
      <c r="C50" s="1391"/>
      <c r="D50" s="1384">
        <v>44.99</v>
      </c>
      <c r="E50" s="1384">
        <f t="shared" ref="E50:E62" si="4">D50*1.1</f>
        <v>49.489000000000004</v>
      </c>
      <c r="F50" s="1384" t="s">
        <v>783</v>
      </c>
      <c r="G50" s="1384" t="s">
        <v>783</v>
      </c>
      <c r="H50" s="1412" t="s">
        <v>1500</v>
      </c>
      <c r="I50" s="1413"/>
      <c r="J50" s="594"/>
      <c r="K50" s="185"/>
    </row>
    <row r="51" spans="1:22" ht="12.75" customHeight="1">
      <c r="A51" s="134"/>
      <c r="B51" s="522" t="s">
        <v>646</v>
      </c>
      <c r="C51" s="495" t="s">
        <v>652</v>
      </c>
      <c r="D51" s="1384"/>
      <c r="E51" s="1384"/>
      <c r="F51" s="1384"/>
      <c r="G51" s="1384"/>
      <c r="H51" s="1414"/>
      <c r="I51" s="1415"/>
      <c r="J51" s="594"/>
      <c r="K51" s="185"/>
    </row>
    <row r="52" spans="1:22" s="18" customFormat="1" ht="12.75" customHeight="1">
      <c r="A52" s="134"/>
      <c r="B52" s="522" t="s">
        <v>636</v>
      </c>
      <c r="C52" s="495" t="s">
        <v>652</v>
      </c>
      <c r="D52" s="1384"/>
      <c r="E52" s="1384"/>
      <c r="F52" s="1384"/>
      <c r="G52" s="1384"/>
      <c r="H52" s="1414"/>
      <c r="I52" s="1415"/>
      <c r="J52" s="594"/>
      <c r="K52" s="185"/>
      <c r="L52" s="21"/>
      <c r="M52" s="21"/>
      <c r="N52" s="21"/>
      <c r="O52" s="21"/>
      <c r="P52" s="21"/>
      <c r="Q52" s="21"/>
      <c r="R52" s="21"/>
      <c r="S52" s="21"/>
      <c r="T52" s="21"/>
      <c r="U52" s="21"/>
      <c r="V52" s="21"/>
    </row>
    <row r="53" spans="1:22" s="18" customFormat="1" ht="57" customHeight="1">
      <c r="A53" s="134"/>
      <c r="B53" s="522" t="s">
        <v>647</v>
      </c>
      <c r="C53" s="495" t="s">
        <v>652</v>
      </c>
      <c r="D53" s="1384"/>
      <c r="E53" s="1384"/>
      <c r="F53" s="1384"/>
      <c r="G53" s="1384"/>
      <c r="H53" s="1416"/>
      <c r="I53" s="1417"/>
      <c r="J53" s="594"/>
      <c r="K53" s="185"/>
      <c r="L53" s="21"/>
      <c r="M53" s="21"/>
      <c r="N53" s="21"/>
      <c r="O53" s="21"/>
      <c r="P53" s="21"/>
      <c r="Q53" s="21"/>
      <c r="R53" s="21"/>
      <c r="S53" s="21"/>
      <c r="T53" s="21"/>
      <c r="U53" s="21"/>
      <c r="V53" s="21"/>
    </row>
    <row r="54" spans="1:22" s="18" customFormat="1" ht="12.75" customHeight="1">
      <c r="A54" s="753" t="s">
        <v>1954</v>
      </c>
      <c r="B54" s="1390" t="s">
        <v>408</v>
      </c>
      <c r="C54" s="1391"/>
      <c r="D54" s="1384">
        <v>49.99</v>
      </c>
      <c r="E54" s="1384">
        <f t="shared" si="4"/>
        <v>54.989000000000004</v>
      </c>
      <c r="F54" s="1384" t="s">
        <v>783</v>
      </c>
      <c r="G54" s="1384" t="s">
        <v>783</v>
      </c>
      <c r="H54" s="1412" t="s">
        <v>1500</v>
      </c>
      <c r="I54" s="1413"/>
      <c r="J54" s="594"/>
      <c r="K54" s="185"/>
      <c r="L54" s="21"/>
      <c r="M54" s="21"/>
      <c r="N54" s="21"/>
      <c r="O54" s="21"/>
      <c r="P54" s="21"/>
      <c r="Q54" s="21"/>
      <c r="R54" s="21"/>
      <c r="S54" s="21"/>
      <c r="T54" s="21"/>
      <c r="U54" s="21"/>
      <c r="V54" s="21"/>
    </row>
    <row r="55" spans="1:22" s="18" customFormat="1" ht="12.75" customHeight="1">
      <c r="A55" s="134"/>
      <c r="B55" s="522" t="s">
        <v>640</v>
      </c>
      <c r="C55" s="495" t="s">
        <v>652</v>
      </c>
      <c r="D55" s="1384"/>
      <c r="E55" s="1384"/>
      <c r="F55" s="1384"/>
      <c r="G55" s="1384"/>
      <c r="H55" s="1414"/>
      <c r="I55" s="1415"/>
      <c r="J55" s="594"/>
      <c r="K55" s="185"/>
      <c r="L55" s="21"/>
      <c r="M55" s="21"/>
      <c r="N55" s="21"/>
      <c r="O55" s="21"/>
      <c r="P55" s="21"/>
      <c r="Q55" s="21"/>
      <c r="R55" s="21"/>
      <c r="S55" s="21"/>
      <c r="T55" s="21"/>
      <c r="U55" s="21"/>
      <c r="V55" s="21"/>
    </row>
    <row r="56" spans="1:22" s="18" customFormat="1" ht="12.75" customHeight="1">
      <c r="A56" s="134"/>
      <c r="B56" s="522" t="s">
        <v>648</v>
      </c>
      <c r="C56" s="495" t="s">
        <v>652</v>
      </c>
      <c r="D56" s="1384"/>
      <c r="E56" s="1384"/>
      <c r="F56" s="1384"/>
      <c r="G56" s="1384"/>
      <c r="H56" s="1414"/>
      <c r="I56" s="1415"/>
      <c r="J56" s="594"/>
      <c r="K56" s="185"/>
      <c r="L56" s="21"/>
      <c r="M56" s="21"/>
      <c r="N56" s="21"/>
      <c r="O56" s="21"/>
      <c r="P56" s="21"/>
      <c r="Q56" s="21"/>
      <c r="R56" s="21"/>
      <c r="S56" s="21"/>
      <c r="T56" s="21"/>
      <c r="U56" s="21"/>
      <c r="V56" s="21"/>
    </row>
    <row r="57" spans="1:22" s="18" customFormat="1" ht="12.75" customHeight="1">
      <c r="A57" s="134"/>
      <c r="B57" s="522" t="s">
        <v>647</v>
      </c>
      <c r="C57" s="495" t="s">
        <v>652</v>
      </c>
      <c r="D57" s="1384"/>
      <c r="E57" s="1384"/>
      <c r="F57" s="1384"/>
      <c r="G57" s="1384"/>
      <c r="H57" s="1416"/>
      <c r="I57" s="1417"/>
      <c r="J57" s="594"/>
      <c r="K57" s="185"/>
      <c r="L57" s="21"/>
      <c r="M57" s="21"/>
      <c r="N57" s="21"/>
      <c r="O57" s="21"/>
      <c r="P57" s="21"/>
      <c r="Q57" s="21"/>
      <c r="R57" s="21"/>
      <c r="S57" s="21"/>
      <c r="T57" s="21"/>
      <c r="U57" s="21"/>
      <c r="V57" s="21"/>
    </row>
    <row r="58" spans="1:22" ht="12.75" customHeight="1">
      <c r="A58" s="92" t="s">
        <v>1823</v>
      </c>
      <c r="B58" s="1390" t="s">
        <v>409</v>
      </c>
      <c r="C58" s="1391"/>
      <c r="D58" s="1384">
        <v>79.989999999999995</v>
      </c>
      <c r="E58" s="1384">
        <f t="shared" si="4"/>
        <v>87.989000000000004</v>
      </c>
      <c r="F58" s="1384" t="s">
        <v>783</v>
      </c>
      <c r="G58" s="1384" t="s">
        <v>783</v>
      </c>
      <c r="H58" s="1412" t="s">
        <v>1500</v>
      </c>
      <c r="I58" s="1413"/>
      <c r="J58" s="594"/>
      <c r="K58" s="185"/>
    </row>
    <row r="59" spans="1:22" ht="12.75" customHeight="1">
      <c r="A59" s="134"/>
      <c r="B59" s="522" t="s">
        <v>642</v>
      </c>
      <c r="C59" s="495" t="s">
        <v>652</v>
      </c>
      <c r="D59" s="1384"/>
      <c r="E59" s="1384"/>
      <c r="F59" s="1384"/>
      <c r="G59" s="1384"/>
      <c r="H59" s="1414"/>
      <c r="I59" s="1415"/>
      <c r="J59" s="594"/>
      <c r="K59" s="185"/>
    </row>
    <row r="60" spans="1:22" ht="12.75" customHeight="1">
      <c r="A60" s="134"/>
      <c r="B60" s="522" t="s">
        <v>643</v>
      </c>
      <c r="C60" s="495" t="s">
        <v>652</v>
      </c>
      <c r="D60" s="1384"/>
      <c r="E60" s="1384"/>
      <c r="F60" s="1384"/>
      <c r="G60" s="1384"/>
      <c r="H60" s="1414"/>
      <c r="I60" s="1415"/>
      <c r="J60" s="594"/>
      <c r="K60" s="185"/>
    </row>
    <row r="61" spans="1:22" ht="12.75" customHeight="1">
      <c r="A61" s="134"/>
      <c r="B61" s="522" t="s">
        <v>647</v>
      </c>
      <c r="C61" s="495" t="s">
        <v>652</v>
      </c>
      <c r="D61" s="1384"/>
      <c r="E61" s="1384"/>
      <c r="F61" s="1384"/>
      <c r="G61" s="1384"/>
      <c r="H61" s="1416"/>
      <c r="I61" s="1417"/>
      <c r="J61" s="594"/>
      <c r="K61" s="185"/>
    </row>
    <row r="62" spans="1:22" ht="12.75" customHeight="1">
      <c r="A62" s="92" t="s">
        <v>1824</v>
      </c>
      <c r="B62" s="1390" t="s">
        <v>410</v>
      </c>
      <c r="C62" s="1391"/>
      <c r="D62" s="1384">
        <v>74.989999999999995</v>
      </c>
      <c r="E62" s="1384">
        <f t="shared" si="4"/>
        <v>82.489000000000004</v>
      </c>
      <c r="F62" s="1384" t="s">
        <v>783</v>
      </c>
      <c r="G62" s="1384" t="s">
        <v>783</v>
      </c>
      <c r="H62" s="1412" t="s">
        <v>1500</v>
      </c>
      <c r="I62" s="1413"/>
      <c r="J62" s="594"/>
      <c r="K62" s="185"/>
    </row>
    <row r="63" spans="1:22" ht="12.75" customHeight="1">
      <c r="A63" s="510"/>
      <c r="B63" s="522" t="s">
        <v>649</v>
      </c>
      <c r="C63" s="495" t="s">
        <v>652</v>
      </c>
      <c r="D63" s="1384"/>
      <c r="E63" s="1384"/>
      <c r="F63" s="1384"/>
      <c r="G63" s="1384"/>
      <c r="H63" s="1414"/>
      <c r="I63" s="1415"/>
      <c r="J63" s="594"/>
      <c r="K63" s="185"/>
    </row>
    <row r="64" spans="1:22" ht="12.75" customHeight="1">
      <c r="A64" s="134"/>
      <c r="B64" s="522" t="s">
        <v>650</v>
      </c>
      <c r="C64" s="495" t="s">
        <v>652</v>
      </c>
      <c r="D64" s="1384"/>
      <c r="E64" s="1384"/>
      <c r="F64" s="1384"/>
      <c r="G64" s="1384"/>
      <c r="H64" s="1414"/>
      <c r="I64" s="1415"/>
      <c r="J64" s="594"/>
      <c r="K64" s="185"/>
    </row>
    <row r="65" spans="1:25" ht="12.75" customHeight="1">
      <c r="A65" s="134"/>
      <c r="B65" s="522" t="s">
        <v>647</v>
      </c>
      <c r="C65" s="495" t="s">
        <v>652</v>
      </c>
      <c r="D65" s="1384"/>
      <c r="E65" s="1384"/>
      <c r="F65" s="1384"/>
      <c r="G65" s="1384"/>
      <c r="H65" s="1416"/>
      <c r="I65" s="1417"/>
      <c r="J65" s="594"/>
      <c r="K65" s="185"/>
    </row>
    <row r="66" spans="1:25" ht="12.75" customHeight="1">
      <c r="A66" s="134"/>
      <c r="B66" s="841" t="s">
        <v>2751</v>
      </c>
      <c r="C66" s="523"/>
      <c r="D66" s="584"/>
      <c r="E66" s="585"/>
      <c r="F66" s="585"/>
      <c r="G66" s="585"/>
      <c r="H66" s="595"/>
      <c r="I66" s="590"/>
      <c r="J66" s="594"/>
      <c r="K66" s="185"/>
    </row>
    <row r="67" spans="1:25" ht="12.75" customHeight="1">
      <c r="A67" s="63" t="s">
        <v>2549</v>
      </c>
      <c r="B67" s="1388" t="s">
        <v>407</v>
      </c>
      <c r="C67" s="1389"/>
      <c r="D67" s="1384">
        <v>56.99</v>
      </c>
      <c r="E67" s="1384">
        <f t="shared" ref="E67:E75" si="5">D67*1.1</f>
        <v>62.689000000000007</v>
      </c>
      <c r="F67" s="1384" t="s">
        <v>783</v>
      </c>
      <c r="G67" s="1384" t="s">
        <v>783</v>
      </c>
      <c r="H67" s="1412" t="s">
        <v>1505</v>
      </c>
      <c r="I67" s="1413"/>
      <c r="J67" s="594"/>
      <c r="K67" s="593"/>
      <c r="L67" s="4"/>
      <c r="M67" s="4"/>
      <c r="N67" s="4"/>
      <c r="O67" s="4"/>
      <c r="P67" s="4"/>
      <c r="Q67" s="4"/>
      <c r="R67" s="4"/>
      <c r="S67" s="4"/>
      <c r="T67" s="4"/>
      <c r="U67" s="4"/>
      <c r="V67" s="4"/>
      <c r="W67" s="8"/>
      <c r="X67" s="8"/>
      <c r="Y67" s="8"/>
    </row>
    <row r="68" spans="1:25" ht="12.75" customHeight="1">
      <c r="A68" s="134"/>
      <c r="B68" s="522" t="s">
        <v>646</v>
      </c>
      <c r="C68" s="495" t="s">
        <v>652</v>
      </c>
      <c r="D68" s="1384"/>
      <c r="E68" s="1384"/>
      <c r="F68" s="1384"/>
      <c r="G68" s="1384"/>
      <c r="H68" s="1414"/>
      <c r="I68" s="1415"/>
      <c r="J68" s="594"/>
      <c r="K68" s="593"/>
      <c r="L68" s="4"/>
      <c r="M68" s="4"/>
      <c r="N68" s="4"/>
      <c r="O68" s="4"/>
      <c r="P68" s="4"/>
      <c r="Q68" s="4"/>
      <c r="R68" s="4"/>
      <c r="S68" s="4"/>
      <c r="T68" s="4"/>
      <c r="U68" s="4"/>
      <c r="V68" s="4"/>
      <c r="W68" s="8"/>
      <c r="X68" s="8"/>
      <c r="Y68" s="8"/>
    </row>
    <row r="69" spans="1:25" ht="12.75" customHeight="1">
      <c r="A69" s="134"/>
      <c r="B69" s="522" t="s">
        <v>636</v>
      </c>
      <c r="C69" s="495" t="s">
        <v>652</v>
      </c>
      <c r="D69" s="1384"/>
      <c r="E69" s="1384"/>
      <c r="F69" s="1384"/>
      <c r="G69" s="1384"/>
      <c r="H69" s="1414"/>
      <c r="I69" s="1415"/>
      <c r="J69" s="594"/>
      <c r="K69" s="593"/>
      <c r="L69" s="4"/>
      <c r="M69" s="4"/>
      <c r="N69" s="4"/>
      <c r="O69" s="4"/>
      <c r="P69" s="4"/>
      <c r="Q69" s="4"/>
      <c r="R69" s="4"/>
      <c r="S69" s="4"/>
      <c r="T69" s="4"/>
      <c r="U69" s="4"/>
      <c r="V69" s="4"/>
      <c r="W69" s="8"/>
      <c r="X69" s="8"/>
      <c r="Y69" s="8"/>
    </row>
    <row r="70" spans="1:25" ht="12.75" customHeight="1">
      <c r="A70" s="134"/>
      <c r="B70" s="522" t="s">
        <v>647</v>
      </c>
      <c r="C70" s="495" t="s">
        <v>652</v>
      </c>
      <c r="D70" s="1384"/>
      <c r="E70" s="1384"/>
      <c r="F70" s="1384"/>
      <c r="G70" s="1384"/>
      <c r="H70" s="1416"/>
      <c r="I70" s="1417"/>
      <c r="J70" s="594"/>
      <c r="K70" s="593"/>
      <c r="L70" s="4"/>
      <c r="M70" s="4"/>
      <c r="N70" s="4"/>
      <c r="O70" s="4"/>
      <c r="P70" s="4"/>
      <c r="Q70" s="4"/>
      <c r="R70" s="4"/>
      <c r="S70" s="4"/>
      <c r="T70" s="4"/>
      <c r="U70" s="4"/>
      <c r="V70" s="4"/>
      <c r="W70" s="8"/>
      <c r="X70" s="8"/>
      <c r="Y70" s="8"/>
    </row>
    <row r="71" spans="1:25" ht="12.75" customHeight="1">
      <c r="A71" s="63" t="s">
        <v>2550</v>
      </c>
      <c r="B71" s="1388" t="s">
        <v>408</v>
      </c>
      <c r="C71" s="1389"/>
      <c r="D71" s="1384">
        <v>61.99</v>
      </c>
      <c r="E71" s="1384">
        <f t="shared" si="5"/>
        <v>68.189000000000007</v>
      </c>
      <c r="F71" s="1384" t="s">
        <v>783</v>
      </c>
      <c r="G71" s="1384" t="s">
        <v>783</v>
      </c>
      <c r="H71" s="1378" t="s">
        <v>1505</v>
      </c>
      <c r="I71" s="1407"/>
      <c r="J71" s="594"/>
      <c r="K71" s="593"/>
      <c r="L71" s="4"/>
      <c r="M71" s="4"/>
      <c r="N71" s="4"/>
      <c r="O71" s="4"/>
      <c r="P71" s="4"/>
      <c r="Q71" s="4"/>
      <c r="R71" s="4"/>
      <c r="S71" s="4"/>
      <c r="T71" s="4"/>
      <c r="U71" s="4"/>
      <c r="V71" s="4"/>
      <c r="W71" s="8"/>
      <c r="X71" s="8"/>
      <c r="Y71" s="8"/>
    </row>
    <row r="72" spans="1:25" ht="12.75" customHeight="1">
      <c r="A72" s="134"/>
      <c r="B72" s="522" t="s">
        <v>640</v>
      </c>
      <c r="C72" s="495" t="s">
        <v>652</v>
      </c>
      <c r="D72" s="1384"/>
      <c r="E72" s="1384"/>
      <c r="F72" s="1384"/>
      <c r="G72" s="1384"/>
      <c r="H72" s="1408"/>
      <c r="I72" s="1409"/>
      <c r="J72" s="594"/>
      <c r="K72" s="593"/>
      <c r="L72" s="4"/>
      <c r="M72" s="4"/>
      <c r="N72" s="4"/>
      <c r="O72" s="4"/>
      <c r="P72" s="4"/>
      <c r="Q72" s="4"/>
      <c r="R72" s="4"/>
      <c r="S72" s="4"/>
      <c r="T72" s="4"/>
      <c r="U72" s="4"/>
      <c r="V72" s="4"/>
      <c r="W72" s="8"/>
      <c r="X72" s="8"/>
      <c r="Y72" s="8"/>
    </row>
    <row r="73" spans="1:25" ht="12.75" customHeight="1">
      <c r="A73" s="134"/>
      <c r="B73" s="522" t="s">
        <v>648</v>
      </c>
      <c r="C73" s="495" t="s">
        <v>652</v>
      </c>
      <c r="D73" s="1384"/>
      <c r="E73" s="1384"/>
      <c r="F73" s="1384"/>
      <c r="G73" s="1384"/>
      <c r="H73" s="1408"/>
      <c r="I73" s="1409"/>
      <c r="J73" s="594"/>
      <c r="K73" s="593"/>
      <c r="L73" s="4"/>
      <c r="M73" s="4"/>
      <c r="N73" s="4"/>
      <c r="O73" s="4"/>
      <c r="P73" s="4"/>
      <c r="Q73" s="4"/>
      <c r="R73" s="4"/>
      <c r="S73" s="4"/>
      <c r="T73" s="4"/>
      <c r="U73" s="4"/>
      <c r="V73" s="4"/>
      <c r="W73" s="8"/>
      <c r="X73" s="8"/>
      <c r="Y73" s="8"/>
    </row>
    <row r="74" spans="1:25" ht="12.75" customHeight="1">
      <c r="A74" s="134"/>
      <c r="B74" s="522" t="s">
        <v>647</v>
      </c>
      <c r="C74" s="495" t="s">
        <v>652</v>
      </c>
      <c r="D74" s="1384"/>
      <c r="E74" s="1384"/>
      <c r="F74" s="1384"/>
      <c r="G74" s="1384"/>
      <c r="H74" s="1410"/>
      <c r="I74" s="1411"/>
      <c r="J74" s="594"/>
      <c r="K74" s="593"/>
      <c r="L74" s="4"/>
      <c r="M74" s="4"/>
      <c r="N74" s="4"/>
      <c r="O74" s="4"/>
      <c r="P74" s="4"/>
      <c r="Q74" s="4"/>
      <c r="R74" s="4"/>
      <c r="S74" s="4"/>
      <c r="T74" s="4"/>
      <c r="U74" s="4"/>
      <c r="V74" s="4"/>
      <c r="W74" s="8"/>
      <c r="X74" s="8"/>
      <c r="Y74" s="8"/>
    </row>
    <row r="75" spans="1:25" ht="12.75" customHeight="1">
      <c r="A75" s="63" t="s">
        <v>2551</v>
      </c>
      <c r="B75" s="1388" t="s">
        <v>409</v>
      </c>
      <c r="C75" s="1389"/>
      <c r="D75" s="1384">
        <v>80</v>
      </c>
      <c r="E75" s="1384">
        <f t="shared" si="5"/>
        <v>88</v>
      </c>
      <c r="F75" s="1384" t="s">
        <v>783</v>
      </c>
      <c r="G75" s="1384" t="s">
        <v>783</v>
      </c>
      <c r="H75" s="1378" t="s">
        <v>1505</v>
      </c>
      <c r="I75" s="1407"/>
      <c r="J75" s="594"/>
      <c r="K75" s="593"/>
      <c r="L75" s="4"/>
      <c r="M75" s="4"/>
      <c r="N75" s="4"/>
      <c r="O75" s="4"/>
      <c r="P75" s="4"/>
      <c r="Q75" s="4"/>
      <c r="R75" s="4"/>
      <c r="S75" s="4"/>
      <c r="T75" s="4"/>
      <c r="U75" s="4"/>
      <c r="V75" s="4"/>
      <c r="W75" s="8"/>
      <c r="X75" s="8"/>
      <c r="Y75" s="8"/>
    </row>
    <row r="76" spans="1:25" ht="12.75" customHeight="1">
      <c r="A76" s="134"/>
      <c r="B76" s="522" t="s">
        <v>642</v>
      </c>
      <c r="C76" s="495" t="s">
        <v>652</v>
      </c>
      <c r="D76" s="1384"/>
      <c r="E76" s="1384"/>
      <c r="F76" s="1384"/>
      <c r="G76" s="1384"/>
      <c r="H76" s="1408"/>
      <c r="I76" s="1409"/>
      <c r="J76" s="594"/>
      <c r="K76" s="593"/>
      <c r="L76" s="4"/>
      <c r="M76" s="4"/>
      <c r="N76" s="4"/>
      <c r="O76" s="4"/>
      <c r="P76" s="4"/>
      <c r="Q76" s="4"/>
      <c r="R76" s="4"/>
      <c r="S76" s="4"/>
      <c r="T76" s="4"/>
      <c r="U76" s="4"/>
      <c r="V76" s="4"/>
      <c r="W76" s="8"/>
      <c r="X76" s="8"/>
      <c r="Y76" s="8"/>
    </row>
    <row r="77" spans="1:25" ht="12.75" customHeight="1">
      <c r="A77" s="134"/>
      <c r="B77" s="522" t="s">
        <v>643</v>
      </c>
      <c r="C77" s="495" t="s">
        <v>652</v>
      </c>
      <c r="D77" s="1384"/>
      <c r="E77" s="1384"/>
      <c r="F77" s="1384"/>
      <c r="G77" s="1384"/>
      <c r="H77" s="1408"/>
      <c r="I77" s="1409"/>
      <c r="J77" s="594"/>
      <c r="K77" s="593"/>
      <c r="L77" s="4"/>
      <c r="M77" s="4"/>
      <c r="N77" s="4"/>
      <c r="O77" s="4"/>
      <c r="P77" s="4"/>
      <c r="Q77" s="4"/>
      <c r="R77" s="4"/>
      <c r="S77" s="4"/>
      <c r="T77" s="4"/>
      <c r="U77" s="4"/>
      <c r="V77" s="4"/>
      <c r="W77" s="8"/>
      <c r="X77" s="8"/>
      <c r="Y77" s="8"/>
    </row>
    <row r="78" spans="1:25" ht="12.75" customHeight="1">
      <c r="A78" s="134"/>
      <c r="B78" s="522" t="s">
        <v>647</v>
      </c>
      <c r="C78" s="495" t="s">
        <v>652</v>
      </c>
      <c r="D78" s="1384"/>
      <c r="E78" s="1384"/>
      <c r="F78" s="1384"/>
      <c r="G78" s="1384"/>
      <c r="H78" s="1410"/>
      <c r="I78" s="1411"/>
      <c r="J78" s="594"/>
      <c r="K78" s="593"/>
      <c r="L78" s="4"/>
      <c r="M78" s="4"/>
      <c r="N78" s="4"/>
      <c r="O78" s="4"/>
      <c r="P78" s="4"/>
      <c r="Q78" s="4"/>
      <c r="R78" s="4"/>
      <c r="S78" s="4"/>
      <c r="T78" s="4"/>
      <c r="U78" s="4"/>
      <c r="V78" s="4"/>
      <c r="W78" s="8"/>
      <c r="X78" s="8"/>
      <c r="Y78" s="8"/>
    </row>
    <row r="79" spans="1:25" ht="12.75" customHeight="1">
      <c r="A79" s="134"/>
      <c r="B79" s="145"/>
      <c r="C79" s="523"/>
      <c r="D79" s="584"/>
      <c r="E79" s="585"/>
      <c r="F79" s="585"/>
      <c r="G79" s="585"/>
      <c r="H79" s="595"/>
      <c r="I79" s="590"/>
      <c r="J79" s="594"/>
      <c r="K79" s="185"/>
    </row>
    <row r="80" spans="1:25" s="27" customFormat="1" ht="15" thickBot="1">
      <c r="A80" s="134"/>
      <c r="B80" s="1385" t="s">
        <v>411</v>
      </c>
      <c r="C80" s="1386"/>
      <c r="D80" s="524"/>
      <c r="E80" s="529"/>
      <c r="F80" s="529"/>
      <c r="G80" s="529"/>
      <c r="H80" s="596"/>
      <c r="I80" s="529"/>
      <c r="J80" s="599"/>
      <c r="K80" s="45"/>
      <c r="L80" s="26"/>
      <c r="M80" s="26"/>
      <c r="N80" s="26"/>
      <c r="O80" s="26"/>
      <c r="P80" s="26"/>
      <c r="Q80" s="26"/>
      <c r="R80" s="26"/>
      <c r="S80" s="26"/>
      <c r="T80" s="26"/>
      <c r="U80" s="26"/>
      <c r="V80" s="26"/>
    </row>
    <row r="81" spans="1:11" ht="14.25">
      <c r="A81" s="753" t="s">
        <v>1825</v>
      </c>
      <c r="B81" s="704" t="s">
        <v>651</v>
      </c>
      <c r="C81" s="705" t="s">
        <v>652</v>
      </c>
      <c r="D81" s="707" t="s">
        <v>277</v>
      </c>
      <c r="E81" s="707" t="s">
        <v>277</v>
      </c>
      <c r="F81" s="717">
        <f t="shared" ref="F81:F82" si="6">G81*1.1</f>
        <v>82.5</v>
      </c>
      <c r="G81" s="708">
        <v>75</v>
      </c>
      <c r="H81" s="715"/>
      <c r="I81" s="716"/>
      <c r="J81" s="599"/>
      <c r="K81" s="186"/>
    </row>
    <row r="82" spans="1:11" ht="15" thickBot="1">
      <c r="A82" s="753" t="s">
        <v>1826</v>
      </c>
      <c r="B82" s="525" t="s">
        <v>645</v>
      </c>
      <c r="C82" s="587" t="s">
        <v>652</v>
      </c>
      <c r="D82" s="699" t="s">
        <v>277</v>
      </c>
      <c r="E82" s="699" t="s">
        <v>277</v>
      </c>
      <c r="F82" s="718">
        <f t="shared" si="6"/>
        <v>110.00000000000001</v>
      </c>
      <c r="G82" s="700">
        <v>100</v>
      </c>
      <c r="H82" s="713"/>
      <c r="I82" s="714"/>
      <c r="J82" s="599"/>
      <c r="K82" s="186"/>
    </row>
    <row r="83" spans="1:11" ht="14.25">
      <c r="A83" s="172"/>
      <c r="H83" s="530"/>
      <c r="I83" s="539"/>
      <c r="J83" s="195"/>
      <c r="K83" s="44"/>
    </row>
    <row r="84" spans="1:11" ht="12.75">
      <c r="A84" s="63" t="s">
        <v>426</v>
      </c>
      <c r="B84" s="1374" t="s">
        <v>518</v>
      </c>
      <c r="C84" s="1387"/>
      <c r="D84" s="1387"/>
      <c r="E84" s="1387"/>
      <c r="F84" s="1387"/>
      <c r="G84" s="1387"/>
      <c r="H84" s="396"/>
      <c r="I84" s="592"/>
      <c r="K84" s="26"/>
    </row>
    <row r="85" spans="1:11" ht="42" customHeight="1">
      <c r="A85" s="134" t="s">
        <v>277</v>
      </c>
      <c r="B85" s="219"/>
      <c r="C85" s="495" t="s">
        <v>652</v>
      </c>
      <c r="D85" s="358"/>
      <c r="E85" s="234"/>
      <c r="F85" s="234"/>
      <c r="G85" s="234"/>
      <c r="H85" s="261"/>
      <c r="I85" s="591" t="s">
        <v>519</v>
      </c>
      <c r="K85" s="187"/>
    </row>
    <row r="86" spans="1:11" ht="42" customHeight="1">
      <c r="A86" s="134" t="s">
        <v>277</v>
      </c>
      <c r="B86" s="219"/>
      <c r="C86" s="495" t="s">
        <v>652</v>
      </c>
      <c r="D86" s="358"/>
      <c r="E86" s="234"/>
      <c r="F86" s="234"/>
      <c r="G86" s="234"/>
      <c r="H86" s="261"/>
      <c r="I86" s="575" t="s">
        <v>519</v>
      </c>
      <c r="K86" s="187"/>
    </row>
    <row r="87" spans="1:11" ht="42" customHeight="1">
      <c r="A87" s="134" t="s">
        <v>277</v>
      </c>
      <c r="B87" s="219"/>
      <c r="C87" s="495" t="s">
        <v>652</v>
      </c>
      <c r="D87" s="358"/>
      <c r="E87" s="234"/>
      <c r="F87" s="234"/>
      <c r="G87" s="234"/>
      <c r="H87" s="261"/>
      <c r="I87" s="575" t="s">
        <v>519</v>
      </c>
      <c r="K87" s="187"/>
    </row>
    <row r="88" spans="1:11" ht="42" customHeight="1">
      <c r="A88" s="134" t="s">
        <v>277</v>
      </c>
      <c r="B88" s="219"/>
      <c r="C88" s="495" t="s">
        <v>652</v>
      </c>
      <c r="D88" s="358"/>
      <c r="E88" s="234"/>
      <c r="F88" s="234"/>
      <c r="G88" s="234"/>
      <c r="H88" s="261"/>
      <c r="I88" s="575" t="s">
        <v>519</v>
      </c>
      <c r="K88" s="187"/>
    </row>
    <row r="89" spans="1:11" ht="42" customHeight="1">
      <c r="A89" s="134" t="s">
        <v>277</v>
      </c>
      <c r="B89" s="219"/>
      <c r="C89" s="495" t="s">
        <v>652</v>
      </c>
      <c r="D89" s="358"/>
      <c r="E89" s="234"/>
      <c r="F89" s="234"/>
      <c r="G89" s="234"/>
      <c r="H89" s="261"/>
      <c r="I89" s="575" t="s">
        <v>519</v>
      </c>
      <c r="K89" s="187"/>
    </row>
    <row r="90" spans="1:11" ht="42" customHeight="1">
      <c r="A90" s="134" t="s">
        <v>277</v>
      </c>
      <c r="B90" s="219"/>
      <c r="C90" s="495" t="s">
        <v>652</v>
      </c>
      <c r="D90" s="358"/>
      <c r="E90" s="234"/>
      <c r="F90" s="234"/>
      <c r="G90" s="234"/>
      <c r="H90" s="261"/>
      <c r="I90" s="575" t="s">
        <v>519</v>
      </c>
      <c r="K90" s="187"/>
    </row>
    <row r="91" spans="1:11" ht="42" customHeight="1">
      <c r="A91" s="134" t="s">
        <v>277</v>
      </c>
      <c r="B91" s="219"/>
      <c r="C91" s="495" t="s">
        <v>652</v>
      </c>
      <c r="D91" s="358"/>
      <c r="E91" s="234"/>
      <c r="F91" s="234"/>
      <c r="G91" s="234"/>
      <c r="H91" s="261"/>
      <c r="I91" s="575" t="s">
        <v>519</v>
      </c>
      <c r="K91" s="187"/>
    </row>
    <row r="92" spans="1:11" ht="14.25">
      <c r="A92" s="445"/>
      <c r="I92" s="195"/>
      <c r="K92" s="44"/>
    </row>
    <row r="93" spans="1:11" ht="14.25">
      <c r="A93" s="616" t="s">
        <v>1526</v>
      </c>
      <c r="I93" s="195"/>
      <c r="K93" s="44"/>
    </row>
    <row r="94" spans="1:11" s="9" customFormat="1" ht="24.75" customHeight="1">
      <c r="A94" s="178"/>
      <c r="B94" s="1405" t="s">
        <v>1527</v>
      </c>
      <c r="C94" s="1405"/>
      <c r="D94" s="1405"/>
      <c r="E94" s="1405"/>
      <c r="F94" s="1405"/>
      <c r="G94" s="1405"/>
      <c r="H94" s="1405"/>
      <c r="I94" s="1405"/>
      <c r="J94" s="190"/>
      <c r="K94" s="583"/>
    </row>
    <row r="95" spans="1:11" s="9" customFormat="1" ht="15.75">
      <c r="A95" s="170"/>
      <c r="B95" s="694" t="s">
        <v>1528</v>
      </c>
      <c r="C95" s="195"/>
      <c r="D95" s="195"/>
      <c r="E95" s="695"/>
      <c r="F95" s="695"/>
      <c r="G95" s="695"/>
      <c r="H95" s="696"/>
      <c r="I95" s="697"/>
      <c r="J95" s="190"/>
      <c r="K95" s="583"/>
    </row>
    <row r="96" spans="1:11" s="9" customFormat="1" ht="15">
      <c r="A96" s="170"/>
      <c r="B96" s="698" t="s">
        <v>1529</v>
      </c>
      <c r="C96" s="195"/>
      <c r="D96" s="195"/>
      <c r="E96" s="695"/>
      <c r="F96" s="695"/>
      <c r="G96" s="695"/>
      <c r="H96" s="696"/>
      <c r="I96" s="697"/>
      <c r="J96" s="190"/>
      <c r="K96" s="583"/>
    </row>
    <row r="97" spans="1:22" s="9" customFormat="1" ht="15">
      <c r="A97" s="170"/>
      <c r="B97" s="698" t="s">
        <v>1530</v>
      </c>
      <c r="C97" s="195"/>
      <c r="D97" s="195"/>
      <c r="E97" s="695"/>
      <c r="F97" s="695"/>
      <c r="G97" s="695"/>
      <c r="H97" s="696"/>
      <c r="I97" s="697"/>
      <c r="J97" s="190"/>
      <c r="K97" s="583"/>
    </row>
    <row r="98" spans="1:22" s="18" customFormat="1" ht="15.75">
      <c r="A98" s="445"/>
      <c r="B98" s="694" t="s">
        <v>1531</v>
      </c>
      <c r="C98" s="195"/>
      <c r="D98" s="195"/>
      <c r="E98" s="195"/>
      <c r="F98" s="195"/>
      <c r="G98" s="195"/>
      <c r="H98" s="195"/>
      <c r="I98" s="195"/>
      <c r="J98" s="143"/>
      <c r="K98" s="44"/>
      <c r="L98" s="21"/>
      <c r="M98" s="21"/>
      <c r="N98" s="21"/>
      <c r="O98" s="21"/>
      <c r="P98" s="21"/>
      <c r="Q98" s="21"/>
      <c r="R98" s="21"/>
      <c r="S98" s="21"/>
      <c r="T98" s="21"/>
      <c r="U98" s="21"/>
      <c r="V98" s="21"/>
    </row>
    <row r="99" spans="1:22" ht="33" customHeight="1">
      <c r="A99" s="445"/>
      <c r="B99" s="1406" t="s">
        <v>1532</v>
      </c>
      <c r="C99" s="1406"/>
      <c r="D99" s="1406"/>
      <c r="E99" s="1406"/>
      <c r="F99" s="1406"/>
      <c r="G99" s="1406"/>
      <c r="H99" s="1406"/>
      <c r="I99" s="1406"/>
      <c r="K99" s="39"/>
    </row>
    <row r="100" spans="1:22" ht="32.25" customHeight="1">
      <c r="A100" s="445"/>
      <c r="B100" s="1406" t="s">
        <v>1533</v>
      </c>
      <c r="C100" s="1406"/>
      <c r="D100" s="1406"/>
      <c r="E100" s="1406"/>
      <c r="F100" s="1406"/>
      <c r="G100" s="1406"/>
      <c r="H100" s="1406"/>
      <c r="I100" s="1406"/>
      <c r="K100" s="39"/>
    </row>
    <row r="101" spans="1:22" ht="20.25" customHeight="1">
      <c r="A101" s="445"/>
      <c r="B101" s="1406" t="s">
        <v>1534</v>
      </c>
      <c r="C101" s="1406"/>
      <c r="D101" s="1406"/>
      <c r="E101" s="1406"/>
      <c r="F101" s="1406"/>
      <c r="G101" s="1406"/>
      <c r="H101" s="1406"/>
      <c r="I101" s="1406"/>
      <c r="K101" s="39"/>
    </row>
    <row r="102" spans="1:22" ht="14.25">
      <c r="A102" s="445"/>
      <c r="K102" s="39"/>
    </row>
    <row r="103" spans="1:22">
      <c r="A103" s="445"/>
    </row>
    <row r="104" spans="1:22">
      <c r="A104" s="445"/>
    </row>
    <row r="105" spans="1:22">
      <c r="A105" s="445"/>
    </row>
    <row r="106" spans="1:22">
      <c r="A106" s="445"/>
    </row>
    <row r="107" spans="1:22">
      <c r="A107" s="445"/>
    </row>
    <row r="108" spans="1:22">
      <c r="A108" s="445"/>
    </row>
    <row r="109" spans="1:22">
      <c r="A109" s="445"/>
    </row>
    <row r="110" spans="1:22">
      <c r="A110" s="445"/>
    </row>
    <row r="111" spans="1:22">
      <c r="A111" s="445"/>
    </row>
    <row r="112" spans="1:22">
      <c r="A112" s="445"/>
    </row>
    <row r="113" spans="1:1">
      <c r="A113" s="445"/>
    </row>
    <row r="114" spans="1:1">
      <c r="A114" s="445"/>
    </row>
    <row r="115" spans="1:1">
      <c r="A115" s="445"/>
    </row>
    <row r="116" spans="1:1">
      <c r="A116" s="445"/>
    </row>
    <row r="117" spans="1:1">
      <c r="A117" s="445"/>
    </row>
  </sheetData>
  <mergeCells count="113">
    <mergeCell ref="A1:B1"/>
    <mergeCell ref="B94:I94"/>
    <mergeCell ref="B99:I99"/>
    <mergeCell ref="B100:I100"/>
    <mergeCell ref="B101:I101"/>
    <mergeCell ref="H15:I18"/>
    <mergeCell ref="H19:I22"/>
    <mergeCell ref="H23:I26"/>
    <mergeCell ref="H28:I31"/>
    <mergeCell ref="H32:I35"/>
    <mergeCell ref="H36:I39"/>
    <mergeCell ref="H40:I43"/>
    <mergeCell ref="H50:I53"/>
    <mergeCell ref="H54:I57"/>
    <mergeCell ref="H58:I61"/>
    <mergeCell ref="H62:I65"/>
    <mergeCell ref="H67:I70"/>
    <mergeCell ref="H71:I74"/>
    <mergeCell ref="H75:I78"/>
    <mergeCell ref="G15:G18"/>
    <mergeCell ref="B2:D2"/>
    <mergeCell ref="E2:G4"/>
    <mergeCell ref="H2:I4"/>
    <mergeCell ref="A5:B6"/>
    <mergeCell ref="H5:I6"/>
    <mergeCell ref="F6:G6"/>
    <mergeCell ref="G7:G8"/>
    <mergeCell ref="H7:I8"/>
    <mergeCell ref="B11:C11"/>
    <mergeCell ref="D11:D14"/>
    <mergeCell ref="E11:E14"/>
    <mergeCell ref="F11:F14"/>
    <mergeCell ref="B9:G9"/>
    <mergeCell ref="B10:C10"/>
    <mergeCell ref="C7:C8"/>
    <mergeCell ref="D7:D8"/>
    <mergeCell ref="E7:E8"/>
    <mergeCell ref="F7:F8"/>
    <mergeCell ref="G11:G14"/>
    <mergeCell ref="B19:C19"/>
    <mergeCell ref="D19:D22"/>
    <mergeCell ref="E19:E22"/>
    <mergeCell ref="F19:F22"/>
    <mergeCell ref="G19:G22"/>
    <mergeCell ref="B15:C15"/>
    <mergeCell ref="D15:D18"/>
    <mergeCell ref="E15:E18"/>
    <mergeCell ref="F15:F18"/>
    <mergeCell ref="B23:C23"/>
    <mergeCell ref="D23:D26"/>
    <mergeCell ref="E23:E26"/>
    <mergeCell ref="F23:F26"/>
    <mergeCell ref="G23:G26"/>
    <mergeCell ref="B28:C28"/>
    <mergeCell ref="D28:D31"/>
    <mergeCell ref="E28:E31"/>
    <mergeCell ref="F28:F31"/>
    <mergeCell ref="G28:G31"/>
    <mergeCell ref="B40:C40"/>
    <mergeCell ref="D40:D43"/>
    <mergeCell ref="G32:G35"/>
    <mergeCell ref="B36:C36"/>
    <mergeCell ref="D36:D39"/>
    <mergeCell ref="E36:E39"/>
    <mergeCell ref="F36:F39"/>
    <mergeCell ref="G36:G39"/>
    <mergeCell ref="B32:C32"/>
    <mergeCell ref="D32:D35"/>
    <mergeCell ref="E32:E35"/>
    <mergeCell ref="F32:F35"/>
    <mergeCell ref="G40:G43"/>
    <mergeCell ref="B50:C50"/>
    <mergeCell ref="D50:D53"/>
    <mergeCell ref="E50:E53"/>
    <mergeCell ref="F50:F53"/>
    <mergeCell ref="B45:C45"/>
    <mergeCell ref="B49:C49"/>
    <mergeCell ref="E40:E43"/>
    <mergeCell ref="F40:F43"/>
    <mergeCell ref="F58:F61"/>
    <mergeCell ref="G58:G61"/>
    <mergeCell ref="G50:G53"/>
    <mergeCell ref="G54:G57"/>
    <mergeCell ref="B62:C62"/>
    <mergeCell ref="D62:D65"/>
    <mergeCell ref="E62:E65"/>
    <mergeCell ref="F62:F65"/>
    <mergeCell ref="B58:C58"/>
    <mergeCell ref="D58:D61"/>
    <mergeCell ref="E58:E61"/>
    <mergeCell ref="B54:C54"/>
    <mergeCell ref="D54:D57"/>
    <mergeCell ref="E54:E57"/>
    <mergeCell ref="F54:F57"/>
    <mergeCell ref="G62:G65"/>
    <mergeCell ref="B67:C67"/>
    <mergeCell ref="D67:D70"/>
    <mergeCell ref="E67:E70"/>
    <mergeCell ref="F67:F70"/>
    <mergeCell ref="H11:I14"/>
    <mergeCell ref="G75:G78"/>
    <mergeCell ref="B80:C80"/>
    <mergeCell ref="B84:G84"/>
    <mergeCell ref="G71:G74"/>
    <mergeCell ref="B75:C75"/>
    <mergeCell ref="D75:D78"/>
    <mergeCell ref="E75:E78"/>
    <mergeCell ref="F75:F78"/>
    <mergeCell ref="G67:G70"/>
    <mergeCell ref="B71:C71"/>
    <mergeCell ref="D71:D74"/>
    <mergeCell ref="E71:E74"/>
    <mergeCell ref="F71:F74"/>
  </mergeCells>
  <printOptions horizontalCentered="1"/>
  <pageMargins left="0.75" right="0.75" top="1" bottom="1" header="0.5" footer="0.5"/>
  <pageSetup scale="57" fitToHeight="24" orientation="landscape" r:id="rId1"/>
  <headerFooter alignWithMargins="0">
    <oddHeader>&amp;L&amp;F&amp;C&amp;"Tahoma,Bold"&amp;16&amp;A&amp;R&amp;G</oddHeader>
    <oddFooter>&amp;C&amp;"Tahoma,Italic"Use or disclosure of the data on this page or screen is subject to the restrictions on the title page or opening view screen of this proposal document or file.&amp;R&amp;P of &amp;N</oddFooter>
  </headerFooter>
  <rowBreaks count="1" manualBreakCount="1">
    <brk id="79" max="25" man="1"/>
  </rowBreaks>
  <colBreaks count="1" manualBreakCount="1">
    <brk id="10" max="100" man="1"/>
  </colBreaks>
  <legacyDrawingHF r:id="rId2"/>
</worksheet>
</file>

<file path=xl/worksheets/sheet21.xml><?xml version="1.0" encoding="utf-8"?>
<worksheet xmlns="http://schemas.openxmlformats.org/spreadsheetml/2006/main" xmlns:r="http://schemas.openxmlformats.org/officeDocument/2006/relationships">
  <sheetPr>
    <tabColor theme="3" tint="0.79998168889431442"/>
  </sheetPr>
  <dimension ref="A1:O691"/>
  <sheetViews>
    <sheetView zoomScaleNormal="100" workbookViewId="0">
      <selection activeCell="H15" sqref="H15:I15"/>
    </sheetView>
  </sheetViews>
  <sheetFormatPr defaultRowHeight="10.5"/>
  <cols>
    <col min="1" max="1" width="16.83203125" style="143" customWidth="1"/>
    <col min="2" max="2" width="36.6640625" style="143" customWidth="1"/>
    <col min="3" max="3" width="17.5" style="143" customWidth="1"/>
    <col min="4" max="4" width="14.5" style="143" hidden="1" customWidth="1"/>
    <col min="5" max="5" width="12.33203125" style="143" bestFit="1" customWidth="1"/>
    <col min="6" max="6" width="14.33203125" style="143" customWidth="1"/>
    <col min="7" max="7" width="15" style="143" hidden="1" customWidth="1"/>
    <col min="8" max="8" width="10.83203125" style="143" customWidth="1"/>
    <col min="9" max="9" width="21.5" style="143" customWidth="1"/>
    <col min="10" max="10" width="31" style="143" customWidth="1"/>
    <col min="11" max="12" width="9.1640625" style="143"/>
  </cols>
  <sheetData>
    <row r="1" spans="1:15" ht="15" customHeight="1">
      <c r="A1" s="1545" t="s">
        <v>424</v>
      </c>
      <c r="B1" s="1546"/>
      <c r="C1" s="226"/>
      <c r="D1" s="226"/>
      <c r="E1" s="226"/>
      <c r="F1" s="226"/>
      <c r="G1" s="226"/>
      <c r="H1" s="226"/>
      <c r="I1" s="226"/>
      <c r="J1" s="402"/>
      <c r="K1" s="133"/>
      <c r="L1" s="133"/>
      <c r="M1" s="8"/>
      <c r="N1" s="8"/>
      <c r="O1" s="8"/>
    </row>
    <row r="2" spans="1:15" s="81" customFormat="1" ht="39.75" customHeight="1">
      <c r="A2" s="379"/>
      <c r="B2" s="1339" t="s">
        <v>370</v>
      </c>
      <c r="C2" s="1339"/>
      <c r="D2" s="1339"/>
      <c r="E2" s="1340" t="s">
        <v>622</v>
      </c>
      <c r="F2" s="1340"/>
      <c r="G2" s="1340"/>
      <c r="H2" s="1341" t="s">
        <v>623</v>
      </c>
      <c r="I2" s="1403"/>
      <c r="J2" s="370" t="s">
        <v>631</v>
      </c>
      <c r="K2" s="138"/>
      <c r="L2" s="138"/>
      <c r="M2" s="138"/>
      <c r="N2" s="138"/>
      <c r="O2" s="138"/>
    </row>
    <row r="3" spans="1:15" s="81" customFormat="1" ht="10.5" customHeight="1">
      <c r="A3" s="419" t="s">
        <v>426</v>
      </c>
      <c r="B3" s="419"/>
      <c r="C3" s="419"/>
      <c r="D3" s="419"/>
      <c r="E3" s="1340"/>
      <c r="F3" s="1340"/>
      <c r="G3" s="1340"/>
      <c r="H3" s="1341"/>
      <c r="I3" s="1403"/>
      <c r="J3" s="370"/>
      <c r="K3" s="138"/>
      <c r="L3" s="138"/>
      <c r="M3" s="138"/>
      <c r="N3" s="138"/>
      <c r="O3" s="138"/>
    </row>
    <row r="4" spans="1:15" s="81" customFormat="1" ht="10.5" customHeight="1">
      <c r="A4" s="419"/>
      <c r="B4" s="419"/>
      <c r="C4" s="419"/>
      <c r="D4" s="419"/>
      <c r="E4" s="1340"/>
      <c r="F4" s="1340"/>
      <c r="G4" s="1340"/>
      <c r="H4" s="1341"/>
      <c r="I4" s="1403"/>
      <c r="J4" s="370"/>
      <c r="K4" s="138"/>
      <c r="L4" s="138"/>
      <c r="M4" s="138"/>
      <c r="N4" s="138"/>
      <c r="O4" s="138"/>
    </row>
    <row r="5" spans="1:15" s="81" customFormat="1" ht="12" customHeight="1">
      <c r="A5" s="1313" t="s">
        <v>1330</v>
      </c>
      <c r="B5" s="1313"/>
      <c r="C5" s="386"/>
      <c r="D5" s="1238"/>
      <c r="E5" s="1238"/>
      <c r="F5" s="1238"/>
      <c r="G5" s="1238"/>
      <c r="H5" s="1341" t="s">
        <v>625</v>
      </c>
      <c r="I5" s="1403"/>
      <c r="J5" s="370"/>
      <c r="K5" s="138"/>
      <c r="L5" s="138"/>
      <c r="M5" s="138"/>
      <c r="N5" s="138"/>
      <c r="O5" s="138"/>
    </row>
    <row r="6" spans="1:15" ht="69.75" customHeight="1">
      <c r="A6" s="1313"/>
      <c r="B6" s="1313"/>
      <c r="C6" s="390"/>
      <c r="D6" s="1240"/>
      <c r="E6" s="1240"/>
      <c r="F6" s="1542"/>
      <c r="G6" s="1542"/>
      <c r="H6" s="1341"/>
      <c r="I6" s="1403"/>
      <c r="J6" s="370"/>
      <c r="K6" s="133"/>
      <c r="L6" s="133"/>
      <c r="M6" s="8"/>
      <c r="N6" s="8"/>
      <c r="O6" s="8"/>
    </row>
    <row r="7" spans="1:15" ht="21" customHeight="1">
      <c r="A7" s="375" t="s">
        <v>653</v>
      </c>
      <c r="B7" s="330" t="s">
        <v>428</v>
      </c>
      <c r="C7" s="1311" t="s">
        <v>429</v>
      </c>
      <c r="D7" s="1317" t="s">
        <v>620</v>
      </c>
      <c r="E7" s="1318" t="s">
        <v>432</v>
      </c>
      <c r="F7" s="1316" t="s">
        <v>430</v>
      </c>
      <c r="G7" s="1317" t="s">
        <v>621</v>
      </c>
      <c r="H7" s="1328" t="s">
        <v>431</v>
      </c>
      <c r="I7" s="1404"/>
      <c r="J7" s="369" t="s">
        <v>627</v>
      </c>
      <c r="K7" s="133"/>
      <c r="L7" s="133"/>
      <c r="M7" s="8"/>
      <c r="N7" s="8"/>
      <c r="O7" s="8"/>
    </row>
    <row r="8" spans="1:15" ht="21" customHeight="1">
      <c r="A8" s="367"/>
      <c r="B8" s="99"/>
      <c r="C8" s="1311"/>
      <c r="D8" s="1317"/>
      <c r="E8" s="1318"/>
      <c r="F8" s="1316"/>
      <c r="G8" s="1317"/>
      <c r="H8" s="1328"/>
      <c r="I8" s="1404"/>
      <c r="J8" s="369"/>
      <c r="K8" s="133"/>
      <c r="L8" s="133"/>
      <c r="M8" s="8"/>
      <c r="N8" s="8"/>
      <c r="O8" s="8"/>
    </row>
    <row r="9" spans="1:15">
      <c r="A9" s="154"/>
      <c r="B9" s="1434" t="s">
        <v>903</v>
      </c>
      <c r="C9" s="1314"/>
      <c r="D9" s="1314"/>
      <c r="E9" s="1314"/>
      <c r="F9" s="1314"/>
      <c r="G9" s="1314"/>
      <c r="H9" s="374"/>
      <c r="I9" s="201"/>
      <c r="J9" s="152"/>
    </row>
    <row r="10" spans="1:15">
      <c r="A10" s="372"/>
      <c r="B10" s="1399" t="s">
        <v>904</v>
      </c>
      <c r="C10" s="1400"/>
      <c r="D10" s="1400"/>
      <c r="E10" s="1400"/>
      <c r="F10" s="1400"/>
      <c r="G10" s="1314"/>
      <c r="H10" s="374"/>
      <c r="I10" s="201"/>
      <c r="J10" s="152"/>
    </row>
    <row r="11" spans="1:15" ht="11.25">
      <c r="A11" s="692" t="s">
        <v>2236</v>
      </c>
      <c r="B11" s="531" t="s">
        <v>906</v>
      </c>
      <c r="C11" s="177" t="s">
        <v>1221</v>
      </c>
      <c r="D11" s="532">
        <v>83.3</v>
      </c>
      <c r="E11" s="532">
        <f>SUM(D11*1.1)</f>
        <v>91.63000000000001</v>
      </c>
      <c r="F11" s="201" t="s">
        <v>277</v>
      </c>
      <c r="G11" s="201" t="s">
        <v>277</v>
      </c>
      <c r="H11" s="1422" t="s">
        <v>543</v>
      </c>
      <c r="I11" s="1423"/>
      <c r="J11" s="154"/>
    </row>
    <row r="12" spans="1:15" ht="11.25">
      <c r="A12" s="692" t="s">
        <v>2237</v>
      </c>
      <c r="B12" s="533" t="s">
        <v>907</v>
      </c>
      <c r="C12" s="177" t="s">
        <v>1221</v>
      </c>
      <c r="D12" s="534">
        <v>83.3</v>
      </c>
      <c r="E12" s="532">
        <f t="shared" ref="E12:E64" si="0">SUM(D12*1.1)</f>
        <v>91.63000000000001</v>
      </c>
      <c r="F12" s="201" t="s">
        <v>277</v>
      </c>
      <c r="G12" s="201" t="s">
        <v>277</v>
      </c>
      <c r="H12" s="1422" t="s">
        <v>543</v>
      </c>
      <c r="I12" s="1423"/>
      <c r="J12" s="154"/>
    </row>
    <row r="13" spans="1:15" ht="11.25">
      <c r="A13" s="692" t="s">
        <v>2238</v>
      </c>
      <c r="B13" s="533" t="s">
        <v>908</v>
      </c>
      <c r="C13" s="177" t="s">
        <v>1221</v>
      </c>
      <c r="D13" s="534">
        <v>158.44999999999999</v>
      </c>
      <c r="E13" s="532">
        <f t="shared" si="0"/>
        <v>174.29499999999999</v>
      </c>
      <c r="F13" s="201" t="s">
        <v>277</v>
      </c>
      <c r="G13" s="201" t="s">
        <v>277</v>
      </c>
      <c r="H13" s="1422" t="s">
        <v>543</v>
      </c>
      <c r="I13" s="1423"/>
      <c r="J13" s="154"/>
    </row>
    <row r="14" spans="1:15" ht="11.25">
      <c r="A14" s="692" t="s">
        <v>2242</v>
      </c>
      <c r="B14" s="533" t="s">
        <v>909</v>
      </c>
      <c r="C14" s="177" t="s">
        <v>1221</v>
      </c>
      <c r="D14" s="534">
        <v>169.49</v>
      </c>
      <c r="E14" s="532">
        <f t="shared" si="0"/>
        <v>186.43900000000002</v>
      </c>
      <c r="F14" s="201" t="s">
        <v>277</v>
      </c>
      <c r="G14" s="201" t="s">
        <v>277</v>
      </c>
      <c r="H14" s="1422" t="s">
        <v>543</v>
      </c>
      <c r="I14" s="1423"/>
      <c r="J14" s="154"/>
    </row>
    <row r="15" spans="1:15" ht="11.25">
      <c r="A15" s="692" t="s">
        <v>2241</v>
      </c>
      <c r="B15" s="533" t="s">
        <v>910</v>
      </c>
      <c r="C15" s="177" t="s">
        <v>1221</v>
      </c>
      <c r="D15" s="534">
        <v>169.49</v>
      </c>
      <c r="E15" s="532">
        <f t="shared" si="0"/>
        <v>186.43900000000002</v>
      </c>
      <c r="F15" s="201" t="s">
        <v>277</v>
      </c>
      <c r="G15" s="201" t="s">
        <v>277</v>
      </c>
      <c r="H15" s="1422" t="s">
        <v>543</v>
      </c>
      <c r="I15" s="1423"/>
      <c r="J15" s="154"/>
    </row>
    <row r="16" spans="1:15" ht="11.25">
      <c r="A16" s="692" t="s">
        <v>2240</v>
      </c>
      <c r="B16" s="533" t="s">
        <v>911</v>
      </c>
      <c r="C16" s="177" t="s">
        <v>1221</v>
      </c>
      <c r="D16" s="534">
        <v>169.49</v>
      </c>
      <c r="E16" s="532">
        <f t="shared" si="0"/>
        <v>186.43900000000002</v>
      </c>
      <c r="F16" s="201" t="s">
        <v>277</v>
      </c>
      <c r="G16" s="201" t="s">
        <v>277</v>
      </c>
      <c r="H16" s="1422" t="s">
        <v>543</v>
      </c>
      <c r="I16" s="1423"/>
      <c r="J16" s="154"/>
    </row>
    <row r="17" spans="1:10" ht="11.25">
      <c r="A17" s="692" t="s">
        <v>2239</v>
      </c>
      <c r="B17" s="533" t="s">
        <v>912</v>
      </c>
      <c r="C17" s="177" t="s">
        <v>1221</v>
      </c>
      <c r="D17" s="534">
        <v>169.49</v>
      </c>
      <c r="E17" s="532">
        <f t="shared" si="0"/>
        <v>186.43900000000002</v>
      </c>
      <c r="F17" s="201" t="s">
        <v>277</v>
      </c>
      <c r="G17" s="201" t="s">
        <v>277</v>
      </c>
      <c r="H17" s="1422" t="s">
        <v>543</v>
      </c>
      <c r="I17" s="1423"/>
      <c r="J17" s="154"/>
    </row>
    <row r="18" spans="1:10" ht="11.25">
      <c r="A18" s="692" t="s">
        <v>2243</v>
      </c>
      <c r="B18" s="533" t="s">
        <v>913</v>
      </c>
      <c r="C18" s="177" t="s">
        <v>1221</v>
      </c>
      <c r="D18" s="534">
        <v>169.49</v>
      </c>
      <c r="E18" s="532">
        <f t="shared" si="0"/>
        <v>186.43900000000002</v>
      </c>
      <c r="F18" s="201" t="s">
        <v>277</v>
      </c>
      <c r="G18" s="201" t="s">
        <v>277</v>
      </c>
      <c r="H18" s="1422" t="s">
        <v>543</v>
      </c>
      <c r="I18" s="1423"/>
      <c r="J18" s="154"/>
    </row>
    <row r="19" spans="1:10" ht="11.25">
      <c r="A19" s="692" t="s">
        <v>2244</v>
      </c>
      <c r="B19" s="533" t="s">
        <v>914</v>
      </c>
      <c r="C19" s="177" t="s">
        <v>1221</v>
      </c>
      <c r="D19" s="534">
        <v>338.98</v>
      </c>
      <c r="E19" s="532">
        <f t="shared" si="0"/>
        <v>372.87800000000004</v>
      </c>
      <c r="F19" s="201" t="s">
        <v>277</v>
      </c>
      <c r="G19" s="201" t="s">
        <v>277</v>
      </c>
      <c r="H19" s="1422" t="s">
        <v>543</v>
      </c>
      <c r="I19" s="1423"/>
      <c r="J19" s="154"/>
    </row>
    <row r="20" spans="1:10" ht="11.25">
      <c r="A20" s="692" t="s">
        <v>2245</v>
      </c>
      <c r="B20" s="533" t="s">
        <v>915</v>
      </c>
      <c r="C20" s="177" t="s">
        <v>1221</v>
      </c>
      <c r="D20" s="534">
        <v>508.47</v>
      </c>
      <c r="E20" s="532">
        <f t="shared" si="0"/>
        <v>559.31700000000012</v>
      </c>
      <c r="F20" s="201" t="s">
        <v>277</v>
      </c>
      <c r="G20" s="201" t="s">
        <v>277</v>
      </c>
      <c r="H20" s="1422" t="s">
        <v>543</v>
      </c>
      <c r="I20" s="1423"/>
      <c r="J20" s="154"/>
    </row>
    <row r="21" spans="1:10" ht="11.25">
      <c r="A21" s="692" t="s">
        <v>2246</v>
      </c>
      <c r="B21" s="533" t="s">
        <v>916</v>
      </c>
      <c r="C21" s="177" t="s">
        <v>1221</v>
      </c>
      <c r="D21" s="534">
        <v>580.79999999999995</v>
      </c>
      <c r="E21" s="532">
        <f t="shared" si="0"/>
        <v>638.88</v>
      </c>
      <c r="F21" s="201" t="s">
        <v>277</v>
      </c>
      <c r="G21" s="201" t="s">
        <v>277</v>
      </c>
      <c r="H21" s="1422" t="s">
        <v>543</v>
      </c>
      <c r="I21" s="1423"/>
      <c r="J21" s="154"/>
    </row>
    <row r="22" spans="1:10" ht="11.25">
      <c r="A22" s="692" t="s">
        <v>2247</v>
      </c>
      <c r="B22" s="533" t="s">
        <v>917</v>
      </c>
      <c r="C22" s="177" t="s">
        <v>1221</v>
      </c>
      <c r="D22" s="534">
        <v>677.96</v>
      </c>
      <c r="E22" s="532">
        <f t="shared" si="0"/>
        <v>745.75600000000009</v>
      </c>
      <c r="F22" s="201" t="s">
        <v>277</v>
      </c>
      <c r="G22" s="201" t="s">
        <v>277</v>
      </c>
      <c r="H22" s="1422" t="s">
        <v>543</v>
      </c>
      <c r="I22" s="1423"/>
      <c r="J22" s="154"/>
    </row>
    <row r="23" spans="1:10" ht="11.25">
      <c r="A23" s="692" t="s">
        <v>2248</v>
      </c>
      <c r="B23" s="533" t="s">
        <v>918</v>
      </c>
      <c r="C23" s="177" t="s">
        <v>1221</v>
      </c>
      <c r="D23" s="534">
        <v>847.45</v>
      </c>
      <c r="E23" s="532">
        <f t="shared" si="0"/>
        <v>932.19500000000016</v>
      </c>
      <c r="F23" s="201" t="s">
        <v>277</v>
      </c>
      <c r="G23" s="201" t="s">
        <v>277</v>
      </c>
      <c r="H23" s="1422" t="s">
        <v>543</v>
      </c>
      <c r="I23" s="1423"/>
      <c r="J23" s="154"/>
    </row>
    <row r="24" spans="1:10" ht="11.25">
      <c r="A24" s="692" t="s">
        <v>2249</v>
      </c>
      <c r="B24" s="533" t="s">
        <v>919</v>
      </c>
      <c r="C24" s="177" t="s">
        <v>1221</v>
      </c>
      <c r="D24" s="534">
        <v>1016.94</v>
      </c>
      <c r="E24" s="532">
        <f t="shared" si="0"/>
        <v>1118.6340000000002</v>
      </c>
      <c r="F24" s="201" t="s">
        <v>277</v>
      </c>
      <c r="G24" s="201" t="s">
        <v>277</v>
      </c>
      <c r="H24" s="1422" t="s">
        <v>543</v>
      </c>
      <c r="I24" s="1423"/>
      <c r="J24" s="154"/>
    </row>
    <row r="25" spans="1:10" ht="11.25">
      <c r="A25" s="692" t="s">
        <v>2250</v>
      </c>
      <c r="B25" s="535" t="s">
        <v>920</v>
      </c>
      <c r="C25" s="177" t="s">
        <v>1221</v>
      </c>
      <c r="D25" s="534">
        <v>1160</v>
      </c>
      <c r="E25" s="532">
        <f t="shared" si="0"/>
        <v>1276</v>
      </c>
      <c r="F25" s="201" t="s">
        <v>277</v>
      </c>
      <c r="G25" s="201" t="s">
        <v>277</v>
      </c>
      <c r="H25" s="1422" t="s">
        <v>543</v>
      </c>
      <c r="I25" s="1423"/>
      <c r="J25" s="154"/>
    </row>
    <row r="26" spans="1:10" ht="11.25">
      <c r="A26" s="692" t="s">
        <v>2251</v>
      </c>
      <c r="B26" s="533" t="s">
        <v>921</v>
      </c>
      <c r="C26" s="177" t="s">
        <v>1221</v>
      </c>
      <c r="D26" s="534">
        <v>1186.43</v>
      </c>
      <c r="E26" s="532">
        <f t="shared" si="0"/>
        <v>1305.0730000000001</v>
      </c>
      <c r="F26" s="201" t="s">
        <v>277</v>
      </c>
      <c r="G26" s="201" t="s">
        <v>277</v>
      </c>
      <c r="H26" s="1422" t="s">
        <v>543</v>
      </c>
      <c r="I26" s="1423"/>
      <c r="J26" s="154"/>
    </row>
    <row r="27" spans="1:10" ht="11.25">
      <c r="A27" s="692" t="s">
        <v>2252</v>
      </c>
      <c r="B27" s="533" t="s">
        <v>922</v>
      </c>
      <c r="C27" s="177" t="s">
        <v>1221</v>
      </c>
      <c r="D27" s="534">
        <v>1355.92</v>
      </c>
      <c r="E27" s="532">
        <f t="shared" si="0"/>
        <v>1491.5120000000002</v>
      </c>
      <c r="F27" s="201" t="s">
        <v>277</v>
      </c>
      <c r="G27" s="201" t="s">
        <v>277</v>
      </c>
      <c r="H27" s="1422" t="s">
        <v>543</v>
      </c>
      <c r="I27" s="1423"/>
      <c r="J27" s="154"/>
    </row>
    <row r="28" spans="1:10" ht="11.25">
      <c r="A28" s="692" t="s">
        <v>2253</v>
      </c>
      <c r="B28" s="533" t="s">
        <v>923</v>
      </c>
      <c r="C28" s="177" t="s">
        <v>1221</v>
      </c>
      <c r="D28" s="534">
        <v>1694.86</v>
      </c>
      <c r="E28" s="532">
        <f t="shared" si="0"/>
        <v>1864.346</v>
      </c>
      <c r="F28" s="201" t="s">
        <v>277</v>
      </c>
      <c r="G28" s="201" t="s">
        <v>277</v>
      </c>
      <c r="H28" s="1422" t="s">
        <v>543</v>
      </c>
      <c r="I28" s="1423"/>
      <c r="J28" s="154"/>
    </row>
    <row r="29" spans="1:10" ht="11.25">
      <c r="A29" s="692" t="s">
        <v>2254</v>
      </c>
      <c r="B29" s="533" t="s">
        <v>924</v>
      </c>
      <c r="C29" s="177" t="s">
        <v>1221</v>
      </c>
      <c r="D29" s="534">
        <v>1694.86</v>
      </c>
      <c r="E29" s="532">
        <f t="shared" si="0"/>
        <v>1864.346</v>
      </c>
      <c r="F29" s="201" t="s">
        <v>277</v>
      </c>
      <c r="G29" s="201" t="s">
        <v>277</v>
      </c>
      <c r="H29" s="1422" t="s">
        <v>543</v>
      </c>
      <c r="I29" s="1423"/>
      <c r="J29" s="154"/>
    </row>
    <row r="30" spans="1:10" ht="11.25">
      <c r="A30" s="692" t="s">
        <v>2255</v>
      </c>
      <c r="B30" s="536" t="s">
        <v>925</v>
      </c>
      <c r="C30" s="177" t="s">
        <v>1221</v>
      </c>
      <c r="D30" s="534">
        <v>1450</v>
      </c>
      <c r="E30" s="532">
        <f t="shared" si="0"/>
        <v>1595.0000000000002</v>
      </c>
      <c r="F30" s="201" t="s">
        <v>277</v>
      </c>
      <c r="G30" s="201" t="s">
        <v>277</v>
      </c>
      <c r="H30" s="1422" t="s">
        <v>543</v>
      </c>
      <c r="I30" s="1423"/>
      <c r="J30" s="154"/>
    </row>
    <row r="31" spans="1:10" ht="11.25">
      <c r="A31" s="692" t="s">
        <v>2256</v>
      </c>
      <c r="B31" s="535" t="s">
        <v>926</v>
      </c>
      <c r="C31" s="177" t="s">
        <v>1221</v>
      </c>
      <c r="D31" s="534">
        <v>1516.22</v>
      </c>
      <c r="E31" s="532">
        <f t="shared" si="0"/>
        <v>1667.8420000000001</v>
      </c>
      <c r="F31" s="201" t="s">
        <v>277</v>
      </c>
      <c r="G31" s="201" t="s">
        <v>277</v>
      </c>
      <c r="H31" s="1422" t="s">
        <v>543</v>
      </c>
      <c r="I31" s="1423"/>
      <c r="J31" s="154"/>
    </row>
    <row r="32" spans="1:10" ht="11.25">
      <c r="A32" s="692" t="s">
        <v>2257</v>
      </c>
      <c r="B32" s="535" t="s">
        <v>927</v>
      </c>
      <c r="C32" s="177" t="s">
        <v>1221</v>
      </c>
      <c r="D32" s="534">
        <v>1591.01</v>
      </c>
      <c r="E32" s="532">
        <f t="shared" si="0"/>
        <v>1750.1110000000001</v>
      </c>
      <c r="F32" s="201" t="s">
        <v>277</v>
      </c>
      <c r="G32" s="201" t="s">
        <v>277</v>
      </c>
      <c r="H32" s="1422" t="s">
        <v>543</v>
      </c>
      <c r="I32" s="1423"/>
      <c r="J32" s="154"/>
    </row>
    <row r="33" spans="1:10" ht="11.25">
      <c r="A33" s="692" t="s">
        <v>2258</v>
      </c>
      <c r="B33" s="535" t="s">
        <v>928</v>
      </c>
      <c r="C33" s="177" t="s">
        <v>1221</v>
      </c>
      <c r="D33" s="534">
        <v>1665.8</v>
      </c>
      <c r="E33" s="532">
        <f t="shared" si="0"/>
        <v>1832.38</v>
      </c>
      <c r="F33" s="201" t="s">
        <v>277</v>
      </c>
      <c r="G33" s="201" t="s">
        <v>277</v>
      </c>
      <c r="H33" s="1422" t="s">
        <v>543</v>
      </c>
      <c r="I33" s="1423"/>
      <c r="J33" s="154"/>
    </row>
    <row r="34" spans="1:10" ht="11.25">
      <c r="A34" s="692" t="s">
        <v>2259</v>
      </c>
      <c r="B34" s="533" t="s">
        <v>929</v>
      </c>
      <c r="C34" s="177" t="s">
        <v>1221</v>
      </c>
      <c r="D34" s="534">
        <v>1694.86</v>
      </c>
      <c r="E34" s="532">
        <f t="shared" si="0"/>
        <v>1864.346</v>
      </c>
      <c r="F34" s="201" t="s">
        <v>277</v>
      </c>
      <c r="G34" s="201" t="s">
        <v>277</v>
      </c>
      <c r="H34" s="1422" t="s">
        <v>543</v>
      </c>
      <c r="I34" s="1423"/>
      <c r="J34" s="154"/>
    </row>
    <row r="35" spans="1:10" ht="11.25">
      <c r="A35" s="692" t="s">
        <v>2260</v>
      </c>
      <c r="B35" s="535" t="s">
        <v>930</v>
      </c>
      <c r="C35" s="177" t="s">
        <v>1221</v>
      </c>
      <c r="D35" s="534">
        <v>2464.73</v>
      </c>
      <c r="E35" s="532">
        <f t="shared" si="0"/>
        <v>2711.2030000000004</v>
      </c>
      <c r="F35" s="201" t="s">
        <v>277</v>
      </c>
      <c r="G35" s="201" t="s">
        <v>277</v>
      </c>
      <c r="H35" s="1422" t="s">
        <v>543</v>
      </c>
      <c r="I35" s="1423"/>
      <c r="J35" s="154"/>
    </row>
    <row r="36" spans="1:10" ht="11.25">
      <c r="A36" s="692" t="s">
        <v>2261</v>
      </c>
      <c r="B36" s="535" t="s">
        <v>931</v>
      </c>
      <c r="C36" s="177" t="s">
        <v>1221</v>
      </c>
      <c r="D36" s="534">
        <v>4800</v>
      </c>
      <c r="E36" s="532">
        <f t="shared" si="0"/>
        <v>5280</v>
      </c>
      <c r="F36" s="201" t="s">
        <v>277</v>
      </c>
      <c r="G36" s="201" t="s">
        <v>277</v>
      </c>
      <c r="H36" s="1422" t="s">
        <v>543</v>
      </c>
      <c r="I36" s="1423"/>
      <c r="J36" s="154"/>
    </row>
    <row r="37" spans="1:10" ht="11.25">
      <c r="A37" s="692" t="s">
        <v>2262</v>
      </c>
      <c r="B37" s="533" t="s">
        <v>932</v>
      </c>
      <c r="C37" s="177" t="s">
        <v>1221</v>
      </c>
      <c r="D37" s="534">
        <v>5483.36</v>
      </c>
      <c r="E37" s="532">
        <f t="shared" si="0"/>
        <v>6031.6959999999999</v>
      </c>
      <c r="F37" s="201" t="s">
        <v>277</v>
      </c>
      <c r="G37" s="201" t="s">
        <v>277</v>
      </c>
      <c r="H37" s="1422" t="s">
        <v>543</v>
      </c>
      <c r="I37" s="1423"/>
      <c r="J37" s="154"/>
    </row>
    <row r="38" spans="1:10" ht="11.25">
      <c r="A38" s="692" t="s">
        <v>2263</v>
      </c>
      <c r="B38" s="533" t="s">
        <v>933</v>
      </c>
      <c r="C38" s="177" t="s">
        <v>1221</v>
      </c>
      <c r="D38" s="534">
        <v>7400</v>
      </c>
      <c r="E38" s="532">
        <f t="shared" si="0"/>
        <v>8140.0000000000009</v>
      </c>
      <c r="F38" s="201" t="s">
        <v>277</v>
      </c>
      <c r="G38" s="201" t="s">
        <v>277</v>
      </c>
      <c r="H38" s="1422" t="s">
        <v>543</v>
      </c>
      <c r="I38" s="1423"/>
      <c r="J38" s="154"/>
    </row>
    <row r="39" spans="1:10" ht="11.25">
      <c r="A39" s="692" t="s">
        <v>2264</v>
      </c>
      <c r="B39" s="533" t="s">
        <v>934</v>
      </c>
      <c r="C39" s="177" t="s">
        <v>1221</v>
      </c>
      <c r="D39" s="534">
        <v>9069.7999999999993</v>
      </c>
      <c r="E39" s="532">
        <f t="shared" si="0"/>
        <v>9976.7800000000007</v>
      </c>
      <c r="F39" s="201" t="s">
        <v>277</v>
      </c>
      <c r="G39" s="201" t="s">
        <v>277</v>
      </c>
      <c r="H39" s="1422" t="s">
        <v>543</v>
      </c>
      <c r="I39" s="1423"/>
      <c r="J39" s="154"/>
    </row>
    <row r="40" spans="1:10" ht="11.25">
      <c r="A40" s="692" t="s">
        <v>2265</v>
      </c>
      <c r="B40" s="533" t="s">
        <v>935</v>
      </c>
      <c r="C40" s="177" t="s">
        <v>1221</v>
      </c>
      <c r="D40" s="534">
        <v>10000</v>
      </c>
      <c r="E40" s="532">
        <f t="shared" si="0"/>
        <v>11000</v>
      </c>
      <c r="F40" s="201" t="s">
        <v>277</v>
      </c>
      <c r="G40" s="201" t="s">
        <v>277</v>
      </c>
      <c r="H40" s="1422" t="s">
        <v>543</v>
      </c>
      <c r="I40" s="1423"/>
      <c r="J40" s="154"/>
    </row>
    <row r="41" spans="1:10" ht="11.25">
      <c r="A41" s="692" t="s">
        <v>2266</v>
      </c>
      <c r="B41" s="533" t="s">
        <v>936</v>
      </c>
      <c r="C41" s="177" t="s">
        <v>1221</v>
      </c>
      <c r="D41" s="534">
        <v>13459.16</v>
      </c>
      <c r="E41" s="532">
        <f t="shared" si="0"/>
        <v>14805.076000000001</v>
      </c>
      <c r="F41" s="201" t="s">
        <v>277</v>
      </c>
      <c r="G41" s="201" t="s">
        <v>277</v>
      </c>
      <c r="H41" s="1422" t="s">
        <v>543</v>
      </c>
      <c r="I41" s="1423"/>
      <c r="J41" s="154"/>
    </row>
    <row r="42" spans="1:10" ht="11.25">
      <c r="A42" s="692" t="s">
        <v>2267</v>
      </c>
      <c r="B42" s="533" t="s">
        <v>937</v>
      </c>
      <c r="C42" s="177" t="s">
        <v>1221</v>
      </c>
      <c r="D42" s="534">
        <v>50000</v>
      </c>
      <c r="E42" s="532">
        <f t="shared" si="0"/>
        <v>55000.000000000007</v>
      </c>
      <c r="F42" s="201" t="s">
        <v>277</v>
      </c>
      <c r="G42" s="201" t="s">
        <v>277</v>
      </c>
      <c r="H42" s="1422" t="s">
        <v>543</v>
      </c>
      <c r="I42" s="1423"/>
      <c r="J42" s="154"/>
    </row>
    <row r="43" spans="1:10" ht="11.25">
      <c r="A43" s="692" t="s">
        <v>2268</v>
      </c>
      <c r="B43" s="533" t="s">
        <v>938</v>
      </c>
      <c r="C43" s="177" t="s">
        <v>1221</v>
      </c>
      <c r="D43" s="534">
        <v>200</v>
      </c>
      <c r="E43" s="532">
        <f t="shared" si="0"/>
        <v>220.00000000000003</v>
      </c>
      <c r="F43" s="201" t="s">
        <v>277</v>
      </c>
      <c r="G43" s="201" t="s">
        <v>277</v>
      </c>
      <c r="H43" s="1422" t="s">
        <v>543</v>
      </c>
      <c r="I43" s="1423"/>
      <c r="J43" s="154"/>
    </row>
    <row r="44" spans="1:10" ht="11.25">
      <c r="A44" s="692" t="s">
        <v>2269</v>
      </c>
      <c r="B44" s="533" t="s">
        <v>939</v>
      </c>
      <c r="C44" s="177" t="s">
        <v>1221</v>
      </c>
      <c r="D44" s="534">
        <v>580.79999999999995</v>
      </c>
      <c r="E44" s="532">
        <f t="shared" si="0"/>
        <v>638.88</v>
      </c>
      <c r="F44" s="201" t="s">
        <v>277</v>
      </c>
      <c r="G44" s="201" t="s">
        <v>277</v>
      </c>
      <c r="H44" s="1422" t="s">
        <v>543</v>
      </c>
      <c r="I44" s="1423"/>
      <c r="J44" s="154"/>
    </row>
    <row r="45" spans="1:10" ht="11.25">
      <c r="A45" s="692" t="s">
        <v>2270</v>
      </c>
      <c r="B45" s="533" t="s">
        <v>940</v>
      </c>
      <c r="C45" s="177" t="s">
        <v>1221</v>
      </c>
      <c r="D45" s="534">
        <v>1160</v>
      </c>
      <c r="E45" s="532">
        <f t="shared" si="0"/>
        <v>1276</v>
      </c>
      <c r="F45" s="201" t="s">
        <v>277</v>
      </c>
      <c r="G45" s="201" t="s">
        <v>277</v>
      </c>
      <c r="H45" s="1422" t="s">
        <v>543</v>
      </c>
      <c r="I45" s="1423"/>
      <c r="J45" s="154"/>
    </row>
    <row r="46" spans="1:10" ht="11.25">
      <c r="A46" s="692" t="s">
        <v>2271</v>
      </c>
      <c r="B46" s="533" t="s">
        <v>941</v>
      </c>
      <c r="C46" s="177" t="s">
        <v>1221</v>
      </c>
      <c r="D46" s="534">
        <v>1516.22</v>
      </c>
      <c r="E46" s="532">
        <f t="shared" si="0"/>
        <v>1667.8420000000001</v>
      </c>
      <c r="F46" s="201" t="s">
        <v>277</v>
      </c>
      <c r="G46" s="201" t="s">
        <v>277</v>
      </c>
      <c r="H46" s="1422" t="s">
        <v>543</v>
      </c>
      <c r="I46" s="1423"/>
      <c r="J46" s="154"/>
    </row>
    <row r="47" spans="1:10" ht="11.25">
      <c r="A47" s="692" t="s">
        <v>2278</v>
      </c>
      <c r="B47" s="533" t="s">
        <v>942</v>
      </c>
      <c r="C47" s="177" t="s">
        <v>1221</v>
      </c>
      <c r="D47" s="534">
        <v>1665.8</v>
      </c>
      <c r="E47" s="532">
        <f t="shared" si="0"/>
        <v>1832.38</v>
      </c>
      <c r="F47" s="201" t="s">
        <v>277</v>
      </c>
      <c r="G47" s="201" t="s">
        <v>277</v>
      </c>
      <c r="H47" s="1422" t="s">
        <v>543</v>
      </c>
      <c r="I47" s="1423"/>
      <c r="J47" s="154"/>
    </row>
    <row r="48" spans="1:10" ht="11.25">
      <c r="A48" s="692" t="s">
        <v>2277</v>
      </c>
      <c r="B48" s="533" t="s">
        <v>943</v>
      </c>
      <c r="C48" s="177" t="s">
        <v>1221</v>
      </c>
      <c r="D48" s="534">
        <v>1971.78</v>
      </c>
      <c r="E48" s="532">
        <f t="shared" si="0"/>
        <v>2168.9580000000001</v>
      </c>
      <c r="F48" s="201" t="s">
        <v>277</v>
      </c>
      <c r="G48" s="201" t="s">
        <v>277</v>
      </c>
      <c r="H48" s="1422" t="s">
        <v>543</v>
      </c>
      <c r="I48" s="1423"/>
      <c r="J48" s="154"/>
    </row>
    <row r="49" spans="1:10" ht="11.25">
      <c r="A49" s="692" t="s">
        <v>2276</v>
      </c>
      <c r="B49" s="533" t="s">
        <v>944</v>
      </c>
      <c r="C49" s="177" t="s">
        <v>1221</v>
      </c>
      <c r="D49" s="534">
        <v>2464.73</v>
      </c>
      <c r="E49" s="532">
        <f t="shared" si="0"/>
        <v>2711.2030000000004</v>
      </c>
      <c r="F49" s="201" t="s">
        <v>277</v>
      </c>
      <c r="G49" s="201" t="s">
        <v>277</v>
      </c>
      <c r="H49" s="1422" t="s">
        <v>543</v>
      </c>
      <c r="I49" s="1423"/>
      <c r="J49" s="154"/>
    </row>
    <row r="50" spans="1:10" ht="11.25">
      <c r="A50" s="692" t="s">
        <v>2275</v>
      </c>
      <c r="B50" s="535" t="s">
        <v>945</v>
      </c>
      <c r="C50" s="177" t="s">
        <v>1221</v>
      </c>
      <c r="D50" s="534">
        <v>2957.68</v>
      </c>
      <c r="E50" s="532">
        <f t="shared" si="0"/>
        <v>3253.4479999999999</v>
      </c>
      <c r="F50" s="201" t="s">
        <v>277</v>
      </c>
      <c r="G50" s="201" t="s">
        <v>277</v>
      </c>
      <c r="H50" s="1422" t="s">
        <v>543</v>
      </c>
      <c r="I50" s="1423"/>
      <c r="J50" s="154"/>
    </row>
    <row r="51" spans="1:10" ht="11.25">
      <c r="A51" s="692" t="s">
        <v>2274</v>
      </c>
      <c r="B51" s="535" t="s">
        <v>946</v>
      </c>
      <c r="C51" s="177" t="s">
        <v>1221</v>
      </c>
      <c r="D51" s="534">
        <v>3450.62</v>
      </c>
      <c r="E51" s="532">
        <f t="shared" si="0"/>
        <v>3795.6820000000002</v>
      </c>
      <c r="F51" s="201" t="s">
        <v>277</v>
      </c>
      <c r="G51" s="201" t="s">
        <v>277</v>
      </c>
      <c r="H51" s="1422" t="s">
        <v>543</v>
      </c>
      <c r="I51" s="1423"/>
      <c r="J51" s="154"/>
    </row>
    <row r="52" spans="1:10" ht="11.25">
      <c r="A52" s="692" t="s">
        <v>2273</v>
      </c>
      <c r="B52" s="535" t="s">
        <v>947</v>
      </c>
      <c r="C52" s="177" t="s">
        <v>1221</v>
      </c>
      <c r="D52" s="534">
        <v>3943.57</v>
      </c>
      <c r="E52" s="532">
        <f t="shared" si="0"/>
        <v>4337.9270000000006</v>
      </c>
      <c r="F52" s="201" t="s">
        <v>277</v>
      </c>
      <c r="G52" s="201" t="s">
        <v>277</v>
      </c>
      <c r="H52" s="1422" t="s">
        <v>543</v>
      </c>
      <c r="I52" s="1423"/>
      <c r="J52" s="154"/>
    </row>
    <row r="53" spans="1:10" ht="11.25">
      <c r="A53" s="692" t="s">
        <v>2272</v>
      </c>
      <c r="B53" s="535" t="s">
        <v>948</v>
      </c>
      <c r="C53" s="177" t="s">
        <v>1221</v>
      </c>
      <c r="D53" s="534">
        <v>4436.51</v>
      </c>
      <c r="E53" s="532">
        <f t="shared" si="0"/>
        <v>4880.161000000001</v>
      </c>
      <c r="F53" s="201" t="s">
        <v>277</v>
      </c>
      <c r="G53" s="201" t="s">
        <v>277</v>
      </c>
      <c r="H53" s="1422" t="s">
        <v>543</v>
      </c>
      <c r="I53" s="1423"/>
      <c r="J53" s="154"/>
    </row>
    <row r="54" spans="1:10" ht="11.25">
      <c r="A54" s="692" t="s">
        <v>2279</v>
      </c>
      <c r="B54" s="533" t="s">
        <v>949</v>
      </c>
      <c r="C54" s="177" t="s">
        <v>1221</v>
      </c>
      <c r="D54" s="534">
        <v>4800</v>
      </c>
      <c r="E54" s="532">
        <f t="shared" si="0"/>
        <v>5280</v>
      </c>
      <c r="F54" s="201" t="s">
        <v>277</v>
      </c>
      <c r="G54" s="201" t="s">
        <v>277</v>
      </c>
      <c r="H54" s="1422" t="s">
        <v>543</v>
      </c>
      <c r="I54" s="1423"/>
      <c r="J54" s="154"/>
    </row>
    <row r="55" spans="1:10" ht="11.25">
      <c r="A55" s="692" t="s">
        <v>2280</v>
      </c>
      <c r="B55" s="533" t="s">
        <v>950</v>
      </c>
      <c r="C55" s="177" t="s">
        <v>1221</v>
      </c>
      <c r="D55" s="537">
        <v>7400</v>
      </c>
      <c r="E55" s="532">
        <f t="shared" si="0"/>
        <v>8140.0000000000009</v>
      </c>
      <c r="F55" s="201" t="s">
        <v>277</v>
      </c>
      <c r="G55" s="201" t="s">
        <v>277</v>
      </c>
      <c r="H55" s="1422" t="s">
        <v>543</v>
      </c>
      <c r="I55" s="1423"/>
      <c r="J55" s="154"/>
    </row>
    <row r="56" spans="1:10" ht="11.25">
      <c r="A56" s="692" t="s">
        <v>2289</v>
      </c>
      <c r="B56" s="533" t="s">
        <v>951</v>
      </c>
      <c r="C56" s="177" t="s">
        <v>1221</v>
      </c>
      <c r="D56" s="537">
        <v>9069.7999999999993</v>
      </c>
      <c r="E56" s="532">
        <f t="shared" si="0"/>
        <v>9976.7800000000007</v>
      </c>
      <c r="F56" s="201" t="s">
        <v>277</v>
      </c>
      <c r="G56" s="201" t="s">
        <v>277</v>
      </c>
      <c r="H56" s="1422" t="s">
        <v>543</v>
      </c>
      <c r="I56" s="1423"/>
      <c r="J56" s="154"/>
    </row>
    <row r="57" spans="1:10" ht="11.25">
      <c r="A57" s="692" t="s">
        <v>2288</v>
      </c>
      <c r="B57" s="533" t="s">
        <v>952</v>
      </c>
      <c r="C57" s="177" t="s">
        <v>1221</v>
      </c>
      <c r="D57" s="537">
        <v>10000</v>
      </c>
      <c r="E57" s="532">
        <f t="shared" si="0"/>
        <v>11000</v>
      </c>
      <c r="F57" s="201" t="s">
        <v>277</v>
      </c>
      <c r="G57" s="201" t="s">
        <v>277</v>
      </c>
      <c r="H57" s="1422" t="s">
        <v>543</v>
      </c>
      <c r="I57" s="1423"/>
      <c r="J57" s="154"/>
    </row>
    <row r="58" spans="1:10" ht="11.25">
      <c r="A58" s="692" t="s">
        <v>2287</v>
      </c>
      <c r="B58" s="533" t="s">
        <v>953</v>
      </c>
      <c r="C58" s="177" t="s">
        <v>1221</v>
      </c>
      <c r="D58" s="537">
        <v>12150</v>
      </c>
      <c r="E58" s="532">
        <f t="shared" si="0"/>
        <v>13365.000000000002</v>
      </c>
      <c r="F58" s="201" t="s">
        <v>277</v>
      </c>
      <c r="G58" s="201" t="s">
        <v>277</v>
      </c>
      <c r="H58" s="1422" t="s">
        <v>543</v>
      </c>
      <c r="I58" s="1423"/>
      <c r="J58" s="154"/>
    </row>
    <row r="59" spans="1:10" ht="11.25">
      <c r="A59" s="692" t="s">
        <v>2286</v>
      </c>
      <c r="B59" s="533" t="s">
        <v>954</v>
      </c>
      <c r="C59" s="177" t="s">
        <v>1221</v>
      </c>
      <c r="D59" s="537">
        <v>14160</v>
      </c>
      <c r="E59" s="532">
        <f t="shared" si="0"/>
        <v>15576.000000000002</v>
      </c>
      <c r="F59" s="201" t="s">
        <v>277</v>
      </c>
      <c r="G59" s="201" t="s">
        <v>277</v>
      </c>
      <c r="H59" s="1422" t="s">
        <v>543</v>
      </c>
      <c r="I59" s="1423"/>
      <c r="J59" s="154"/>
    </row>
    <row r="60" spans="1:10" ht="11.25">
      <c r="A60" s="692" t="s">
        <v>2285</v>
      </c>
      <c r="B60" s="533" t="s">
        <v>955</v>
      </c>
      <c r="C60" s="177" t="s">
        <v>1221</v>
      </c>
      <c r="D60" s="537">
        <v>15925</v>
      </c>
      <c r="E60" s="532">
        <f t="shared" si="0"/>
        <v>17517.5</v>
      </c>
      <c r="F60" s="201" t="s">
        <v>277</v>
      </c>
      <c r="G60" s="201" t="s">
        <v>277</v>
      </c>
      <c r="H60" s="1422" t="s">
        <v>543</v>
      </c>
      <c r="I60" s="1423"/>
      <c r="J60" s="154"/>
    </row>
    <row r="61" spans="1:10" ht="11.25">
      <c r="A61" s="692" t="s">
        <v>2284</v>
      </c>
      <c r="B61" s="533" t="s">
        <v>956</v>
      </c>
      <c r="C61" s="177" t="s">
        <v>1221</v>
      </c>
      <c r="D61" s="537">
        <v>18000</v>
      </c>
      <c r="E61" s="532">
        <f t="shared" si="0"/>
        <v>19800</v>
      </c>
      <c r="F61" s="201" t="s">
        <v>277</v>
      </c>
      <c r="G61" s="201" t="s">
        <v>277</v>
      </c>
      <c r="H61" s="1422" t="s">
        <v>543</v>
      </c>
      <c r="I61" s="1423"/>
      <c r="J61" s="154"/>
    </row>
    <row r="62" spans="1:10" ht="11.25">
      <c r="A62" s="692" t="s">
        <v>2283</v>
      </c>
      <c r="B62" s="533" t="s">
        <v>957</v>
      </c>
      <c r="C62" s="177" t="s">
        <v>1221</v>
      </c>
      <c r="D62" s="537">
        <v>20025</v>
      </c>
      <c r="E62" s="532">
        <f t="shared" si="0"/>
        <v>22027.5</v>
      </c>
      <c r="F62" s="201" t="s">
        <v>277</v>
      </c>
      <c r="G62" s="201" t="s">
        <v>277</v>
      </c>
      <c r="H62" s="1422" t="s">
        <v>543</v>
      </c>
      <c r="I62" s="1423"/>
      <c r="J62" s="154"/>
    </row>
    <row r="63" spans="1:10" ht="11.25">
      <c r="A63" s="692" t="s">
        <v>2282</v>
      </c>
      <c r="B63" s="533" t="s">
        <v>958</v>
      </c>
      <c r="C63" s="177" t="s">
        <v>1221</v>
      </c>
      <c r="D63" s="534">
        <v>22000</v>
      </c>
      <c r="E63" s="532">
        <f t="shared" si="0"/>
        <v>24200.000000000004</v>
      </c>
      <c r="F63" s="201" t="s">
        <v>277</v>
      </c>
      <c r="G63" s="201" t="s">
        <v>277</v>
      </c>
      <c r="H63" s="1422" t="s">
        <v>543</v>
      </c>
      <c r="I63" s="1423"/>
      <c r="J63" s="154"/>
    </row>
    <row r="64" spans="1:10" ht="11.25">
      <c r="A64" s="692" t="s">
        <v>2281</v>
      </c>
      <c r="B64" s="533" t="s">
        <v>959</v>
      </c>
      <c r="C64" s="177" t="s">
        <v>1221</v>
      </c>
      <c r="D64" s="534">
        <v>150000</v>
      </c>
      <c r="E64" s="532">
        <f t="shared" si="0"/>
        <v>165000</v>
      </c>
      <c r="F64" s="201" t="s">
        <v>277</v>
      </c>
      <c r="G64" s="201" t="s">
        <v>277</v>
      </c>
      <c r="H64" s="1422" t="s">
        <v>543</v>
      </c>
      <c r="I64" s="1423"/>
      <c r="J64" s="154"/>
    </row>
    <row r="65" spans="1:10" ht="11.25">
      <c r="A65" s="692" t="s">
        <v>2290</v>
      </c>
      <c r="B65" s="538" t="s">
        <v>960</v>
      </c>
      <c r="C65" s="177" t="s">
        <v>1221</v>
      </c>
      <c r="D65" s="537" t="s">
        <v>539</v>
      </c>
      <c r="E65" s="241" t="s">
        <v>539</v>
      </c>
      <c r="F65" s="537" t="s">
        <v>539</v>
      </c>
      <c r="G65" s="537" t="s">
        <v>539</v>
      </c>
      <c r="H65" s="1428" t="s">
        <v>961</v>
      </c>
      <c r="I65" s="1428"/>
      <c r="J65" s="154"/>
    </row>
    <row r="66" spans="1:10">
      <c r="A66" s="154"/>
      <c r="B66" s="539"/>
      <c r="C66" s="540"/>
      <c r="D66" s="540"/>
      <c r="E66" s="248"/>
      <c r="F66" s="248"/>
      <c r="G66" s="201"/>
      <c r="H66" s="1428"/>
      <c r="I66" s="1428"/>
      <c r="J66" s="154"/>
    </row>
    <row r="67" spans="1:10">
      <c r="A67" s="154"/>
      <c r="B67" s="1434" t="s">
        <v>905</v>
      </c>
      <c r="C67" s="1314"/>
      <c r="D67" s="1314"/>
      <c r="E67" s="1314"/>
      <c r="F67" s="1314"/>
      <c r="G67" s="1314"/>
      <c r="H67" s="1428"/>
      <c r="I67" s="1428"/>
      <c r="J67" s="154"/>
    </row>
    <row r="68" spans="1:10" ht="22.5">
      <c r="A68" s="692" t="s">
        <v>2291</v>
      </c>
      <c r="B68" s="533" t="s">
        <v>962</v>
      </c>
      <c r="C68" s="177" t="s">
        <v>1221</v>
      </c>
      <c r="D68" s="541">
        <v>119.89999999999998</v>
      </c>
      <c r="E68" s="532">
        <f t="shared" ref="E68:E83" si="1">SUM(D68*1.1)</f>
        <v>131.88999999999999</v>
      </c>
      <c r="F68" s="201" t="s">
        <v>277</v>
      </c>
      <c r="G68" s="201" t="s">
        <v>277</v>
      </c>
      <c r="H68" s="1422" t="s">
        <v>543</v>
      </c>
      <c r="I68" s="1423"/>
      <c r="J68" s="154"/>
    </row>
    <row r="69" spans="1:10" ht="22.5">
      <c r="A69" s="692" t="s">
        <v>2292</v>
      </c>
      <c r="B69" s="533" t="s">
        <v>963</v>
      </c>
      <c r="C69" s="177" t="s">
        <v>1221</v>
      </c>
      <c r="D69" s="541">
        <v>177.39999999999995</v>
      </c>
      <c r="E69" s="532">
        <f t="shared" si="1"/>
        <v>195.13999999999996</v>
      </c>
      <c r="F69" s="201" t="s">
        <v>277</v>
      </c>
      <c r="G69" s="201" t="s">
        <v>277</v>
      </c>
      <c r="H69" s="1422" t="s">
        <v>543</v>
      </c>
      <c r="I69" s="1423"/>
      <c r="J69" s="154"/>
    </row>
    <row r="70" spans="1:10" ht="22.5">
      <c r="A70" s="692" t="s">
        <v>2304</v>
      </c>
      <c r="B70" s="533" t="s">
        <v>964</v>
      </c>
      <c r="C70" s="177" t="s">
        <v>1221</v>
      </c>
      <c r="D70" s="541">
        <v>255.29999999999998</v>
      </c>
      <c r="E70" s="532">
        <f t="shared" si="1"/>
        <v>280.83</v>
      </c>
      <c r="F70" s="201" t="s">
        <v>277</v>
      </c>
      <c r="G70" s="201" t="s">
        <v>277</v>
      </c>
      <c r="H70" s="1422" t="s">
        <v>543</v>
      </c>
      <c r="I70" s="1423"/>
      <c r="J70" s="154"/>
    </row>
    <row r="71" spans="1:10" ht="22.5">
      <c r="A71" s="692" t="s">
        <v>2303</v>
      </c>
      <c r="B71" s="533" t="s">
        <v>965</v>
      </c>
      <c r="C71" s="177" t="s">
        <v>1221</v>
      </c>
      <c r="D71" s="541">
        <v>308</v>
      </c>
      <c r="E71" s="532">
        <f t="shared" si="1"/>
        <v>338.8</v>
      </c>
      <c r="F71" s="201" t="s">
        <v>277</v>
      </c>
      <c r="G71" s="201" t="s">
        <v>277</v>
      </c>
      <c r="H71" s="1422" t="s">
        <v>543</v>
      </c>
      <c r="I71" s="1423"/>
      <c r="J71" s="154"/>
    </row>
    <row r="72" spans="1:10" ht="22.5">
      <c r="A72" s="692" t="s">
        <v>2302</v>
      </c>
      <c r="B72" s="533" t="s">
        <v>966</v>
      </c>
      <c r="C72" s="177" t="s">
        <v>1221</v>
      </c>
      <c r="D72" s="541">
        <v>321.79999999999995</v>
      </c>
      <c r="E72" s="532">
        <f t="shared" si="1"/>
        <v>353.97999999999996</v>
      </c>
      <c r="F72" s="201" t="s">
        <v>277</v>
      </c>
      <c r="G72" s="201" t="s">
        <v>277</v>
      </c>
      <c r="H72" s="1422" t="s">
        <v>543</v>
      </c>
      <c r="I72" s="1423"/>
      <c r="J72" s="154"/>
    </row>
    <row r="73" spans="1:10" ht="22.5">
      <c r="A73" s="692" t="s">
        <v>2301</v>
      </c>
      <c r="B73" s="533" t="s">
        <v>967</v>
      </c>
      <c r="C73" s="177" t="s">
        <v>1221</v>
      </c>
      <c r="D73" s="541">
        <v>397.59999999999991</v>
      </c>
      <c r="E73" s="532">
        <f t="shared" si="1"/>
        <v>437.35999999999996</v>
      </c>
      <c r="F73" s="201" t="s">
        <v>277</v>
      </c>
      <c r="G73" s="201" t="s">
        <v>277</v>
      </c>
      <c r="H73" s="1422" t="s">
        <v>543</v>
      </c>
      <c r="I73" s="1423"/>
      <c r="J73" s="154"/>
    </row>
    <row r="74" spans="1:10" ht="22.5">
      <c r="A74" s="692" t="s">
        <v>2300</v>
      </c>
      <c r="B74" s="533" t="s">
        <v>968</v>
      </c>
      <c r="C74" s="177" t="s">
        <v>1221</v>
      </c>
      <c r="D74" s="541">
        <v>461.5</v>
      </c>
      <c r="E74" s="532">
        <f t="shared" si="1"/>
        <v>507.65000000000003</v>
      </c>
      <c r="F74" s="201" t="s">
        <v>277</v>
      </c>
      <c r="G74" s="201" t="s">
        <v>277</v>
      </c>
      <c r="H74" s="1422" t="s">
        <v>543</v>
      </c>
      <c r="I74" s="1423"/>
      <c r="J74" s="154"/>
    </row>
    <row r="75" spans="1:10" ht="22.5">
      <c r="A75" s="692" t="s">
        <v>2299</v>
      </c>
      <c r="B75" s="533" t="s">
        <v>969</v>
      </c>
      <c r="C75" s="177" t="s">
        <v>1221</v>
      </c>
      <c r="D75" s="541">
        <v>525.39999999999986</v>
      </c>
      <c r="E75" s="532">
        <f t="shared" si="1"/>
        <v>577.93999999999994</v>
      </c>
      <c r="F75" s="201" t="s">
        <v>277</v>
      </c>
      <c r="G75" s="201" t="s">
        <v>277</v>
      </c>
      <c r="H75" s="1422" t="s">
        <v>543</v>
      </c>
      <c r="I75" s="1423"/>
      <c r="J75" s="154"/>
    </row>
    <row r="76" spans="1:10" ht="22.5">
      <c r="A76" s="692" t="s">
        <v>2298</v>
      </c>
      <c r="B76" s="533" t="s">
        <v>970</v>
      </c>
      <c r="C76" s="177" t="s">
        <v>1221</v>
      </c>
      <c r="D76" s="541">
        <v>582.69999999999982</v>
      </c>
      <c r="E76" s="532">
        <f t="shared" si="1"/>
        <v>640.9699999999998</v>
      </c>
      <c r="F76" s="201" t="s">
        <v>277</v>
      </c>
      <c r="G76" s="201" t="s">
        <v>277</v>
      </c>
      <c r="H76" s="1422" t="s">
        <v>543</v>
      </c>
      <c r="I76" s="1423"/>
      <c r="J76" s="154"/>
    </row>
    <row r="77" spans="1:10" ht="22.5">
      <c r="A77" s="692" t="s">
        <v>2297</v>
      </c>
      <c r="B77" s="533" t="s">
        <v>971</v>
      </c>
      <c r="C77" s="177" t="s">
        <v>1221</v>
      </c>
      <c r="D77" s="541">
        <v>633.29999999999984</v>
      </c>
      <c r="E77" s="532">
        <f t="shared" si="1"/>
        <v>696.62999999999988</v>
      </c>
      <c r="F77" s="201" t="s">
        <v>277</v>
      </c>
      <c r="G77" s="201" t="s">
        <v>277</v>
      </c>
      <c r="H77" s="1422" t="s">
        <v>543</v>
      </c>
      <c r="I77" s="1423"/>
      <c r="J77" s="154"/>
    </row>
    <row r="78" spans="1:10" ht="22.5">
      <c r="A78" s="692" t="s">
        <v>2296</v>
      </c>
      <c r="B78" s="533" t="s">
        <v>972</v>
      </c>
      <c r="C78" s="177" t="s">
        <v>1221</v>
      </c>
      <c r="D78" s="541">
        <v>683.89999999999986</v>
      </c>
      <c r="E78" s="532">
        <f t="shared" si="1"/>
        <v>752.29</v>
      </c>
      <c r="F78" s="201" t="s">
        <v>277</v>
      </c>
      <c r="G78" s="201" t="s">
        <v>277</v>
      </c>
      <c r="H78" s="1422" t="s">
        <v>543</v>
      </c>
      <c r="I78" s="1423"/>
      <c r="J78" s="154"/>
    </row>
    <row r="79" spans="1:10" ht="22.5">
      <c r="A79" s="692" t="s">
        <v>2295</v>
      </c>
      <c r="B79" s="533" t="s">
        <v>973</v>
      </c>
      <c r="C79" s="177" t="s">
        <v>1221</v>
      </c>
      <c r="D79" s="541">
        <v>912.9</v>
      </c>
      <c r="E79" s="532">
        <f t="shared" si="1"/>
        <v>1004.19</v>
      </c>
      <c r="F79" s="201" t="s">
        <v>277</v>
      </c>
      <c r="G79" s="201" t="s">
        <v>277</v>
      </c>
      <c r="H79" s="1422" t="s">
        <v>543</v>
      </c>
      <c r="I79" s="1423"/>
      <c r="J79" s="154"/>
    </row>
    <row r="80" spans="1:10" ht="22.5">
      <c r="A80" s="692" t="s">
        <v>2294</v>
      </c>
      <c r="B80" s="533" t="s">
        <v>974</v>
      </c>
      <c r="C80" s="177" t="s">
        <v>1221</v>
      </c>
      <c r="D80" s="542">
        <v>2424.6</v>
      </c>
      <c r="E80" s="532">
        <f t="shared" si="1"/>
        <v>2667.06</v>
      </c>
      <c r="F80" s="201" t="s">
        <v>277</v>
      </c>
      <c r="G80" s="201" t="s">
        <v>277</v>
      </c>
      <c r="H80" s="1422" t="s">
        <v>543</v>
      </c>
      <c r="I80" s="1423"/>
      <c r="J80" s="154"/>
    </row>
    <row r="81" spans="1:10" ht="22.5">
      <c r="A81" s="692" t="s">
        <v>2293</v>
      </c>
      <c r="B81" s="533" t="s">
        <v>975</v>
      </c>
      <c r="C81" s="177" t="s">
        <v>1221</v>
      </c>
      <c r="D81" s="541">
        <v>3930.6999999999989</v>
      </c>
      <c r="E81" s="532">
        <f t="shared" si="1"/>
        <v>4323.7699999999995</v>
      </c>
      <c r="F81" s="201" t="s">
        <v>277</v>
      </c>
      <c r="G81" s="201" t="s">
        <v>277</v>
      </c>
      <c r="H81" s="1422" t="s">
        <v>543</v>
      </c>
      <c r="I81" s="1423"/>
      <c r="J81" s="154"/>
    </row>
    <row r="82" spans="1:10" ht="11.25">
      <c r="A82" s="176"/>
      <c r="B82" s="533"/>
      <c r="C82" s="177" t="s">
        <v>1221</v>
      </c>
      <c r="D82" s="541"/>
      <c r="E82" s="201"/>
      <c r="F82" s="201"/>
      <c r="G82" s="201"/>
      <c r="H82" s="1422"/>
      <c r="I82" s="1423"/>
      <c r="J82" s="154"/>
    </row>
    <row r="83" spans="1:10" ht="22.5">
      <c r="A83" s="176"/>
      <c r="B83" s="533" t="s">
        <v>976</v>
      </c>
      <c r="C83" s="177" t="s">
        <v>1221</v>
      </c>
      <c r="D83" s="541">
        <v>1.3</v>
      </c>
      <c r="E83" s="532">
        <f t="shared" si="1"/>
        <v>1.4300000000000002</v>
      </c>
      <c r="F83" s="201" t="s">
        <v>277</v>
      </c>
      <c r="G83" s="201" t="s">
        <v>277</v>
      </c>
      <c r="H83" s="1422" t="s">
        <v>543</v>
      </c>
      <c r="I83" s="1423"/>
      <c r="J83" s="154"/>
    </row>
    <row r="84" spans="1:10" ht="11.25">
      <c r="A84" s="692" t="s">
        <v>2306</v>
      </c>
      <c r="B84" s="533"/>
      <c r="C84" s="177" t="s">
        <v>1221</v>
      </c>
      <c r="D84" s="541"/>
      <c r="E84" s="201"/>
      <c r="F84" s="201"/>
      <c r="G84" s="201"/>
      <c r="H84" s="1422"/>
      <c r="I84" s="1423"/>
      <c r="J84" s="154"/>
    </row>
    <row r="85" spans="1:10" ht="22.5">
      <c r="A85" s="692" t="s">
        <v>2305</v>
      </c>
      <c r="B85" s="533" t="s">
        <v>977</v>
      </c>
      <c r="C85" s="177" t="s">
        <v>1221</v>
      </c>
      <c r="D85" s="241" t="s">
        <v>783</v>
      </c>
      <c r="E85" s="241" t="s">
        <v>783</v>
      </c>
      <c r="F85" s="201" t="s">
        <v>277</v>
      </c>
      <c r="G85" s="201" t="s">
        <v>277</v>
      </c>
      <c r="H85" s="1422" t="s">
        <v>543</v>
      </c>
      <c r="I85" s="1423"/>
      <c r="J85" s="154"/>
    </row>
    <row r="86" spans="1:10">
      <c r="A86" s="154"/>
      <c r="B86" s="543"/>
      <c r="C86" s="540"/>
      <c r="D86" s="540"/>
      <c r="E86" s="248"/>
      <c r="F86" s="248"/>
      <c r="G86" s="248"/>
      <c r="H86" s="1428"/>
      <c r="I86" s="1428"/>
      <c r="J86" s="154"/>
    </row>
    <row r="87" spans="1:10">
      <c r="A87" s="154"/>
      <c r="B87" s="1434" t="s">
        <v>978</v>
      </c>
      <c r="C87" s="1314"/>
      <c r="D87" s="1314"/>
      <c r="E87" s="1314"/>
      <c r="F87" s="1314"/>
      <c r="G87" s="1314"/>
      <c r="H87" s="1428"/>
      <c r="I87" s="1428"/>
      <c r="J87" s="154"/>
    </row>
    <row r="88" spans="1:10" ht="11.25">
      <c r="A88" s="692" t="s">
        <v>2307</v>
      </c>
      <c r="B88" s="544" t="s">
        <v>979</v>
      </c>
      <c r="C88" s="177" t="s">
        <v>1221</v>
      </c>
      <c r="D88" s="545">
        <v>35</v>
      </c>
      <c r="E88" s="532">
        <f t="shared" ref="E88:E101" si="2">SUM(D88*1.1)</f>
        <v>38.5</v>
      </c>
      <c r="F88" s="545">
        <f>SUM(1.1*G88)</f>
        <v>657.30499999999995</v>
      </c>
      <c r="G88" s="545">
        <v>597.54999999999995</v>
      </c>
      <c r="H88" s="1422" t="s">
        <v>543</v>
      </c>
      <c r="I88" s="1423"/>
      <c r="J88" s="154"/>
    </row>
    <row r="89" spans="1:10" ht="11.25">
      <c r="A89" s="692" t="s">
        <v>2320</v>
      </c>
      <c r="B89" s="544" t="s">
        <v>980</v>
      </c>
      <c r="C89" s="177" t="s">
        <v>1221</v>
      </c>
      <c r="D89" s="545">
        <v>35</v>
      </c>
      <c r="E89" s="532">
        <f t="shared" si="2"/>
        <v>38.5</v>
      </c>
      <c r="F89" s="545">
        <f t="shared" ref="F89:F101" si="3">SUM(1.1*G89)</f>
        <v>657.30499999999995</v>
      </c>
      <c r="G89" s="545">
        <v>597.54999999999995</v>
      </c>
      <c r="H89" s="1422" t="s">
        <v>543</v>
      </c>
      <c r="I89" s="1423"/>
      <c r="J89" s="154"/>
    </row>
    <row r="90" spans="1:10" ht="11.25">
      <c r="A90" s="692" t="s">
        <v>2319</v>
      </c>
      <c r="B90" s="544" t="s">
        <v>981</v>
      </c>
      <c r="C90" s="177" t="s">
        <v>1221</v>
      </c>
      <c r="D90" s="545">
        <v>35</v>
      </c>
      <c r="E90" s="532">
        <f t="shared" si="2"/>
        <v>38.5</v>
      </c>
      <c r="F90" s="545">
        <f t="shared" si="3"/>
        <v>657.30499999999995</v>
      </c>
      <c r="G90" s="545">
        <v>597.54999999999995</v>
      </c>
      <c r="H90" s="1422" t="s">
        <v>543</v>
      </c>
      <c r="I90" s="1423"/>
      <c r="J90" s="154"/>
    </row>
    <row r="91" spans="1:10" ht="11.25">
      <c r="A91" s="692" t="s">
        <v>2318</v>
      </c>
      <c r="B91" s="544" t="s">
        <v>982</v>
      </c>
      <c r="C91" s="177" t="s">
        <v>1221</v>
      </c>
      <c r="D91" s="545">
        <v>35</v>
      </c>
      <c r="E91" s="532">
        <f t="shared" si="2"/>
        <v>38.5</v>
      </c>
      <c r="F91" s="545">
        <f t="shared" si="3"/>
        <v>657.30499999999995</v>
      </c>
      <c r="G91" s="545">
        <v>597.54999999999995</v>
      </c>
      <c r="H91" s="1422" t="s">
        <v>543</v>
      </c>
      <c r="I91" s="1423"/>
      <c r="J91" s="154"/>
    </row>
    <row r="92" spans="1:10" ht="11.25">
      <c r="A92" s="692" t="s">
        <v>2317</v>
      </c>
      <c r="B92" s="544" t="s">
        <v>983</v>
      </c>
      <c r="C92" s="177" t="s">
        <v>1221</v>
      </c>
      <c r="D92" s="545">
        <v>35</v>
      </c>
      <c r="E92" s="532">
        <f t="shared" si="2"/>
        <v>38.5</v>
      </c>
      <c r="F92" s="545">
        <f t="shared" si="3"/>
        <v>657.30499999999995</v>
      </c>
      <c r="G92" s="545">
        <v>597.54999999999995</v>
      </c>
      <c r="H92" s="1422" t="s">
        <v>543</v>
      </c>
      <c r="I92" s="1423"/>
      <c r="J92" s="154"/>
    </row>
    <row r="93" spans="1:10" ht="11.25">
      <c r="A93" s="692" t="s">
        <v>2316</v>
      </c>
      <c r="B93" s="544" t="s">
        <v>984</v>
      </c>
      <c r="C93" s="177" t="s">
        <v>1221</v>
      </c>
      <c r="D93" s="545">
        <v>35</v>
      </c>
      <c r="E93" s="532">
        <f t="shared" si="2"/>
        <v>38.5</v>
      </c>
      <c r="F93" s="545">
        <f t="shared" si="3"/>
        <v>657.30499999999995</v>
      </c>
      <c r="G93" s="545">
        <v>597.54999999999995</v>
      </c>
      <c r="H93" s="1422" t="s">
        <v>543</v>
      </c>
      <c r="I93" s="1423"/>
      <c r="J93" s="154"/>
    </row>
    <row r="94" spans="1:10" ht="11.25">
      <c r="A94" s="692" t="s">
        <v>2315</v>
      </c>
      <c r="B94" s="544" t="s">
        <v>985</v>
      </c>
      <c r="C94" s="177" t="s">
        <v>1221</v>
      </c>
      <c r="D94" s="545">
        <v>35</v>
      </c>
      <c r="E94" s="532">
        <f t="shared" si="2"/>
        <v>38.5</v>
      </c>
      <c r="F94" s="545">
        <f t="shared" si="3"/>
        <v>657.30499999999995</v>
      </c>
      <c r="G94" s="545">
        <v>597.54999999999995</v>
      </c>
      <c r="H94" s="1422" t="s">
        <v>543</v>
      </c>
      <c r="I94" s="1423"/>
      <c r="J94" s="154"/>
    </row>
    <row r="95" spans="1:10" ht="11.25">
      <c r="A95" s="692" t="s">
        <v>2314</v>
      </c>
      <c r="B95" s="544" t="s">
        <v>986</v>
      </c>
      <c r="C95" s="177" t="s">
        <v>1221</v>
      </c>
      <c r="D95" s="545">
        <v>59.99</v>
      </c>
      <c r="E95" s="532">
        <f t="shared" si="2"/>
        <v>65.989000000000004</v>
      </c>
      <c r="F95" s="545">
        <f t="shared" si="3"/>
        <v>657.30499999999995</v>
      </c>
      <c r="G95" s="545">
        <v>597.54999999999995</v>
      </c>
      <c r="H95" s="1422" t="s">
        <v>543</v>
      </c>
      <c r="I95" s="1423"/>
      <c r="J95" s="154"/>
    </row>
    <row r="96" spans="1:10" ht="11.25">
      <c r="A96" s="692" t="s">
        <v>2313</v>
      </c>
      <c r="B96" s="544" t="s">
        <v>987</v>
      </c>
      <c r="C96" s="177" t="s">
        <v>1221</v>
      </c>
      <c r="D96" s="545">
        <v>87.99</v>
      </c>
      <c r="E96" s="532">
        <f t="shared" si="2"/>
        <v>96.789000000000001</v>
      </c>
      <c r="F96" s="545">
        <f t="shared" si="3"/>
        <v>657.30499999999995</v>
      </c>
      <c r="G96" s="545">
        <v>597.54999999999995</v>
      </c>
      <c r="H96" s="1422" t="s">
        <v>543</v>
      </c>
      <c r="I96" s="1423"/>
      <c r="J96" s="154"/>
    </row>
    <row r="97" spans="1:10" ht="11.25">
      <c r="A97" s="692" t="s">
        <v>2312</v>
      </c>
      <c r="B97" s="544" t="s">
        <v>988</v>
      </c>
      <c r="C97" s="177" t="s">
        <v>1221</v>
      </c>
      <c r="D97" s="545">
        <v>87.99</v>
      </c>
      <c r="E97" s="532">
        <f t="shared" si="2"/>
        <v>96.789000000000001</v>
      </c>
      <c r="F97" s="545">
        <f t="shared" si="3"/>
        <v>657.30499999999995</v>
      </c>
      <c r="G97" s="545">
        <v>597.54999999999995</v>
      </c>
      <c r="H97" s="1422" t="s">
        <v>543</v>
      </c>
      <c r="I97" s="1423"/>
      <c r="J97" s="154"/>
    </row>
    <row r="98" spans="1:10" ht="11.25">
      <c r="A98" s="692" t="s">
        <v>2311</v>
      </c>
      <c r="B98" s="544" t="s">
        <v>989</v>
      </c>
      <c r="C98" s="177" t="s">
        <v>1221</v>
      </c>
      <c r="D98" s="545">
        <v>153.86000000000001</v>
      </c>
      <c r="E98" s="532">
        <f t="shared" si="2"/>
        <v>169.24600000000004</v>
      </c>
      <c r="F98" s="545">
        <f t="shared" si="3"/>
        <v>657.30499999999995</v>
      </c>
      <c r="G98" s="545">
        <v>597.54999999999995</v>
      </c>
      <c r="H98" s="1422" t="s">
        <v>543</v>
      </c>
      <c r="I98" s="1423"/>
      <c r="J98" s="154"/>
    </row>
    <row r="99" spans="1:10" ht="11.25">
      <c r="A99" s="692" t="s">
        <v>2310</v>
      </c>
      <c r="B99" s="544" t="s">
        <v>990</v>
      </c>
      <c r="C99" s="177" t="s">
        <v>1221</v>
      </c>
      <c r="D99" s="545">
        <v>153.86000000000001</v>
      </c>
      <c r="E99" s="532">
        <f t="shared" si="2"/>
        <v>169.24600000000004</v>
      </c>
      <c r="F99" s="545">
        <f t="shared" si="3"/>
        <v>657.30499999999995</v>
      </c>
      <c r="G99" s="545">
        <v>597.54999999999995</v>
      </c>
      <c r="H99" s="1422" t="s">
        <v>543</v>
      </c>
      <c r="I99" s="1423"/>
      <c r="J99" s="154"/>
    </row>
    <row r="100" spans="1:10" ht="11.25">
      <c r="A100" s="692" t="s">
        <v>2309</v>
      </c>
      <c r="B100" s="544" t="s">
        <v>991</v>
      </c>
      <c r="C100" s="177" t="s">
        <v>1221</v>
      </c>
      <c r="D100" s="545">
        <v>153.86000000000001</v>
      </c>
      <c r="E100" s="532">
        <f t="shared" si="2"/>
        <v>169.24600000000004</v>
      </c>
      <c r="F100" s="545">
        <f t="shared" si="3"/>
        <v>657.30499999999995</v>
      </c>
      <c r="G100" s="545">
        <v>597.54999999999995</v>
      </c>
      <c r="H100" s="1422" t="s">
        <v>543</v>
      </c>
      <c r="I100" s="1423"/>
      <c r="J100" s="154"/>
    </row>
    <row r="101" spans="1:10" ht="11.25">
      <c r="A101" s="692" t="s">
        <v>2308</v>
      </c>
      <c r="B101" s="544" t="s">
        <v>992</v>
      </c>
      <c r="C101" s="177" t="s">
        <v>1221</v>
      </c>
      <c r="D101" s="545">
        <v>153.86000000000001</v>
      </c>
      <c r="E101" s="532">
        <f t="shared" si="2"/>
        <v>169.24600000000004</v>
      </c>
      <c r="F101" s="545">
        <f t="shared" si="3"/>
        <v>657.30499999999995</v>
      </c>
      <c r="G101" s="545">
        <v>597.54999999999995</v>
      </c>
      <c r="H101" s="1422" t="s">
        <v>543</v>
      </c>
      <c r="I101" s="1423"/>
      <c r="J101" s="154"/>
    </row>
    <row r="102" spans="1:10" ht="11.25">
      <c r="A102" s="194"/>
      <c r="B102" s="543"/>
      <c r="C102" s="540"/>
      <c r="D102" s="540"/>
      <c r="E102" s="248"/>
      <c r="F102" s="545"/>
      <c r="G102" s="248"/>
      <c r="H102" s="1435"/>
      <c r="I102" s="1435"/>
      <c r="J102" s="154"/>
    </row>
    <row r="103" spans="1:10">
      <c r="A103" s="154"/>
      <c r="B103" s="1434" t="s">
        <v>993</v>
      </c>
      <c r="C103" s="1314"/>
      <c r="D103" s="1314"/>
      <c r="E103" s="1314"/>
      <c r="F103" s="1314"/>
      <c r="G103" s="1314"/>
      <c r="H103" s="374"/>
      <c r="I103" s="201"/>
      <c r="J103" s="152"/>
    </row>
    <row r="104" spans="1:10">
      <c r="A104" s="372"/>
      <c r="B104" s="1399" t="s">
        <v>995</v>
      </c>
      <c r="C104" s="1400"/>
      <c r="D104" s="1400"/>
      <c r="E104" s="1400"/>
      <c r="F104" s="1400"/>
      <c r="G104" s="1314"/>
      <c r="H104" s="374"/>
      <c r="I104" s="201"/>
      <c r="J104" s="152"/>
    </row>
    <row r="105" spans="1:10" ht="22.5">
      <c r="A105" s="692" t="s">
        <v>2321</v>
      </c>
      <c r="B105" s="546" t="s">
        <v>1227</v>
      </c>
      <c r="C105" s="177" t="s">
        <v>1221</v>
      </c>
      <c r="D105" s="549">
        <v>17.36</v>
      </c>
      <c r="E105" s="552">
        <f t="shared" ref="E105:E113" si="4">SUM(D105*1.1)</f>
        <v>19.096</v>
      </c>
      <c r="F105" s="547" t="s">
        <v>783</v>
      </c>
      <c r="G105" s="547" t="s">
        <v>783</v>
      </c>
      <c r="H105" s="1422" t="s">
        <v>860</v>
      </c>
      <c r="I105" s="1423"/>
      <c r="J105" s="154"/>
    </row>
    <row r="106" spans="1:10" ht="22.5">
      <c r="A106" s="692" t="s">
        <v>2322</v>
      </c>
      <c r="B106" s="546" t="s">
        <v>1228</v>
      </c>
      <c r="C106" s="177" t="s">
        <v>1221</v>
      </c>
      <c r="D106" s="549">
        <v>17.36</v>
      </c>
      <c r="E106" s="552">
        <f t="shared" si="4"/>
        <v>19.096</v>
      </c>
      <c r="F106" s="547" t="s">
        <v>783</v>
      </c>
      <c r="G106" s="547" t="s">
        <v>783</v>
      </c>
      <c r="H106" s="1422" t="s">
        <v>860</v>
      </c>
      <c r="I106" s="1423"/>
      <c r="J106" s="154"/>
    </row>
    <row r="107" spans="1:10" ht="22.5">
      <c r="A107" s="692" t="s">
        <v>2323</v>
      </c>
      <c r="B107" s="546" t="s">
        <v>1229</v>
      </c>
      <c r="C107" s="177" t="s">
        <v>1221</v>
      </c>
      <c r="D107" s="549">
        <v>17.78</v>
      </c>
      <c r="E107" s="552">
        <f t="shared" si="4"/>
        <v>19.558000000000003</v>
      </c>
      <c r="F107" s="547" t="s">
        <v>783</v>
      </c>
      <c r="G107" s="547" t="s">
        <v>783</v>
      </c>
      <c r="H107" s="1422" t="s">
        <v>860</v>
      </c>
      <c r="I107" s="1423"/>
      <c r="J107" s="154"/>
    </row>
    <row r="108" spans="1:10" ht="33.75">
      <c r="A108" s="692" t="s">
        <v>2324</v>
      </c>
      <c r="B108" s="546" t="s">
        <v>1230</v>
      </c>
      <c r="C108" s="177" t="s">
        <v>1221</v>
      </c>
      <c r="D108" s="549">
        <v>15</v>
      </c>
      <c r="E108" s="552">
        <f t="shared" si="4"/>
        <v>16.5</v>
      </c>
      <c r="F108" s="547" t="s">
        <v>783</v>
      </c>
      <c r="G108" s="547" t="s">
        <v>783</v>
      </c>
      <c r="H108" s="1422" t="s">
        <v>860</v>
      </c>
      <c r="I108" s="1423"/>
      <c r="J108" s="154"/>
    </row>
    <row r="109" spans="1:10" ht="22.5">
      <c r="A109" s="692" t="s">
        <v>2325</v>
      </c>
      <c r="B109" s="546" t="s">
        <v>1231</v>
      </c>
      <c r="C109" s="177" t="s">
        <v>1221</v>
      </c>
      <c r="D109" s="549">
        <v>15</v>
      </c>
      <c r="E109" s="552">
        <f t="shared" si="4"/>
        <v>16.5</v>
      </c>
      <c r="F109" s="547" t="s">
        <v>783</v>
      </c>
      <c r="G109" s="547" t="s">
        <v>783</v>
      </c>
      <c r="H109" s="1422" t="s">
        <v>860</v>
      </c>
      <c r="I109" s="1423"/>
      <c r="J109" s="154"/>
    </row>
    <row r="110" spans="1:10" ht="22.5">
      <c r="A110" s="692" t="s">
        <v>2326</v>
      </c>
      <c r="B110" s="546" t="s">
        <v>1232</v>
      </c>
      <c r="C110" s="177" t="s">
        <v>1221</v>
      </c>
      <c r="D110" s="549">
        <v>15.42</v>
      </c>
      <c r="E110" s="552">
        <f t="shared" si="4"/>
        <v>16.962</v>
      </c>
      <c r="F110" s="547" t="s">
        <v>783</v>
      </c>
      <c r="G110" s="547" t="s">
        <v>783</v>
      </c>
      <c r="H110" s="1422" t="s">
        <v>860</v>
      </c>
      <c r="I110" s="1423"/>
      <c r="J110" s="154"/>
    </row>
    <row r="111" spans="1:10" ht="22.5">
      <c r="A111" s="692" t="s">
        <v>2327</v>
      </c>
      <c r="B111" s="546" t="s">
        <v>1233</v>
      </c>
      <c r="C111" s="177" t="s">
        <v>1221</v>
      </c>
      <c r="D111" s="549">
        <v>10</v>
      </c>
      <c r="E111" s="552">
        <f t="shared" si="4"/>
        <v>11</v>
      </c>
      <c r="F111" s="547" t="s">
        <v>783</v>
      </c>
      <c r="G111" s="547" t="s">
        <v>783</v>
      </c>
      <c r="H111" s="1422" t="s">
        <v>860</v>
      </c>
      <c r="I111" s="1423"/>
      <c r="J111" s="154"/>
    </row>
    <row r="112" spans="1:10" ht="22.5">
      <c r="A112" s="692" t="s">
        <v>2329</v>
      </c>
      <c r="B112" s="546" t="s">
        <v>1234</v>
      </c>
      <c r="C112" s="177" t="s">
        <v>1221</v>
      </c>
      <c r="D112" s="549">
        <v>10</v>
      </c>
      <c r="E112" s="552">
        <f t="shared" si="4"/>
        <v>11</v>
      </c>
      <c r="F112" s="547" t="s">
        <v>783</v>
      </c>
      <c r="G112" s="547" t="s">
        <v>783</v>
      </c>
      <c r="H112" s="1422" t="s">
        <v>860</v>
      </c>
      <c r="I112" s="1423"/>
      <c r="J112" s="154"/>
    </row>
    <row r="113" spans="1:10" ht="22.5">
      <c r="A113" s="692" t="s">
        <v>2328</v>
      </c>
      <c r="B113" s="546" t="s">
        <v>1235</v>
      </c>
      <c r="C113" s="177" t="s">
        <v>1221</v>
      </c>
      <c r="D113" s="549">
        <v>10.42</v>
      </c>
      <c r="E113" s="552">
        <f t="shared" si="4"/>
        <v>11.462000000000002</v>
      </c>
      <c r="F113" s="547" t="s">
        <v>783</v>
      </c>
      <c r="G113" s="547" t="s">
        <v>783</v>
      </c>
      <c r="H113" s="1422" t="s">
        <v>860</v>
      </c>
      <c r="I113" s="1423"/>
      <c r="J113" s="154"/>
    </row>
    <row r="114" spans="1:10" ht="54.75" customHeight="1">
      <c r="A114" s="548" t="s">
        <v>1226</v>
      </c>
      <c r="B114" s="546" t="s">
        <v>1224</v>
      </c>
      <c r="C114" s="177" t="s">
        <v>1221</v>
      </c>
      <c r="D114" s="546" t="s">
        <v>1223</v>
      </c>
      <c r="E114" s="546" t="s">
        <v>1223</v>
      </c>
      <c r="F114" s="546" t="s">
        <v>1223</v>
      </c>
      <c r="G114" s="546" t="s">
        <v>1223</v>
      </c>
      <c r="H114" s="1418" t="s">
        <v>1225</v>
      </c>
      <c r="I114" s="1419"/>
      <c r="J114" s="152"/>
    </row>
    <row r="115" spans="1:10" ht="11.25">
      <c r="A115" s="176"/>
      <c r="B115" s="546"/>
      <c r="C115" s="177"/>
      <c r="D115" s="549"/>
      <c r="E115" s="201"/>
      <c r="F115" s="201"/>
      <c r="G115" s="201"/>
      <c r="H115" s="550"/>
      <c r="I115" s="551"/>
      <c r="J115" s="154"/>
    </row>
    <row r="116" spans="1:10">
      <c r="A116" s="372"/>
      <c r="B116" s="1399" t="s">
        <v>994</v>
      </c>
      <c r="C116" s="1400"/>
      <c r="D116" s="1400"/>
      <c r="E116" s="1400"/>
      <c r="F116" s="1400"/>
      <c r="G116" s="1314"/>
      <c r="H116" s="374"/>
      <c r="I116" s="201"/>
      <c r="J116" s="152"/>
    </row>
    <row r="117" spans="1:10" ht="22.5">
      <c r="A117" s="692" t="s">
        <v>2330</v>
      </c>
      <c r="B117" s="546" t="s">
        <v>996</v>
      </c>
      <c r="C117" s="177" t="s">
        <v>1221</v>
      </c>
      <c r="D117" s="547" t="s">
        <v>783</v>
      </c>
      <c r="E117" s="547" t="s">
        <v>783</v>
      </c>
      <c r="F117" s="241" t="s">
        <v>277</v>
      </c>
      <c r="G117" s="241" t="s">
        <v>277</v>
      </c>
      <c r="H117" s="1422" t="s">
        <v>999</v>
      </c>
      <c r="I117" s="1423"/>
      <c r="J117" s="154"/>
    </row>
    <row r="118" spans="1:10" ht="22.5">
      <c r="A118" s="692" t="s">
        <v>2331</v>
      </c>
      <c r="B118" s="546" t="s">
        <v>997</v>
      </c>
      <c r="C118" s="177" t="s">
        <v>1221</v>
      </c>
      <c r="D118" s="547" t="s">
        <v>783</v>
      </c>
      <c r="E118" s="547" t="s">
        <v>783</v>
      </c>
      <c r="F118" s="241" t="s">
        <v>277</v>
      </c>
      <c r="G118" s="241" t="s">
        <v>277</v>
      </c>
      <c r="H118" s="1422" t="s">
        <v>999</v>
      </c>
      <c r="I118" s="1423"/>
      <c r="J118" s="154"/>
    </row>
    <row r="119" spans="1:10" ht="22.5">
      <c r="A119" s="692" t="s">
        <v>2332</v>
      </c>
      <c r="B119" s="546" t="s">
        <v>603</v>
      </c>
      <c r="C119" s="177" t="s">
        <v>1221</v>
      </c>
      <c r="D119" s="547" t="s">
        <v>1174</v>
      </c>
      <c r="E119" s="547" t="s">
        <v>1174</v>
      </c>
      <c r="F119" s="241" t="s">
        <v>277</v>
      </c>
      <c r="G119" s="241" t="s">
        <v>277</v>
      </c>
      <c r="H119" s="1422" t="s">
        <v>999</v>
      </c>
      <c r="I119" s="1423"/>
      <c r="J119" s="154"/>
    </row>
    <row r="120" spans="1:10" ht="22.5">
      <c r="A120" s="692" t="s">
        <v>2333</v>
      </c>
      <c r="B120" s="546" t="s">
        <v>604</v>
      </c>
      <c r="C120" s="177" t="s">
        <v>1221</v>
      </c>
      <c r="D120" s="547" t="s">
        <v>1174</v>
      </c>
      <c r="E120" s="547" t="s">
        <v>1174</v>
      </c>
      <c r="F120" s="241" t="s">
        <v>277</v>
      </c>
      <c r="G120" s="241" t="s">
        <v>277</v>
      </c>
      <c r="H120" s="1422" t="s">
        <v>999</v>
      </c>
      <c r="I120" s="1423"/>
      <c r="J120" s="154"/>
    </row>
    <row r="121" spans="1:10" ht="22.5">
      <c r="A121" s="692" t="s">
        <v>2334</v>
      </c>
      <c r="B121" s="546" t="s">
        <v>998</v>
      </c>
      <c r="C121" s="177" t="s">
        <v>1221</v>
      </c>
      <c r="D121" s="547" t="s">
        <v>1174</v>
      </c>
      <c r="E121" s="547" t="s">
        <v>1174</v>
      </c>
      <c r="F121" s="241" t="s">
        <v>277</v>
      </c>
      <c r="G121" s="241" t="s">
        <v>277</v>
      </c>
      <c r="H121" s="1422" t="s">
        <v>1000</v>
      </c>
      <c r="I121" s="1423"/>
      <c r="J121" s="154"/>
    </row>
    <row r="122" spans="1:10" ht="11.25">
      <c r="A122" s="176"/>
      <c r="B122" s="546"/>
      <c r="C122" s="177"/>
      <c r="D122" s="534"/>
      <c r="E122" s="201"/>
      <c r="F122" s="201"/>
      <c r="G122" s="201"/>
      <c r="H122" s="550"/>
      <c r="I122" s="551"/>
      <c r="J122" s="154"/>
    </row>
    <row r="123" spans="1:10">
      <c r="A123" s="372"/>
      <c r="B123" s="1399" t="s">
        <v>1001</v>
      </c>
      <c r="C123" s="1400"/>
      <c r="D123" s="1400"/>
      <c r="E123" s="1400"/>
      <c r="F123" s="1400"/>
      <c r="G123" s="1314"/>
      <c r="H123" s="374"/>
      <c r="I123" s="201"/>
      <c r="J123" s="152"/>
    </row>
    <row r="124" spans="1:10" ht="22.5">
      <c r="A124" s="692" t="s">
        <v>2335</v>
      </c>
      <c r="B124" s="546" t="s">
        <v>1002</v>
      </c>
      <c r="C124" s="177" t="s">
        <v>1221</v>
      </c>
      <c r="D124" s="547" t="s">
        <v>783</v>
      </c>
      <c r="E124" s="547" t="s">
        <v>783</v>
      </c>
      <c r="F124" s="547" t="s">
        <v>783</v>
      </c>
      <c r="G124" s="547" t="s">
        <v>783</v>
      </c>
      <c r="H124" s="1432" t="s">
        <v>600</v>
      </c>
      <c r="I124" s="1433"/>
      <c r="J124" s="154"/>
    </row>
    <row r="125" spans="1:10" ht="22.5">
      <c r="A125" s="692" t="s">
        <v>2336</v>
      </c>
      <c r="B125" s="546" t="s">
        <v>1003</v>
      </c>
      <c r="C125" s="177" t="s">
        <v>1221</v>
      </c>
      <c r="D125" s="547" t="s">
        <v>783</v>
      </c>
      <c r="E125" s="547" t="s">
        <v>783</v>
      </c>
      <c r="F125" s="547" t="s">
        <v>783</v>
      </c>
      <c r="G125" s="547" t="s">
        <v>783</v>
      </c>
      <c r="H125" s="1432" t="s">
        <v>605</v>
      </c>
      <c r="I125" s="1433"/>
      <c r="J125" s="154"/>
    </row>
    <row r="126" spans="1:10" ht="22.5">
      <c r="A126" s="692" t="s">
        <v>2337</v>
      </c>
      <c r="B126" s="546" t="s">
        <v>1004</v>
      </c>
      <c r="C126" s="177" t="s">
        <v>1221</v>
      </c>
      <c r="D126" s="547" t="s">
        <v>783</v>
      </c>
      <c r="E126" s="547" t="s">
        <v>783</v>
      </c>
      <c r="F126" s="201" t="s">
        <v>277</v>
      </c>
      <c r="G126" s="201" t="s">
        <v>277</v>
      </c>
      <c r="H126" s="1432" t="s">
        <v>600</v>
      </c>
      <c r="I126" s="1433"/>
      <c r="J126" s="154"/>
    </row>
    <row r="127" spans="1:10" ht="22.5">
      <c r="A127" s="692" t="s">
        <v>2338</v>
      </c>
      <c r="B127" s="546" t="s">
        <v>606</v>
      </c>
      <c r="C127" s="177" t="s">
        <v>1221</v>
      </c>
      <c r="D127" s="547" t="s">
        <v>1009</v>
      </c>
      <c r="E127" s="547" t="s">
        <v>1009</v>
      </c>
      <c r="F127" s="201" t="s">
        <v>277</v>
      </c>
      <c r="G127" s="201" t="s">
        <v>277</v>
      </c>
      <c r="H127" s="1432" t="s">
        <v>1010</v>
      </c>
      <c r="I127" s="1433"/>
      <c r="J127" s="154"/>
    </row>
    <row r="128" spans="1:10" ht="11.25">
      <c r="A128" s="692" t="s">
        <v>2339</v>
      </c>
      <c r="B128" s="546" t="s">
        <v>278</v>
      </c>
      <c r="C128" s="177" t="s">
        <v>1221</v>
      </c>
      <c r="D128" s="547" t="s">
        <v>783</v>
      </c>
      <c r="E128" s="547" t="s">
        <v>783</v>
      </c>
      <c r="F128" s="201" t="s">
        <v>277</v>
      </c>
      <c r="G128" s="201" t="s">
        <v>277</v>
      </c>
      <c r="H128" s="1432" t="s">
        <v>1011</v>
      </c>
      <c r="I128" s="1433"/>
      <c r="J128" s="154"/>
    </row>
    <row r="129" spans="1:10" ht="11.25">
      <c r="A129" s="692" t="s">
        <v>2340</v>
      </c>
      <c r="B129" s="546" t="s">
        <v>279</v>
      </c>
      <c r="C129" s="177" t="s">
        <v>1221</v>
      </c>
      <c r="D129" s="552">
        <v>44.8</v>
      </c>
      <c r="E129" s="552">
        <f t="shared" ref="E129:E131" si="5">SUM(D129*1.1)</f>
        <v>49.28</v>
      </c>
      <c r="F129" s="201" t="s">
        <v>277</v>
      </c>
      <c r="G129" s="201" t="s">
        <v>277</v>
      </c>
      <c r="H129" s="1432" t="s">
        <v>1012</v>
      </c>
      <c r="I129" s="1433"/>
      <c r="J129" s="154"/>
    </row>
    <row r="130" spans="1:10" ht="22.5">
      <c r="A130" s="692" t="s">
        <v>2341</v>
      </c>
      <c r="B130" s="546" t="s">
        <v>607</v>
      </c>
      <c r="C130" s="177" t="s">
        <v>1221</v>
      </c>
      <c r="D130" s="552">
        <v>10</v>
      </c>
      <c r="E130" s="552">
        <f t="shared" si="5"/>
        <v>11</v>
      </c>
      <c r="F130" s="547" t="s">
        <v>783</v>
      </c>
      <c r="G130" s="547" t="s">
        <v>783</v>
      </c>
      <c r="H130" s="1432" t="s">
        <v>1013</v>
      </c>
      <c r="I130" s="1433"/>
      <c r="J130" s="154"/>
    </row>
    <row r="131" spans="1:10" ht="11.25">
      <c r="A131" s="692" t="s">
        <v>2342</v>
      </c>
      <c r="B131" s="546" t="s">
        <v>1005</v>
      </c>
      <c r="C131" s="177" t="s">
        <v>1221</v>
      </c>
      <c r="D131" s="552">
        <v>63.344000000000001</v>
      </c>
      <c r="E131" s="552">
        <f t="shared" si="5"/>
        <v>69.678400000000011</v>
      </c>
      <c r="F131" s="547" t="s">
        <v>783</v>
      </c>
      <c r="G131" s="547" t="s">
        <v>783</v>
      </c>
      <c r="H131" s="1432" t="s">
        <v>600</v>
      </c>
      <c r="I131" s="1433"/>
      <c r="J131" s="154"/>
    </row>
    <row r="132" spans="1:10" ht="11.25">
      <c r="A132" s="692" t="s">
        <v>2343</v>
      </c>
      <c r="B132" s="546" t="s">
        <v>1006</v>
      </c>
      <c r="C132" s="177" t="s">
        <v>1221</v>
      </c>
      <c r="D132" s="547" t="s">
        <v>783</v>
      </c>
      <c r="E132" s="547" t="s">
        <v>783</v>
      </c>
      <c r="F132" s="547" t="s">
        <v>538</v>
      </c>
      <c r="G132" s="201" t="s">
        <v>277</v>
      </c>
      <c r="H132" s="1432" t="s">
        <v>600</v>
      </c>
      <c r="I132" s="1433"/>
      <c r="J132" s="154"/>
    </row>
    <row r="133" spans="1:10" ht="11.25">
      <c r="A133" s="692" t="s">
        <v>2344</v>
      </c>
      <c r="B133" s="546" t="s">
        <v>1007</v>
      </c>
      <c r="C133" s="177" t="s">
        <v>1221</v>
      </c>
      <c r="D133" s="547" t="s">
        <v>783</v>
      </c>
      <c r="E133" s="547" t="s">
        <v>783</v>
      </c>
      <c r="F133" s="547" t="s">
        <v>783</v>
      </c>
      <c r="G133" s="547" t="s">
        <v>783</v>
      </c>
      <c r="H133" s="1432" t="s">
        <v>1014</v>
      </c>
      <c r="I133" s="1433"/>
      <c r="J133" s="154"/>
    </row>
    <row r="134" spans="1:10" ht="11.25">
      <c r="A134" s="692" t="s">
        <v>2345</v>
      </c>
      <c r="B134" s="546" t="s">
        <v>1008</v>
      </c>
      <c r="C134" s="177" t="s">
        <v>1221</v>
      </c>
      <c r="D134" s="241" t="s">
        <v>277</v>
      </c>
      <c r="E134" s="241" t="s">
        <v>277</v>
      </c>
      <c r="F134" s="547" t="s">
        <v>783</v>
      </c>
      <c r="G134" s="547" t="s">
        <v>783</v>
      </c>
      <c r="H134" s="1432" t="s">
        <v>1015</v>
      </c>
      <c r="I134" s="1433"/>
      <c r="J134" s="154"/>
    </row>
    <row r="135" spans="1:10" ht="11.25">
      <c r="A135" s="176"/>
      <c r="B135" s="546"/>
      <c r="C135" s="177"/>
      <c r="D135" s="534"/>
      <c r="E135" s="201"/>
      <c r="F135" s="201"/>
      <c r="G135" s="201"/>
      <c r="H135" s="550"/>
      <c r="I135" s="551"/>
      <c r="J135" s="154"/>
    </row>
    <row r="136" spans="1:10" ht="12.75" customHeight="1">
      <c r="A136" s="372"/>
      <c r="B136" s="1420" t="s">
        <v>1037</v>
      </c>
      <c r="C136" s="1421"/>
      <c r="D136" s="1421"/>
      <c r="E136" s="1421"/>
      <c r="F136" s="1421"/>
      <c r="G136" s="1421"/>
      <c r="H136" s="374"/>
      <c r="I136" s="201"/>
      <c r="J136" s="152"/>
    </row>
    <row r="137" spans="1:10" ht="22.5">
      <c r="A137" s="692" t="s">
        <v>2346</v>
      </c>
      <c r="B137" s="546" t="s">
        <v>1016</v>
      </c>
      <c r="C137" s="177" t="s">
        <v>1221</v>
      </c>
      <c r="D137" s="552">
        <v>10</v>
      </c>
      <c r="E137" s="552">
        <f t="shared" ref="E137:E140" si="6">SUM(D137*1.1)</f>
        <v>11</v>
      </c>
      <c r="F137" s="201" t="s">
        <v>277</v>
      </c>
      <c r="G137" s="201" t="s">
        <v>277</v>
      </c>
      <c r="H137" s="1422" t="s">
        <v>1020</v>
      </c>
      <c r="I137" s="1423"/>
      <c r="J137" s="154"/>
    </row>
    <row r="138" spans="1:10" ht="22.5">
      <c r="A138" s="692" t="s">
        <v>2347</v>
      </c>
      <c r="B138" s="546" t="s">
        <v>1017</v>
      </c>
      <c r="C138" s="177" t="s">
        <v>1221</v>
      </c>
      <c r="D138" s="552">
        <v>30</v>
      </c>
      <c r="E138" s="552">
        <f t="shared" si="6"/>
        <v>33</v>
      </c>
      <c r="F138" s="201" t="s">
        <v>277</v>
      </c>
      <c r="G138" s="201" t="s">
        <v>277</v>
      </c>
      <c r="H138" s="1422" t="s">
        <v>1020</v>
      </c>
      <c r="I138" s="1423"/>
      <c r="J138" s="154"/>
    </row>
    <row r="139" spans="1:10" ht="22.5">
      <c r="A139" s="692" t="s">
        <v>2348</v>
      </c>
      <c r="B139" s="546" t="s">
        <v>1018</v>
      </c>
      <c r="C139" s="177" t="s">
        <v>1221</v>
      </c>
      <c r="D139" s="552">
        <v>20</v>
      </c>
      <c r="E139" s="552">
        <f t="shared" si="6"/>
        <v>22</v>
      </c>
      <c r="F139" s="201" t="s">
        <v>277</v>
      </c>
      <c r="G139" s="201" t="s">
        <v>277</v>
      </c>
      <c r="H139" s="1422" t="s">
        <v>1020</v>
      </c>
      <c r="I139" s="1423"/>
      <c r="J139" s="154"/>
    </row>
    <row r="140" spans="1:10" ht="33.75">
      <c r="A140" s="176"/>
      <c r="B140" s="546" t="s">
        <v>1019</v>
      </c>
      <c r="C140" s="177" t="s">
        <v>1221</v>
      </c>
      <c r="D140" s="552">
        <v>40</v>
      </c>
      <c r="E140" s="552">
        <f t="shared" si="6"/>
        <v>44</v>
      </c>
      <c r="F140" s="201" t="s">
        <v>277</v>
      </c>
      <c r="G140" s="201" t="s">
        <v>277</v>
      </c>
      <c r="H140" s="1422" t="s">
        <v>1020</v>
      </c>
      <c r="I140" s="1423"/>
      <c r="J140" s="154"/>
    </row>
    <row r="141" spans="1:10" ht="11.25">
      <c r="A141" s="176"/>
      <c r="B141" s="546"/>
      <c r="C141" s="177"/>
      <c r="D141" s="534"/>
      <c r="E141" s="201"/>
      <c r="F141" s="201"/>
      <c r="G141" s="201"/>
      <c r="H141" s="550"/>
      <c r="I141" s="551"/>
      <c r="J141" s="154"/>
    </row>
    <row r="142" spans="1:10" ht="12.75" customHeight="1">
      <c r="A142" s="372"/>
      <c r="B142" s="1420" t="s">
        <v>1038</v>
      </c>
      <c r="C142" s="1421"/>
      <c r="D142" s="1421"/>
      <c r="E142" s="1421"/>
      <c r="F142" s="1421"/>
      <c r="G142" s="1421"/>
      <c r="H142" s="374"/>
      <c r="I142" s="201"/>
      <c r="J142" s="152"/>
    </row>
    <row r="143" spans="1:10" ht="11.25">
      <c r="A143" s="692" t="s">
        <v>2349</v>
      </c>
      <c r="B143" s="546" t="s">
        <v>1021</v>
      </c>
      <c r="C143" s="177" t="s">
        <v>1221</v>
      </c>
      <c r="D143" s="241" t="s">
        <v>277</v>
      </c>
      <c r="E143" s="241" t="s">
        <v>277</v>
      </c>
      <c r="F143" s="552">
        <f t="shared" ref="F143:F150" si="7">SUM(1.1*G143)</f>
        <v>45.991000000000007</v>
      </c>
      <c r="G143" s="552">
        <v>41.81</v>
      </c>
      <c r="H143" s="1422" t="s">
        <v>543</v>
      </c>
      <c r="I143" s="1423"/>
      <c r="J143" s="154"/>
    </row>
    <row r="144" spans="1:10" ht="11.25">
      <c r="A144" s="692" t="s">
        <v>2350</v>
      </c>
      <c r="B144" s="546" t="s">
        <v>1022</v>
      </c>
      <c r="C144" s="177" t="s">
        <v>1221</v>
      </c>
      <c r="D144" s="241" t="s">
        <v>277</v>
      </c>
      <c r="E144" s="241" t="s">
        <v>277</v>
      </c>
      <c r="F144" s="552">
        <f t="shared" si="7"/>
        <v>45.991000000000007</v>
      </c>
      <c r="G144" s="552">
        <v>41.81</v>
      </c>
      <c r="H144" s="1422" t="s">
        <v>543</v>
      </c>
      <c r="I144" s="1423"/>
      <c r="J144" s="154"/>
    </row>
    <row r="145" spans="1:10" ht="11.25">
      <c r="A145" s="692" t="s">
        <v>2351</v>
      </c>
      <c r="B145" s="546" t="s">
        <v>1023</v>
      </c>
      <c r="C145" s="177" t="s">
        <v>1221</v>
      </c>
      <c r="D145" s="241" t="s">
        <v>277</v>
      </c>
      <c r="E145" s="241" t="s">
        <v>277</v>
      </c>
      <c r="F145" s="552">
        <f t="shared" si="7"/>
        <v>45.991000000000007</v>
      </c>
      <c r="G145" s="552">
        <v>41.81</v>
      </c>
      <c r="H145" s="1422" t="s">
        <v>543</v>
      </c>
      <c r="I145" s="1423"/>
      <c r="J145" s="154"/>
    </row>
    <row r="146" spans="1:10" ht="11.25">
      <c r="A146" s="692" t="s">
        <v>2353</v>
      </c>
      <c r="B146" s="546" t="s">
        <v>1024</v>
      </c>
      <c r="C146" s="177" t="s">
        <v>1221</v>
      </c>
      <c r="D146" s="241" t="s">
        <v>277</v>
      </c>
      <c r="E146" s="241" t="s">
        <v>277</v>
      </c>
      <c r="F146" s="552">
        <f t="shared" si="7"/>
        <v>44.748000000000005</v>
      </c>
      <c r="G146" s="552">
        <v>40.68</v>
      </c>
      <c r="H146" s="1422" t="s">
        <v>543</v>
      </c>
      <c r="I146" s="1423"/>
      <c r="J146" s="154"/>
    </row>
    <row r="147" spans="1:10" ht="11.25">
      <c r="A147" s="692" t="s">
        <v>2354</v>
      </c>
      <c r="B147" s="546" t="s">
        <v>1025</v>
      </c>
      <c r="C147" s="177" t="s">
        <v>1221</v>
      </c>
      <c r="D147" s="241" t="s">
        <v>277</v>
      </c>
      <c r="E147" s="241" t="s">
        <v>277</v>
      </c>
      <c r="F147" s="552">
        <f t="shared" si="7"/>
        <v>43.505000000000003</v>
      </c>
      <c r="G147" s="552">
        <v>39.549999999999997</v>
      </c>
      <c r="H147" s="1422" t="s">
        <v>543</v>
      </c>
      <c r="I147" s="1423"/>
      <c r="J147" s="154"/>
    </row>
    <row r="148" spans="1:10" ht="11.25">
      <c r="A148" s="692" t="s">
        <v>2355</v>
      </c>
      <c r="B148" s="546" t="s">
        <v>1026</v>
      </c>
      <c r="C148" s="177" t="s">
        <v>1221</v>
      </c>
      <c r="D148" s="241" t="s">
        <v>277</v>
      </c>
      <c r="E148" s="241" t="s">
        <v>277</v>
      </c>
      <c r="F148" s="552">
        <f t="shared" si="7"/>
        <v>43.505000000000003</v>
      </c>
      <c r="G148" s="552">
        <v>39.549999999999997</v>
      </c>
      <c r="H148" s="1422" t="s">
        <v>543</v>
      </c>
      <c r="I148" s="1423"/>
      <c r="J148" s="154"/>
    </row>
    <row r="149" spans="1:10" ht="11.25">
      <c r="A149" s="692" t="s">
        <v>2356</v>
      </c>
      <c r="B149" s="546" t="s">
        <v>1027</v>
      </c>
      <c r="C149" s="177" t="s">
        <v>1221</v>
      </c>
      <c r="D149" s="241" t="s">
        <v>277</v>
      </c>
      <c r="E149" s="241" t="s">
        <v>277</v>
      </c>
      <c r="F149" s="552">
        <f t="shared" si="7"/>
        <v>41.381999999999998</v>
      </c>
      <c r="G149" s="552">
        <v>37.619999999999997</v>
      </c>
      <c r="H149" s="1422" t="s">
        <v>543</v>
      </c>
      <c r="I149" s="1423"/>
      <c r="J149" s="154"/>
    </row>
    <row r="150" spans="1:10" ht="11.25">
      <c r="A150" s="692" t="s">
        <v>2352</v>
      </c>
      <c r="B150" s="546" t="s">
        <v>1028</v>
      </c>
      <c r="C150" s="177" t="s">
        <v>1221</v>
      </c>
      <c r="D150" s="241" t="s">
        <v>277</v>
      </c>
      <c r="E150" s="241" t="s">
        <v>277</v>
      </c>
      <c r="F150" s="552">
        <f t="shared" si="7"/>
        <v>41.381999999999998</v>
      </c>
      <c r="G150" s="552">
        <v>37.619999999999997</v>
      </c>
      <c r="H150" s="1422" t="s">
        <v>543</v>
      </c>
      <c r="I150" s="1423"/>
      <c r="J150" s="154"/>
    </row>
    <row r="151" spans="1:10" ht="11.25">
      <c r="A151" s="176"/>
      <c r="B151" s="546"/>
      <c r="C151" s="177"/>
      <c r="D151" s="534"/>
      <c r="E151" s="201"/>
      <c r="F151" s="201"/>
      <c r="G151" s="201"/>
      <c r="H151" s="550"/>
      <c r="I151" s="551"/>
      <c r="J151" s="154"/>
    </row>
    <row r="152" spans="1:10" ht="12.75" customHeight="1">
      <c r="A152" s="372"/>
      <c r="B152" s="1420" t="s">
        <v>1039</v>
      </c>
      <c r="C152" s="1421"/>
      <c r="D152" s="1421"/>
      <c r="E152" s="1421"/>
      <c r="F152" s="1421"/>
      <c r="G152" s="1421"/>
      <c r="H152" s="374"/>
      <c r="I152" s="201"/>
      <c r="J152" s="152"/>
    </row>
    <row r="153" spans="1:10" ht="11.25">
      <c r="A153" t="s">
        <v>2357</v>
      </c>
      <c r="B153" s="546" t="s">
        <v>1021</v>
      </c>
      <c r="C153" s="177" t="s">
        <v>1221</v>
      </c>
      <c r="D153" s="241" t="s">
        <v>277</v>
      </c>
      <c r="E153" s="241" t="s">
        <v>277</v>
      </c>
      <c r="F153" s="552">
        <f t="shared" ref="F153:F168" si="8">SUM(1.1*G153)</f>
        <v>300.608</v>
      </c>
      <c r="G153" s="552">
        <v>273.27999999999997</v>
      </c>
      <c r="H153" s="1422" t="s">
        <v>1029</v>
      </c>
      <c r="I153" s="1423"/>
      <c r="J153" s="154"/>
    </row>
    <row r="154" spans="1:10" ht="11.25">
      <c r="A154" s="692" t="s">
        <v>2358</v>
      </c>
      <c r="B154" s="546" t="s">
        <v>1022</v>
      </c>
      <c r="C154" s="177" t="s">
        <v>1221</v>
      </c>
      <c r="D154" s="241" t="s">
        <v>277</v>
      </c>
      <c r="E154" s="241" t="s">
        <v>277</v>
      </c>
      <c r="F154" s="552">
        <f t="shared" si="8"/>
        <v>526.06400000000008</v>
      </c>
      <c r="G154" s="552">
        <v>478.24</v>
      </c>
      <c r="H154" s="1422" t="s">
        <v>1029</v>
      </c>
      <c r="I154" s="1423"/>
      <c r="J154" s="154"/>
    </row>
    <row r="155" spans="1:10" ht="11.25">
      <c r="A155" s="692" t="s">
        <v>2359</v>
      </c>
      <c r="B155" s="546" t="s">
        <v>1023</v>
      </c>
      <c r="C155" s="177" t="s">
        <v>1221</v>
      </c>
      <c r="D155" s="241" t="s">
        <v>277</v>
      </c>
      <c r="E155" s="241" t="s">
        <v>277</v>
      </c>
      <c r="F155" s="552">
        <f t="shared" si="8"/>
        <v>750.28800000000012</v>
      </c>
      <c r="G155" s="552">
        <v>682.08</v>
      </c>
      <c r="H155" s="1422" t="s">
        <v>1029</v>
      </c>
      <c r="I155" s="1423"/>
      <c r="J155" s="154"/>
    </row>
    <row r="156" spans="1:10" ht="11.25">
      <c r="A156" s="692" t="s">
        <v>2360</v>
      </c>
      <c r="B156" s="546" t="s">
        <v>1024</v>
      </c>
      <c r="C156" s="177" t="s">
        <v>1221</v>
      </c>
      <c r="D156" s="241" t="s">
        <v>277</v>
      </c>
      <c r="E156" s="241" t="s">
        <v>277</v>
      </c>
      <c r="F156" s="552">
        <f t="shared" si="8"/>
        <v>975.74400000000003</v>
      </c>
      <c r="G156" s="552">
        <v>887.04</v>
      </c>
      <c r="H156" s="1422" t="s">
        <v>1029</v>
      </c>
      <c r="I156" s="1423"/>
      <c r="J156" s="154"/>
    </row>
    <row r="157" spans="1:10" ht="11.25">
      <c r="A157" s="692" t="s">
        <v>2361</v>
      </c>
      <c r="B157" s="546" t="s">
        <v>1025</v>
      </c>
      <c r="C157" s="177" t="s">
        <v>1221</v>
      </c>
      <c r="D157" s="241" t="s">
        <v>277</v>
      </c>
      <c r="E157" s="241" t="s">
        <v>277</v>
      </c>
      <c r="F157" s="552">
        <f t="shared" si="8"/>
        <v>1190.4750000000001</v>
      </c>
      <c r="G157" s="552">
        <v>1082.25</v>
      </c>
      <c r="H157" s="1422" t="s">
        <v>1029</v>
      </c>
      <c r="I157" s="1423"/>
      <c r="J157" s="154"/>
    </row>
    <row r="158" spans="1:10" ht="11.25">
      <c r="A158" s="692" t="s">
        <v>2362</v>
      </c>
      <c r="B158" s="546" t="s">
        <v>1026</v>
      </c>
      <c r="C158" s="177" t="s">
        <v>1221</v>
      </c>
      <c r="D158" s="241" t="s">
        <v>277</v>
      </c>
      <c r="E158" s="241" t="s">
        <v>277</v>
      </c>
      <c r="F158" s="552">
        <f t="shared" si="8"/>
        <v>1487.1780000000001</v>
      </c>
      <c r="G158" s="552">
        <v>1351.98</v>
      </c>
      <c r="H158" s="1422" t="s">
        <v>1029</v>
      </c>
      <c r="I158" s="1423"/>
      <c r="J158" s="154"/>
    </row>
    <row r="159" spans="1:10" ht="11.25">
      <c r="A159" s="692" t="s">
        <v>2363</v>
      </c>
      <c r="B159" s="546" t="s">
        <v>1027</v>
      </c>
      <c r="C159" s="177" t="s">
        <v>1221</v>
      </c>
      <c r="D159" s="241" t="s">
        <v>277</v>
      </c>
      <c r="E159" s="241" t="s">
        <v>277</v>
      </c>
      <c r="F159" s="552">
        <f t="shared" si="8"/>
        <v>1842.8300000000002</v>
      </c>
      <c r="G159" s="552">
        <v>1675.3</v>
      </c>
      <c r="H159" s="1422" t="s">
        <v>1029</v>
      </c>
      <c r="I159" s="1423"/>
      <c r="J159" s="154"/>
    </row>
    <row r="160" spans="1:10" ht="11.25">
      <c r="A160" s="692" t="s">
        <v>2364</v>
      </c>
      <c r="B160" s="546" t="s">
        <v>1028</v>
      </c>
      <c r="C160" s="177" t="s">
        <v>1221</v>
      </c>
      <c r="D160" s="241" t="s">
        <v>277</v>
      </c>
      <c r="E160" s="241" t="s">
        <v>277</v>
      </c>
      <c r="F160" s="552">
        <f t="shared" si="8"/>
        <v>2556.2680000000005</v>
      </c>
      <c r="G160" s="552">
        <v>2323.88</v>
      </c>
      <c r="H160" s="1422" t="s">
        <v>1029</v>
      </c>
      <c r="I160" s="1423"/>
      <c r="J160" s="154"/>
    </row>
    <row r="161" spans="1:10" ht="11.25">
      <c r="A161" s="692" t="s">
        <v>2365</v>
      </c>
      <c r="B161" s="546" t="s">
        <v>1021</v>
      </c>
      <c r="C161" s="177" t="s">
        <v>1221</v>
      </c>
      <c r="D161" s="241" t="s">
        <v>277</v>
      </c>
      <c r="E161" s="241" t="s">
        <v>277</v>
      </c>
      <c r="F161" s="552">
        <f t="shared" si="8"/>
        <v>45.177000000000007</v>
      </c>
      <c r="G161" s="552">
        <v>41.07</v>
      </c>
      <c r="H161" s="1422" t="s">
        <v>1030</v>
      </c>
      <c r="I161" s="1423"/>
      <c r="J161" s="154"/>
    </row>
    <row r="162" spans="1:10" ht="12.75" customHeight="1">
      <c r="A162" s="692" t="s">
        <v>2366</v>
      </c>
      <c r="B162" s="546" t="s">
        <v>1022</v>
      </c>
      <c r="C162" s="177" t="s">
        <v>1221</v>
      </c>
      <c r="D162" s="241" t="s">
        <v>277</v>
      </c>
      <c r="E162" s="241" t="s">
        <v>277</v>
      </c>
      <c r="F162" s="552">
        <f t="shared" si="8"/>
        <v>45.177000000000007</v>
      </c>
      <c r="G162" s="552">
        <v>41.07</v>
      </c>
      <c r="H162" s="1422" t="s">
        <v>1030</v>
      </c>
      <c r="I162" s="1423"/>
      <c r="J162" s="154"/>
    </row>
    <row r="163" spans="1:10" ht="12.75" customHeight="1">
      <c r="A163" s="692" t="s">
        <v>2367</v>
      </c>
      <c r="B163" s="546" t="s">
        <v>1023</v>
      </c>
      <c r="C163" s="177" t="s">
        <v>1221</v>
      </c>
      <c r="D163" s="241" t="s">
        <v>277</v>
      </c>
      <c r="E163" s="241" t="s">
        <v>277</v>
      </c>
      <c r="F163" s="552">
        <f t="shared" si="8"/>
        <v>45.177000000000007</v>
      </c>
      <c r="G163" s="552">
        <v>41.07</v>
      </c>
      <c r="H163" s="1422" t="s">
        <v>1030</v>
      </c>
      <c r="I163" s="1423"/>
      <c r="J163" s="154"/>
    </row>
    <row r="164" spans="1:10" ht="11.25">
      <c r="A164" s="692" t="s">
        <v>2368</v>
      </c>
      <c r="B164" s="546" t="s">
        <v>1024</v>
      </c>
      <c r="C164" s="177" t="s">
        <v>1221</v>
      </c>
      <c r="D164" s="241" t="s">
        <v>277</v>
      </c>
      <c r="E164" s="241" t="s">
        <v>277</v>
      </c>
      <c r="F164" s="552">
        <f t="shared" si="8"/>
        <v>43.956000000000003</v>
      </c>
      <c r="G164" s="552">
        <v>39.96</v>
      </c>
      <c r="H164" s="1422" t="s">
        <v>1030</v>
      </c>
      <c r="I164" s="1423"/>
      <c r="J164" s="154"/>
    </row>
    <row r="165" spans="1:10" ht="11.25">
      <c r="A165" s="692" t="s">
        <v>2369</v>
      </c>
      <c r="B165" s="546" t="s">
        <v>1025</v>
      </c>
      <c r="C165" s="177" t="s">
        <v>1221</v>
      </c>
      <c r="D165" s="241" t="s">
        <v>277</v>
      </c>
      <c r="E165" s="241" t="s">
        <v>277</v>
      </c>
      <c r="F165" s="552">
        <f t="shared" si="8"/>
        <v>42.35</v>
      </c>
      <c r="G165" s="552">
        <v>38.5</v>
      </c>
      <c r="H165" s="1422" t="s">
        <v>1030</v>
      </c>
      <c r="I165" s="1423"/>
      <c r="J165" s="154"/>
    </row>
    <row r="166" spans="1:10" ht="11.25">
      <c r="A166" s="692" t="s">
        <v>2370</v>
      </c>
      <c r="B166" s="546" t="s">
        <v>1026</v>
      </c>
      <c r="C166" s="177" t="s">
        <v>1221</v>
      </c>
      <c r="D166" s="241" t="s">
        <v>277</v>
      </c>
      <c r="E166" s="241" t="s">
        <v>277</v>
      </c>
      <c r="F166" s="552">
        <f t="shared" si="8"/>
        <v>42.35</v>
      </c>
      <c r="G166" s="552">
        <v>38.5</v>
      </c>
      <c r="H166" s="1422" t="s">
        <v>1030</v>
      </c>
      <c r="I166" s="1423"/>
      <c r="J166" s="154"/>
    </row>
    <row r="167" spans="1:10" ht="11.25">
      <c r="A167" s="692" t="s">
        <v>2371</v>
      </c>
      <c r="B167" s="546" t="s">
        <v>1027</v>
      </c>
      <c r="C167" s="177" t="s">
        <v>1221</v>
      </c>
      <c r="D167" s="241" t="s">
        <v>277</v>
      </c>
      <c r="E167" s="241" t="s">
        <v>277</v>
      </c>
      <c r="F167" s="552">
        <f t="shared" si="8"/>
        <v>39.93</v>
      </c>
      <c r="G167" s="552">
        <v>36.299999999999997</v>
      </c>
      <c r="H167" s="1422" t="s">
        <v>1030</v>
      </c>
      <c r="I167" s="1423"/>
      <c r="J167" s="154"/>
    </row>
    <row r="168" spans="1:10" ht="11.25">
      <c r="A168" s="692" t="s">
        <v>2372</v>
      </c>
      <c r="B168" s="546" t="s">
        <v>1028</v>
      </c>
      <c r="C168" s="177" t="s">
        <v>1221</v>
      </c>
      <c r="D168" s="241" t="s">
        <v>277</v>
      </c>
      <c r="E168" s="241" t="s">
        <v>277</v>
      </c>
      <c r="F168" s="552">
        <f t="shared" si="8"/>
        <v>39.567</v>
      </c>
      <c r="G168" s="552">
        <v>35.97</v>
      </c>
      <c r="H168" s="1422" t="s">
        <v>1030</v>
      </c>
      <c r="I168" s="1423"/>
      <c r="J168" s="154"/>
    </row>
    <row r="169" spans="1:10" ht="11.25">
      <c r="A169" s="176"/>
      <c r="B169" s="546"/>
      <c r="C169" s="177"/>
      <c r="D169" s="537"/>
      <c r="E169" s="201"/>
      <c r="F169" s="201"/>
      <c r="G169" s="201"/>
      <c r="H169" s="550"/>
      <c r="I169" s="551"/>
      <c r="J169" s="154"/>
    </row>
    <row r="170" spans="1:10" ht="12.75" customHeight="1">
      <c r="A170" s="372"/>
      <c r="B170" s="1420" t="s">
        <v>1040</v>
      </c>
      <c r="C170" s="1421"/>
      <c r="D170" s="1421"/>
      <c r="E170" s="1421"/>
      <c r="F170" s="1421"/>
      <c r="G170" s="1421"/>
      <c r="H170" s="374"/>
      <c r="I170" s="201"/>
      <c r="J170" s="152"/>
    </row>
    <row r="171" spans="1:10" ht="11.25">
      <c r="A171" s="692" t="s">
        <v>2373</v>
      </c>
      <c r="B171" s="553" t="s">
        <v>1031</v>
      </c>
      <c r="C171" s="177" t="s">
        <v>1221</v>
      </c>
      <c r="D171" s="554">
        <v>496.37324960000001</v>
      </c>
      <c r="E171" s="552">
        <f t="shared" ref="E171" si="9">SUM(D171*1.1)</f>
        <v>546.01057456000001</v>
      </c>
      <c r="F171" s="241" t="s">
        <v>277</v>
      </c>
      <c r="G171" s="241" t="s">
        <v>277</v>
      </c>
      <c r="H171" s="1422" t="s">
        <v>17</v>
      </c>
      <c r="I171" s="1423"/>
      <c r="J171" s="154"/>
    </row>
    <row r="172" spans="1:10" ht="22.5">
      <c r="A172" s="692" t="s">
        <v>2376</v>
      </c>
      <c r="B172" s="546" t="s">
        <v>1032</v>
      </c>
      <c r="C172" s="177" t="s">
        <v>1221</v>
      </c>
      <c r="D172" s="241" t="s">
        <v>277</v>
      </c>
      <c r="E172" s="241" t="s">
        <v>277</v>
      </c>
      <c r="F172" s="552">
        <f t="shared" ref="F172" si="10">SUM(1.1*G172)</f>
        <v>68.2</v>
      </c>
      <c r="G172" s="552">
        <v>62</v>
      </c>
      <c r="H172" s="1422" t="s">
        <v>860</v>
      </c>
      <c r="I172" s="1423"/>
      <c r="J172" s="154"/>
    </row>
    <row r="173" spans="1:10" ht="22.5" customHeight="1">
      <c r="A173" s="692" t="s">
        <v>2374</v>
      </c>
      <c r="B173" s="546" t="s">
        <v>1033</v>
      </c>
      <c r="C173" s="177" t="s">
        <v>1221</v>
      </c>
      <c r="D173" s="241" t="s">
        <v>277</v>
      </c>
      <c r="E173" s="241" t="s">
        <v>277</v>
      </c>
      <c r="F173" s="547" t="s">
        <v>539</v>
      </c>
      <c r="G173" s="547" t="s">
        <v>539</v>
      </c>
      <c r="H173" s="1422" t="s">
        <v>1035</v>
      </c>
      <c r="I173" s="1423"/>
      <c r="J173" s="154"/>
    </row>
    <row r="174" spans="1:10" ht="22.5">
      <c r="A174" s="692" t="s">
        <v>2375</v>
      </c>
      <c r="B174" s="546" t="s">
        <v>1034</v>
      </c>
      <c r="C174" s="177" t="s">
        <v>1221</v>
      </c>
      <c r="D174" s="241" t="s">
        <v>277</v>
      </c>
      <c r="E174" s="241" t="s">
        <v>277</v>
      </c>
      <c r="F174" s="547" t="s">
        <v>539</v>
      </c>
      <c r="G174" s="547" t="s">
        <v>539</v>
      </c>
      <c r="H174" s="1422" t="s">
        <v>1036</v>
      </c>
      <c r="I174" s="1423"/>
      <c r="J174" s="154"/>
    </row>
    <row r="175" spans="1:10" ht="11.25">
      <c r="A175" s="176"/>
      <c r="B175" s="546"/>
      <c r="C175" s="177"/>
      <c r="D175" s="537"/>
      <c r="E175" s="201"/>
      <c r="F175" s="201"/>
      <c r="G175" s="201"/>
      <c r="H175" s="550"/>
      <c r="I175" s="551"/>
      <c r="J175" s="154"/>
    </row>
    <row r="176" spans="1:10" ht="12.75" customHeight="1">
      <c r="A176" s="372"/>
      <c r="B176" s="1420" t="s">
        <v>1041</v>
      </c>
      <c r="C176" s="1421"/>
      <c r="D176" s="1421"/>
      <c r="E176" s="1421"/>
      <c r="F176" s="1421"/>
      <c r="G176" s="1421"/>
      <c r="H176" s="374"/>
      <c r="I176" s="201"/>
      <c r="J176" s="152"/>
    </row>
    <row r="177" spans="1:10" ht="45">
      <c r="A177" s="692" t="s">
        <v>2377</v>
      </c>
      <c r="B177" s="535" t="s">
        <v>1042</v>
      </c>
      <c r="C177" s="177" t="s">
        <v>1221</v>
      </c>
      <c r="D177" s="555">
        <v>240</v>
      </c>
      <c r="E177" s="552">
        <f t="shared" ref="E177:E191" si="11">SUM(D177*1.1)</f>
        <v>264</v>
      </c>
      <c r="F177" s="241" t="s">
        <v>277</v>
      </c>
      <c r="G177" s="241" t="s">
        <v>277</v>
      </c>
      <c r="H177" s="1422" t="s">
        <v>1057</v>
      </c>
      <c r="I177" s="1423"/>
      <c r="J177" s="154"/>
    </row>
    <row r="178" spans="1:10" ht="67.5">
      <c r="A178" s="692" t="s">
        <v>2378</v>
      </c>
      <c r="B178" s="535" t="s">
        <v>1043</v>
      </c>
      <c r="C178" s="177" t="s">
        <v>1221</v>
      </c>
      <c r="D178" s="555">
        <v>1544</v>
      </c>
      <c r="E178" s="552">
        <f t="shared" si="11"/>
        <v>1698.4</v>
      </c>
      <c r="F178" s="241" t="s">
        <v>277</v>
      </c>
      <c r="G178" s="241" t="s">
        <v>277</v>
      </c>
      <c r="H178" s="1422" t="s">
        <v>1058</v>
      </c>
      <c r="I178" s="1423"/>
      <c r="J178" s="154"/>
    </row>
    <row r="179" spans="1:10" ht="76.5" customHeight="1">
      <c r="A179" s="692" t="s">
        <v>2379</v>
      </c>
      <c r="B179" s="535" t="s">
        <v>1044</v>
      </c>
      <c r="C179" s="177" t="s">
        <v>1221</v>
      </c>
      <c r="D179" s="555">
        <v>1980</v>
      </c>
      <c r="E179" s="552">
        <f t="shared" si="11"/>
        <v>2178</v>
      </c>
      <c r="F179" s="241" t="s">
        <v>277</v>
      </c>
      <c r="G179" s="241" t="s">
        <v>277</v>
      </c>
      <c r="H179" s="1422" t="s">
        <v>1059</v>
      </c>
      <c r="I179" s="1423"/>
      <c r="J179" s="154"/>
    </row>
    <row r="180" spans="1:10" ht="89.25" customHeight="1">
      <c r="A180" s="692" t="s">
        <v>2380</v>
      </c>
      <c r="B180" s="535" t="s">
        <v>1045</v>
      </c>
      <c r="C180" s="177" t="s">
        <v>1221</v>
      </c>
      <c r="D180" s="555">
        <v>2520</v>
      </c>
      <c r="E180" s="552">
        <f t="shared" si="11"/>
        <v>2772</v>
      </c>
      <c r="F180" s="241" t="s">
        <v>277</v>
      </c>
      <c r="G180" s="241" t="s">
        <v>277</v>
      </c>
      <c r="H180" s="1422" t="s">
        <v>1060</v>
      </c>
      <c r="I180" s="1423"/>
      <c r="J180" s="154"/>
    </row>
    <row r="181" spans="1:10" ht="76.5" customHeight="1">
      <c r="A181" s="692" t="s">
        <v>2381</v>
      </c>
      <c r="B181" s="535" t="s">
        <v>1046</v>
      </c>
      <c r="C181" s="177" t="s">
        <v>1221</v>
      </c>
      <c r="D181" s="555">
        <v>3780</v>
      </c>
      <c r="E181" s="552">
        <f t="shared" si="11"/>
        <v>4158</v>
      </c>
      <c r="F181" s="241" t="s">
        <v>277</v>
      </c>
      <c r="G181" s="241" t="s">
        <v>277</v>
      </c>
      <c r="H181" s="1422" t="s">
        <v>1061</v>
      </c>
      <c r="I181" s="1423"/>
      <c r="J181" s="154"/>
    </row>
    <row r="182" spans="1:10" ht="45">
      <c r="A182" s="692" t="s">
        <v>2382</v>
      </c>
      <c r="B182" s="535" t="s">
        <v>1047</v>
      </c>
      <c r="C182" s="177" t="s">
        <v>1221</v>
      </c>
      <c r="D182" s="555">
        <v>394.8</v>
      </c>
      <c r="E182" s="552">
        <f t="shared" si="11"/>
        <v>434.28000000000003</v>
      </c>
      <c r="F182" s="241" t="s">
        <v>277</v>
      </c>
      <c r="G182" s="241" t="s">
        <v>277</v>
      </c>
      <c r="H182" s="1422" t="s">
        <v>1062</v>
      </c>
      <c r="I182" s="1423"/>
      <c r="J182" s="154"/>
    </row>
    <row r="183" spans="1:10" ht="45">
      <c r="A183" s="692" t="s">
        <v>2383</v>
      </c>
      <c r="B183" s="535" t="s">
        <v>1048</v>
      </c>
      <c r="C183" s="177" t="s">
        <v>1221</v>
      </c>
      <c r="D183" s="555">
        <v>240</v>
      </c>
      <c r="E183" s="552">
        <f t="shared" si="11"/>
        <v>264</v>
      </c>
      <c r="F183" s="241" t="s">
        <v>277</v>
      </c>
      <c r="G183" s="241" t="s">
        <v>277</v>
      </c>
      <c r="H183" s="1422" t="s">
        <v>1063</v>
      </c>
      <c r="I183" s="1423"/>
      <c r="J183" s="154"/>
    </row>
    <row r="184" spans="1:10" ht="56.25">
      <c r="A184" s="692" t="s">
        <v>2389</v>
      </c>
      <c r="B184" s="535" t="s">
        <v>1049</v>
      </c>
      <c r="C184" s="177" t="s">
        <v>1221</v>
      </c>
      <c r="D184" s="555">
        <v>90</v>
      </c>
      <c r="E184" s="552">
        <f t="shared" si="11"/>
        <v>99.000000000000014</v>
      </c>
      <c r="F184" s="241" t="s">
        <v>277</v>
      </c>
      <c r="G184" s="241" t="s">
        <v>277</v>
      </c>
      <c r="H184" s="1422" t="s">
        <v>1064</v>
      </c>
      <c r="I184" s="1423"/>
      <c r="J184" s="154"/>
    </row>
    <row r="185" spans="1:10" ht="56.25">
      <c r="A185" s="692" t="s">
        <v>2388</v>
      </c>
      <c r="B185" s="535" t="s">
        <v>1050</v>
      </c>
      <c r="C185" s="177" t="s">
        <v>1221</v>
      </c>
      <c r="D185" s="555">
        <v>288</v>
      </c>
      <c r="E185" s="552">
        <f t="shared" si="11"/>
        <v>316.8</v>
      </c>
      <c r="F185" s="241" t="s">
        <v>277</v>
      </c>
      <c r="G185" s="241" t="s">
        <v>277</v>
      </c>
      <c r="H185" s="1422" t="s">
        <v>1064</v>
      </c>
      <c r="I185" s="1423"/>
      <c r="J185" s="154"/>
    </row>
    <row r="186" spans="1:10" ht="56.25">
      <c r="A186" s="692" t="s">
        <v>2384</v>
      </c>
      <c r="B186" s="535" t="s">
        <v>1051</v>
      </c>
      <c r="C186" s="177" t="s">
        <v>1221</v>
      </c>
      <c r="D186" s="555">
        <v>288</v>
      </c>
      <c r="E186" s="552">
        <f t="shared" si="11"/>
        <v>316.8</v>
      </c>
      <c r="F186" s="241" t="s">
        <v>277</v>
      </c>
      <c r="G186" s="241" t="s">
        <v>277</v>
      </c>
      <c r="H186" s="1422" t="s">
        <v>1065</v>
      </c>
      <c r="I186" s="1423"/>
      <c r="J186" s="154"/>
    </row>
    <row r="187" spans="1:10" ht="56.25">
      <c r="A187" s="692" t="s">
        <v>2385</v>
      </c>
      <c r="B187" s="535" t="s">
        <v>1052</v>
      </c>
      <c r="C187" s="177" t="s">
        <v>1221</v>
      </c>
      <c r="D187" s="555">
        <v>144</v>
      </c>
      <c r="E187" s="552">
        <f t="shared" si="11"/>
        <v>158.4</v>
      </c>
      <c r="F187" s="241" t="s">
        <v>277</v>
      </c>
      <c r="G187" s="241" t="s">
        <v>277</v>
      </c>
      <c r="H187" s="1422" t="s">
        <v>1066</v>
      </c>
      <c r="I187" s="1423"/>
      <c r="J187" s="154"/>
    </row>
    <row r="188" spans="1:10" ht="90">
      <c r="A188" s="692" t="s">
        <v>2386</v>
      </c>
      <c r="B188" s="535" t="s">
        <v>1053</v>
      </c>
      <c r="C188" s="177" t="s">
        <v>1221</v>
      </c>
      <c r="D188" s="555">
        <v>360</v>
      </c>
      <c r="E188" s="552">
        <f t="shared" si="11"/>
        <v>396.00000000000006</v>
      </c>
      <c r="F188" s="241" t="s">
        <v>277</v>
      </c>
      <c r="G188" s="241" t="s">
        <v>277</v>
      </c>
      <c r="H188" s="1422" t="s">
        <v>1067</v>
      </c>
      <c r="I188" s="1423"/>
      <c r="J188" s="154"/>
    </row>
    <row r="189" spans="1:10" ht="78.75">
      <c r="A189" s="692" t="s">
        <v>2387</v>
      </c>
      <c r="B189" s="535" t="s">
        <v>1054</v>
      </c>
      <c r="C189" s="177" t="s">
        <v>1221</v>
      </c>
      <c r="D189" s="555">
        <v>360</v>
      </c>
      <c r="E189" s="552">
        <f t="shared" si="11"/>
        <v>396.00000000000006</v>
      </c>
      <c r="F189" s="241" t="s">
        <v>277</v>
      </c>
      <c r="G189" s="241" t="s">
        <v>277</v>
      </c>
      <c r="H189" s="1422" t="s">
        <v>1068</v>
      </c>
      <c r="I189" s="1423"/>
      <c r="J189" s="154"/>
    </row>
    <row r="190" spans="1:10" ht="67.5">
      <c r="A190" s="692" t="s">
        <v>2390</v>
      </c>
      <c r="B190" s="535" t="s">
        <v>1055</v>
      </c>
      <c r="C190" s="177" t="s">
        <v>1221</v>
      </c>
      <c r="D190" s="555">
        <v>180</v>
      </c>
      <c r="E190" s="552">
        <f t="shared" si="11"/>
        <v>198.00000000000003</v>
      </c>
      <c r="F190" s="241" t="s">
        <v>277</v>
      </c>
      <c r="G190" s="241" t="s">
        <v>277</v>
      </c>
      <c r="H190" s="1422" t="s">
        <v>1069</v>
      </c>
      <c r="I190" s="1423"/>
      <c r="J190" s="154"/>
    </row>
    <row r="191" spans="1:10" ht="22.5">
      <c r="A191" s="692" t="s">
        <v>2391</v>
      </c>
      <c r="B191" s="546" t="s">
        <v>1056</v>
      </c>
      <c r="C191" s="177" t="s">
        <v>1221</v>
      </c>
      <c r="D191" s="552">
        <v>28.6</v>
      </c>
      <c r="E191" s="552">
        <f t="shared" si="11"/>
        <v>31.460000000000004</v>
      </c>
      <c r="F191" s="241" t="s">
        <v>277</v>
      </c>
      <c r="G191" s="241" t="s">
        <v>277</v>
      </c>
      <c r="H191" s="1422" t="s">
        <v>860</v>
      </c>
      <c r="I191" s="1423"/>
      <c r="J191" s="154"/>
    </row>
    <row r="192" spans="1:10" ht="11.25">
      <c r="A192" s="176"/>
      <c r="B192" s="546"/>
      <c r="C192" s="177"/>
      <c r="D192" s="552"/>
      <c r="E192" s="201"/>
      <c r="F192" s="552"/>
      <c r="G192" s="201"/>
      <c r="H192" s="550"/>
      <c r="I192" s="551"/>
      <c r="J192" s="154"/>
    </row>
    <row r="193" spans="1:10" ht="12.75" customHeight="1">
      <c r="A193" s="372"/>
      <c r="B193" s="1420" t="s">
        <v>1070</v>
      </c>
      <c r="C193" s="1421"/>
      <c r="D193" s="1421"/>
      <c r="E193" s="1421"/>
      <c r="F193" s="1421"/>
      <c r="G193" s="1421"/>
      <c r="H193" s="374"/>
      <c r="I193" s="201"/>
      <c r="J193" s="152"/>
    </row>
    <row r="194" spans="1:10" ht="11.25">
      <c r="A194" s="692" t="s">
        <v>2392</v>
      </c>
      <c r="B194" s="553" t="s">
        <v>1071</v>
      </c>
      <c r="C194" s="177" t="s">
        <v>1221</v>
      </c>
      <c r="D194" s="241" t="s">
        <v>277</v>
      </c>
      <c r="E194" s="241" t="s">
        <v>277</v>
      </c>
      <c r="F194" s="552">
        <f t="shared" ref="F194:F197" si="12">SUM(1.1*G194)</f>
        <v>231.00000000000003</v>
      </c>
      <c r="G194" s="555">
        <v>210</v>
      </c>
      <c r="H194" s="1422" t="s">
        <v>1075</v>
      </c>
      <c r="I194" s="1423"/>
      <c r="J194" s="154"/>
    </row>
    <row r="195" spans="1:10" ht="11.25">
      <c r="A195" s="692" t="s">
        <v>2393</v>
      </c>
      <c r="B195" s="553" t="s">
        <v>1072</v>
      </c>
      <c r="C195" s="177" t="s">
        <v>1221</v>
      </c>
      <c r="D195" s="241" t="s">
        <v>277</v>
      </c>
      <c r="E195" s="241" t="s">
        <v>277</v>
      </c>
      <c r="F195" s="552">
        <f t="shared" si="12"/>
        <v>302.28000000000003</v>
      </c>
      <c r="G195" s="555">
        <v>274.8</v>
      </c>
      <c r="H195" s="1422" t="s">
        <v>1075</v>
      </c>
      <c r="I195" s="1423"/>
      <c r="J195" s="154"/>
    </row>
    <row r="196" spans="1:10" ht="11.25">
      <c r="A196" s="692" t="s">
        <v>2394</v>
      </c>
      <c r="B196" s="553" t="s">
        <v>1073</v>
      </c>
      <c r="C196" s="177" t="s">
        <v>1221</v>
      </c>
      <c r="D196" s="241" t="s">
        <v>277</v>
      </c>
      <c r="E196" s="241" t="s">
        <v>277</v>
      </c>
      <c r="F196" s="552">
        <f t="shared" si="12"/>
        <v>349.8</v>
      </c>
      <c r="G196" s="555">
        <v>318</v>
      </c>
      <c r="H196" s="1422" t="s">
        <v>1075</v>
      </c>
      <c r="I196" s="1423"/>
      <c r="J196" s="154"/>
    </row>
    <row r="197" spans="1:10" ht="11.25">
      <c r="A197" s="692" t="s">
        <v>2395</v>
      </c>
      <c r="B197" s="553" t="s">
        <v>1074</v>
      </c>
      <c r="C197" s="177" t="s">
        <v>1221</v>
      </c>
      <c r="D197" s="241" t="s">
        <v>277</v>
      </c>
      <c r="E197" s="241" t="s">
        <v>277</v>
      </c>
      <c r="F197" s="552">
        <f t="shared" si="12"/>
        <v>462.00000000000006</v>
      </c>
      <c r="G197" s="555">
        <v>420</v>
      </c>
      <c r="H197" s="1422" t="s">
        <v>1075</v>
      </c>
      <c r="I197" s="1423"/>
      <c r="J197" s="154"/>
    </row>
    <row r="198" spans="1:10" ht="11.25">
      <c r="A198" s="176"/>
      <c r="B198" s="553"/>
      <c r="C198" s="177"/>
      <c r="D198" s="534"/>
      <c r="E198" s="201"/>
      <c r="F198" s="201"/>
      <c r="G198" s="201"/>
      <c r="H198" s="550"/>
      <c r="I198" s="551"/>
      <c r="J198" s="154"/>
    </row>
    <row r="199" spans="1:10" ht="12.75" customHeight="1">
      <c r="A199" s="372"/>
      <c r="B199" s="1420" t="s">
        <v>1079</v>
      </c>
      <c r="C199" s="1421"/>
      <c r="D199" s="1421"/>
      <c r="E199" s="1421"/>
      <c r="F199" s="1421"/>
      <c r="G199" s="1421"/>
      <c r="H199" s="374"/>
      <c r="I199" s="201"/>
      <c r="J199" s="152"/>
    </row>
    <row r="200" spans="1:10" ht="52.5" customHeight="1">
      <c r="A200" s="692" t="s">
        <v>2396</v>
      </c>
      <c r="B200" s="535" t="s">
        <v>1076</v>
      </c>
      <c r="C200" s="177" t="s">
        <v>1221</v>
      </c>
      <c r="D200" s="241" t="s">
        <v>277</v>
      </c>
      <c r="E200" s="241" t="s">
        <v>277</v>
      </c>
      <c r="F200" s="552">
        <f t="shared" ref="F200:F201" si="13">SUM(1.1*G200)</f>
        <v>192.50000000000003</v>
      </c>
      <c r="G200" s="555">
        <v>175</v>
      </c>
      <c r="H200" s="1422" t="s">
        <v>1078</v>
      </c>
      <c r="I200" s="1423"/>
      <c r="J200" s="154"/>
    </row>
    <row r="201" spans="1:10" ht="52.5" customHeight="1">
      <c r="A201" s="692" t="s">
        <v>2397</v>
      </c>
      <c r="B201" s="535" t="s">
        <v>1077</v>
      </c>
      <c r="C201" s="177" t="s">
        <v>1221</v>
      </c>
      <c r="D201" s="241" t="s">
        <v>277</v>
      </c>
      <c r="E201" s="241" t="s">
        <v>277</v>
      </c>
      <c r="F201" s="552">
        <f t="shared" si="13"/>
        <v>66</v>
      </c>
      <c r="G201" s="555">
        <v>60</v>
      </c>
      <c r="H201" s="1422" t="s">
        <v>1078</v>
      </c>
      <c r="I201" s="1423"/>
      <c r="J201" s="154"/>
    </row>
    <row r="202" spans="1:10" ht="11.25">
      <c r="A202" s="176"/>
      <c r="B202" s="357"/>
      <c r="C202" s="177"/>
      <c r="D202" s="534"/>
      <c r="E202" s="201"/>
      <c r="F202" s="201"/>
      <c r="G202" s="201"/>
      <c r="H202" s="550"/>
      <c r="I202" s="551"/>
      <c r="J202" s="154"/>
    </row>
    <row r="203" spans="1:10" ht="12.75" customHeight="1">
      <c r="A203" s="372"/>
      <c r="B203" s="1420" t="s">
        <v>1080</v>
      </c>
      <c r="C203" s="1421"/>
      <c r="D203" s="1421"/>
      <c r="E203" s="1421"/>
      <c r="F203" s="1421"/>
      <c r="G203" s="1421"/>
      <c r="H203" s="374"/>
      <c r="I203" s="201"/>
      <c r="J203" s="152"/>
    </row>
    <row r="204" spans="1:10" ht="76.5" customHeight="1">
      <c r="A204" s="692" t="s">
        <v>2398</v>
      </c>
      <c r="B204" s="535" t="s">
        <v>1081</v>
      </c>
      <c r="C204" s="177" t="s">
        <v>1221</v>
      </c>
      <c r="D204" s="241" t="s">
        <v>277</v>
      </c>
      <c r="E204" s="241" t="s">
        <v>277</v>
      </c>
      <c r="F204" s="552">
        <f t="shared" ref="F204:F209" si="14">SUM(1.1*G204)</f>
        <v>324.06000000000006</v>
      </c>
      <c r="G204" s="555">
        <v>294.60000000000002</v>
      </c>
      <c r="H204" s="1430" t="s">
        <v>1087</v>
      </c>
      <c r="I204" s="1431"/>
      <c r="J204" s="154"/>
    </row>
    <row r="205" spans="1:10" ht="56.25">
      <c r="A205" s="692" t="s">
        <v>2399</v>
      </c>
      <c r="B205" s="535" t="s">
        <v>1082</v>
      </c>
      <c r="C205" s="177" t="s">
        <v>1221</v>
      </c>
      <c r="D205" s="241" t="s">
        <v>277</v>
      </c>
      <c r="E205" s="241" t="s">
        <v>277</v>
      </c>
      <c r="F205" s="552">
        <f t="shared" si="14"/>
        <v>198.00000000000003</v>
      </c>
      <c r="G205" s="555">
        <v>180</v>
      </c>
      <c r="H205" s="1430" t="s">
        <v>1088</v>
      </c>
      <c r="I205" s="1431"/>
      <c r="J205" s="154"/>
    </row>
    <row r="206" spans="1:10" ht="56.25">
      <c r="A206" s="692" t="s">
        <v>2400</v>
      </c>
      <c r="B206" s="535" t="s">
        <v>1083</v>
      </c>
      <c r="C206" s="177" t="s">
        <v>1221</v>
      </c>
      <c r="D206" s="241" t="s">
        <v>277</v>
      </c>
      <c r="E206" s="241" t="s">
        <v>277</v>
      </c>
      <c r="F206" s="552">
        <f t="shared" si="14"/>
        <v>132</v>
      </c>
      <c r="G206" s="555">
        <v>120</v>
      </c>
      <c r="H206" s="1422" t="s">
        <v>1089</v>
      </c>
      <c r="I206" s="1423"/>
      <c r="J206" s="154"/>
    </row>
    <row r="207" spans="1:10" ht="67.5">
      <c r="A207" s="692" t="s">
        <v>2401</v>
      </c>
      <c r="B207" s="535" t="s">
        <v>1084</v>
      </c>
      <c r="C207" s="177" t="s">
        <v>1221</v>
      </c>
      <c r="D207" s="241" t="s">
        <v>277</v>
      </c>
      <c r="E207" s="241" t="s">
        <v>277</v>
      </c>
      <c r="F207" s="552">
        <f t="shared" si="14"/>
        <v>178.20000000000002</v>
      </c>
      <c r="G207" s="555">
        <v>162</v>
      </c>
      <c r="H207" s="1422" t="s">
        <v>1089</v>
      </c>
      <c r="I207" s="1423"/>
      <c r="J207" s="154"/>
    </row>
    <row r="208" spans="1:10" ht="67.5">
      <c r="A208" s="176"/>
      <c r="B208" s="535" t="s">
        <v>1085</v>
      </c>
      <c r="C208" s="177" t="s">
        <v>1221</v>
      </c>
      <c r="D208" s="241" t="s">
        <v>277</v>
      </c>
      <c r="E208" s="241" t="s">
        <v>277</v>
      </c>
      <c r="F208" s="552">
        <f t="shared" si="14"/>
        <v>237.60000000000002</v>
      </c>
      <c r="G208" s="555">
        <v>216</v>
      </c>
      <c r="H208" s="1422" t="s">
        <v>1089</v>
      </c>
      <c r="I208" s="1423"/>
      <c r="J208" s="154"/>
    </row>
    <row r="209" spans="1:10" ht="11.25">
      <c r="A209" s="692" t="s">
        <v>2402</v>
      </c>
      <c r="B209" s="535" t="s">
        <v>1086</v>
      </c>
      <c r="C209" s="177" t="s">
        <v>1221</v>
      </c>
      <c r="D209" s="241" t="s">
        <v>277</v>
      </c>
      <c r="E209" s="241" t="s">
        <v>277</v>
      </c>
      <c r="F209" s="552">
        <f t="shared" si="14"/>
        <v>0.66</v>
      </c>
      <c r="G209" s="555">
        <v>0.6</v>
      </c>
      <c r="H209" s="1430" t="s">
        <v>1090</v>
      </c>
      <c r="I209" s="1431"/>
      <c r="J209" s="154"/>
    </row>
    <row r="210" spans="1:10" ht="11.25">
      <c r="A210" s="176"/>
      <c r="B210" s="535"/>
      <c r="C210" s="177"/>
      <c r="D210" s="534"/>
      <c r="E210" s="201"/>
      <c r="F210" s="201"/>
      <c r="G210" s="201"/>
      <c r="H210" s="550"/>
      <c r="I210" s="551"/>
      <c r="J210" s="154"/>
    </row>
    <row r="211" spans="1:10" ht="12.75" customHeight="1">
      <c r="A211" s="372"/>
      <c r="B211" s="1420" t="s">
        <v>1091</v>
      </c>
      <c r="C211" s="1421"/>
      <c r="D211" s="1421"/>
      <c r="E211" s="1421"/>
      <c r="F211" s="1421"/>
      <c r="G211" s="1421"/>
      <c r="H211" s="374"/>
      <c r="I211" s="201"/>
      <c r="J211" s="152"/>
    </row>
    <row r="212" spans="1:10" ht="71.25" customHeight="1">
      <c r="A212" s="176"/>
      <c r="B212" s="535" t="s">
        <v>1092</v>
      </c>
      <c r="C212" s="177" t="s">
        <v>1221</v>
      </c>
      <c r="D212" s="241" t="s">
        <v>277</v>
      </c>
      <c r="E212" s="241" t="s">
        <v>277</v>
      </c>
      <c r="F212" s="552">
        <f t="shared" ref="F212:F213" si="15">SUM(1.1*G212)</f>
        <v>79.2</v>
      </c>
      <c r="G212" s="552">
        <v>72</v>
      </c>
      <c r="H212" s="1422" t="s">
        <v>1094</v>
      </c>
      <c r="I212" s="1423"/>
      <c r="J212" s="154"/>
    </row>
    <row r="213" spans="1:10" ht="71.25" customHeight="1">
      <c r="A213" s="176"/>
      <c r="B213" s="535" t="s">
        <v>1093</v>
      </c>
      <c r="C213" s="177" t="s">
        <v>1221</v>
      </c>
      <c r="D213" s="241" t="s">
        <v>277</v>
      </c>
      <c r="E213" s="241" t="s">
        <v>277</v>
      </c>
      <c r="F213" s="552">
        <f t="shared" si="15"/>
        <v>158.4</v>
      </c>
      <c r="G213" s="552">
        <v>144</v>
      </c>
      <c r="H213" s="1422" t="s">
        <v>1094</v>
      </c>
      <c r="I213" s="1423"/>
      <c r="J213" s="154"/>
    </row>
    <row r="214" spans="1:10" ht="11.25">
      <c r="A214" s="176"/>
      <c r="B214" s="535"/>
      <c r="C214" s="177"/>
      <c r="D214" s="552"/>
      <c r="E214" s="201"/>
      <c r="F214" s="201"/>
      <c r="G214" s="201"/>
      <c r="H214" s="550"/>
      <c r="I214" s="551"/>
      <c r="J214" s="154"/>
    </row>
    <row r="215" spans="1:10" ht="12.75" customHeight="1">
      <c r="A215" s="372"/>
      <c r="B215" s="1420" t="s">
        <v>1095</v>
      </c>
      <c r="C215" s="1421"/>
      <c r="D215" s="1421"/>
      <c r="E215" s="1421"/>
      <c r="F215" s="1421"/>
      <c r="G215" s="1421"/>
      <c r="H215" s="374"/>
      <c r="I215" s="201"/>
      <c r="J215" s="152"/>
    </row>
    <row r="216" spans="1:10" ht="72" customHeight="1">
      <c r="A216" s="176"/>
      <c r="B216" s="535" t="s">
        <v>1096</v>
      </c>
      <c r="C216" s="177" t="s">
        <v>1221</v>
      </c>
      <c r="D216" s="241" t="s">
        <v>277</v>
      </c>
      <c r="E216" s="241" t="s">
        <v>277</v>
      </c>
      <c r="F216" s="552">
        <f t="shared" ref="F216:F218" si="16">SUM(1.1*G216)</f>
        <v>158.4</v>
      </c>
      <c r="G216" s="555">
        <v>144</v>
      </c>
      <c r="H216" s="1422" t="s">
        <v>1099</v>
      </c>
      <c r="I216" s="1423"/>
      <c r="J216" s="154"/>
    </row>
    <row r="217" spans="1:10" ht="72" customHeight="1">
      <c r="A217" s="176"/>
      <c r="B217" s="535" t="s">
        <v>1097</v>
      </c>
      <c r="C217" s="177" t="s">
        <v>1221</v>
      </c>
      <c r="D217" s="241" t="s">
        <v>277</v>
      </c>
      <c r="E217" s="241" t="s">
        <v>277</v>
      </c>
      <c r="F217" s="552">
        <f t="shared" si="16"/>
        <v>237.60000000000002</v>
      </c>
      <c r="G217" s="555">
        <v>216</v>
      </c>
      <c r="H217" s="1422" t="s">
        <v>1099</v>
      </c>
      <c r="I217" s="1423"/>
      <c r="J217" s="154"/>
    </row>
    <row r="218" spans="1:10" ht="72" customHeight="1">
      <c r="A218" s="176"/>
      <c r="B218" s="535" t="s">
        <v>1098</v>
      </c>
      <c r="C218" s="177" t="s">
        <v>1221</v>
      </c>
      <c r="D218" s="241" t="s">
        <v>277</v>
      </c>
      <c r="E218" s="241" t="s">
        <v>277</v>
      </c>
      <c r="F218" s="552">
        <f t="shared" si="16"/>
        <v>316.8</v>
      </c>
      <c r="G218" s="555">
        <v>288</v>
      </c>
      <c r="H218" s="1422" t="s">
        <v>1099</v>
      </c>
      <c r="I218" s="1423"/>
      <c r="J218" s="154"/>
    </row>
    <row r="219" spans="1:10" ht="11.25">
      <c r="A219" s="176"/>
      <c r="B219" s="535"/>
      <c r="C219" s="177"/>
      <c r="D219" s="555"/>
      <c r="E219" s="201"/>
      <c r="F219" s="552"/>
      <c r="G219" s="201"/>
      <c r="H219" s="550"/>
      <c r="I219" s="551"/>
      <c r="J219" s="154"/>
    </row>
    <row r="220" spans="1:10" ht="12.75" customHeight="1">
      <c r="A220" s="372"/>
      <c r="B220" s="1420" t="s">
        <v>1100</v>
      </c>
      <c r="C220" s="1421"/>
      <c r="D220" s="1421"/>
      <c r="E220" s="1421"/>
      <c r="F220" s="1421"/>
      <c r="G220" s="1421"/>
      <c r="H220" s="374"/>
      <c r="I220" s="201"/>
      <c r="J220" s="152"/>
    </row>
    <row r="221" spans="1:10" ht="27.75" customHeight="1">
      <c r="A221" s="535" t="s">
        <v>2681</v>
      </c>
      <c r="B221" s="535" t="s">
        <v>1101</v>
      </c>
      <c r="C221" s="177" t="s">
        <v>1221</v>
      </c>
      <c r="D221" s="241" t="s">
        <v>277</v>
      </c>
      <c r="E221" s="241" t="s">
        <v>277</v>
      </c>
      <c r="F221" s="552">
        <f t="shared" ref="F221" si="17">SUM(1.1*G221)</f>
        <v>375.1</v>
      </c>
      <c r="G221" s="555">
        <v>341</v>
      </c>
      <c r="H221" s="1426" t="s">
        <v>1166</v>
      </c>
      <c r="I221" s="1427"/>
      <c r="J221" s="154"/>
    </row>
    <row r="222" spans="1:10" ht="42" customHeight="1">
      <c r="A222" s="692" t="s">
        <v>2509</v>
      </c>
      <c r="B222" s="535" t="s">
        <v>1101</v>
      </c>
      <c r="C222" s="177" t="s">
        <v>1221</v>
      </c>
      <c r="D222" s="556" t="s">
        <v>539</v>
      </c>
      <c r="E222" s="556" t="s">
        <v>539</v>
      </c>
      <c r="F222" s="241" t="s">
        <v>277</v>
      </c>
      <c r="G222" s="241" t="s">
        <v>277</v>
      </c>
      <c r="H222" s="1426" t="s">
        <v>1170</v>
      </c>
      <c r="I222" s="1427"/>
      <c r="J222" s="154"/>
    </row>
    <row r="223" spans="1:10" ht="42" customHeight="1">
      <c r="A223" s="692" t="s">
        <v>2509</v>
      </c>
      <c r="B223" s="535" t="s">
        <v>1101</v>
      </c>
      <c r="C223" s="177" t="s">
        <v>1221</v>
      </c>
      <c r="D223" s="554" t="s">
        <v>539</v>
      </c>
      <c r="E223" s="554" t="s">
        <v>539</v>
      </c>
      <c r="F223" s="241" t="s">
        <v>277</v>
      </c>
      <c r="G223" s="241" t="s">
        <v>277</v>
      </c>
      <c r="H223" s="1426" t="s">
        <v>1171</v>
      </c>
      <c r="I223" s="1427"/>
      <c r="J223" s="154"/>
    </row>
    <row r="224" spans="1:10" ht="34.5" customHeight="1">
      <c r="A224" s="535" t="s">
        <v>2682</v>
      </c>
      <c r="B224" s="535" t="s">
        <v>1102</v>
      </c>
      <c r="C224" s="177" t="s">
        <v>1221</v>
      </c>
      <c r="D224" s="241" t="s">
        <v>277</v>
      </c>
      <c r="E224" s="241" t="s">
        <v>277</v>
      </c>
      <c r="F224" s="552">
        <f t="shared" ref="F224" si="18">SUM(1.1*G224)</f>
        <v>317.90000000000003</v>
      </c>
      <c r="G224" s="555">
        <v>289</v>
      </c>
      <c r="H224" s="1422" t="s">
        <v>1167</v>
      </c>
      <c r="I224" s="1423"/>
      <c r="J224" s="154"/>
    </row>
    <row r="225" spans="1:10" ht="22.5">
      <c r="A225" s="535" t="s">
        <v>2683</v>
      </c>
      <c r="B225" s="535" t="s">
        <v>1103</v>
      </c>
      <c r="C225" s="177" t="s">
        <v>1221</v>
      </c>
      <c r="D225" s="556" t="s">
        <v>539</v>
      </c>
      <c r="E225" s="556" t="s">
        <v>539</v>
      </c>
      <c r="F225" s="241" t="s">
        <v>277</v>
      </c>
      <c r="G225" s="241" t="s">
        <v>277</v>
      </c>
      <c r="H225" s="1422" t="s">
        <v>1168</v>
      </c>
      <c r="I225" s="1423"/>
      <c r="J225" s="154"/>
    </row>
    <row r="226" spans="1:10" ht="12.75" customHeight="1">
      <c r="A226" s="535" t="s">
        <v>2684</v>
      </c>
      <c r="B226" s="535" t="s">
        <v>1104</v>
      </c>
      <c r="C226" s="177" t="s">
        <v>1221</v>
      </c>
      <c r="D226" s="241" t="s">
        <v>277</v>
      </c>
      <c r="E226" s="241" t="s">
        <v>277</v>
      </c>
      <c r="F226" s="552">
        <f t="shared" ref="F226" si="19">SUM(1.1*G226)</f>
        <v>508.18900000000008</v>
      </c>
      <c r="G226" s="555">
        <v>461.99</v>
      </c>
      <c r="H226" s="1426" t="s">
        <v>1166</v>
      </c>
      <c r="I226" s="1427"/>
      <c r="J226" s="154"/>
    </row>
    <row r="227" spans="1:10" ht="12.75" customHeight="1">
      <c r="A227" s="692" t="s">
        <v>2509</v>
      </c>
      <c r="B227" s="535" t="s">
        <v>1104</v>
      </c>
      <c r="C227" s="177" t="s">
        <v>1221</v>
      </c>
      <c r="D227" s="556" t="s">
        <v>539</v>
      </c>
      <c r="E227" s="556" t="s">
        <v>539</v>
      </c>
      <c r="F227" s="241" t="s">
        <v>277</v>
      </c>
      <c r="G227" s="241" t="s">
        <v>277</v>
      </c>
      <c r="H227" s="1426" t="s">
        <v>1170</v>
      </c>
      <c r="I227" s="1427"/>
      <c r="J227" s="154"/>
    </row>
    <row r="228" spans="1:10" ht="12.75" customHeight="1">
      <c r="A228" s="692" t="s">
        <v>2509</v>
      </c>
      <c r="B228" s="535" t="s">
        <v>1104</v>
      </c>
      <c r="C228" s="177" t="s">
        <v>1221</v>
      </c>
      <c r="D228" s="554" t="s">
        <v>539</v>
      </c>
      <c r="E228" s="554" t="s">
        <v>539</v>
      </c>
      <c r="F228" s="241" t="s">
        <v>277</v>
      </c>
      <c r="G228" s="241" t="s">
        <v>277</v>
      </c>
      <c r="H228" s="1426" t="s">
        <v>1171</v>
      </c>
      <c r="I228" s="1427"/>
      <c r="J228" s="154"/>
    </row>
    <row r="229" spans="1:10" ht="22.5">
      <c r="A229" s="535" t="s">
        <v>2685</v>
      </c>
      <c r="B229" s="535" t="s">
        <v>1105</v>
      </c>
      <c r="C229" s="177" t="s">
        <v>1221</v>
      </c>
      <c r="D229" s="241" t="s">
        <v>277</v>
      </c>
      <c r="E229" s="241" t="s">
        <v>277</v>
      </c>
      <c r="F229" s="552">
        <f t="shared" ref="F229" si="20">SUM(1.1*G229)</f>
        <v>450.98900000000003</v>
      </c>
      <c r="G229" s="555">
        <v>409.99</v>
      </c>
      <c r="H229" s="1422" t="s">
        <v>1167</v>
      </c>
      <c r="I229" s="1423"/>
      <c r="J229" s="154"/>
    </row>
    <row r="230" spans="1:10" ht="22.5">
      <c r="A230" s="535" t="s">
        <v>2686</v>
      </c>
      <c r="B230" s="535" t="s">
        <v>1106</v>
      </c>
      <c r="C230" s="177" t="s">
        <v>1221</v>
      </c>
      <c r="D230" s="556" t="s">
        <v>539</v>
      </c>
      <c r="E230" s="556" t="s">
        <v>539</v>
      </c>
      <c r="F230" s="241" t="s">
        <v>277</v>
      </c>
      <c r="G230" s="241" t="s">
        <v>277</v>
      </c>
      <c r="H230" s="1422" t="s">
        <v>1168</v>
      </c>
      <c r="I230" s="1423"/>
      <c r="J230" s="154"/>
    </row>
    <row r="231" spans="1:10" ht="12.75" customHeight="1">
      <c r="A231" s="535" t="s">
        <v>2687</v>
      </c>
      <c r="B231" s="535" t="s">
        <v>1107</v>
      </c>
      <c r="C231" s="177" t="s">
        <v>1221</v>
      </c>
      <c r="D231" s="241" t="s">
        <v>277</v>
      </c>
      <c r="E231" s="241" t="s">
        <v>277</v>
      </c>
      <c r="F231" s="552">
        <f t="shared" ref="F231" si="21">SUM(1.1*G231)</f>
        <v>205.68900000000002</v>
      </c>
      <c r="G231" s="555">
        <v>186.99</v>
      </c>
      <c r="H231" s="1426" t="s">
        <v>1166</v>
      </c>
      <c r="I231" s="1427"/>
      <c r="J231" s="154"/>
    </row>
    <row r="232" spans="1:10" ht="12.75" customHeight="1">
      <c r="A232" s="692" t="s">
        <v>2688</v>
      </c>
      <c r="B232" s="535" t="s">
        <v>1107</v>
      </c>
      <c r="C232" s="177" t="s">
        <v>1221</v>
      </c>
      <c r="D232" s="556" t="s">
        <v>539</v>
      </c>
      <c r="E232" s="556" t="s">
        <v>539</v>
      </c>
      <c r="F232" s="241" t="s">
        <v>277</v>
      </c>
      <c r="G232" s="241" t="s">
        <v>277</v>
      </c>
      <c r="H232" s="1426" t="s">
        <v>1170</v>
      </c>
      <c r="I232" s="1427"/>
      <c r="J232" s="154"/>
    </row>
    <row r="233" spans="1:10" ht="12.75" customHeight="1">
      <c r="A233" s="692" t="s">
        <v>2509</v>
      </c>
      <c r="B233" s="535" t="s">
        <v>1107</v>
      </c>
      <c r="C233" s="177" t="s">
        <v>1221</v>
      </c>
      <c r="D233" s="554" t="s">
        <v>539</v>
      </c>
      <c r="E233" s="554" t="s">
        <v>539</v>
      </c>
      <c r="F233" s="241" t="s">
        <v>277</v>
      </c>
      <c r="G233" s="241" t="s">
        <v>277</v>
      </c>
      <c r="H233" s="1426" t="s">
        <v>1171</v>
      </c>
      <c r="I233" s="1427"/>
      <c r="J233" s="154"/>
    </row>
    <row r="234" spans="1:10" ht="22.5">
      <c r="A234" s="535" t="s">
        <v>2689</v>
      </c>
      <c r="B234" s="535" t="s">
        <v>1108</v>
      </c>
      <c r="C234" s="177" t="s">
        <v>1221</v>
      </c>
      <c r="D234" s="554" t="s">
        <v>538</v>
      </c>
      <c r="E234" s="241" t="s">
        <v>277</v>
      </c>
      <c r="F234" s="552">
        <f t="shared" ref="F234" si="22">SUM(1.1*G234)</f>
        <v>148.48900000000003</v>
      </c>
      <c r="G234" s="555">
        <v>134.99</v>
      </c>
      <c r="H234" s="1422" t="s">
        <v>1167</v>
      </c>
      <c r="I234" s="1423"/>
      <c r="J234" s="154"/>
    </row>
    <row r="235" spans="1:10" ht="22.5">
      <c r="A235" s="176"/>
      <c r="B235" s="535" t="s">
        <v>1109</v>
      </c>
      <c r="C235" s="177" t="s">
        <v>1221</v>
      </c>
      <c r="D235" s="556" t="s">
        <v>539</v>
      </c>
      <c r="E235" s="556" t="s">
        <v>539</v>
      </c>
      <c r="F235" s="241" t="s">
        <v>277</v>
      </c>
      <c r="G235" s="241" t="s">
        <v>277</v>
      </c>
      <c r="H235" s="1422" t="s">
        <v>1168</v>
      </c>
      <c r="I235" s="1423"/>
      <c r="J235" s="154"/>
    </row>
    <row r="236" spans="1:10" ht="12.75" customHeight="1">
      <c r="A236" s="176"/>
      <c r="B236" s="535" t="s">
        <v>1110</v>
      </c>
      <c r="C236" s="177" t="s">
        <v>1221</v>
      </c>
      <c r="D236" s="241" t="s">
        <v>277</v>
      </c>
      <c r="E236" s="241" t="s">
        <v>277</v>
      </c>
      <c r="F236" s="552">
        <f t="shared" ref="F236" si="23">SUM(1.1*G236)</f>
        <v>175.98900000000003</v>
      </c>
      <c r="G236" s="555">
        <v>159.99</v>
      </c>
      <c r="H236" s="1426" t="s">
        <v>1166</v>
      </c>
      <c r="I236" s="1427"/>
      <c r="J236" s="154"/>
    </row>
    <row r="237" spans="1:10" ht="12.75" customHeight="1">
      <c r="A237" s="176"/>
      <c r="B237" s="535" t="s">
        <v>1110</v>
      </c>
      <c r="C237" s="177" t="s">
        <v>1221</v>
      </c>
      <c r="D237" s="556" t="s">
        <v>539</v>
      </c>
      <c r="E237" s="556" t="s">
        <v>539</v>
      </c>
      <c r="F237" s="241" t="s">
        <v>277</v>
      </c>
      <c r="G237" s="241" t="s">
        <v>277</v>
      </c>
      <c r="H237" s="1426" t="s">
        <v>1170</v>
      </c>
      <c r="I237" s="1427"/>
      <c r="J237" s="154"/>
    </row>
    <row r="238" spans="1:10" ht="12.75" customHeight="1">
      <c r="A238" s="176"/>
      <c r="B238" s="535" t="s">
        <v>1110</v>
      </c>
      <c r="C238" s="177" t="s">
        <v>1221</v>
      </c>
      <c r="D238" s="554" t="s">
        <v>539</v>
      </c>
      <c r="E238" s="554" t="s">
        <v>539</v>
      </c>
      <c r="F238" s="241" t="s">
        <v>277</v>
      </c>
      <c r="G238" s="241" t="s">
        <v>277</v>
      </c>
      <c r="H238" s="1426" t="s">
        <v>1171</v>
      </c>
      <c r="I238" s="1427"/>
      <c r="J238" s="154"/>
    </row>
    <row r="239" spans="1:10" ht="11.25">
      <c r="A239" s="176"/>
      <c r="B239" s="535" t="s">
        <v>1111</v>
      </c>
      <c r="C239" s="177" t="s">
        <v>1221</v>
      </c>
      <c r="D239" s="241" t="s">
        <v>277</v>
      </c>
      <c r="E239" s="241" t="s">
        <v>277</v>
      </c>
      <c r="F239" s="552">
        <f t="shared" ref="F239:F240" si="24">SUM(1.1*G239)</f>
        <v>175.98900000000003</v>
      </c>
      <c r="G239" s="555">
        <v>159.99</v>
      </c>
      <c r="H239" s="1422" t="s">
        <v>1167</v>
      </c>
      <c r="I239" s="1423"/>
      <c r="J239" s="154"/>
    </row>
    <row r="240" spans="1:10" ht="12.75" customHeight="1">
      <c r="A240" s="176"/>
      <c r="B240" s="535" t="s">
        <v>1112</v>
      </c>
      <c r="C240" s="177" t="s">
        <v>1221</v>
      </c>
      <c r="D240" s="241" t="s">
        <v>277</v>
      </c>
      <c r="E240" s="241" t="s">
        <v>277</v>
      </c>
      <c r="F240" s="552">
        <f t="shared" si="24"/>
        <v>230.98900000000003</v>
      </c>
      <c r="G240" s="555">
        <v>209.99</v>
      </c>
      <c r="H240" s="1426" t="s">
        <v>1166</v>
      </c>
      <c r="I240" s="1427"/>
      <c r="J240" s="154"/>
    </row>
    <row r="241" spans="1:10" ht="12.75" customHeight="1">
      <c r="A241" s="176"/>
      <c r="B241" s="535" t="s">
        <v>1112</v>
      </c>
      <c r="C241" s="177" t="s">
        <v>1221</v>
      </c>
      <c r="D241" s="556" t="s">
        <v>539</v>
      </c>
      <c r="E241" s="556" t="s">
        <v>539</v>
      </c>
      <c r="F241" s="241" t="s">
        <v>277</v>
      </c>
      <c r="G241" s="241" t="s">
        <v>277</v>
      </c>
      <c r="H241" s="1426" t="s">
        <v>1170</v>
      </c>
      <c r="I241" s="1427"/>
      <c r="J241" s="154"/>
    </row>
    <row r="242" spans="1:10" ht="12.75" customHeight="1">
      <c r="A242" s="176"/>
      <c r="B242" s="535" t="s">
        <v>1112</v>
      </c>
      <c r="C242" s="177" t="s">
        <v>1221</v>
      </c>
      <c r="D242" s="554" t="s">
        <v>539</v>
      </c>
      <c r="E242" s="554" t="s">
        <v>539</v>
      </c>
      <c r="F242" s="241" t="s">
        <v>277</v>
      </c>
      <c r="G242" s="241" t="s">
        <v>277</v>
      </c>
      <c r="H242" s="1426" t="s">
        <v>1171</v>
      </c>
      <c r="I242" s="1427"/>
      <c r="J242" s="154"/>
    </row>
    <row r="243" spans="1:10" ht="11.25">
      <c r="A243" s="176"/>
      <c r="B243" s="535" t="s">
        <v>1113</v>
      </c>
      <c r="C243" s="177" t="s">
        <v>1221</v>
      </c>
      <c r="D243" s="241" t="s">
        <v>277</v>
      </c>
      <c r="E243" s="241" t="s">
        <v>277</v>
      </c>
      <c r="F243" s="552">
        <f t="shared" ref="F243:F244" si="25">SUM(1.1*G243)</f>
        <v>230.98900000000003</v>
      </c>
      <c r="G243" s="555">
        <v>209.99</v>
      </c>
      <c r="H243" s="1422" t="s">
        <v>1167</v>
      </c>
      <c r="I243" s="1423"/>
      <c r="J243" s="154"/>
    </row>
    <row r="244" spans="1:10" ht="25.5" customHeight="1">
      <c r="A244" s="176"/>
      <c r="B244" s="535" t="s">
        <v>1114</v>
      </c>
      <c r="C244" s="177" t="s">
        <v>1221</v>
      </c>
      <c r="D244" s="241" t="s">
        <v>277</v>
      </c>
      <c r="E244" s="241" t="s">
        <v>277</v>
      </c>
      <c r="F244" s="552">
        <f t="shared" si="25"/>
        <v>27.500000000000004</v>
      </c>
      <c r="G244" s="555">
        <v>25</v>
      </c>
      <c r="H244" s="1426" t="s">
        <v>1166</v>
      </c>
      <c r="I244" s="1427"/>
      <c r="J244" s="154"/>
    </row>
    <row r="245" spans="1:10" ht="25.5" customHeight="1">
      <c r="A245" s="176"/>
      <c r="B245" s="535" t="s">
        <v>1114</v>
      </c>
      <c r="C245" s="177" t="s">
        <v>1221</v>
      </c>
      <c r="D245" s="556" t="s">
        <v>539</v>
      </c>
      <c r="E245" s="556" t="s">
        <v>539</v>
      </c>
      <c r="F245" s="241" t="s">
        <v>277</v>
      </c>
      <c r="G245" s="241" t="s">
        <v>277</v>
      </c>
      <c r="H245" s="1426" t="s">
        <v>1170</v>
      </c>
      <c r="I245" s="1427"/>
      <c r="J245" s="154"/>
    </row>
    <row r="246" spans="1:10" ht="25.5" customHeight="1">
      <c r="A246" s="176"/>
      <c r="B246" s="535" t="s">
        <v>1114</v>
      </c>
      <c r="C246" s="177" t="s">
        <v>1221</v>
      </c>
      <c r="D246" s="554" t="s">
        <v>539</v>
      </c>
      <c r="E246" s="554" t="s">
        <v>539</v>
      </c>
      <c r="F246" s="241" t="s">
        <v>277</v>
      </c>
      <c r="G246" s="241" t="s">
        <v>277</v>
      </c>
      <c r="H246" s="1426" t="s">
        <v>1171</v>
      </c>
      <c r="I246" s="1427"/>
      <c r="J246" s="154"/>
    </row>
    <row r="247" spans="1:10" ht="22.5">
      <c r="A247" s="176"/>
      <c r="B247" s="535" t="s">
        <v>1115</v>
      </c>
      <c r="C247" s="177" t="s">
        <v>1221</v>
      </c>
      <c r="D247" s="241" t="s">
        <v>277</v>
      </c>
      <c r="E247" s="241" t="s">
        <v>277</v>
      </c>
      <c r="F247" s="552">
        <f t="shared" ref="F247" si="26">SUM(1.1*G247)</f>
        <v>27.500000000000004</v>
      </c>
      <c r="G247" s="555">
        <v>25</v>
      </c>
      <c r="H247" s="1422" t="s">
        <v>1167</v>
      </c>
      <c r="I247" s="1423"/>
      <c r="J247" s="154"/>
    </row>
    <row r="248" spans="1:10" ht="22.5">
      <c r="A248" s="176"/>
      <c r="B248" s="535" t="s">
        <v>1116</v>
      </c>
      <c r="C248" s="177" t="s">
        <v>1221</v>
      </c>
      <c r="D248" s="556" t="s">
        <v>539</v>
      </c>
      <c r="E248" s="556" t="s">
        <v>539</v>
      </c>
      <c r="F248" s="241" t="s">
        <v>277</v>
      </c>
      <c r="G248" s="241" t="s">
        <v>277</v>
      </c>
      <c r="H248" s="1422" t="s">
        <v>1168</v>
      </c>
      <c r="I248" s="1423"/>
      <c r="J248" s="154"/>
    </row>
    <row r="249" spans="1:10" ht="12.75" customHeight="1">
      <c r="A249" s="176"/>
      <c r="B249" s="535" t="s">
        <v>1117</v>
      </c>
      <c r="C249" s="177" t="s">
        <v>1221</v>
      </c>
      <c r="D249" s="241" t="s">
        <v>277</v>
      </c>
      <c r="E249" s="241" t="s">
        <v>277</v>
      </c>
      <c r="F249" s="552">
        <f t="shared" ref="F249" si="27">SUM(1.1*G249)</f>
        <v>299.20000000000005</v>
      </c>
      <c r="G249" s="555">
        <v>272</v>
      </c>
      <c r="H249" s="1426" t="s">
        <v>1166</v>
      </c>
      <c r="I249" s="1427"/>
      <c r="J249" s="154"/>
    </row>
    <row r="250" spans="1:10" ht="12.75" customHeight="1">
      <c r="A250" s="176"/>
      <c r="B250" s="535" t="s">
        <v>1117</v>
      </c>
      <c r="C250" s="177" t="s">
        <v>1221</v>
      </c>
      <c r="D250" s="556" t="s">
        <v>539</v>
      </c>
      <c r="E250" s="556" t="s">
        <v>539</v>
      </c>
      <c r="F250" s="241" t="s">
        <v>277</v>
      </c>
      <c r="G250" s="241" t="s">
        <v>277</v>
      </c>
      <c r="H250" s="1426" t="s">
        <v>1170</v>
      </c>
      <c r="I250" s="1427"/>
      <c r="J250" s="154"/>
    </row>
    <row r="251" spans="1:10" ht="12.75" customHeight="1">
      <c r="A251" s="176"/>
      <c r="B251" s="535" t="s">
        <v>1117</v>
      </c>
      <c r="C251" s="177" t="s">
        <v>1221</v>
      </c>
      <c r="D251" s="554" t="s">
        <v>539</v>
      </c>
      <c r="E251" s="554" t="s">
        <v>539</v>
      </c>
      <c r="F251" s="241" t="s">
        <v>277</v>
      </c>
      <c r="G251" s="241" t="s">
        <v>277</v>
      </c>
      <c r="H251" s="1426" t="s">
        <v>1171</v>
      </c>
      <c r="I251" s="1427"/>
      <c r="J251" s="154"/>
    </row>
    <row r="252" spans="1:10" ht="11.25">
      <c r="A252" s="176"/>
      <c r="B252" s="535" t="s">
        <v>1118</v>
      </c>
      <c r="C252" s="177" t="s">
        <v>1221</v>
      </c>
      <c r="D252" s="241" t="s">
        <v>277</v>
      </c>
      <c r="E252" s="241" t="s">
        <v>277</v>
      </c>
      <c r="F252" s="552">
        <f t="shared" ref="F252" si="28">SUM(1.1*G252)</f>
        <v>242.00000000000003</v>
      </c>
      <c r="G252" s="555">
        <v>220</v>
      </c>
      <c r="H252" s="1422" t="s">
        <v>1167</v>
      </c>
      <c r="I252" s="1423"/>
      <c r="J252" s="154"/>
    </row>
    <row r="253" spans="1:10" ht="22.5">
      <c r="A253" s="176"/>
      <c r="B253" s="535" t="s">
        <v>1119</v>
      </c>
      <c r="C253" s="177" t="s">
        <v>1221</v>
      </c>
      <c r="D253" s="556" t="s">
        <v>539</v>
      </c>
      <c r="E253" s="556" t="s">
        <v>539</v>
      </c>
      <c r="F253" s="241" t="s">
        <v>277</v>
      </c>
      <c r="G253" s="241" t="s">
        <v>277</v>
      </c>
      <c r="H253" s="1422" t="s">
        <v>1168</v>
      </c>
      <c r="I253" s="1423"/>
      <c r="J253" s="154"/>
    </row>
    <row r="254" spans="1:10" ht="25.5" customHeight="1">
      <c r="A254" s="176"/>
      <c r="B254" s="535" t="s">
        <v>1626</v>
      </c>
      <c r="C254" s="177" t="s">
        <v>1221</v>
      </c>
      <c r="D254" s="241" t="s">
        <v>277</v>
      </c>
      <c r="E254" s="241" t="s">
        <v>277</v>
      </c>
      <c r="F254" s="552">
        <f t="shared" ref="F254" si="29">SUM(1.1*G254)</f>
        <v>173.56900000000002</v>
      </c>
      <c r="G254" s="555">
        <v>157.79</v>
      </c>
      <c r="H254" s="1426" t="s">
        <v>1166</v>
      </c>
      <c r="I254" s="1427"/>
      <c r="J254" s="154"/>
    </row>
    <row r="255" spans="1:10" ht="25.5" customHeight="1">
      <c r="A255" s="176"/>
      <c r="B255" s="535" t="s">
        <v>1626</v>
      </c>
      <c r="C255" s="177" t="s">
        <v>1221</v>
      </c>
      <c r="D255" s="554">
        <v>2.6</v>
      </c>
      <c r="E255" s="554">
        <f>SUM(D255*1.1)</f>
        <v>2.8600000000000003</v>
      </c>
      <c r="F255" s="241" t="s">
        <v>277</v>
      </c>
      <c r="G255" s="241" t="s">
        <v>277</v>
      </c>
      <c r="H255" s="1429" t="s">
        <v>1632</v>
      </c>
      <c r="I255" s="1427"/>
      <c r="J255" s="154"/>
    </row>
    <row r="256" spans="1:10" ht="25.5" customHeight="1">
      <c r="A256" s="176"/>
      <c r="B256" s="535" t="s">
        <v>1626</v>
      </c>
      <c r="C256" s="177" t="s">
        <v>1221</v>
      </c>
      <c r="D256" s="554" t="s">
        <v>539</v>
      </c>
      <c r="E256" s="554" t="s">
        <v>539</v>
      </c>
      <c r="F256" s="241" t="s">
        <v>277</v>
      </c>
      <c r="G256" s="241" t="s">
        <v>277</v>
      </c>
      <c r="H256" s="1429" t="s">
        <v>1633</v>
      </c>
      <c r="I256" s="1427"/>
      <c r="J256" s="154"/>
    </row>
    <row r="257" spans="1:10" ht="22.5">
      <c r="A257" s="176"/>
      <c r="B257" s="535" t="s">
        <v>1627</v>
      </c>
      <c r="C257" s="177" t="s">
        <v>1221</v>
      </c>
      <c r="D257" s="241" t="s">
        <v>277</v>
      </c>
      <c r="E257" s="241" t="s">
        <v>277</v>
      </c>
      <c r="F257" s="552">
        <f t="shared" ref="F257" si="30">SUM(1.1*G257)</f>
        <v>93.26900000000002</v>
      </c>
      <c r="G257" s="555">
        <v>84.79</v>
      </c>
      <c r="H257" s="1422" t="s">
        <v>1167</v>
      </c>
      <c r="I257" s="1423"/>
      <c r="J257" s="154"/>
    </row>
    <row r="258" spans="1:10" ht="22.5">
      <c r="A258" s="176"/>
      <c r="B258" s="535" t="s">
        <v>1628</v>
      </c>
      <c r="C258" s="177" t="s">
        <v>1221</v>
      </c>
      <c r="D258" s="554">
        <v>1.75</v>
      </c>
      <c r="E258" s="617">
        <f>SUM(D258*1.1)</f>
        <v>1.9250000000000003</v>
      </c>
      <c r="F258" s="133"/>
      <c r="G258" s="555" t="s">
        <v>538</v>
      </c>
      <c r="H258" s="1422" t="s">
        <v>1168</v>
      </c>
      <c r="I258" s="1423"/>
      <c r="J258" s="154"/>
    </row>
    <row r="259" spans="1:10" ht="25.5" customHeight="1">
      <c r="A259" s="176"/>
      <c r="B259" s="535" t="s">
        <v>1629</v>
      </c>
      <c r="C259" s="177" t="s">
        <v>1221</v>
      </c>
      <c r="D259" s="241" t="s">
        <v>277</v>
      </c>
      <c r="E259" s="241" t="s">
        <v>277</v>
      </c>
      <c r="F259" s="552">
        <f t="shared" ref="F259" si="31">SUM(1.1*G259)</f>
        <v>200.40900000000002</v>
      </c>
      <c r="G259" s="555">
        <v>182.19</v>
      </c>
      <c r="H259" s="1426" t="s">
        <v>1166</v>
      </c>
      <c r="I259" s="1427"/>
      <c r="J259" s="154"/>
    </row>
    <row r="260" spans="1:10" ht="25.5" customHeight="1">
      <c r="A260" s="176"/>
      <c r="B260" s="535" t="s">
        <v>1629</v>
      </c>
      <c r="C260" s="177" t="s">
        <v>1221</v>
      </c>
      <c r="D260" s="554">
        <v>3.35</v>
      </c>
      <c r="E260" s="617">
        <f>SUM(D260*1.1)</f>
        <v>3.6850000000000005</v>
      </c>
      <c r="F260" s="241" t="s">
        <v>277</v>
      </c>
      <c r="G260" s="241" t="s">
        <v>277</v>
      </c>
      <c r="H260" s="1429" t="s">
        <v>1634</v>
      </c>
      <c r="I260" s="1427"/>
      <c r="J260" s="154"/>
    </row>
    <row r="261" spans="1:10" ht="25.5" customHeight="1">
      <c r="A261" s="176"/>
      <c r="B261" s="535" t="s">
        <v>1629</v>
      </c>
      <c r="C261" s="177" t="s">
        <v>1221</v>
      </c>
      <c r="D261" s="554" t="s">
        <v>539</v>
      </c>
      <c r="E261" s="554" t="s">
        <v>539</v>
      </c>
      <c r="F261" s="241" t="s">
        <v>277</v>
      </c>
      <c r="G261" s="241" t="s">
        <v>277</v>
      </c>
      <c r="H261" s="1429" t="s">
        <v>1633</v>
      </c>
      <c r="I261" s="1427"/>
      <c r="J261" s="154"/>
    </row>
    <row r="262" spans="1:10" ht="22.5">
      <c r="A262" s="176"/>
      <c r="B262" s="535" t="s">
        <v>1630</v>
      </c>
      <c r="C262" s="177" t="s">
        <v>1221</v>
      </c>
      <c r="D262" s="241" t="s">
        <v>277</v>
      </c>
      <c r="E262" s="241" t="s">
        <v>277</v>
      </c>
      <c r="F262" s="552">
        <f t="shared" ref="F262" si="32">SUM(1.1*G262)</f>
        <v>120.10900000000001</v>
      </c>
      <c r="G262" s="555">
        <v>109.19</v>
      </c>
      <c r="H262" s="1422" t="s">
        <v>1167</v>
      </c>
      <c r="I262" s="1423"/>
      <c r="J262" s="154"/>
    </row>
    <row r="263" spans="1:10" ht="22.5">
      <c r="A263" s="176"/>
      <c r="B263" s="535" t="s">
        <v>1631</v>
      </c>
      <c r="C263" s="177" t="s">
        <v>1221</v>
      </c>
      <c r="D263" s="554">
        <v>1.75</v>
      </c>
      <c r="E263" s="617">
        <f>SUM(D263*1.1)</f>
        <v>1.9250000000000003</v>
      </c>
      <c r="F263" s="241" t="s">
        <v>277</v>
      </c>
      <c r="G263" s="241" t="s">
        <v>277</v>
      </c>
      <c r="H263" s="1422" t="s">
        <v>1168</v>
      </c>
      <c r="I263" s="1423"/>
      <c r="J263" s="154"/>
    </row>
    <row r="264" spans="1:10" ht="25.5" customHeight="1">
      <c r="A264" s="176"/>
      <c r="B264" s="535" t="s">
        <v>11</v>
      </c>
      <c r="C264" s="177" t="s">
        <v>1221</v>
      </c>
      <c r="D264" s="241" t="s">
        <v>277</v>
      </c>
      <c r="E264" s="241" t="s">
        <v>277</v>
      </c>
      <c r="F264" s="552">
        <f t="shared" ref="F264" si="33">SUM(1.1*G264)</f>
        <v>394.17399999999998</v>
      </c>
      <c r="G264" s="555">
        <v>358.34</v>
      </c>
      <c r="H264" s="1426" t="s">
        <v>1166</v>
      </c>
      <c r="I264" s="1427"/>
      <c r="J264" s="154"/>
    </row>
    <row r="265" spans="1:10" ht="25.5" customHeight="1">
      <c r="A265" s="176"/>
      <c r="B265" s="535" t="s">
        <v>11</v>
      </c>
      <c r="C265" s="177" t="s">
        <v>1221</v>
      </c>
      <c r="D265" s="554">
        <v>12.06</v>
      </c>
      <c r="E265" s="617">
        <f>SUM(D265*1.1)</f>
        <v>13.266000000000002</v>
      </c>
      <c r="F265" s="241" t="s">
        <v>277</v>
      </c>
      <c r="G265" s="241" t="s">
        <v>277</v>
      </c>
      <c r="H265" s="1429" t="s">
        <v>1634</v>
      </c>
      <c r="I265" s="1427"/>
      <c r="J265" s="154"/>
    </row>
    <row r="266" spans="1:10" ht="25.5" customHeight="1">
      <c r="A266" s="176"/>
      <c r="B266" s="535" t="s">
        <v>11</v>
      </c>
      <c r="C266" s="177" t="s">
        <v>1221</v>
      </c>
      <c r="D266" s="554" t="s">
        <v>539</v>
      </c>
      <c r="E266" s="554" t="s">
        <v>539</v>
      </c>
      <c r="F266" s="241" t="s">
        <v>277</v>
      </c>
      <c r="G266" s="241" t="s">
        <v>277</v>
      </c>
      <c r="H266" s="1429" t="s">
        <v>1633</v>
      </c>
      <c r="I266" s="1427"/>
      <c r="J266" s="154"/>
    </row>
    <row r="267" spans="1:10" ht="22.5">
      <c r="A267" s="176"/>
      <c r="B267" s="535" t="s">
        <v>1120</v>
      </c>
      <c r="C267" s="177" t="s">
        <v>1221</v>
      </c>
      <c r="D267" s="241" t="s">
        <v>277</v>
      </c>
      <c r="E267" s="241" t="s">
        <v>277</v>
      </c>
      <c r="F267" s="552">
        <f t="shared" ref="F267" si="34">SUM(1.1*G267)</f>
        <v>301.279</v>
      </c>
      <c r="G267" s="555">
        <v>273.89</v>
      </c>
      <c r="H267" s="1422" t="s">
        <v>1167</v>
      </c>
      <c r="I267" s="1423"/>
      <c r="J267" s="154"/>
    </row>
    <row r="268" spans="1:10" ht="22.5">
      <c r="A268" s="176"/>
      <c r="B268" s="535" t="s">
        <v>1121</v>
      </c>
      <c r="C268" s="177" t="s">
        <v>1221</v>
      </c>
      <c r="D268" s="554">
        <v>0.74</v>
      </c>
      <c r="E268" s="617">
        <f>SUM(D268*1.1)</f>
        <v>0.81400000000000006</v>
      </c>
      <c r="F268" s="241" t="s">
        <v>277</v>
      </c>
      <c r="G268" s="241" t="s">
        <v>277</v>
      </c>
      <c r="H268" s="1422" t="s">
        <v>1168</v>
      </c>
      <c r="I268" s="1423"/>
      <c r="J268" s="154"/>
    </row>
    <row r="269" spans="1:10" ht="25.5" customHeight="1">
      <c r="A269" s="176"/>
      <c r="B269" s="535" t="s">
        <v>12</v>
      </c>
      <c r="C269" s="177" t="s">
        <v>1221</v>
      </c>
      <c r="D269" s="241" t="s">
        <v>277</v>
      </c>
      <c r="E269" s="241" t="s">
        <v>277</v>
      </c>
      <c r="F269" s="552">
        <f t="shared" ref="F269" si="35">SUM(1.1*G269)</f>
        <v>193.91869158878507</v>
      </c>
      <c r="G269" s="555">
        <v>176.28971962616822</v>
      </c>
      <c r="H269" s="1426" t="s">
        <v>1166</v>
      </c>
      <c r="I269" s="1427"/>
      <c r="J269" s="154"/>
    </row>
    <row r="270" spans="1:10" ht="25.5" customHeight="1">
      <c r="A270" s="176"/>
      <c r="B270" s="535" t="s">
        <v>12</v>
      </c>
      <c r="C270" s="177" t="s">
        <v>1221</v>
      </c>
      <c r="D270" s="554">
        <v>5.5046728971962606</v>
      </c>
      <c r="E270" s="617">
        <f>SUM(D270*1.1)</f>
        <v>6.055140186915887</v>
      </c>
      <c r="F270" s="241" t="s">
        <v>277</v>
      </c>
      <c r="G270" s="241" t="s">
        <v>277</v>
      </c>
      <c r="H270" s="1426" t="s">
        <v>1170</v>
      </c>
      <c r="I270" s="1427"/>
      <c r="J270" s="154"/>
    </row>
    <row r="271" spans="1:10" ht="25.5" customHeight="1">
      <c r="A271" s="176"/>
      <c r="B271" s="535" t="s">
        <v>12</v>
      </c>
      <c r="C271" s="177" t="s">
        <v>1221</v>
      </c>
      <c r="D271" s="554" t="s">
        <v>539</v>
      </c>
      <c r="E271" s="554" t="s">
        <v>539</v>
      </c>
      <c r="F271" s="241" t="s">
        <v>277</v>
      </c>
      <c r="G271" s="241" t="s">
        <v>277</v>
      </c>
      <c r="H271" s="1426" t="s">
        <v>1171</v>
      </c>
      <c r="I271" s="1427"/>
      <c r="J271" s="154"/>
    </row>
    <row r="272" spans="1:10" ht="22.5">
      <c r="A272" s="176"/>
      <c r="B272" s="535" t="s">
        <v>1122</v>
      </c>
      <c r="C272" s="177" t="s">
        <v>1221</v>
      </c>
      <c r="D272" s="241" t="s">
        <v>277</v>
      </c>
      <c r="E272" s="241" t="s">
        <v>277</v>
      </c>
      <c r="F272" s="552">
        <f t="shared" ref="F272:F273" si="36">SUM(1.1*G272)</f>
        <v>193.91869158878507</v>
      </c>
      <c r="G272" s="555">
        <v>176.28971962616822</v>
      </c>
      <c r="H272" s="1422" t="s">
        <v>1167</v>
      </c>
      <c r="I272" s="1423"/>
      <c r="J272" s="154"/>
    </row>
    <row r="273" spans="1:10" ht="25.5" customHeight="1">
      <c r="A273" s="176"/>
      <c r="B273" s="535" t="s">
        <v>13</v>
      </c>
      <c r="C273" s="177" t="s">
        <v>1221</v>
      </c>
      <c r="D273" s="241" t="s">
        <v>277</v>
      </c>
      <c r="E273" s="241" t="s">
        <v>277</v>
      </c>
      <c r="F273" s="552">
        <f t="shared" si="36"/>
        <v>832.47383177570089</v>
      </c>
      <c r="G273" s="555">
        <v>756.79439252336442</v>
      </c>
      <c r="H273" s="1426" t="s">
        <v>1166</v>
      </c>
      <c r="I273" s="1427"/>
      <c r="J273" s="154"/>
    </row>
    <row r="274" spans="1:10" ht="25.5" customHeight="1">
      <c r="A274" s="176"/>
      <c r="B274" s="535" t="s">
        <v>13</v>
      </c>
      <c r="C274" s="177" t="s">
        <v>1221</v>
      </c>
      <c r="D274" s="554">
        <v>23.774214579439249</v>
      </c>
      <c r="E274" s="617">
        <f>SUM(D274*1.1)</f>
        <v>26.151636037383177</v>
      </c>
      <c r="F274" s="241" t="s">
        <v>277</v>
      </c>
      <c r="G274" s="241" t="s">
        <v>277</v>
      </c>
      <c r="H274" s="1426" t="s">
        <v>1170</v>
      </c>
      <c r="I274" s="1427"/>
      <c r="J274" s="154"/>
    </row>
    <row r="275" spans="1:10" ht="25.5" customHeight="1">
      <c r="A275" s="176"/>
      <c r="B275" s="535" t="s">
        <v>13</v>
      </c>
      <c r="C275" s="177" t="s">
        <v>1221</v>
      </c>
      <c r="D275" s="554" t="s">
        <v>539</v>
      </c>
      <c r="E275" s="554" t="s">
        <v>539</v>
      </c>
      <c r="F275" s="241" t="s">
        <v>277</v>
      </c>
      <c r="G275" s="241" t="s">
        <v>277</v>
      </c>
      <c r="H275" s="1426" t="s">
        <v>1171</v>
      </c>
      <c r="I275" s="1427"/>
      <c r="J275" s="154"/>
    </row>
    <row r="276" spans="1:10" ht="22.5">
      <c r="A276" s="176"/>
      <c r="B276" s="535" t="s">
        <v>1123</v>
      </c>
      <c r="C276" s="177" t="s">
        <v>1221</v>
      </c>
      <c r="D276" s="241" t="s">
        <v>277</v>
      </c>
      <c r="E276" s="241" t="s">
        <v>277</v>
      </c>
      <c r="F276" s="552">
        <f t="shared" ref="F276" si="37">SUM(1.1*G276)</f>
        <v>775.26900000000001</v>
      </c>
      <c r="G276" s="555">
        <v>704.79</v>
      </c>
      <c r="H276" s="1422" t="s">
        <v>1167</v>
      </c>
      <c r="I276" s="1423"/>
      <c r="J276" s="154"/>
    </row>
    <row r="277" spans="1:10" ht="22.5">
      <c r="A277" s="176"/>
      <c r="B277" s="535" t="s">
        <v>1124</v>
      </c>
      <c r="C277" s="177" t="s">
        <v>1221</v>
      </c>
      <c r="D277" s="554">
        <v>2.7757009345794392</v>
      </c>
      <c r="E277" s="617">
        <f>SUM(D277*1.1)</f>
        <v>3.0532710280373836</v>
      </c>
      <c r="F277" s="241" t="s">
        <v>277</v>
      </c>
      <c r="G277" s="241" t="s">
        <v>277</v>
      </c>
      <c r="H277" s="1422" t="s">
        <v>1168</v>
      </c>
      <c r="I277" s="1423"/>
      <c r="J277" s="154"/>
    </row>
    <row r="278" spans="1:10" ht="38.25" customHeight="1">
      <c r="A278" s="176"/>
      <c r="B278" s="535" t="s">
        <v>14</v>
      </c>
      <c r="C278" s="177" t="s">
        <v>1221</v>
      </c>
      <c r="D278" s="241" t="s">
        <v>277</v>
      </c>
      <c r="E278" s="241" t="s">
        <v>277</v>
      </c>
      <c r="F278" s="552">
        <f t="shared" ref="F278" si="38">SUM(1.1*G278)</f>
        <v>200.63177570093458</v>
      </c>
      <c r="G278" s="555">
        <v>182.39252336448598</v>
      </c>
      <c r="H278" s="1426" t="s">
        <v>1166</v>
      </c>
      <c r="I278" s="1427"/>
      <c r="J278" s="154"/>
    </row>
    <row r="279" spans="1:10" ht="38.25" customHeight="1">
      <c r="A279" s="176"/>
      <c r="B279" s="535" t="s">
        <v>14</v>
      </c>
      <c r="C279" s="177" t="s">
        <v>1221</v>
      </c>
      <c r="D279" s="554">
        <v>5.6915887850467284</v>
      </c>
      <c r="E279" s="617">
        <f>SUM(D279*1.1)</f>
        <v>6.2607476635514017</v>
      </c>
      <c r="F279" s="241" t="s">
        <v>277</v>
      </c>
      <c r="G279" s="241" t="s">
        <v>277</v>
      </c>
      <c r="H279" s="1426" t="s">
        <v>1170</v>
      </c>
      <c r="I279" s="1427"/>
      <c r="J279" s="154"/>
    </row>
    <row r="280" spans="1:10" ht="38.25" customHeight="1">
      <c r="A280" s="176"/>
      <c r="B280" s="535" t="s">
        <v>14</v>
      </c>
      <c r="C280" s="177" t="s">
        <v>1221</v>
      </c>
      <c r="D280" s="554" t="s">
        <v>539</v>
      </c>
      <c r="E280" s="554" t="s">
        <v>539</v>
      </c>
      <c r="F280" s="241" t="s">
        <v>277</v>
      </c>
      <c r="G280" s="241" t="s">
        <v>277</v>
      </c>
      <c r="H280" s="1426" t="s">
        <v>1171</v>
      </c>
      <c r="I280" s="1427"/>
      <c r="J280" s="154"/>
    </row>
    <row r="281" spans="1:10" ht="22.5">
      <c r="A281" s="176"/>
      <c r="B281" s="535" t="s">
        <v>1125</v>
      </c>
      <c r="C281" s="177" t="s">
        <v>1221</v>
      </c>
      <c r="D281" s="241" t="s">
        <v>277</v>
      </c>
      <c r="E281" s="241" t="s">
        <v>277</v>
      </c>
      <c r="F281" s="552">
        <f t="shared" ref="F281:F282" si="39">SUM(1.1*G281)</f>
        <v>200.63177570093458</v>
      </c>
      <c r="G281" s="555">
        <v>182.39252336448598</v>
      </c>
      <c r="H281" s="1422" t="s">
        <v>1167</v>
      </c>
      <c r="I281" s="1423"/>
      <c r="J281" s="154"/>
    </row>
    <row r="282" spans="1:10" ht="25.5" customHeight="1">
      <c r="A282" s="176"/>
      <c r="B282" s="535" t="s">
        <v>15</v>
      </c>
      <c r="C282" s="177" t="s">
        <v>1221</v>
      </c>
      <c r="D282" s="241" t="s">
        <v>277</v>
      </c>
      <c r="E282" s="241" t="s">
        <v>277</v>
      </c>
      <c r="F282" s="552">
        <f t="shared" si="39"/>
        <v>273.90000000000003</v>
      </c>
      <c r="G282" s="555">
        <v>249</v>
      </c>
      <c r="H282" s="1426" t="s">
        <v>1166</v>
      </c>
      <c r="I282" s="1427"/>
      <c r="J282" s="154"/>
    </row>
    <row r="283" spans="1:10" ht="25.5" customHeight="1">
      <c r="A283" s="176"/>
      <c r="B283" s="535" t="s">
        <v>15</v>
      </c>
      <c r="C283" s="177" t="s">
        <v>1221</v>
      </c>
      <c r="D283" s="554">
        <v>7.9144014953271018</v>
      </c>
      <c r="E283" s="617">
        <f>SUM(D283*1.1)</f>
        <v>8.705841644859813</v>
      </c>
      <c r="F283" s="241" t="s">
        <v>277</v>
      </c>
      <c r="G283" s="241" t="s">
        <v>277</v>
      </c>
      <c r="H283" s="1426" t="s">
        <v>1170</v>
      </c>
      <c r="I283" s="1427"/>
      <c r="J283" s="154"/>
    </row>
    <row r="284" spans="1:10" ht="25.5" customHeight="1">
      <c r="A284" s="176"/>
      <c r="B284" s="535" t="s">
        <v>15</v>
      </c>
      <c r="C284" s="177" t="s">
        <v>1221</v>
      </c>
      <c r="D284" s="554" t="s">
        <v>539</v>
      </c>
      <c r="E284" s="554" t="s">
        <v>539</v>
      </c>
      <c r="F284" s="241" t="s">
        <v>277</v>
      </c>
      <c r="G284" s="241" t="s">
        <v>277</v>
      </c>
      <c r="H284" s="1426" t="s">
        <v>1171</v>
      </c>
      <c r="I284" s="1427"/>
      <c r="J284" s="154"/>
    </row>
    <row r="285" spans="1:10" ht="22.5">
      <c r="A285" s="176"/>
      <c r="B285" s="535" t="s">
        <v>1126</v>
      </c>
      <c r="C285" s="177" t="s">
        <v>1221</v>
      </c>
      <c r="D285" s="241" t="s">
        <v>277</v>
      </c>
      <c r="E285" s="241" t="s">
        <v>277</v>
      </c>
      <c r="F285" s="552">
        <f t="shared" ref="F285" si="40">SUM(1.1*G285)</f>
        <v>216.70000000000002</v>
      </c>
      <c r="G285" s="555">
        <v>197</v>
      </c>
      <c r="H285" s="1422" t="s">
        <v>1167</v>
      </c>
      <c r="I285" s="1423"/>
      <c r="J285" s="154"/>
    </row>
    <row r="286" spans="1:10" ht="22.5">
      <c r="A286" s="176"/>
      <c r="B286" s="535" t="s">
        <v>1127</v>
      </c>
      <c r="C286" s="177" t="s">
        <v>1221</v>
      </c>
      <c r="D286" s="554">
        <v>1.7476635514018692</v>
      </c>
      <c r="E286" s="617">
        <f>SUM(D286*1.1)</f>
        <v>1.9224299065420563</v>
      </c>
      <c r="F286" s="241" t="s">
        <v>277</v>
      </c>
      <c r="G286" s="241" t="s">
        <v>277</v>
      </c>
      <c r="H286" s="1422" t="s">
        <v>1168</v>
      </c>
      <c r="I286" s="1423"/>
      <c r="J286" s="154"/>
    </row>
    <row r="287" spans="1:10" ht="25.5" customHeight="1">
      <c r="A287" s="176"/>
      <c r="B287" s="535" t="s">
        <v>16</v>
      </c>
      <c r="C287" s="177" t="s">
        <v>1221</v>
      </c>
      <c r="D287" s="241" t="s">
        <v>277</v>
      </c>
      <c r="E287" s="241" t="s">
        <v>277</v>
      </c>
      <c r="F287" s="552">
        <f t="shared" ref="F287" si="41">SUM(1.1*G287)</f>
        <v>300.0841121495327</v>
      </c>
      <c r="G287" s="555">
        <v>272.803738317757</v>
      </c>
      <c r="H287" s="1426" t="s">
        <v>1166</v>
      </c>
      <c r="I287" s="1427"/>
      <c r="J287" s="154"/>
    </row>
    <row r="288" spans="1:10" ht="25.5" customHeight="1">
      <c r="A288" s="176"/>
      <c r="B288" s="535" t="s">
        <v>16</v>
      </c>
      <c r="C288" s="177" t="s">
        <v>1221</v>
      </c>
      <c r="D288" s="554">
        <v>8.652719252336448</v>
      </c>
      <c r="E288" s="617">
        <f>SUM(D288*1.1)</f>
        <v>9.5179911775700941</v>
      </c>
      <c r="F288" s="241" t="s">
        <v>277</v>
      </c>
      <c r="G288" s="241" t="s">
        <v>277</v>
      </c>
      <c r="H288" s="1426" t="s">
        <v>1170</v>
      </c>
      <c r="I288" s="1427"/>
      <c r="J288" s="154"/>
    </row>
    <row r="289" spans="1:10" ht="25.5" customHeight="1">
      <c r="A289" s="176"/>
      <c r="B289" s="535" t="s">
        <v>16</v>
      </c>
      <c r="C289" s="177" t="s">
        <v>1221</v>
      </c>
      <c r="D289" s="554" t="s">
        <v>539</v>
      </c>
      <c r="E289" s="554" t="s">
        <v>539</v>
      </c>
      <c r="F289" s="241" t="s">
        <v>277</v>
      </c>
      <c r="G289" s="241" t="s">
        <v>277</v>
      </c>
      <c r="H289" s="1426" t="s">
        <v>1171</v>
      </c>
      <c r="I289" s="1427"/>
      <c r="J289" s="154"/>
    </row>
    <row r="290" spans="1:10" ht="22.5">
      <c r="A290" s="176"/>
      <c r="B290" s="535" t="s">
        <v>1128</v>
      </c>
      <c r="C290" s="177" t="s">
        <v>1221</v>
      </c>
      <c r="D290" s="241" t="s">
        <v>277</v>
      </c>
      <c r="E290" s="241" t="s">
        <v>277</v>
      </c>
      <c r="F290" s="552">
        <f t="shared" ref="F290" si="42">SUM(1.1*G290)</f>
        <v>242.88411214953271</v>
      </c>
      <c r="G290" s="555">
        <v>220.803738317757</v>
      </c>
      <c r="H290" s="1422" t="s">
        <v>1167</v>
      </c>
      <c r="I290" s="1423"/>
      <c r="J290" s="154"/>
    </row>
    <row r="291" spans="1:10" ht="22.5">
      <c r="A291" s="176"/>
      <c r="B291" s="535" t="s">
        <v>1129</v>
      </c>
      <c r="C291" s="177" t="s">
        <v>1221</v>
      </c>
      <c r="D291" s="554">
        <v>1.7476635514018692</v>
      </c>
      <c r="E291" s="617">
        <f>SUM(D291*1.1)</f>
        <v>1.9224299065420563</v>
      </c>
      <c r="F291" s="241" t="s">
        <v>277</v>
      </c>
      <c r="G291" s="241" t="s">
        <v>277</v>
      </c>
      <c r="H291" s="1422" t="s">
        <v>1168</v>
      </c>
      <c r="I291" s="1423"/>
      <c r="J291" s="154"/>
    </row>
    <row r="292" spans="1:10" ht="25.5" customHeight="1">
      <c r="A292" s="176"/>
      <c r="B292" s="535" t="s">
        <v>1130</v>
      </c>
      <c r="C292" s="177" t="s">
        <v>1221</v>
      </c>
      <c r="D292" s="241" t="s">
        <v>277</v>
      </c>
      <c r="E292" s="241" t="s">
        <v>277</v>
      </c>
      <c r="F292" s="552">
        <f t="shared" ref="F292" si="43">SUM(1.1*G292)</f>
        <v>500.50000000000006</v>
      </c>
      <c r="G292" s="555">
        <v>455</v>
      </c>
      <c r="H292" s="1426" t="s">
        <v>1166</v>
      </c>
      <c r="I292" s="1427"/>
      <c r="J292" s="154"/>
    </row>
    <row r="293" spans="1:10" ht="25.5" customHeight="1">
      <c r="A293" s="176"/>
      <c r="B293" s="535" t="s">
        <v>1130</v>
      </c>
      <c r="C293" s="177" t="s">
        <v>1221</v>
      </c>
      <c r="D293" s="554">
        <v>19.001520833333334</v>
      </c>
      <c r="E293" s="617">
        <f>SUM(D293*1.1)</f>
        <v>20.901672916666669</v>
      </c>
      <c r="F293" s="241" t="s">
        <v>277</v>
      </c>
      <c r="G293" s="241" t="s">
        <v>277</v>
      </c>
      <c r="H293" s="1426" t="s">
        <v>1170</v>
      </c>
      <c r="I293" s="1427"/>
      <c r="J293" s="154"/>
    </row>
    <row r="294" spans="1:10" ht="25.5" customHeight="1">
      <c r="A294" s="176"/>
      <c r="B294" s="535" t="s">
        <v>1130</v>
      </c>
      <c r="C294" s="177" t="s">
        <v>1221</v>
      </c>
      <c r="D294" s="554" t="s">
        <v>539</v>
      </c>
      <c r="E294" s="554" t="s">
        <v>539</v>
      </c>
      <c r="F294" s="241" t="s">
        <v>277</v>
      </c>
      <c r="G294" s="241" t="s">
        <v>277</v>
      </c>
      <c r="H294" s="1426" t="s">
        <v>1171</v>
      </c>
      <c r="I294" s="1427"/>
      <c r="J294" s="154"/>
    </row>
    <row r="295" spans="1:10" ht="22.5">
      <c r="A295" s="176"/>
      <c r="B295" s="535" t="s">
        <v>1131</v>
      </c>
      <c r="C295" s="177" t="s">
        <v>1221</v>
      </c>
      <c r="D295" s="241" t="s">
        <v>277</v>
      </c>
      <c r="E295" s="241" t="s">
        <v>277</v>
      </c>
      <c r="F295" s="552">
        <f t="shared" ref="F295:F296" si="44">SUM(1.1*G295)</f>
        <v>500.50000000000006</v>
      </c>
      <c r="G295" s="555">
        <v>455</v>
      </c>
      <c r="H295" s="1422" t="s">
        <v>1167</v>
      </c>
      <c r="I295" s="1423"/>
      <c r="J295" s="154"/>
    </row>
    <row r="296" spans="1:10" ht="25.5" customHeight="1">
      <c r="A296" s="176"/>
      <c r="B296" s="535" t="s">
        <v>1132</v>
      </c>
      <c r="C296" s="177" t="s">
        <v>1221</v>
      </c>
      <c r="D296" s="241" t="s">
        <v>277</v>
      </c>
      <c r="E296" s="241" t="s">
        <v>277</v>
      </c>
      <c r="F296" s="552">
        <f t="shared" si="44"/>
        <v>995.99499999999989</v>
      </c>
      <c r="G296" s="555">
        <v>905.44999999999982</v>
      </c>
      <c r="H296" s="1426" t="s">
        <v>1166</v>
      </c>
      <c r="I296" s="1427"/>
      <c r="J296" s="154"/>
    </row>
    <row r="297" spans="1:10" ht="25.5" customHeight="1">
      <c r="A297" s="176"/>
      <c r="B297" s="535" t="s">
        <v>1132</v>
      </c>
      <c r="C297" s="177" t="s">
        <v>1221</v>
      </c>
      <c r="D297" s="554">
        <v>37.813026458333333</v>
      </c>
      <c r="E297" s="617">
        <f>SUM(D297*1.1)</f>
        <v>41.594329104166668</v>
      </c>
      <c r="F297" s="241" t="s">
        <v>277</v>
      </c>
      <c r="G297" s="241" t="s">
        <v>277</v>
      </c>
      <c r="H297" s="1426" t="s">
        <v>1170</v>
      </c>
      <c r="I297" s="1427"/>
      <c r="J297" s="154"/>
    </row>
    <row r="298" spans="1:10" ht="25.5" customHeight="1">
      <c r="A298" s="176"/>
      <c r="B298" s="535" t="s">
        <v>1132</v>
      </c>
      <c r="C298" s="177" t="s">
        <v>1221</v>
      </c>
      <c r="D298" s="554" t="s">
        <v>539</v>
      </c>
      <c r="E298" s="554" t="s">
        <v>539</v>
      </c>
      <c r="F298" s="241" t="s">
        <v>277</v>
      </c>
      <c r="G298" s="241" t="s">
        <v>277</v>
      </c>
      <c r="H298" s="1426" t="s">
        <v>1171</v>
      </c>
      <c r="I298" s="1427"/>
      <c r="J298" s="154"/>
    </row>
    <row r="299" spans="1:10" ht="22.5">
      <c r="A299" s="176"/>
      <c r="B299" s="535" t="s">
        <v>1133</v>
      </c>
      <c r="C299" s="177" t="s">
        <v>1221</v>
      </c>
      <c r="D299" s="241" t="s">
        <v>277</v>
      </c>
      <c r="E299" s="241" t="s">
        <v>277</v>
      </c>
      <c r="F299" s="552">
        <f t="shared" ref="F299" si="45">SUM(1.1*G299)</f>
        <v>995.99499999999989</v>
      </c>
      <c r="G299" s="555">
        <v>905.44999999999982</v>
      </c>
      <c r="H299" s="1422" t="s">
        <v>1167</v>
      </c>
      <c r="I299" s="1423"/>
      <c r="J299" s="154"/>
    </row>
    <row r="300" spans="1:10" ht="11.25">
      <c r="A300" s="176"/>
      <c r="B300" s="535" t="s">
        <v>1134</v>
      </c>
      <c r="C300" s="177" t="s">
        <v>1221</v>
      </c>
      <c r="D300" s="554" t="s">
        <v>783</v>
      </c>
      <c r="E300" s="554" t="s">
        <v>783</v>
      </c>
      <c r="F300" s="555" t="s">
        <v>783</v>
      </c>
      <c r="G300" s="555" t="s">
        <v>783</v>
      </c>
      <c r="H300" s="1422" t="s">
        <v>1169</v>
      </c>
      <c r="I300" s="1423"/>
      <c r="J300" s="154"/>
    </row>
    <row r="301" spans="1:10" ht="67.5">
      <c r="A301" s="176"/>
      <c r="B301" s="535" t="s">
        <v>1135</v>
      </c>
      <c r="C301" s="177" t="s">
        <v>1221</v>
      </c>
      <c r="D301" s="241" t="s">
        <v>277</v>
      </c>
      <c r="E301" s="241" t="s">
        <v>277</v>
      </c>
      <c r="F301" s="552">
        <f t="shared" ref="F301" si="46">SUM(1.1*G301)</f>
        <v>3103.1000000000004</v>
      </c>
      <c r="G301" s="555">
        <v>2821</v>
      </c>
      <c r="H301" s="1426" t="s">
        <v>1166</v>
      </c>
      <c r="I301" s="1427"/>
      <c r="J301" s="154"/>
    </row>
    <row r="302" spans="1:10" ht="67.5">
      <c r="A302" s="176"/>
      <c r="B302" s="535" t="s">
        <v>1135</v>
      </c>
      <c r="C302" s="177" t="s">
        <v>1221</v>
      </c>
      <c r="D302" s="554">
        <v>91.154208333333344</v>
      </c>
      <c r="E302" s="617">
        <f>SUM(D302*1.1)</f>
        <v>100.26962916666669</v>
      </c>
      <c r="F302" s="241" t="s">
        <v>277</v>
      </c>
      <c r="G302" s="241" t="s">
        <v>277</v>
      </c>
      <c r="H302" s="1426" t="s">
        <v>1170</v>
      </c>
      <c r="I302" s="1427"/>
      <c r="J302" s="154"/>
    </row>
    <row r="303" spans="1:10" ht="67.5">
      <c r="A303" s="176"/>
      <c r="B303" s="535" t="s">
        <v>1135</v>
      </c>
      <c r="C303" s="177" t="s">
        <v>1221</v>
      </c>
      <c r="D303" s="554" t="s">
        <v>539</v>
      </c>
      <c r="E303" s="554" t="s">
        <v>539</v>
      </c>
      <c r="F303" s="241" t="s">
        <v>277</v>
      </c>
      <c r="G303" s="241" t="s">
        <v>277</v>
      </c>
      <c r="H303" s="1426" t="s">
        <v>1171</v>
      </c>
      <c r="I303" s="1427"/>
      <c r="J303" s="154"/>
    </row>
    <row r="304" spans="1:10" ht="78.75">
      <c r="A304" s="176"/>
      <c r="B304" s="535" t="s">
        <v>1136</v>
      </c>
      <c r="C304" s="177" t="s">
        <v>1221</v>
      </c>
      <c r="D304" s="241" t="s">
        <v>277</v>
      </c>
      <c r="E304" s="241" t="s">
        <v>277</v>
      </c>
      <c r="F304" s="552">
        <f t="shared" ref="F304:F305" si="47">SUM(1.1*G304)</f>
        <v>3103.1000000000004</v>
      </c>
      <c r="G304" s="555">
        <v>2821</v>
      </c>
      <c r="H304" s="1422" t="s">
        <v>1167</v>
      </c>
      <c r="I304" s="1423"/>
      <c r="J304" s="154"/>
    </row>
    <row r="305" spans="1:10" ht="33.75">
      <c r="A305" s="176"/>
      <c r="B305" s="535" t="s">
        <v>1137</v>
      </c>
      <c r="C305" s="177" t="s">
        <v>1221</v>
      </c>
      <c r="D305" s="241" t="s">
        <v>277</v>
      </c>
      <c r="E305" s="241" t="s">
        <v>277</v>
      </c>
      <c r="F305" s="552">
        <f t="shared" si="47"/>
        <v>299.29899999999998</v>
      </c>
      <c r="G305" s="555">
        <v>272.08999999999997</v>
      </c>
      <c r="H305" s="1426" t="s">
        <v>1166</v>
      </c>
      <c r="I305" s="1427"/>
      <c r="J305" s="154"/>
    </row>
    <row r="306" spans="1:10" ht="51" customHeight="1">
      <c r="A306" s="176"/>
      <c r="B306" s="535" t="s">
        <v>1137</v>
      </c>
      <c r="C306" s="177" t="s">
        <v>1221</v>
      </c>
      <c r="D306" s="554">
        <v>11.362909458333332</v>
      </c>
      <c r="E306" s="617">
        <f>SUM(D306*1.1)</f>
        <v>12.499200404166666</v>
      </c>
      <c r="F306" s="241" t="s">
        <v>277</v>
      </c>
      <c r="G306" s="241" t="s">
        <v>277</v>
      </c>
      <c r="H306" s="1426" t="s">
        <v>1170</v>
      </c>
      <c r="I306" s="1427"/>
      <c r="J306" s="154"/>
    </row>
    <row r="307" spans="1:10" ht="51" customHeight="1">
      <c r="A307" s="176"/>
      <c r="B307" s="535" t="s">
        <v>1137</v>
      </c>
      <c r="C307" s="177" t="s">
        <v>1221</v>
      </c>
      <c r="D307" s="554" t="s">
        <v>539</v>
      </c>
      <c r="E307" s="554" t="s">
        <v>539</v>
      </c>
      <c r="F307" s="241" t="s">
        <v>277</v>
      </c>
      <c r="G307" s="241" t="s">
        <v>277</v>
      </c>
      <c r="H307" s="1426" t="s">
        <v>1171</v>
      </c>
      <c r="I307" s="1427"/>
      <c r="J307" s="154"/>
    </row>
    <row r="308" spans="1:10" ht="45">
      <c r="A308" s="176"/>
      <c r="B308" s="535" t="s">
        <v>1138</v>
      </c>
      <c r="C308" s="177" t="s">
        <v>1221</v>
      </c>
      <c r="D308" s="241" t="s">
        <v>277</v>
      </c>
      <c r="E308" s="241" t="s">
        <v>277</v>
      </c>
      <c r="F308" s="552">
        <f t="shared" ref="F308:F309" si="48">SUM(1.1*G308)</f>
        <v>211.62899999999999</v>
      </c>
      <c r="G308" s="555">
        <v>192.39</v>
      </c>
      <c r="H308" s="1422" t="s">
        <v>1167</v>
      </c>
      <c r="I308" s="1423"/>
      <c r="J308" s="154"/>
    </row>
    <row r="309" spans="1:10" ht="25.5" customHeight="1">
      <c r="A309" s="176"/>
      <c r="B309" s="535" t="s">
        <v>1139</v>
      </c>
      <c r="C309" s="177" t="s">
        <v>1221</v>
      </c>
      <c r="D309" s="241" t="s">
        <v>277</v>
      </c>
      <c r="E309" s="241" t="s">
        <v>277</v>
      </c>
      <c r="F309" s="552">
        <f t="shared" si="48"/>
        <v>11801.79</v>
      </c>
      <c r="G309" s="555">
        <v>10728.9</v>
      </c>
      <c r="H309" s="1426" t="s">
        <v>1166</v>
      </c>
      <c r="I309" s="1427"/>
      <c r="J309" s="154"/>
    </row>
    <row r="310" spans="1:10" ht="25.5" customHeight="1">
      <c r="A310" s="176"/>
      <c r="B310" s="535" t="s">
        <v>1139</v>
      </c>
      <c r="C310" s="177" t="s">
        <v>1221</v>
      </c>
      <c r="D310" s="554">
        <v>295.99212562499997</v>
      </c>
      <c r="E310" s="617">
        <f>SUM(D310*1.1)</f>
        <v>325.59133818750001</v>
      </c>
      <c r="F310" s="241" t="s">
        <v>277</v>
      </c>
      <c r="G310" s="241" t="s">
        <v>277</v>
      </c>
      <c r="H310" s="1426" t="s">
        <v>1170</v>
      </c>
      <c r="I310" s="1427"/>
      <c r="J310" s="154"/>
    </row>
    <row r="311" spans="1:10" ht="25.5" customHeight="1">
      <c r="A311" s="176"/>
      <c r="B311" s="535" t="s">
        <v>1139</v>
      </c>
      <c r="C311" s="177" t="s">
        <v>1221</v>
      </c>
      <c r="D311" s="554" t="s">
        <v>539</v>
      </c>
      <c r="E311" s="554" t="s">
        <v>539</v>
      </c>
      <c r="F311" s="241" t="s">
        <v>277</v>
      </c>
      <c r="G311" s="241" t="s">
        <v>277</v>
      </c>
      <c r="H311" s="1426" t="s">
        <v>1171</v>
      </c>
      <c r="I311" s="1427"/>
      <c r="J311" s="154"/>
    </row>
    <row r="312" spans="1:10" ht="22.5">
      <c r="A312" s="176"/>
      <c r="B312" s="535" t="s">
        <v>1140</v>
      </c>
      <c r="C312" s="177" t="s">
        <v>1221</v>
      </c>
      <c r="D312" s="241" t="s">
        <v>277</v>
      </c>
      <c r="E312" s="241" t="s">
        <v>277</v>
      </c>
      <c r="F312" s="552">
        <f t="shared" ref="F312" si="49">SUM(1.1*G312)</f>
        <v>11378.29</v>
      </c>
      <c r="G312" s="555">
        <v>10343.9</v>
      </c>
      <c r="H312" s="1422" t="s">
        <v>1167</v>
      </c>
      <c r="I312" s="1423"/>
      <c r="J312" s="154"/>
    </row>
    <row r="313" spans="1:10" ht="22.5">
      <c r="A313" s="176"/>
      <c r="B313" s="535" t="s">
        <v>1141</v>
      </c>
      <c r="C313" s="177" t="s">
        <v>1221</v>
      </c>
      <c r="D313" s="554">
        <v>57.724978584549383</v>
      </c>
      <c r="E313" s="617">
        <f>SUM(D313*1.1)</f>
        <v>63.497476443004324</v>
      </c>
      <c r="G313" s="555" t="s">
        <v>538</v>
      </c>
      <c r="H313" s="1422" t="s">
        <v>1168</v>
      </c>
      <c r="I313" s="1423"/>
      <c r="J313" s="154"/>
    </row>
    <row r="314" spans="1:10" ht="25.5" customHeight="1">
      <c r="A314" s="176"/>
      <c r="B314" s="535" t="s">
        <v>1142</v>
      </c>
      <c r="C314" s="177" t="s">
        <v>1221</v>
      </c>
      <c r="D314" s="241" t="s">
        <v>277</v>
      </c>
      <c r="E314" s="241" t="s">
        <v>277</v>
      </c>
      <c r="F314" s="552">
        <f t="shared" ref="F314" si="50">SUM(1.1*G314)</f>
        <v>23513.490000000005</v>
      </c>
      <c r="G314" s="555">
        <v>21375.9</v>
      </c>
      <c r="H314" s="1426" t="s">
        <v>1166</v>
      </c>
      <c r="I314" s="1427"/>
      <c r="J314" s="154"/>
    </row>
    <row r="315" spans="1:10" ht="25.5" customHeight="1">
      <c r="A315" s="176"/>
      <c r="B315" s="535" t="s">
        <v>1142</v>
      </c>
      <c r="C315" s="177" t="s">
        <v>1221</v>
      </c>
      <c r="D315" s="554">
        <v>589.72476937499994</v>
      </c>
      <c r="E315" s="617">
        <f>SUM(D315*1.1)</f>
        <v>648.69724631249994</v>
      </c>
      <c r="F315" s="241" t="s">
        <v>277</v>
      </c>
      <c r="G315" s="241" t="s">
        <v>277</v>
      </c>
      <c r="H315" s="1426" t="s">
        <v>1170</v>
      </c>
      <c r="I315" s="1427"/>
      <c r="J315" s="154"/>
    </row>
    <row r="316" spans="1:10" ht="25.5" customHeight="1">
      <c r="A316" s="176"/>
      <c r="B316" s="535" t="s">
        <v>1142</v>
      </c>
      <c r="C316" s="177" t="s">
        <v>1221</v>
      </c>
      <c r="D316" s="554" t="s">
        <v>539</v>
      </c>
      <c r="E316" s="554" t="s">
        <v>539</v>
      </c>
      <c r="F316" s="241" t="s">
        <v>277</v>
      </c>
      <c r="G316" s="241" t="s">
        <v>277</v>
      </c>
      <c r="H316" s="1426" t="s">
        <v>1171</v>
      </c>
      <c r="I316" s="1427"/>
      <c r="J316" s="154"/>
    </row>
    <row r="317" spans="1:10" ht="22.5">
      <c r="A317" s="176"/>
      <c r="B317" s="535" t="s">
        <v>1143</v>
      </c>
      <c r="C317" s="177" t="s">
        <v>1221</v>
      </c>
      <c r="D317" s="241" t="s">
        <v>277</v>
      </c>
      <c r="E317" s="241" t="s">
        <v>277</v>
      </c>
      <c r="F317" s="552">
        <f t="shared" ref="F317" si="51">SUM(1.1*G317)</f>
        <v>23089.990000000005</v>
      </c>
      <c r="G317" s="555">
        <v>20990.9</v>
      </c>
      <c r="H317" s="1422" t="s">
        <v>1167</v>
      </c>
      <c r="I317" s="1423"/>
      <c r="J317" s="154"/>
    </row>
    <row r="318" spans="1:10" ht="22.5">
      <c r="A318" s="176"/>
      <c r="B318" s="535" t="s">
        <v>1144</v>
      </c>
      <c r="C318" s="177" t="s">
        <v>1221</v>
      </c>
      <c r="D318" s="554">
        <v>119.98027194408868</v>
      </c>
      <c r="E318" s="617">
        <f>SUM(D318*1.1)</f>
        <v>131.97829913849756</v>
      </c>
      <c r="F318" s="241" t="s">
        <v>277</v>
      </c>
      <c r="G318" s="241" t="s">
        <v>277</v>
      </c>
      <c r="H318" s="1422" t="s">
        <v>1168</v>
      </c>
      <c r="I318" s="1423"/>
      <c r="J318" s="154"/>
    </row>
    <row r="319" spans="1:10" ht="25.5" customHeight="1">
      <c r="A319" s="176"/>
      <c r="B319" s="535" t="s">
        <v>1145</v>
      </c>
      <c r="C319" s="177" t="s">
        <v>1221</v>
      </c>
      <c r="D319" s="241" t="s">
        <v>277</v>
      </c>
      <c r="E319" s="241" t="s">
        <v>277</v>
      </c>
      <c r="F319" s="552">
        <f t="shared" ref="F319" si="52">SUM(1.1*G319)</f>
        <v>995.99499999999989</v>
      </c>
      <c r="G319" s="555">
        <v>905.44999999999982</v>
      </c>
      <c r="H319" s="1426" t="s">
        <v>1166</v>
      </c>
      <c r="I319" s="1427"/>
      <c r="J319" s="154"/>
    </row>
    <row r="320" spans="1:10" ht="25.5" customHeight="1">
      <c r="A320" s="176"/>
      <c r="B320" s="535" t="s">
        <v>1145</v>
      </c>
      <c r="C320" s="177" t="s">
        <v>1221</v>
      </c>
      <c r="D320" s="554">
        <v>37.813026458333333</v>
      </c>
      <c r="E320" s="617">
        <f>SUM(D320*1.1)</f>
        <v>41.594329104166668</v>
      </c>
      <c r="F320" s="241" t="s">
        <v>277</v>
      </c>
      <c r="G320" s="241" t="s">
        <v>277</v>
      </c>
      <c r="H320" s="1426" t="s">
        <v>1170</v>
      </c>
      <c r="I320" s="1427"/>
      <c r="J320" s="154"/>
    </row>
    <row r="321" spans="1:10" ht="25.5" customHeight="1">
      <c r="A321" s="176"/>
      <c r="B321" s="535" t="s">
        <v>1145</v>
      </c>
      <c r="C321" s="177" t="s">
        <v>1221</v>
      </c>
      <c r="D321" s="554" t="s">
        <v>539</v>
      </c>
      <c r="E321" s="554" t="s">
        <v>539</v>
      </c>
      <c r="F321" s="241" t="s">
        <v>277</v>
      </c>
      <c r="G321" s="241" t="s">
        <v>277</v>
      </c>
      <c r="H321" s="1426" t="s">
        <v>1171</v>
      </c>
      <c r="I321" s="1427"/>
      <c r="J321" s="154"/>
    </row>
    <row r="322" spans="1:10" ht="22.5">
      <c r="A322" s="176"/>
      <c r="B322" s="535" t="s">
        <v>1146</v>
      </c>
      <c r="C322" s="177" t="s">
        <v>1221</v>
      </c>
      <c r="D322" s="241" t="s">
        <v>277</v>
      </c>
      <c r="E322" s="241" t="s">
        <v>277</v>
      </c>
      <c r="F322" s="552">
        <f t="shared" ref="F322:F323" si="53">SUM(1.1*G322)</f>
        <v>572.49499999999989</v>
      </c>
      <c r="G322" s="555">
        <v>520.44999999999982</v>
      </c>
      <c r="H322" s="1422" t="s">
        <v>1167</v>
      </c>
      <c r="I322" s="1423"/>
      <c r="J322" s="154"/>
    </row>
    <row r="323" spans="1:10" ht="25.5" customHeight="1">
      <c r="A323" s="176"/>
      <c r="B323" s="535" t="s">
        <v>1147</v>
      </c>
      <c r="C323" s="177" t="s">
        <v>1221</v>
      </c>
      <c r="D323" s="241" t="s">
        <v>277</v>
      </c>
      <c r="E323" s="241" t="s">
        <v>277</v>
      </c>
      <c r="F323" s="552">
        <f t="shared" si="53"/>
        <v>6000.9949999999999</v>
      </c>
      <c r="G323" s="555">
        <v>5455.45</v>
      </c>
      <c r="H323" s="1426" t="s">
        <v>1166</v>
      </c>
      <c r="I323" s="1427"/>
      <c r="J323" s="154"/>
    </row>
    <row r="324" spans="1:10" ht="25.5" customHeight="1">
      <c r="A324" s="176"/>
      <c r="B324" s="535" t="s">
        <v>1147</v>
      </c>
      <c r="C324" s="177" t="s">
        <v>1221</v>
      </c>
      <c r="D324" s="554">
        <v>150.50659822916666</v>
      </c>
      <c r="E324" s="617">
        <f>SUM(D324*1.1)</f>
        <v>165.55725805208334</v>
      </c>
      <c r="F324" s="241" t="s">
        <v>277</v>
      </c>
      <c r="G324" s="241" t="s">
        <v>277</v>
      </c>
      <c r="H324" s="1426" t="s">
        <v>1170</v>
      </c>
      <c r="I324" s="1427"/>
      <c r="J324" s="154"/>
    </row>
    <row r="325" spans="1:10" ht="25.5" customHeight="1">
      <c r="A325" s="176"/>
      <c r="B325" s="535" t="s">
        <v>1147</v>
      </c>
      <c r="C325" s="177" t="s">
        <v>1221</v>
      </c>
      <c r="D325" s="554" t="s">
        <v>539</v>
      </c>
      <c r="E325" s="554" t="s">
        <v>539</v>
      </c>
      <c r="F325" s="241" t="s">
        <v>277</v>
      </c>
      <c r="G325" s="241" t="s">
        <v>277</v>
      </c>
      <c r="H325" s="1426" t="s">
        <v>1171</v>
      </c>
      <c r="I325" s="1427"/>
      <c r="J325" s="154"/>
    </row>
    <row r="326" spans="1:10" ht="22.5">
      <c r="A326" s="176"/>
      <c r="B326" s="535" t="s">
        <v>1148</v>
      </c>
      <c r="C326" s="177" t="s">
        <v>1221</v>
      </c>
      <c r="D326" s="241" t="s">
        <v>277</v>
      </c>
      <c r="E326" s="241" t="s">
        <v>277</v>
      </c>
      <c r="F326" s="552">
        <f t="shared" ref="F326:F327" si="54">SUM(1.1*G326)</f>
        <v>6000.9949999999999</v>
      </c>
      <c r="G326" s="555">
        <v>5455.45</v>
      </c>
      <c r="H326" s="1422" t="s">
        <v>1167</v>
      </c>
      <c r="I326" s="1423"/>
      <c r="J326" s="154"/>
    </row>
    <row r="327" spans="1:10" ht="25.5" customHeight="1">
      <c r="A327" s="176"/>
      <c r="B327" s="535" t="s">
        <v>1149</v>
      </c>
      <c r="C327" s="177" t="s">
        <v>1221</v>
      </c>
      <c r="D327" s="241" t="s">
        <v>277</v>
      </c>
      <c r="E327" s="241" t="s">
        <v>277</v>
      </c>
      <c r="F327" s="552">
        <f t="shared" si="54"/>
        <v>16511.494999999999</v>
      </c>
      <c r="G327" s="555">
        <v>15010.449999999999</v>
      </c>
      <c r="H327" s="1426" t="s">
        <v>1166</v>
      </c>
      <c r="I327" s="1427"/>
      <c r="J327" s="154"/>
    </row>
    <row r="328" spans="1:10" ht="25.5" customHeight="1">
      <c r="A328" s="176"/>
      <c r="B328" s="535" t="s">
        <v>1149</v>
      </c>
      <c r="C328" s="177" t="s">
        <v>1221</v>
      </c>
      <c r="D328" s="554">
        <v>414.11281697916661</v>
      </c>
      <c r="E328" s="617">
        <f>SUM(D328*1.1)</f>
        <v>455.52409867708332</v>
      </c>
      <c r="F328" s="241" t="s">
        <v>277</v>
      </c>
      <c r="G328" s="241" t="s">
        <v>277</v>
      </c>
      <c r="H328" s="1426" t="s">
        <v>1170</v>
      </c>
      <c r="I328" s="1427"/>
      <c r="J328" s="154"/>
    </row>
    <row r="329" spans="1:10" ht="25.5" customHeight="1">
      <c r="A329" s="176"/>
      <c r="B329" s="535" t="s">
        <v>1149</v>
      </c>
      <c r="C329" s="177" t="s">
        <v>1221</v>
      </c>
      <c r="D329" s="554" t="s">
        <v>539</v>
      </c>
      <c r="E329" s="554" t="s">
        <v>539</v>
      </c>
      <c r="F329" s="241" t="s">
        <v>277</v>
      </c>
      <c r="G329" s="241" t="s">
        <v>277</v>
      </c>
      <c r="H329" s="1426" t="s">
        <v>1171</v>
      </c>
      <c r="I329" s="1427"/>
      <c r="J329" s="154"/>
    </row>
    <row r="330" spans="1:10" ht="22.5">
      <c r="A330" s="176"/>
      <c r="B330" s="535" t="s">
        <v>1150</v>
      </c>
      <c r="C330" s="177" t="s">
        <v>1221</v>
      </c>
      <c r="D330" s="241" t="s">
        <v>277</v>
      </c>
      <c r="E330" s="241" t="s">
        <v>277</v>
      </c>
      <c r="F330" s="552">
        <f t="shared" ref="F330:F331" si="55">SUM(1.1*G330)</f>
        <v>16511.494999999999</v>
      </c>
      <c r="G330" s="555">
        <v>15010.449999999999</v>
      </c>
      <c r="H330" s="1422" t="s">
        <v>1167</v>
      </c>
      <c r="I330" s="1423"/>
      <c r="J330" s="154"/>
    </row>
    <row r="331" spans="1:10" ht="12.75" customHeight="1">
      <c r="A331" s="176"/>
      <c r="B331" s="535" t="s">
        <v>3</v>
      </c>
      <c r="C331" s="177" t="s">
        <v>1221</v>
      </c>
      <c r="D331" s="241" t="s">
        <v>277</v>
      </c>
      <c r="E331" s="241" t="s">
        <v>277</v>
      </c>
      <c r="F331" s="552">
        <f t="shared" si="55"/>
        <v>301.0710280373832</v>
      </c>
      <c r="G331" s="555">
        <v>273.70093457943926</v>
      </c>
      <c r="H331" s="1426" t="s">
        <v>1166</v>
      </c>
      <c r="I331" s="1427"/>
      <c r="J331" s="154"/>
    </row>
    <row r="332" spans="1:10" ht="12.75" customHeight="1">
      <c r="A332" s="176"/>
      <c r="B332" s="535" t="s">
        <v>3</v>
      </c>
      <c r="C332" s="177" t="s">
        <v>1221</v>
      </c>
      <c r="D332" s="554">
        <v>8.6807566355140189</v>
      </c>
      <c r="E332" s="617">
        <f>SUM(D332*1.1)</f>
        <v>9.5488322990654222</v>
      </c>
      <c r="F332" s="241" t="s">
        <v>277</v>
      </c>
      <c r="G332" s="241" t="s">
        <v>277</v>
      </c>
      <c r="H332" s="1426" t="s">
        <v>1170</v>
      </c>
      <c r="I332" s="1427"/>
      <c r="J332" s="154"/>
    </row>
    <row r="333" spans="1:10" ht="12.75" customHeight="1">
      <c r="A333" s="176"/>
      <c r="B333" s="535" t="s">
        <v>3</v>
      </c>
      <c r="C333" s="177" t="s">
        <v>1221</v>
      </c>
      <c r="D333" s="554" t="s">
        <v>539</v>
      </c>
      <c r="E333" s="554" t="s">
        <v>539</v>
      </c>
      <c r="F333" s="241" t="s">
        <v>277</v>
      </c>
      <c r="G333" s="241" t="s">
        <v>277</v>
      </c>
      <c r="H333" s="1426" t="s">
        <v>1171</v>
      </c>
      <c r="I333" s="1427"/>
      <c r="J333" s="154"/>
    </row>
    <row r="334" spans="1:10" ht="11.25">
      <c r="A334" s="176"/>
      <c r="B334" s="535" t="s">
        <v>1151</v>
      </c>
      <c r="C334" s="177" t="s">
        <v>1221</v>
      </c>
      <c r="D334" s="241" t="s">
        <v>277</v>
      </c>
      <c r="E334" s="241" t="s">
        <v>277</v>
      </c>
      <c r="F334" s="552">
        <f t="shared" ref="F334" si="56">SUM(1.1*G334)</f>
        <v>243.87102803738321</v>
      </c>
      <c r="G334" s="555">
        <v>221.70093457943926</v>
      </c>
      <c r="H334" s="1422" t="s">
        <v>1167</v>
      </c>
      <c r="I334" s="1423"/>
      <c r="J334" s="154"/>
    </row>
    <row r="335" spans="1:10" ht="22.5">
      <c r="A335" s="176"/>
      <c r="B335" s="535" t="s">
        <v>1152</v>
      </c>
      <c r="C335" s="177" t="s">
        <v>1221</v>
      </c>
      <c r="D335" s="554">
        <v>2.1962616822429908</v>
      </c>
      <c r="E335" s="617">
        <f>SUM(D335*1.1)</f>
        <v>2.41588785046729</v>
      </c>
      <c r="F335" s="241" t="s">
        <v>277</v>
      </c>
      <c r="G335" s="241" t="s">
        <v>277</v>
      </c>
      <c r="H335" s="1422" t="s">
        <v>1168</v>
      </c>
      <c r="I335" s="1423"/>
      <c r="J335" s="154"/>
    </row>
    <row r="336" spans="1:10" ht="25.5" customHeight="1">
      <c r="A336" s="176"/>
      <c r="B336" s="535" t="s">
        <v>4</v>
      </c>
      <c r="C336" s="177" t="s">
        <v>1221</v>
      </c>
      <c r="D336" s="241" t="s">
        <v>277</v>
      </c>
      <c r="E336" s="241" t="s">
        <v>277</v>
      </c>
      <c r="F336" s="552">
        <f t="shared" ref="F336:F338" si="57">SUM(1.1*G336)</f>
        <v>127.60000000000001</v>
      </c>
      <c r="G336" s="555">
        <v>116</v>
      </c>
      <c r="H336" s="1422" t="s">
        <v>1166</v>
      </c>
      <c r="I336" s="1423"/>
      <c r="J336" s="154"/>
    </row>
    <row r="337" spans="1:10" ht="25.5" customHeight="1">
      <c r="A337" s="176"/>
      <c r="B337" s="535" t="s">
        <v>5</v>
      </c>
      <c r="C337" s="177" t="s">
        <v>1221</v>
      </c>
      <c r="D337" s="241" t="s">
        <v>277</v>
      </c>
      <c r="E337" s="241" t="s">
        <v>277</v>
      </c>
      <c r="F337" s="552">
        <f t="shared" si="57"/>
        <v>252.01308411214953</v>
      </c>
      <c r="G337" s="555">
        <v>229.10280373831773</v>
      </c>
      <c r="H337" s="1422" t="s">
        <v>1166</v>
      </c>
      <c r="I337" s="1423"/>
      <c r="J337" s="154"/>
    </row>
    <row r="338" spans="1:10" ht="12.75" customHeight="1">
      <c r="A338" s="176"/>
      <c r="B338" s="535" t="s">
        <v>6</v>
      </c>
      <c r="C338" s="177" t="s">
        <v>1221</v>
      </c>
      <c r="D338" s="554" t="s">
        <v>538</v>
      </c>
      <c r="E338" s="554" t="s">
        <v>538</v>
      </c>
      <c r="F338" s="552">
        <f t="shared" si="57"/>
        <v>237.27102803738322</v>
      </c>
      <c r="G338" s="555">
        <v>215.70093457943926</v>
      </c>
      <c r="H338" s="1426" t="s">
        <v>1166</v>
      </c>
      <c r="I338" s="1427"/>
      <c r="J338" s="154"/>
    </row>
    <row r="339" spans="1:10" ht="12.75" customHeight="1">
      <c r="A339" s="176"/>
      <c r="B339" s="535" t="s">
        <v>6</v>
      </c>
      <c r="C339" s="177" t="s">
        <v>1221</v>
      </c>
      <c r="D339" s="554">
        <v>6.8770183177570079</v>
      </c>
      <c r="E339" s="617">
        <f>SUM(D339*1.1)</f>
        <v>7.5647201495327092</v>
      </c>
      <c r="F339" s="241" t="s">
        <v>277</v>
      </c>
      <c r="G339" s="241" t="s">
        <v>277</v>
      </c>
      <c r="H339" s="1426" t="s">
        <v>1170</v>
      </c>
      <c r="I339" s="1427"/>
      <c r="J339" s="154"/>
    </row>
    <row r="340" spans="1:10" ht="12.75" customHeight="1">
      <c r="A340" s="176"/>
      <c r="B340" s="535" t="s">
        <v>6</v>
      </c>
      <c r="C340" s="177" t="s">
        <v>1221</v>
      </c>
      <c r="D340" s="554" t="s">
        <v>539</v>
      </c>
      <c r="E340" s="554" t="s">
        <v>539</v>
      </c>
      <c r="F340" s="241" t="s">
        <v>277</v>
      </c>
      <c r="G340" s="241" t="s">
        <v>277</v>
      </c>
      <c r="H340" s="1426" t="s">
        <v>1171</v>
      </c>
      <c r="I340" s="1427"/>
      <c r="J340" s="154"/>
    </row>
    <row r="341" spans="1:10" ht="11.25">
      <c r="A341" s="176"/>
      <c r="B341" s="535" t="s">
        <v>1153</v>
      </c>
      <c r="C341" s="177" t="s">
        <v>1221</v>
      </c>
      <c r="D341" s="241" t="s">
        <v>277</v>
      </c>
      <c r="E341" s="241" t="s">
        <v>277</v>
      </c>
      <c r="F341" s="552">
        <f t="shared" ref="F341" si="58">SUM(1.1*G341)</f>
        <v>180.0710280373832</v>
      </c>
      <c r="G341" s="555">
        <v>163.70093457943926</v>
      </c>
      <c r="H341" s="1422" t="s">
        <v>1167</v>
      </c>
      <c r="I341" s="1423"/>
      <c r="J341" s="154"/>
    </row>
    <row r="342" spans="1:10" ht="22.5">
      <c r="A342" s="176"/>
      <c r="B342" s="535" t="s">
        <v>1154</v>
      </c>
      <c r="C342" s="177" t="s">
        <v>1221</v>
      </c>
      <c r="D342" s="554">
        <v>1.75</v>
      </c>
      <c r="E342" s="617">
        <f>SUM(D342*1.1)</f>
        <v>1.9250000000000003</v>
      </c>
      <c r="F342" s="241" t="s">
        <v>277</v>
      </c>
      <c r="G342" s="241" t="s">
        <v>277</v>
      </c>
      <c r="H342" s="1422" t="s">
        <v>1168</v>
      </c>
      <c r="I342" s="1423"/>
      <c r="J342" s="154"/>
    </row>
    <row r="343" spans="1:10" ht="12.75" customHeight="1">
      <c r="A343" s="176"/>
      <c r="B343" s="535" t="s">
        <v>7</v>
      </c>
      <c r="C343" s="177" t="s">
        <v>1221</v>
      </c>
      <c r="D343" s="241" t="s">
        <v>277</v>
      </c>
      <c r="E343" s="241" t="s">
        <v>277</v>
      </c>
      <c r="F343" s="552">
        <f t="shared" ref="F343" si="59">SUM(1.1*G343)</f>
        <v>21616.595000000001</v>
      </c>
      <c r="G343" s="555">
        <v>19651.45</v>
      </c>
      <c r="H343" s="1426" t="s">
        <v>1166</v>
      </c>
      <c r="I343" s="1427"/>
      <c r="J343" s="154"/>
    </row>
    <row r="344" spans="1:10" ht="12.75" customHeight="1">
      <c r="A344" s="176"/>
      <c r="B344" s="535" t="s">
        <v>7</v>
      </c>
      <c r="C344" s="177" t="s">
        <v>1221</v>
      </c>
      <c r="D344" s="554">
        <v>631.33104000000003</v>
      </c>
      <c r="E344" s="617">
        <f>SUM(D344*1.1)</f>
        <v>694.46414400000003</v>
      </c>
      <c r="F344" s="241" t="s">
        <v>277</v>
      </c>
      <c r="G344" s="241" t="s">
        <v>277</v>
      </c>
      <c r="H344" s="1426" t="s">
        <v>1170</v>
      </c>
      <c r="I344" s="1427"/>
      <c r="J344" s="154"/>
    </row>
    <row r="345" spans="1:10" ht="12.75" customHeight="1">
      <c r="A345" s="176"/>
      <c r="B345" s="535" t="s">
        <v>7</v>
      </c>
      <c r="C345" s="177" t="s">
        <v>1221</v>
      </c>
      <c r="D345" s="554" t="s">
        <v>539</v>
      </c>
      <c r="E345" s="554" t="s">
        <v>539</v>
      </c>
      <c r="F345" s="241" t="s">
        <v>277</v>
      </c>
      <c r="G345" s="241" t="s">
        <v>277</v>
      </c>
      <c r="H345" s="1426" t="s">
        <v>1171</v>
      </c>
      <c r="I345" s="1427"/>
      <c r="J345" s="154"/>
    </row>
    <row r="346" spans="1:10" ht="11.25">
      <c r="A346" s="176"/>
      <c r="B346" s="535" t="s">
        <v>1155</v>
      </c>
      <c r="C346" s="177" t="s">
        <v>1221</v>
      </c>
      <c r="D346" s="241" t="s">
        <v>277</v>
      </c>
      <c r="E346" s="241" t="s">
        <v>277</v>
      </c>
      <c r="F346" s="552">
        <f t="shared" ref="F346" si="60">SUM(1.1*G346)</f>
        <v>21193.095000000001</v>
      </c>
      <c r="G346" s="555">
        <v>19266.45</v>
      </c>
      <c r="H346" s="1422" t="s">
        <v>1167</v>
      </c>
      <c r="I346" s="1423"/>
      <c r="J346" s="154"/>
    </row>
    <row r="347" spans="1:10" ht="22.5">
      <c r="A347" s="176"/>
      <c r="B347" s="535" t="s">
        <v>1156</v>
      </c>
      <c r="C347" s="177" t="s">
        <v>1221</v>
      </c>
      <c r="D347" s="554">
        <v>367.98</v>
      </c>
      <c r="E347" s="617">
        <f>SUM(D347*1.1)</f>
        <v>404.77800000000008</v>
      </c>
      <c r="F347" s="241" t="s">
        <v>277</v>
      </c>
      <c r="G347" s="241" t="s">
        <v>277</v>
      </c>
      <c r="H347" s="1422" t="s">
        <v>1168</v>
      </c>
      <c r="I347" s="1423"/>
      <c r="J347" s="154"/>
    </row>
    <row r="348" spans="1:10" ht="12.75" customHeight="1">
      <c r="A348" s="176"/>
      <c r="B348" s="535" t="s">
        <v>8</v>
      </c>
      <c r="C348" s="177" t="s">
        <v>1221</v>
      </c>
      <c r="D348" s="241" t="s">
        <v>277</v>
      </c>
      <c r="E348" s="241" t="s">
        <v>277</v>
      </c>
      <c r="F348" s="552">
        <f t="shared" ref="F348" si="61">SUM(1.1*G348)</f>
        <v>2697.6950000000002</v>
      </c>
      <c r="G348" s="555">
        <v>2452.4499999999998</v>
      </c>
      <c r="H348" s="1426" t="s">
        <v>1166</v>
      </c>
      <c r="I348" s="1427"/>
      <c r="J348" s="154"/>
    </row>
    <row r="349" spans="1:10" ht="12.75" customHeight="1">
      <c r="A349" s="176"/>
      <c r="B349" s="535" t="s">
        <v>8</v>
      </c>
      <c r="C349" s="177" t="s">
        <v>1221</v>
      </c>
      <c r="D349" s="554">
        <v>78.786239999999992</v>
      </c>
      <c r="E349" s="617">
        <f>SUM(D349*1.1)</f>
        <v>86.664863999999994</v>
      </c>
      <c r="F349" s="241" t="s">
        <v>277</v>
      </c>
      <c r="G349" s="241" t="s">
        <v>277</v>
      </c>
      <c r="H349" s="1426" t="s">
        <v>1170</v>
      </c>
      <c r="I349" s="1427"/>
      <c r="J349" s="154"/>
    </row>
    <row r="350" spans="1:10" ht="12.75" customHeight="1">
      <c r="A350" s="176"/>
      <c r="B350" s="535" t="s">
        <v>8</v>
      </c>
      <c r="C350" s="177" t="s">
        <v>1221</v>
      </c>
      <c r="D350" s="554" t="s">
        <v>539</v>
      </c>
      <c r="E350" s="554" t="s">
        <v>539</v>
      </c>
      <c r="F350" s="241" t="s">
        <v>277</v>
      </c>
      <c r="G350" s="241" t="s">
        <v>277</v>
      </c>
      <c r="H350" s="1426" t="s">
        <v>1171</v>
      </c>
      <c r="I350" s="1427"/>
      <c r="J350" s="154"/>
    </row>
    <row r="351" spans="1:10" ht="11.25">
      <c r="A351" s="176"/>
      <c r="B351" s="535" t="s">
        <v>1157</v>
      </c>
      <c r="C351" s="177" t="s">
        <v>1221</v>
      </c>
      <c r="D351" s="241" t="s">
        <v>277</v>
      </c>
      <c r="E351" s="241" t="s">
        <v>277</v>
      </c>
      <c r="F351" s="552">
        <f t="shared" ref="F351" si="62">SUM(1.1*G351)</f>
        <v>2274.1950000000002</v>
      </c>
      <c r="G351" s="555">
        <v>2067.4499999999998</v>
      </c>
      <c r="H351" s="1422" t="s">
        <v>1167</v>
      </c>
      <c r="I351" s="1423"/>
      <c r="J351" s="154"/>
    </row>
    <row r="352" spans="1:10" ht="11.25">
      <c r="A352" s="176"/>
      <c r="B352" s="535" t="s">
        <v>1158</v>
      </c>
      <c r="C352" s="177" t="s">
        <v>1221</v>
      </c>
      <c r="D352" s="554">
        <v>66.27</v>
      </c>
      <c r="E352" s="617">
        <f>SUM(D352*1.1)</f>
        <v>72.897000000000006</v>
      </c>
      <c r="F352" s="241" t="s">
        <v>277</v>
      </c>
      <c r="G352" s="241" t="s">
        <v>277</v>
      </c>
      <c r="H352" s="1422" t="s">
        <v>1168</v>
      </c>
      <c r="I352" s="1423"/>
      <c r="J352" s="154"/>
    </row>
    <row r="353" spans="1:10" ht="12.75" customHeight="1">
      <c r="A353" s="176"/>
      <c r="B353" s="535" t="s">
        <v>9</v>
      </c>
      <c r="C353" s="177" t="s">
        <v>1221</v>
      </c>
      <c r="D353" s="241" t="s">
        <v>277</v>
      </c>
      <c r="E353" s="241" t="s">
        <v>277</v>
      </c>
      <c r="F353" s="552">
        <f t="shared" ref="F353" si="63">SUM(1.1*G353)</f>
        <v>6655.11</v>
      </c>
      <c r="G353" s="555">
        <v>6050.0999999999995</v>
      </c>
      <c r="H353" s="1426" t="s">
        <v>1166</v>
      </c>
      <c r="I353" s="1427"/>
      <c r="J353" s="154"/>
    </row>
    <row r="354" spans="1:10" ht="12.75" customHeight="1">
      <c r="A354" s="176"/>
      <c r="B354" s="535" t="s">
        <v>9</v>
      </c>
      <c r="C354" s="177" t="s">
        <v>1221</v>
      </c>
      <c r="D354" s="554">
        <v>266.27503830000001</v>
      </c>
      <c r="E354" s="617">
        <f>SUM(D354*1.1)</f>
        <v>292.90254213000003</v>
      </c>
      <c r="F354" s="241" t="s">
        <v>277</v>
      </c>
      <c r="G354" s="241" t="s">
        <v>277</v>
      </c>
      <c r="H354" s="1426" t="s">
        <v>1170</v>
      </c>
      <c r="I354" s="1427"/>
      <c r="J354" s="154"/>
    </row>
    <row r="355" spans="1:10" ht="12.75" customHeight="1">
      <c r="A355" s="176"/>
      <c r="B355" s="535" t="s">
        <v>9</v>
      </c>
      <c r="C355" s="177" t="s">
        <v>1221</v>
      </c>
      <c r="D355" s="554" t="s">
        <v>539</v>
      </c>
      <c r="E355" s="554" t="s">
        <v>539</v>
      </c>
      <c r="F355" s="241" t="s">
        <v>277</v>
      </c>
      <c r="G355" s="241" t="s">
        <v>277</v>
      </c>
      <c r="H355" s="1426" t="s">
        <v>1171</v>
      </c>
      <c r="I355" s="1427"/>
      <c r="J355" s="154"/>
    </row>
    <row r="356" spans="1:10" ht="11.25">
      <c r="A356" s="176"/>
      <c r="B356" s="535" t="s">
        <v>1159</v>
      </c>
      <c r="C356" s="177" t="s">
        <v>1221</v>
      </c>
      <c r="D356" s="241" t="s">
        <v>277</v>
      </c>
      <c r="E356" s="241" t="s">
        <v>277</v>
      </c>
      <c r="F356" s="552">
        <f t="shared" ref="F356" si="64">SUM(1.1*G356)</f>
        <v>6231.61</v>
      </c>
      <c r="G356" s="555">
        <v>5665.0999999999995</v>
      </c>
      <c r="H356" s="1422" t="s">
        <v>1167</v>
      </c>
      <c r="I356" s="1423"/>
      <c r="J356" s="154"/>
    </row>
    <row r="357" spans="1:10" ht="11.25">
      <c r="A357" s="176"/>
      <c r="B357" s="535" t="s">
        <v>1160</v>
      </c>
      <c r="C357" s="177" t="s">
        <v>1221</v>
      </c>
      <c r="D357" s="554">
        <v>53</v>
      </c>
      <c r="E357" s="617">
        <f>SUM(D357*1.1)</f>
        <v>58.300000000000004</v>
      </c>
      <c r="F357" s="241" t="s">
        <v>277</v>
      </c>
      <c r="G357" s="241" t="s">
        <v>277</v>
      </c>
      <c r="H357" s="1422" t="s">
        <v>1168</v>
      </c>
      <c r="I357" s="1423"/>
      <c r="J357" s="154"/>
    </row>
    <row r="358" spans="1:10" ht="12.75" customHeight="1">
      <c r="A358" s="176"/>
      <c r="B358" s="535" t="s">
        <v>10</v>
      </c>
      <c r="C358" s="177" t="s">
        <v>1221</v>
      </c>
      <c r="D358" s="241" t="s">
        <v>277</v>
      </c>
      <c r="E358" s="241" t="s">
        <v>277</v>
      </c>
      <c r="F358" s="552">
        <f t="shared" ref="F358" si="65">SUM(1.1*G358)</f>
        <v>11698.500000000002</v>
      </c>
      <c r="G358" s="555">
        <v>10635</v>
      </c>
      <c r="H358" s="1426" t="s">
        <v>1166</v>
      </c>
      <c r="I358" s="1427"/>
      <c r="J358" s="154"/>
    </row>
    <row r="359" spans="1:10" ht="12.75" customHeight="1">
      <c r="A359" s="176"/>
      <c r="B359" s="535" t="s">
        <v>10</v>
      </c>
      <c r="C359" s="177" t="s">
        <v>1221</v>
      </c>
      <c r="D359" s="554">
        <v>472.28834999999992</v>
      </c>
      <c r="E359" s="617">
        <f>SUM(D359*1.1)</f>
        <v>519.51718499999993</v>
      </c>
      <c r="F359" s="241" t="s">
        <v>277</v>
      </c>
      <c r="G359" s="241" t="s">
        <v>277</v>
      </c>
      <c r="H359" s="1426" t="s">
        <v>1170</v>
      </c>
      <c r="I359" s="1427"/>
      <c r="J359" s="154"/>
    </row>
    <row r="360" spans="1:10" ht="12.75" customHeight="1">
      <c r="A360" s="176"/>
      <c r="B360" s="535" t="s">
        <v>10</v>
      </c>
      <c r="C360" s="177" t="s">
        <v>1221</v>
      </c>
      <c r="D360" s="554" t="s">
        <v>539</v>
      </c>
      <c r="E360" s="554" t="s">
        <v>539</v>
      </c>
      <c r="F360" s="241" t="s">
        <v>277</v>
      </c>
      <c r="G360" s="241" t="s">
        <v>277</v>
      </c>
      <c r="H360" s="1426" t="s">
        <v>1171</v>
      </c>
      <c r="I360" s="1427"/>
      <c r="J360" s="154"/>
    </row>
    <row r="361" spans="1:10" ht="11.25">
      <c r="A361" s="176"/>
      <c r="B361" s="535" t="s">
        <v>1161</v>
      </c>
      <c r="C361" s="177" t="s">
        <v>1221</v>
      </c>
      <c r="D361" s="241" t="s">
        <v>277</v>
      </c>
      <c r="E361" s="241" t="s">
        <v>277</v>
      </c>
      <c r="F361" s="552">
        <f t="shared" ref="F361" si="66">SUM(1.1*G361)</f>
        <v>11275.000000000002</v>
      </c>
      <c r="G361" s="555">
        <v>10250</v>
      </c>
      <c r="H361" s="1422" t="s">
        <v>1167</v>
      </c>
      <c r="I361" s="1423"/>
      <c r="J361" s="154"/>
    </row>
    <row r="362" spans="1:10" ht="11.25">
      <c r="A362" s="176"/>
      <c r="B362" s="535" t="s">
        <v>1162</v>
      </c>
      <c r="C362" s="177" t="s">
        <v>1221</v>
      </c>
      <c r="D362" s="554">
        <v>152</v>
      </c>
      <c r="E362" s="617">
        <f>SUM(D362*1.1)</f>
        <v>167.20000000000002</v>
      </c>
      <c r="F362" s="241" t="s">
        <v>277</v>
      </c>
      <c r="G362" s="241" t="s">
        <v>277</v>
      </c>
      <c r="H362" s="1422" t="s">
        <v>1168</v>
      </c>
      <c r="I362" s="1423"/>
      <c r="J362" s="154"/>
    </row>
    <row r="363" spans="1:10" ht="33.75">
      <c r="A363" s="176"/>
      <c r="B363" s="535" t="s">
        <v>1163</v>
      </c>
      <c r="C363" s="177" t="s">
        <v>1221</v>
      </c>
      <c r="D363" s="241" t="s">
        <v>277</v>
      </c>
      <c r="E363" s="241" t="s">
        <v>277</v>
      </c>
      <c r="F363" s="552">
        <f t="shared" ref="F363" si="67">SUM(1.1*G363)</f>
        <v>3975.51</v>
      </c>
      <c r="G363" s="555">
        <v>3614.1</v>
      </c>
      <c r="H363" s="1426" t="s">
        <v>1166</v>
      </c>
      <c r="I363" s="1427"/>
      <c r="J363" s="154"/>
    </row>
    <row r="364" spans="1:10" ht="51" customHeight="1">
      <c r="A364" s="176"/>
      <c r="B364" s="535" t="s">
        <v>1163</v>
      </c>
      <c r="C364" s="177" t="s">
        <v>1221</v>
      </c>
      <c r="D364" s="554">
        <v>108.39999999999999</v>
      </c>
      <c r="E364" s="617">
        <f>SUM(D364*1.1)</f>
        <v>119.24</v>
      </c>
      <c r="F364" s="241" t="s">
        <v>277</v>
      </c>
      <c r="G364" s="241" t="s">
        <v>277</v>
      </c>
      <c r="H364" s="1426" t="s">
        <v>1170</v>
      </c>
      <c r="I364" s="1427"/>
      <c r="J364" s="154"/>
    </row>
    <row r="365" spans="1:10" ht="51" customHeight="1">
      <c r="A365" s="176"/>
      <c r="B365" s="535" t="s">
        <v>1163</v>
      </c>
      <c r="C365" s="177" t="s">
        <v>1221</v>
      </c>
      <c r="D365" s="554" t="s">
        <v>539</v>
      </c>
      <c r="E365" s="554" t="s">
        <v>539</v>
      </c>
      <c r="F365" s="241" t="s">
        <v>277</v>
      </c>
      <c r="G365" s="241" t="s">
        <v>277</v>
      </c>
      <c r="H365" s="1426" t="s">
        <v>1171</v>
      </c>
      <c r="I365" s="1427"/>
      <c r="J365" s="154"/>
    </row>
    <row r="366" spans="1:10" ht="45">
      <c r="A366" s="176"/>
      <c r="B366" s="535" t="s">
        <v>1164</v>
      </c>
      <c r="C366" s="177" t="s">
        <v>1221</v>
      </c>
      <c r="D366" s="241" t="s">
        <v>277</v>
      </c>
      <c r="E366" s="241" t="s">
        <v>277</v>
      </c>
      <c r="F366" s="552">
        <f t="shared" ref="F366" si="68">SUM(1.1*G366)</f>
        <v>3552.01</v>
      </c>
      <c r="G366" s="555">
        <v>3229.1</v>
      </c>
      <c r="H366" s="1422" t="s">
        <v>1167</v>
      </c>
      <c r="I366" s="1423"/>
      <c r="J366" s="154"/>
    </row>
    <row r="367" spans="1:10" ht="45">
      <c r="A367" s="176"/>
      <c r="B367" s="535" t="s">
        <v>1165</v>
      </c>
      <c r="C367" s="177" t="s">
        <v>1221</v>
      </c>
      <c r="D367" s="554">
        <v>42</v>
      </c>
      <c r="E367" s="617">
        <f>SUM(D367*1.1)</f>
        <v>46.2</v>
      </c>
      <c r="F367" s="241" t="s">
        <v>277</v>
      </c>
      <c r="G367" s="241" t="s">
        <v>277</v>
      </c>
      <c r="H367" s="1428" t="s">
        <v>1168</v>
      </c>
      <c r="I367" s="1428"/>
      <c r="J367" s="154"/>
    </row>
    <row r="368" spans="1:10" ht="42">
      <c r="A368" s="176" t="s">
        <v>2697</v>
      </c>
      <c r="B368" s="793" t="s">
        <v>2690</v>
      </c>
      <c r="C368" s="177" t="s">
        <v>1221</v>
      </c>
      <c r="D368" s="554">
        <v>142.30000000000001</v>
      </c>
      <c r="E368" s="554">
        <f>SUM(D368*1.1)</f>
        <v>156.53000000000003</v>
      </c>
      <c r="F368" s="552" t="s">
        <v>539</v>
      </c>
      <c r="G368" s="552" t="s">
        <v>539</v>
      </c>
      <c r="H368" s="1422" t="s">
        <v>2700</v>
      </c>
      <c r="I368" s="1423"/>
      <c r="J368" s="788"/>
    </row>
    <row r="369" spans="1:10" ht="42" customHeight="1">
      <c r="A369" s="176" t="s">
        <v>2697</v>
      </c>
      <c r="B369" s="793" t="s">
        <v>2691</v>
      </c>
      <c r="C369" s="177" t="s">
        <v>1221</v>
      </c>
      <c r="D369" s="554">
        <v>3.7</v>
      </c>
      <c r="E369" s="554">
        <f t="shared" ref="E369:E374" si="69">SUM(D369*1.1)</f>
        <v>4.07</v>
      </c>
      <c r="F369" s="552" t="s">
        <v>539</v>
      </c>
      <c r="G369" s="552" t="s">
        <v>539</v>
      </c>
      <c r="H369" s="1422" t="s">
        <v>2700</v>
      </c>
      <c r="I369" s="1423"/>
      <c r="J369" s="788"/>
    </row>
    <row r="370" spans="1:10" ht="42" customHeight="1">
      <c r="A370" s="176" t="s">
        <v>2697</v>
      </c>
      <c r="B370" s="794" t="s">
        <v>2692</v>
      </c>
      <c r="C370" s="177" t="s">
        <v>1221</v>
      </c>
      <c r="D370" s="554">
        <v>1.75</v>
      </c>
      <c r="E370" s="554">
        <f t="shared" si="69"/>
        <v>1.9250000000000003</v>
      </c>
      <c r="F370" s="552" t="s">
        <v>539</v>
      </c>
      <c r="G370" s="552" t="s">
        <v>539</v>
      </c>
      <c r="H370" s="1422" t="s">
        <v>2700</v>
      </c>
      <c r="I370" s="1423"/>
      <c r="J370" s="788"/>
    </row>
    <row r="371" spans="1:10" ht="42" customHeight="1">
      <c r="A371" s="176" t="s">
        <v>2697</v>
      </c>
      <c r="B371" s="795" t="s">
        <v>2693</v>
      </c>
      <c r="C371" s="177" t="s">
        <v>1221</v>
      </c>
      <c r="D371" s="554">
        <v>1.75</v>
      </c>
      <c r="E371" s="554">
        <f t="shared" si="69"/>
        <v>1.9250000000000003</v>
      </c>
      <c r="F371" s="552" t="s">
        <v>539</v>
      </c>
      <c r="G371" s="552" t="s">
        <v>539</v>
      </c>
      <c r="H371" s="1422" t="s">
        <v>2700</v>
      </c>
      <c r="I371" s="1423"/>
      <c r="J371" s="788"/>
    </row>
    <row r="372" spans="1:10" ht="51" customHeight="1">
      <c r="A372" s="176" t="s">
        <v>2697</v>
      </c>
      <c r="B372" s="795" t="s">
        <v>2694</v>
      </c>
      <c r="C372" s="177" t="s">
        <v>1221</v>
      </c>
      <c r="D372" s="554">
        <v>2.2000000000000002</v>
      </c>
      <c r="E372" s="554">
        <f t="shared" si="69"/>
        <v>2.4200000000000004</v>
      </c>
      <c r="F372" s="552" t="s">
        <v>539</v>
      </c>
      <c r="G372" s="552" t="s">
        <v>539</v>
      </c>
      <c r="H372" s="1422" t="s">
        <v>2700</v>
      </c>
      <c r="I372" s="1423"/>
      <c r="J372" s="788"/>
    </row>
    <row r="373" spans="1:10" ht="42" customHeight="1">
      <c r="A373" s="176" t="s">
        <v>2697</v>
      </c>
      <c r="B373" s="795" t="s">
        <v>2695</v>
      </c>
      <c r="C373" s="177" t="s">
        <v>1221</v>
      </c>
      <c r="D373" s="554">
        <v>1.75</v>
      </c>
      <c r="E373" s="554">
        <f t="shared" si="69"/>
        <v>1.9250000000000003</v>
      </c>
      <c r="F373" s="552" t="s">
        <v>539</v>
      </c>
      <c r="G373" s="552" t="s">
        <v>539</v>
      </c>
      <c r="H373" s="1422" t="s">
        <v>2700</v>
      </c>
      <c r="I373" s="1423"/>
      <c r="J373" s="788"/>
    </row>
    <row r="374" spans="1:10" ht="42" customHeight="1">
      <c r="A374" s="176" t="s">
        <v>2697</v>
      </c>
      <c r="B374" s="795" t="s">
        <v>2696</v>
      </c>
      <c r="C374" s="177" t="s">
        <v>1221</v>
      </c>
      <c r="D374" s="554">
        <v>30.75</v>
      </c>
      <c r="E374" s="554">
        <f t="shared" si="69"/>
        <v>33.825000000000003</v>
      </c>
      <c r="F374" s="552" t="s">
        <v>539</v>
      </c>
      <c r="G374" s="552" t="s">
        <v>539</v>
      </c>
      <c r="H374" s="1422" t="s">
        <v>2700</v>
      </c>
      <c r="I374" s="1423"/>
      <c r="J374" s="788"/>
    </row>
    <row r="375" spans="1:10" ht="11.25">
      <c r="A375" s="176"/>
      <c r="B375" s="557"/>
      <c r="C375" s="368"/>
      <c r="D375" s="558"/>
      <c r="E375" s="248"/>
      <c r="F375" s="558"/>
      <c r="G375" s="248"/>
      <c r="H375" s="559"/>
      <c r="I375" s="560"/>
      <c r="J375" s="154"/>
    </row>
    <row r="376" spans="1:10" ht="12.75" customHeight="1">
      <c r="A376" s="372"/>
      <c r="B376" s="1420" t="s">
        <v>1172</v>
      </c>
      <c r="C376" s="1421"/>
      <c r="D376" s="1421"/>
      <c r="E376" s="1421"/>
      <c r="F376" s="1421"/>
      <c r="G376" s="1421"/>
      <c r="H376" s="374"/>
      <c r="I376" s="201"/>
      <c r="J376" s="152"/>
    </row>
    <row r="377" spans="1:10" ht="11.25">
      <c r="A377" s="176"/>
      <c r="B377" s="535" t="s">
        <v>601</v>
      </c>
      <c r="C377" s="177" t="s">
        <v>1221</v>
      </c>
      <c r="D377" s="554" t="s">
        <v>783</v>
      </c>
      <c r="E377" s="554" t="s">
        <v>783</v>
      </c>
      <c r="F377" s="241" t="s">
        <v>277</v>
      </c>
      <c r="G377" s="241" t="s">
        <v>277</v>
      </c>
      <c r="H377" s="1422" t="s">
        <v>1075</v>
      </c>
      <c r="I377" s="1423"/>
      <c r="J377" s="154"/>
    </row>
    <row r="378" spans="1:10" ht="22.5">
      <c r="A378" s="176"/>
      <c r="B378" s="535" t="s">
        <v>602</v>
      </c>
      <c r="C378" s="177" t="s">
        <v>1221</v>
      </c>
      <c r="D378" s="554" t="s">
        <v>783</v>
      </c>
      <c r="E378" s="554" t="s">
        <v>783</v>
      </c>
      <c r="F378" s="241" t="s">
        <v>277</v>
      </c>
      <c r="G378" s="241" t="s">
        <v>277</v>
      </c>
      <c r="H378" s="1422" t="s">
        <v>1075</v>
      </c>
      <c r="I378" s="1423"/>
      <c r="J378" s="154"/>
    </row>
    <row r="379" spans="1:10" ht="22.5">
      <c r="A379" s="176"/>
      <c r="B379" s="535" t="s">
        <v>603</v>
      </c>
      <c r="C379" s="177" t="s">
        <v>1221</v>
      </c>
      <c r="D379" s="561" t="s">
        <v>1173</v>
      </c>
      <c r="E379" s="561" t="s">
        <v>1173</v>
      </c>
      <c r="F379" s="241" t="s">
        <v>277</v>
      </c>
      <c r="G379" s="241" t="s">
        <v>277</v>
      </c>
      <c r="H379" s="1422" t="s">
        <v>1075</v>
      </c>
      <c r="I379" s="1423"/>
      <c r="J379" s="154"/>
    </row>
    <row r="380" spans="1:10" ht="22.5">
      <c r="A380" s="176"/>
      <c r="B380" s="535" t="s">
        <v>604</v>
      </c>
      <c r="C380" s="177" t="s">
        <v>1221</v>
      </c>
      <c r="D380" s="561" t="s">
        <v>1173</v>
      </c>
      <c r="E380" s="561" t="s">
        <v>1173</v>
      </c>
      <c r="F380" s="241" t="s">
        <v>277</v>
      </c>
      <c r="G380" s="241" t="s">
        <v>277</v>
      </c>
      <c r="H380" s="1422" t="s">
        <v>1075</v>
      </c>
      <c r="I380" s="1423"/>
      <c r="J380" s="154"/>
    </row>
    <row r="381" spans="1:10" ht="11.25">
      <c r="A381" s="176"/>
      <c r="B381" s="553"/>
      <c r="C381" s="177"/>
      <c r="D381" s="534"/>
      <c r="E381" s="201"/>
      <c r="F381" s="201"/>
      <c r="G381" s="201"/>
      <c r="H381" s="550"/>
      <c r="I381" s="551"/>
      <c r="J381" s="154"/>
    </row>
    <row r="382" spans="1:10" ht="12.75" customHeight="1">
      <c r="A382" s="372"/>
      <c r="B382" s="1420" t="s">
        <v>1222</v>
      </c>
      <c r="C382" s="1421"/>
      <c r="D382" s="1421"/>
      <c r="E382" s="1421"/>
      <c r="F382" s="1421"/>
      <c r="G382" s="1421"/>
      <c r="H382" s="374"/>
      <c r="I382" s="201"/>
      <c r="J382" s="152"/>
    </row>
    <row r="383" spans="1:10" ht="28.5" customHeight="1">
      <c r="A383" s="692"/>
      <c r="B383" s="562" t="s">
        <v>1175</v>
      </c>
      <c r="C383" s="177" t="s">
        <v>1221</v>
      </c>
      <c r="D383" s="555">
        <v>1.25</v>
      </c>
      <c r="E383" s="617">
        <f t="shared" ref="E383:E389" si="70">SUM(D383*1.1)</f>
        <v>1.375</v>
      </c>
      <c r="F383" s="241" t="s">
        <v>277</v>
      </c>
      <c r="G383" s="241" t="s">
        <v>277</v>
      </c>
      <c r="H383" s="1422" t="s">
        <v>1000</v>
      </c>
      <c r="I383" s="1423"/>
      <c r="J383" s="154"/>
    </row>
    <row r="384" spans="1:10" ht="22.5">
      <c r="A384" s="692"/>
      <c r="B384" s="562" t="s">
        <v>1176</v>
      </c>
      <c r="C384" s="177" t="s">
        <v>1221</v>
      </c>
      <c r="D384" s="555">
        <v>1.75</v>
      </c>
      <c r="E384" s="617">
        <f t="shared" si="70"/>
        <v>1.9250000000000003</v>
      </c>
      <c r="F384" s="241" t="s">
        <v>277</v>
      </c>
      <c r="G384" s="241" t="s">
        <v>277</v>
      </c>
      <c r="H384" s="1422" t="s">
        <v>1000</v>
      </c>
      <c r="I384" s="1423"/>
      <c r="J384" s="154"/>
    </row>
    <row r="385" spans="1:10" ht="22.5">
      <c r="A385" s="692"/>
      <c r="B385" s="562" t="s">
        <v>1177</v>
      </c>
      <c r="C385" s="177" t="s">
        <v>1221</v>
      </c>
      <c r="D385" s="555">
        <v>3.5</v>
      </c>
      <c r="E385" s="617">
        <f t="shared" si="70"/>
        <v>3.8500000000000005</v>
      </c>
      <c r="F385" s="241" t="s">
        <v>277</v>
      </c>
      <c r="G385" s="241" t="s">
        <v>277</v>
      </c>
      <c r="H385" s="1422" t="s">
        <v>1000</v>
      </c>
      <c r="I385" s="1423"/>
      <c r="J385" s="154"/>
    </row>
    <row r="386" spans="1:10" ht="22.5">
      <c r="A386" s="692"/>
      <c r="B386" s="562" t="s">
        <v>1178</v>
      </c>
      <c r="C386" s="177" t="s">
        <v>1221</v>
      </c>
      <c r="D386" s="555">
        <v>1.8</v>
      </c>
      <c r="E386" s="617">
        <f t="shared" si="70"/>
        <v>1.9800000000000002</v>
      </c>
      <c r="F386" s="241" t="s">
        <v>277</v>
      </c>
      <c r="G386" s="241" t="s">
        <v>277</v>
      </c>
      <c r="H386" s="1422" t="s">
        <v>1000</v>
      </c>
      <c r="I386" s="1423"/>
      <c r="J386" s="154"/>
    </row>
    <row r="387" spans="1:10" ht="22.5">
      <c r="A387" s="692"/>
      <c r="B387" s="562" t="s">
        <v>1179</v>
      </c>
      <c r="C387" s="177" t="s">
        <v>1221</v>
      </c>
      <c r="D387" s="555">
        <v>2</v>
      </c>
      <c r="E387" s="617">
        <f t="shared" si="70"/>
        <v>2.2000000000000002</v>
      </c>
      <c r="F387" s="241" t="s">
        <v>277</v>
      </c>
      <c r="G387" s="241" t="s">
        <v>277</v>
      </c>
      <c r="H387" s="1422" t="s">
        <v>1000</v>
      </c>
      <c r="I387" s="1423"/>
      <c r="J387" s="154"/>
    </row>
    <row r="388" spans="1:10" ht="33.75">
      <c r="A388" s="692"/>
      <c r="B388" s="562" t="s">
        <v>1180</v>
      </c>
      <c r="C388" s="177" t="s">
        <v>1221</v>
      </c>
      <c r="D388" s="555">
        <v>2.15</v>
      </c>
      <c r="E388" s="617">
        <f t="shared" si="70"/>
        <v>2.3650000000000002</v>
      </c>
      <c r="F388" s="241" t="s">
        <v>277</v>
      </c>
      <c r="G388" s="241" t="s">
        <v>277</v>
      </c>
      <c r="H388" s="1422" t="s">
        <v>1000</v>
      </c>
      <c r="I388" s="1423"/>
      <c r="J388" s="154"/>
    </row>
    <row r="389" spans="1:10" ht="12.75" customHeight="1">
      <c r="A389" s="692"/>
      <c r="B389" s="562" t="s">
        <v>1181</v>
      </c>
      <c r="C389" s="177" t="s">
        <v>1221</v>
      </c>
      <c r="D389" s="555">
        <v>3.5</v>
      </c>
      <c r="E389" s="617">
        <f t="shared" si="70"/>
        <v>3.8500000000000005</v>
      </c>
      <c r="F389" s="241" t="s">
        <v>277</v>
      </c>
      <c r="G389" s="241" t="s">
        <v>277</v>
      </c>
      <c r="H389" s="1422" t="s">
        <v>1000</v>
      </c>
      <c r="I389" s="1423"/>
      <c r="J389" s="154"/>
    </row>
    <row r="390" spans="1:10" ht="12.75" customHeight="1">
      <c r="A390" s="176"/>
      <c r="B390" s="562"/>
      <c r="C390" s="177"/>
      <c r="D390" s="555"/>
      <c r="E390" s="201"/>
      <c r="F390" s="552"/>
      <c r="G390" s="201"/>
      <c r="H390" s="550"/>
      <c r="I390" s="551"/>
      <c r="J390" s="154"/>
    </row>
    <row r="391" spans="1:10" ht="12.75" customHeight="1">
      <c r="A391" s="372"/>
      <c r="B391" s="1420" t="s">
        <v>1205</v>
      </c>
      <c r="C391" s="1421"/>
      <c r="D391" s="1421"/>
      <c r="E391" s="1421"/>
      <c r="F391" s="1421"/>
      <c r="G391" s="1421"/>
      <c r="H391" s="374"/>
      <c r="I391" s="201"/>
      <c r="J391" s="152"/>
    </row>
    <row r="392" spans="1:10" ht="26.25" customHeight="1">
      <c r="A392" s="176"/>
      <c r="B392" s="357" t="s">
        <v>18</v>
      </c>
      <c r="C392" s="177" t="s">
        <v>1221</v>
      </c>
      <c r="D392" s="563">
        <v>1.3895000000000001E-2</v>
      </c>
      <c r="E392" s="617">
        <f t="shared" ref="E392:E455" si="71">SUM(D392*1.1)</f>
        <v>1.5284500000000003E-2</v>
      </c>
      <c r="F392" s="241" t="s">
        <v>277</v>
      </c>
      <c r="G392" s="241" t="s">
        <v>277</v>
      </c>
      <c r="H392" s="1418" t="s">
        <v>1182</v>
      </c>
      <c r="I392" s="1419"/>
      <c r="J392" s="154"/>
    </row>
    <row r="393" spans="1:10" ht="39.75" customHeight="1">
      <c r="A393" s="176"/>
      <c r="B393" s="357" t="s">
        <v>19</v>
      </c>
      <c r="C393" s="177" t="s">
        <v>1221</v>
      </c>
      <c r="D393" s="563">
        <v>6.1469999999999997E-2</v>
      </c>
      <c r="E393" s="617">
        <f t="shared" si="71"/>
        <v>6.7616999999999997E-2</v>
      </c>
      <c r="F393" s="241" t="s">
        <v>277</v>
      </c>
      <c r="G393" s="241" t="s">
        <v>277</v>
      </c>
      <c r="H393" s="1418" t="s">
        <v>1183</v>
      </c>
      <c r="I393" s="1419"/>
      <c r="J393" s="154"/>
    </row>
    <row r="394" spans="1:10" ht="40.5" customHeight="1">
      <c r="A394" s="176"/>
      <c r="B394" s="357" t="s">
        <v>20</v>
      </c>
      <c r="C394" s="177" t="s">
        <v>1221</v>
      </c>
      <c r="D394" s="563">
        <v>1.992E-2</v>
      </c>
      <c r="E394" s="617">
        <f t="shared" si="71"/>
        <v>2.1912000000000001E-2</v>
      </c>
      <c r="F394" s="241" t="s">
        <v>277</v>
      </c>
      <c r="G394" s="241" t="s">
        <v>277</v>
      </c>
      <c r="H394" s="1418" t="s">
        <v>1183</v>
      </c>
      <c r="I394" s="1419"/>
      <c r="J394" s="154"/>
    </row>
    <row r="395" spans="1:10" ht="40.5" customHeight="1">
      <c r="A395" s="176"/>
      <c r="B395" s="357" t="s">
        <v>21</v>
      </c>
      <c r="C395" s="177" t="s">
        <v>1221</v>
      </c>
      <c r="D395" s="563">
        <v>1.992E-2</v>
      </c>
      <c r="E395" s="617">
        <f t="shared" si="71"/>
        <v>2.1912000000000001E-2</v>
      </c>
      <c r="F395" s="241" t="s">
        <v>277</v>
      </c>
      <c r="G395" s="241" t="s">
        <v>277</v>
      </c>
      <c r="H395" s="1418" t="s">
        <v>1183</v>
      </c>
      <c r="I395" s="1419"/>
      <c r="J395" s="154"/>
    </row>
    <row r="396" spans="1:10" ht="40.5" customHeight="1">
      <c r="A396" s="176"/>
      <c r="B396" s="357" t="s">
        <v>22</v>
      </c>
      <c r="C396" s="177" t="s">
        <v>1221</v>
      </c>
      <c r="D396" s="563">
        <v>2.9440000000000001E-2</v>
      </c>
      <c r="E396" s="617">
        <f t="shared" si="71"/>
        <v>3.2384000000000003E-2</v>
      </c>
      <c r="F396" s="241" t="s">
        <v>277</v>
      </c>
      <c r="G396" s="241" t="s">
        <v>277</v>
      </c>
      <c r="H396" s="1418" t="s">
        <v>1183</v>
      </c>
      <c r="I396" s="1419"/>
      <c r="J396" s="154"/>
    </row>
    <row r="397" spans="1:10" ht="40.5" customHeight="1">
      <c r="A397" s="176"/>
      <c r="B397" s="357" t="s">
        <v>23</v>
      </c>
      <c r="C397" s="177" t="s">
        <v>1221</v>
      </c>
      <c r="D397" s="563">
        <v>3.4200000000000001E-2</v>
      </c>
      <c r="E397" s="617">
        <f t="shared" si="71"/>
        <v>3.7620000000000008E-2</v>
      </c>
      <c r="F397" s="241" t="s">
        <v>277</v>
      </c>
      <c r="G397" s="241" t="s">
        <v>277</v>
      </c>
      <c r="H397" s="1418" t="s">
        <v>1183</v>
      </c>
      <c r="I397" s="1419"/>
      <c r="J397" s="154"/>
    </row>
    <row r="398" spans="1:10" ht="40.5" customHeight="1">
      <c r="A398" s="176"/>
      <c r="B398" s="357" t="s">
        <v>24</v>
      </c>
      <c r="C398" s="177" t="s">
        <v>1221</v>
      </c>
      <c r="D398" s="563">
        <v>6.1469999999999997E-2</v>
      </c>
      <c r="E398" s="617">
        <f t="shared" si="71"/>
        <v>6.7616999999999997E-2</v>
      </c>
      <c r="F398" s="241" t="s">
        <v>277</v>
      </c>
      <c r="G398" s="241" t="s">
        <v>277</v>
      </c>
      <c r="H398" s="1418" t="s">
        <v>1183</v>
      </c>
      <c r="I398" s="1419"/>
      <c r="J398" s="154"/>
    </row>
    <row r="399" spans="1:10" ht="40.5" customHeight="1">
      <c r="A399" s="176"/>
      <c r="B399" s="357" t="s">
        <v>25</v>
      </c>
      <c r="C399" s="177" t="s">
        <v>1221</v>
      </c>
      <c r="D399" s="563">
        <v>6.1469999999999997E-2</v>
      </c>
      <c r="E399" s="617">
        <f t="shared" si="71"/>
        <v>6.7616999999999997E-2</v>
      </c>
      <c r="F399" s="241" t="s">
        <v>277</v>
      </c>
      <c r="G399" s="241" t="s">
        <v>277</v>
      </c>
      <c r="H399" s="1418" t="s">
        <v>1183</v>
      </c>
      <c r="I399" s="1419"/>
      <c r="J399" s="154"/>
    </row>
    <row r="400" spans="1:10" ht="40.5" customHeight="1">
      <c r="A400" s="176"/>
      <c r="B400" s="357" t="s">
        <v>26</v>
      </c>
      <c r="C400" s="177" t="s">
        <v>1221</v>
      </c>
      <c r="D400" s="563">
        <v>0.41992000000000002</v>
      </c>
      <c r="E400" s="617">
        <f t="shared" si="71"/>
        <v>0.46191200000000004</v>
      </c>
      <c r="F400" s="241" t="s">
        <v>277</v>
      </c>
      <c r="G400" s="241" t="s">
        <v>277</v>
      </c>
      <c r="H400" s="1418" t="s">
        <v>1183</v>
      </c>
      <c r="I400" s="1419"/>
      <c r="J400" s="154"/>
    </row>
    <row r="401" spans="1:10" ht="40.5" customHeight="1">
      <c r="A401" s="176"/>
      <c r="B401" s="357" t="s">
        <v>27</v>
      </c>
      <c r="C401" s="177" t="s">
        <v>1221</v>
      </c>
      <c r="D401" s="563">
        <v>0.22720000000000001</v>
      </c>
      <c r="E401" s="617">
        <f t="shared" si="71"/>
        <v>0.24992000000000003</v>
      </c>
      <c r="F401" s="241" t="s">
        <v>277</v>
      </c>
      <c r="G401" s="241" t="s">
        <v>277</v>
      </c>
      <c r="H401" s="1418" t="s">
        <v>1183</v>
      </c>
      <c r="I401" s="1419"/>
      <c r="J401" s="154"/>
    </row>
    <row r="402" spans="1:10" ht="40.5" customHeight="1">
      <c r="A402" s="176"/>
      <c r="B402" s="357" t="s">
        <v>28</v>
      </c>
      <c r="C402" s="177" t="s">
        <v>1221</v>
      </c>
      <c r="D402" s="563">
        <v>0.25864999999999999</v>
      </c>
      <c r="E402" s="617">
        <f t="shared" si="71"/>
        <v>0.28451500000000002</v>
      </c>
      <c r="F402" s="241" t="s">
        <v>277</v>
      </c>
      <c r="G402" s="241" t="s">
        <v>277</v>
      </c>
      <c r="H402" s="1418" t="s">
        <v>1183</v>
      </c>
      <c r="I402" s="1419"/>
      <c r="J402" s="154"/>
    </row>
    <row r="403" spans="1:10" ht="40.5" customHeight="1">
      <c r="A403" s="176"/>
      <c r="B403" s="357" t="s">
        <v>29</v>
      </c>
      <c r="C403" s="177" t="s">
        <v>1221</v>
      </c>
      <c r="D403" s="563">
        <v>7.324E-2</v>
      </c>
      <c r="E403" s="617">
        <f t="shared" si="71"/>
        <v>8.0564000000000011E-2</v>
      </c>
      <c r="F403" s="241" t="s">
        <v>277</v>
      </c>
      <c r="G403" s="241" t="s">
        <v>277</v>
      </c>
      <c r="H403" s="1418" t="s">
        <v>1183</v>
      </c>
      <c r="I403" s="1419"/>
      <c r="J403" s="154"/>
    </row>
    <row r="404" spans="1:10" ht="40.5" customHeight="1">
      <c r="A404" s="176"/>
      <c r="B404" s="357" t="s">
        <v>30</v>
      </c>
      <c r="C404" s="177" t="s">
        <v>1221</v>
      </c>
      <c r="D404" s="563">
        <v>0.34426000000000001</v>
      </c>
      <c r="E404" s="617">
        <f t="shared" si="71"/>
        <v>0.37868600000000002</v>
      </c>
      <c r="F404" s="241" t="s">
        <v>277</v>
      </c>
      <c r="G404" s="241" t="s">
        <v>277</v>
      </c>
      <c r="H404" s="1418" t="s">
        <v>1183</v>
      </c>
      <c r="I404" s="1419"/>
      <c r="J404" s="154"/>
    </row>
    <row r="405" spans="1:10" ht="40.5" customHeight="1">
      <c r="A405" s="176"/>
      <c r="B405" s="357" t="s">
        <v>31</v>
      </c>
      <c r="C405" s="177" t="s">
        <v>1221</v>
      </c>
      <c r="D405" s="563">
        <v>0.22894999999999999</v>
      </c>
      <c r="E405" s="617">
        <f t="shared" si="71"/>
        <v>0.25184499999999999</v>
      </c>
      <c r="F405" s="241" t="s">
        <v>277</v>
      </c>
      <c r="G405" s="241" t="s">
        <v>277</v>
      </c>
      <c r="H405" s="1418" t="s">
        <v>1183</v>
      </c>
      <c r="I405" s="1419"/>
      <c r="J405" s="154"/>
    </row>
    <row r="406" spans="1:10" ht="40.5" customHeight="1">
      <c r="A406" s="176"/>
      <c r="B406" s="357" t="s">
        <v>32</v>
      </c>
      <c r="C406" s="177" t="s">
        <v>1221</v>
      </c>
      <c r="D406" s="563">
        <v>0.89463000000000004</v>
      </c>
      <c r="E406" s="617">
        <f t="shared" si="71"/>
        <v>0.98409300000000011</v>
      </c>
      <c r="F406" s="241" t="s">
        <v>277</v>
      </c>
      <c r="G406" s="241" t="s">
        <v>277</v>
      </c>
      <c r="H406" s="1418" t="s">
        <v>1183</v>
      </c>
      <c r="I406" s="1419"/>
      <c r="J406" s="154"/>
    </row>
    <row r="407" spans="1:10" ht="40.5" customHeight="1">
      <c r="A407" s="176"/>
      <c r="B407" s="357" t="s">
        <v>33</v>
      </c>
      <c r="C407" s="177" t="s">
        <v>1221</v>
      </c>
      <c r="D407" s="563">
        <v>0.20623</v>
      </c>
      <c r="E407" s="617">
        <f t="shared" si="71"/>
        <v>0.22685300000000003</v>
      </c>
      <c r="F407" s="241" t="s">
        <v>277</v>
      </c>
      <c r="G407" s="241" t="s">
        <v>277</v>
      </c>
      <c r="H407" s="1418" t="s">
        <v>1183</v>
      </c>
      <c r="I407" s="1419"/>
      <c r="J407" s="154"/>
    </row>
    <row r="408" spans="1:10" ht="40.5" customHeight="1">
      <c r="A408" s="176"/>
      <c r="B408" s="357" t="s">
        <v>34</v>
      </c>
      <c r="C408" s="177" t="s">
        <v>1221</v>
      </c>
      <c r="D408" s="563">
        <v>4.5490000000000003E-2</v>
      </c>
      <c r="E408" s="617">
        <f t="shared" si="71"/>
        <v>5.0039000000000007E-2</v>
      </c>
      <c r="F408" s="241" t="s">
        <v>277</v>
      </c>
      <c r="G408" s="241" t="s">
        <v>277</v>
      </c>
      <c r="H408" s="1418" t="s">
        <v>1183</v>
      </c>
      <c r="I408" s="1419"/>
      <c r="J408" s="154"/>
    </row>
    <row r="409" spans="1:10" ht="40.5" customHeight="1">
      <c r="A409" s="176"/>
      <c r="B409" s="357" t="s">
        <v>35</v>
      </c>
      <c r="C409" s="177" t="s">
        <v>1221</v>
      </c>
      <c r="D409" s="563">
        <v>0.32940999999999998</v>
      </c>
      <c r="E409" s="617">
        <f t="shared" si="71"/>
        <v>0.36235100000000003</v>
      </c>
      <c r="F409" s="241" t="s">
        <v>277</v>
      </c>
      <c r="G409" s="241" t="s">
        <v>277</v>
      </c>
      <c r="H409" s="1418" t="s">
        <v>1183</v>
      </c>
      <c r="I409" s="1419"/>
      <c r="J409" s="154"/>
    </row>
    <row r="410" spans="1:10" ht="40.5" customHeight="1">
      <c r="A410" s="176"/>
      <c r="B410" s="357" t="s">
        <v>36</v>
      </c>
      <c r="C410" s="177" t="s">
        <v>1221</v>
      </c>
      <c r="D410" s="563">
        <v>0.25253000000000003</v>
      </c>
      <c r="E410" s="617">
        <f t="shared" si="71"/>
        <v>0.27778300000000006</v>
      </c>
      <c r="F410" s="241" t="s">
        <v>277</v>
      </c>
      <c r="G410" s="241" t="s">
        <v>277</v>
      </c>
      <c r="H410" s="1418" t="s">
        <v>1183</v>
      </c>
      <c r="I410" s="1419"/>
      <c r="J410" s="154"/>
    </row>
    <row r="411" spans="1:10" ht="40.5" customHeight="1">
      <c r="A411" s="176"/>
      <c r="B411" s="357" t="s">
        <v>37</v>
      </c>
      <c r="C411" s="177" t="s">
        <v>1221</v>
      </c>
      <c r="D411" s="563">
        <v>0.68496000000000001</v>
      </c>
      <c r="E411" s="617">
        <f t="shared" si="71"/>
        <v>0.75345600000000013</v>
      </c>
      <c r="F411" s="241" t="s">
        <v>277</v>
      </c>
      <c r="G411" s="241" t="s">
        <v>277</v>
      </c>
      <c r="H411" s="1418" t="s">
        <v>1183</v>
      </c>
      <c r="I411" s="1419"/>
      <c r="J411" s="154"/>
    </row>
    <row r="412" spans="1:10" ht="40.5" customHeight="1">
      <c r="A412" s="176"/>
      <c r="B412" s="357" t="s">
        <v>38</v>
      </c>
      <c r="C412" s="177" t="s">
        <v>1221</v>
      </c>
      <c r="D412" s="563">
        <v>4.462E-2</v>
      </c>
      <c r="E412" s="617">
        <f t="shared" si="71"/>
        <v>4.9082000000000001E-2</v>
      </c>
      <c r="F412" s="241" t="s">
        <v>277</v>
      </c>
      <c r="G412" s="241" t="s">
        <v>277</v>
      </c>
      <c r="H412" s="1418" t="s">
        <v>1183</v>
      </c>
      <c r="I412" s="1419"/>
      <c r="J412" s="154"/>
    </row>
    <row r="413" spans="1:10" ht="40.5" customHeight="1">
      <c r="A413" s="176"/>
      <c r="B413" s="357" t="s">
        <v>39</v>
      </c>
      <c r="C413" s="177" t="s">
        <v>1221</v>
      </c>
      <c r="D413" s="563">
        <v>0.89463000000000004</v>
      </c>
      <c r="E413" s="617">
        <f t="shared" si="71"/>
        <v>0.98409300000000011</v>
      </c>
      <c r="F413" s="241" t="s">
        <v>277</v>
      </c>
      <c r="G413" s="241" t="s">
        <v>277</v>
      </c>
      <c r="H413" s="1418" t="s">
        <v>1183</v>
      </c>
      <c r="I413" s="1419"/>
      <c r="J413" s="154"/>
    </row>
    <row r="414" spans="1:10" ht="40.5" customHeight="1">
      <c r="A414" s="176"/>
      <c r="B414" s="357" t="s">
        <v>40</v>
      </c>
      <c r="C414" s="177" t="s">
        <v>1221</v>
      </c>
      <c r="D414" s="563">
        <v>4.7710000000000002E-2</v>
      </c>
      <c r="E414" s="617">
        <f t="shared" si="71"/>
        <v>5.2481000000000007E-2</v>
      </c>
      <c r="F414" s="241" t="s">
        <v>277</v>
      </c>
      <c r="G414" s="241" t="s">
        <v>277</v>
      </c>
      <c r="H414" s="1418" t="s">
        <v>1183</v>
      </c>
      <c r="I414" s="1419"/>
      <c r="J414" s="154"/>
    </row>
    <row r="415" spans="1:10" ht="40.5" customHeight="1">
      <c r="A415" s="176"/>
      <c r="B415" s="357" t="s">
        <v>41</v>
      </c>
      <c r="C415" s="177" t="s">
        <v>1221</v>
      </c>
      <c r="D415" s="563">
        <v>0.22597</v>
      </c>
      <c r="E415" s="617">
        <f t="shared" si="71"/>
        <v>0.24856700000000004</v>
      </c>
      <c r="F415" s="241" t="s">
        <v>277</v>
      </c>
      <c r="G415" s="241" t="s">
        <v>277</v>
      </c>
      <c r="H415" s="1418" t="s">
        <v>1183</v>
      </c>
      <c r="I415" s="1419"/>
      <c r="J415" s="154"/>
    </row>
    <row r="416" spans="1:10" ht="40.5" customHeight="1">
      <c r="A416" s="176"/>
      <c r="B416" s="357" t="s">
        <v>42</v>
      </c>
      <c r="C416" s="177" t="s">
        <v>1221</v>
      </c>
      <c r="D416" s="563">
        <v>4.5259999999999995E-2</v>
      </c>
      <c r="E416" s="617">
        <f t="shared" si="71"/>
        <v>4.9785999999999997E-2</v>
      </c>
      <c r="F416" s="241" t="s">
        <v>277</v>
      </c>
      <c r="G416" s="241" t="s">
        <v>277</v>
      </c>
      <c r="H416" s="1418" t="s">
        <v>1183</v>
      </c>
      <c r="I416" s="1419"/>
      <c r="J416" s="154"/>
    </row>
    <row r="417" spans="1:10" ht="40.5" customHeight="1">
      <c r="A417" s="176"/>
      <c r="B417" s="357" t="s">
        <v>43</v>
      </c>
      <c r="C417" s="177" t="s">
        <v>1221</v>
      </c>
      <c r="D417" s="563">
        <v>8.4270000000000012E-2</v>
      </c>
      <c r="E417" s="617">
        <f t="shared" si="71"/>
        <v>9.2697000000000015E-2</v>
      </c>
      <c r="F417" s="241" t="s">
        <v>277</v>
      </c>
      <c r="G417" s="241" t="s">
        <v>277</v>
      </c>
      <c r="H417" s="1418" t="s">
        <v>1183</v>
      </c>
      <c r="I417" s="1419"/>
      <c r="J417" s="154"/>
    </row>
    <row r="418" spans="1:10" ht="40.5" customHeight="1">
      <c r="A418" s="176"/>
      <c r="B418" s="357" t="s">
        <v>44</v>
      </c>
      <c r="C418" s="177" t="s">
        <v>1221</v>
      </c>
      <c r="D418" s="563">
        <v>0.18912000000000001</v>
      </c>
      <c r="E418" s="617">
        <f t="shared" si="71"/>
        <v>0.20803200000000002</v>
      </c>
      <c r="F418" s="241" t="s">
        <v>277</v>
      </c>
      <c r="G418" s="241" t="s">
        <v>277</v>
      </c>
      <c r="H418" s="1418" t="s">
        <v>1183</v>
      </c>
      <c r="I418" s="1419"/>
      <c r="J418" s="154"/>
    </row>
    <row r="419" spans="1:10" ht="40.5" customHeight="1">
      <c r="A419" s="176"/>
      <c r="B419" s="357" t="s">
        <v>45</v>
      </c>
      <c r="C419" s="177" t="s">
        <v>1221</v>
      </c>
      <c r="D419" s="563">
        <v>0.22982</v>
      </c>
      <c r="E419" s="617">
        <f t="shared" si="71"/>
        <v>0.25280200000000003</v>
      </c>
      <c r="F419" s="241" t="s">
        <v>277</v>
      </c>
      <c r="G419" s="241" t="s">
        <v>277</v>
      </c>
      <c r="H419" s="1418" t="s">
        <v>1183</v>
      </c>
      <c r="I419" s="1419"/>
      <c r="J419" s="154"/>
    </row>
    <row r="420" spans="1:10" ht="40.5" customHeight="1">
      <c r="A420" s="176"/>
      <c r="B420" s="357" t="s">
        <v>46</v>
      </c>
      <c r="C420" s="177" t="s">
        <v>1221</v>
      </c>
      <c r="D420" s="563">
        <v>0.19400000000000001</v>
      </c>
      <c r="E420" s="617">
        <f t="shared" si="71"/>
        <v>0.21340000000000003</v>
      </c>
      <c r="F420" s="241" t="s">
        <v>277</v>
      </c>
      <c r="G420" s="241" t="s">
        <v>277</v>
      </c>
      <c r="H420" s="1418" t="s">
        <v>1183</v>
      </c>
      <c r="I420" s="1419"/>
      <c r="J420" s="154"/>
    </row>
    <row r="421" spans="1:10" ht="40.5" customHeight="1">
      <c r="A421" s="176"/>
      <c r="B421" s="357" t="s">
        <v>47</v>
      </c>
      <c r="C421" s="177" t="s">
        <v>1221</v>
      </c>
      <c r="D421" s="563">
        <v>0.35999000000000003</v>
      </c>
      <c r="E421" s="617">
        <f t="shared" si="71"/>
        <v>0.39598900000000009</v>
      </c>
      <c r="F421" s="241" t="s">
        <v>277</v>
      </c>
      <c r="G421" s="241" t="s">
        <v>277</v>
      </c>
      <c r="H421" s="1418" t="s">
        <v>1183</v>
      </c>
      <c r="I421" s="1419"/>
      <c r="J421" s="154"/>
    </row>
    <row r="422" spans="1:10" ht="40.5" customHeight="1">
      <c r="A422" s="176"/>
      <c r="B422" s="357" t="s">
        <v>48</v>
      </c>
      <c r="C422" s="177" t="s">
        <v>1221</v>
      </c>
      <c r="D422" s="563">
        <v>8.4499999999999992E-2</v>
      </c>
      <c r="E422" s="617">
        <f t="shared" si="71"/>
        <v>9.2950000000000005E-2</v>
      </c>
      <c r="F422" s="241" t="s">
        <v>277</v>
      </c>
      <c r="G422" s="241" t="s">
        <v>277</v>
      </c>
      <c r="H422" s="1418" t="s">
        <v>1183</v>
      </c>
      <c r="I422" s="1419"/>
      <c r="J422" s="154"/>
    </row>
    <row r="423" spans="1:10" ht="40.5" customHeight="1">
      <c r="A423" s="176"/>
      <c r="B423" s="357" t="s">
        <v>49</v>
      </c>
      <c r="C423" s="177" t="s">
        <v>1221</v>
      </c>
      <c r="D423" s="563">
        <v>0.25690000000000002</v>
      </c>
      <c r="E423" s="617">
        <f t="shared" si="71"/>
        <v>0.28259000000000006</v>
      </c>
      <c r="F423" s="241" t="s">
        <v>277</v>
      </c>
      <c r="G423" s="241" t="s">
        <v>277</v>
      </c>
      <c r="H423" s="1418" t="s">
        <v>1183</v>
      </c>
      <c r="I423" s="1419"/>
      <c r="J423" s="154"/>
    </row>
    <row r="424" spans="1:10" ht="40.5" customHeight="1">
      <c r="A424" s="176"/>
      <c r="B424" s="357" t="s">
        <v>50</v>
      </c>
      <c r="C424" s="177" t="s">
        <v>1221</v>
      </c>
      <c r="D424" s="563">
        <v>0.14682999999999999</v>
      </c>
      <c r="E424" s="617">
        <f t="shared" si="71"/>
        <v>0.16151299999999999</v>
      </c>
      <c r="F424" s="241" t="s">
        <v>277</v>
      </c>
      <c r="G424" s="241" t="s">
        <v>277</v>
      </c>
      <c r="H424" s="1418" t="s">
        <v>1183</v>
      </c>
      <c r="I424" s="1419"/>
      <c r="J424" s="154"/>
    </row>
    <row r="425" spans="1:10" ht="40.5" customHeight="1">
      <c r="A425" s="176"/>
      <c r="B425" s="357" t="s">
        <v>51</v>
      </c>
      <c r="C425" s="177" t="s">
        <v>1221</v>
      </c>
      <c r="D425" s="563">
        <v>0.13452999999999998</v>
      </c>
      <c r="E425" s="617">
        <f t="shared" si="71"/>
        <v>0.147983</v>
      </c>
      <c r="F425" s="241" t="s">
        <v>277</v>
      </c>
      <c r="G425" s="241" t="s">
        <v>277</v>
      </c>
      <c r="H425" s="1418" t="s">
        <v>1183</v>
      </c>
      <c r="I425" s="1419"/>
      <c r="J425" s="154"/>
    </row>
    <row r="426" spans="1:10" ht="40.5" customHeight="1">
      <c r="A426" s="176"/>
      <c r="B426" s="357" t="s">
        <v>52</v>
      </c>
      <c r="C426" s="177" t="s">
        <v>1221</v>
      </c>
      <c r="D426" s="563">
        <v>0.25690000000000002</v>
      </c>
      <c r="E426" s="617">
        <f t="shared" si="71"/>
        <v>0.28259000000000006</v>
      </c>
      <c r="F426" s="241" t="s">
        <v>277</v>
      </c>
      <c r="G426" s="241" t="s">
        <v>277</v>
      </c>
      <c r="H426" s="1418" t="s">
        <v>1183</v>
      </c>
      <c r="I426" s="1419"/>
      <c r="J426" s="154"/>
    </row>
    <row r="427" spans="1:10" ht="40.5" customHeight="1">
      <c r="A427" s="176"/>
      <c r="B427" s="357" t="s">
        <v>53</v>
      </c>
      <c r="C427" s="177" t="s">
        <v>1221</v>
      </c>
      <c r="D427" s="563">
        <v>0.10227</v>
      </c>
      <c r="E427" s="617">
        <f t="shared" si="71"/>
        <v>0.11249700000000001</v>
      </c>
      <c r="F427" s="241" t="s">
        <v>277</v>
      </c>
      <c r="G427" s="241" t="s">
        <v>277</v>
      </c>
      <c r="H427" s="1418" t="s">
        <v>1183</v>
      </c>
      <c r="I427" s="1419"/>
      <c r="J427" s="154"/>
    </row>
    <row r="428" spans="1:10" ht="40.5" customHeight="1">
      <c r="A428" s="176"/>
      <c r="B428" s="357" t="s">
        <v>54</v>
      </c>
      <c r="C428" s="177" t="s">
        <v>1221</v>
      </c>
      <c r="D428" s="563">
        <v>0.23293999999999998</v>
      </c>
      <c r="E428" s="617">
        <f t="shared" si="71"/>
        <v>0.25623400000000002</v>
      </c>
      <c r="F428" s="241" t="s">
        <v>277</v>
      </c>
      <c r="G428" s="241" t="s">
        <v>277</v>
      </c>
      <c r="H428" s="1418" t="s">
        <v>1183</v>
      </c>
      <c r="I428" s="1419"/>
      <c r="J428" s="154"/>
    </row>
    <row r="429" spans="1:10" ht="40.5" customHeight="1">
      <c r="A429" s="176"/>
      <c r="B429" s="357" t="s">
        <v>55</v>
      </c>
      <c r="C429" s="177" t="s">
        <v>1221</v>
      </c>
      <c r="D429" s="563">
        <v>0.28223000000000004</v>
      </c>
      <c r="E429" s="617">
        <f t="shared" si="71"/>
        <v>0.31045300000000009</v>
      </c>
      <c r="F429" s="241" t="s">
        <v>277</v>
      </c>
      <c r="G429" s="241" t="s">
        <v>277</v>
      </c>
      <c r="H429" s="1418" t="s">
        <v>1183</v>
      </c>
      <c r="I429" s="1419"/>
      <c r="J429" s="154"/>
    </row>
    <row r="430" spans="1:10" ht="40.5" customHeight="1">
      <c r="A430" s="176"/>
      <c r="B430" s="357" t="s">
        <v>56</v>
      </c>
      <c r="C430" s="177" t="s">
        <v>1221</v>
      </c>
      <c r="D430" s="563">
        <v>8.0430000000000001E-2</v>
      </c>
      <c r="E430" s="617">
        <f t="shared" si="71"/>
        <v>8.847300000000001E-2</v>
      </c>
      <c r="F430" s="241" t="s">
        <v>277</v>
      </c>
      <c r="G430" s="241" t="s">
        <v>277</v>
      </c>
      <c r="H430" s="1418" t="s">
        <v>1183</v>
      </c>
      <c r="I430" s="1419"/>
      <c r="J430" s="154"/>
    </row>
    <row r="431" spans="1:10" ht="40.5" customHeight="1">
      <c r="A431" s="176"/>
      <c r="B431" s="357" t="s">
        <v>57</v>
      </c>
      <c r="C431" s="177" t="s">
        <v>1221</v>
      </c>
      <c r="D431" s="563">
        <v>0.73737999999999992</v>
      </c>
      <c r="E431" s="617">
        <f t="shared" si="71"/>
        <v>0.81111800000000001</v>
      </c>
      <c r="F431" s="241" t="s">
        <v>277</v>
      </c>
      <c r="G431" s="241" t="s">
        <v>277</v>
      </c>
      <c r="H431" s="1418" t="s">
        <v>1183</v>
      </c>
      <c r="I431" s="1419"/>
      <c r="J431" s="154"/>
    </row>
    <row r="432" spans="1:10" ht="40.5" customHeight="1">
      <c r="A432" s="176"/>
      <c r="B432" s="357" t="s">
        <v>58</v>
      </c>
      <c r="C432" s="177" t="s">
        <v>1221</v>
      </c>
      <c r="D432" s="563">
        <v>0.18700999999999998</v>
      </c>
      <c r="E432" s="617">
        <f t="shared" si="71"/>
        <v>0.205711</v>
      </c>
      <c r="F432" s="241" t="s">
        <v>277</v>
      </c>
      <c r="G432" s="241" t="s">
        <v>277</v>
      </c>
      <c r="H432" s="1418" t="s">
        <v>1183</v>
      </c>
      <c r="I432" s="1419"/>
      <c r="J432" s="154"/>
    </row>
    <row r="433" spans="1:10" ht="40.5" customHeight="1">
      <c r="A433" s="176"/>
      <c r="B433" s="357" t="s">
        <v>59</v>
      </c>
      <c r="C433" s="177" t="s">
        <v>1221</v>
      </c>
      <c r="D433" s="563">
        <v>8.2180000000000003E-2</v>
      </c>
      <c r="E433" s="617">
        <f t="shared" si="71"/>
        <v>9.0398000000000006E-2</v>
      </c>
      <c r="F433" s="241" t="s">
        <v>277</v>
      </c>
      <c r="G433" s="241" t="s">
        <v>277</v>
      </c>
      <c r="H433" s="1418" t="s">
        <v>1183</v>
      </c>
      <c r="I433" s="1419"/>
      <c r="J433" s="154"/>
    </row>
    <row r="434" spans="1:10" ht="40.5" customHeight="1">
      <c r="A434" s="176"/>
      <c r="B434" s="357" t="s">
        <v>60</v>
      </c>
      <c r="C434" s="177" t="s">
        <v>1221</v>
      </c>
      <c r="D434" s="563">
        <v>9.6180000000000002E-2</v>
      </c>
      <c r="E434" s="617">
        <f t="shared" si="71"/>
        <v>0.10579800000000002</v>
      </c>
      <c r="F434" s="241" t="s">
        <v>277</v>
      </c>
      <c r="G434" s="241" t="s">
        <v>277</v>
      </c>
      <c r="H434" s="1418" t="s">
        <v>1183</v>
      </c>
      <c r="I434" s="1419"/>
      <c r="J434" s="154"/>
    </row>
    <row r="435" spans="1:10" ht="40.5" customHeight="1">
      <c r="A435" s="176"/>
      <c r="B435" s="357" t="s">
        <v>61</v>
      </c>
      <c r="C435" s="177" t="s">
        <v>1221</v>
      </c>
      <c r="D435" s="563">
        <v>0.15578</v>
      </c>
      <c r="E435" s="617">
        <f t="shared" si="71"/>
        <v>0.17135800000000001</v>
      </c>
      <c r="F435" s="241" t="s">
        <v>277</v>
      </c>
      <c r="G435" s="241" t="s">
        <v>277</v>
      </c>
      <c r="H435" s="1418" t="s">
        <v>1183</v>
      </c>
      <c r="I435" s="1419"/>
      <c r="J435" s="154"/>
    </row>
    <row r="436" spans="1:10" ht="40.5" customHeight="1">
      <c r="A436" s="176"/>
      <c r="B436" s="357" t="s">
        <v>62</v>
      </c>
      <c r="C436" s="177" t="s">
        <v>1221</v>
      </c>
      <c r="D436" s="563">
        <v>0.19557000000000002</v>
      </c>
      <c r="E436" s="617">
        <f t="shared" si="71"/>
        <v>0.21512700000000004</v>
      </c>
      <c r="F436" s="241" t="s">
        <v>277</v>
      </c>
      <c r="G436" s="241" t="s">
        <v>277</v>
      </c>
      <c r="H436" s="1418" t="s">
        <v>1183</v>
      </c>
      <c r="I436" s="1419"/>
      <c r="J436" s="154"/>
    </row>
    <row r="437" spans="1:10" ht="40.5" customHeight="1">
      <c r="A437" s="176"/>
      <c r="B437" s="357" t="s">
        <v>63</v>
      </c>
      <c r="C437" s="177" t="s">
        <v>1221</v>
      </c>
      <c r="D437" s="563">
        <v>0.29796</v>
      </c>
      <c r="E437" s="617">
        <f t="shared" si="71"/>
        <v>0.32775600000000005</v>
      </c>
      <c r="F437" s="241" t="s">
        <v>277</v>
      </c>
      <c r="G437" s="241" t="s">
        <v>277</v>
      </c>
      <c r="H437" s="1418" t="s">
        <v>1183</v>
      </c>
      <c r="I437" s="1419"/>
      <c r="J437" s="154"/>
    </row>
    <row r="438" spans="1:10" ht="40.5" customHeight="1">
      <c r="A438" s="176"/>
      <c r="B438" s="357" t="s">
        <v>64</v>
      </c>
      <c r="C438" s="177" t="s">
        <v>1221</v>
      </c>
      <c r="D438" s="563">
        <v>0.27798</v>
      </c>
      <c r="E438" s="617">
        <f t="shared" si="71"/>
        <v>0.30577800000000005</v>
      </c>
      <c r="F438" s="241" t="s">
        <v>277</v>
      </c>
      <c r="G438" s="241" t="s">
        <v>277</v>
      </c>
      <c r="H438" s="1418" t="s">
        <v>1183</v>
      </c>
      <c r="I438" s="1419"/>
      <c r="J438" s="154"/>
    </row>
    <row r="439" spans="1:10" ht="40.5" customHeight="1">
      <c r="A439" s="176"/>
      <c r="B439" s="357" t="s">
        <v>65</v>
      </c>
      <c r="C439" s="177" t="s">
        <v>1221</v>
      </c>
      <c r="D439" s="563">
        <v>3.2140000000000002E-2</v>
      </c>
      <c r="E439" s="617">
        <f t="shared" si="71"/>
        <v>3.5354000000000003E-2</v>
      </c>
      <c r="F439" s="241" t="s">
        <v>277</v>
      </c>
      <c r="G439" s="241" t="s">
        <v>277</v>
      </c>
      <c r="H439" s="1418" t="s">
        <v>1183</v>
      </c>
      <c r="I439" s="1419"/>
      <c r="J439" s="154"/>
    </row>
    <row r="440" spans="1:10" ht="40.5" customHeight="1">
      <c r="A440" s="176"/>
      <c r="B440" s="357" t="s">
        <v>66</v>
      </c>
      <c r="C440" s="177" t="s">
        <v>1221</v>
      </c>
      <c r="D440" s="563">
        <v>0.43162</v>
      </c>
      <c r="E440" s="617">
        <f t="shared" si="71"/>
        <v>0.47478200000000004</v>
      </c>
      <c r="F440" s="241" t="s">
        <v>277</v>
      </c>
      <c r="G440" s="241" t="s">
        <v>277</v>
      </c>
      <c r="H440" s="1418" t="s">
        <v>1183</v>
      </c>
      <c r="I440" s="1419"/>
      <c r="J440" s="154"/>
    </row>
    <row r="441" spans="1:10" ht="40.5" customHeight="1">
      <c r="A441" s="176"/>
      <c r="B441" s="357" t="s">
        <v>67</v>
      </c>
      <c r="C441" s="177" t="s">
        <v>1221</v>
      </c>
      <c r="D441" s="563">
        <v>0.15207000000000001</v>
      </c>
      <c r="E441" s="617">
        <f t="shared" si="71"/>
        <v>0.16727700000000004</v>
      </c>
      <c r="F441" s="241" t="s">
        <v>277</v>
      </c>
      <c r="G441" s="241" t="s">
        <v>277</v>
      </c>
      <c r="H441" s="1418" t="s">
        <v>1183</v>
      </c>
      <c r="I441" s="1419"/>
      <c r="J441" s="154"/>
    </row>
    <row r="442" spans="1:10" ht="40.5" customHeight="1">
      <c r="A442" s="176"/>
      <c r="B442" s="357" t="s">
        <v>68</v>
      </c>
      <c r="C442" s="177" t="s">
        <v>1221</v>
      </c>
      <c r="D442" s="563">
        <v>0.15483</v>
      </c>
      <c r="E442" s="617">
        <f t="shared" si="71"/>
        <v>0.17031300000000002</v>
      </c>
      <c r="F442" s="241" t="s">
        <v>277</v>
      </c>
      <c r="G442" s="241" t="s">
        <v>277</v>
      </c>
      <c r="H442" s="1418" t="s">
        <v>1183</v>
      </c>
      <c r="I442" s="1419"/>
      <c r="J442" s="154"/>
    </row>
    <row r="443" spans="1:10" ht="40.5" customHeight="1">
      <c r="A443" s="176"/>
      <c r="B443" s="357" t="s">
        <v>69</v>
      </c>
      <c r="C443" s="177" t="s">
        <v>1221</v>
      </c>
      <c r="D443" s="563">
        <v>0.33551999999999998</v>
      </c>
      <c r="E443" s="617">
        <f t="shared" si="71"/>
        <v>0.36907200000000001</v>
      </c>
      <c r="F443" s="241" t="s">
        <v>277</v>
      </c>
      <c r="G443" s="241" t="s">
        <v>277</v>
      </c>
      <c r="H443" s="1418" t="s">
        <v>1183</v>
      </c>
      <c r="I443" s="1419"/>
      <c r="J443" s="154"/>
    </row>
    <row r="444" spans="1:10" ht="40.5" customHeight="1">
      <c r="A444" s="176"/>
      <c r="B444" s="357" t="s">
        <v>70</v>
      </c>
      <c r="C444" s="177" t="s">
        <v>1221</v>
      </c>
      <c r="D444" s="563">
        <v>5.1910000000000005E-2</v>
      </c>
      <c r="E444" s="617">
        <f t="shared" si="71"/>
        <v>5.7101000000000013E-2</v>
      </c>
      <c r="F444" s="241" t="s">
        <v>277</v>
      </c>
      <c r="G444" s="241" t="s">
        <v>277</v>
      </c>
      <c r="H444" s="1418" t="s">
        <v>1183</v>
      </c>
      <c r="I444" s="1419"/>
      <c r="J444" s="154"/>
    </row>
    <row r="445" spans="1:10" ht="40.5" customHeight="1">
      <c r="A445" s="176"/>
      <c r="B445" s="357" t="s">
        <v>71</v>
      </c>
      <c r="C445" s="177" t="s">
        <v>1221</v>
      </c>
      <c r="D445" s="563">
        <v>4.0600000000000004E-2</v>
      </c>
      <c r="E445" s="617">
        <f t="shared" si="71"/>
        <v>4.4660000000000005E-2</v>
      </c>
      <c r="F445" s="241" t="s">
        <v>277</v>
      </c>
      <c r="G445" s="241" t="s">
        <v>277</v>
      </c>
      <c r="H445" s="1418" t="s">
        <v>1183</v>
      </c>
      <c r="I445" s="1419"/>
      <c r="J445" s="154"/>
    </row>
    <row r="446" spans="1:10" ht="40.5" customHeight="1">
      <c r="A446" s="176"/>
      <c r="B446" s="357" t="s">
        <v>72</v>
      </c>
      <c r="C446" s="177" t="s">
        <v>1221</v>
      </c>
      <c r="D446" s="563">
        <v>1.51786</v>
      </c>
      <c r="E446" s="617">
        <f t="shared" si="71"/>
        <v>1.6696460000000002</v>
      </c>
      <c r="F446" s="241" t="s">
        <v>277</v>
      </c>
      <c r="G446" s="241" t="s">
        <v>277</v>
      </c>
      <c r="H446" s="1418" t="s">
        <v>1183</v>
      </c>
      <c r="I446" s="1419"/>
      <c r="J446" s="154"/>
    </row>
    <row r="447" spans="1:10" ht="40.5" customHeight="1">
      <c r="A447" s="176"/>
      <c r="B447" s="357" t="s">
        <v>73</v>
      </c>
      <c r="C447" s="177" t="s">
        <v>1221</v>
      </c>
      <c r="D447" s="563">
        <v>1.51786</v>
      </c>
      <c r="E447" s="617">
        <f t="shared" si="71"/>
        <v>1.6696460000000002</v>
      </c>
      <c r="F447" s="241" t="s">
        <v>277</v>
      </c>
      <c r="G447" s="241" t="s">
        <v>277</v>
      </c>
      <c r="H447" s="1418" t="s">
        <v>1183</v>
      </c>
      <c r="I447" s="1419"/>
      <c r="J447" s="154"/>
    </row>
    <row r="448" spans="1:10" ht="40.5" customHeight="1">
      <c r="A448" s="176"/>
      <c r="B448" s="357" t="s">
        <v>74</v>
      </c>
      <c r="C448" s="177" t="s">
        <v>1221</v>
      </c>
      <c r="D448" s="563">
        <v>0.13808999999999999</v>
      </c>
      <c r="E448" s="617">
        <f t="shared" si="71"/>
        <v>0.15189900000000001</v>
      </c>
      <c r="F448" s="241" t="s">
        <v>277</v>
      </c>
      <c r="G448" s="241" t="s">
        <v>277</v>
      </c>
      <c r="H448" s="1418" t="s">
        <v>1183</v>
      </c>
      <c r="I448" s="1419"/>
      <c r="J448" s="154"/>
    </row>
    <row r="449" spans="1:10" ht="40.5" customHeight="1">
      <c r="A449" s="176"/>
      <c r="B449" s="357" t="s">
        <v>75</v>
      </c>
      <c r="C449" s="177" t="s">
        <v>1221</v>
      </c>
      <c r="D449" s="563">
        <v>0.37711</v>
      </c>
      <c r="E449" s="617">
        <f t="shared" si="71"/>
        <v>0.41482100000000005</v>
      </c>
      <c r="F449" s="241" t="s">
        <v>277</v>
      </c>
      <c r="G449" s="241" t="s">
        <v>277</v>
      </c>
      <c r="H449" s="1418" t="s">
        <v>1183</v>
      </c>
      <c r="I449" s="1419"/>
      <c r="J449" s="154"/>
    </row>
    <row r="450" spans="1:10" ht="40.5" customHeight="1">
      <c r="A450" s="176"/>
      <c r="B450" s="357" t="s">
        <v>76</v>
      </c>
      <c r="C450" s="177" t="s">
        <v>1221</v>
      </c>
      <c r="D450" s="563">
        <v>0.20535999999999999</v>
      </c>
      <c r="E450" s="617">
        <f t="shared" si="71"/>
        <v>0.22589600000000001</v>
      </c>
      <c r="F450" s="241" t="s">
        <v>277</v>
      </c>
      <c r="G450" s="241" t="s">
        <v>277</v>
      </c>
      <c r="H450" s="1418" t="s">
        <v>1183</v>
      </c>
      <c r="I450" s="1419"/>
      <c r="J450" s="154"/>
    </row>
    <row r="451" spans="1:10" ht="40.5" customHeight="1">
      <c r="A451" s="176"/>
      <c r="B451" s="357" t="s">
        <v>77</v>
      </c>
      <c r="C451" s="177" t="s">
        <v>1221</v>
      </c>
      <c r="D451" s="563">
        <v>0.87104000000000004</v>
      </c>
      <c r="E451" s="617">
        <f t="shared" si="71"/>
        <v>0.95814400000000011</v>
      </c>
      <c r="F451" s="241" t="s">
        <v>277</v>
      </c>
      <c r="G451" s="241" t="s">
        <v>277</v>
      </c>
      <c r="H451" s="1418" t="s">
        <v>1183</v>
      </c>
      <c r="I451" s="1419"/>
      <c r="J451" s="154"/>
    </row>
    <row r="452" spans="1:10" ht="40.5" customHeight="1">
      <c r="A452" s="176"/>
      <c r="B452" s="357" t="s">
        <v>78</v>
      </c>
      <c r="C452" s="177" t="s">
        <v>1221</v>
      </c>
      <c r="D452" s="563">
        <v>0.13197999999999999</v>
      </c>
      <c r="E452" s="617">
        <f t="shared" si="71"/>
        <v>0.145178</v>
      </c>
      <c r="F452" s="241" t="s">
        <v>277</v>
      </c>
      <c r="G452" s="241" t="s">
        <v>277</v>
      </c>
      <c r="H452" s="1418" t="s">
        <v>1183</v>
      </c>
      <c r="I452" s="1419"/>
      <c r="J452" s="154"/>
    </row>
    <row r="453" spans="1:10" ht="40.5" customHeight="1">
      <c r="A453" s="176"/>
      <c r="B453" s="357" t="s">
        <v>79</v>
      </c>
      <c r="C453" s="177" t="s">
        <v>1221</v>
      </c>
      <c r="D453" s="563">
        <v>7.780999999999999E-2</v>
      </c>
      <c r="E453" s="617">
        <f t="shared" si="71"/>
        <v>8.5591E-2</v>
      </c>
      <c r="F453" s="241" t="s">
        <v>277</v>
      </c>
      <c r="G453" s="241" t="s">
        <v>277</v>
      </c>
      <c r="H453" s="1418" t="s">
        <v>1183</v>
      </c>
      <c r="I453" s="1419"/>
      <c r="J453" s="154"/>
    </row>
    <row r="454" spans="1:10" ht="40.5" customHeight="1">
      <c r="A454" s="176"/>
      <c r="B454" s="357" t="s">
        <v>80</v>
      </c>
      <c r="C454" s="177" t="s">
        <v>1221</v>
      </c>
      <c r="D454" s="563">
        <v>1.4712100000000001</v>
      </c>
      <c r="E454" s="617">
        <f t="shared" si="71"/>
        <v>1.6183310000000002</v>
      </c>
      <c r="F454" s="241" t="s">
        <v>277</v>
      </c>
      <c r="G454" s="241" t="s">
        <v>277</v>
      </c>
      <c r="H454" s="1418" t="s">
        <v>1183</v>
      </c>
      <c r="I454" s="1419"/>
      <c r="J454" s="154"/>
    </row>
    <row r="455" spans="1:10" ht="40.5" customHeight="1">
      <c r="A455" s="176"/>
      <c r="B455" s="357" t="s">
        <v>81</v>
      </c>
      <c r="C455" s="177" t="s">
        <v>1221</v>
      </c>
      <c r="D455" s="563">
        <v>0.12411</v>
      </c>
      <c r="E455" s="617">
        <f t="shared" si="71"/>
        <v>0.136521</v>
      </c>
      <c r="F455" s="241" t="s">
        <v>277</v>
      </c>
      <c r="G455" s="241" t="s">
        <v>277</v>
      </c>
      <c r="H455" s="1418" t="s">
        <v>1183</v>
      </c>
      <c r="I455" s="1419"/>
      <c r="J455" s="154"/>
    </row>
    <row r="456" spans="1:10" ht="40.5" customHeight="1">
      <c r="A456" s="176"/>
      <c r="B456" s="357" t="s">
        <v>82</v>
      </c>
      <c r="C456" s="177" t="s">
        <v>1221</v>
      </c>
      <c r="D456" s="563">
        <v>6.2600000000000003E-2</v>
      </c>
      <c r="E456" s="617">
        <f t="shared" ref="E456:E519" si="72">SUM(D456*1.1)</f>
        <v>6.8860000000000005E-2</v>
      </c>
      <c r="F456" s="241" t="s">
        <v>277</v>
      </c>
      <c r="G456" s="241" t="s">
        <v>277</v>
      </c>
      <c r="H456" s="1418" t="s">
        <v>1183</v>
      </c>
      <c r="I456" s="1419"/>
      <c r="J456" s="154"/>
    </row>
    <row r="457" spans="1:10" ht="40.5" customHeight="1">
      <c r="A457" s="176"/>
      <c r="B457" s="357" t="s">
        <v>83</v>
      </c>
      <c r="C457" s="177" t="s">
        <v>1221</v>
      </c>
      <c r="D457" s="563">
        <v>8.7600000000000011E-2</v>
      </c>
      <c r="E457" s="617">
        <f t="shared" si="72"/>
        <v>9.6360000000000015E-2</v>
      </c>
      <c r="F457" s="241" t="s">
        <v>277</v>
      </c>
      <c r="G457" s="241" t="s">
        <v>277</v>
      </c>
      <c r="H457" s="1418" t="s">
        <v>1183</v>
      </c>
      <c r="I457" s="1419"/>
      <c r="J457" s="154"/>
    </row>
    <row r="458" spans="1:10" ht="40.5" customHeight="1">
      <c r="A458" s="176"/>
      <c r="B458" s="357" t="s">
        <v>84</v>
      </c>
      <c r="C458" s="177" t="s">
        <v>1221</v>
      </c>
      <c r="D458" s="563">
        <v>0.43162</v>
      </c>
      <c r="E458" s="617">
        <f t="shared" si="72"/>
        <v>0.47478200000000004</v>
      </c>
      <c r="F458" s="241" t="s">
        <v>277</v>
      </c>
      <c r="G458" s="241" t="s">
        <v>277</v>
      </c>
      <c r="H458" s="1418" t="s">
        <v>1183</v>
      </c>
      <c r="I458" s="1419"/>
      <c r="J458" s="154"/>
    </row>
    <row r="459" spans="1:10" ht="40.5" customHeight="1">
      <c r="A459" s="176"/>
      <c r="B459" s="357" t="s">
        <v>85</v>
      </c>
      <c r="C459" s="177" t="s">
        <v>1221</v>
      </c>
      <c r="D459" s="563">
        <v>6.4710000000000004E-2</v>
      </c>
      <c r="E459" s="617">
        <f t="shared" si="72"/>
        <v>7.1181000000000008E-2</v>
      </c>
      <c r="F459" s="241" t="s">
        <v>277</v>
      </c>
      <c r="G459" s="241" t="s">
        <v>277</v>
      </c>
      <c r="H459" s="1418" t="s">
        <v>1183</v>
      </c>
      <c r="I459" s="1419"/>
      <c r="J459" s="154"/>
    </row>
    <row r="460" spans="1:10" ht="40.5" customHeight="1">
      <c r="A460" s="176"/>
      <c r="B460" s="357" t="s">
        <v>86</v>
      </c>
      <c r="C460" s="177" t="s">
        <v>1221</v>
      </c>
      <c r="D460" s="563">
        <v>0.73737999999999992</v>
      </c>
      <c r="E460" s="617">
        <f t="shared" si="72"/>
        <v>0.81111800000000001</v>
      </c>
      <c r="F460" s="241" t="s">
        <v>277</v>
      </c>
      <c r="G460" s="241" t="s">
        <v>277</v>
      </c>
      <c r="H460" s="1418" t="s">
        <v>1183</v>
      </c>
      <c r="I460" s="1419"/>
      <c r="J460" s="154"/>
    </row>
    <row r="461" spans="1:10" ht="40.5" customHeight="1">
      <c r="A461" s="176"/>
      <c r="B461" s="357" t="s">
        <v>87</v>
      </c>
      <c r="C461" s="177" t="s">
        <v>1221</v>
      </c>
      <c r="D461" s="563">
        <v>0.46891000000000005</v>
      </c>
      <c r="E461" s="617">
        <f t="shared" si="72"/>
        <v>0.51580100000000006</v>
      </c>
      <c r="F461" s="241" t="s">
        <v>277</v>
      </c>
      <c r="G461" s="241" t="s">
        <v>277</v>
      </c>
      <c r="H461" s="1418" t="s">
        <v>1183</v>
      </c>
      <c r="I461" s="1419"/>
      <c r="J461" s="154"/>
    </row>
    <row r="462" spans="1:10" ht="40.5" customHeight="1">
      <c r="A462" s="176"/>
      <c r="B462" s="357" t="s">
        <v>88</v>
      </c>
      <c r="C462" s="177" t="s">
        <v>1221</v>
      </c>
      <c r="D462" s="563">
        <v>0.20099</v>
      </c>
      <c r="E462" s="617">
        <f t="shared" si="72"/>
        <v>0.22108900000000001</v>
      </c>
      <c r="F462" s="241" t="s">
        <v>277</v>
      </c>
      <c r="G462" s="241" t="s">
        <v>277</v>
      </c>
      <c r="H462" s="1418" t="s">
        <v>1183</v>
      </c>
      <c r="I462" s="1419"/>
      <c r="J462" s="154"/>
    </row>
    <row r="463" spans="1:10" ht="40.5" customHeight="1">
      <c r="A463" s="176"/>
      <c r="B463" s="357" t="s">
        <v>89</v>
      </c>
      <c r="C463" s="177" t="s">
        <v>1221</v>
      </c>
      <c r="D463" s="563">
        <v>9.6159999999999995E-2</v>
      </c>
      <c r="E463" s="617">
        <f t="shared" si="72"/>
        <v>0.10577600000000001</v>
      </c>
      <c r="F463" s="241" t="s">
        <v>277</v>
      </c>
      <c r="G463" s="241" t="s">
        <v>277</v>
      </c>
      <c r="H463" s="1418" t="s">
        <v>1183</v>
      </c>
      <c r="I463" s="1419"/>
      <c r="J463" s="154"/>
    </row>
    <row r="464" spans="1:10" ht="40.5" customHeight="1">
      <c r="A464" s="176"/>
      <c r="B464" s="357" t="s">
        <v>90</v>
      </c>
      <c r="C464" s="177" t="s">
        <v>1221</v>
      </c>
      <c r="D464" s="563">
        <v>1.9310700000000001</v>
      </c>
      <c r="E464" s="617">
        <f t="shared" si="72"/>
        <v>2.1241770000000004</v>
      </c>
      <c r="F464" s="241" t="s">
        <v>277</v>
      </c>
      <c r="G464" s="241" t="s">
        <v>277</v>
      </c>
      <c r="H464" s="1418" t="s">
        <v>1183</v>
      </c>
      <c r="I464" s="1419"/>
      <c r="J464" s="154"/>
    </row>
    <row r="465" spans="1:10" ht="40.5" customHeight="1">
      <c r="A465" s="176"/>
      <c r="B465" s="357" t="s">
        <v>91</v>
      </c>
      <c r="C465" s="177" t="s">
        <v>1221</v>
      </c>
      <c r="D465" s="563">
        <v>5.1910000000000005E-2</v>
      </c>
      <c r="E465" s="617">
        <f t="shared" si="72"/>
        <v>5.7101000000000013E-2</v>
      </c>
      <c r="F465" s="241" t="s">
        <v>277</v>
      </c>
      <c r="G465" s="241" t="s">
        <v>277</v>
      </c>
      <c r="H465" s="1418" t="s">
        <v>1183</v>
      </c>
      <c r="I465" s="1419"/>
      <c r="J465" s="154"/>
    </row>
    <row r="466" spans="1:10" ht="40.5" customHeight="1">
      <c r="A466" s="176"/>
      <c r="B466" s="357" t="s">
        <v>92</v>
      </c>
      <c r="C466" s="177" t="s">
        <v>1221</v>
      </c>
      <c r="D466" s="563">
        <v>0.23244000000000001</v>
      </c>
      <c r="E466" s="617">
        <f t="shared" si="72"/>
        <v>0.25568400000000002</v>
      </c>
      <c r="F466" s="241" t="s">
        <v>277</v>
      </c>
      <c r="G466" s="241" t="s">
        <v>277</v>
      </c>
      <c r="H466" s="1418" t="s">
        <v>1183</v>
      </c>
      <c r="I466" s="1419"/>
      <c r="J466" s="154"/>
    </row>
    <row r="467" spans="1:10" ht="40.5" customHeight="1">
      <c r="A467" s="176"/>
      <c r="B467" s="357" t="s">
        <v>93</v>
      </c>
      <c r="C467" s="177" t="s">
        <v>1221</v>
      </c>
      <c r="D467" s="563">
        <v>0.23701</v>
      </c>
      <c r="E467" s="617">
        <f t="shared" si="72"/>
        <v>0.26071100000000003</v>
      </c>
      <c r="F467" s="241" t="s">
        <v>277</v>
      </c>
      <c r="G467" s="241" t="s">
        <v>277</v>
      </c>
      <c r="H467" s="1418" t="s">
        <v>1183</v>
      </c>
      <c r="I467" s="1419"/>
      <c r="J467" s="154"/>
    </row>
    <row r="468" spans="1:10" ht="40.5" customHeight="1">
      <c r="A468" s="176"/>
      <c r="B468" s="357" t="s">
        <v>94</v>
      </c>
      <c r="C468" s="177" t="s">
        <v>1221</v>
      </c>
      <c r="D468" s="563">
        <v>0.16761999999999999</v>
      </c>
      <c r="E468" s="617">
        <f t="shared" si="72"/>
        <v>0.18438200000000002</v>
      </c>
      <c r="F468" s="241" t="s">
        <v>277</v>
      </c>
      <c r="G468" s="241" t="s">
        <v>277</v>
      </c>
      <c r="H468" s="1418" t="s">
        <v>1183</v>
      </c>
      <c r="I468" s="1419"/>
      <c r="J468" s="154"/>
    </row>
    <row r="469" spans="1:10" ht="40.5" customHeight="1">
      <c r="A469" s="176"/>
      <c r="B469" s="357" t="s">
        <v>95</v>
      </c>
      <c r="C469" s="177" t="s">
        <v>1221</v>
      </c>
      <c r="D469" s="563">
        <v>0.36995</v>
      </c>
      <c r="E469" s="617">
        <f t="shared" si="72"/>
        <v>0.40694500000000006</v>
      </c>
      <c r="F469" s="241" t="s">
        <v>277</v>
      </c>
      <c r="G469" s="241" t="s">
        <v>277</v>
      </c>
      <c r="H469" s="1418" t="s">
        <v>1183</v>
      </c>
      <c r="I469" s="1419"/>
      <c r="J469" s="154"/>
    </row>
    <row r="470" spans="1:10" ht="40.5" customHeight="1">
      <c r="A470" s="176"/>
      <c r="B470" s="357" t="s">
        <v>96</v>
      </c>
      <c r="C470" s="177" t="s">
        <v>1221</v>
      </c>
      <c r="D470" s="563">
        <v>0.41106999999999999</v>
      </c>
      <c r="E470" s="617">
        <f t="shared" si="72"/>
        <v>0.45217700000000005</v>
      </c>
      <c r="F470" s="241" t="s">
        <v>277</v>
      </c>
      <c r="G470" s="241" t="s">
        <v>277</v>
      </c>
      <c r="H470" s="1418" t="s">
        <v>1183</v>
      </c>
      <c r="I470" s="1419"/>
      <c r="J470" s="154"/>
    </row>
    <row r="471" spans="1:10" ht="40.5" customHeight="1">
      <c r="A471" s="176"/>
      <c r="B471" s="357" t="s">
        <v>97</v>
      </c>
      <c r="C471" s="177" t="s">
        <v>1221</v>
      </c>
      <c r="D471" s="563">
        <v>5.9990000000000002E-2</v>
      </c>
      <c r="E471" s="617">
        <f t="shared" si="72"/>
        <v>6.5989000000000006E-2</v>
      </c>
      <c r="F471" s="241" t="s">
        <v>277</v>
      </c>
      <c r="G471" s="241" t="s">
        <v>277</v>
      </c>
      <c r="H471" s="1418" t="s">
        <v>1183</v>
      </c>
      <c r="I471" s="1419"/>
      <c r="J471" s="154"/>
    </row>
    <row r="472" spans="1:10" ht="40.5" customHeight="1">
      <c r="A472" s="176"/>
      <c r="B472" s="357" t="s">
        <v>98</v>
      </c>
      <c r="C472" s="177" t="s">
        <v>1221</v>
      </c>
      <c r="D472" s="563">
        <v>0.46919</v>
      </c>
      <c r="E472" s="617">
        <f t="shared" si="72"/>
        <v>0.51610900000000004</v>
      </c>
      <c r="F472" s="241" t="s">
        <v>277</v>
      </c>
      <c r="G472" s="241" t="s">
        <v>277</v>
      </c>
      <c r="H472" s="1418" t="s">
        <v>1183</v>
      </c>
      <c r="I472" s="1419"/>
      <c r="J472" s="154"/>
    </row>
    <row r="473" spans="1:10" ht="40.5" customHeight="1">
      <c r="A473" s="176"/>
      <c r="B473" s="357" t="s">
        <v>99</v>
      </c>
      <c r="C473" s="177" t="s">
        <v>1221</v>
      </c>
      <c r="D473" s="563">
        <v>0.23541000000000001</v>
      </c>
      <c r="E473" s="617">
        <f t="shared" si="72"/>
        <v>0.25895100000000004</v>
      </c>
      <c r="F473" s="241" t="s">
        <v>277</v>
      </c>
      <c r="G473" s="241" t="s">
        <v>277</v>
      </c>
      <c r="H473" s="1418" t="s">
        <v>1183</v>
      </c>
      <c r="I473" s="1419"/>
      <c r="J473" s="154"/>
    </row>
    <row r="474" spans="1:10" ht="40.5" customHeight="1">
      <c r="A474" s="176"/>
      <c r="B474" s="357" t="s">
        <v>100</v>
      </c>
      <c r="C474" s="177" t="s">
        <v>1221</v>
      </c>
      <c r="D474" s="563">
        <v>0.90232999999999997</v>
      </c>
      <c r="E474" s="617">
        <f t="shared" si="72"/>
        <v>0.99256300000000008</v>
      </c>
      <c r="F474" s="241" t="s">
        <v>277</v>
      </c>
      <c r="G474" s="241" t="s">
        <v>277</v>
      </c>
      <c r="H474" s="1418" t="s">
        <v>1183</v>
      </c>
      <c r="I474" s="1419"/>
      <c r="J474" s="154"/>
    </row>
    <row r="475" spans="1:10" ht="40.5" customHeight="1">
      <c r="A475" s="176"/>
      <c r="B475" s="357" t="s">
        <v>101</v>
      </c>
      <c r="C475" s="177" t="s">
        <v>1221</v>
      </c>
      <c r="D475" s="563">
        <v>0.37920000000000004</v>
      </c>
      <c r="E475" s="617">
        <f t="shared" si="72"/>
        <v>0.4171200000000001</v>
      </c>
      <c r="F475" s="241" t="s">
        <v>277</v>
      </c>
      <c r="G475" s="241" t="s">
        <v>277</v>
      </c>
      <c r="H475" s="1418" t="s">
        <v>1183</v>
      </c>
      <c r="I475" s="1419"/>
      <c r="J475" s="154"/>
    </row>
    <row r="476" spans="1:10" ht="40.5" customHeight="1">
      <c r="A476" s="176"/>
      <c r="B476" s="357" t="s">
        <v>102</v>
      </c>
      <c r="C476" s="177" t="s">
        <v>1221</v>
      </c>
      <c r="D476" s="563">
        <v>8.9260000000000006E-2</v>
      </c>
      <c r="E476" s="617">
        <f t="shared" si="72"/>
        <v>9.8186000000000009E-2</v>
      </c>
      <c r="F476" s="241" t="s">
        <v>277</v>
      </c>
      <c r="G476" s="241" t="s">
        <v>277</v>
      </c>
      <c r="H476" s="1418" t="s">
        <v>1183</v>
      </c>
      <c r="I476" s="1419"/>
      <c r="J476" s="154"/>
    </row>
    <row r="477" spans="1:10" ht="40.5" customHeight="1">
      <c r="A477" s="176"/>
      <c r="B477" s="357" t="s">
        <v>103</v>
      </c>
      <c r="C477" s="177" t="s">
        <v>1221</v>
      </c>
      <c r="D477" s="563">
        <v>4.4790000000000003E-2</v>
      </c>
      <c r="E477" s="617">
        <f t="shared" si="72"/>
        <v>4.9269000000000007E-2</v>
      </c>
      <c r="F477" s="241" t="s">
        <v>277</v>
      </c>
      <c r="G477" s="241" t="s">
        <v>277</v>
      </c>
      <c r="H477" s="1418" t="s">
        <v>1183</v>
      </c>
      <c r="I477" s="1419"/>
      <c r="J477" s="154"/>
    </row>
    <row r="478" spans="1:10" ht="40.5" customHeight="1">
      <c r="A478" s="176"/>
      <c r="B478" s="357" t="s">
        <v>104</v>
      </c>
      <c r="C478" s="177" t="s">
        <v>1221</v>
      </c>
      <c r="D478" s="563">
        <v>0.19959000000000002</v>
      </c>
      <c r="E478" s="617">
        <f t="shared" si="72"/>
        <v>0.21954900000000005</v>
      </c>
      <c r="F478" s="241" t="s">
        <v>277</v>
      </c>
      <c r="G478" s="241" t="s">
        <v>277</v>
      </c>
      <c r="H478" s="1418" t="s">
        <v>1183</v>
      </c>
      <c r="I478" s="1419"/>
      <c r="J478" s="154"/>
    </row>
    <row r="479" spans="1:10" ht="40.5" customHeight="1">
      <c r="A479" s="176"/>
      <c r="B479" s="357" t="s">
        <v>105</v>
      </c>
      <c r="C479" s="177" t="s">
        <v>1221</v>
      </c>
      <c r="D479" s="563">
        <v>0.16778999999999999</v>
      </c>
      <c r="E479" s="617">
        <f t="shared" si="72"/>
        <v>0.18456900000000001</v>
      </c>
      <c r="F479" s="241" t="s">
        <v>277</v>
      </c>
      <c r="G479" s="241" t="s">
        <v>277</v>
      </c>
      <c r="H479" s="1418" t="s">
        <v>1183</v>
      </c>
      <c r="I479" s="1419"/>
      <c r="J479" s="154"/>
    </row>
    <row r="480" spans="1:10" ht="40.5" customHeight="1">
      <c r="A480" s="176"/>
      <c r="B480" s="357" t="s">
        <v>106</v>
      </c>
      <c r="C480" s="177" t="s">
        <v>1221</v>
      </c>
      <c r="D480" s="563">
        <v>0.33377999999999997</v>
      </c>
      <c r="E480" s="617">
        <f t="shared" si="72"/>
        <v>0.36715799999999998</v>
      </c>
      <c r="F480" s="241" t="s">
        <v>277</v>
      </c>
      <c r="G480" s="241" t="s">
        <v>277</v>
      </c>
      <c r="H480" s="1418" t="s">
        <v>1183</v>
      </c>
      <c r="I480" s="1419"/>
      <c r="J480" s="154"/>
    </row>
    <row r="481" spans="1:10" ht="40.5" customHeight="1">
      <c r="A481" s="176"/>
      <c r="B481" s="357" t="s">
        <v>107</v>
      </c>
      <c r="C481" s="177" t="s">
        <v>1221</v>
      </c>
      <c r="D481" s="563">
        <v>0.13020000000000001</v>
      </c>
      <c r="E481" s="617">
        <f t="shared" si="72"/>
        <v>0.14322000000000001</v>
      </c>
      <c r="F481" s="241" t="s">
        <v>277</v>
      </c>
      <c r="G481" s="241" t="s">
        <v>277</v>
      </c>
      <c r="H481" s="1418" t="s">
        <v>1183</v>
      </c>
      <c r="I481" s="1419"/>
      <c r="J481" s="154"/>
    </row>
    <row r="482" spans="1:10" ht="40.5" customHeight="1">
      <c r="A482" s="176"/>
      <c r="B482" s="357" t="s">
        <v>108</v>
      </c>
      <c r="C482" s="177" t="s">
        <v>1221</v>
      </c>
      <c r="D482" s="563">
        <v>0.24642</v>
      </c>
      <c r="E482" s="617">
        <f t="shared" si="72"/>
        <v>0.27106200000000003</v>
      </c>
      <c r="F482" s="241" t="s">
        <v>277</v>
      </c>
      <c r="G482" s="241" t="s">
        <v>277</v>
      </c>
      <c r="H482" s="1418" t="s">
        <v>1183</v>
      </c>
      <c r="I482" s="1419"/>
      <c r="J482" s="154"/>
    </row>
    <row r="483" spans="1:10" ht="40.5" customHeight="1">
      <c r="A483" s="176"/>
      <c r="B483" s="357" t="s">
        <v>109</v>
      </c>
      <c r="C483" s="177" t="s">
        <v>1221</v>
      </c>
      <c r="D483" s="563">
        <v>0.11188000000000001</v>
      </c>
      <c r="E483" s="617">
        <f t="shared" si="72"/>
        <v>0.12306800000000002</v>
      </c>
      <c r="F483" s="241" t="s">
        <v>277</v>
      </c>
      <c r="G483" s="241" t="s">
        <v>277</v>
      </c>
      <c r="H483" s="1418" t="s">
        <v>1183</v>
      </c>
      <c r="I483" s="1419"/>
      <c r="J483" s="154"/>
    </row>
    <row r="484" spans="1:10" ht="40.5" customHeight="1">
      <c r="A484" s="176"/>
      <c r="B484" s="357" t="s">
        <v>110</v>
      </c>
      <c r="C484" s="177" t="s">
        <v>1221</v>
      </c>
      <c r="D484" s="563">
        <v>4.9160000000000002E-2</v>
      </c>
      <c r="E484" s="617">
        <f t="shared" si="72"/>
        <v>5.4076000000000006E-2</v>
      </c>
      <c r="F484" s="241" t="s">
        <v>277</v>
      </c>
      <c r="G484" s="241" t="s">
        <v>277</v>
      </c>
      <c r="H484" s="1418" t="s">
        <v>1183</v>
      </c>
      <c r="I484" s="1419"/>
      <c r="J484" s="154"/>
    </row>
    <row r="485" spans="1:10" ht="40.5" customHeight="1">
      <c r="A485" s="176"/>
      <c r="B485" s="357" t="s">
        <v>111</v>
      </c>
      <c r="C485" s="177" t="s">
        <v>1221</v>
      </c>
      <c r="D485" s="563">
        <v>0.10651000000000001</v>
      </c>
      <c r="E485" s="617">
        <f t="shared" si="72"/>
        <v>0.11716100000000002</v>
      </c>
      <c r="F485" s="241" t="s">
        <v>277</v>
      </c>
      <c r="G485" s="241" t="s">
        <v>277</v>
      </c>
      <c r="H485" s="1418" t="s">
        <v>1183</v>
      </c>
      <c r="I485" s="1419"/>
      <c r="J485" s="154"/>
    </row>
    <row r="486" spans="1:10" ht="40.5" customHeight="1">
      <c r="A486" s="176"/>
      <c r="B486" s="357" t="s">
        <v>112</v>
      </c>
      <c r="C486" s="177" t="s">
        <v>1221</v>
      </c>
      <c r="D486" s="563">
        <v>6.0219999999999996E-2</v>
      </c>
      <c r="E486" s="617">
        <f t="shared" si="72"/>
        <v>6.6241999999999995E-2</v>
      </c>
      <c r="F486" s="241" t="s">
        <v>277</v>
      </c>
      <c r="G486" s="241" t="s">
        <v>277</v>
      </c>
      <c r="H486" s="1418" t="s">
        <v>1183</v>
      </c>
      <c r="I486" s="1419"/>
      <c r="J486" s="154"/>
    </row>
    <row r="487" spans="1:10" ht="40.5" customHeight="1">
      <c r="A487" s="176"/>
      <c r="B487" s="357" t="s">
        <v>113</v>
      </c>
      <c r="C487" s="177" t="s">
        <v>1221</v>
      </c>
      <c r="D487" s="563">
        <v>4.8459999999999996E-2</v>
      </c>
      <c r="E487" s="617">
        <f t="shared" si="72"/>
        <v>5.3305999999999999E-2</v>
      </c>
      <c r="F487" s="241" t="s">
        <v>277</v>
      </c>
      <c r="G487" s="241" t="s">
        <v>277</v>
      </c>
      <c r="H487" s="1418" t="s">
        <v>1183</v>
      </c>
      <c r="I487" s="1419"/>
      <c r="J487" s="154"/>
    </row>
    <row r="488" spans="1:10" ht="40.5" customHeight="1">
      <c r="A488" s="176"/>
      <c r="B488" s="357" t="s">
        <v>114</v>
      </c>
      <c r="C488" s="177" t="s">
        <v>1221</v>
      </c>
      <c r="D488" s="563">
        <v>0.88658999999999999</v>
      </c>
      <c r="E488" s="617">
        <f t="shared" si="72"/>
        <v>0.97524900000000003</v>
      </c>
      <c r="F488" s="241" t="s">
        <v>277</v>
      </c>
      <c r="G488" s="241" t="s">
        <v>277</v>
      </c>
      <c r="H488" s="1418" t="s">
        <v>1183</v>
      </c>
      <c r="I488" s="1419"/>
      <c r="J488" s="154"/>
    </row>
    <row r="489" spans="1:10" ht="40.5" customHeight="1">
      <c r="A489" s="176"/>
      <c r="B489" s="357" t="s">
        <v>115</v>
      </c>
      <c r="C489" s="177" t="s">
        <v>1221</v>
      </c>
      <c r="D489" s="563">
        <v>0.21322000000000002</v>
      </c>
      <c r="E489" s="617">
        <f t="shared" si="72"/>
        <v>0.23454200000000003</v>
      </c>
      <c r="F489" s="241" t="s">
        <v>277</v>
      </c>
      <c r="G489" s="241" t="s">
        <v>277</v>
      </c>
      <c r="H489" s="1418" t="s">
        <v>1183</v>
      </c>
      <c r="I489" s="1419"/>
      <c r="J489" s="154"/>
    </row>
    <row r="490" spans="1:10" ht="40.5" customHeight="1">
      <c r="A490" s="176"/>
      <c r="B490" s="357" t="s">
        <v>116</v>
      </c>
      <c r="C490" s="177" t="s">
        <v>1221</v>
      </c>
      <c r="D490" s="563">
        <v>0.19959000000000002</v>
      </c>
      <c r="E490" s="617">
        <f t="shared" si="72"/>
        <v>0.21954900000000005</v>
      </c>
      <c r="F490" s="241" t="s">
        <v>277</v>
      </c>
      <c r="G490" s="241" t="s">
        <v>277</v>
      </c>
      <c r="H490" s="1418" t="s">
        <v>1183</v>
      </c>
      <c r="I490" s="1419"/>
      <c r="J490" s="154"/>
    </row>
    <row r="491" spans="1:10" ht="40.5" customHeight="1">
      <c r="A491" s="176"/>
      <c r="B491" s="357" t="s">
        <v>117</v>
      </c>
      <c r="C491" s="177" t="s">
        <v>1221</v>
      </c>
      <c r="D491" s="563">
        <v>1.5061499999999999</v>
      </c>
      <c r="E491" s="617">
        <f t="shared" si="72"/>
        <v>1.656765</v>
      </c>
      <c r="F491" s="241" t="s">
        <v>277</v>
      </c>
      <c r="G491" s="241" t="s">
        <v>277</v>
      </c>
      <c r="H491" s="1418" t="s">
        <v>1183</v>
      </c>
      <c r="I491" s="1419"/>
      <c r="J491" s="154"/>
    </row>
    <row r="492" spans="1:10" ht="40.5" customHeight="1">
      <c r="A492" s="176"/>
      <c r="B492" s="357" t="s">
        <v>118</v>
      </c>
      <c r="C492" s="177" t="s">
        <v>1221</v>
      </c>
      <c r="D492" s="563">
        <v>0.22195999999999999</v>
      </c>
      <c r="E492" s="617">
        <f t="shared" si="72"/>
        <v>0.24415600000000001</v>
      </c>
      <c r="F492" s="241" t="s">
        <v>277</v>
      </c>
      <c r="G492" s="241" t="s">
        <v>277</v>
      </c>
      <c r="H492" s="1418" t="s">
        <v>1183</v>
      </c>
      <c r="I492" s="1419"/>
      <c r="J492" s="154"/>
    </row>
    <row r="493" spans="1:10" ht="40.5" customHeight="1">
      <c r="A493" s="176"/>
      <c r="B493" s="357" t="s">
        <v>119</v>
      </c>
      <c r="C493" s="177" t="s">
        <v>1221</v>
      </c>
      <c r="D493" s="563">
        <v>0.21496999999999999</v>
      </c>
      <c r="E493" s="617">
        <f t="shared" si="72"/>
        <v>0.23646700000000001</v>
      </c>
      <c r="F493" s="241" t="s">
        <v>277</v>
      </c>
      <c r="G493" s="241" t="s">
        <v>277</v>
      </c>
      <c r="H493" s="1418" t="s">
        <v>1183</v>
      </c>
      <c r="I493" s="1419"/>
      <c r="J493" s="154"/>
    </row>
    <row r="494" spans="1:10" ht="40.5" customHeight="1">
      <c r="A494" s="176"/>
      <c r="B494" s="357" t="s">
        <v>120</v>
      </c>
      <c r="C494" s="177" t="s">
        <v>1221</v>
      </c>
      <c r="D494" s="563">
        <v>1.24533</v>
      </c>
      <c r="E494" s="617">
        <f t="shared" si="72"/>
        <v>1.3698630000000001</v>
      </c>
      <c r="F494" s="241" t="s">
        <v>277</v>
      </c>
      <c r="G494" s="241" t="s">
        <v>277</v>
      </c>
      <c r="H494" s="1418" t="s">
        <v>1183</v>
      </c>
      <c r="I494" s="1419"/>
      <c r="J494" s="154"/>
    </row>
    <row r="495" spans="1:10" ht="40.5" customHeight="1">
      <c r="A495" s="176"/>
      <c r="B495" s="357" t="s">
        <v>121</v>
      </c>
      <c r="C495" s="177" t="s">
        <v>1221</v>
      </c>
      <c r="D495" s="563">
        <v>0.4526</v>
      </c>
      <c r="E495" s="617">
        <f t="shared" si="72"/>
        <v>0.49786000000000002</v>
      </c>
      <c r="F495" s="241" t="s">
        <v>277</v>
      </c>
      <c r="G495" s="241" t="s">
        <v>277</v>
      </c>
      <c r="H495" s="1418" t="s">
        <v>1183</v>
      </c>
      <c r="I495" s="1419"/>
      <c r="J495" s="154"/>
    </row>
    <row r="496" spans="1:10" ht="40.5" customHeight="1">
      <c r="A496" s="176"/>
      <c r="B496" s="357" t="s">
        <v>122</v>
      </c>
      <c r="C496" s="177" t="s">
        <v>1221</v>
      </c>
      <c r="D496" s="563">
        <v>0.28782999999999997</v>
      </c>
      <c r="E496" s="617">
        <f t="shared" si="72"/>
        <v>0.31661299999999998</v>
      </c>
      <c r="F496" s="241" t="s">
        <v>277</v>
      </c>
      <c r="G496" s="241" t="s">
        <v>277</v>
      </c>
      <c r="H496" s="1418" t="s">
        <v>1183</v>
      </c>
      <c r="I496" s="1419"/>
      <c r="J496" s="154"/>
    </row>
    <row r="497" spans="1:10" ht="40.5" customHeight="1">
      <c r="A497" s="176"/>
      <c r="B497" s="357" t="s">
        <v>123</v>
      </c>
      <c r="C497" s="177" t="s">
        <v>1221</v>
      </c>
      <c r="D497" s="563">
        <v>0.41048000000000001</v>
      </c>
      <c r="E497" s="617">
        <f t="shared" si="72"/>
        <v>0.45152800000000004</v>
      </c>
      <c r="F497" s="241" t="s">
        <v>277</v>
      </c>
      <c r="G497" s="241" t="s">
        <v>277</v>
      </c>
      <c r="H497" s="1418" t="s">
        <v>1183</v>
      </c>
      <c r="I497" s="1419"/>
      <c r="J497" s="154"/>
    </row>
    <row r="498" spans="1:10" ht="40.5" customHeight="1">
      <c r="A498" s="176"/>
      <c r="B498" s="357" t="s">
        <v>124</v>
      </c>
      <c r="C498" s="177" t="s">
        <v>1221</v>
      </c>
      <c r="D498" s="563">
        <v>4.9860000000000002E-2</v>
      </c>
      <c r="E498" s="617">
        <f t="shared" si="72"/>
        <v>5.4846000000000006E-2</v>
      </c>
      <c r="F498" s="241" t="s">
        <v>277</v>
      </c>
      <c r="G498" s="241" t="s">
        <v>277</v>
      </c>
      <c r="H498" s="1418" t="s">
        <v>1183</v>
      </c>
      <c r="I498" s="1419"/>
      <c r="J498" s="154"/>
    </row>
    <row r="499" spans="1:10" ht="40.5" customHeight="1">
      <c r="A499" s="176"/>
      <c r="B499" s="357" t="s">
        <v>125</v>
      </c>
      <c r="C499" s="177" t="s">
        <v>1221</v>
      </c>
      <c r="D499" s="563">
        <v>5.4949999999999999E-2</v>
      </c>
      <c r="E499" s="617">
        <f t="shared" si="72"/>
        <v>6.0445000000000006E-2</v>
      </c>
      <c r="F499" s="241" t="s">
        <v>277</v>
      </c>
      <c r="G499" s="241" t="s">
        <v>277</v>
      </c>
      <c r="H499" s="1418" t="s">
        <v>1183</v>
      </c>
      <c r="I499" s="1419"/>
      <c r="J499" s="154"/>
    </row>
    <row r="500" spans="1:10" ht="40.5" customHeight="1">
      <c r="A500" s="176"/>
      <c r="B500" s="357" t="s">
        <v>126</v>
      </c>
      <c r="C500" s="177" t="s">
        <v>1221</v>
      </c>
      <c r="D500" s="563">
        <v>6.0600000000000001E-2</v>
      </c>
      <c r="E500" s="617">
        <f t="shared" si="72"/>
        <v>6.6660000000000011E-2</v>
      </c>
      <c r="F500" s="241" t="s">
        <v>277</v>
      </c>
      <c r="G500" s="241" t="s">
        <v>277</v>
      </c>
      <c r="H500" s="1418" t="s">
        <v>1183</v>
      </c>
      <c r="I500" s="1419"/>
      <c r="J500" s="154"/>
    </row>
    <row r="501" spans="1:10" ht="40.5" customHeight="1">
      <c r="A501" s="176"/>
      <c r="B501" s="357" t="s">
        <v>127</v>
      </c>
      <c r="C501" s="177" t="s">
        <v>1221</v>
      </c>
      <c r="D501" s="563">
        <v>0.21637000000000001</v>
      </c>
      <c r="E501" s="617">
        <f t="shared" si="72"/>
        <v>0.23800700000000002</v>
      </c>
      <c r="F501" s="241" t="s">
        <v>277</v>
      </c>
      <c r="G501" s="241" t="s">
        <v>277</v>
      </c>
      <c r="H501" s="1418" t="s">
        <v>1183</v>
      </c>
      <c r="I501" s="1419"/>
      <c r="J501" s="154"/>
    </row>
    <row r="502" spans="1:10" ht="40.5" customHeight="1">
      <c r="A502" s="176"/>
      <c r="B502" s="357" t="s">
        <v>128</v>
      </c>
      <c r="C502" s="177" t="s">
        <v>1221</v>
      </c>
      <c r="D502" s="563">
        <v>0.14285</v>
      </c>
      <c r="E502" s="617">
        <f t="shared" si="72"/>
        <v>0.15713500000000002</v>
      </c>
      <c r="F502" s="241" t="s">
        <v>277</v>
      </c>
      <c r="G502" s="241" t="s">
        <v>277</v>
      </c>
      <c r="H502" s="1418" t="s">
        <v>1183</v>
      </c>
      <c r="I502" s="1419"/>
      <c r="J502" s="154"/>
    </row>
    <row r="503" spans="1:10" ht="40.5" customHeight="1">
      <c r="A503" s="176"/>
      <c r="B503" s="357" t="s">
        <v>129</v>
      </c>
      <c r="C503" s="177" t="s">
        <v>1221</v>
      </c>
      <c r="D503" s="563">
        <v>0.23296</v>
      </c>
      <c r="E503" s="617">
        <f t="shared" si="72"/>
        <v>0.25625600000000004</v>
      </c>
      <c r="F503" s="241" t="s">
        <v>277</v>
      </c>
      <c r="G503" s="241" t="s">
        <v>277</v>
      </c>
      <c r="H503" s="1418" t="s">
        <v>1183</v>
      </c>
      <c r="I503" s="1419"/>
      <c r="J503" s="154"/>
    </row>
    <row r="504" spans="1:10" ht="40.5" customHeight="1">
      <c r="A504" s="176"/>
      <c r="B504" s="357" t="s">
        <v>130</v>
      </c>
      <c r="C504" s="177" t="s">
        <v>1221</v>
      </c>
      <c r="D504" s="563">
        <v>0.20798</v>
      </c>
      <c r="E504" s="617">
        <f t="shared" si="72"/>
        <v>0.22877800000000001</v>
      </c>
      <c r="F504" s="241" t="s">
        <v>277</v>
      </c>
      <c r="G504" s="241" t="s">
        <v>277</v>
      </c>
      <c r="H504" s="1418" t="s">
        <v>1183</v>
      </c>
      <c r="I504" s="1419"/>
      <c r="J504" s="154"/>
    </row>
    <row r="505" spans="1:10" ht="40.5" customHeight="1">
      <c r="A505" s="176"/>
      <c r="B505" s="357" t="s">
        <v>131</v>
      </c>
      <c r="C505" s="177" t="s">
        <v>1221</v>
      </c>
      <c r="D505" s="563">
        <v>7.2040000000000007E-2</v>
      </c>
      <c r="E505" s="617">
        <f t="shared" si="72"/>
        <v>7.9244000000000009E-2</v>
      </c>
      <c r="F505" s="241" t="s">
        <v>277</v>
      </c>
      <c r="G505" s="241" t="s">
        <v>277</v>
      </c>
      <c r="H505" s="1418" t="s">
        <v>1183</v>
      </c>
      <c r="I505" s="1419"/>
      <c r="J505" s="154"/>
    </row>
    <row r="506" spans="1:10" ht="40.5" customHeight="1">
      <c r="A506" s="176"/>
      <c r="B506" s="357" t="s">
        <v>132</v>
      </c>
      <c r="C506" s="177" t="s">
        <v>1221</v>
      </c>
      <c r="D506" s="563">
        <v>5.4469999999999998E-2</v>
      </c>
      <c r="E506" s="617">
        <f t="shared" si="72"/>
        <v>5.9917000000000005E-2</v>
      </c>
      <c r="F506" s="241" t="s">
        <v>277</v>
      </c>
      <c r="G506" s="241" t="s">
        <v>277</v>
      </c>
      <c r="H506" s="1418" t="s">
        <v>1183</v>
      </c>
      <c r="I506" s="1419"/>
      <c r="J506" s="154"/>
    </row>
    <row r="507" spans="1:10" ht="40.5" customHeight="1">
      <c r="A507" s="176"/>
      <c r="B507" s="357" t="s">
        <v>133</v>
      </c>
      <c r="C507" s="177" t="s">
        <v>1221</v>
      </c>
      <c r="D507" s="563">
        <v>9.7540000000000002E-2</v>
      </c>
      <c r="E507" s="617">
        <f t="shared" si="72"/>
        <v>0.10729400000000001</v>
      </c>
      <c r="F507" s="241" t="s">
        <v>277</v>
      </c>
      <c r="G507" s="241" t="s">
        <v>277</v>
      </c>
      <c r="H507" s="1418" t="s">
        <v>1183</v>
      </c>
      <c r="I507" s="1419"/>
      <c r="J507" s="154"/>
    </row>
    <row r="508" spans="1:10" ht="40.5" customHeight="1">
      <c r="A508" s="176"/>
      <c r="B508" s="357" t="s">
        <v>134</v>
      </c>
      <c r="C508" s="177" t="s">
        <v>1221</v>
      </c>
      <c r="D508" s="563">
        <v>0.21322000000000002</v>
      </c>
      <c r="E508" s="617">
        <f t="shared" si="72"/>
        <v>0.23454200000000003</v>
      </c>
      <c r="F508" s="241" t="s">
        <v>277</v>
      </c>
      <c r="G508" s="241" t="s">
        <v>277</v>
      </c>
      <c r="H508" s="1418" t="s">
        <v>1183</v>
      </c>
      <c r="I508" s="1419"/>
      <c r="J508" s="154"/>
    </row>
    <row r="509" spans="1:10" ht="40.5" customHeight="1">
      <c r="A509" s="176"/>
      <c r="B509" s="357" t="s">
        <v>135</v>
      </c>
      <c r="C509" s="177" t="s">
        <v>1221</v>
      </c>
      <c r="D509" s="563">
        <v>0.12236999999999999</v>
      </c>
      <c r="E509" s="617">
        <f t="shared" si="72"/>
        <v>0.134607</v>
      </c>
      <c r="F509" s="241" t="s">
        <v>277</v>
      </c>
      <c r="G509" s="241" t="s">
        <v>277</v>
      </c>
      <c r="H509" s="1418" t="s">
        <v>1183</v>
      </c>
      <c r="I509" s="1419"/>
      <c r="J509" s="154"/>
    </row>
    <row r="510" spans="1:10" ht="40.5" customHeight="1">
      <c r="A510" s="176"/>
      <c r="B510" s="357" t="s">
        <v>136</v>
      </c>
      <c r="C510" s="177" t="s">
        <v>1221</v>
      </c>
      <c r="D510" s="563">
        <v>5.9470000000000002E-2</v>
      </c>
      <c r="E510" s="617">
        <f t="shared" si="72"/>
        <v>6.5417000000000003E-2</v>
      </c>
      <c r="F510" s="241" t="s">
        <v>277</v>
      </c>
      <c r="G510" s="241" t="s">
        <v>277</v>
      </c>
      <c r="H510" s="1418" t="s">
        <v>1183</v>
      </c>
      <c r="I510" s="1419"/>
      <c r="J510" s="154"/>
    </row>
    <row r="511" spans="1:10" ht="40.5" customHeight="1">
      <c r="A511" s="176"/>
      <c r="B511" s="357" t="s">
        <v>137</v>
      </c>
      <c r="C511" s="177" t="s">
        <v>1221</v>
      </c>
      <c r="D511" s="563">
        <v>0.19156000000000001</v>
      </c>
      <c r="E511" s="617">
        <f t="shared" si="72"/>
        <v>0.21071600000000001</v>
      </c>
      <c r="F511" s="241" t="s">
        <v>277</v>
      </c>
      <c r="G511" s="241" t="s">
        <v>277</v>
      </c>
      <c r="H511" s="1418" t="s">
        <v>1183</v>
      </c>
      <c r="I511" s="1419"/>
      <c r="J511" s="154"/>
    </row>
    <row r="512" spans="1:10" ht="40.5" customHeight="1">
      <c r="A512" s="176"/>
      <c r="B512" s="357" t="s">
        <v>138</v>
      </c>
      <c r="C512" s="177" t="s">
        <v>1221</v>
      </c>
      <c r="D512" s="563">
        <v>0.21496999999999999</v>
      </c>
      <c r="E512" s="617">
        <f t="shared" si="72"/>
        <v>0.23646700000000001</v>
      </c>
      <c r="F512" s="241" t="s">
        <v>277</v>
      </c>
      <c r="G512" s="241" t="s">
        <v>277</v>
      </c>
      <c r="H512" s="1418" t="s">
        <v>1183</v>
      </c>
      <c r="I512" s="1419"/>
      <c r="J512" s="154"/>
    </row>
    <row r="513" spans="1:10" ht="40.5" customHeight="1">
      <c r="A513" s="176"/>
      <c r="B513" s="357" t="s">
        <v>139</v>
      </c>
      <c r="C513" s="177" t="s">
        <v>1221</v>
      </c>
      <c r="D513" s="563">
        <v>0.31413000000000002</v>
      </c>
      <c r="E513" s="617">
        <f t="shared" si="72"/>
        <v>0.34554300000000004</v>
      </c>
      <c r="F513" s="241" t="s">
        <v>277</v>
      </c>
      <c r="G513" s="241" t="s">
        <v>277</v>
      </c>
      <c r="H513" s="1418" t="s">
        <v>1183</v>
      </c>
      <c r="I513" s="1419"/>
      <c r="J513" s="154"/>
    </row>
    <row r="514" spans="1:10" ht="40.5" customHeight="1">
      <c r="A514" s="176"/>
      <c r="B514" s="357" t="s">
        <v>140</v>
      </c>
      <c r="C514" s="177" t="s">
        <v>1221</v>
      </c>
      <c r="D514" s="563">
        <v>0.81164000000000003</v>
      </c>
      <c r="E514" s="617">
        <f t="shared" si="72"/>
        <v>0.89280400000000015</v>
      </c>
      <c r="F514" s="241" t="s">
        <v>277</v>
      </c>
      <c r="G514" s="241" t="s">
        <v>277</v>
      </c>
      <c r="H514" s="1418" t="s">
        <v>1183</v>
      </c>
      <c r="I514" s="1419"/>
      <c r="J514" s="154"/>
    </row>
    <row r="515" spans="1:10" ht="40.5" customHeight="1">
      <c r="A515" s="176"/>
      <c r="B515" s="357" t="s">
        <v>141</v>
      </c>
      <c r="C515" s="177" t="s">
        <v>1221</v>
      </c>
      <c r="D515" s="563">
        <v>0.58887</v>
      </c>
      <c r="E515" s="617">
        <f t="shared" si="72"/>
        <v>0.64775700000000003</v>
      </c>
      <c r="F515" s="241" t="s">
        <v>277</v>
      </c>
      <c r="G515" s="241" t="s">
        <v>277</v>
      </c>
      <c r="H515" s="1418" t="s">
        <v>1183</v>
      </c>
      <c r="I515" s="1419"/>
      <c r="J515" s="154"/>
    </row>
    <row r="516" spans="1:10" ht="40.5" customHeight="1">
      <c r="A516" s="176"/>
      <c r="B516" s="357" t="s">
        <v>142</v>
      </c>
      <c r="C516" s="177" t="s">
        <v>1221</v>
      </c>
      <c r="D516" s="563">
        <v>4.7169999999999997E-2</v>
      </c>
      <c r="E516" s="617">
        <f t="shared" si="72"/>
        <v>5.1887000000000003E-2</v>
      </c>
      <c r="F516" s="241" t="s">
        <v>277</v>
      </c>
      <c r="G516" s="241" t="s">
        <v>277</v>
      </c>
      <c r="H516" s="1418" t="s">
        <v>1183</v>
      </c>
      <c r="I516" s="1419"/>
      <c r="J516" s="154"/>
    </row>
    <row r="517" spans="1:10" ht="40.5" customHeight="1">
      <c r="A517" s="176"/>
      <c r="B517" s="357" t="s">
        <v>143</v>
      </c>
      <c r="C517" s="177" t="s">
        <v>1221</v>
      </c>
      <c r="D517" s="563">
        <v>0.20937999999999998</v>
      </c>
      <c r="E517" s="617">
        <f t="shared" si="72"/>
        <v>0.23031799999999999</v>
      </c>
      <c r="F517" s="241" t="s">
        <v>277</v>
      </c>
      <c r="G517" s="241" t="s">
        <v>277</v>
      </c>
      <c r="H517" s="1418" t="s">
        <v>1183</v>
      </c>
      <c r="I517" s="1419"/>
      <c r="J517" s="154"/>
    </row>
    <row r="518" spans="1:10" ht="40.5" customHeight="1">
      <c r="A518" s="176"/>
      <c r="B518" s="357" t="s">
        <v>144</v>
      </c>
      <c r="C518" s="177" t="s">
        <v>1221</v>
      </c>
      <c r="D518" s="563">
        <v>0.13774</v>
      </c>
      <c r="E518" s="617">
        <f t="shared" si="72"/>
        <v>0.15151400000000001</v>
      </c>
      <c r="F518" s="241" t="s">
        <v>277</v>
      </c>
      <c r="G518" s="241" t="s">
        <v>277</v>
      </c>
      <c r="H518" s="1418" t="s">
        <v>1183</v>
      </c>
      <c r="I518" s="1419"/>
      <c r="J518" s="154"/>
    </row>
    <row r="519" spans="1:10" ht="40.5" customHeight="1">
      <c r="A519" s="176"/>
      <c r="B519" s="357" t="s">
        <v>145</v>
      </c>
      <c r="C519" s="177" t="s">
        <v>1221</v>
      </c>
      <c r="D519" s="563">
        <v>0.14788000000000001</v>
      </c>
      <c r="E519" s="617">
        <f t="shared" si="72"/>
        <v>0.16266800000000003</v>
      </c>
      <c r="F519" s="241" t="s">
        <v>277</v>
      </c>
      <c r="G519" s="241" t="s">
        <v>277</v>
      </c>
      <c r="H519" s="1418" t="s">
        <v>1183</v>
      </c>
      <c r="I519" s="1419"/>
      <c r="J519" s="154"/>
    </row>
    <row r="520" spans="1:10" ht="40.5" customHeight="1">
      <c r="A520" s="176"/>
      <c r="B520" s="357" t="s">
        <v>146</v>
      </c>
      <c r="C520" s="177" t="s">
        <v>1221</v>
      </c>
      <c r="D520" s="563">
        <v>0.14333000000000001</v>
      </c>
      <c r="E520" s="617">
        <f t="shared" ref="E520:E583" si="73">SUM(D520*1.1)</f>
        <v>0.15766300000000003</v>
      </c>
      <c r="F520" s="241" t="s">
        <v>277</v>
      </c>
      <c r="G520" s="241" t="s">
        <v>277</v>
      </c>
      <c r="H520" s="1418" t="s">
        <v>1183</v>
      </c>
      <c r="I520" s="1419"/>
      <c r="J520" s="154"/>
    </row>
    <row r="521" spans="1:10" ht="40.5" customHeight="1">
      <c r="A521" s="176"/>
      <c r="B521" s="357" t="s">
        <v>147</v>
      </c>
      <c r="C521" s="177" t="s">
        <v>1221</v>
      </c>
      <c r="D521" s="563">
        <v>0.22422999999999998</v>
      </c>
      <c r="E521" s="617">
        <f t="shared" si="73"/>
        <v>0.24665300000000001</v>
      </c>
      <c r="F521" s="241" t="s">
        <v>277</v>
      </c>
      <c r="G521" s="241" t="s">
        <v>277</v>
      </c>
      <c r="H521" s="1418" t="s">
        <v>1183</v>
      </c>
      <c r="I521" s="1419"/>
      <c r="J521" s="154"/>
    </row>
    <row r="522" spans="1:10" ht="40.5" customHeight="1">
      <c r="A522" s="176"/>
      <c r="B522" s="357" t="s">
        <v>148</v>
      </c>
      <c r="C522" s="177" t="s">
        <v>1221</v>
      </c>
      <c r="D522" s="563">
        <v>0.23088999999999998</v>
      </c>
      <c r="E522" s="617">
        <f t="shared" si="73"/>
        <v>0.25397900000000001</v>
      </c>
      <c r="F522" s="241" t="s">
        <v>277</v>
      </c>
      <c r="G522" s="241" t="s">
        <v>277</v>
      </c>
      <c r="H522" s="1418" t="s">
        <v>1183</v>
      </c>
      <c r="I522" s="1419"/>
      <c r="J522" s="154"/>
    </row>
    <row r="523" spans="1:10" ht="40.5" customHeight="1">
      <c r="A523" s="176"/>
      <c r="B523" s="357" t="s">
        <v>149</v>
      </c>
      <c r="C523" s="177" t="s">
        <v>1221</v>
      </c>
      <c r="D523" s="563">
        <v>0.29882999999999998</v>
      </c>
      <c r="E523" s="617">
        <f t="shared" si="73"/>
        <v>0.32871300000000003</v>
      </c>
      <c r="F523" s="241" t="s">
        <v>277</v>
      </c>
      <c r="G523" s="241" t="s">
        <v>277</v>
      </c>
      <c r="H523" s="1418" t="s">
        <v>1183</v>
      </c>
      <c r="I523" s="1419"/>
      <c r="J523" s="154"/>
    </row>
    <row r="524" spans="1:10" ht="40.5" customHeight="1">
      <c r="A524" s="176"/>
      <c r="B524" s="357" t="s">
        <v>150</v>
      </c>
      <c r="C524" s="177" t="s">
        <v>1221</v>
      </c>
      <c r="D524" s="563">
        <v>0.37379000000000001</v>
      </c>
      <c r="E524" s="617">
        <f t="shared" si="73"/>
        <v>0.41116900000000006</v>
      </c>
      <c r="F524" s="241" t="s">
        <v>277</v>
      </c>
      <c r="G524" s="241" t="s">
        <v>277</v>
      </c>
      <c r="H524" s="1418" t="s">
        <v>1183</v>
      </c>
      <c r="I524" s="1419"/>
      <c r="J524" s="154"/>
    </row>
    <row r="525" spans="1:10" ht="40.5" customHeight="1">
      <c r="A525" s="176"/>
      <c r="B525" s="357" t="s">
        <v>151</v>
      </c>
      <c r="C525" s="177" t="s">
        <v>1221</v>
      </c>
      <c r="D525" s="563">
        <v>0.33901999999999999</v>
      </c>
      <c r="E525" s="617">
        <f t="shared" si="73"/>
        <v>0.37292200000000003</v>
      </c>
      <c r="F525" s="241" t="s">
        <v>277</v>
      </c>
      <c r="G525" s="241" t="s">
        <v>277</v>
      </c>
      <c r="H525" s="1418" t="s">
        <v>1183</v>
      </c>
      <c r="I525" s="1419"/>
      <c r="J525" s="154"/>
    </row>
    <row r="526" spans="1:10" ht="40.5" customHeight="1">
      <c r="A526" s="176"/>
      <c r="B526" s="357" t="s">
        <v>152</v>
      </c>
      <c r="C526" s="177" t="s">
        <v>1221</v>
      </c>
      <c r="D526" s="563">
        <v>0.12009</v>
      </c>
      <c r="E526" s="617">
        <f t="shared" si="73"/>
        <v>0.13209900000000002</v>
      </c>
      <c r="F526" s="241" t="s">
        <v>277</v>
      </c>
      <c r="G526" s="241" t="s">
        <v>277</v>
      </c>
      <c r="H526" s="1418" t="s">
        <v>1183</v>
      </c>
      <c r="I526" s="1419"/>
      <c r="J526" s="154"/>
    </row>
    <row r="527" spans="1:10" ht="40.5" customHeight="1">
      <c r="A527" s="176"/>
      <c r="B527" s="357" t="s">
        <v>153</v>
      </c>
      <c r="C527" s="177" t="s">
        <v>1221</v>
      </c>
      <c r="D527" s="563">
        <v>0.12586</v>
      </c>
      <c r="E527" s="617">
        <f t="shared" si="73"/>
        <v>0.13844600000000001</v>
      </c>
      <c r="F527" s="241" t="s">
        <v>277</v>
      </c>
      <c r="G527" s="241" t="s">
        <v>277</v>
      </c>
      <c r="H527" s="1418" t="s">
        <v>1183</v>
      </c>
      <c r="I527" s="1419"/>
      <c r="J527" s="154"/>
    </row>
    <row r="528" spans="1:10" ht="40.5" customHeight="1">
      <c r="A528" s="176"/>
      <c r="B528" s="357" t="s">
        <v>154</v>
      </c>
      <c r="C528" s="177" t="s">
        <v>1221</v>
      </c>
      <c r="D528" s="563">
        <v>5.0380000000000001E-2</v>
      </c>
      <c r="E528" s="617">
        <f t="shared" si="73"/>
        <v>5.5418000000000009E-2</v>
      </c>
      <c r="F528" s="241" t="s">
        <v>277</v>
      </c>
      <c r="G528" s="241" t="s">
        <v>277</v>
      </c>
      <c r="H528" s="1418" t="s">
        <v>1183</v>
      </c>
      <c r="I528" s="1419"/>
      <c r="J528" s="154"/>
    </row>
    <row r="529" spans="1:10" ht="40.5" customHeight="1">
      <c r="A529" s="176"/>
      <c r="B529" s="357" t="s">
        <v>155</v>
      </c>
      <c r="C529" s="177" t="s">
        <v>1221</v>
      </c>
      <c r="D529" s="563">
        <v>8.2180000000000003E-2</v>
      </c>
      <c r="E529" s="617">
        <f t="shared" si="73"/>
        <v>9.0398000000000006E-2</v>
      </c>
      <c r="F529" s="241" t="s">
        <v>277</v>
      </c>
      <c r="G529" s="241" t="s">
        <v>277</v>
      </c>
      <c r="H529" s="1418" t="s">
        <v>1183</v>
      </c>
      <c r="I529" s="1419"/>
      <c r="J529" s="154"/>
    </row>
    <row r="530" spans="1:10" ht="40.5" customHeight="1">
      <c r="A530" s="176"/>
      <c r="B530" s="357" t="s">
        <v>156</v>
      </c>
      <c r="C530" s="177" t="s">
        <v>1221</v>
      </c>
      <c r="D530" s="563">
        <v>0.24467</v>
      </c>
      <c r="E530" s="617">
        <f t="shared" si="73"/>
        <v>0.26913700000000002</v>
      </c>
      <c r="F530" s="241" t="s">
        <v>277</v>
      </c>
      <c r="G530" s="241" t="s">
        <v>277</v>
      </c>
      <c r="H530" s="1418" t="s">
        <v>1183</v>
      </c>
      <c r="I530" s="1419"/>
      <c r="J530" s="154"/>
    </row>
    <row r="531" spans="1:10" ht="40.5" customHeight="1">
      <c r="A531" s="176"/>
      <c r="B531" s="357" t="s">
        <v>157</v>
      </c>
      <c r="C531" s="177" t="s">
        <v>1221</v>
      </c>
      <c r="D531" s="563">
        <v>0.32486999999999999</v>
      </c>
      <c r="E531" s="617">
        <f t="shared" si="73"/>
        <v>0.35735700000000004</v>
      </c>
      <c r="F531" s="241" t="s">
        <v>277</v>
      </c>
      <c r="G531" s="241" t="s">
        <v>277</v>
      </c>
      <c r="H531" s="1418" t="s">
        <v>1183</v>
      </c>
      <c r="I531" s="1419"/>
      <c r="J531" s="154"/>
    </row>
    <row r="532" spans="1:10" ht="40.5" customHeight="1">
      <c r="A532" s="176"/>
      <c r="B532" s="357" t="s">
        <v>158</v>
      </c>
      <c r="C532" s="177" t="s">
        <v>1221</v>
      </c>
      <c r="D532" s="563">
        <v>8.6829999999999991E-2</v>
      </c>
      <c r="E532" s="617">
        <f t="shared" si="73"/>
        <v>9.5513000000000001E-2</v>
      </c>
      <c r="F532" s="241" t="s">
        <v>277</v>
      </c>
      <c r="G532" s="241" t="s">
        <v>277</v>
      </c>
      <c r="H532" s="1418" t="s">
        <v>1183</v>
      </c>
      <c r="I532" s="1419"/>
      <c r="J532" s="154"/>
    </row>
    <row r="533" spans="1:10" ht="40.5" customHeight="1">
      <c r="A533" s="176"/>
      <c r="B533" s="357" t="s">
        <v>159</v>
      </c>
      <c r="C533" s="177" t="s">
        <v>1221</v>
      </c>
      <c r="D533" s="563">
        <v>5.2479999999999999E-2</v>
      </c>
      <c r="E533" s="617">
        <f t="shared" si="73"/>
        <v>5.7728000000000002E-2</v>
      </c>
      <c r="F533" s="241" t="s">
        <v>277</v>
      </c>
      <c r="G533" s="241" t="s">
        <v>277</v>
      </c>
      <c r="H533" s="1418" t="s">
        <v>1183</v>
      </c>
      <c r="I533" s="1419"/>
      <c r="J533" s="154"/>
    </row>
    <row r="534" spans="1:10" ht="40.5" customHeight="1">
      <c r="A534" s="176"/>
      <c r="B534" s="357" t="s">
        <v>160</v>
      </c>
      <c r="C534" s="177" t="s">
        <v>1221</v>
      </c>
      <c r="D534" s="563">
        <v>0.29425000000000001</v>
      </c>
      <c r="E534" s="617">
        <f t="shared" si="73"/>
        <v>0.32367500000000005</v>
      </c>
      <c r="F534" s="241" t="s">
        <v>277</v>
      </c>
      <c r="G534" s="241" t="s">
        <v>277</v>
      </c>
      <c r="H534" s="1418" t="s">
        <v>1183</v>
      </c>
      <c r="I534" s="1419"/>
      <c r="J534" s="154"/>
    </row>
    <row r="535" spans="1:10" ht="40.5" customHeight="1">
      <c r="A535" s="176"/>
      <c r="B535" s="357" t="s">
        <v>161</v>
      </c>
      <c r="C535" s="177" t="s">
        <v>1221</v>
      </c>
      <c r="D535" s="563">
        <v>0.22370000000000001</v>
      </c>
      <c r="E535" s="617">
        <f t="shared" si="73"/>
        <v>0.24607000000000004</v>
      </c>
      <c r="F535" s="241" t="s">
        <v>277</v>
      </c>
      <c r="G535" s="241" t="s">
        <v>277</v>
      </c>
      <c r="H535" s="1418" t="s">
        <v>1183</v>
      </c>
      <c r="I535" s="1419"/>
      <c r="J535" s="154"/>
    </row>
    <row r="536" spans="1:10" ht="40.5" customHeight="1">
      <c r="A536" s="176"/>
      <c r="B536" s="357" t="s">
        <v>162</v>
      </c>
      <c r="C536" s="177" t="s">
        <v>1221</v>
      </c>
      <c r="D536" s="563">
        <v>0.19050999999999998</v>
      </c>
      <c r="E536" s="617">
        <f t="shared" si="73"/>
        <v>0.209561</v>
      </c>
      <c r="F536" s="241" t="s">
        <v>277</v>
      </c>
      <c r="G536" s="241" t="s">
        <v>277</v>
      </c>
      <c r="H536" s="1418" t="s">
        <v>1183</v>
      </c>
      <c r="I536" s="1419"/>
      <c r="J536" s="154"/>
    </row>
    <row r="537" spans="1:10" ht="40.5" customHeight="1">
      <c r="A537" s="176"/>
      <c r="B537" s="357" t="s">
        <v>163</v>
      </c>
      <c r="C537" s="177" t="s">
        <v>1221</v>
      </c>
      <c r="D537" s="563">
        <v>0.44908999999999999</v>
      </c>
      <c r="E537" s="617">
        <f t="shared" si="73"/>
        <v>0.49399900000000002</v>
      </c>
      <c r="F537" s="241" t="s">
        <v>277</v>
      </c>
      <c r="G537" s="241" t="s">
        <v>277</v>
      </c>
      <c r="H537" s="1418" t="s">
        <v>1183</v>
      </c>
      <c r="I537" s="1419"/>
      <c r="J537" s="154"/>
    </row>
    <row r="538" spans="1:10" ht="40.5" customHeight="1">
      <c r="A538" s="176"/>
      <c r="B538" s="357" t="s">
        <v>164</v>
      </c>
      <c r="C538" s="177" t="s">
        <v>1221</v>
      </c>
      <c r="D538" s="563">
        <v>0.19959000000000002</v>
      </c>
      <c r="E538" s="617">
        <f t="shared" si="73"/>
        <v>0.21954900000000005</v>
      </c>
      <c r="F538" s="241" t="s">
        <v>277</v>
      </c>
      <c r="G538" s="241" t="s">
        <v>277</v>
      </c>
      <c r="H538" s="1418" t="s">
        <v>1183</v>
      </c>
      <c r="I538" s="1419"/>
      <c r="J538" s="154"/>
    </row>
    <row r="539" spans="1:10" ht="40.5" customHeight="1">
      <c r="A539" s="176"/>
      <c r="B539" s="357" t="s">
        <v>165</v>
      </c>
      <c r="C539" s="177" t="s">
        <v>1221</v>
      </c>
      <c r="D539" s="563">
        <v>0.33430000000000004</v>
      </c>
      <c r="E539" s="617">
        <f t="shared" si="73"/>
        <v>0.36773000000000006</v>
      </c>
      <c r="F539" s="241" t="s">
        <v>277</v>
      </c>
      <c r="G539" s="241" t="s">
        <v>277</v>
      </c>
      <c r="H539" s="1418" t="s">
        <v>1183</v>
      </c>
      <c r="I539" s="1419"/>
      <c r="J539" s="154"/>
    </row>
    <row r="540" spans="1:10" ht="40.5" customHeight="1">
      <c r="A540" s="176"/>
      <c r="B540" s="357" t="s">
        <v>166</v>
      </c>
      <c r="C540" s="177" t="s">
        <v>1221</v>
      </c>
      <c r="D540" s="563">
        <v>0.13886999999999999</v>
      </c>
      <c r="E540" s="617">
        <f t="shared" si="73"/>
        <v>0.152757</v>
      </c>
      <c r="F540" s="241" t="s">
        <v>277</v>
      </c>
      <c r="G540" s="241" t="s">
        <v>277</v>
      </c>
      <c r="H540" s="1418" t="s">
        <v>1183</v>
      </c>
      <c r="I540" s="1419"/>
      <c r="J540" s="154"/>
    </row>
    <row r="541" spans="1:10" ht="40.5" customHeight="1">
      <c r="A541" s="176"/>
      <c r="B541" s="357" t="s">
        <v>167</v>
      </c>
      <c r="C541" s="177" t="s">
        <v>1221</v>
      </c>
      <c r="D541" s="563">
        <v>0.19959000000000002</v>
      </c>
      <c r="E541" s="617">
        <f t="shared" si="73"/>
        <v>0.21954900000000005</v>
      </c>
      <c r="F541" s="241" t="s">
        <v>277</v>
      </c>
      <c r="G541" s="241" t="s">
        <v>277</v>
      </c>
      <c r="H541" s="1418" t="s">
        <v>1183</v>
      </c>
      <c r="I541" s="1419"/>
      <c r="J541" s="154"/>
    </row>
    <row r="542" spans="1:10" ht="40.5" customHeight="1">
      <c r="A542" s="176"/>
      <c r="B542" s="357" t="s">
        <v>168</v>
      </c>
      <c r="C542" s="177" t="s">
        <v>1221</v>
      </c>
      <c r="D542" s="563">
        <v>0.14232</v>
      </c>
      <c r="E542" s="617">
        <f t="shared" si="73"/>
        <v>0.15655200000000002</v>
      </c>
      <c r="F542" s="241" t="s">
        <v>277</v>
      </c>
      <c r="G542" s="241" t="s">
        <v>277</v>
      </c>
      <c r="H542" s="1418" t="s">
        <v>1183</v>
      </c>
      <c r="I542" s="1419"/>
      <c r="J542" s="154"/>
    </row>
    <row r="543" spans="1:10" ht="40.5" customHeight="1">
      <c r="A543" s="176"/>
      <c r="B543" s="357" t="s">
        <v>169</v>
      </c>
      <c r="C543" s="177" t="s">
        <v>1221</v>
      </c>
      <c r="D543" s="563">
        <v>0.7863</v>
      </c>
      <c r="E543" s="617">
        <f t="shared" si="73"/>
        <v>0.86493000000000009</v>
      </c>
      <c r="F543" s="241" t="s">
        <v>277</v>
      </c>
      <c r="G543" s="241" t="s">
        <v>277</v>
      </c>
      <c r="H543" s="1418" t="s">
        <v>1183</v>
      </c>
      <c r="I543" s="1419"/>
      <c r="J543" s="154"/>
    </row>
    <row r="544" spans="1:10" ht="40.5" customHeight="1">
      <c r="A544" s="176"/>
      <c r="B544" s="357" t="s">
        <v>170</v>
      </c>
      <c r="C544" s="177" t="s">
        <v>1221</v>
      </c>
      <c r="D544" s="563">
        <v>0.18439</v>
      </c>
      <c r="E544" s="617">
        <f t="shared" si="73"/>
        <v>0.20282900000000001</v>
      </c>
      <c r="F544" s="241" t="s">
        <v>277</v>
      </c>
      <c r="G544" s="241" t="s">
        <v>277</v>
      </c>
      <c r="H544" s="1418" t="s">
        <v>1183</v>
      </c>
      <c r="I544" s="1419"/>
      <c r="J544" s="154"/>
    </row>
    <row r="545" spans="1:10" ht="40.5" customHeight="1">
      <c r="A545" s="176"/>
      <c r="B545" s="357" t="s">
        <v>171</v>
      </c>
      <c r="C545" s="177" t="s">
        <v>1221</v>
      </c>
      <c r="D545" s="563">
        <v>0.12481</v>
      </c>
      <c r="E545" s="617">
        <f t="shared" si="73"/>
        <v>0.13729100000000002</v>
      </c>
      <c r="F545" s="241" t="s">
        <v>277</v>
      </c>
      <c r="G545" s="241" t="s">
        <v>277</v>
      </c>
      <c r="H545" s="1418" t="s">
        <v>1183</v>
      </c>
      <c r="I545" s="1419"/>
      <c r="J545" s="154"/>
    </row>
    <row r="546" spans="1:10" ht="40.5" customHeight="1">
      <c r="A546" s="176"/>
      <c r="B546" s="357" t="s">
        <v>172</v>
      </c>
      <c r="C546" s="177" t="s">
        <v>1221</v>
      </c>
      <c r="D546" s="563">
        <v>0.10175000000000001</v>
      </c>
      <c r="E546" s="617">
        <f t="shared" si="73"/>
        <v>0.11192500000000001</v>
      </c>
      <c r="F546" s="241" t="s">
        <v>277</v>
      </c>
      <c r="G546" s="241" t="s">
        <v>277</v>
      </c>
      <c r="H546" s="1418" t="s">
        <v>1183</v>
      </c>
      <c r="I546" s="1419"/>
      <c r="J546" s="154"/>
    </row>
    <row r="547" spans="1:10" ht="40.5" customHeight="1">
      <c r="A547" s="176"/>
      <c r="B547" s="357" t="s">
        <v>173</v>
      </c>
      <c r="C547" s="177" t="s">
        <v>1221</v>
      </c>
      <c r="D547" s="563">
        <v>0.29621000000000003</v>
      </c>
      <c r="E547" s="617">
        <f t="shared" si="73"/>
        <v>0.32583100000000004</v>
      </c>
      <c r="F547" s="241" t="s">
        <v>277</v>
      </c>
      <c r="G547" s="241" t="s">
        <v>277</v>
      </c>
      <c r="H547" s="1418" t="s">
        <v>1183</v>
      </c>
      <c r="I547" s="1419"/>
      <c r="J547" s="154"/>
    </row>
    <row r="548" spans="1:10" ht="40.5" customHeight="1">
      <c r="A548" s="176"/>
      <c r="B548" s="357" t="s">
        <v>174</v>
      </c>
      <c r="C548" s="177" t="s">
        <v>1221</v>
      </c>
      <c r="D548" s="563">
        <v>0.35299999999999998</v>
      </c>
      <c r="E548" s="617">
        <f t="shared" si="73"/>
        <v>0.38830000000000003</v>
      </c>
      <c r="F548" s="241" t="s">
        <v>277</v>
      </c>
      <c r="G548" s="241" t="s">
        <v>277</v>
      </c>
      <c r="H548" s="1418" t="s">
        <v>1183</v>
      </c>
      <c r="I548" s="1419"/>
      <c r="J548" s="154"/>
    </row>
    <row r="549" spans="1:10" ht="40.5" customHeight="1">
      <c r="A549" s="176"/>
      <c r="B549" s="357" t="s">
        <v>175</v>
      </c>
      <c r="C549" s="177" t="s">
        <v>1221</v>
      </c>
      <c r="D549" s="563">
        <v>0.41142999999999996</v>
      </c>
      <c r="E549" s="617">
        <f t="shared" si="73"/>
        <v>0.452573</v>
      </c>
      <c r="F549" s="241" t="s">
        <v>277</v>
      </c>
      <c r="G549" s="241" t="s">
        <v>277</v>
      </c>
      <c r="H549" s="1418" t="s">
        <v>1183</v>
      </c>
      <c r="I549" s="1419"/>
      <c r="J549" s="154"/>
    </row>
    <row r="550" spans="1:10" ht="40.5" customHeight="1">
      <c r="A550" s="176"/>
      <c r="B550" s="357" t="s">
        <v>176</v>
      </c>
      <c r="C550" s="177" t="s">
        <v>1221</v>
      </c>
      <c r="D550" s="563">
        <v>0.47337999999999997</v>
      </c>
      <c r="E550" s="617">
        <f t="shared" si="73"/>
        <v>0.52071800000000001</v>
      </c>
      <c r="F550" s="241" t="s">
        <v>277</v>
      </c>
      <c r="G550" s="241" t="s">
        <v>277</v>
      </c>
      <c r="H550" s="1418" t="s">
        <v>1183</v>
      </c>
      <c r="I550" s="1419"/>
      <c r="J550" s="154"/>
    </row>
    <row r="551" spans="1:10" ht="40.5" customHeight="1">
      <c r="A551" s="176"/>
      <c r="B551" s="357" t="s">
        <v>177</v>
      </c>
      <c r="C551" s="177" t="s">
        <v>1221</v>
      </c>
      <c r="D551" s="563">
        <v>0.26005</v>
      </c>
      <c r="E551" s="617">
        <f t="shared" si="73"/>
        <v>0.286055</v>
      </c>
      <c r="F551" s="241" t="s">
        <v>277</v>
      </c>
      <c r="G551" s="241" t="s">
        <v>277</v>
      </c>
      <c r="H551" s="1418" t="s">
        <v>1183</v>
      </c>
      <c r="I551" s="1419"/>
      <c r="J551" s="154"/>
    </row>
    <row r="552" spans="1:10" ht="40.5" customHeight="1">
      <c r="A552" s="176"/>
      <c r="B552" s="357" t="s">
        <v>178</v>
      </c>
      <c r="C552" s="177" t="s">
        <v>1221</v>
      </c>
      <c r="D552" s="563">
        <v>1.286</v>
      </c>
      <c r="E552" s="617">
        <f t="shared" si="73"/>
        <v>1.4146000000000001</v>
      </c>
      <c r="F552" s="241" t="s">
        <v>277</v>
      </c>
      <c r="G552" s="241" t="s">
        <v>277</v>
      </c>
      <c r="H552" s="1418" t="s">
        <v>1183</v>
      </c>
      <c r="I552" s="1419"/>
      <c r="J552" s="154"/>
    </row>
    <row r="553" spans="1:10" ht="40.5" customHeight="1">
      <c r="A553" s="176"/>
      <c r="B553" s="357" t="s">
        <v>179</v>
      </c>
      <c r="C553" s="177" t="s">
        <v>1221</v>
      </c>
      <c r="D553" s="563">
        <v>0.40540999999999999</v>
      </c>
      <c r="E553" s="617">
        <f t="shared" si="73"/>
        <v>0.44595100000000004</v>
      </c>
      <c r="F553" s="241" t="s">
        <v>277</v>
      </c>
      <c r="G553" s="241" t="s">
        <v>277</v>
      </c>
      <c r="H553" s="1418" t="s">
        <v>1183</v>
      </c>
      <c r="I553" s="1419"/>
      <c r="J553" s="154"/>
    </row>
    <row r="554" spans="1:10" ht="40.5" customHeight="1">
      <c r="A554" s="176"/>
      <c r="B554" s="357" t="s">
        <v>180</v>
      </c>
      <c r="C554" s="177" t="s">
        <v>1221</v>
      </c>
      <c r="D554" s="563">
        <v>4.6280000000000002E-2</v>
      </c>
      <c r="E554" s="617">
        <f t="shared" si="73"/>
        <v>5.0908000000000009E-2</v>
      </c>
      <c r="F554" s="241" t="s">
        <v>277</v>
      </c>
      <c r="G554" s="241" t="s">
        <v>277</v>
      </c>
      <c r="H554" s="1418" t="s">
        <v>1183</v>
      </c>
      <c r="I554" s="1419"/>
      <c r="J554" s="154"/>
    </row>
    <row r="555" spans="1:10" ht="40.5" customHeight="1">
      <c r="A555" s="176"/>
      <c r="B555" s="357" t="s">
        <v>181</v>
      </c>
      <c r="C555" s="177" t="s">
        <v>1221</v>
      </c>
      <c r="D555" s="563">
        <v>0.20326</v>
      </c>
      <c r="E555" s="617">
        <f t="shared" si="73"/>
        <v>0.22358600000000001</v>
      </c>
      <c r="F555" s="241" t="s">
        <v>277</v>
      </c>
      <c r="G555" s="241" t="s">
        <v>277</v>
      </c>
      <c r="H555" s="1418" t="s">
        <v>1183</v>
      </c>
      <c r="I555" s="1419"/>
      <c r="J555" s="154"/>
    </row>
    <row r="556" spans="1:10" ht="40.5" customHeight="1">
      <c r="A556" s="176"/>
      <c r="B556" s="357" t="s">
        <v>182</v>
      </c>
      <c r="C556" s="177" t="s">
        <v>1221</v>
      </c>
      <c r="D556" s="563">
        <v>0.21670999999999999</v>
      </c>
      <c r="E556" s="617">
        <f t="shared" si="73"/>
        <v>0.23838100000000001</v>
      </c>
      <c r="F556" s="241" t="s">
        <v>277</v>
      </c>
      <c r="G556" s="241" t="s">
        <v>277</v>
      </c>
      <c r="H556" s="1418" t="s">
        <v>1183</v>
      </c>
      <c r="I556" s="1419"/>
      <c r="J556" s="154"/>
    </row>
    <row r="557" spans="1:10" ht="40.5" customHeight="1">
      <c r="A557" s="176"/>
      <c r="B557" s="357" t="s">
        <v>183</v>
      </c>
      <c r="C557" s="177" t="s">
        <v>1221</v>
      </c>
      <c r="D557" s="563">
        <v>0.42358000000000001</v>
      </c>
      <c r="E557" s="617">
        <f t="shared" si="73"/>
        <v>0.46593800000000007</v>
      </c>
      <c r="F557" s="241" t="s">
        <v>277</v>
      </c>
      <c r="G557" s="241" t="s">
        <v>277</v>
      </c>
      <c r="H557" s="1418" t="s">
        <v>1183</v>
      </c>
      <c r="I557" s="1419"/>
      <c r="J557" s="154"/>
    </row>
    <row r="558" spans="1:10" ht="40.5" customHeight="1">
      <c r="A558" s="176"/>
      <c r="B558" s="357" t="s">
        <v>184</v>
      </c>
      <c r="C558" s="177" t="s">
        <v>1221</v>
      </c>
      <c r="D558" s="563">
        <v>5.2479999999999999E-2</v>
      </c>
      <c r="E558" s="617">
        <f t="shared" si="73"/>
        <v>5.7728000000000002E-2</v>
      </c>
      <c r="F558" s="241" t="s">
        <v>277</v>
      </c>
      <c r="G558" s="241" t="s">
        <v>277</v>
      </c>
      <c r="H558" s="1418" t="s">
        <v>1183</v>
      </c>
      <c r="I558" s="1419"/>
      <c r="J558" s="154"/>
    </row>
    <row r="559" spans="1:10" ht="40.5" customHeight="1">
      <c r="A559" s="176"/>
      <c r="B559" s="357" t="s">
        <v>185</v>
      </c>
      <c r="C559" s="177" t="s">
        <v>1221</v>
      </c>
      <c r="D559" s="563">
        <v>0.24548</v>
      </c>
      <c r="E559" s="617">
        <f t="shared" si="73"/>
        <v>0.27002800000000005</v>
      </c>
      <c r="F559" s="241" t="s">
        <v>277</v>
      </c>
      <c r="G559" s="241" t="s">
        <v>277</v>
      </c>
      <c r="H559" s="1418" t="s">
        <v>1183</v>
      </c>
      <c r="I559" s="1419"/>
      <c r="J559" s="154"/>
    </row>
    <row r="560" spans="1:10" ht="40.5" customHeight="1">
      <c r="A560" s="176"/>
      <c r="B560" s="357" t="s">
        <v>186</v>
      </c>
      <c r="C560" s="177" t="s">
        <v>1221</v>
      </c>
      <c r="D560" s="563">
        <v>0.23314000000000001</v>
      </c>
      <c r="E560" s="617">
        <f t="shared" si="73"/>
        <v>0.25645400000000002</v>
      </c>
      <c r="F560" s="241" t="s">
        <v>277</v>
      </c>
      <c r="G560" s="241" t="s">
        <v>277</v>
      </c>
      <c r="H560" s="1418" t="s">
        <v>1183</v>
      </c>
      <c r="I560" s="1419"/>
      <c r="J560" s="154"/>
    </row>
    <row r="561" spans="1:10" ht="40.5" customHeight="1">
      <c r="A561" s="176"/>
      <c r="B561" s="357" t="s">
        <v>187</v>
      </c>
      <c r="C561" s="177" t="s">
        <v>1221</v>
      </c>
      <c r="D561" s="563">
        <v>0.14926999999999999</v>
      </c>
      <c r="E561" s="617">
        <f t="shared" si="73"/>
        <v>0.16419700000000001</v>
      </c>
      <c r="F561" s="241" t="s">
        <v>277</v>
      </c>
      <c r="G561" s="241" t="s">
        <v>277</v>
      </c>
      <c r="H561" s="1418" t="s">
        <v>1183</v>
      </c>
      <c r="I561" s="1419"/>
      <c r="J561" s="154"/>
    </row>
    <row r="562" spans="1:10" ht="40.5" customHeight="1">
      <c r="A562" s="176"/>
      <c r="B562" s="357" t="s">
        <v>188</v>
      </c>
      <c r="C562" s="177" t="s">
        <v>1221</v>
      </c>
      <c r="D562" s="563">
        <v>0.98024</v>
      </c>
      <c r="E562" s="617">
        <f t="shared" si="73"/>
        <v>1.0782640000000001</v>
      </c>
      <c r="F562" s="241" t="s">
        <v>277</v>
      </c>
      <c r="G562" s="241" t="s">
        <v>277</v>
      </c>
      <c r="H562" s="1418" t="s">
        <v>1183</v>
      </c>
      <c r="I562" s="1419"/>
      <c r="J562" s="154"/>
    </row>
    <row r="563" spans="1:10" ht="40.5" customHeight="1">
      <c r="A563" s="176"/>
      <c r="B563" s="357" t="s">
        <v>189</v>
      </c>
      <c r="C563" s="177" t="s">
        <v>1221</v>
      </c>
      <c r="D563" s="563">
        <v>0.89463000000000004</v>
      </c>
      <c r="E563" s="617">
        <f t="shared" si="73"/>
        <v>0.98409300000000011</v>
      </c>
      <c r="F563" s="241" t="s">
        <v>277</v>
      </c>
      <c r="G563" s="241" t="s">
        <v>277</v>
      </c>
      <c r="H563" s="1418" t="s">
        <v>1183</v>
      </c>
      <c r="I563" s="1419"/>
      <c r="J563" s="154"/>
    </row>
    <row r="564" spans="1:10" ht="40.5" customHeight="1">
      <c r="A564" s="176"/>
      <c r="B564" s="357" t="s">
        <v>190</v>
      </c>
      <c r="C564" s="177" t="s">
        <v>1221</v>
      </c>
      <c r="D564" s="563">
        <v>4.6539999999999998E-2</v>
      </c>
      <c r="E564" s="617">
        <f t="shared" si="73"/>
        <v>5.1194000000000003E-2</v>
      </c>
      <c r="F564" s="241" t="s">
        <v>277</v>
      </c>
      <c r="G564" s="241" t="s">
        <v>277</v>
      </c>
      <c r="H564" s="1418" t="s">
        <v>1183</v>
      </c>
      <c r="I564" s="1419"/>
      <c r="J564" s="154"/>
    </row>
    <row r="565" spans="1:10" ht="40.5" customHeight="1">
      <c r="A565" s="176"/>
      <c r="B565" s="357" t="s">
        <v>191</v>
      </c>
      <c r="C565" s="177" t="s">
        <v>1221</v>
      </c>
      <c r="D565" s="563">
        <v>0.26948</v>
      </c>
      <c r="E565" s="617">
        <f t="shared" si="73"/>
        <v>0.29642800000000002</v>
      </c>
      <c r="F565" s="241" t="s">
        <v>277</v>
      </c>
      <c r="G565" s="241" t="s">
        <v>277</v>
      </c>
      <c r="H565" s="1418" t="s">
        <v>1183</v>
      </c>
      <c r="I565" s="1419"/>
      <c r="J565" s="154"/>
    </row>
    <row r="566" spans="1:10" ht="40.5" customHeight="1">
      <c r="A566" s="176"/>
      <c r="B566" s="357" t="s">
        <v>192</v>
      </c>
      <c r="C566" s="177" t="s">
        <v>1221</v>
      </c>
      <c r="D566" s="563">
        <v>0.22367999999999999</v>
      </c>
      <c r="E566" s="617">
        <f t="shared" si="73"/>
        <v>0.24604800000000002</v>
      </c>
      <c r="F566" s="241" t="s">
        <v>277</v>
      </c>
      <c r="G566" s="241" t="s">
        <v>277</v>
      </c>
      <c r="H566" s="1418" t="s">
        <v>1183</v>
      </c>
      <c r="I566" s="1419"/>
      <c r="J566" s="154"/>
    </row>
    <row r="567" spans="1:10" ht="40.5" customHeight="1">
      <c r="A567" s="176"/>
      <c r="B567" s="357" t="s">
        <v>193</v>
      </c>
      <c r="C567" s="177" t="s">
        <v>1221</v>
      </c>
      <c r="D567" s="563">
        <v>0.52073000000000003</v>
      </c>
      <c r="E567" s="617">
        <f t="shared" si="73"/>
        <v>0.57280300000000006</v>
      </c>
      <c r="F567" s="241" t="s">
        <v>277</v>
      </c>
      <c r="G567" s="241" t="s">
        <v>277</v>
      </c>
      <c r="H567" s="1418" t="s">
        <v>1183</v>
      </c>
      <c r="I567" s="1419"/>
      <c r="J567" s="154"/>
    </row>
    <row r="568" spans="1:10" ht="40.5" customHeight="1">
      <c r="A568" s="176"/>
      <c r="B568" s="357" t="s">
        <v>194</v>
      </c>
      <c r="C568" s="177" t="s">
        <v>1221</v>
      </c>
      <c r="D568" s="563">
        <v>5.4469999999999998E-2</v>
      </c>
      <c r="E568" s="617">
        <f t="shared" si="73"/>
        <v>5.9917000000000005E-2</v>
      </c>
      <c r="F568" s="241" t="s">
        <v>277</v>
      </c>
      <c r="G568" s="241" t="s">
        <v>277</v>
      </c>
      <c r="H568" s="1418" t="s">
        <v>1183</v>
      </c>
      <c r="I568" s="1419"/>
      <c r="J568" s="154"/>
    </row>
    <row r="569" spans="1:10" ht="40.5" customHeight="1">
      <c r="A569" s="176"/>
      <c r="B569" s="357" t="s">
        <v>195</v>
      </c>
      <c r="C569" s="177" t="s">
        <v>1221</v>
      </c>
      <c r="D569" s="563">
        <v>0.1608</v>
      </c>
      <c r="E569" s="617">
        <f t="shared" si="73"/>
        <v>0.17688000000000001</v>
      </c>
      <c r="F569" s="241" t="s">
        <v>277</v>
      </c>
      <c r="G569" s="241" t="s">
        <v>277</v>
      </c>
      <c r="H569" s="1418" t="s">
        <v>1183</v>
      </c>
      <c r="I569" s="1419"/>
      <c r="J569" s="154"/>
    </row>
    <row r="570" spans="1:10" ht="40.5" customHeight="1">
      <c r="A570" s="176"/>
      <c r="B570" s="357" t="s">
        <v>196</v>
      </c>
      <c r="C570" s="177" t="s">
        <v>1221</v>
      </c>
      <c r="D570" s="563">
        <v>1.0518800000000001</v>
      </c>
      <c r="E570" s="617">
        <f t="shared" si="73"/>
        <v>1.1570680000000002</v>
      </c>
      <c r="F570" s="241" t="s">
        <v>277</v>
      </c>
      <c r="G570" s="241" t="s">
        <v>277</v>
      </c>
      <c r="H570" s="1418" t="s">
        <v>1183</v>
      </c>
      <c r="I570" s="1419"/>
      <c r="J570" s="154"/>
    </row>
    <row r="571" spans="1:10" ht="40.5" customHeight="1">
      <c r="A571" s="176"/>
      <c r="B571" s="357" t="s">
        <v>197</v>
      </c>
      <c r="C571" s="177" t="s">
        <v>1221</v>
      </c>
      <c r="D571" s="563">
        <v>0.15398999999999999</v>
      </c>
      <c r="E571" s="617">
        <f t="shared" si="73"/>
        <v>0.16938900000000001</v>
      </c>
      <c r="F571" s="241" t="s">
        <v>277</v>
      </c>
      <c r="G571" s="241" t="s">
        <v>277</v>
      </c>
      <c r="H571" s="1418" t="s">
        <v>1183</v>
      </c>
      <c r="I571" s="1419"/>
      <c r="J571" s="154"/>
    </row>
    <row r="572" spans="1:10" ht="40.5" customHeight="1">
      <c r="A572" s="176"/>
      <c r="B572" s="357" t="s">
        <v>198</v>
      </c>
      <c r="C572" s="177" t="s">
        <v>1221</v>
      </c>
      <c r="D572" s="563">
        <v>8.0430000000000001E-2</v>
      </c>
      <c r="E572" s="617">
        <f t="shared" si="73"/>
        <v>8.847300000000001E-2</v>
      </c>
      <c r="F572" s="241" t="s">
        <v>277</v>
      </c>
      <c r="G572" s="241" t="s">
        <v>277</v>
      </c>
      <c r="H572" s="1418" t="s">
        <v>1183</v>
      </c>
      <c r="I572" s="1419"/>
      <c r="J572" s="154"/>
    </row>
    <row r="573" spans="1:10" ht="40.5" customHeight="1">
      <c r="A573" s="176"/>
      <c r="B573" s="357" t="s">
        <v>199</v>
      </c>
      <c r="C573" s="177" t="s">
        <v>1221</v>
      </c>
      <c r="D573" s="563">
        <v>0.22020999999999999</v>
      </c>
      <c r="E573" s="617">
        <f t="shared" si="73"/>
        <v>0.242231</v>
      </c>
      <c r="F573" s="241" t="s">
        <v>277</v>
      </c>
      <c r="G573" s="241" t="s">
        <v>277</v>
      </c>
      <c r="H573" s="1418" t="s">
        <v>1183</v>
      </c>
      <c r="I573" s="1419"/>
      <c r="J573" s="154"/>
    </row>
    <row r="574" spans="1:10" ht="40.5" customHeight="1">
      <c r="A574" s="176"/>
      <c r="B574" s="357" t="s">
        <v>200</v>
      </c>
      <c r="C574" s="177" t="s">
        <v>1221</v>
      </c>
      <c r="D574" s="563">
        <v>5.5970000000000006E-2</v>
      </c>
      <c r="E574" s="617">
        <f t="shared" si="73"/>
        <v>6.1567000000000011E-2</v>
      </c>
      <c r="F574" s="241" t="s">
        <v>277</v>
      </c>
      <c r="G574" s="241" t="s">
        <v>277</v>
      </c>
      <c r="H574" s="1418" t="s">
        <v>1183</v>
      </c>
      <c r="I574" s="1419"/>
      <c r="J574" s="154"/>
    </row>
    <row r="575" spans="1:10" ht="40.5" customHeight="1">
      <c r="A575" s="176"/>
      <c r="B575" s="357" t="s">
        <v>201</v>
      </c>
      <c r="C575" s="177" t="s">
        <v>1221</v>
      </c>
      <c r="D575" s="563">
        <v>4.5259999999999995E-2</v>
      </c>
      <c r="E575" s="617">
        <f t="shared" si="73"/>
        <v>4.9785999999999997E-2</v>
      </c>
      <c r="F575" s="241" t="s">
        <v>277</v>
      </c>
      <c r="G575" s="241" t="s">
        <v>277</v>
      </c>
      <c r="H575" s="1418" t="s">
        <v>1183</v>
      </c>
      <c r="I575" s="1419"/>
      <c r="J575" s="154"/>
    </row>
    <row r="576" spans="1:10" ht="40.5" customHeight="1">
      <c r="A576" s="176"/>
      <c r="B576" s="357" t="s">
        <v>202</v>
      </c>
      <c r="C576" s="177" t="s">
        <v>1221</v>
      </c>
      <c r="D576" s="563">
        <v>0.41676999999999997</v>
      </c>
      <c r="E576" s="617">
        <f t="shared" si="73"/>
        <v>0.45844699999999999</v>
      </c>
      <c r="F576" s="241" t="s">
        <v>277</v>
      </c>
      <c r="G576" s="241" t="s">
        <v>277</v>
      </c>
      <c r="H576" s="1418" t="s">
        <v>1183</v>
      </c>
      <c r="I576" s="1419"/>
      <c r="J576" s="154"/>
    </row>
    <row r="577" spans="1:10" ht="40.5" customHeight="1">
      <c r="A577" s="176"/>
      <c r="B577" s="357" t="s">
        <v>203</v>
      </c>
      <c r="C577" s="177" t="s">
        <v>1221</v>
      </c>
      <c r="D577" s="563">
        <v>0.19924</v>
      </c>
      <c r="E577" s="617">
        <f t="shared" si="73"/>
        <v>0.21916400000000003</v>
      </c>
      <c r="F577" s="241" t="s">
        <v>277</v>
      </c>
      <c r="G577" s="241" t="s">
        <v>277</v>
      </c>
      <c r="H577" s="1418" t="s">
        <v>1183</v>
      </c>
      <c r="I577" s="1419"/>
      <c r="J577" s="154"/>
    </row>
    <row r="578" spans="1:10" ht="40.5" customHeight="1">
      <c r="A578" s="176"/>
      <c r="B578" s="357" t="s">
        <v>204</v>
      </c>
      <c r="C578" s="177" t="s">
        <v>1221</v>
      </c>
      <c r="D578" s="563">
        <v>0.15714</v>
      </c>
      <c r="E578" s="617">
        <f t="shared" si="73"/>
        <v>0.17285400000000001</v>
      </c>
      <c r="F578" s="241" t="s">
        <v>277</v>
      </c>
      <c r="G578" s="241" t="s">
        <v>277</v>
      </c>
      <c r="H578" s="1418" t="s">
        <v>1183</v>
      </c>
      <c r="I578" s="1419"/>
      <c r="J578" s="154"/>
    </row>
    <row r="579" spans="1:10" ht="40.5" customHeight="1">
      <c r="A579" s="176"/>
      <c r="B579" s="357" t="s">
        <v>205</v>
      </c>
      <c r="C579" s="177" t="s">
        <v>1221</v>
      </c>
      <c r="D579" s="563">
        <v>9.0389999999999998E-2</v>
      </c>
      <c r="E579" s="617">
        <f t="shared" si="73"/>
        <v>9.9429000000000003E-2</v>
      </c>
      <c r="F579" s="241" t="s">
        <v>277</v>
      </c>
      <c r="G579" s="241" t="s">
        <v>277</v>
      </c>
      <c r="H579" s="1418" t="s">
        <v>1183</v>
      </c>
      <c r="I579" s="1419"/>
      <c r="J579" s="154"/>
    </row>
    <row r="580" spans="1:10" ht="40.5" customHeight="1">
      <c r="A580" s="176"/>
      <c r="B580" s="357" t="s">
        <v>206</v>
      </c>
      <c r="C580" s="177" t="s">
        <v>1221</v>
      </c>
      <c r="D580" s="563">
        <v>0.19609000000000001</v>
      </c>
      <c r="E580" s="617">
        <f t="shared" si="73"/>
        <v>0.21569900000000003</v>
      </c>
      <c r="F580" s="241" t="s">
        <v>277</v>
      </c>
      <c r="G580" s="241" t="s">
        <v>277</v>
      </c>
      <c r="H580" s="1418" t="s">
        <v>1183</v>
      </c>
      <c r="I580" s="1419"/>
      <c r="J580" s="154"/>
    </row>
    <row r="581" spans="1:10" ht="40.5" customHeight="1">
      <c r="A581" s="176"/>
      <c r="B581" s="357" t="s">
        <v>207</v>
      </c>
      <c r="C581" s="177" t="s">
        <v>1221</v>
      </c>
      <c r="D581" s="563">
        <v>0.11327999999999999</v>
      </c>
      <c r="E581" s="617">
        <f t="shared" si="73"/>
        <v>0.124608</v>
      </c>
      <c r="F581" s="241" t="s">
        <v>277</v>
      </c>
      <c r="G581" s="241" t="s">
        <v>277</v>
      </c>
      <c r="H581" s="1418" t="s">
        <v>1183</v>
      </c>
      <c r="I581" s="1419"/>
      <c r="J581" s="154"/>
    </row>
    <row r="582" spans="1:10" ht="40.5" customHeight="1">
      <c r="A582" s="176"/>
      <c r="B582" s="357" t="s">
        <v>208</v>
      </c>
      <c r="C582" s="177" t="s">
        <v>1221</v>
      </c>
      <c r="D582" s="563">
        <v>1.37286</v>
      </c>
      <c r="E582" s="617">
        <f t="shared" si="73"/>
        <v>1.510146</v>
      </c>
      <c r="F582" s="241" t="s">
        <v>277</v>
      </c>
      <c r="G582" s="241" t="s">
        <v>277</v>
      </c>
      <c r="H582" s="1418" t="s">
        <v>1183</v>
      </c>
      <c r="I582" s="1419"/>
      <c r="J582" s="154"/>
    </row>
    <row r="583" spans="1:10" ht="40.5" customHeight="1">
      <c r="A583" s="176"/>
      <c r="B583" s="357" t="s">
        <v>209</v>
      </c>
      <c r="C583" s="177" t="s">
        <v>1221</v>
      </c>
      <c r="D583" s="563">
        <v>0.28694999999999998</v>
      </c>
      <c r="E583" s="617">
        <f t="shared" si="73"/>
        <v>0.31564500000000001</v>
      </c>
      <c r="F583" s="241" t="s">
        <v>277</v>
      </c>
      <c r="G583" s="241" t="s">
        <v>277</v>
      </c>
      <c r="H583" s="1418" t="s">
        <v>1183</v>
      </c>
      <c r="I583" s="1419"/>
      <c r="J583" s="154"/>
    </row>
    <row r="584" spans="1:10" ht="40.5" customHeight="1">
      <c r="A584" s="176"/>
      <c r="B584" s="357" t="s">
        <v>210</v>
      </c>
      <c r="C584" s="177" t="s">
        <v>1221</v>
      </c>
      <c r="D584" s="563">
        <v>0.29708999999999997</v>
      </c>
      <c r="E584" s="617">
        <f t="shared" ref="E584:E632" si="74">SUM(D584*1.1)</f>
        <v>0.32679900000000001</v>
      </c>
      <c r="F584" s="241" t="s">
        <v>277</v>
      </c>
      <c r="G584" s="241" t="s">
        <v>277</v>
      </c>
      <c r="H584" s="1418" t="s">
        <v>1183</v>
      </c>
      <c r="I584" s="1419"/>
      <c r="J584" s="154"/>
    </row>
    <row r="585" spans="1:10" ht="40.5" customHeight="1">
      <c r="A585" s="176"/>
      <c r="B585" s="357" t="s">
        <v>211</v>
      </c>
      <c r="C585" s="177" t="s">
        <v>1221</v>
      </c>
      <c r="D585" s="563">
        <v>0.21845000000000001</v>
      </c>
      <c r="E585" s="617">
        <f t="shared" si="74"/>
        <v>0.24029500000000004</v>
      </c>
      <c r="F585" s="241" t="s">
        <v>277</v>
      </c>
      <c r="G585" s="241" t="s">
        <v>277</v>
      </c>
      <c r="H585" s="1418" t="s">
        <v>1183</v>
      </c>
      <c r="I585" s="1419"/>
      <c r="J585" s="154"/>
    </row>
    <row r="586" spans="1:10" ht="40.5" customHeight="1">
      <c r="A586" s="176"/>
      <c r="B586" s="357" t="s">
        <v>212</v>
      </c>
      <c r="C586" s="177" t="s">
        <v>1221</v>
      </c>
      <c r="D586" s="563">
        <v>0.2465</v>
      </c>
      <c r="E586" s="617">
        <f t="shared" si="74"/>
        <v>0.27115</v>
      </c>
      <c r="F586" s="241" t="s">
        <v>277</v>
      </c>
      <c r="G586" s="241" t="s">
        <v>277</v>
      </c>
      <c r="H586" s="1418" t="s">
        <v>1183</v>
      </c>
      <c r="I586" s="1419"/>
      <c r="J586" s="154"/>
    </row>
    <row r="587" spans="1:10" ht="40.5" customHeight="1">
      <c r="A587" s="176"/>
      <c r="B587" s="357" t="s">
        <v>213</v>
      </c>
      <c r="C587" s="177" t="s">
        <v>1221</v>
      </c>
      <c r="D587" s="563">
        <v>3.4659999999999996E-2</v>
      </c>
      <c r="E587" s="617">
        <f t="shared" si="74"/>
        <v>3.8126E-2</v>
      </c>
      <c r="F587" s="241" t="s">
        <v>277</v>
      </c>
      <c r="G587" s="241" t="s">
        <v>277</v>
      </c>
      <c r="H587" s="1418" t="s">
        <v>1183</v>
      </c>
      <c r="I587" s="1419"/>
      <c r="J587" s="154"/>
    </row>
    <row r="588" spans="1:10" ht="40.5" customHeight="1">
      <c r="A588" s="176"/>
      <c r="B588" s="357" t="s">
        <v>214</v>
      </c>
      <c r="C588" s="177" t="s">
        <v>1221</v>
      </c>
      <c r="D588" s="563">
        <v>0.11101</v>
      </c>
      <c r="E588" s="617">
        <f t="shared" si="74"/>
        <v>0.12211100000000001</v>
      </c>
      <c r="F588" s="241" t="s">
        <v>277</v>
      </c>
      <c r="G588" s="241" t="s">
        <v>277</v>
      </c>
      <c r="H588" s="1418" t="s">
        <v>1183</v>
      </c>
      <c r="I588" s="1419"/>
      <c r="J588" s="154"/>
    </row>
    <row r="589" spans="1:10" ht="40.5" customHeight="1">
      <c r="A589" s="176"/>
      <c r="B589" s="357" t="s">
        <v>215</v>
      </c>
      <c r="C589" s="177" t="s">
        <v>1221</v>
      </c>
      <c r="D589" s="563">
        <v>7.1000000000000008E-2</v>
      </c>
      <c r="E589" s="617">
        <f t="shared" si="74"/>
        <v>7.8100000000000017E-2</v>
      </c>
      <c r="F589" s="241" t="s">
        <v>277</v>
      </c>
      <c r="G589" s="241" t="s">
        <v>277</v>
      </c>
      <c r="H589" s="1418" t="s">
        <v>1183</v>
      </c>
      <c r="I589" s="1419"/>
      <c r="J589" s="154"/>
    </row>
    <row r="590" spans="1:10" ht="40.5" customHeight="1">
      <c r="A590" s="176"/>
      <c r="B590" s="357" t="s">
        <v>216</v>
      </c>
      <c r="C590" s="177" t="s">
        <v>1221</v>
      </c>
      <c r="D590" s="563">
        <v>1.1811700000000001</v>
      </c>
      <c r="E590" s="617">
        <f t="shared" si="74"/>
        <v>1.2992870000000001</v>
      </c>
      <c r="F590" s="241" t="s">
        <v>277</v>
      </c>
      <c r="G590" s="241" t="s">
        <v>277</v>
      </c>
      <c r="H590" s="1418" t="s">
        <v>1183</v>
      </c>
      <c r="I590" s="1419"/>
      <c r="J590" s="154"/>
    </row>
    <row r="591" spans="1:10" ht="40.5" customHeight="1">
      <c r="A591" s="176"/>
      <c r="B591" s="357" t="s">
        <v>217</v>
      </c>
      <c r="C591" s="177" t="s">
        <v>1221</v>
      </c>
      <c r="D591" s="563">
        <v>0.82569000000000004</v>
      </c>
      <c r="E591" s="617">
        <f t="shared" si="74"/>
        <v>0.90825900000000015</v>
      </c>
      <c r="F591" s="241" t="s">
        <v>277</v>
      </c>
      <c r="G591" s="241" t="s">
        <v>277</v>
      </c>
      <c r="H591" s="1418" t="s">
        <v>1183</v>
      </c>
      <c r="I591" s="1419"/>
      <c r="J591" s="154"/>
    </row>
    <row r="592" spans="1:10" ht="40.5" customHeight="1">
      <c r="A592" s="176"/>
      <c r="B592" s="357" t="s">
        <v>218</v>
      </c>
      <c r="C592" s="177" t="s">
        <v>1221</v>
      </c>
      <c r="D592" s="563">
        <v>0.10596</v>
      </c>
      <c r="E592" s="617">
        <f t="shared" si="74"/>
        <v>0.11655600000000001</v>
      </c>
      <c r="F592" s="241" t="s">
        <v>277</v>
      </c>
      <c r="G592" s="241" t="s">
        <v>277</v>
      </c>
      <c r="H592" s="1418" t="s">
        <v>1183</v>
      </c>
      <c r="I592" s="1419"/>
      <c r="J592" s="154"/>
    </row>
    <row r="593" spans="1:10" ht="40.5" customHeight="1">
      <c r="A593" s="176"/>
      <c r="B593" s="357" t="s">
        <v>219</v>
      </c>
      <c r="C593" s="177" t="s">
        <v>1221</v>
      </c>
      <c r="D593" s="563">
        <v>5.0140000000000004E-2</v>
      </c>
      <c r="E593" s="617">
        <f t="shared" si="74"/>
        <v>5.5154000000000009E-2</v>
      </c>
      <c r="F593" s="241" t="s">
        <v>277</v>
      </c>
      <c r="G593" s="241" t="s">
        <v>277</v>
      </c>
      <c r="H593" s="1418" t="s">
        <v>1183</v>
      </c>
      <c r="I593" s="1419"/>
      <c r="J593" s="154"/>
    </row>
    <row r="594" spans="1:10" ht="40.5" customHeight="1">
      <c r="A594" s="176"/>
      <c r="B594" s="357" t="s">
        <v>220</v>
      </c>
      <c r="C594" s="177" t="s">
        <v>1221</v>
      </c>
      <c r="D594" s="563">
        <v>0.19492999999999999</v>
      </c>
      <c r="E594" s="617">
        <f t="shared" si="74"/>
        <v>0.214423</v>
      </c>
      <c r="F594" s="241" t="s">
        <v>277</v>
      </c>
      <c r="G594" s="241" t="s">
        <v>277</v>
      </c>
      <c r="H594" s="1418" t="s">
        <v>1183</v>
      </c>
      <c r="I594" s="1419"/>
      <c r="J594" s="154"/>
    </row>
    <row r="595" spans="1:10" ht="40.5" customHeight="1">
      <c r="A595" s="176"/>
      <c r="B595" s="357" t="s">
        <v>221</v>
      </c>
      <c r="C595" s="177" t="s">
        <v>1221</v>
      </c>
      <c r="D595" s="563">
        <v>1.8886099999999999</v>
      </c>
      <c r="E595" s="617">
        <f t="shared" si="74"/>
        <v>2.0774710000000001</v>
      </c>
      <c r="F595" s="241" t="s">
        <v>277</v>
      </c>
      <c r="G595" s="241" t="s">
        <v>277</v>
      </c>
      <c r="H595" s="1418" t="s">
        <v>1183</v>
      </c>
      <c r="I595" s="1419"/>
      <c r="J595" s="154"/>
    </row>
    <row r="596" spans="1:10" ht="40.5" customHeight="1">
      <c r="A596" s="176"/>
      <c r="B596" s="357" t="s">
        <v>222</v>
      </c>
      <c r="C596" s="177" t="s">
        <v>1221</v>
      </c>
      <c r="D596" s="563">
        <v>0.21670999999999999</v>
      </c>
      <c r="E596" s="617">
        <f t="shared" si="74"/>
        <v>0.23838100000000001</v>
      </c>
      <c r="F596" s="241" t="s">
        <v>277</v>
      </c>
      <c r="G596" s="241" t="s">
        <v>277</v>
      </c>
      <c r="H596" s="1418" t="s">
        <v>1183</v>
      </c>
      <c r="I596" s="1419"/>
      <c r="J596" s="154"/>
    </row>
    <row r="597" spans="1:10" ht="40.5" customHeight="1">
      <c r="A597" s="176"/>
      <c r="B597" s="357" t="s">
        <v>223</v>
      </c>
      <c r="C597" s="177" t="s">
        <v>1221</v>
      </c>
      <c r="D597" s="563">
        <v>0.21322000000000002</v>
      </c>
      <c r="E597" s="617">
        <f t="shared" si="74"/>
        <v>0.23454200000000003</v>
      </c>
      <c r="F597" s="241" t="s">
        <v>277</v>
      </c>
      <c r="G597" s="241" t="s">
        <v>277</v>
      </c>
      <c r="H597" s="1418" t="s">
        <v>1183</v>
      </c>
      <c r="I597" s="1419"/>
      <c r="J597" s="154"/>
    </row>
    <row r="598" spans="1:10" ht="40.5" customHeight="1">
      <c r="A598" s="176"/>
      <c r="B598" s="357" t="s">
        <v>224</v>
      </c>
      <c r="C598" s="177" t="s">
        <v>1221</v>
      </c>
      <c r="D598" s="563">
        <v>0.23171</v>
      </c>
      <c r="E598" s="617">
        <f t="shared" si="74"/>
        <v>0.25488100000000002</v>
      </c>
      <c r="F598" s="241" t="s">
        <v>277</v>
      </c>
      <c r="G598" s="241" t="s">
        <v>277</v>
      </c>
      <c r="H598" s="1418" t="s">
        <v>1183</v>
      </c>
      <c r="I598" s="1419"/>
      <c r="J598" s="154"/>
    </row>
    <row r="599" spans="1:10" ht="40.5" customHeight="1">
      <c r="A599" s="176"/>
      <c r="B599" s="357" t="s">
        <v>225</v>
      </c>
      <c r="C599" s="177" t="s">
        <v>1221</v>
      </c>
      <c r="D599" s="563">
        <v>0.21969</v>
      </c>
      <c r="E599" s="617">
        <f t="shared" si="74"/>
        <v>0.24165900000000001</v>
      </c>
      <c r="F599" s="241" t="s">
        <v>277</v>
      </c>
      <c r="G599" s="241" t="s">
        <v>277</v>
      </c>
      <c r="H599" s="1418" t="s">
        <v>1183</v>
      </c>
      <c r="I599" s="1419"/>
      <c r="J599" s="154"/>
    </row>
    <row r="600" spans="1:10" ht="40.5" customHeight="1">
      <c r="A600" s="176"/>
      <c r="B600" s="357" t="s">
        <v>226</v>
      </c>
      <c r="C600" s="177" t="s">
        <v>1221</v>
      </c>
      <c r="D600" s="563">
        <v>0.23222999999999999</v>
      </c>
      <c r="E600" s="617">
        <f t="shared" si="74"/>
        <v>0.25545299999999999</v>
      </c>
      <c r="F600" s="241" t="s">
        <v>277</v>
      </c>
      <c r="G600" s="241" t="s">
        <v>277</v>
      </c>
      <c r="H600" s="1418" t="s">
        <v>1183</v>
      </c>
      <c r="I600" s="1419"/>
      <c r="J600" s="154"/>
    </row>
    <row r="601" spans="1:10" ht="40.5" customHeight="1">
      <c r="A601" s="176"/>
      <c r="B601" s="357" t="s">
        <v>227</v>
      </c>
      <c r="C601" s="177" t="s">
        <v>1221</v>
      </c>
      <c r="D601" s="563">
        <v>0.33832000000000001</v>
      </c>
      <c r="E601" s="617">
        <f t="shared" si="74"/>
        <v>0.37215200000000004</v>
      </c>
      <c r="F601" s="241" t="s">
        <v>277</v>
      </c>
      <c r="G601" s="241" t="s">
        <v>277</v>
      </c>
      <c r="H601" s="1418" t="s">
        <v>1183</v>
      </c>
      <c r="I601" s="1419"/>
      <c r="J601" s="154"/>
    </row>
    <row r="602" spans="1:10" ht="40.5" customHeight="1">
      <c r="A602" s="176"/>
      <c r="B602" s="357" t="s">
        <v>228</v>
      </c>
      <c r="C602" s="177" t="s">
        <v>1221</v>
      </c>
      <c r="D602" s="563">
        <v>0.15644000000000002</v>
      </c>
      <c r="E602" s="617">
        <f t="shared" si="74"/>
        <v>0.17208400000000004</v>
      </c>
      <c r="F602" s="241" t="s">
        <v>277</v>
      </c>
      <c r="G602" s="241" t="s">
        <v>277</v>
      </c>
      <c r="H602" s="1418" t="s">
        <v>1183</v>
      </c>
      <c r="I602" s="1419"/>
      <c r="J602" s="154"/>
    </row>
    <row r="603" spans="1:10" ht="40.5" customHeight="1">
      <c r="A603" s="176"/>
      <c r="B603" s="357" t="s">
        <v>229</v>
      </c>
      <c r="C603" s="177" t="s">
        <v>1221</v>
      </c>
      <c r="D603" s="563">
        <v>4.3220000000000001E-2</v>
      </c>
      <c r="E603" s="617">
        <f t="shared" si="74"/>
        <v>4.7542000000000008E-2</v>
      </c>
      <c r="F603" s="241" t="s">
        <v>277</v>
      </c>
      <c r="G603" s="241" t="s">
        <v>277</v>
      </c>
      <c r="H603" s="1418" t="s">
        <v>1183</v>
      </c>
      <c r="I603" s="1419"/>
      <c r="J603" s="154"/>
    </row>
    <row r="604" spans="1:10" ht="40.5" customHeight="1">
      <c r="A604" s="176"/>
      <c r="B604" s="357" t="s">
        <v>230</v>
      </c>
      <c r="C604" s="177" t="s">
        <v>1221</v>
      </c>
      <c r="D604" s="563">
        <v>4.6889999999999994E-2</v>
      </c>
      <c r="E604" s="617">
        <f t="shared" si="74"/>
        <v>5.1579E-2</v>
      </c>
      <c r="F604" s="241" t="s">
        <v>277</v>
      </c>
      <c r="G604" s="241" t="s">
        <v>277</v>
      </c>
      <c r="H604" s="1418" t="s">
        <v>1183</v>
      </c>
      <c r="I604" s="1419"/>
      <c r="J604" s="154"/>
    </row>
    <row r="605" spans="1:10" ht="40.5" customHeight="1">
      <c r="A605" s="176"/>
      <c r="B605" s="357" t="s">
        <v>231</v>
      </c>
      <c r="C605" s="177" t="s">
        <v>1221</v>
      </c>
      <c r="D605" s="563">
        <v>0.46246000000000004</v>
      </c>
      <c r="E605" s="617">
        <f t="shared" si="74"/>
        <v>0.5087060000000001</v>
      </c>
      <c r="F605" s="241" t="s">
        <v>277</v>
      </c>
      <c r="G605" s="241" t="s">
        <v>277</v>
      </c>
      <c r="H605" s="1418" t="s">
        <v>1183</v>
      </c>
      <c r="I605" s="1419"/>
      <c r="J605" s="154"/>
    </row>
    <row r="606" spans="1:10" ht="40.5" customHeight="1">
      <c r="A606" s="176"/>
      <c r="B606" s="357" t="s">
        <v>232</v>
      </c>
      <c r="C606" s="177" t="s">
        <v>1221</v>
      </c>
      <c r="D606" s="563">
        <v>4.462E-2</v>
      </c>
      <c r="E606" s="617">
        <f t="shared" si="74"/>
        <v>4.9082000000000001E-2</v>
      </c>
      <c r="F606" s="241" t="s">
        <v>277</v>
      </c>
      <c r="G606" s="241" t="s">
        <v>277</v>
      </c>
      <c r="H606" s="1418" t="s">
        <v>1183</v>
      </c>
      <c r="I606" s="1419"/>
      <c r="J606" s="154"/>
    </row>
    <row r="607" spans="1:10" ht="40.5" customHeight="1">
      <c r="A607" s="176"/>
      <c r="B607" s="357" t="s">
        <v>233</v>
      </c>
      <c r="C607" s="177" t="s">
        <v>1221</v>
      </c>
      <c r="D607" s="563">
        <v>0.2044</v>
      </c>
      <c r="E607" s="617">
        <f t="shared" si="74"/>
        <v>0.22484000000000001</v>
      </c>
      <c r="F607" s="241" t="s">
        <v>277</v>
      </c>
      <c r="G607" s="241" t="s">
        <v>277</v>
      </c>
      <c r="H607" s="1418" t="s">
        <v>1183</v>
      </c>
      <c r="I607" s="1419"/>
      <c r="J607" s="154"/>
    </row>
    <row r="608" spans="1:10" ht="40.5" customHeight="1">
      <c r="A608" s="176"/>
      <c r="B608" s="357" t="s">
        <v>234</v>
      </c>
      <c r="C608" s="177" t="s">
        <v>1221</v>
      </c>
      <c r="D608" s="563">
        <v>0.21111999999999997</v>
      </c>
      <c r="E608" s="617">
        <f t="shared" si="74"/>
        <v>0.23223199999999999</v>
      </c>
      <c r="F608" s="241" t="s">
        <v>277</v>
      </c>
      <c r="G608" s="241" t="s">
        <v>277</v>
      </c>
      <c r="H608" s="1418" t="s">
        <v>1183</v>
      </c>
      <c r="I608" s="1419"/>
      <c r="J608" s="154"/>
    </row>
    <row r="609" spans="1:10" ht="40.5" customHeight="1">
      <c r="A609" s="176"/>
      <c r="B609" s="357" t="s">
        <v>235</v>
      </c>
      <c r="C609" s="177" t="s">
        <v>1221</v>
      </c>
      <c r="D609" s="563">
        <v>7.4319999999999997E-2</v>
      </c>
      <c r="E609" s="617">
        <f t="shared" si="74"/>
        <v>8.1752000000000005E-2</v>
      </c>
      <c r="F609" s="241" t="s">
        <v>277</v>
      </c>
      <c r="G609" s="241" t="s">
        <v>277</v>
      </c>
      <c r="H609" s="1418" t="s">
        <v>1183</v>
      </c>
      <c r="I609" s="1419"/>
      <c r="J609" s="154"/>
    </row>
    <row r="610" spans="1:10" ht="40.5" customHeight="1">
      <c r="A610" s="176"/>
      <c r="B610" s="357" t="s">
        <v>236</v>
      </c>
      <c r="C610" s="177" t="s">
        <v>1221</v>
      </c>
      <c r="D610" s="563">
        <v>0.17499000000000001</v>
      </c>
      <c r="E610" s="617">
        <f t="shared" si="74"/>
        <v>0.19248900000000002</v>
      </c>
      <c r="F610" s="241" t="s">
        <v>277</v>
      </c>
      <c r="G610" s="241" t="s">
        <v>277</v>
      </c>
      <c r="H610" s="1418" t="s">
        <v>1183</v>
      </c>
      <c r="I610" s="1419"/>
      <c r="J610" s="154"/>
    </row>
    <row r="611" spans="1:10" ht="40.5" customHeight="1">
      <c r="A611" s="176"/>
      <c r="B611" s="357" t="s">
        <v>237</v>
      </c>
      <c r="C611" s="177" t="s">
        <v>1221</v>
      </c>
      <c r="D611" s="563">
        <v>0.31805</v>
      </c>
      <c r="E611" s="617">
        <f t="shared" si="74"/>
        <v>0.34985500000000003</v>
      </c>
      <c r="F611" s="241" t="s">
        <v>277</v>
      </c>
      <c r="G611" s="241" t="s">
        <v>277</v>
      </c>
      <c r="H611" s="1418" t="s">
        <v>1183</v>
      </c>
      <c r="I611" s="1419"/>
      <c r="J611" s="154"/>
    </row>
    <row r="612" spans="1:10" ht="40.5" customHeight="1">
      <c r="A612" s="176"/>
      <c r="B612" s="357" t="s">
        <v>238</v>
      </c>
      <c r="C612" s="177" t="s">
        <v>1221</v>
      </c>
      <c r="D612" s="563">
        <v>0.17827999999999999</v>
      </c>
      <c r="E612" s="617">
        <f t="shared" si="74"/>
        <v>0.196108</v>
      </c>
      <c r="F612" s="241" t="s">
        <v>277</v>
      </c>
      <c r="G612" s="241" t="s">
        <v>277</v>
      </c>
      <c r="H612" s="1418" t="s">
        <v>1183</v>
      </c>
      <c r="I612" s="1419"/>
      <c r="J612" s="154"/>
    </row>
    <row r="613" spans="1:10" ht="40.5" customHeight="1">
      <c r="A613" s="176"/>
      <c r="B613" s="357" t="s">
        <v>239</v>
      </c>
      <c r="C613" s="177" t="s">
        <v>1221</v>
      </c>
      <c r="D613" s="563">
        <v>0.27151999999999998</v>
      </c>
      <c r="E613" s="617">
        <f t="shared" si="74"/>
        <v>0.29867199999999999</v>
      </c>
      <c r="F613" s="241" t="s">
        <v>277</v>
      </c>
      <c r="G613" s="241" t="s">
        <v>277</v>
      </c>
      <c r="H613" s="1418" t="s">
        <v>1183</v>
      </c>
      <c r="I613" s="1419"/>
      <c r="J613" s="154"/>
    </row>
    <row r="614" spans="1:10" ht="40.5" customHeight="1">
      <c r="A614" s="176"/>
      <c r="B614" s="357" t="s">
        <v>240</v>
      </c>
      <c r="C614" s="177" t="s">
        <v>1221</v>
      </c>
      <c r="D614" s="563">
        <v>0.12411</v>
      </c>
      <c r="E614" s="617">
        <f t="shared" si="74"/>
        <v>0.136521</v>
      </c>
      <c r="F614" s="241" t="s">
        <v>277</v>
      </c>
      <c r="G614" s="241" t="s">
        <v>277</v>
      </c>
      <c r="H614" s="1418" t="s">
        <v>1183</v>
      </c>
      <c r="I614" s="1419"/>
      <c r="J614" s="154"/>
    </row>
    <row r="615" spans="1:10" ht="40.5" customHeight="1">
      <c r="A615" s="176"/>
      <c r="B615" s="357" t="s">
        <v>241</v>
      </c>
      <c r="C615" s="177" t="s">
        <v>1221</v>
      </c>
      <c r="D615" s="563">
        <v>0.51024000000000003</v>
      </c>
      <c r="E615" s="617">
        <f t="shared" si="74"/>
        <v>0.5612640000000001</v>
      </c>
      <c r="F615" s="241" t="s">
        <v>277</v>
      </c>
      <c r="G615" s="241" t="s">
        <v>277</v>
      </c>
      <c r="H615" s="1418" t="s">
        <v>1183</v>
      </c>
      <c r="I615" s="1419"/>
      <c r="J615" s="154"/>
    </row>
    <row r="616" spans="1:10" ht="40.5" customHeight="1">
      <c r="A616" s="176"/>
      <c r="B616" s="357" t="s">
        <v>242</v>
      </c>
      <c r="C616" s="177" t="s">
        <v>1221</v>
      </c>
      <c r="D616" s="563">
        <v>0.20063999999999999</v>
      </c>
      <c r="E616" s="617">
        <f t="shared" si="74"/>
        <v>0.22070400000000001</v>
      </c>
      <c r="F616" s="241" t="s">
        <v>277</v>
      </c>
      <c r="G616" s="241" t="s">
        <v>277</v>
      </c>
      <c r="H616" s="1418" t="s">
        <v>1183</v>
      </c>
      <c r="I616" s="1419"/>
      <c r="J616" s="154"/>
    </row>
    <row r="617" spans="1:10" ht="40.5" customHeight="1">
      <c r="A617" s="176"/>
      <c r="B617" s="357" t="s">
        <v>243</v>
      </c>
      <c r="C617" s="177" t="s">
        <v>1221</v>
      </c>
      <c r="D617" s="563">
        <v>0.77757000000000009</v>
      </c>
      <c r="E617" s="617">
        <f t="shared" si="74"/>
        <v>0.85532700000000017</v>
      </c>
      <c r="F617" s="241" t="s">
        <v>277</v>
      </c>
      <c r="G617" s="241" t="s">
        <v>277</v>
      </c>
      <c r="H617" s="1418" t="s">
        <v>1183</v>
      </c>
      <c r="I617" s="1419"/>
      <c r="J617" s="154"/>
    </row>
    <row r="618" spans="1:10" ht="40.5" customHeight="1">
      <c r="A618" s="176"/>
      <c r="B618" s="357" t="s">
        <v>244</v>
      </c>
      <c r="C618" s="177" t="s">
        <v>1221</v>
      </c>
      <c r="D618" s="563">
        <v>0.17282999999999998</v>
      </c>
      <c r="E618" s="617">
        <f t="shared" si="74"/>
        <v>0.190113</v>
      </c>
      <c r="F618" s="241" t="s">
        <v>277</v>
      </c>
      <c r="G618" s="241" t="s">
        <v>277</v>
      </c>
      <c r="H618" s="1418" t="s">
        <v>1183</v>
      </c>
      <c r="I618" s="1419"/>
      <c r="J618" s="154"/>
    </row>
    <row r="619" spans="1:10" ht="40.5" customHeight="1">
      <c r="A619" s="176"/>
      <c r="B619" s="357" t="s">
        <v>245</v>
      </c>
      <c r="C619" s="177" t="s">
        <v>1221</v>
      </c>
      <c r="D619" s="563">
        <v>0.1643</v>
      </c>
      <c r="E619" s="617">
        <f t="shared" si="74"/>
        <v>0.18073000000000003</v>
      </c>
      <c r="F619" s="241" t="s">
        <v>277</v>
      </c>
      <c r="G619" s="241" t="s">
        <v>277</v>
      </c>
      <c r="H619" s="1418" t="s">
        <v>1183</v>
      </c>
      <c r="I619" s="1419"/>
      <c r="J619" s="154"/>
    </row>
    <row r="620" spans="1:10" ht="40.5" customHeight="1">
      <c r="A620" s="176"/>
      <c r="B620" s="357" t="s">
        <v>246</v>
      </c>
      <c r="C620" s="177" t="s">
        <v>1221</v>
      </c>
      <c r="D620" s="563">
        <v>0.36418</v>
      </c>
      <c r="E620" s="617">
        <f t="shared" si="74"/>
        <v>0.40059800000000001</v>
      </c>
      <c r="F620" s="241" t="s">
        <v>277</v>
      </c>
      <c r="G620" s="241" t="s">
        <v>277</v>
      </c>
      <c r="H620" s="1418" t="s">
        <v>1183</v>
      </c>
      <c r="I620" s="1419"/>
      <c r="J620" s="154"/>
    </row>
    <row r="621" spans="1:10" ht="40.5" customHeight="1">
      <c r="A621" s="176"/>
      <c r="B621" s="357" t="s">
        <v>247</v>
      </c>
      <c r="C621" s="177" t="s">
        <v>1221</v>
      </c>
      <c r="D621" s="563">
        <v>3.8850000000000003E-2</v>
      </c>
      <c r="E621" s="617">
        <f t="shared" si="74"/>
        <v>4.2735000000000009E-2</v>
      </c>
      <c r="F621" s="241" t="s">
        <v>277</v>
      </c>
      <c r="G621" s="241" t="s">
        <v>277</v>
      </c>
      <c r="H621" s="1418" t="s">
        <v>1183</v>
      </c>
      <c r="I621" s="1419"/>
      <c r="J621" s="154"/>
    </row>
    <row r="622" spans="1:10" ht="40.5" customHeight="1">
      <c r="A622" s="176"/>
      <c r="B622" s="357" t="s">
        <v>248</v>
      </c>
      <c r="C622" s="177" t="s">
        <v>1221</v>
      </c>
      <c r="D622" s="563">
        <v>0.12691</v>
      </c>
      <c r="E622" s="617">
        <f t="shared" si="74"/>
        <v>0.139601</v>
      </c>
      <c r="F622" s="241" t="s">
        <v>277</v>
      </c>
      <c r="G622" s="241" t="s">
        <v>277</v>
      </c>
      <c r="H622" s="1418" t="s">
        <v>1183</v>
      </c>
      <c r="I622" s="1419"/>
      <c r="J622" s="154"/>
    </row>
    <row r="623" spans="1:10" ht="40.5" customHeight="1">
      <c r="A623" s="176"/>
      <c r="B623" s="357" t="s">
        <v>249</v>
      </c>
      <c r="C623" s="177" t="s">
        <v>1221</v>
      </c>
      <c r="D623" s="563">
        <v>0.24337999999999999</v>
      </c>
      <c r="E623" s="617">
        <f t="shared" si="74"/>
        <v>0.26771800000000001</v>
      </c>
      <c r="F623" s="241" t="s">
        <v>277</v>
      </c>
      <c r="G623" s="241" t="s">
        <v>277</v>
      </c>
      <c r="H623" s="1418" t="s">
        <v>1183</v>
      </c>
      <c r="I623" s="1419"/>
      <c r="J623" s="154"/>
    </row>
    <row r="624" spans="1:10" ht="40.5" customHeight="1">
      <c r="A624" s="176"/>
      <c r="B624" s="357" t="s">
        <v>250</v>
      </c>
      <c r="C624" s="177" t="s">
        <v>1221</v>
      </c>
      <c r="D624" s="563">
        <v>0.71309</v>
      </c>
      <c r="E624" s="617">
        <f t="shared" si="74"/>
        <v>0.78439900000000007</v>
      </c>
      <c r="F624" s="241" t="s">
        <v>277</v>
      </c>
      <c r="G624" s="241" t="s">
        <v>277</v>
      </c>
      <c r="H624" s="1418" t="s">
        <v>1183</v>
      </c>
      <c r="I624" s="1419"/>
      <c r="J624" s="154"/>
    </row>
    <row r="625" spans="1:10" ht="40.5" customHeight="1">
      <c r="A625" s="176"/>
      <c r="B625" s="357" t="s">
        <v>251</v>
      </c>
      <c r="C625" s="177" t="s">
        <v>1221</v>
      </c>
      <c r="D625" s="563">
        <v>6.7500000000000004E-2</v>
      </c>
      <c r="E625" s="617">
        <f t="shared" si="74"/>
        <v>7.425000000000001E-2</v>
      </c>
      <c r="F625" s="241" t="s">
        <v>277</v>
      </c>
      <c r="G625" s="241" t="s">
        <v>277</v>
      </c>
      <c r="H625" s="1418" t="s">
        <v>1183</v>
      </c>
      <c r="I625" s="1419"/>
      <c r="J625" s="154"/>
    </row>
    <row r="626" spans="1:10" ht="40.5" customHeight="1">
      <c r="A626" s="176"/>
      <c r="B626" s="357" t="s">
        <v>252</v>
      </c>
      <c r="C626" s="177" t="s">
        <v>1221</v>
      </c>
      <c r="D626" s="563">
        <v>0.32679000000000002</v>
      </c>
      <c r="E626" s="617">
        <f t="shared" si="74"/>
        <v>0.35946900000000004</v>
      </c>
      <c r="F626" s="241" t="s">
        <v>277</v>
      </c>
      <c r="G626" s="241" t="s">
        <v>277</v>
      </c>
      <c r="H626" s="1418" t="s">
        <v>1183</v>
      </c>
      <c r="I626" s="1419"/>
      <c r="J626" s="154"/>
    </row>
    <row r="627" spans="1:10" ht="40.5" customHeight="1">
      <c r="A627" s="176"/>
      <c r="B627" s="357" t="s">
        <v>253</v>
      </c>
      <c r="C627" s="177" t="s">
        <v>1221</v>
      </c>
      <c r="D627" s="563">
        <v>2.6129999999999995</v>
      </c>
      <c r="E627" s="617">
        <f t="shared" si="74"/>
        <v>2.8742999999999999</v>
      </c>
      <c r="F627" s="241" t="s">
        <v>277</v>
      </c>
      <c r="G627" s="241" t="s">
        <v>277</v>
      </c>
      <c r="H627" s="1418" t="s">
        <v>1183</v>
      </c>
      <c r="I627" s="1419"/>
      <c r="J627" s="154"/>
    </row>
    <row r="628" spans="1:10" ht="40.5" customHeight="1">
      <c r="A628" s="176"/>
      <c r="B628" s="357" t="s">
        <v>254</v>
      </c>
      <c r="C628" s="177" t="s">
        <v>1221</v>
      </c>
      <c r="D628" s="563">
        <v>0.43162</v>
      </c>
      <c r="E628" s="617">
        <f t="shared" si="74"/>
        <v>0.47478200000000004</v>
      </c>
      <c r="F628" s="241" t="s">
        <v>277</v>
      </c>
      <c r="G628" s="241" t="s">
        <v>277</v>
      </c>
      <c r="H628" s="1418" t="s">
        <v>1183</v>
      </c>
      <c r="I628" s="1419"/>
      <c r="J628" s="154"/>
    </row>
    <row r="629" spans="1:10" ht="40.5" customHeight="1">
      <c r="A629" s="176"/>
      <c r="B629" s="357" t="s">
        <v>255</v>
      </c>
      <c r="C629" s="177" t="s">
        <v>1221</v>
      </c>
      <c r="D629" s="563">
        <v>0.24885999999999997</v>
      </c>
      <c r="E629" s="617">
        <f t="shared" si="74"/>
        <v>0.27374599999999999</v>
      </c>
      <c r="F629" s="241" t="s">
        <v>277</v>
      </c>
      <c r="G629" s="241" t="s">
        <v>277</v>
      </c>
      <c r="H629" s="1418" t="s">
        <v>1183</v>
      </c>
      <c r="I629" s="1419"/>
      <c r="J629" s="154"/>
    </row>
    <row r="630" spans="1:10" ht="40.5" customHeight="1">
      <c r="A630" s="176"/>
      <c r="B630" s="357" t="s">
        <v>256</v>
      </c>
      <c r="C630" s="177" t="s">
        <v>1221</v>
      </c>
      <c r="D630" s="563">
        <v>0.20937999999999998</v>
      </c>
      <c r="E630" s="617">
        <f t="shared" si="74"/>
        <v>0.23031799999999999</v>
      </c>
      <c r="F630" s="241" t="s">
        <v>277</v>
      </c>
      <c r="G630" s="241" t="s">
        <v>277</v>
      </c>
      <c r="H630" s="1418" t="s">
        <v>1183</v>
      </c>
      <c r="I630" s="1419"/>
      <c r="J630" s="154"/>
    </row>
    <row r="631" spans="1:10" ht="40.5" customHeight="1">
      <c r="A631" s="176"/>
      <c r="B631" s="357" t="s">
        <v>257</v>
      </c>
      <c r="C631" s="177" t="s">
        <v>1221</v>
      </c>
      <c r="D631" s="563">
        <v>0.25061</v>
      </c>
      <c r="E631" s="617">
        <f t="shared" si="74"/>
        <v>0.275671</v>
      </c>
      <c r="F631" s="241" t="s">
        <v>277</v>
      </c>
      <c r="G631" s="241" t="s">
        <v>277</v>
      </c>
      <c r="H631" s="1418" t="s">
        <v>1183</v>
      </c>
      <c r="I631" s="1419"/>
      <c r="J631" s="154"/>
    </row>
    <row r="632" spans="1:10" ht="40.5" customHeight="1" thickBot="1">
      <c r="A632" s="176"/>
      <c r="B632" s="99" t="s">
        <v>258</v>
      </c>
      <c r="C632" s="177" t="s">
        <v>1221</v>
      </c>
      <c r="D632" s="564">
        <v>0.10052999999999999</v>
      </c>
      <c r="E632" s="617">
        <f t="shared" si="74"/>
        <v>0.110583</v>
      </c>
      <c r="F632" s="241" t="s">
        <v>277</v>
      </c>
      <c r="G632" s="241" t="s">
        <v>277</v>
      </c>
      <c r="H632" s="1418" t="s">
        <v>1183</v>
      </c>
      <c r="I632" s="1419"/>
      <c r="J632" s="154"/>
    </row>
    <row r="633" spans="1:10" ht="11.25">
      <c r="A633" s="176"/>
      <c r="B633" s="565"/>
      <c r="C633" s="177"/>
      <c r="D633" s="552"/>
      <c r="E633" s="201"/>
      <c r="F633" s="552"/>
      <c r="G633" s="201"/>
      <c r="H633" s="550"/>
      <c r="I633" s="551"/>
      <c r="J633" s="154"/>
    </row>
    <row r="634" spans="1:10" ht="12.75" customHeight="1">
      <c r="A634" s="372"/>
      <c r="B634" s="1420" t="s">
        <v>1202</v>
      </c>
      <c r="C634" s="1421"/>
      <c r="D634" s="1421"/>
      <c r="E634" s="1421"/>
      <c r="F634" s="1421"/>
      <c r="G634" s="1421"/>
      <c r="H634" s="374"/>
      <c r="I634" s="201"/>
      <c r="J634" s="152"/>
    </row>
    <row r="635" spans="1:10" ht="54.75" customHeight="1">
      <c r="A635" s="548"/>
      <c r="B635" s="546" t="s">
        <v>1203</v>
      </c>
      <c r="C635" s="177" t="s">
        <v>1221</v>
      </c>
      <c r="D635" s="546" t="s">
        <v>1223</v>
      </c>
      <c r="E635" s="546" t="s">
        <v>1223</v>
      </c>
      <c r="F635" s="546" t="s">
        <v>1223</v>
      </c>
      <c r="G635" s="546" t="s">
        <v>1223</v>
      </c>
      <c r="H635" s="1418" t="s">
        <v>1204</v>
      </c>
      <c r="I635" s="1419"/>
      <c r="J635" s="152"/>
    </row>
    <row r="636" spans="1:10" ht="22.5">
      <c r="A636" s="176"/>
      <c r="B636" s="546" t="s">
        <v>1184</v>
      </c>
      <c r="C636" s="177" t="s">
        <v>1221</v>
      </c>
      <c r="D636" s="241" t="s">
        <v>277</v>
      </c>
      <c r="E636" s="241" t="s">
        <v>277</v>
      </c>
      <c r="F636" s="552" t="s">
        <v>783</v>
      </c>
      <c r="G636" s="552" t="s">
        <v>783</v>
      </c>
      <c r="H636" s="1422" t="s">
        <v>1029</v>
      </c>
      <c r="I636" s="1423"/>
      <c r="J636" s="154"/>
    </row>
    <row r="637" spans="1:10" ht="52.5">
      <c r="A637" s="776" t="s">
        <v>2699</v>
      </c>
      <c r="B637" s="781" t="s">
        <v>1185</v>
      </c>
      <c r="C637" s="782" t="s">
        <v>1221</v>
      </c>
      <c r="D637" s="783">
        <v>24</v>
      </c>
      <c r="E637" s="784">
        <f t="shared" ref="E637:E642" si="75">SUM(D637*1.1)</f>
        <v>26.400000000000002</v>
      </c>
      <c r="F637" s="785" t="s">
        <v>277</v>
      </c>
      <c r="G637" s="785" t="s">
        <v>277</v>
      </c>
      <c r="H637" s="1424" t="s">
        <v>1187</v>
      </c>
      <c r="I637" s="1425"/>
      <c r="J637" s="780"/>
    </row>
    <row r="638" spans="1:10" ht="45">
      <c r="A638" s="776" t="s">
        <v>2697</v>
      </c>
      <c r="B638" s="786" t="s">
        <v>2698</v>
      </c>
      <c r="C638" s="777" t="s">
        <v>1221</v>
      </c>
      <c r="D638" s="779">
        <v>24</v>
      </c>
      <c r="E638" s="787">
        <f t="shared" ref="E638" si="76">SUM(D638*1.1)</f>
        <v>26.400000000000002</v>
      </c>
      <c r="F638" s="778" t="s">
        <v>277</v>
      </c>
      <c r="G638" s="778" t="s">
        <v>277</v>
      </c>
      <c r="H638" s="1436" t="s">
        <v>1187</v>
      </c>
      <c r="I638" s="1437"/>
      <c r="J638" s="780"/>
    </row>
    <row r="639" spans="1:10" ht="22.5">
      <c r="A639" s="176"/>
      <c r="B639" s="546" t="s">
        <v>1186</v>
      </c>
      <c r="C639" s="177" t="s">
        <v>1221</v>
      </c>
      <c r="D639" s="566">
        <v>0.23999999999999996</v>
      </c>
      <c r="E639" s="617">
        <f t="shared" si="75"/>
        <v>0.26399999999999996</v>
      </c>
      <c r="F639" s="241" t="s">
        <v>277</v>
      </c>
      <c r="G639" s="241" t="s">
        <v>277</v>
      </c>
      <c r="H639" s="1422" t="s">
        <v>1188</v>
      </c>
      <c r="I639" s="1423"/>
      <c r="J639" s="154"/>
    </row>
    <row r="640" spans="1:10" ht="45">
      <c r="A640" s="176"/>
      <c r="B640" s="546" t="s">
        <v>1189</v>
      </c>
      <c r="C640" s="177" t="s">
        <v>1221</v>
      </c>
      <c r="D640" s="566">
        <v>12</v>
      </c>
      <c r="E640" s="617">
        <f t="shared" si="75"/>
        <v>13.200000000000001</v>
      </c>
      <c r="F640" s="241" t="s">
        <v>277</v>
      </c>
      <c r="G640" s="241" t="s">
        <v>277</v>
      </c>
      <c r="H640" s="1422" t="s">
        <v>1187</v>
      </c>
      <c r="I640" s="1423"/>
      <c r="J640" s="154"/>
    </row>
    <row r="641" spans="1:12" ht="45">
      <c r="A641" s="176"/>
      <c r="B641" s="546" t="s">
        <v>1190</v>
      </c>
      <c r="C641" s="177" t="s">
        <v>1221</v>
      </c>
      <c r="D641" s="566">
        <v>8</v>
      </c>
      <c r="E641" s="617">
        <f t="shared" si="75"/>
        <v>8.8000000000000007</v>
      </c>
      <c r="F641" s="241" t="s">
        <v>277</v>
      </c>
      <c r="G641" s="241" t="s">
        <v>277</v>
      </c>
      <c r="H641" s="1422" t="s">
        <v>1187</v>
      </c>
      <c r="I641" s="1423"/>
      <c r="J641" s="154"/>
    </row>
    <row r="642" spans="1:12" ht="22.5">
      <c r="A642" s="176"/>
      <c r="B642" s="546" t="s">
        <v>1191</v>
      </c>
      <c r="C642" s="177" t="s">
        <v>1221</v>
      </c>
      <c r="D642" s="567">
        <v>1.3082859414754338E-3</v>
      </c>
      <c r="E642" s="618">
        <f t="shared" si="75"/>
        <v>1.4391145356229774E-3</v>
      </c>
      <c r="F642" s="241" t="s">
        <v>277</v>
      </c>
      <c r="G642" s="241" t="s">
        <v>277</v>
      </c>
      <c r="H642" s="1422" t="s">
        <v>1194</v>
      </c>
      <c r="I642" s="1423"/>
      <c r="J642" s="154"/>
    </row>
    <row r="643" spans="1:12" ht="22.5">
      <c r="A643" s="176"/>
      <c r="B643" s="546" t="s">
        <v>1192</v>
      </c>
      <c r="C643" s="177" t="s">
        <v>1221</v>
      </c>
      <c r="D643" s="568" t="s">
        <v>1193</v>
      </c>
      <c r="E643" s="568" t="s">
        <v>1193</v>
      </c>
      <c r="F643" s="241" t="s">
        <v>277</v>
      </c>
      <c r="G643" s="241" t="s">
        <v>277</v>
      </c>
      <c r="H643" s="1422" t="s">
        <v>999</v>
      </c>
      <c r="I643" s="1423"/>
      <c r="J643" s="154"/>
    </row>
    <row r="644" spans="1:12" ht="22.5">
      <c r="A644" s="176"/>
      <c r="B644" s="569" t="s">
        <v>1195</v>
      </c>
      <c r="C644" s="177" t="s">
        <v>1221</v>
      </c>
      <c r="D644" s="568" t="s">
        <v>1193</v>
      </c>
      <c r="E644" s="568" t="s">
        <v>1193</v>
      </c>
      <c r="F644" s="241" t="s">
        <v>277</v>
      </c>
      <c r="G644" s="241" t="s">
        <v>277</v>
      </c>
      <c r="H644" s="1422" t="s">
        <v>1000</v>
      </c>
      <c r="I644" s="1423"/>
      <c r="J644" s="154"/>
    </row>
    <row r="645" spans="1:12" ht="22.5">
      <c r="A645" s="176"/>
      <c r="B645" s="569" t="s">
        <v>1196</v>
      </c>
      <c r="C645" s="177" t="s">
        <v>1221</v>
      </c>
      <c r="D645" s="568" t="s">
        <v>1193</v>
      </c>
      <c r="E645" s="568" t="s">
        <v>1193</v>
      </c>
      <c r="F645" s="241" t="s">
        <v>277</v>
      </c>
      <c r="G645" s="241" t="s">
        <v>277</v>
      </c>
      <c r="H645" s="1422" t="s">
        <v>1000</v>
      </c>
      <c r="I645" s="1423"/>
      <c r="J645" s="154"/>
    </row>
    <row r="646" spans="1:12" ht="22.5">
      <c r="A646" s="176"/>
      <c r="B646" s="569" t="s">
        <v>1197</v>
      </c>
      <c r="C646" s="177" t="s">
        <v>1221</v>
      </c>
      <c r="D646" s="568" t="s">
        <v>1193</v>
      </c>
      <c r="E646" s="568" t="s">
        <v>1193</v>
      </c>
      <c r="F646" s="241" t="s">
        <v>277</v>
      </c>
      <c r="G646" s="241" t="s">
        <v>277</v>
      </c>
      <c r="H646" s="1422" t="s">
        <v>1000</v>
      </c>
      <c r="I646" s="1423"/>
      <c r="J646" s="154"/>
    </row>
    <row r="647" spans="1:12" ht="22.5">
      <c r="A647" s="176"/>
      <c r="B647" s="569" t="s">
        <v>1198</v>
      </c>
      <c r="C647" s="177" t="s">
        <v>1221</v>
      </c>
      <c r="D647" s="568" t="s">
        <v>1193</v>
      </c>
      <c r="E647" s="568" t="s">
        <v>1193</v>
      </c>
      <c r="F647" s="241" t="s">
        <v>277</v>
      </c>
      <c r="G647" s="241" t="s">
        <v>277</v>
      </c>
      <c r="H647" s="1422" t="s">
        <v>1000</v>
      </c>
      <c r="I647" s="1423"/>
      <c r="J647" s="154"/>
    </row>
    <row r="648" spans="1:12" ht="22.5">
      <c r="A648" s="176"/>
      <c r="B648" s="569" t="s">
        <v>1199</v>
      </c>
      <c r="C648" s="177" t="s">
        <v>1221</v>
      </c>
      <c r="D648" s="568" t="s">
        <v>1193</v>
      </c>
      <c r="E648" s="568" t="s">
        <v>1193</v>
      </c>
      <c r="F648" s="241" t="s">
        <v>277</v>
      </c>
      <c r="G648" s="241" t="s">
        <v>277</v>
      </c>
      <c r="H648" s="1422" t="s">
        <v>1000</v>
      </c>
      <c r="I648" s="1423"/>
      <c r="J648" s="154"/>
    </row>
    <row r="649" spans="1:12" ht="22.5">
      <c r="A649" s="176"/>
      <c r="B649" s="569" t="s">
        <v>1200</v>
      </c>
      <c r="C649" s="177" t="s">
        <v>1221</v>
      </c>
      <c r="D649" s="568" t="s">
        <v>1193</v>
      </c>
      <c r="E649" s="568" t="s">
        <v>1193</v>
      </c>
      <c r="F649" s="241" t="s">
        <v>277</v>
      </c>
      <c r="G649" s="241" t="s">
        <v>277</v>
      </c>
      <c r="H649" s="1422" t="s">
        <v>1000</v>
      </c>
      <c r="I649" s="1423"/>
      <c r="J649" s="154"/>
    </row>
    <row r="650" spans="1:12" ht="24.75" customHeight="1">
      <c r="A650" s="176"/>
      <c r="B650" s="569" t="s">
        <v>1201</v>
      </c>
      <c r="C650" s="177" t="s">
        <v>1221</v>
      </c>
      <c r="D650" s="568" t="s">
        <v>1193</v>
      </c>
      <c r="E650" s="568" t="s">
        <v>1193</v>
      </c>
      <c r="F650" s="241" t="s">
        <v>277</v>
      </c>
      <c r="G650" s="241" t="s">
        <v>277</v>
      </c>
      <c r="H650" s="1422" t="s">
        <v>1000</v>
      </c>
      <c r="I650" s="1423"/>
      <c r="J650" s="154"/>
    </row>
    <row r="651" spans="1:12">
      <c r="A651" s="154"/>
      <c r="B651" s="539"/>
      <c r="C651" s="540"/>
      <c r="D651" s="540"/>
      <c r="E651" s="248"/>
      <c r="F651" s="248"/>
      <c r="G651" s="201"/>
      <c r="H651" s="1428"/>
      <c r="I651" s="1428"/>
      <c r="J651" s="154"/>
    </row>
    <row r="653" spans="1:12" s="18" customFormat="1">
      <c r="A653" s="151"/>
      <c r="B653" s="142"/>
      <c r="C653" s="143"/>
      <c r="D653" s="143"/>
      <c r="E653" s="143"/>
      <c r="F653" s="143"/>
      <c r="G653" s="143"/>
      <c r="H653" s="143"/>
      <c r="I653" s="143"/>
      <c r="J653" s="143"/>
      <c r="K653" s="143"/>
      <c r="L653" s="143"/>
    </row>
    <row r="654" spans="1:12" s="18" customFormat="1">
      <c r="A654" s="499"/>
      <c r="B654" s="431"/>
      <c r="C654" s="143"/>
      <c r="D654" s="143"/>
      <c r="E654" s="143"/>
      <c r="F654" s="143"/>
      <c r="G654" s="143"/>
      <c r="H654" s="143"/>
      <c r="I654" s="143"/>
      <c r="J654" s="143"/>
      <c r="K654" s="143"/>
      <c r="L654" s="143"/>
    </row>
    <row r="655" spans="1:12" s="18" customFormat="1">
      <c r="A655" s="188"/>
      <c r="B655" s="144"/>
      <c r="C655" s="143"/>
      <c r="D655" s="143"/>
      <c r="E655" s="143"/>
      <c r="F655" s="143"/>
      <c r="G655" s="143"/>
      <c r="H655" s="143"/>
      <c r="I655" s="143"/>
      <c r="J655" s="143"/>
      <c r="K655" s="143"/>
      <c r="L655" s="143"/>
    </row>
    <row r="656" spans="1:12" s="18" customFormat="1">
      <c r="A656" s="145"/>
      <c r="B656" s="146"/>
      <c r="C656" s="143"/>
      <c r="D656" s="143"/>
      <c r="E656" s="143"/>
      <c r="F656" s="143"/>
      <c r="G656" s="143"/>
      <c r="H656" s="143"/>
      <c r="I656" s="143"/>
      <c r="J656" s="143"/>
      <c r="K656" s="143"/>
      <c r="L656" s="143"/>
    </row>
    <row r="657" spans="1:12" s="18" customFormat="1">
      <c r="A657" s="145"/>
      <c r="B657" s="146"/>
      <c r="C657" s="143"/>
      <c r="D657" s="143"/>
      <c r="E657" s="143"/>
      <c r="F657" s="143"/>
      <c r="G657" s="143"/>
      <c r="H657" s="143"/>
      <c r="I657" s="143"/>
      <c r="J657" s="143"/>
      <c r="K657" s="143"/>
      <c r="L657" s="143"/>
    </row>
    <row r="658" spans="1:12" s="18" customFormat="1">
      <c r="A658" s="145"/>
      <c r="B658" s="146"/>
      <c r="C658" s="143"/>
      <c r="D658" s="143"/>
      <c r="E658" s="143"/>
      <c r="F658" s="143"/>
      <c r="G658" s="143"/>
      <c r="H658" s="143"/>
      <c r="I658" s="143"/>
      <c r="J658" s="143"/>
      <c r="K658" s="143"/>
      <c r="L658" s="143"/>
    </row>
    <row r="659" spans="1:12" s="18" customFormat="1">
      <c r="A659" s="143"/>
      <c r="B659" s="171"/>
      <c r="C659" s="143"/>
      <c r="D659" s="143"/>
      <c r="E659" s="143"/>
      <c r="F659" s="143"/>
      <c r="G659" s="143"/>
      <c r="H659" s="143"/>
      <c r="I659" s="143"/>
      <c r="J659" s="143"/>
      <c r="K659" s="143"/>
      <c r="L659" s="143"/>
    </row>
    <row r="660" spans="1:12" s="18" customFormat="1">
      <c r="A660" s="143"/>
      <c r="B660" s="143"/>
      <c r="C660" s="143"/>
      <c r="D660" s="143"/>
      <c r="E660" s="143"/>
      <c r="F660" s="143"/>
      <c r="G660" s="143"/>
      <c r="H660" s="143"/>
      <c r="I660" s="143"/>
      <c r="J660" s="143"/>
      <c r="K660" s="143"/>
      <c r="L660" s="143"/>
    </row>
    <row r="661" spans="1:12" s="18" customFormat="1">
      <c r="A661" s="143"/>
      <c r="B661" s="143"/>
      <c r="C661" s="143"/>
      <c r="D661" s="143"/>
      <c r="E661" s="143"/>
      <c r="F661" s="143"/>
      <c r="G661" s="143"/>
      <c r="H661" s="143"/>
      <c r="I661" s="143"/>
      <c r="J661" s="143"/>
      <c r="K661" s="143"/>
      <c r="L661" s="143"/>
    </row>
    <row r="662" spans="1:12" s="18" customFormat="1">
      <c r="A662" s="143"/>
      <c r="B662" s="143"/>
      <c r="C662" s="143"/>
      <c r="D662" s="143"/>
      <c r="E662" s="143"/>
      <c r="F662" s="143"/>
      <c r="G662" s="143"/>
      <c r="H662" s="143"/>
      <c r="I662" s="143"/>
      <c r="J662" s="143"/>
      <c r="K662" s="143"/>
      <c r="L662" s="143"/>
    </row>
    <row r="663" spans="1:12" s="18" customFormat="1">
      <c r="A663" s="143"/>
      <c r="B663" s="143"/>
      <c r="C663" s="143"/>
      <c r="D663" s="143"/>
      <c r="E663" s="143"/>
      <c r="F663" s="143"/>
      <c r="G663" s="143"/>
      <c r="H663" s="143"/>
      <c r="I663" s="143"/>
      <c r="J663" s="143"/>
      <c r="K663" s="143"/>
      <c r="L663" s="143"/>
    </row>
    <row r="664" spans="1:12" s="18" customFormat="1">
      <c r="A664" s="143"/>
      <c r="B664" s="143"/>
      <c r="C664" s="143"/>
      <c r="D664" s="143"/>
      <c r="E664" s="143"/>
      <c r="F664" s="143"/>
      <c r="G664" s="143"/>
      <c r="H664" s="143"/>
      <c r="I664" s="143"/>
      <c r="J664" s="143"/>
      <c r="K664" s="143"/>
      <c r="L664" s="143"/>
    </row>
    <row r="665" spans="1:12" s="18" customFormat="1">
      <c r="A665" s="143"/>
      <c r="B665" s="143"/>
      <c r="C665" s="143"/>
      <c r="D665" s="143"/>
      <c r="E665" s="143"/>
      <c r="F665" s="143"/>
      <c r="G665" s="143"/>
      <c r="H665" s="143"/>
      <c r="I665" s="143"/>
      <c r="J665" s="143"/>
      <c r="K665" s="143"/>
      <c r="L665" s="143"/>
    </row>
    <row r="666" spans="1:12" s="18" customFormat="1">
      <c r="A666" s="143"/>
      <c r="B666" s="143"/>
      <c r="C666" s="143"/>
      <c r="D666" s="143"/>
      <c r="E666" s="143"/>
      <c r="F666" s="143"/>
      <c r="G666" s="143"/>
      <c r="H666" s="143"/>
      <c r="I666" s="143"/>
      <c r="J666" s="143"/>
      <c r="K666" s="143"/>
      <c r="L666" s="143"/>
    </row>
    <row r="667" spans="1:12" s="18" customFormat="1">
      <c r="A667" s="143"/>
      <c r="B667" s="143"/>
      <c r="C667" s="143"/>
      <c r="D667" s="143"/>
      <c r="E667" s="143"/>
      <c r="F667" s="143"/>
      <c r="G667" s="143"/>
      <c r="H667" s="143"/>
      <c r="I667" s="143"/>
      <c r="J667" s="143"/>
      <c r="K667" s="143"/>
      <c r="L667" s="143"/>
    </row>
    <row r="668" spans="1:12" s="18" customFormat="1">
      <c r="A668" s="143"/>
      <c r="B668" s="143"/>
      <c r="C668" s="143"/>
      <c r="D668" s="143"/>
      <c r="E668" s="143"/>
      <c r="F668" s="143"/>
      <c r="G668" s="143"/>
      <c r="H668" s="143"/>
      <c r="I668" s="143"/>
      <c r="J668" s="143"/>
      <c r="K668" s="143"/>
      <c r="L668" s="143"/>
    </row>
    <row r="669" spans="1:12" s="18" customFormat="1">
      <c r="A669" s="143"/>
      <c r="B669" s="143"/>
      <c r="C669" s="143"/>
      <c r="D669" s="143"/>
      <c r="E669" s="143"/>
      <c r="F669" s="143"/>
      <c r="G669" s="143"/>
      <c r="H669" s="143"/>
      <c r="I669" s="143"/>
      <c r="J669" s="143"/>
      <c r="K669" s="143"/>
      <c r="L669" s="143"/>
    </row>
    <row r="670" spans="1:12" s="18" customFormat="1">
      <c r="A670" s="143"/>
      <c r="B670" s="143"/>
      <c r="C670" s="143"/>
      <c r="D670" s="143"/>
      <c r="E670" s="143"/>
      <c r="F670" s="143"/>
      <c r="G670" s="143"/>
      <c r="H670" s="143"/>
      <c r="I670" s="143"/>
      <c r="J670" s="143"/>
      <c r="K670" s="143"/>
      <c r="L670" s="143"/>
    </row>
    <row r="671" spans="1:12" s="18" customFormat="1">
      <c r="A671" s="143"/>
      <c r="B671" s="143"/>
      <c r="C671" s="143"/>
      <c r="D671" s="143"/>
      <c r="E671" s="143"/>
      <c r="F671" s="143"/>
      <c r="G671" s="143"/>
      <c r="H671" s="143"/>
      <c r="I671" s="143"/>
      <c r="J671" s="143"/>
      <c r="K671" s="143"/>
      <c r="L671" s="143"/>
    </row>
    <row r="672" spans="1:12" s="18" customFormat="1">
      <c r="A672" s="143"/>
      <c r="B672" s="143"/>
      <c r="C672" s="143"/>
      <c r="D672" s="143"/>
      <c r="E672" s="143"/>
      <c r="F672" s="143"/>
      <c r="G672" s="143"/>
      <c r="H672" s="143"/>
      <c r="I672" s="143"/>
      <c r="J672" s="143"/>
      <c r="K672" s="143"/>
      <c r="L672" s="143"/>
    </row>
    <row r="673" spans="1:12" s="18" customFormat="1">
      <c r="A673" s="143"/>
      <c r="B673" s="143"/>
      <c r="C673" s="143"/>
      <c r="D673" s="143"/>
      <c r="E673" s="143"/>
      <c r="F673" s="143"/>
      <c r="G673" s="143"/>
      <c r="H673" s="143"/>
      <c r="I673" s="143"/>
      <c r="J673" s="143"/>
      <c r="K673" s="143"/>
      <c r="L673" s="143"/>
    </row>
    <row r="674" spans="1:12" s="18" customFormat="1">
      <c r="A674" s="143"/>
      <c r="B674" s="143"/>
      <c r="C674" s="143"/>
      <c r="D674" s="143"/>
      <c r="E674" s="143"/>
      <c r="F674" s="143"/>
      <c r="G674" s="143"/>
      <c r="H674" s="143"/>
      <c r="I674" s="143"/>
      <c r="J674" s="143"/>
      <c r="K674" s="143"/>
      <c r="L674" s="143"/>
    </row>
    <row r="675" spans="1:12" s="18" customFormat="1">
      <c r="A675" s="143"/>
      <c r="B675" s="143"/>
      <c r="C675" s="143"/>
      <c r="D675" s="143"/>
      <c r="E675" s="143"/>
      <c r="F675" s="143"/>
      <c r="G675" s="143"/>
      <c r="H675" s="143"/>
      <c r="I675" s="143"/>
      <c r="J675" s="143"/>
      <c r="K675" s="143"/>
      <c r="L675" s="143"/>
    </row>
    <row r="676" spans="1:12" s="18" customFormat="1">
      <c r="A676" s="143"/>
      <c r="B676" s="143"/>
      <c r="C676" s="143"/>
      <c r="D676" s="143"/>
      <c r="E676" s="143"/>
      <c r="F676" s="143"/>
      <c r="G676" s="143"/>
      <c r="H676" s="143"/>
      <c r="I676" s="143"/>
      <c r="J676" s="143"/>
      <c r="K676" s="143"/>
      <c r="L676" s="143"/>
    </row>
    <row r="677" spans="1:12" s="18" customFormat="1">
      <c r="A677" s="143"/>
      <c r="B677" s="143"/>
      <c r="C677" s="143"/>
      <c r="D677" s="143"/>
      <c r="E677" s="143"/>
      <c r="F677" s="143"/>
      <c r="G677" s="143"/>
      <c r="H677" s="143"/>
      <c r="I677" s="143"/>
      <c r="J677" s="143"/>
      <c r="K677" s="143"/>
      <c r="L677" s="143"/>
    </row>
    <row r="678" spans="1:12" s="18" customFormat="1">
      <c r="A678" s="143"/>
      <c r="B678" s="143"/>
      <c r="C678" s="143"/>
      <c r="D678" s="143"/>
      <c r="E678" s="143"/>
      <c r="F678" s="143"/>
      <c r="G678" s="143"/>
      <c r="H678" s="143"/>
      <c r="I678" s="143"/>
      <c r="J678" s="143"/>
      <c r="K678" s="143"/>
      <c r="L678" s="143"/>
    </row>
    <row r="679" spans="1:12" s="18" customFormat="1">
      <c r="A679" s="143"/>
      <c r="B679" s="143"/>
      <c r="C679" s="143"/>
      <c r="D679" s="143"/>
      <c r="E679" s="143"/>
      <c r="F679" s="143"/>
      <c r="G679" s="143"/>
      <c r="H679" s="143"/>
      <c r="I679" s="143"/>
      <c r="J679" s="143"/>
      <c r="K679" s="143"/>
      <c r="L679" s="143"/>
    </row>
    <row r="680" spans="1:12" s="18" customFormat="1">
      <c r="A680" s="143"/>
      <c r="B680" s="143"/>
      <c r="C680" s="143"/>
      <c r="D680" s="143"/>
      <c r="E680" s="143"/>
      <c r="F680" s="143"/>
      <c r="G680" s="143"/>
      <c r="H680" s="143"/>
      <c r="I680" s="143"/>
      <c r="J680" s="143"/>
      <c r="K680" s="143"/>
      <c r="L680" s="143"/>
    </row>
    <row r="681" spans="1:12" s="18" customFormat="1">
      <c r="A681" s="143"/>
      <c r="B681" s="143"/>
      <c r="C681" s="143"/>
      <c r="D681" s="143"/>
      <c r="E681" s="143"/>
      <c r="F681" s="143"/>
      <c r="G681" s="143"/>
      <c r="H681" s="143"/>
      <c r="I681" s="143"/>
      <c r="J681" s="143"/>
      <c r="K681" s="143"/>
      <c r="L681" s="143"/>
    </row>
    <row r="682" spans="1:12" s="18" customFormat="1">
      <c r="A682" s="143"/>
      <c r="B682" s="143"/>
      <c r="C682" s="143"/>
      <c r="D682" s="143"/>
      <c r="E682" s="143"/>
      <c r="F682" s="143"/>
      <c r="G682" s="143"/>
      <c r="H682" s="143"/>
      <c r="I682" s="143"/>
      <c r="J682" s="143"/>
      <c r="K682" s="143"/>
      <c r="L682" s="143"/>
    </row>
    <row r="683" spans="1:12" s="18" customFormat="1">
      <c r="A683" s="143"/>
      <c r="B683" s="143"/>
      <c r="C683" s="143"/>
      <c r="D683" s="143"/>
      <c r="E683" s="143"/>
      <c r="F683" s="143"/>
      <c r="G683" s="143"/>
      <c r="H683" s="143"/>
      <c r="I683" s="143"/>
      <c r="J683" s="143"/>
      <c r="K683" s="143"/>
      <c r="L683" s="143"/>
    </row>
    <row r="684" spans="1:12" s="18" customFormat="1">
      <c r="A684" s="143"/>
      <c r="B684" s="143"/>
      <c r="C684" s="143"/>
      <c r="D684" s="143"/>
      <c r="E684" s="143"/>
      <c r="F684" s="143"/>
      <c r="G684" s="143"/>
      <c r="H684" s="143"/>
      <c r="I684" s="143"/>
      <c r="J684" s="143"/>
      <c r="K684" s="143"/>
      <c r="L684" s="143"/>
    </row>
    <row r="685" spans="1:12" s="18" customFormat="1">
      <c r="A685" s="143"/>
      <c r="B685" s="143"/>
      <c r="C685" s="143"/>
      <c r="D685" s="143"/>
      <c r="E685" s="143"/>
      <c r="F685" s="143"/>
      <c r="G685" s="143"/>
      <c r="H685" s="143"/>
      <c r="I685" s="143"/>
      <c r="J685" s="143"/>
      <c r="K685" s="143"/>
      <c r="L685" s="143"/>
    </row>
    <row r="686" spans="1:12" s="18" customFormat="1">
      <c r="A686" s="143"/>
      <c r="B686" s="143"/>
      <c r="C686" s="143"/>
      <c r="D686" s="143"/>
      <c r="E686" s="143"/>
      <c r="F686" s="143"/>
      <c r="G686" s="143"/>
      <c r="H686" s="143"/>
      <c r="I686" s="143"/>
      <c r="J686" s="143"/>
      <c r="K686" s="143"/>
      <c r="L686" s="143"/>
    </row>
    <row r="687" spans="1:12" s="18" customFormat="1">
      <c r="A687" s="143"/>
      <c r="B687" s="143"/>
      <c r="C687" s="143"/>
      <c r="D687" s="143"/>
      <c r="E687" s="143"/>
      <c r="F687" s="143"/>
      <c r="G687" s="143"/>
      <c r="H687" s="143"/>
      <c r="I687" s="143"/>
      <c r="J687" s="143"/>
      <c r="K687" s="143"/>
      <c r="L687" s="143"/>
    </row>
    <row r="688" spans="1:12" s="18" customFormat="1">
      <c r="A688" s="143"/>
      <c r="B688" s="143"/>
      <c r="C688" s="143"/>
      <c r="D688" s="143"/>
      <c r="E688" s="143"/>
      <c r="F688" s="143"/>
      <c r="G688" s="143"/>
      <c r="H688" s="143"/>
      <c r="I688" s="143"/>
      <c r="J688" s="143"/>
      <c r="K688" s="143"/>
      <c r="L688" s="143"/>
    </row>
    <row r="689" spans="1:12" s="18" customFormat="1">
      <c r="A689" s="143"/>
      <c r="B689" s="143"/>
      <c r="C689" s="143"/>
      <c r="D689" s="143"/>
      <c r="E689" s="143"/>
      <c r="F689" s="143"/>
      <c r="G689" s="143"/>
      <c r="H689" s="143"/>
      <c r="I689" s="143"/>
      <c r="J689" s="143"/>
      <c r="K689" s="143"/>
      <c r="L689" s="143"/>
    </row>
    <row r="690" spans="1:12" s="18" customFormat="1">
      <c r="A690" s="143"/>
      <c r="B690" s="143"/>
      <c r="C690" s="143"/>
      <c r="D690" s="143"/>
      <c r="E690" s="143"/>
      <c r="F690" s="143"/>
      <c r="G690" s="143"/>
      <c r="H690" s="143"/>
      <c r="I690" s="143"/>
      <c r="J690" s="143"/>
      <c r="K690" s="143"/>
      <c r="L690" s="143"/>
    </row>
    <row r="691" spans="1:12" s="18" customFormat="1">
      <c r="A691" s="143"/>
      <c r="B691" s="143"/>
      <c r="C691" s="143"/>
      <c r="D691" s="143"/>
      <c r="E691" s="143"/>
      <c r="F691" s="143"/>
      <c r="G691" s="143"/>
      <c r="H691" s="143"/>
      <c r="I691" s="143"/>
      <c r="J691" s="143"/>
      <c r="K691" s="143"/>
      <c r="L691" s="143"/>
    </row>
  </sheetData>
  <mergeCells count="641">
    <mergeCell ref="A1:B1"/>
    <mergeCell ref="H369:I369"/>
    <mergeCell ref="H370:I370"/>
    <mergeCell ref="H371:I371"/>
    <mergeCell ref="H372:I372"/>
    <mergeCell ref="H373:I373"/>
    <mergeCell ref="H374:I374"/>
    <mergeCell ref="H638:I638"/>
    <mergeCell ref="H63:I63"/>
    <mergeCell ref="H64:I64"/>
    <mergeCell ref="H65:I65"/>
    <mergeCell ref="H91:I91"/>
    <mergeCell ref="H92:I92"/>
    <mergeCell ref="H86:I86"/>
    <mergeCell ref="H76:I76"/>
    <mergeCell ref="H77:I77"/>
    <mergeCell ref="H78:I78"/>
    <mergeCell ref="H79:I79"/>
    <mergeCell ref="H80:I80"/>
    <mergeCell ref="H81:I81"/>
    <mergeCell ref="H82:I82"/>
    <mergeCell ref="H83:I83"/>
    <mergeCell ref="H84:I84"/>
    <mergeCell ref="H69:I69"/>
    <mergeCell ref="H156:I156"/>
    <mergeCell ref="H368:I368"/>
    <mergeCell ref="H90:I90"/>
    <mergeCell ref="H143:I143"/>
    <mergeCell ref="H144:I144"/>
    <mergeCell ref="H145:I145"/>
    <mergeCell ref="H146:I146"/>
    <mergeCell ref="H147:I147"/>
    <mergeCell ref="H133:I133"/>
    <mergeCell ref="H134:I134"/>
    <mergeCell ref="H138:I138"/>
    <mergeCell ref="H139:I139"/>
    <mergeCell ref="H140:I140"/>
    <mergeCell ref="H137:I137"/>
    <mergeCell ref="H163:I163"/>
    <mergeCell ref="H164:I164"/>
    <mergeCell ref="H155:I155"/>
    <mergeCell ref="H157:I157"/>
    <mergeCell ref="H158:I158"/>
    <mergeCell ref="H159:I159"/>
    <mergeCell ref="H148:I148"/>
    <mergeCell ref="H149:I149"/>
    <mergeCell ref="H150:I150"/>
    <mergeCell ref="H153:I153"/>
    <mergeCell ref="H154:I154"/>
    <mergeCell ref="B87:G87"/>
    <mergeCell ref="H87:I87"/>
    <mergeCell ref="H129:I129"/>
    <mergeCell ref="H94:I94"/>
    <mergeCell ref="H95:I95"/>
    <mergeCell ref="H96:I96"/>
    <mergeCell ref="H97:I97"/>
    <mergeCell ref="H98:I98"/>
    <mergeCell ref="H99:I99"/>
    <mergeCell ref="H100:I100"/>
    <mergeCell ref="H101:I101"/>
    <mergeCell ref="H102:I102"/>
    <mergeCell ref="B103:G103"/>
    <mergeCell ref="B104:G104"/>
    <mergeCell ref="H105:I105"/>
    <mergeCell ref="H106:I106"/>
    <mergeCell ref="H107:I107"/>
    <mergeCell ref="H114:I114"/>
    <mergeCell ref="H108:I108"/>
    <mergeCell ref="H109:I109"/>
    <mergeCell ref="H110:I110"/>
    <mergeCell ref="H88:I88"/>
    <mergeCell ref="H89:I89"/>
    <mergeCell ref="H93:I93"/>
    <mergeCell ref="H12:I12"/>
    <mergeCell ref="H13:I13"/>
    <mergeCell ref="H14:I14"/>
    <mergeCell ref="H66:I66"/>
    <mergeCell ref="H23:I23"/>
    <mergeCell ref="H24:I24"/>
    <mergeCell ref="H25:I25"/>
    <mergeCell ref="H26:I26"/>
    <mergeCell ref="H68:I68"/>
    <mergeCell ref="H32:I32"/>
    <mergeCell ref="H15:I15"/>
    <mergeCell ref="H16:I16"/>
    <mergeCell ref="H17:I17"/>
    <mergeCell ref="H18:I18"/>
    <mergeCell ref="H19:I19"/>
    <mergeCell ref="H20:I20"/>
    <mergeCell ref="H33:I33"/>
    <mergeCell ref="H34:I34"/>
    <mergeCell ref="H35:I35"/>
    <mergeCell ref="H36:I36"/>
    <mergeCell ref="H37:I37"/>
    <mergeCell ref="H38:I38"/>
    <mergeCell ref="H39:I39"/>
    <mergeCell ref="H40:I40"/>
    <mergeCell ref="H41:I41"/>
    <mergeCell ref="H57:I57"/>
    <mergeCell ref="H58:I58"/>
    <mergeCell ref="H59:I59"/>
    <mergeCell ref="H60:I60"/>
    <mergeCell ref="H61:I61"/>
    <mergeCell ref="H62:I62"/>
    <mergeCell ref="H42:I42"/>
    <mergeCell ref="H43:I43"/>
    <mergeCell ref="H56:I56"/>
    <mergeCell ref="H45:I45"/>
    <mergeCell ref="H46:I46"/>
    <mergeCell ref="H47:I47"/>
    <mergeCell ref="H48:I48"/>
    <mergeCell ref="H49:I49"/>
    <mergeCell ref="H50:I50"/>
    <mergeCell ref="H51:I51"/>
    <mergeCell ref="H52:I52"/>
    <mergeCell ref="H53:I53"/>
    <mergeCell ref="H54:I54"/>
    <mergeCell ref="H55:I55"/>
    <mergeCell ref="H44:I44"/>
    <mergeCell ref="H85:I85"/>
    <mergeCell ref="H70:I70"/>
    <mergeCell ref="H71:I71"/>
    <mergeCell ref="H72:I72"/>
    <mergeCell ref="H73:I73"/>
    <mergeCell ref="B67:G67"/>
    <mergeCell ref="H67:I67"/>
    <mergeCell ref="H74:I74"/>
    <mergeCell ref="H75:I75"/>
    <mergeCell ref="B2:D2"/>
    <mergeCell ref="E2:G4"/>
    <mergeCell ref="H2:I4"/>
    <mergeCell ref="A5:B6"/>
    <mergeCell ref="H5:I6"/>
    <mergeCell ref="F6:G6"/>
    <mergeCell ref="B10:G10"/>
    <mergeCell ref="C7:C8"/>
    <mergeCell ref="D7:D8"/>
    <mergeCell ref="E7:E8"/>
    <mergeCell ref="F7:F8"/>
    <mergeCell ref="G7:G8"/>
    <mergeCell ref="H7:I8"/>
    <mergeCell ref="B9:G9"/>
    <mergeCell ref="H11:I11"/>
    <mergeCell ref="H130:I130"/>
    <mergeCell ref="H131:I131"/>
    <mergeCell ref="H132:I132"/>
    <mergeCell ref="H124:I124"/>
    <mergeCell ref="H125:I125"/>
    <mergeCell ref="H126:I126"/>
    <mergeCell ref="H127:I127"/>
    <mergeCell ref="H128:I128"/>
    <mergeCell ref="H117:I117"/>
    <mergeCell ref="H118:I118"/>
    <mergeCell ref="H119:I119"/>
    <mergeCell ref="H120:I120"/>
    <mergeCell ref="H121:I121"/>
    <mergeCell ref="H111:I111"/>
    <mergeCell ref="H112:I112"/>
    <mergeCell ref="H113:I113"/>
    <mergeCell ref="H21:I21"/>
    <mergeCell ref="H22:I22"/>
    <mergeCell ref="H27:I27"/>
    <mergeCell ref="H28:I28"/>
    <mergeCell ref="H29:I29"/>
    <mergeCell ref="H30:I30"/>
    <mergeCell ref="H31:I31"/>
    <mergeCell ref="H179:I179"/>
    <mergeCell ref="H180:I180"/>
    <mergeCell ref="H651:I651"/>
    <mergeCell ref="B116:G116"/>
    <mergeCell ref="B123:G123"/>
    <mergeCell ref="B136:G136"/>
    <mergeCell ref="B142:G142"/>
    <mergeCell ref="B152:G152"/>
    <mergeCell ref="B170:G170"/>
    <mergeCell ref="B176:G176"/>
    <mergeCell ref="H181:I181"/>
    <mergeCell ref="H172:I172"/>
    <mergeCell ref="H173:I173"/>
    <mergeCell ref="H174:I174"/>
    <mergeCell ref="H177:I177"/>
    <mergeCell ref="H178:I178"/>
    <mergeCell ref="H165:I165"/>
    <mergeCell ref="H166:I166"/>
    <mergeCell ref="H167:I167"/>
    <mergeCell ref="H168:I168"/>
    <mergeCell ref="H171:I171"/>
    <mergeCell ref="H160:I160"/>
    <mergeCell ref="H161:I161"/>
    <mergeCell ref="H162:I162"/>
    <mergeCell ref="H200:I200"/>
    <mergeCell ref="H187:I187"/>
    <mergeCell ref="H188:I188"/>
    <mergeCell ref="H189:I189"/>
    <mergeCell ref="H190:I190"/>
    <mergeCell ref="H191:I191"/>
    <mergeCell ref="H182:I182"/>
    <mergeCell ref="H183:I183"/>
    <mergeCell ref="H184:I184"/>
    <mergeCell ref="H185:I185"/>
    <mergeCell ref="H186:I186"/>
    <mergeCell ref="H217:I217"/>
    <mergeCell ref="H218:I218"/>
    <mergeCell ref="H221:I221"/>
    <mergeCell ref="H222:I222"/>
    <mergeCell ref="H223:I223"/>
    <mergeCell ref="B193:G193"/>
    <mergeCell ref="B199:G199"/>
    <mergeCell ref="B203:G203"/>
    <mergeCell ref="B211:G211"/>
    <mergeCell ref="B215:G215"/>
    <mergeCell ref="H208:I208"/>
    <mergeCell ref="H209:I209"/>
    <mergeCell ref="H212:I212"/>
    <mergeCell ref="H213:I213"/>
    <mergeCell ref="H216:I216"/>
    <mergeCell ref="H201:I201"/>
    <mergeCell ref="H204:I204"/>
    <mergeCell ref="H205:I205"/>
    <mergeCell ref="H206:I206"/>
    <mergeCell ref="H207:I207"/>
    <mergeCell ref="H194:I194"/>
    <mergeCell ref="H195:I195"/>
    <mergeCell ref="H196:I196"/>
    <mergeCell ref="H197:I197"/>
    <mergeCell ref="H234:I234"/>
    <mergeCell ref="B220:G220"/>
    <mergeCell ref="H235:I235"/>
    <mergeCell ref="H236:I236"/>
    <mergeCell ref="H237:I237"/>
    <mergeCell ref="H229:I229"/>
    <mergeCell ref="H224:I224"/>
    <mergeCell ref="H225:I225"/>
    <mergeCell ref="H226:I226"/>
    <mergeCell ref="H227:I227"/>
    <mergeCell ref="H228:I228"/>
    <mergeCell ref="H243:I243"/>
    <mergeCell ref="H244:I244"/>
    <mergeCell ref="H245:I245"/>
    <mergeCell ref="H246:I246"/>
    <mergeCell ref="H247:I247"/>
    <mergeCell ref="H238:I238"/>
    <mergeCell ref="H239:I239"/>
    <mergeCell ref="H240:I240"/>
    <mergeCell ref="H241:I241"/>
    <mergeCell ref="H242:I242"/>
    <mergeCell ref="H253:I253"/>
    <mergeCell ref="H254:I254"/>
    <mergeCell ref="H255:I255"/>
    <mergeCell ref="H256:I256"/>
    <mergeCell ref="H257:I257"/>
    <mergeCell ref="H248:I248"/>
    <mergeCell ref="H249:I249"/>
    <mergeCell ref="H250:I250"/>
    <mergeCell ref="H251:I251"/>
    <mergeCell ref="H252:I252"/>
    <mergeCell ref="H263:I263"/>
    <mergeCell ref="H264:I264"/>
    <mergeCell ref="H265:I265"/>
    <mergeCell ref="H266:I266"/>
    <mergeCell ref="H267:I267"/>
    <mergeCell ref="H258:I258"/>
    <mergeCell ref="H259:I259"/>
    <mergeCell ref="H260:I260"/>
    <mergeCell ref="H261:I261"/>
    <mergeCell ref="H262:I262"/>
    <mergeCell ref="H273:I273"/>
    <mergeCell ref="H274:I274"/>
    <mergeCell ref="H275:I275"/>
    <mergeCell ref="H276:I276"/>
    <mergeCell ref="H277:I277"/>
    <mergeCell ref="H268:I268"/>
    <mergeCell ref="H269:I269"/>
    <mergeCell ref="H270:I270"/>
    <mergeCell ref="H271:I271"/>
    <mergeCell ref="H272:I272"/>
    <mergeCell ref="H283:I283"/>
    <mergeCell ref="H284:I284"/>
    <mergeCell ref="H285:I285"/>
    <mergeCell ref="H286:I286"/>
    <mergeCell ref="H287:I287"/>
    <mergeCell ref="H278:I278"/>
    <mergeCell ref="H279:I279"/>
    <mergeCell ref="H280:I280"/>
    <mergeCell ref="H281:I281"/>
    <mergeCell ref="H282:I282"/>
    <mergeCell ref="H293:I293"/>
    <mergeCell ref="H294:I294"/>
    <mergeCell ref="H295:I295"/>
    <mergeCell ref="H296:I296"/>
    <mergeCell ref="H297:I297"/>
    <mergeCell ref="H288:I288"/>
    <mergeCell ref="H289:I289"/>
    <mergeCell ref="H290:I290"/>
    <mergeCell ref="H291:I291"/>
    <mergeCell ref="H292:I292"/>
    <mergeCell ref="H303:I303"/>
    <mergeCell ref="H304:I304"/>
    <mergeCell ref="H305:I305"/>
    <mergeCell ref="H306:I306"/>
    <mergeCell ref="H307:I307"/>
    <mergeCell ref="H298:I298"/>
    <mergeCell ref="H299:I299"/>
    <mergeCell ref="H300:I300"/>
    <mergeCell ref="H301:I301"/>
    <mergeCell ref="H302:I302"/>
    <mergeCell ref="H313:I313"/>
    <mergeCell ref="H314:I314"/>
    <mergeCell ref="H315:I315"/>
    <mergeCell ref="H316:I316"/>
    <mergeCell ref="H317:I317"/>
    <mergeCell ref="H308:I308"/>
    <mergeCell ref="H309:I309"/>
    <mergeCell ref="H310:I310"/>
    <mergeCell ref="H311:I311"/>
    <mergeCell ref="H312:I312"/>
    <mergeCell ref="H323:I323"/>
    <mergeCell ref="H324:I324"/>
    <mergeCell ref="H325:I325"/>
    <mergeCell ref="H326:I326"/>
    <mergeCell ref="H327:I327"/>
    <mergeCell ref="H318:I318"/>
    <mergeCell ref="H319:I319"/>
    <mergeCell ref="H320:I320"/>
    <mergeCell ref="H321:I321"/>
    <mergeCell ref="H322:I322"/>
    <mergeCell ref="H333:I333"/>
    <mergeCell ref="H334:I334"/>
    <mergeCell ref="H335:I335"/>
    <mergeCell ref="H336:I336"/>
    <mergeCell ref="H337:I337"/>
    <mergeCell ref="H328:I328"/>
    <mergeCell ref="H329:I329"/>
    <mergeCell ref="H330:I330"/>
    <mergeCell ref="H331:I331"/>
    <mergeCell ref="H332:I332"/>
    <mergeCell ref="H343:I343"/>
    <mergeCell ref="H344:I344"/>
    <mergeCell ref="H345:I345"/>
    <mergeCell ref="H346:I346"/>
    <mergeCell ref="H347:I347"/>
    <mergeCell ref="H338:I338"/>
    <mergeCell ref="H339:I339"/>
    <mergeCell ref="H340:I340"/>
    <mergeCell ref="H341:I341"/>
    <mergeCell ref="H342:I342"/>
    <mergeCell ref="H353:I353"/>
    <mergeCell ref="H354:I354"/>
    <mergeCell ref="H355:I355"/>
    <mergeCell ref="H356:I356"/>
    <mergeCell ref="H357:I357"/>
    <mergeCell ref="H348:I348"/>
    <mergeCell ref="H349:I349"/>
    <mergeCell ref="H350:I350"/>
    <mergeCell ref="H351:I351"/>
    <mergeCell ref="H352:I352"/>
    <mergeCell ref="H363:I363"/>
    <mergeCell ref="H364:I364"/>
    <mergeCell ref="H365:I365"/>
    <mergeCell ref="H366:I366"/>
    <mergeCell ref="H367:I367"/>
    <mergeCell ref="H358:I358"/>
    <mergeCell ref="H359:I359"/>
    <mergeCell ref="H360:I360"/>
    <mergeCell ref="H361:I361"/>
    <mergeCell ref="H362:I362"/>
    <mergeCell ref="H388:I388"/>
    <mergeCell ref="H389:I389"/>
    <mergeCell ref="H392:I392"/>
    <mergeCell ref="H393:I393"/>
    <mergeCell ref="H394:I394"/>
    <mergeCell ref="H383:I383"/>
    <mergeCell ref="H384:I384"/>
    <mergeCell ref="H385:I385"/>
    <mergeCell ref="H386:I386"/>
    <mergeCell ref="H387:I387"/>
    <mergeCell ref="H400:I400"/>
    <mergeCell ref="H401:I401"/>
    <mergeCell ref="H402:I402"/>
    <mergeCell ref="H403:I403"/>
    <mergeCell ref="H404:I404"/>
    <mergeCell ref="H395:I395"/>
    <mergeCell ref="H396:I396"/>
    <mergeCell ref="H397:I397"/>
    <mergeCell ref="H398:I398"/>
    <mergeCell ref="H399:I399"/>
    <mergeCell ref="H410:I410"/>
    <mergeCell ref="H411:I411"/>
    <mergeCell ref="H412:I412"/>
    <mergeCell ref="H413:I413"/>
    <mergeCell ref="H414:I414"/>
    <mergeCell ref="H405:I405"/>
    <mergeCell ref="H406:I406"/>
    <mergeCell ref="H407:I407"/>
    <mergeCell ref="H408:I408"/>
    <mergeCell ref="H409:I409"/>
    <mergeCell ref="H420:I420"/>
    <mergeCell ref="H421:I421"/>
    <mergeCell ref="H422:I422"/>
    <mergeCell ref="H423:I423"/>
    <mergeCell ref="H424:I424"/>
    <mergeCell ref="H415:I415"/>
    <mergeCell ref="H416:I416"/>
    <mergeCell ref="H417:I417"/>
    <mergeCell ref="H418:I418"/>
    <mergeCell ref="H419:I419"/>
    <mergeCell ref="H430:I430"/>
    <mergeCell ref="H431:I431"/>
    <mergeCell ref="H432:I432"/>
    <mergeCell ref="H433:I433"/>
    <mergeCell ref="H434:I434"/>
    <mergeCell ref="H425:I425"/>
    <mergeCell ref="H426:I426"/>
    <mergeCell ref="H427:I427"/>
    <mergeCell ref="H428:I428"/>
    <mergeCell ref="H429:I429"/>
    <mergeCell ref="H440:I440"/>
    <mergeCell ref="H441:I441"/>
    <mergeCell ref="H442:I442"/>
    <mergeCell ref="H443:I443"/>
    <mergeCell ref="H444:I444"/>
    <mergeCell ref="H435:I435"/>
    <mergeCell ref="H436:I436"/>
    <mergeCell ref="H437:I437"/>
    <mergeCell ref="H438:I438"/>
    <mergeCell ref="H439:I439"/>
    <mergeCell ref="H451:I451"/>
    <mergeCell ref="H452:I452"/>
    <mergeCell ref="H453:I453"/>
    <mergeCell ref="H454:I454"/>
    <mergeCell ref="H445:I445"/>
    <mergeCell ref="H446:I446"/>
    <mergeCell ref="H447:I447"/>
    <mergeCell ref="H448:I448"/>
    <mergeCell ref="H449:I449"/>
    <mergeCell ref="H462:I462"/>
    <mergeCell ref="H463:I463"/>
    <mergeCell ref="H464:I464"/>
    <mergeCell ref="H465:I465"/>
    <mergeCell ref="H466:I466"/>
    <mergeCell ref="H460:I460"/>
    <mergeCell ref="H461:I461"/>
    <mergeCell ref="B382:G382"/>
    <mergeCell ref="H230:I230"/>
    <mergeCell ref="H231:I231"/>
    <mergeCell ref="H232:I232"/>
    <mergeCell ref="H233:I233"/>
    <mergeCell ref="B376:G376"/>
    <mergeCell ref="H377:I377"/>
    <mergeCell ref="H378:I378"/>
    <mergeCell ref="H379:I379"/>
    <mergeCell ref="H380:I380"/>
    <mergeCell ref="B391:G391"/>
    <mergeCell ref="H455:I455"/>
    <mergeCell ref="H456:I456"/>
    <mergeCell ref="H457:I457"/>
    <mergeCell ref="H458:I458"/>
    <mergeCell ref="H459:I459"/>
    <mergeCell ref="H450:I450"/>
    <mergeCell ref="H472:I472"/>
    <mergeCell ref="H473:I473"/>
    <mergeCell ref="H474:I474"/>
    <mergeCell ref="H475:I475"/>
    <mergeCell ref="H476:I476"/>
    <mergeCell ref="H467:I467"/>
    <mergeCell ref="H468:I468"/>
    <mergeCell ref="H469:I469"/>
    <mergeCell ref="H470:I470"/>
    <mergeCell ref="H471:I471"/>
    <mergeCell ref="H482:I482"/>
    <mergeCell ref="H483:I483"/>
    <mergeCell ref="H484:I484"/>
    <mergeCell ref="H485:I485"/>
    <mergeCell ref="H486:I486"/>
    <mergeCell ref="H477:I477"/>
    <mergeCell ref="H478:I478"/>
    <mergeCell ref="H479:I479"/>
    <mergeCell ref="H480:I480"/>
    <mergeCell ref="H481:I481"/>
    <mergeCell ref="H492:I492"/>
    <mergeCell ref="H493:I493"/>
    <mergeCell ref="H494:I494"/>
    <mergeCell ref="H495:I495"/>
    <mergeCell ref="H496:I496"/>
    <mergeCell ref="H487:I487"/>
    <mergeCell ref="H488:I488"/>
    <mergeCell ref="H489:I489"/>
    <mergeCell ref="H490:I490"/>
    <mergeCell ref="H491:I491"/>
    <mergeCell ref="H502:I502"/>
    <mergeCell ref="H503:I503"/>
    <mergeCell ref="H504:I504"/>
    <mergeCell ref="H505:I505"/>
    <mergeCell ref="H506:I506"/>
    <mergeCell ref="H497:I497"/>
    <mergeCell ref="H498:I498"/>
    <mergeCell ref="H499:I499"/>
    <mergeCell ref="H500:I500"/>
    <mergeCell ref="H501:I501"/>
    <mergeCell ref="H512:I512"/>
    <mergeCell ref="H513:I513"/>
    <mergeCell ref="H514:I514"/>
    <mergeCell ref="H515:I515"/>
    <mergeCell ref="H516:I516"/>
    <mergeCell ref="H507:I507"/>
    <mergeCell ref="H508:I508"/>
    <mergeCell ref="H509:I509"/>
    <mergeCell ref="H510:I510"/>
    <mergeCell ref="H511:I511"/>
    <mergeCell ref="H522:I522"/>
    <mergeCell ref="H523:I523"/>
    <mergeCell ref="H524:I524"/>
    <mergeCell ref="H525:I525"/>
    <mergeCell ref="H526:I526"/>
    <mergeCell ref="H517:I517"/>
    <mergeCell ref="H518:I518"/>
    <mergeCell ref="H519:I519"/>
    <mergeCell ref="H520:I520"/>
    <mergeCell ref="H521:I521"/>
    <mergeCell ref="H532:I532"/>
    <mergeCell ref="H533:I533"/>
    <mergeCell ref="H534:I534"/>
    <mergeCell ref="H535:I535"/>
    <mergeCell ref="H536:I536"/>
    <mergeCell ref="H527:I527"/>
    <mergeCell ref="H528:I528"/>
    <mergeCell ref="H529:I529"/>
    <mergeCell ref="H530:I530"/>
    <mergeCell ref="H531:I531"/>
    <mergeCell ref="H542:I542"/>
    <mergeCell ref="H543:I543"/>
    <mergeCell ref="H544:I544"/>
    <mergeCell ref="H545:I545"/>
    <mergeCell ref="H546:I546"/>
    <mergeCell ref="H537:I537"/>
    <mergeCell ref="H538:I538"/>
    <mergeCell ref="H539:I539"/>
    <mergeCell ref="H540:I540"/>
    <mergeCell ref="H541:I541"/>
    <mergeCell ref="H552:I552"/>
    <mergeCell ref="H553:I553"/>
    <mergeCell ref="H554:I554"/>
    <mergeCell ref="H555:I555"/>
    <mergeCell ref="H556:I556"/>
    <mergeCell ref="H547:I547"/>
    <mergeCell ref="H548:I548"/>
    <mergeCell ref="H549:I549"/>
    <mergeCell ref="H550:I550"/>
    <mergeCell ref="H551:I551"/>
    <mergeCell ref="H562:I562"/>
    <mergeCell ref="H563:I563"/>
    <mergeCell ref="H564:I564"/>
    <mergeCell ref="H565:I565"/>
    <mergeCell ref="H566:I566"/>
    <mergeCell ref="H557:I557"/>
    <mergeCell ref="H558:I558"/>
    <mergeCell ref="H559:I559"/>
    <mergeCell ref="H560:I560"/>
    <mergeCell ref="H561:I561"/>
    <mergeCell ref="H572:I572"/>
    <mergeCell ref="H573:I573"/>
    <mergeCell ref="H574:I574"/>
    <mergeCell ref="H575:I575"/>
    <mergeCell ref="H576:I576"/>
    <mergeCell ref="H567:I567"/>
    <mergeCell ref="H568:I568"/>
    <mergeCell ref="H569:I569"/>
    <mergeCell ref="H570:I570"/>
    <mergeCell ref="H571:I571"/>
    <mergeCell ref="H582:I582"/>
    <mergeCell ref="H583:I583"/>
    <mergeCell ref="H584:I584"/>
    <mergeCell ref="H585:I585"/>
    <mergeCell ref="H586:I586"/>
    <mergeCell ref="H577:I577"/>
    <mergeCell ref="H578:I578"/>
    <mergeCell ref="H579:I579"/>
    <mergeCell ref="H580:I580"/>
    <mergeCell ref="H581:I581"/>
    <mergeCell ref="H592:I592"/>
    <mergeCell ref="H593:I593"/>
    <mergeCell ref="H594:I594"/>
    <mergeCell ref="H595:I595"/>
    <mergeCell ref="H596:I596"/>
    <mergeCell ref="H587:I587"/>
    <mergeCell ref="H588:I588"/>
    <mergeCell ref="H589:I589"/>
    <mergeCell ref="H590:I590"/>
    <mergeCell ref="H591:I591"/>
    <mergeCell ref="H602:I602"/>
    <mergeCell ref="H603:I603"/>
    <mergeCell ref="H604:I604"/>
    <mergeCell ref="H605:I605"/>
    <mergeCell ref="H606:I606"/>
    <mergeCell ref="H597:I597"/>
    <mergeCell ref="H598:I598"/>
    <mergeCell ref="H599:I599"/>
    <mergeCell ref="H600:I600"/>
    <mergeCell ref="H601:I601"/>
    <mergeCell ref="H612:I612"/>
    <mergeCell ref="H613:I613"/>
    <mergeCell ref="H614:I614"/>
    <mergeCell ref="H615:I615"/>
    <mergeCell ref="H616:I616"/>
    <mergeCell ref="H607:I607"/>
    <mergeCell ref="H608:I608"/>
    <mergeCell ref="H609:I609"/>
    <mergeCell ref="H610:I610"/>
    <mergeCell ref="H611:I611"/>
    <mergeCell ref="H650:I650"/>
    <mergeCell ref="H641:I641"/>
    <mergeCell ref="H642:I642"/>
    <mergeCell ref="H643:I643"/>
    <mergeCell ref="H644:I644"/>
    <mergeCell ref="H645:I645"/>
    <mergeCell ref="H632:I632"/>
    <mergeCell ref="H636:I636"/>
    <mergeCell ref="H637:I637"/>
    <mergeCell ref="H639:I639"/>
    <mergeCell ref="H640:I640"/>
    <mergeCell ref="B634:G634"/>
    <mergeCell ref="H635:I635"/>
    <mergeCell ref="H646:I646"/>
    <mergeCell ref="H647:I647"/>
    <mergeCell ref="H648:I648"/>
    <mergeCell ref="H649:I649"/>
    <mergeCell ref="H627:I627"/>
    <mergeCell ref="H628:I628"/>
    <mergeCell ref="H629:I629"/>
    <mergeCell ref="H630:I630"/>
    <mergeCell ref="H631:I631"/>
    <mergeCell ref="H622:I622"/>
    <mergeCell ref="H623:I623"/>
    <mergeCell ref="H624:I624"/>
    <mergeCell ref="H625:I625"/>
    <mergeCell ref="H626:I626"/>
    <mergeCell ref="H617:I617"/>
    <mergeCell ref="H618:I618"/>
    <mergeCell ref="H619:I619"/>
    <mergeCell ref="H620:I620"/>
    <mergeCell ref="H621:I621"/>
  </mergeCells>
  <printOptions gridLines="1"/>
  <pageMargins left="0.75" right="0.75" top="1" bottom="1" header="0.5" footer="0.5"/>
  <pageSetup scale="65" orientation="landscape" r:id="rId1"/>
  <headerFooter>
    <oddHeader>&amp;L&amp;F&amp;C&amp;A&amp;R&amp;G</oddHeader>
    <oddFooter>&amp;C&amp;"Tahoma,Italic"Use or disclosure of the data on this page or screen is subject to the restrictions on the title page or opening view screen of this proposal document or file.&amp;R&amp;P of &amp;N</oddFooter>
  </headerFooter>
  <ignoredErrors>
    <ignoredError sqref="E253 E274:E275 E277 E279:E280 E283:E284 E286 E288:E289 E291 E293:E294 E297:E298 E300 E302:E303 E306:E307 E310:E311 E313 E315:E316 E318 E320:E321 E324:E325 E328:E329 E332:E333 E335 E338:E340 E342 E344:E345 E347 E349:E350 E352 E354:E355 E357 E359:E360 E362 E364:E365 E367 E392:E632 E383:E389 E639:E642 E258:E270 E637" unlockedFormula="1"/>
  </ignoredErrors>
  <legacyDrawingHF r:id="rId2"/>
</worksheet>
</file>

<file path=xl/worksheets/sheet22.xml><?xml version="1.0" encoding="utf-8"?>
<worksheet xmlns="http://schemas.openxmlformats.org/spreadsheetml/2006/main" xmlns:r="http://schemas.openxmlformats.org/officeDocument/2006/relationships">
  <sheetPr>
    <tabColor theme="3" tint="0.79998168889431442"/>
  </sheetPr>
  <dimension ref="A1:O92"/>
  <sheetViews>
    <sheetView zoomScaleNormal="100" workbookViewId="0">
      <selection activeCell="A2" sqref="A2"/>
    </sheetView>
  </sheetViews>
  <sheetFormatPr defaultRowHeight="10.5"/>
  <cols>
    <col min="1" max="1" width="16.83203125" style="143" customWidth="1"/>
    <col min="2" max="2" width="36.6640625" style="143" customWidth="1"/>
    <col min="3" max="3" width="17.5" style="143" customWidth="1"/>
    <col min="4" max="4" width="14.5" style="143" hidden="1" customWidth="1"/>
    <col min="5" max="5" width="12.33203125" style="143" bestFit="1" customWidth="1"/>
    <col min="6" max="6" width="14.33203125" style="143" customWidth="1"/>
    <col min="7" max="7" width="15" style="143" hidden="1" customWidth="1"/>
    <col min="8" max="8" width="10.83203125" style="143" customWidth="1"/>
    <col min="9" max="9" width="21.5" style="143" customWidth="1"/>
    <col min="10" max="10" width="31" style="143" customWidth="1"/>
    <col min="11" max="12" width="9.33203125" style="143"/>
  </cols>
  <sheetData>
    <row r="1" spans="1:15" ht="15" customHeight="1">
      <c r="A1" s="1545" t="s">
        <v>424</v>
      </c>
      <c r="B1" s="1546"/>
      <c r="C1" s="226"/>
      <c r="D1" s="226"/>
      <c r="E1" s="226"/>
      <c r="F1" s="226"/>
      <c r="G1" s="226"/>
      <c r="H1" s="226"/>
      <c r="I1" s="226"/>
      <c r="J1" s="627"/>
      <c r="K1" s="133"/>
      <c r="L1" s="133"/>
      <c r="M1" s="8"/>
      <c r="N1" s="8"/>
      <c r="O1" s="8"/>
    </row>
    <row r="2" spans="1:15" s="81" customFormat="1" ht="39.75" customHeight="1">
      <c r="A2" s="379"/>
      <c r="B2" s="1339" t="s">
        <v>370</v>
      </c>
      <c r="C2" s="1339"/>
      <c r="D2" s="1339"/>
      <c r="E2" s="1340" t="s">
        <v>622</v>
      </c>
      <c r="F2" s="1340"/>
      <c r="G2" s="1340"/>
      <c r="H2" s="1341" t="s">
        <v>623</v>
      </c>
      <c r="I2" s="1403"/>
      <c r="J2" s="625" t="s">
        <v>631</v>
      </c>
      <c r="K2" s="138"/>
      <c r="L2" s="138"/>
      <c r="M2" s="138"/>
      <c r="N2" s="138"/>
      <c r="O2" s="138"/>
    </row>
    <row r="3" spans="1:15" s="81" customFormat="1" ht="10.5" customHeight="1">
      <c r="A3" s="419" t="s">
        <v>426</v>
      </c>
      <c r="B3" s="419"/>
      <c r="C3" s="419"/>
      <c r="D3" s="419"/>
      <c r="E3" s="1340"/>
      <c r="F3" s="1340"/>
      <c r="G3" s="1340"/>
      <c r="H3" s="1341"/>
      <c r="I3" s="1403"/>
      <c r="J3" s="625"/>
      <c r="K3" s="138"/>
      <c r="L3" s="138"/>
      <c r="M3" s="138"/>
      <c r="N3" s="138"/>
      <c r="O3" s="138"/>
    </row>
    <row r="4" spans="1:15" s="81" customFormat="1" ht="10.5" customHeight="1">
      <c r="A4" s="419"/>
      <c r="B4" s="419"/>
      <c r="C4" s="419"/>
      <c r="D4" s="419"/>
      <c r="E4" s="1340"/>
      <c r="F4" s="1340"/>
      <c r="G4" s="1340"/>
      <c r="H4" s="1341"/>
      <c r="I4" s="1403"/>
      <c r="J4" s="625"/>
      <c r="K4" s="138"/>
      <c r="L4" s="138"/>
      <c r="M4" s="138"/>
      <c r="N4" s="138"/>
      <c r="O4" s="138"/>
    </row>
    <row r="5" spans="1:15" s="81" customFormat="1" ht="12" customHeight="1">
      <c r="A5" s="1313" t="s">
        <v>1330</v>
      </c>
      <c r="B5" s="1313"/>
      <c r="C5" s="386"/>
      <c r="D5" s="626" t="s">
        <v>624</v>
      </c>
      <c r="E5" s="626" t="s">
        <v>277</v>
      </c>
      <c r="F5" s="420" t="s">
        <v>427</v>
      </c>
      <c r="G5" s="420"/>
      <c r="H5" s="1341" t="s">
        <v>625</v>
      </c>
      <c r="I5" s="1403"/>
      <c r="J5" s="625"/>
      <c r="K5" s="138"/>
      <c r="L5" s="138"/>
      <c r="M5" s="138"/>
      <c r="N5" s="138"/>
      <c r="O5" s="138"/>
    </row>
    <row r="6" spans="1:15" ht="69.75" customHeight="1">
      <c r="A6" s="1313"/>
      <c r="B6" s="1313"/>
      <c r="C6" s="623"/>
      <c r="D6" s="237"/>
      <c r="E6" s="237"/>
      <c r="F6" s="1369">
        <v>40638</v>
      </c>
      <c r="G6" s="1369"/>
      <c r="H6" s="1341"/>
      <c r="I6" s="1403"/>
      <c r="J6" s="625"/>
      <c r="K6" s="133"/>
      <c r="L6" s="133"/>
      <c r="M6" s="8"/>
      <c r="N6" s="8"/>
      <c r="O6" s="8"/>
    </row>
    <row r="7" spans="1:15" ht="21" customHeight="1">
      <c r="A7" s="629" t="s">
        <v>653</v>
      </c>
      <c r="B7" s="330" t="s">
        <v>428</v>
      </c>
      <c r="C7" s="1311" t="s">
        <v>429</v>
      </c>
      <c r="D7" s="1317" t="s">
        <v>620</v>
      </c>
      <c r="E7" s="1318" t="s">
        <v>432</v>
      </c>
      <c r="F7" s="1316" t="s">
        <v>430</v>
      </c>
      <c r="G7" s="1317" t="s">
        <v>621</v>
      </c>
      <c r="H7" s="1328" t="s">
        <v>431</v>
      </c>
      <c r="I7" s="1404"/>
      <c r="J7" s="624" t="s">
        <v>627</v>
      </c>
      <c r="K7" s="133"/>
      <c r="L7" s="133"/>
      <c r="M7" s="8"/>
      <c r="N7" s="8"/>
      <c r="O7" s="8"/>
    </row>
    <row r="8" spans="1:15" ht="21" customHeight="1">
      <c r="A8" s="621"/>
      <c r="B8" s="99"/>
      <c r="C8" s="1311"/>
      <c r="D8" s="1317"/>
      <c r="E8" s="1318"/>
      <c r="F8" s="1316"/>
      <c r="G8" s="1317"/>
      <c r="H8" s="1328"/>
      <c r="I8" s="1404"/>
      <c r="J8" s="624"/>
      <c r="K8" s="133"/>
      <c r="L8" s="133"/>
      <c r="M8" s="8"/>
      <c r="N8" s="8"/>
      <c r="O8" s="8"/>
    </row>
    <row r="9" spans="1:15">
      <c r="A9" s="630"/>
      <c r="B9" s="1434" t="s">
        <v>1549</v>
      </c>
      <c r="C9" s="1314"/>
      <c r="D9" s="1314"/>
      <c r="E9" s="1314"/>
      <c r="F9" s="1314"/>
      <c r="G9" s="1314"/>
      <c r="H9" s="622"/>
      <c r="I9" s="201"/>
      <c r="J9" s="631"/>
    </row>
    <row r="10" spans="1:15">
      <c r="A10" s="628"/>
      <c r="B10" s="1399" t="s">
        <v>1576</v>
      </c>
      <c r="C10" s="1400"/>
      <c r="D10" s="1400"/>
      <c r="E10" s="1400"/>
      <c r="F10" s="1400"/>
      <c r="G10" s="1314"/>
      <c r="H10" s="622"/>
      <c r="I10" s="201"/>
      <c r="J10" s="631"/>
    </row>
    <row r="11" spans="1:15" ht="12.75">
      <c r="A11" s="755" t="s">
        <v>1827</v>
      </c>
      <c r="B11" s="646" t="s">
        <v>1550</v>
      </c>
      <c r="C11" s="177" t="s">
        <v>1221</v>
      </c>
      <c r="D11" s="532">
        <v>242.60292000000001</v>
      </c>
      <c r="E11" s="532">
        <f>SUM(D11*1.1)</f>
        <v>266.86321200000003</v>
      </c>
      <c r="F11" s="201">
        <f>SUM(1.1*G11)</f>
        <v>2378.4252492000001</v>
      </c>
      <c r="G11" s="201">
        <v>2162.204772</v>
      </c>
      <c r="H11" s="1438" t="s">
        <v>1578</v>
      </c>
      <c r="I11" s="1439"/>
      <c r="J11" s="630"/>
    </row>
    <row r="12" spans="1:15" ht="12.75">
      <c r="A12" s="755" t="s">
        <v>1828</v>
      </c>
      <c r="B12" s="646" t="s">
        <v>1551</v>
      </c>
      <c r="C12" s="177" t="s">
        <v>1221</v>
      </c>
      <c r="D12" s="534">
        <v>323.92038000000002</v>
      </c>
      <c r="E12" s="532">
        <f t="shared" ref="E12:E50" si="0">SUM(D12*1.1)</f>
        <v>356.31241800000004</v>
      </c>
      <c r="F12" s="201">
        <f t="shared" ref="F12:F50" si="1">SUM(1.1*G12)</f>
        <v>3140.6402411999998</v>
      </c>
      <c r="G12" s="201">
        <v>2855.1274919999996</v>
      </c>
      <c r="H12" s="1438" t="s">
        <v>1578</v>
      </c>
      <c r="I12" s="1439"/>
      <c r="J12" s="630"/>
    </row>
    <row r="13" spans="1:15" ht="12.75">
      <c r="A13" s="755" t="s">
        <v>1829</v>
      </c>
      <c r="B13" s="646" t="s">
        <v>1552</v>
      </c>
      <c r="C13" s="177" t="s">
        <v>1221</v>
      </c>
      <c r="D13" s="534">
        <v>366.65328</v>
      </c>
      <c r="E13" s="532">
        <f t="shared" si="0"/>
        <v>403.31860800000004</v>
      </c>
      <c r="F13" s="201">
        <f t="shared" si="1"/>
        <v>3140.6402411999998</v>
      </c>
      <c r="G13" s="201">
        <v>2855.1274919999996</v>
      </c>
      <c r="H13" s="1438" t="s">
        <v>1578</v>
      </c>
      <c r="I13" s="1439"/>
      <c r="J13" s="630"/>
    </row>
    <row r="14" spans="1:15" ht="12.75">
      <c r="A14" s="755" t="s">
        <v>1830</v>
      </c>
      <c r="B14" s="646" t="s">
        <v>1553</v>
      </c>
      <c r="C14" s="177" t="s">
        <v>1221</v>
      </c>
      <c r="D14" s="534">
        <v>408.43656000000004</v>
      </c>
      <c r="E14" s="532">
        <f t="shared" si="0"/>
        <v>449.28021600000011</v>
      </c>
      <c r="F14" s="201">
        <f t="shared" si="1"/>
        <v>3140.6402411999998</v>
      </c>
      <c r="G14" s="201">
        <v>2855.1274919999996</v>
      </c>
      <c r="H14" s="1438" t="s">
        <v>1578</v>
      </c>
      <c r="I14" s="1439"/>
      <c r="J14" s="630"/>
    </row>
    <row r="15" spans="1:15" ht="12.75">
      <c r="A15" s="755" t="s">
        <v>1831</v>
      </c>
      <c r="B15" s="646" t="s">
        <v>1554</v>
      </c>
      <c r="C15" s="177" t="s">
        <v>1221</v>
      </c>
      <c r="D15" s="534">
        <v>450.21983999999998</v>
      </c>
      <c r="E15" s="532">
        <f t="shared" si="0"/>
        <v>495.24182400000001</v>
      </c>
      <c r="F15" s="201">
        <f t="shared" si="1"/>
        <v>3140.6402411999998</v>
      </c>
      <c r="G15" s="201">
        <v>2855.1274919999996</v>
      </c>
      <c r="H15" s="1438" t="s">
        <v>1578</v>
      </c>
      <c r="I15" s="1439"/>
      <c r="J15" s="630"/>
    </row>
    <row r="16" spans="1:15" ht="12.75">
      <c r="A16" s="755" t="s">
        <v>1832</v>
      </c>
      <c r="B16" s="646" t="s">
        <v>1555</v>
      </c>
      <c r="C16" s="177" t="s">
        <v>1221</v>
      </c>
      <c r="D16" s="534">
        <v>463.51452</v>
      </c>
      <c r="E16" s="532">
        <f t="shared" si="0"/>
        <v>509.86597200000006</v>
      </c>
      <c r="F16" s="201">
        <f t="shared" si="1"/>
        <v>3140.6402411999998</v>
      </c>
      <c r="G16" s="201">
        <v>2855.1274919999996</v>
      </c>
      <c r="H16" s="1438" t="s">
        <v>1578</v>
      </c>
      <c r="I16" s="1439"/>
      <c r="J16" s="630"/>
    </row>
    <row r="17" spans="1:10" ht="12.75">
      <c r="A17" s="755" t="s">
        <v>1833</v>
      </c>
      <c r="B17" s="646" t="s">
        <v>1556</v>
      </c>
      <c r="C17" s="177" t="s">
        <v>1221</v>
      </c>
      <c r="D17" s="534">
        <v>371.25143999999995</v>
      </c>
      <c r="E17" s="532">
        <f t="shared" si="0"/>
        <v>408.37658399999998</v>
      </c>
      <c r="F17" s="201">
        <f t="shared" si="1"/>
        <v>3140.6402411999998</v>
      </c>
      <c r="G17" s="201">
        <v>2855.1274919999996</v>
      </c>
      <c r="H17" s="1438" t="s">
        <v>1578</v>
      </c>
      <c r="I17" s="1439"/>
      <c r="J17" s="630"/>
    </row>
    <row r="18" spans="1:10" ht="12.75">
      <c r="A18" s="755" t="s">
        <v>1834</v>
      </c>
      <c r="B18" s="646" t="s">
        <v>1557</v>
      </c>
      <c r="C18" s="177" t="s">
        <v>1221</v>
      </c>
      <c r="D18" s="534">
        <v>2820.3714</v>
      </c>
      <c r="E18" s="532">
        <f t="shared" si="0"/>
        <v>3102.4085400000004</v>
      </c>
      <c r="F18" s="201">
        <f t="shared" si="1"/>
        <v>5063.0119848000004</v>
      </c>
      <c r="G18" s="201">
        <v>4602.7381679999999</v>
      </c>
      <c r="H18" s="1438" t="s">
        <v>1579</v>
      </c>
      <c r="I18" s="1439"/>
      <c r="J18" s="630"/>
    </row>
    <row r="19" spans="1:10" ht="12.75">
      <c r="A19" s="755" t="s">
        <v>1835</v>
      </c>
      <c r="B19" s="646" t="s">
        <v>1558</v>
      </c>
      <c r="C19" s="177" t="s">
        <v>1221</v>
      </c>
      <c r="D19" s="534">
        <v>3019.7916</v>
      </c>
      <c r="E19" s="532">
        <f t="shared" si="0"/>
        <v>3321.7707600000003</v>
      </c>
      <c r="F19" s="201">
        <f t="shared" si="1"/>
        <v>5063.0119848000004</v>
      </c>
      <c r="G19" s="201">
        <v>4602.7381679999999</v>
      </c>
      <c r="H19" s="1438" t="s">
        <v>1579</v>
      </c>
      <c r="I19" s="1439"/>
      <c r="J19" s="630"/>
    </row>
    <row r="20" spans="1:10" ht="12.75">
      <c r="A20" s="755" t="s">
        <v>1836</v>
      </c>
      <c r="B20" s="646" t="s">
        <v>1559</v>
      </c>
      <c r="C20" s="177" t="s">
        <v>1221</v>
      </c>
      <c r="D20" s="534">
        <v>3190.7231999999999</v>
      </c>
      <c r="E20" s="532">
        <f t="shared" si="0"/>
        <v>3509.7955200000001</v>
      </c>
      <c r="F20" s="201">
        <f t="shared" si="1"/>
        <v>5063.0119848000004</v>
      </c>
      <c r="G20" s="201">
        <v>4602.7381679999999</v>
      </c>
      <c r="H20" s="1438" t="s">
        <v>1579</v>
      </c>
      <c r="I20" s="1439"/>
      <c r="J20" s="630"/>
    </row>
    <row r="21" spans="1:10" ht="12.75">
      <c r="A21" s="755" t="s">
        <v>1837</v>
      </c>
      <c r="B21" s="646" t="s">
        <v>1560</v>
      </c>
      <c r="C21" s="177" t="s">
        <v>1221</v>
      </c>
      <c r="D21" s="534">
        <v>3228.7079999999996</v>
      </c>
      <c r="E21" s="532">
        <f t="shared" si="0"/>
        <v>3551.5787999999998</v>
      </c>
      <c r="F21" s="201">
        <f t="shared" si="1"/>
        <v>5063.0119848000004</v>
      </c>
      <c r="G21" s="201">
        <v>4602.7381679999999</v>
      </c>
      <c r="H21" s="1438" t="s">
        <v>1579</v>
      </c>
      <c r="I21" s="1439"/>
      <c r="J21" s="630"/>
    </row>
    <row r="22" spans="1:10" ht="12.75">
      <c r="A22" s="755" t="s">
        <v>1838</v>
      </c>
      <c r="B22" s="646" t="s">
        <v>1561</v>
      </c>
      <c r="C22" s="177" t="s">
        <v>1221</v>
      </c>
      <c r="D22" s="534">
        <v>3323.67</v>
      </c>
      <c r="E22" s="532">
        <f t="shared" si="0"/>
        <v>3656.0370000000003</v>
      </c>
      <c r="F22" s="201">
        <f t="shared" si="1"/>
        <v>5063.0119848000004</v>
      </c>
      <c r="G22" s="201">
        <v>4602.7381679999999</v>
      </c>
      <c r="H22" s="1438" t="s">
        <v>1579</v>
      </c>
      <c r="I22" s="1439"/>
      <c r="J22" s="630"/>
    </row>
    <row r="23" spans="1:10" ht="12.75">
      <c r="A23" s="755" t="s">
        <v>1839</v>
      </c>
      <c r="B23" s="646" t="s">
        <v>1562</v>
      </c>
      <c r="C23" s="177" t="s">
        <v>1221</v>
      </c>
      <c r="D23" s="534">
        <v>3542.0825999999997</v>
      </c>
      <c r="E23" s="532">
        <f t="shared" si="0"/>
        <v>3896.2908600000001</v>
      </c>
      <c r="F23" s="201">
        <f t="shared" si="1"/>
        <v>5063.0119848000004</v>
      </c>
      <c r="G23" s="201">
        <v>4602.7381679999999</v>
      </c>
      <c r="H23" s="1438" t="s">
        <v>1579</v>
      </c>
      <c r="I23" s="1439"/>
      <c r="J23" s="630"/>
    </row>
    <row r="24" spans="1:10" ht="12.75">
      <c r="A24" s="755" t="s">
        <v>1840</v>
      </c>
      <c r="B24" s="646" t="s">
        <v>1563</v>
      </c>
      <c r="C24" s="177" t="s">
        <v>1221</v>
      </c>
      <c r="D24" s="534">
        <v>3656.0369999999998</v>
      </c>
      <c r="E24" s="532">
        <f t="shared" si="0"/>
        <v>4021.6406999999999</v>
      </c>
      <c r="F24" s="201">
        <f t="shared" si="1"/>
        <v>5063.0119848000004</v>
      </c>
      <c r="G24" s="201">
        <v>4602.7381679999999</v>
      </c>
      <c r="H24" s="1438" t="s">
        <v>1579</v>
      </c>
      <c r="I24" s="1439"/>
      <c r="J24" s="630"/>
    </row>
    <row r="25" spans="1:10" ht="12.75">
      <c r="A25" s="755" t="s">
        <v>1841</v>
      </c>
      <c r="B25" s="646" t="s">
        <v>1564</v>
      </c>
      <c r="C25" s="177" t="s">
        <v>1221</v>
      </c>
      <c r="D25" s="534">
        <v>3280.6871999999998</v>
      </c>
      <c r="E25" s="532">
        <f t="shared" si="0"/>
        <v>3608.7559200000001</v>
      </c>
      <c r="F25" s="201">
        <f t="shared" si="1"/>
        <v>5063.0119848000004</v>
      </c>
      <c r="G25" s="201">
        <v>4602.7381679999999</v>
      </c>
      <c r="H25" s="1438" t="s">
        <v>1578</v>
      </c>
      <c r="I25" s="1439"/>
      <c r="J25" s="630"/>
    </row>
    <row r="26" spans="1:10" ht="12.75">
      <c r="A26" s="755" t="s">
        <v>1842</v>
      </c>
      <c r="B26" s="646" t="s">
        <v>1565</v>
      </c>
      <c r="C26" s="177" t="s">
        <v>1221</v>
      </c>
      <c r="D26" s="534">
        <v>4339.7633999999998</v>
      </c>
      <c r="E26" s="532">
        <f t="shared" si="0"/>
        <v>4773.73974</v>
      </c>
      <c r="F26" s="201">
        <f t="shared" si="1"/>
        <v>5063.0119848000004</v>
      </c>
      <c r="G26" s="201">
        <v>4602.7381679999999</v>
      </c>
      <c r="H26" s="1438" t="s">
        <v>1578</v>
      </c>
      <c r="I26" s="1439"/>
      <c r="J26" s="630"/>
    </row>
    <row r="27" spans="1:10" ht="12.75">
      <c r="A27" s="755" t="s">
        <v>1843</v>
      </c>
      <c r="B27" s="646" t="s">
        <v>1566</v>
      </c>
      <c r="C27" s="177" t="s">
        <v>1221</v>
      </c>
      <c r="D27" s="534">
        <v>4814.5734000000002</v>
      </c>
      <c r="E27" s="532">
        <f t="shared" si="0"/>
        <v>5296.0307400000011</v>
      </c>
      <c r="F27" s="201">
        <f t="shared" si="1"/>
        <v>5063.0119848000004</v>
      </c>
      <c r="G27" s="201">
        <v>4602.7381679999999</v>
      </c>
      <c r="H27" s="1438" t="s">
        <v>1578</v>
      </c>
      <c r="I27" s="1439"/>
      <c r="J27" s="630"/>
    </row>
    <row r="28" spans="1:10" ht="12.75">
      <c r="A28" s="755" t="s">
        <v>1844</v>
      </c>
      <c r="B28" s="646" t="s">
        <v>1567</v>
      </c>
      <c r="C28" s="177" t="s">
        <v>1221</v>
      </c>
      <c r="D28" s="534">
        <v>5298.8796000000002</v>
      </c>
      <c r="E28" s="532">
        <f t="shared" si="0"/>
        <v>5828.7675600000011</v>
      </c>
      <c r="F28" s="201">
        <f t="shared" si="1"/>
        <v>5063.0119848000004</v>
      </c>
      <c r="G28" s="201">
        <v>4602.7381679999999</v>
      </c>
      <c r="H28" s="1438" t="s">
        <v>1578</v>
      </c>
      <c r="I28" s="1439"/>
      <c r="J28" s="630"/>
    </row>
    <row r="29" spans="1:10" ht="12.75">
      <c r="A29" s="755" t="s">
        <v>1845</v>
      </c>
      <c r="B29" s="646" t="s">
        <v>1568</v>
      </c>
      <c r="C29" s="177" t="s">
        <v>1221</v>
      </c>
      <c r="D29" s="534">
        <v>5773.6896000000006</v>
      </c>
      <c r="E29" s="532">
        <f t="shared" si="0"/>
        <v>6351.0585600000013</v>
      </c>
      <c r="F29" s="201">
        <f t="shared" si="1"/>
        <v>5063.0119848000004</v>
      </c>
      <c r="G29" s="201">
        <v>4602.7381679999999</v>
      </c>
      <c r="H29" s="1438" t="s">
        <v>1578</v>
      </c>
      <c r="I29" s="1439"/>
      <c r="J29" s="630"/>
    </row>
    <row r="30" spans="1:10" ht="12.75">
      <c r="A30" s="755" t="s">
        <v>1846</v>
      </c>
      <c r="B30" s="646" t="s">
        <v>1569</v>
      </c>
      <c r="C30" s="177" t="s">
        <v>1221</v>
      </c>
      <c r="D30" s="534">
        <v>6257.9957999999997</v>
      </c>
      <c r="E30" s="532">
        <f t="shared" si="0"/>
        <v>6883.7953800000005</v>
      </c>
      <c r="F30" s="201">
        <f t="shared" si="1"/>
        <v>5063.0119848000004</v>
      </c>
      <c r="G30" s="201">
        <v>4602.7381679999999</v>
      </c>
      <c r="H30" s="1438" t="s">
        <v>1578</v>
      </c>
      <c r="I30" s="1439"/>
      <c r="J30" s="630"/>
    </row>
    <row r="31" spans="1:10" ht="12.75">
      <c r="A31" s="755" t="s">
        <v>1847</v>
      </c>
      <c r="B31" s="646" t="s">
        <v>1570</v>
      </c>
      <c r="C31" s="177" t="s">
        <v>1221</v>
      </c>
      <c r="D31" s="534">
        <v>6732.8058000000001</v>
      </c>
      <c r="E31" s="532">
        <f t="shared" si="0"/>
        <v>7406.0863800000006</v>
      </c>
      <c r="F31" s="201">
        <f t="shared" si="1"/>
        <v>5063.0119848000004</v>
      </c>
      <c r="G31" s="201">
        <v>4602.7381679999999</v>
      </c>
      <c r="H31" s="1438" t="s">
        <v>1578</v>
      </c>
      <c r="I31" s="1439"/>
      <c r="J31" s="630"/>
    </row>
    <row r="32" spans="1:10" ht="12.75">
      <c r="A32" s="755" t="s">
        <v>1848</v>
      </c>
      <c r="B32" s="646" t="s">
        <v>1571</v>
      </c>
      <c r="C32" s="177" t="s">
        <v>1221</v>
      </c>
      <c r="D32" s="534">
        <v>7217.1119999999992</v>
      </c>
      <c r="E32" s="532">
        <f t="shared" si="0"/>
        <v>7938.8231999999998</v>
      </c>
      <c r="F32" s="201">
        <f t="shared" si="1"/>
        <v>5063.0119848000004</v>
      </c>
      <c r="G32" s="201">
        <v>4602.7381679999999</v>
      </c>
      <c r="H32" s="1438" t="s">
        <v>1578</v>
      </c>
      <c r="I32" s="1439"/>
      <c r="J32" s="630"/>
    </row>
    <row r="33" spans="1:10" ht="12.75">
      <c r="A33" s="755" t="s">
        <v>1849</v>
      </c>
      <c r="B33" s="646" t="s">
        <v>1572</v>
      </c>
      <c r="C33" s="177" t="s">
        <v>1221</v>
      </c>
      <c r="D33" s="534">
        <v>6975.4087200000004</v>
      </c>
      <c r="E33" s="532">
        <f t="shared" si="0"/>
        <v>7672.9495920000008</v>
      </c>
      <c r="F33" s="201">
        <f t="shared" si="1"/>
        <v>7811.9119848</v>
      </c>
      <c r="G33" s="201">
        <v>7101.7381679999999</v>
      </c>
      <c r="H33" s="1438" t="s">
        <v>1580</v>
      </c>
      <c r="I33" s="1439"/>
      <c r="J33" s="630"/>
    </row>
    <row r="34" spans="1:10" ht="12.75">
      <c r="A34" s="755" t="s">
        <v>1850</v>
      </c>
      <c r="B34" s="646" t="s">
        <v>1573</v>
      </c>
      <c r="C34" s="177" t="s">
        <v>1221</v>
      </c>
      <c r="D34" s="534">
        <v>11362.653120000001</v>
      </c>
      <c r="E34" s="532">
        <f t="shared" si="0"/>
        <v>12498.918432000002</v>
      </c>
      <c r="F34" s="201">
        <f t="shared" si="1"/>
        <v>7811.9119848</v>
      </c>
      <c r="G34" s="201">
        <v>7101.7381679999999</v>
      </c>
      <c r="H34" s="1438" t="s">
        <v>1578</v>
      </c>
      <c r="I34" s="1439"/>
      <c r="J34" s="630"/>
    </row>
    <row r="35" spans="1:10" ht="12.75">
      <c r="A35" s="755" t="s">
        <v>1851</v>
      </c>
      <c r="B35" s="646" t="s">
        <v>1550</v>
      </c>
      <c r="C35" s="177" t="s">
        <v>1221</v>
      </c>
      <c r="D35" s="534">
        <v>265.363812</v>
      </c>
      <c r="E35" s="532">
        <f t="shared" si="0"/>
        <v>291.90019320000005</v>
      </c>
      <c r="F35" s="201">
        <f t="shared" si="1"/>
        <v>2378.4252492000001</v>
      </c>
      <c r="G35" s="201">
        <v>2162.204772</v>
      </c>
      <c r="H35" s="1438" t="s">
        <v>1581</v>
      </c>
      <c r="I35" s="1439"/>
      <c r="J35" s="630"/>
    </row>
    <row r="36" spans="1:10" ht="12.75">
      <c r="A36" s="755" t="s">
        <v>1852</v>
      </c>
      <c r="B36" s="646" t="s">
        <v>1551</v>
      </c>
      <c r="C36" s="177" t="s">
        <v>1221</v>
      </c>
      <c r="D36" s="534">
        <v>456.86718000000002</v>
      </c>
      <c r="E36" s="532">
        <f t="shared" si="0"/>
        <v>502.55389800000006</v>
      </c>
      <c r="F36" s="201">
        <f t="shared" si="1"/>
        <v>3140.6402411999998</v>
      </c>
      <c r="G36" s="201">
        <v>2855.1274919999996</v>
      </c>
      <c r="H36" s="1438" t="s">
        <v>1581</v>
      </c>
      <c r="I36" s="1439"/>
      <c r="J36" s="630"/>
    </row>
    <row r="37" spans="1:10" ht="12.75">
      <c r="A37" s="755" t="s">
        <v>1853</v>
      </c>
      <c r="B37" s="646" t="s">
        <v>1552</v>
      </c>
      <c r="C37" s="177" t="s">
        <v>1221</v>
      </c>
      <c r="D37" s="534">
        <v>499.60007999999999</v>
      </c>
      <c r="E37" s="532">
        <f t="shared" si="0"/>
        <v>549.56008800000006</v>
      </c>
      <c r="F37" s="201">
        <f t="shared" si="1"/>
        <v>3140.6402411999998</v>
      </c>
      <c r="G37" s="201">
        <v>2855.1274919999996</v>
      </c>
      <c r="H37" s="1438" t="s">
        <v>1581</v>
      </c>
      <c r="I37" s="1439"/>
      <c r="J37" s="630"/>
    </row>
    <row r="38" spans="1:10" ht="12.75">
      <c r="A38" s="755" t="s">
        <v>1854</v>
      </c>
      <c r="B38" s="646" t="s">
        <v>1553</v>
      </c>
      <c r="C38" s="177" t="s">
        <v>1221</v>
      </c>
      <c r="D38" s="534">
        <v>541.38336000000004</v>
      </c>
      <c r="E38" s="532">
        <f t="shared" si="0"/>
        <v>595.52169600000013</v>
      </c>
      <c r="F38" s="201">
        <f t="shared" si="1"/>
        <v>3140.6402411999998</v>
      </c>
      <c r="G38" s="201">
        <v>2855.1274919999996</v>
      </c>
      <c r="H38" s="1438" t="s">
        <v>1581</v>
      </c>
      <c r="I38" s="1439"/>
      <c r="J38" s="630"/>
    </row>
    <row r="39" spans="1:10" ht="12.75">
      <c r="A39" s="755" t="s">
        <v>1855</v>
      </c>
      <c r="B39" s="646" t="s">
        <v>1554</v>
      </c>
      <c r="C39" s="177" t="s">
        <v>1221</v>
      </c>
      <c r="D39" s="534">
        <v>583.16664000000003</v>
      </c>
      <c r="E39" s="532">
        <f t="shared" si="0"/>
        <v>641.48330400000009</v>
      </c>
      <c r="F39" s="201">
        <f t="shared" si="1"/>
        <v>3140.6402411999998</v>
      </c>
      <c r="G39" s="201">
        <v>2855.1274919999996</v>
      </c>
      <c r="H39" s="1438" t="s">
        <v>1581</v>
      </c>
      <c r="I39" s="1439"/>
      <c r="J39" s="630"/>
    </row>
    <row r="40" spans="1:10" ht="12.75">
      <c r="A40" s="755" t="s">
        <v>1856</v>
      </c>
      <c r="B40" s="646" t="s">
        <v>1555</v>
      </c>
      <c r="C40" s="177" t="s">
        <v>1221</v>
      </c>
      <c r="D40" s="534">
        <v>596.46132</v>
      </c>
      <c r="E40" s="532">
        <f t="shared" si="0"/>
        <v>656.10745200000008</v>
      </c>
      <c r="F40" s="201">
        <f t="shared" si="1"/>
        <v>3140.6402411999998</v>
      </c>
      <c r="G40" s="201">
        <v>2855.1274919999996</v>
      </c>
      <c r="H40" s="1438" t="s">
        <v>1581</v>
      </c>
      <c r="I40" s="1439"/>
      <c r="J40" s="630"/>
    </row>
    <row r="41" spans="1:10" ht="12.75">
      <c r="A41" s="755" t="s">
        <v>1857</v>
      </c>
      <c r="B41" s="646" t="s">
        <v>1574</v>
      </c>
      <c r="C41" s="177" t="s">
        <v>1221</v>
      </c>
      <c r="D41" s="534">
        <v>609.75600000000009</v>
      </c>
      <c r="E41" s="532">
        <f t="shared" si="0"/>
        <v>670.73160000000018</v>
      </c>
      <c r="F41" s="201">
        <f t="shared" si="1"/>
        <v>3140.6402411999998</v>
      </c>
      <c r="G41" s="201">
        <v>2855.1274919999996</v>
      </c>
      <c r="H41" s="1438" t="s">
        <v>1581</v>
      </c>
      <c r="I41" s="1439"/>
      <c r="J41" s="630"/>
    </row>
    <row r="42" spans="1:10" ht="12.75">
      <c r="A42" s="755" t="s">
        <v>1858</v>
      </c>
      <c r="B42" s="646" t="s">
        <v>1575</v>
      </c>
      <c r="C42" s="177" t="s">
        <v>1221</v>
      </c>
      <c r="D42" s="534">
        <v>504.19823999999994</v>
      </c>
      <c r="E42" s="532">
        <f t="shared" si="0"/>
        <v>554.618064</v>
      </c>
      <c r="F42" s="201">
        <f t="shared" si="1"/>
        <v>3140.6402411999998</v>
      </c>
      <c r="G42" s="201">
        <v>2855.1274919999996</v>
      </c>
      <c r="H42" s="1438" t="s">
        <v>1581</v>
      </c>
      <c r="I42" s="1439"/>
      <c r="J42" s="630"/>
    </row>
    <row r="43" spans="1:10" ht="12.75">
      <c r="A43" s="755" t="s">
        <v>1859</v>
      </c>
      <c r="B43" s="646" t="s">
        <v>1564</v>
      </c>
      <c r="C43" s="177" t="s">
        <v>1221</v>
      </c>
      <c r="D43" s="534">
        <v>4542.5622480000002</v>
      </c>
      <c r="E43" s="532">
        <f t="shared" si="0"/>
        <v>4996.8184728000006</v>
      </c>
      <c r="F43" s="201">
        <f t="shared" si="1"/>
        <v>5063.0119848000004</v>
      </c>
      <c r="G43" s="201">
        <v>4602.7381679999999</v>
      </c>
      <c r="H43" s="1438" t="s">
        <v>1579</v>
      </c>
      <c r="I43" s="1439"/>
      <c r="J43" s="630"/>
    </row>
    <row r="44" spans="1:10" ht="12.75">
      <c r="A44" s="755" t="s">
        <v>1860</v>
      </c>
      <c r="B44" s="646" t="s">
        <v>1565</v>
      </c>
      <c r="C44" s="177" t="s">
        <v>1221</v>
      </c>
      <c r="D44" s="534">
        <v>5017.3722479999997</v>
      </c>
      <c r="E44" s="532">
        <f t="shared" si="0"/>
        <v>5519.1094727999998</v>
      </c>
      <c r="F44" s="201">
        <f t="shared" si="1"/>
        <v>5063.0119848000004</v>
      </c>
      <c r="G44" s="201">
        <v>4602.7381679999999</v>
      </c>
      <c r="H44" s="1438" t="s">
        <v>1579</v>
      </c>
      <c r="I44" s="1439"/>
      <c r="J44" s="630"/>
    </row>
    <row r="45" spans="1:10" ht="12.75">
      <c r="A45" s="755" t="s">
        <v>1861</v>
      </c>
      <c r="B45" s="646" t="s">
        <v>1566</v>
      </c>
      <c r="C45" s="177" t="s">
        <v>1221</v>
      </c>
      <c r="D45" s="534">
        <v>5492.1822480000001</v>
      </c>
      <c r="E45" s="532">
        <f t="shared" si="0"/>
        <v>6041.4004728000009</v>
      </c>
      <c r="F45" s="201">
        <f t="shared" si="1"/>
        <v>5063.0119848000004</v>
      </c>
      <c r="G45" s="201">
        <v>4602.7381679999999</v>
      </c>
      <c r="H45" s="1438" t="s">
        <v>1579</v>
      </c>
      <c r="I45" s="1439"/>
      <c r="J45" s="630"/>
    </row>
    <row r="46" spans="1:10" ht="12.75">
      <c r="A46" s="755" t="s">
        <v>1862</v>
      </c>
      <c r="B46" s="646" t="s">
        <v>1567</v>
      </c>
      <c r="C46" s="177" t="s">
        <v>1221</v>
      </c>
      <c r="D46" s="534">
        <v>5976.488448000001</v>
      </c>
      <c r="E46" s="532">
        <f t="shared" si="0"/>
        <v>6574.1372928000019</v>
      </c>
      <c r="F46" s="201">
        <f t="shared" si="1"/>
        <v>5063.0119848000004</v>
      </c>
      <c r="G46" s="201">
        <v>4602.7381679999999</v>
      </c>
      <c r="H46" s="1438" t="s">
        <v>1579</v>
      </c>
      <c r="I46" s="1439"/>
      <c r="J46" s="630"/>
    </row>
    <row r="47" spans="1:10" ht="12.75">
      <c r="A47" s="755" t="s">
        <v>1863</v>
      </c>
      <c r="B47" s="646" t="s">
        <v>1568</v>
      </c>
      <c r="C47" s="177" t="s">
        <v>1221</v>
      </c>
      <c r="D47" s="534">
        <v>6451.2984480000005</v>
      </c>
      <c r="E47" s="532">
        <f t="shared" si="0"/>
        <v>7096.4282928000011</v>
      </c>
      <c r="F47" s="201">
        <f t="shared" si="1"/>
        <v>5063.0119848000004</v>
      </c>
      <c r="G47" s="201">
        <v>4602.7381679999999</v>
      </c>
      <c r="H47" s="1438" t="s">
        <v>1579</v>
      </c>
      <c r="I47" s="1439"/>
      <c r="J47" s="630"/>
    </row>
    <row r="48" spans="1:10" ht="12.75">
      <c r="A48" s="755" t="s">
        <v>1864</v>
      </c>
      <c r="B48" s="646" t="s">
        <v>1569</v>
      </c>
      <c r="C48" s="177" t="s">
        <v>1221</v>
      </c>
      <c r="D48" s="534">
        <v>6935.6046480000005</v>
      </c>
      <c r="E48" s="532">
        <f t="shared" si="0"/>
        <v>7629.1651128000012</v>
      </c>
      <c r="F48" s="201">
        <f t="shared" si="1"/>
        <v>5063.0119848000004</v>
      </c>
      <c r="G48" s="201">
        <v>4602.7381679999999</v>
      </c>
      <c r="H48" s="1438" t="s">
        <v>1579</v>
      </c>
      <c r="I48" s="1439"/>
      <c r="J48" s="630"/>
    </row>
    <row r="49" spans="1:12" ht="12.75">
      <c r="A49" s="755" t="s">
        <v>1865</v>
      </c>
      <c r="B49" s="646" t="s">
        <v>1570</v>
      </c>
      <c r="C49" s="177" t="s">
        <v>1221</v>
      </c>
      <c r="D49" s="534">
        <v>7410.4146479999999</v>
      </c>
      <c r="E49" s="532">
        <f t="shared" si="0"/>
        <v>8151.4561128000005</v>
      </c>
      <c r="F49" s="201">
        <f t="shared" si="1"/>
        <v>5063.0119848000004</v>
      </c>
      <c r="G49" s="201">
        <v>4602.7381679999999</v>
      </c>
      <c r="H49" s="1438" t="s">
        <v>1579</v>
      </c>
      <c r="I49" s="1439"/>
      <c r="J49" s="630"/>
    </row>
    <row r="50" spans="1:12" ht="12.75">
      <c r="A50" s="755" t="s">
        <v>1866</v>
      </c>
      <c r="B50" s="646" t="s">
        <v>1571</v>
      </c>
      <c r="C50" s="177" t="s">
        <v>1221</v>
      </c>
      <c r="D50" s="534">
        <v>11387.84304</v>
      </c>
      <c r="E50" s="532">
        <f t="shared" si="0"/>
        <v>12526.627344</v>
      </c>
      <c r="F50" s="201">
        <f t="shared" si="1"/>
        <v>7811.9119848</v>
      </c>
      <c r="G50" s="201">
        <v>7101.7381679999999</v>
      </c>
      <c r="H50" s="1438" t="s">
        <v>1580</v>
      </c>
      <c r="I50" s="1439"/>
      <c r="J50" s="630"/>
    </row>
    <row r="51" spans="1:12" ht="12.75">
      <c r="A51" s="755" t="s">
        <v>2552</v>
      </c>
      <c r="B51" s="646" t="s">
        <v>1577</v>
      </c>
      <c r="C51" s="177" t="s">
        <v>1221</v>
      </c>
      <c r="D51" s="552" t="s">
        <v>539</v>
      </c>
      <c r="E51" s="647" t="s">
        <v>539</v>
      </c>
      <c r="F51" s="201" t="s">
        <v>277</v>
      </c>
      <c r="G51" s="201" t="s">
        <v>277</v>
      </c>
      <c r="H51" s="1438" t="s">
        <v>1582</v>
      </c>
      <c r="I51" s="1439"/>
      <c r="J51" s="630"/>
    </row>
    <row r="52" spans="1:12">
      <c r="A52" s="630"/>
      <c r="B52" s="539"/>
      <c r="C52" s="540"/>
      <c r="D52" s="540"/>
      <c r="E52" s="248"/>
      <c r="F52" s="248"/>
      <c r="G52" s="201"/>
      <c r="H52" s="1428"/>
      <c r="I52" s="1428"/>
      <c r="J52" s="630"/>
    </row>
    <row r="54" spans="1:12" s="18" customFormat="1">
      <c r="A54" s="151"/>
      <c r="B54" s="142"/>
      <c r="C54" s="143"/>
      <c r="D54" s="143"/>
      <c r="E54" s="143"/>
      <c r="F54" s="143"/>
      <c r="G54" s="143"/>
      <c r="H54" s="143"/>
      <c r="I54" s="143"/>
      <c r="J54" s="143"/>
      <c r="K54" s="143"/>
      <c r="L54" s="143"/>
    </row>
    <row r="55" spans="1:12" s="18" customFormat="1">
      <c r="A55" s="499"/>
      <c r="B55" s="431"/>
      <c r="C55" s="143"/>
      <c r="D55" s="143"/>
      <c r="E55" s="143"/>
      <c r="F55" s="143"/>
      <c r="G55" s="143"/>
      <c r="H55" s="143"/>
      <c r="I55" s="143"/>
      <c r="J55" s="143"/>
      <c r="K55" s="143"/>
      <c r="L55" s="143"/>
    </row>
    <row r="56" spans="1:12" s="18" customFormat="1">
      <c r="A56" s="188"/>
      <c r="B56" s="144"/>
      <c r="C56" s="143"/>
      <c r="D56" s="143"/>
      <c r="E56" s="143"/>
      <c r="F56" s="143"/>
      <c r="G56" s="143"/>
      <c r="H56" s="143"/>
      <c r="I56" s="143"/>
      <c r="J56" s="143"/>
      <c r="K56" s="143"/>
      <c r="L56" s="143"/>
    </row>
    <row r="57" spans="1:12" s="18" customFormat="1">
      <c r="A57" s="145"/>
      <c r="B57" s="146"/>
      <c r="C57" s="143"/>
      <c r="D57" s="143"/>
      <c r="E57" s="143"/>
      <c r="F57" s="143"/>
      <c r="G57" s="143"/>
      <c r="H57" s="143"/>
      <c r="I57" s="143"/>
      <c r="J57" s="143"/>
      <c r="K57" s="143"/>
      <c r="L57" s="143"/>
    </row>
    <row r="58" spans="1:12" s="18" customFormat="1">
      <c r="A58" s="145"/>
      <c r="B58" s="146"/>
      <c r="C58" s="143"/>
      <c r="D58" s="143"/>
      <c r="E58" s="143"/>
      <c r="F58" s="143"/>
      <c r="G58" s="143"/>
      <c r="H58" s="143"/>
      <c r="I58" s="143"/>
      <c r="J58" s="143"/>
      <c r="K58" s="143"/>
      <c r="L58" s="143"/>
    </row>
    <row r="59" spans="1:12" s="18" customFormat="1">
      <c r="A59" s="145"/>
      <c r="B59" s="146"/>
      <c r="C59" s="143"/>
      <c r="D59" s="143"/>
      <c r="E59" s="143"/>
      <c r="F59" s="143"/>
      <c r="G59" s="143"/>
      <c r="H59" s="143"/>
      <c r="I59" s="143"/>
      <c r="J59" s="143"/>
      <c r="K59" s="143"/>
      <c r="L59" s="143"/>
    </row>
    <row r="60" spans="1:12" s="18" customFormat="1">
      <c r="A60" s="143"/>
      <c r="B60" s="171"/>
      <c r="C60" s="143"/>
      <c r="D60" s="143"/>
      <c r="E60" s="143"/>
      <c r="F60" s="143"/>
      <c r="G60" s="143"/>
      <c r="H60" s="143"/>
      <c r="I60" s="143"/>
      <c r="J60" s="143"/>
      <c r="K60" s="143"/>
      <c r="L60" s="143"/>
    </row>
    <row r="61" spans="1:12" s="18" customFormat="1">
      <c r="A61" s="143"/>
      <c r="B61" s="143"/>
      <c r="C61" s="143"/>
      <c r="D61" s="143"/>
      <c r="E61" s="143"/>
      <c r="F61" s="143"/>
      <c r="G61" s="143"/>
      <c r="H61" s="143"/>
      <c r="I61" s="143"/>
      <c r="J61" s="143"/>
      <c r="K61" s="143"/>
      <c r="L61" s="143"/>
    </row>
    <row r="62" spans="1:12" s="18" customFormat="1">
      <c r="A62" s="143"/>
      <c r="B62" s="143"/>
      <c r="C62" s="143"/>
      <c r="D62" s="143"/>
      <c r="E62" s="143"/>
      <c r="F62" s="143"/>
      <c r="G62" s="143"/>
      <c r="H62" s="143"/>
      <c r="I62" s="143"/>
      <c r="J62" s="143"/>
      <c r="K62" s="143"/>
      <c r="L62" s="143"/>
    </row>
    <row r="63" spans="1:12" s="18" customFormat="1">
      <c r="A63" s="143"/>
      <c r="B63" s="143"/>
      <c r="C63" s="143"/>
      <c r="D63" s="143"/>
      <c r="E63" s="143"/>
      <c r="F63" s="143"/>
      <c r="G63" s="143"/>
      <c r="H63" s="143"/>
      <c r="I63" s="143"/>
      <c r="J63" s="143"/>
      <c r="K63" s="143"/>
      <c r="L63" s="143"/>
    </row>
    <row r="64" spans="1:12" s="18" customFormat="1">
      <c r="A64" s="143"/>
      <c r="B64" s="143"/>
      <c r="C64" s="143"/>
      <c r="D64" s="143"/>
      <c r="E64" s="143"/>
      <c r="F64" s="143"/>
      <c r="G64" s="143"/>
      <c r="H64" s="143"/>
      <c r="I64" s="143"/>
      <c r="J64" s="143"/>
      <c r="K64" s="143"/>
      <c r="L64" s="143"/>
    </row>
    <row r="65" spans="1:12" s="18" customFormat="1">
      <c r="A65" s="143"/>
      <c r="B65" s="143"/>
      <c r="C65" s="143"/>
      <c r="D65" s="143"/>
      <c r="E65" s="143"/>
      <c r="F65" s="143"/>
      <c r="G65" s="143"/>
      <c r="H65" s="143"/>
      <c r="I65" s="143"/>
      <c r="J65" s="143"/>
      <c r="K65" s="143"/>
      <c r="L65" s="143"/>
    </row>
    <row r="66" spans="1:12" s="18" customFormat="1">
      <c r="A66" s="143"/>
      <c r="B66" s="143"/>
      <c r="C66" s="143"/>
      <c r="D66" s="143"/>
      <c r="E66" s="143"/>
      <c r="F66" s="143"/>
      <c r="G66" s="143"/>
      <c r="H66" s="143"/>
      <c r="I66" s="143"/>
      <c r="J66" s="143"/>
      <c r="K66" s="143"/>
      <c r="L66" s="143"/>
    </row>
    <row r="67" spans="1:12" s="18" customFormat="1">
      <c r="A67" s="143"/>
      <c r="B67" s="143"/>
      <c r="C67" s="143"/>
      <c r="D67" s="143"/>
      <c r="E67" s="143"/>
      <c r="F67" s="143"/>
      <c r="G67" s="143"/>
      <c r="H67" s="143"/>
      <c r="I67" s="143"/>
      <c r="J67" s="143"/>
      <c r="K67" s="143"/>
      <c r="L67" s="143"/>
    </row>
    <row r="68" spans="1:12" s="18" customFormat="1">
      <c r="A68" s="143"/>
      <c r="B68" s="143"/>
      <c r="C68" s="143"/>
      <c r="D68" s="143"/>
      <c r="E68" s="143"/>
      <c r="F68" s="143"/>
      <c r="G68" s="143"/>
      <c r="H68" s="143"/>
      <c r="I68" s="143"/>
      <c r="J68" s="143"/>
      <c r="K68" s="143"/>
      <c r="L68" s="143"/>
    </row>
    <row r="69" spans="1:12" s="18" customFormat="1">
      <c r="A69" s="143"/>
      <c r="B69" s="143"/>
      <c r="C69" s="143"/>
      <c r="D69" s="143"/>
      <c r="E69" s="143"/>
      <c r="F69" s="143"/>
      <c r="G69" s="143"/>
      <c r="H69" s="143"/>
      <c r="I69" s="143"/>
      <c r="J69" s="143"/>
      <c r="K69" s="143"/>
      <c r="L69" s="143"/>
    </row>
    <row r="70" spans="1:12" s="18" customFormat="1">
      <c r="A70" s="143"/>
      <c r="B70" s="143"/>
      <c r="C70" s="143"/>
      <c r="D70" s="143"/>
      <c r="E70" s="143"/>
      <c r="F70" s="143"/>
      <c r="G70" s="143"/>
      <c r="H70" s="143"/>
      <c r="I70" s="143"/>
      <c r="J70" s="143"/>
      <c r="K70" s="143"/>
      <c r="L70" s="143"/>
    </row>
    <row r="71" spans="1:12" s="18" customFormat="1">
      <c r="A71" s="143"/>
      <c r="B71" s="143"/>
      <c r="C71" s="143"/>
      <c r="D71" s="143"/>
      <c r="E71" s="143"/>
      <c r="F71" s="143"/>
      <c r="G71" s="143"/>
      <c r="H71" s="143"/>
      <c r="I71" s="143"/>
      <c r="J71" s="143"/>
      <c r="K71" s="143"/>
      <c r="L71" s="143"/>
    </row>
    <row r="72" spans="1:12" s="18" customFormat="1">
      <c r="A72" s="143"/>
      <c r="B72" s="143"/>
      <c r="C72" s="143"/>
      <c r="D72" s="143"/>
      <c r="E72" s="143"/>
      <c r="F72" s="143"/>
      <c r="G72" s="143"/>
      <c r="H72" s="143"/>
      <c r="I72" s="143"/>
      <c r="J72" s="143"/>
      <c r="K72" s="143"/>
      <c r="L72" s="143"/>
    </row>
    <row r="73" spans="1:12" s="18" customFormat="1">
      <c r="A73" s="143"/>
      <c r="B73" s="143"/>
      <c r="C73" s="143"/>
      <c r="D73" s="143"/>
      <c r="E73" s="143"/>
      <c r="F73" s="143"/>
      <c r="G73" s="143"/>
      <c r="H73" s="143"/>
      <c r="I73" s="143"/>
      <c r="J73" s="143"/>
      <c r="K73" s="143"/>
      <c r="L73" s="143"/>
    </row>
    <row r="74" spans="1:12" s="18" customFormat="1">
      <c r="A74" s="143"/>
      <c r="B74" s="143"/>
      <c r="C74" s="143"/>
      <c r="D74" s="143"/>
      <c r="E74" s="143"/>
      <c r="F74" s="143"/>
      <c r="G74" s="143"/>
      <c r="H74" s="143"/>
      <c r="I74" s="143"/>
      <c r="J74" s="143"/>
      <c r="K74" s="143"/>
      <c r="L74" s="143"/>
    </row>
    <row r="75" spans="1:12" s="18" customFormat="1">
      <c r="A75" s="143"/>
      <c r="B75" s="143"/>
      <c r="C75" s="143"/>
      <c r="D75" s="143"/>
      <c r="E75" s="143"/>
      <c r="F75" s="143"/>
      <c r="G75" s="143"/>
      <c r="H75" s="143"/>
      <c r="I75" s="143"/>
      <c r="J75" s="143"/>
      <c r="K75" s="143"/>
      <c r="L75" s="143"/>
    </row>
    <row r="76" spans="1:12" s="18" customFormat="1">
      <c r="A76" s="143"/>
      <c r="B76" s="143"/>
      <c r="C76" s="143"/>
      <c r="D76" s="143"/>
      <c r="E76" s="143"/>
      <c r="F76" s="143"/>
      <c r="G76" s="143"/>
      <c r="H76" s="143"/>
      <c r="I76" s="143"/>
      <c r="J76" s="143"/>
      <c r="K76" s="143"/>
      <c r="L76" s="143"/>
    </row>
    <row r="77" spans="1:12" s="18" customFormat="1">
      <c r="A77" s="143"/>
      <c r="B77" s="143"/>
      <c r="C77" s="143"/>
      <c r="D77" s="143"/>
      <c r="E77" s="143"/>
      <c r="F77" s="143"/>
      <c r="G77" s="143"/>
      <c r="H77" s="143"/>
      <c r="I77" s="143"/>
      <c r="J77" s="143"/>
      <c r="K77" s="143"/>
      <c r="L77" s="143"/>
    </row>
    <row r="78" spans="1:12" s="18" customFormat="1">
      <c r="A78" s="143"/>
      <c r="B78" s="143"/>
      <c r="C78" s="143"/>
      <c r="D78" s="143"/>
      <c r="E78" s="143"/>
      <c r="F78" s="143"/>
      <c r="G78" s="143"/>
      <c r="H78" s="143"/>
      <c r="I78" s="143"/>
      <c r="J78" s="143"/>
      <c r="K78" s="143"/>
      <c r="L78" s="143"/>
    </row>
    <row r="79" spans="1:12" s="18" customFormat="1">
      <c r="A79" s="143"/>
      <c r="B79" s="143"/>
      <c r="C79" s="143"/>
      <c r="D79" s="143"/>
      <c r="E79" s="143"/>
      <c r="F79" s="143"/>
      <c r="G79" s="143"/>
      <c r="H79" s="143"/>
      <c r="I79" s="143"/>
      <c r="J79" s="143"/>
      <c r="K79" s="143"/>
      <c r="L79" s="143"/>
    </row>
    <row r="80" spans="1:12" s="18" customFormat="1">
      <c r="A80" s="143"/>
      <c r="B80" s="143"/>
      <c r="C80" s="143"/>
      <c r="D80" s="143"/>
      <c r="E80" s="143"/>
      <c r="F80" s="143"/>
      <c r="G80" s="143"/>
      <c r="H80" s="143"/>
      <c r="I80" s="143"/>
      <c r="J80" s="143"/>
      <c r="K80" s="143"/>
      <c r="L80" s="143"/>
    </row>
    <row r="81" spans="1:12" s="18" customFormat="1">
      <c r="A81" s="143"/>
      <c r="B81" s="143"/>
      <c r="C81" s="143"/>
      <c r="D81" s="143"/>
      <c r="E81" s="143"/>
      <c r="F81" s="143"/>
      <c r="G81" s="143"/>
      <c r="H81" s="143"/>
      <c r="I81" s="143"/>
      <c r="J81" s="143"/>
      <c r="K81" s="143"/>
      <c r="L81" s="143"/>
    </row>
    <row r="82" spans="1:12" s="18" customFormat="1">
      <c r="A82" s="143"/>
      <c r="B82" s="143"/>
      <c r="C82" s="143"/>
      <c r="D82" s="143"/>
      <c r="E82" s="143"/>
      <c r="F82" s="143"/>
      <c r="G82" s="143"/>
      <c r="H82" s="143"/>
      <c r="I82" s="143"/>
      <c r="J82" s="143"/>
      <c r="K82" s="143"/>
      <c r="L82" s="143"/>
    </row>
    <row r="83" spans="1:12" s="18" customFormat="1">
      <c r="A83" s="143"/>
      <c r="B83" s="143"/>
      <c r="C83" s="143"/>
      <c r="D83" s="143"/>
      <c r="E83" s="143"/>
      <c r="F83" s="143"/>
      <c r="G83" s="143"/>
      <c r="H83" s="143"/>
      <c r="I83" s="143"/>
      <c r="J83" s="143"/>
      <c r="K83" s="143"/>
      <c r="L83" s="143"/>
    </row>
    <row r="84" spans="1:12" s="18" customFormat="1">
      <c r="A84" s="143"/>
      <c r="B84" s="143"/>
      <c r="C84" s="143"/>
      <c r="D84" s="143"/>
      <c r="E84" s="143"/>
      <c r="F84" s="143"/>
      <c r="G84" s="143"/>
      <c r="H84" s="143"/>
      <c r="I84" s="143"/>
      <c r="J84" s="143"/>
      <c r="K84" s="143"/>
      <c r="L84" s="143"/>
    </row>
    <row r="85" spans="1:12" s="18" customFormat="1">
      <c r="A85" s="143"/>
      <c r="B85" s="143"/>
      <c r="C85" s="143"/>
      <c r="D85" s="143"/>
      <c r="E85" s="143"/>
      <c r="F85" s="143"/>
      <c r="G85" s="143"/>
      <c r="H85" s="143"/>
      <c r="I85" s="143"/>
      <c r="J85" s="143"/>
      <c r="K85" s="143"/>
      <c r="L85" s="143"/>
    </row>
    <row r="86" spans="1:12" s="18" customFormat="1">
      <c r="A86" s="143"/>
      <c r="B86" s="143"/>
      <c r="C86" s="143"/>
      <c r="D86" s="143"/>
      <c r="E86" s="143"/>
      <c r="F86" s="143"/>
      <c r="G86" s="143"/>
      <c r="H86" s="143"/>
      <c r="I86" s="143"/>
      <c r="J86" s="143"/>
      <c r="K86" s="143"/>
      <c r="L86" s="143"/>
    </row>
    <row r="87" spans="1:12" s="18" customFormat="1">
      <c r="A87" s="143"/>
      <c r="B87" s="143"/>
      <c r="C87" s="143"/>
      <c r="D87" s="143"/>
      <c r="E87" s="143"/>
      <c r="F87" s="143"/>
      <c r="G87" s="143"/>
      <c r="H87" s="143"/>
      <c r="I87" s="143"/>
      <c r="J87" s="143"/>
      <c r="K87" s="143"/>
      <c r="L87" s="143"/>
    </row>
    <row r="88" spans="1:12" s="18" customFormat="1">
      <c r="A88" s="143"/>
      <c r="B88" s="143"/>
      <c r="C88" s="143"/>
      <c r="D88" s="143"/>
      <c r="E88" s="143"/>
      <c r="F88" s="143"/>
      <c r="G88" s="143"/>
      <c r="H88" s="143"/>
      <c r="I88" s="143"/>
      <c r="J88" s="143"/>
      <c r="K88" s="143"/>
      <c r="L88" s="143"/>
    </row>
    <row r="89" spans="1:12" s="18" customFormat="1">
      <c r="A89" s="143"/>
      <c r="B89" s="143"/>
      <c r="C89" s="143"/>
      <c r="D89" s="143"/>
      <c r="E89" s="143"/>
      <c r="F89" s="143"/>
      <c r="G89" s="143"/>
      <c r="H89" s="143"/>
      <c r="I89" s="143"/>
      <c r="J89" s="143"/>
      <c r="K89" s="143"/>
      <c r="L89" s="143"/>
    </row>
    <row r="90" spans="1:12" s="18" customFormat="1">
      <c r="A90" s="143"/>
      <c r="B90" s="143"/>
      <c r="C90" s="143"/>
      <c r="D90" s="143"/>
      <c r="E90" s="143"/>
      <c r="F90" s="143"/>
      <c r="G90" s="143"/>
      <c r="H90" s="143"/>
      <c r="I90" s="143"/>
      <c r="J90" s="143"/>
      <c r="K90" s="143"/>
      <c r="L90" s="143"/>
    </row>
    <row r="91" spans="1:12" s="18" customFormat="1">
      <c r="A91" s="143"/>
      <c r="B91" s="143"/>
      <c r="C91" s="143"/>
      <c r="D91" s="143"/>
      <c r="E91" s="143"/>
      <c r="F91" s="143"/>
      <c r="G91" s="143"/>
      <c r="H91" s="143"/>
      <c r="I91" s="143"/>
      <c r="J91" s="143"/>
      <c r="K91" s="143"/>
      <c r="L91" s="143"/>
    </row>
    <row r="92" spans="1:12" s="18" customFormat="1">
      <c r="A92" s="143"/>
      <c r="B92" s="143"/>
      <c r="C92" s="143"/>
      <c r="D92" s="143"/>
      <c r="E92" s="143"/>
      <c r="F92" s="143"/>
      <c r="G92" s="143"/>
      <c r="H92" s="143"/>
      <c r="I92" s="143"/>
      <c r="J92" s="143"/>
      <c r="K92" s="143"/>
      <c r="L92" s="143"/>
    </row>
  </sheetData>
  <mergeCells count="57">
    <mergeCell ref="A1:B1"/>
    <mergeCell ref="H2:I4"/>
    <mergeCell ref="A5:B6"/>
    <mergeCell ref="H5:I6"/>
    <mergeCell ref="F6:G6"/>
    <mergeCell ref="G7:G8"/>
    <mergeCell ref="B2:D2"/>
    <mergeCell ref="E2:G4"/>
    <mergeCell ref="D7:D8"/>
    <mergeCell ref="E7:E8"/>
    <mergeCell ref="F7:F8"/>
    <mergeCell ref="H7:I8"/>
    <mergeCell ref="C7:C8"/>
    <mergeCell ref="B9:G9"/>
    <mergeCell ref="H22:I22"/>
    <mergeCell ref="H11:I11"/>
    <mergeCell ref="H12:I12"/>
    <mergeCell ref="H13:I13"/>
    <mergeCell ref="H14:I14"/>
    <mergeCell ref="H15:I15"/>
    <mergeCell ref="H16:I16"/>
    <mergeCell ref="H17:I17"/>
    <mergeCell ref="H18:I18"/>
    <mergeCell ref="H19:I19"/>
    <mergeCell ref="H20:I20"/>
    <mergeCell ref="H21:I21"/>
    <mergeCell ref="B10:G10"/>
    <mergeCell ref="H34:I34"/>
    <mergeCell ref="H23:I23"/>
    <mergeCell ref="H24:I24"/>
    <mergeCell ref="H25:I25"/>
    <mergeCell ref="H26:I26"/>
    <mergeCell ref="H27:I27"/>
    <mergeCell ref="H28:I28"/>
    <mergeCell ref="H29:I29"/>
    <mergeCell ref="H30:I30"/>
    <mergeCell ref="H31:I31"/>
    <mergeCell ref="H32:I32"/>
    <mergeCell ref="H33:I33"/>
    <mergeCell ref="H46:I46"/>
    <mergeCell ref="H35:I35"/>
    <mergeCell ref="H36:I36"/>
    <mergeCell ref="H37:I37"/>
    <mergeCell ref="H38:I38"/>
    <mergeCell ref="H39:I39"/>
    <mergeCell ref="H40:I40"/>
    <mergeCell ref="H41:I41"/>
    <mergeCell ref="H42:I42"/>
    <mergeCell ref="H43:I43"/>
    <mergeCell ref="H44:I44"/>
    <mergeCell ref="H45:I45"/>
    <mergeCell ref="H52:I52"/>
    <mergeCell ref="H47:I47"/>
    <mergeCell ref="H48:I48"/>
    <mergeCell ref="H49:I49"/>
    <mergeCell ref="H50:I50"/>
    <mergeCell ref="H51:I51"/>
  </mergeCells>
  <pageMargins left="0.75" right="0.75" top="1" bottom="1" header="0.5" footer="0.5"/>
  <pageSetup scale="61" orientation="landscape" horizontalDpi="1200" verticalDpi="1200" r:id="rId1"/>
  <headerFooter>
    <oddHeader>&amp;L&amp;F&amp;C&amp;A&amp;R&amp;G</oddHeader>
    <oddFooter>&amp;C&amp;"Tahoma,Italic"Use or disclosure of the data on this page or screen is subject to the restrictions on the title page or opening view screen of this proposal document or file.&amp;R&amp;P of &amp;N</oddFooter>
  </headerFooter>
  <ignoredErrors>
    <ignoredError sqref="F11:F50" unlockedFormula="1"/>
  </ignoredErrors>
  <legacyDrawingHF r:id="rId2"/>
</worksheet>
</file>

<file path=xl/worksheets/sheet23.xml><?xml version="1.0" encoding="utf-8"?>
<worksheet xmlns="http://schemas.openxmlformats.org/spreadsheetml/2006/main" xmlns:r="http://schemas.openxmlformats.org/officeDocument/2006/relationships">
  <sheetPr>
    <tabColor theme="3" tint="0.79998168889431442"/>
  </sheetPr>
  <dimension ref="A1:O61"/>
  <sheetViews>
    <sheetView zoomScaleNormal="100" workbookViewId="0">
      <selection activeCell="A2" sqref="A2"/>
    </sheetView>
  </sheetViews>
  <sheetFormatPr defaultRowHeight="10.5"/>
  <cols>
    <col min="1" max="1" width="18" style="143" customWidth="1"/>
    <col min="2" max="2" width="51.5" style="143" customWidth="1"/>
    <col min="3" max="3" width="17.5" style="143" customWidth="1"/>
    <col min="4" max="4" width="14.5" style="143" hidden="1" customWidth="1"/>
    <col min="5" max="5" width="12.33203125" style="143" bestFit="1" customWidth="1"/>
    <col min="6" max="6" width="14.33203125" style="143" customWidth="1"/>
    <col min="7" max="7" width="15" style="143" hidden="1" customWidth="1"/>
    <col min="8" max="8" width="10.83203125" style="143" customWidth="1"/>
    <col min="9" max="9" width="21.5" style="143" customWidth="1"/>
    <col min="10" max="10" width="31" style="143" customWidth="1"/>
  </cols>
  <sheetData>
    <row r="1" spans="1:15" ht="21" customHeight="1">
      <c r="A1" s="1545" t="s">
        <v>424</v>
      </c>
      <c r="B1" s="1546"/>
      <c r="C1" s="226"/>
      <c r="D1" s="226"/>
      <c r="E1" s="226"/>
      <c r="F1" s="226"/>
      <c r="G1" s="226"/>
      <c r="H1" s="226"/>
      <c r="I1" s="226"/>
      <c r="J1" s="402"/>
      <c r="K1" s="8"/>
      <c r="L1" s="8"/>
      <c r="M1" s="8"/>
      <c r="N1" s="8"/>
      <c r="O1" s="8"/>
    </row>
    <row r="2" spans="1:15" s="81" customFormat="1" ht="21">
      <c r="A2" s="379"/>
      <c r="B2" s="1339" t="s">
        <v>370</v>
      </c>
      <c r="C2" s="1339"/>
      <c r="D2" s="1339"/>
      <c r="E2" s="1340" t="s">
        <v>622</v>
      </c>
      <c r="F2" s="1340"/>
      <c r="G2" s="1340"/>
      <c r="H2" s="1341" t="s">
        <v>623</v>
      </c>
      <c r="I2" s="1403"/>
      <c r="J2" s="370" t="s">
        <v>631</v>
      </c>
      <c r="K2" s="138"/>
      <c r="L2" s="138"/>
      <c r="M2" s="138"/>
      <c r="N2" s="138"/>
      <c r="O2" s="138"/>
    </row>
    <row r="3" spans="1:15" s="81" customFormat="1">
      <c r="A3" s="419" t="s">
        <v>426</v>
      </c>
      <c r="B3" s="419"/>
      <c r="C3" s="419"/>
      <c r="D3" s="419"/>
      <c r="E3" s="1340"/>
      <c r="F3" s="1340"/>
      <c r="G3" s="1340"/>
      <c r="H3" s="1341"/>
      <c r="I3" s="1403"/>
      <c r="J3" s="370"/>
      <c r="K3" s="138"/>
      <c r="L3" s="138"/>
      <c r="M3" s="138"/>
      <c r="N3" s="138"/>
      <c r="O3" s="138"/>
    </row>
    <row r="4" spans="1:15" s="81" customFormat="1">
      <c r="A4" s="419"/>
      <c r="B4" s="419"/>
      <c r="C4" s="419"/>
      <c r="D4" s="419"/>
      <c r="E4" s="1340"/>
      <c r="F4" s="1340"/>
      <c r="G4" s="1340"/>
      <c r="H4" s="1341"/>
      <c r="I4" s="1403"/>
      <c r="J4" s="370"/>
      <c r="K4" s="138"/>
      <c r="L4" s="138"/>
      <c r="M4" s="138"/>
      <c r="N4" s="138"/>
      <c r="O4" s="138"/>
    </row>
    <row r="5" spans="1:15" s="81" customFormat="1" ht="21">
      <c r="A5" s="1313" t="s">
        <v>1330</v>
      </c>
      <c r="B5" s="1313"/>
      <c r="C5" s="386"/>
      <c r="D5" s="275" t="s">
        <v>624</v>
      </c>
      <c r="E5" s="275" t="s">
        <v>277</v>
      </c>
      <c r="F5" s="420" t="s">
        <v>427</v>
      </c>
      <c r="G5" s="420"/>
      <c r="H5" s="1341" t="s">
        <v>625</v>
      </c>
      <c r="I5" s="1403"/>
      <c r="J5" s="370"/>
      <c r="K5" s="138"/>
      <c r="L5" s="138"/>
      <c r="M5" s="138"/>
      <c r="N5" s="138"/>
      <c r="O5" s="138"/>
    </row>
    <row r="6" spans="1:15">
      <c r="A6" s="1313"/>
      <c r="B6" s="1313"/>
      <c r="C6" s="390"/>
      <c r="D6" s="237"/>
      <c r="E6" s="237"/>
      <c r="F6" s="1369">
        <v>40638</v>
      </c>
      <c r="G6" s="1369"/>
      <c r="H6" s="1341"/>
      <c r="I6" s="1403"/>
      <c r="J6" s="370"/>
      <c r="K6" s="8"/>
      <c r="L6" s="8"/>
      <c r="M6" s="8"/>
      <c r="N6" s="8"/>
      <c r="O6" s="8"/>
    </row>
    <row r="7" spans="1:15" ht="10.5" customHeight="1">
      <c r="A7" s="375" t="s">
        <v>653</v>
      </c>
      <c r="B7" s="330" t="s">
        <v>428</v>
      </c>
      <c r="C7" s="1311" t="s">
        <v>429</v>
      </c>
      <c r="D7" s="1317" t="s">
        <v>1273</v>
      </c>
      <c r="E7" s="1318" t="s">
        <v>432</v>
      </c>
      <c r="F7" s="1316" t="s">
        <v>430</v>
      </c>
      <c r="G7" s="1317" t="s">
        <v>621</v>
      </c>
      <c r="H7" s="1328" t="s">
        <v>431</v>
      </c>
      <c r="I7" s="1404"/>
      <c r="J7" s="369" t="s">
        <v>627</v>
      </c>
      <c r="K7" s="8"/>
      <c r="L7" s="8"/>
      <c r="M7" s="8"/>
      <c r="N7" s="8"/>
      <c r="O7" s="8"/>
    </row>
    <row r="8" spans="1:15" ht="11.25">
      <c r="A8" s="367"/>
      <c r="B8" s="99"/>
      <c r="C8" s="1311"/>
      <c r="D8" s="1317"/>
      <c r="E8" s="1318"/>
      <c r="F8" s="1316"/>
      <c r="G8" s="1317"/>
      <c r="H8" s="1328"/>
      <c r="I8" s="1404"/>
      <c r="J8" s="369"/>
      <c r="K8" s="8"/>
      <c r="L8" s="8"/>
      <c r="M8" s="8"/>
      <c r="N8" s="8"/>
      <c r="O8" s="8"/>
    </row>
    <row r="9" spans="1:15">
      <c r="A9" s="154"/>
      <c r="B9" s="1434" t="s">
        <v>1236</v>
      </c>
      <c r="C9" s="1314"/>
      <c r="D9" s="1314"/>
      <c r="E9" s="1314"/>
      <c r="F9" s="1314"/>
      <c r="G9" s="1314"/>
      <c r="H9" s="374"/>
      <c r="I9" s="201"/>
      <c r="J9" s="152"/>
    </row>
    <row r="10" spans="1:15">
      <c r="A10" s="372"/>
      <c r="B10" s="1399" t="s">
        <v>1264</v>
      </c>
      <c r="C10" s="1400"/>
      <c r="D10" s="1400"/>
      <c r="E10" s="1400"/>
      <c r="F10" s="1400"/>
      <c r="G10" s="1314"/>
      <c r="H10" s="374"/>
      <c r="I10" s="201"/>
      <c r="J10" s="152"/>
    </row>
    <row r="11" spans="1:15" ht="11.25">
      <c r="A11" s="692" t="s">
        <v>2557</v>
      </c>
      <c r="B11" s="570" t="s">
        <v>1265</v>
      </c>
      <c r="C11" s="177" t="s">
        <v>1221</v>
      </c>
      <c r="D11" s="571">
        <v>1.4999999999999999E-2</v>
      </c>
      <c r="E11" s="571">
        <f>SUM(1.1*D11)</f>
        <v>1.6500000000000001E-2</v>
      </c>
      <c r="F11" s="201" t="s">
        <v>277</v>
      </c>
      <c r="G11" s="201" t="s">
        <v>277</v>
      </c>
      <c r="H11" s="1422" t="s">
        <v>999</v>
      </c>
      <c r="I11" s="1423"/>
      <c r="J11" s="154"/>
    </row>
    <row r="12" spans="1:15" ht="11.25">
      <c r="A12" s="692" t="s">
        <v>2553</v>
      </c>
      <c r="B12" s="570" t="s">
        <v>1266</v>
      </c>
      <c r="C12" s="177" t="s">
        <v>1221</v>
      </c>
      <c r="D12" s="572">
        <v>9.4900000000000002E-3</v>
      </c>
      <c r="E12" s="571">
        <f t="shared" ref="E12:E20" si="0">SUM(1.1*D12)</f>
        <v>1.0439E-2</v>
      </c>
      <c r="F12" s="201" t="s">
        <v>277</v>
      </c>
      <c r="G12" s="201" t="s">
        <v>277</v>
      </c>
      <c r="H12" s="1422" t="s">
        <v>999</v>
      </c>
      <c r="I12" s="1423"/>
      <c r="J12" s="154"/>
    </row>
    <row r="13" spans="1:15" ht="11.25">
      <c r="A13" s="692" t="s">
        <v>2554</v>
      </c>
      <c r="B13" s="570" t="s">
        <v>1267</v>
      </c>
      <c r="C13" s="177" t="s">
        <v>1221</v>
      </c>
      <c r="D13" s="572">
        <v>4.48E-2</v>
      </c>
      <c r="E13" s="571">
        <f t="shared" si="0"/>
        <v>4.9280000000000004E-2</v>
      </c>
      <c r="F13" s="201" t="s">
        <v>277</v>
      </c>
      <c r="G13" s="201" t="s">
        <v>277</v>
      </c>
      <c r="H13" s="1422" t="s">
        <v>999</v>
      </c>
      <c r="I13" s="1423"/>
      <c r="J13" s="154"/>
    </row>
    <row r="14" spans="1:15" ht="11.25">
      <c r="A14" s="692" t="s">
        <v>2555</v>
      </c>
      <c r="B14" s="570" t="s">
        <v>1268</v>
      </c>
      <c r="C14" s="177" t="s">
        <v>1221</v>
      </c>
      <c r="D14" s="571">
        <v>1.8100000000000002E-2</v>
      </c>
      <c r="E14" s="571">
        <f t="shared" si="0"/>
        <v>1.9910000000000004E-2</v>
      </c>
      <c r="F14" s="201" t="s">
        <v>277</v>
      </c>
      <c r="G14" s="201" t="s">
        <v>277</v>
      </c>
      <c r="H14" s="1422" t="s">
        <v>999</v>
      </c>
      <c r="I14" s="1423"/>
      <c r="J14" s="154"/>
    </row>
    <row r="15" spans="1:15" ht="11.25">
      <c r="A15" s="692" t="s">
        <v>2556</v>
      </c>
      <c r="B15" s="570" t="s">
        <v>1269</v>
      </c>
      <c r="C15" s="177" t="s">
        <v>1221</v>
      </c>
      <c r="D15" s="571">
        <v>0.2</v>
      </c>
      <c r="E15" s="571">
        <f t="shared" si="0"/>
        <v>0.22000000000000003</v>
      </c>
      <c r="F15" s="201" t="s">
        <v>277</v>
      </c>
      <c r="G15" s="201" t="s">
        <v>277</v>
      </c>
      <c r="H15" s="1422" t="s">
        <v>999</v>
      </c>
      <c r="I15" s="1423"/>
      <c r="J15" s="154"/>
    </row>
    <row r="16" spans="1:15" ht="11.25">
      <c r="A16" s="692" t="s">
        <v>2558</v>
      </c>
      <c r="B16" s="570" t="s">
        <v>1270</v>
      </c>
      <c r="C16" s="177" t="s">
        <v>1221</v>
      </c>
      <c r="D16" s="572">
        <v>0.41993799999999998</v>
      </c>
      <c r="E16" s="571">
        <f t="shared" si="0"/>
        <v>0.4619318</v>
      </c>
      <c r="F16" s="201" t="s">
        <v>277</v>
      </c>
      <c r="G16" s="201" t="s">
        <v>277</v>
      </c>
      <c r="H16" s="1422" t="s">
        <v>999</v>
      </c>
      <c r="I16" s="1423"/>
      <c r="J16" s="154"/>
    </row>
    <row r="17" spans="1:10">
      <c r="A17" s="372"/>
      <c r="B17" s="1399" t="s">
        <v>1271</v>
      </c>
      <c r="C17" s="1400"/>
      <c r="D17" s="1400"/>
      <c r="E17" s="1400"/>
      <c r="F17" s="1400"/>
      <c r="G17" s="1314"/>
      <c r="H17" s="374"/>
      <c r="I17" s="201"/>
      <c r="J17" s="152"/>
    </row>
    <row r="18" spans="1:10" ht="11.25">
      <c r="A18" s="692" t="s">
        <v>2559</v>
      </c>
      <c r="B18" s="533" t="s">
        <v>1272</v>
      </c>
      <c r="C18" s="177" t="s">
        <v>1221</v>
      </c>
      <c r="D18" s="534">
        <v>7.66</v>
      </c>
      <c r="E18" s="545">
        <f t="shared" si="0"/>
        <v>8.4260000000000002</v>
      </c>
      <c r="F18" s="201" t="s">
        <v>277</v>
      </c>
      <c r="G18" s="201" t="s">
        <v>277</v>
      </c>
      <c r="H18" s="1422" t="s">
        <v>1274</v>
      </c>
      <c r="I18" s="1423"/>
      <c r="J18" s="154"/>
    </row>
    <row r="19" spans="1:10">
      <c r="A19" s="372"/>
      <c r="B19" s="1399" t="s">
        <v>1275</v>
      </c>
      <c r="C19" s="1400"/>
      <c r="D19" s="1400"/>
      <c r="E19" s="1400"/>
      <c r="F19" s="1400"/>
      <c r="G19" s="1314"/>
      <c r="H19" s="374"/>
      <c r="I19" s="201"/>
      <c r="J19" s="152"/>
    </row>
    <row r="20" spans="1:10" ht="21.75" thickBot="1">
      <c r="A20" s="692" t="s">
        <v>2560</v>
      </c>
      <c r="B20" s="533" t="s">
        <v>1276</v>
      </c>
      <c r="C20" s="177" t="s">
        <v>1221</v>
      </c>
      <c r="D20" s="573">
        <v>5.7477E-2</v>
      </c>
      <c r="E20" s="571">
        <f t="shared" si="0"/>
        <v>6.3224700000000009E-2</v>
      </c>
      <c r="F20" s="201" t="s">
        <v>277</v>
      </c>
      <c r="G20" s="201" t="s">
        <v>277</v>
      </c>
      <c r="H20" s="1422" t="s">
        <v>999</v>
      </c>
      <c r="I20" s="1423"/>
      <c r="J20" s="154"/>
    </row>
    <row r="21" spans="1:10">
      <c r="A21" s="154"/>
      <c r="B21" s="539"/>
      <c r="C21" s="540"/>
      <c r="D21" s="540"/>
      <c r="E21" s="248"/>
      <c r="F21" s="248"/>
      <c r="G21" s="201"/>
      <c r="H21" s="1428"/>
      <c r="I21" s="1428"/>
      <c r="J21" s="154"/>
    </row>
    <row r="23" spans="1:10" s="18" customFormat="1">
      <c r="A23" s="151"/>
      <c r="B23" s="142"/>
      <c r="C23" s="143"/>
      <c r="D23" s="143"/>
      <c r="E23" s="143"/>
      <c r="F23" s="143"/>
      <c r="G23" s="143"/>
      <c r="H23" s="143"/>
      <c r="I23" s="143"/>
      <c r="J23" s="143"/>
    </row>
    <row r="24" spans="1:10" s="18" customFormat="1">
      <c r="A24" s="499"/>
      <c r="B24" s="431"/>
      <c r="C24" s="143"/>
      <c r="D24" s="143"/>
      <c r="E24" s="143"/>
      <c r="F24" s="143"/>
      <c r="G24" s="143"/>
      <c r="H24" s="143"/>
      <c r="I24" s="143"/>
      <c r="J24" s="143"/>
    </row>
    <row r="25" spans="1:10" s="18" customFormat="1">
      <c r="A25" s="188"/>
      <c r="B25" s="144"/>
      <c r="C25" s="143"/>
      <c r="D25" s="143"/>
      <c r="E25" s="143"/>
      <c r="F25" s="143"/>
      <c r="G25" s="143"/>
      <c r="H25" s="143"/>
      <c r="I25" s="143"/>
      <c r="J25" s="143"/>
    </row>
    <row r="26" spans="1:10" s="18" customFormat="1">
      <c r="A26" s="145"/>
      <c r="B26" s="146"/>
      <c r="C26" s="143"/>
      <c r="D26" s="143"/>
      <c r="E26" s="143"/>
      <c r="F26" s="143"/>
      <c r="G26" s="143"/>
      <c r="H26" s="143"/>
      <c r="I26" s="143"/>
      <c r="J26" s="143"/>
    </row>
    <row r="27" spans="1:10" s="18" customFormat="1">
      <c r="A27" s="145"/>
      <c r="B27" s="146"/>
      <c r="C27" s="143"/>
      <c r="D27" s="143"/>
      <c r="E27" s="143"/>
      <c r="F27" s="143"/>
      <c r="G27" s="143"/>
      <c r="H27" s="143"/>
      <c r="I27" s="143"/>
      <c r="J27" s="143"/>
    </row>
    <row r="28" spans="1:10" s="18" customFormat="1">
      <c r="A28" s="145"/>
      <c r="B28" s="146"/>
      <c r="C28" s="143"/>
      <c r="D28" s="143"/>
      <c r="E28" s="143"/>
      <c r="F28" s="143"/>
      <c r="G28" s="143"/>
      <c r="H28" s="143"/>
      <c r="I28" s="143"/>
      <c r="J28" s="143"/>
    </row>
    <row r="29" spans="1:10" s="18" customFormat="1">
      <c r="A29" s="143"/>
      <c r="B29" s="171"/>
      <c r="C29" s="143"/>
      <c r="D29" s="143"/>
      <c r="E29" s="143"/>
      <c r="F29" s="143"/>
      <c r="G29" s="143"/>
      <c r="H29" s="143"/>
      <c r="I29" s="143"/>
      <c r="J29" s="143"/>
    </row>
    <row r="30" spans="1:10" s="18" customFormat="1">
      <c r="A30" s="143"/>
      <c r="B30" s="143"/>
      <c r="C30" s="143"/>
      <c r="D30" s="143"/>
      <c r="E30" s="143"/>
      <c r="F30" s="143"/>
      <c r="G30" s="143"/>
      <c r="H30" s="143"/>
      <c r="I30" s="143"/>
      <c r="J30" s="143"/>
    </row>
    <row r="31" spans="1:10" s="18" customFormat="1">
      <c r="A31" s="143"/>
      <c r="B31" s="143"/>
      <c r="C31" s="143"/>
      <c r="D31" s="143"/>
      <c r="E31" s="143"/>
      <c r="F31" s="143"/>
      <c r="G31" s="143"/>
      <c r="H31" s="143"/>
      <c r="I31" s="143"/>
      <c r="J31" s="143"/>
    </row>
    <row r="32" spans="1:10" s="18" customFormat="1">
      <c r="A32" s="143"/>
      <c r="B32" s="143"/>
      <c r="C32" s="143"/>
      <c r="D32" s="143"/>
      <c r="E32" s="143"/>
      <c r="F32" s="143"/>
      <c r="G32" s="143"/>
      <c r="H32" s="143"/>
      <c r="I32" s="143"/>
      <c r="J32" s="143"/>
    </row>
    <row r="33" spans="1:10" s="18" customFormat="1">
      <c r="A33" s="143"/>
      <c r="B33" s="143"/>
      <c r="C33" s="143"/>
      <c r="D33" s="143"/>
      <c r="E33" s="143"/>
      <c r="F33" s="143"/>
      <c r="G33" s="143"/>
      <c r="H33" s="143"/>
      <c r="I33" s="143"/>
      <c r="J33" s="143"/>
    </row>
    <row r="34" spans="1:10" s="18" customFormat="1">
      <c r="A34" s="143"/>
      <c r="B34" s="143"/>
      <c r="C34" s="143"/>
      <c r="D34" s="143"/>
      <c r="E34" s="143"/>
      <c r="F34" s="143"/>
      <c r="G34" s="143"/>
      <c r="H34" s="143"/>
      <c r="I34" s="143"/>
      <c r="J34" s="143"/>
    </row>
    <row r="35" spans="1:10" s="18" customFormat="1">
      <c r="A35" s="143"/>
      <c r="B35" s="143"/>
      <c r="C35" s="143"/>
      <c r="D35" s="143"/>
      <c r="E35" s="143"/>
      <c r="F35" s="143"/>
      <c r="G35" s="143"/>
      <c r="H35" s="143"/>
      <c r="I35" s="143"/>
      <c r="J35" s="143"/>
    </row>
    <row r="36" spans="1:10" s="18" customFormat="1">
      <c r="A36" s="143"/>
      <c r="B36" s="143"/>
      <c r="C36" s="143"/>
      <c r="D36" s="143"/>
      <c r="E36" s="143"/>
      <c r="F36" s="143"/>
      <c r="G36" s="143"/>
      <c r="H36" s="143"/>
      <c r="I36" s="143"/>
      <c r="J36" s="143"/>
    </row>
    <row r="37" spans="1:10" s="18" customFormat="1">
      <c r="A37" s="143"/>
      <c r="B37" s="143"/>
      <c r="C37" s="143"/>
      <c r="D37" s="143"/>
      <c r="E37" s="143"/>
      <c r="F37" s="143"/>
      <c r="G37" s="143"/>
      <c r="H37" s="143"/>
      <c r="I37" s="143"/>
      <c r="J37" s="143"/>
    </row>
    <row r="38" spans="1:10" s="18" customFormat="1">
      <c r="A38" s="143"/>
      <c r="B38" s="143"/>
      <c r="C38" s="143"/>
      <c r="D38" s="143"/>
      <c r="E38" s="143"/>
      <c r="F38" s="143"/>
      <c r="G38" s="143"/>
      <c r="H38" s="143"/>
      <c r="I38" s="143"/>
      <c r="J38" s="143"/>
    </row>
    <row r="39" spans="1:10" s="18" customFormat="1">
      <c r="A39" s="143"/>
      <c r="B39" s="143"/>
      <c r="C39" s="143"/>
      <c r="D39" s="143"/>
      <c r="E39" s="143"/>
      <c r="F39" s="143"/>
      <c r="G39" s="143"/>
      <c r="H39" s="143"/>
      <c r="I39" s="143"/>
      <c r="J39" s="143"/>
    </row>
    <row r="40" spans="1:10" s="18" customFormat="1">
      <c r="A40" s="143"/>
      <c r="B40" s="143"/>
      <c r="C40" s="143"/>
      <c r="D40" s="143"/>
      <c r="E40" s="143"/>
      <c r="F40" s="143"/>
      <c r="G40" s="143"/>
      <c r="H40" s="143"/>
      <c r="I40" s="143"/>
      <c r="J40" s="143"/>
    </row>
    <row r="41" spans="1:10" s="18" customFormat="1">
      <c r="A41" s="143"/>
      <c r="B41" s="143"/>
      <c r="C41" s="143"/>
      <c r="D41" s="143"/>
      <c r="E41" s="143"/>
      <c r="F41" s="143"/>
      <c r="G41" s="143"/>
      <c r="H41" s="143"/>
      <c r="I41" s="143"/>
      <c r="J41" s="143"/>
    </row>
    <row r="42" spans="1:10" s="18" customFormat="1">
      <c r="A42" s="143"/>
      <c r="B42" s="143"/>
      <c r="C42" s="143"/>
      <c r="D42" s="143"/>
      <c r="E42" s="143"/>
      <c r="F42" s="143"/>
      <c r="G42" s="143"/>
      <c r="H42" s="143"/>
      <c r="I42" s="143"/>
      <c r="J42" s="143"/>
    </row>
    <row r="43" spans="1:10" s="18" customFormat="1">
      <c r="A43" s="143"/>
      <c r="B43" s="143"/>
      <c r="C43" s="143"/>
      <c r="D43" s="143"/>
      <c r="E43" s="143"/>
      <c r="F43" s="143"/>
      <c r="G43" s="143"/>
      <c r="H43" s="143"/>
      <c r="I43" s="143"/>
      <c r="J43" s="143"/>
    </row>
    <row r="44" spans="1:10" s="18" customFormat="1">
      <c r="A44" s="143"/>
      <c r="B44" s="143"/>
      <c r="C44" s="143"/>
      <c r="D44" s="143"/>
      <c r="E44" s="143"/>
      <c r="F44" s="143"/>
      <c r="G44" s="143"/>
      <c r="H44" s="143"/>
      <c r="I44" s="143"/>
      <c r="J44" s="143"/>
    </row>
    <row r="45" spans="1:10" s="18" customFormat="1">
      <c r="A45" s="143"/>
      <c r="B45" s="143"/>
      <c r="C45" s="143"/>
      <c r="D45" s="143"/>
      <c r="E45" s="143"/>
      <c r="F45" s="143"/>
      <c r="G45" s="143"/>
      <c r="H45" s="143"/>
      <c r="I45" s="143"/>
      <c r="J45" s="143"/>
    </row>
    <row r="46" spans="1:10" s="18" customFormat="1">
      <c r="A46" s="143"/>
      <c r="B46" s="143"/>
      <c r="C46" s="143"/>
      <c r="D46" s="143"/>
      <c r="E46" s="143"/>
      <c r="F46" s="143"/>
      <c r="G46" s="143"/>
      <c r="H46" s="143"/>
      <c r="I46" s="143"/>
      <c r="J46" s="143"/>
    </row>
    <row r="47" spans="1:10" s="18" customFormat="1">
      <c r="A47" s="143"/>
      <c r="B47" s="143"/>
      <c r="C47" s="143"/>
      <c r="D47" s="143"/>
      <c r="E47" s="143"/>
      <c r="F47" s="143"/>
      <c r="G47" s="143"/>
      <c r="H47" s="143"/>
      <c r="I47" s="143"/>
      <c r="J47" s="143"/>
    </row>
    <row r="48" spans="1:10" s="18" customFormat="1">
      <c r="A48" s="143"/>
      <c r="B48" s="143"/>
      <c r="C48" s="143"/>
      <c r="D48" s="143"/>
      <c r="E48" s="143"/>
      <c r="F48" s="143"/>
      <c r="G48" s="143"/>
      <c r="H48" s="143"/>
      <c r="I48" s="143"/>
      <c r="J48" s="143"/>
    </row>
    <row r="49" spans="1:10" s="18" customFormat="1">
      <c r="A49" s="143"/>
      <c r="B49" s="143"/>
      <c r="C49" s="143"/>
      <c r="D49" s="143"/>
      <c r="E49" s="143"/>
      <c r="F49" s="143"/>
      <c r="G49" s="143"/>
      <c r="H49" s="143"/>
      <c r="I49" s="143"/>
      <c r="J49" s="143"/>
    </row>
    <row r="50" spans="1:10" s="18" customFormat="1">
      <c r="A50" s="143"/>
      <c r="B50" s="143"/>
      <c r="C50" s="143"/>
      <c r="D50" s="143"/>
      <c r="E50" s="143"/>
      <c r="F50" s="143"/>
      <c r="G50" s="143"/>
      <c r="H50" s="143"/>
      <c r="I50" s="143"/>
      <c r="J50" s="143"/>
    </row>
    <row r="51" spans="1:10" s="18" customFormat="1">
      <c r="A51" s="143"/>
      <c r="B51" s="143"/>
      <c r="C51" s="143"/>
      <c r="D51" s="143"/>
      <c r="E51" s="143"/>
      <c r="F51" s="143"/>
      <c r="G51" s="143"/>
      <c r="H51" s="143"/>
      <c r="I51" s="143"/>
      <c r="J51" s="143"/>
    </row>
    <row r="52" spans="1:10" s="18" customFormat="1">
      <c r="A52" s="143"/>
      <c r="B52" s="143"/>
      <c r="C52" s="143"/>
      <c r="D52" s="143"/>
      <c r="E52" s="143"/>
      <c r="F52" s="143"/>
      <c r="G52" s="143"/>
      <c r="H52" s="143"/>
      <c r="I52" s="143"/>
      <c r="J52" s="143"/>
    </row>
    <row r="53" spans="1:10" s="18" customFormat="1">
      <c r="A53" s="143"/>
      <c r="B53" s="143"/>
      <c r="C53" s="143"/>
      <c r="D53" s="143"/>
      <c r="E53" s="143"/>
      <c r="F53" s="143"/>
      <c r="G53" s="143"/>
      <c r="H53" s="143"/>
      <c r="I53" s="143"/>
      <c r="J53" s="143"/>
    </row>
    <row r="54" spans="1:10" s="18" customFormat="1">
      <c r="A54" s="143"/>
      <c r="B54" s="143"/>
      <c r="C54" s="143"/>
      <c r="D54" s="143"/>
      <c r="E54" s="143"/>
      <c r="F54" s="143"/>
      <c r="G54" s="143"/>
      <c r="H54" s="143"/>
      <c r="I54" s="143"/>
      <c r="J54" s="143"/>
    </row>
    <row r="55" spans="1:10" s="18" customFormat="1">
      <c r="A55" s="143"/>
      <c r="B55" s="143"/>
      <c r="C55" s="143"/>
      <c r="D55" s="143"/>
      <c r="E55" s="143"/>
      <c r="F55" s="143"/>
      <c r="G55" s="143"/>
      <c r="H55" s="143"/>
      <c r="I55" s="143"/>
      <c r="J55" s="143"/>
    </row>
    <row r="56" spans="1:10" s="18" customFormat="1">
      <c r="A56" s="143"/>
      <c r="B56" s="143"/>
      <c r="C56" s="143"/>
      <c r="D56" s="143"/>
      <c r="E56" s="143"/>
      <c r="F56" s="143"/>
      <c r="G56" s="143"/>
      <c r="H56" s="143"/>
      <c r="I56" s="143"/>
      <c r="J56" s="143"/>
    </row>
    <row r="57" spans="1:10" s="18" customFormat="1">
      <c r="A57" s="143"/>
      <c r="B57" s="143"/>
      <c r="C57" s="143"/>
      <c r="D57" s="143"/>
      <c r="E57" s="143"/>
      <c r="F57" s="143"/>
      <c r="G57" s="143"/>
      <c r="H57" s="143"/>
      <c r="I57" s="143"/>
      <c r="J57" s="143"/>
    </row>
    <row r="58" spans="1:10" s="18" customFormat="1">
      <c r="A58" s="143"/>
      <c r="B58" s="143"/>
      <c r="C58" s="143"/>
      <c r="D58" s="143"/>
      <c r="E58" s="143"/>
      <c r="F58" s="143"/>
      <c r="G58" s="143"/>
      <c r="H58" s="143"/>
      <c r="I58" s="143"/>
      <c r="J58" s="143"/>
    </row>
    <row r="59" spans="1:10" s="18" customFormat="1">
      <c r="A59" s="143"/>
      <c r="B59" s="143"/>
      <c r="C59" s="143"/>
      <c r="D59" s="143"/>
      <c r="E59" s="143"/>
      <c r="F59" s="143"/>
      <c r="G59" s="143"/>
      <c r="H59" s="143"/>
      <c r="I59" s="143"/>
      <c r="J59" s="143"/>
    </row>
    <row r="60" spans="1:10" s="18" customFormat="1">
      <c r="A60" s="143"/>
      <c r="B60" s="143"/>
      <c r="C60" s="143"/>
      <c r="D60" s="143"/>
      <c r="E60" s="143"/>
      <c r="F60" s="143"/>
      <c r="G60" s="143"/>
      <c r="H60" s="143"/>
      <c r="I60" s="143"/>
      <c r="J60" s="143"/>
    </row>
    <row r="61" spans="1:10" s="18" customFormat="1">
      <c r="A61" s="143"/>
      <c r="B61" s="143"/>
      <c r="C61" s="143"/>
      <c r="D61" s="143"/>
      <c r="E61" s="143"/>
      <c r="F61" s="143"/>
      <c r="G61" s="143"/>
      <c r="H61" s="143"/>
      <c r="I61" s="143"/>
      <c r="J61" s="143"/>
    </row>
  </sheetData>
  <mergeCells count="26">
    <mergeCell ref="A1:B1"/>
    <mergeCell ref="H14:I14"/>
    <mergeCell ref="H15:I15"/>
    <mergeCell ref="H21:I21"/>
    <mergeCell ref="B17:G17"/>
    <mergeCell ref="B19:G19"/>
    <mergeCell ref="H18:I18"/>
    <mergeCell ref="H20:I20"/>
    <mergeCell ref="H16:I16"/>
    <mergeCell ref="G7:G8"/>
    <mergeCell ref="H7:I8"/>
    <mergeCell ref="B9:G9"/>
    <mergeCell ref="H11:I11"/>
    <mergeCell ref="H12:I12"/>
    <mergeCell ref="H13:I13"/>
    <mergeCell ref="B2:D2"/>
    <mergeCell ref="E2:G4"/>
    <mergeCell ref="H2:I4"/>
    <mergeCell ref="A5:B6"/>
    <mergeCell ref="H5:I6"/>
    <mergeCell ref="F6:G6"/>
    <mergeCell ref="B10:G10"/>
    <mergeCell ref="C7:C8"/>
    <mergeCell ref="D7:D8"/>
    <mergeCell ref="E7:E8"/>
    <mergeCell ref="F7:F8"/>
  </mergeCells>
  <pageMargins left="0.75" right="0.75" top="1" bottom="1" header="0.5" footer="0.5"/>
  <pageSetup scale="62" orientation="landscape" horizontalDpi="1200" verticalDpi="1200" r:id="rId1"/>
  <headerFooter>
    <oddHeader>&amp;L&amp;F&amp;C&amp;A&amp;R&amp;G</oddHeader>
    <oddFooter>&amp;C&amp;"Tahoma,Italic"Use or disclosure of the data on this page or screen is subject to the restrictions on the title page or opening view screen of this proposal document or file.&amp;R&amp;P of &amp;N</oddFooter>
  </headerFooter>
  <ignoredErrors>
    <ignoredError sqref="E11:E16" unlockedFormula="1"/>
  </ignoredErrors>
  <legacyDrawingHF r:id="rId2"/>
</worksheet>
</file>

<file path=xl/worksheets/sheet24.xml><?xml version="1.0" encoding="utf-8"?>
<worksheet xmlns="http://schemas.openxmlformats.org/spreadsheetml/2006/main" xmlns:r="http://schemas.openxmlformats.org/officeDocument/2006/relationships">
  <sheetPr>
    <tabColor theme="3" tint="0.79998168889431442"/>
  </sheetPr>
  <dimension ref="A1:J50"/>
  <sheetViews>
    <sheetView zoomScaleNormal="100" workbookViewId="0">
      <selection sqref="A1:B1"/>
    </sheetView>
  </sheetViews>
  <sheetFormatPr defaultRowHeight="10.5"/>
  <cols>
    <col min="1" max="1" width="15.5" customWidth="1"/>
    <col min="2" max="2" width="22" style="143" customWidth="1"/>
    <col min="3" max="3" width="14.6640625" style="143" customWidth="1"/>
    <col min="4" max="4" width="14.6640625" style="143" hidden="1" customWidth="1"/>
    <col min="5" max="5" width="9.83203125" style="143" bestFit="1" customWidth="1"/>
    <col min="6" max="6" width="15" style="143" customWidth="1"/>
    <col min="7" max="7" width="12.5" style="143" hidden="1" customWidth="1"/>
    <col min="8" max="8" width="10.6640625" style="143" customWidth="1"/>
    <col min="9" max="9" width="31.6640625" customWidth="1"/>
    <col min="10" max="10" width="32.1640625" customWidth="1"/>
    <col min="253" max="253" width="15.5" customWidth="1"/>
    <col min="254" max="254" width="22" customWidth="1"/>
    <col min="255" max="256" width="14.6640625" customWidth="1"/>
    <col min="257" max="257" width="9.83203125" bestFit="1" customWidth="1"/>
    <col min="260" max="260" width="15" customWidth="1"/>
    <col min="261" max="261" width="12.5" customWidth="1"/>
    <col min="262" max="262" width="12.6640625" customWidth="1"/>
    <col min="263" max="264" width="10.6640625" customWidth="1"/>
    <col min="265" max="265" width="20" customWidth="1"/>
    <col min="266" max="266" width="32.1640625" customWidth="1"/>
    <col min="509" max="509" width="15.5" customWidth="1"/>
    <col min="510" max="510" width="22" customWidth="1"/>
    <col min="511" max="512" width="14.6640625" customWidth="1"/>
    <col min="513" max="513" width="9.83203125" bestFit="1" customWidth="1"/>
    <col min="516" max="516" width="15" customWidth="1"/>
    <col min="517" max="517" width="12.5" customWidth="1"/>
    <col min="518" max="518" width="12.6640625" customWidth="1"/>
    <col min="519" max="520" width="10.6640625" customWidth="1"/>
    <col min="521" max="521" width="20" customWidth="1"/>
    <col min="522" max="522" width="32.1640625" customWidth="1"/>
    <col min="765" max="765" width="15.5" customWidth="1"/>
    <col min="766" max="766" width="22" customWidth="1"/>
    <col min="767" max="768" width="14.6640625" customWidth="1"/>
    <col min="769" max="769" width="9.83203125" bestFit="1" customWidth="1"/>
    <col min="772" max="772" width="15" customWidth="1"/>
    <col min="773" max="773" width="12.5" customWidth="1"/>
    <col min="774" max="774" width="12.6640625" customWidth="1"/>
    <col min="775" max="776" width="10.6640625" customWidth="1"/>
    <col min="777" max="777" width="20" customWidth="1"/>
    <col min="778" max="778" width="32.1640625" customWidth="1"/>
    <col min="1021" max="1021" width="15.5" customWidth="1"/>
    <col min="1022" max="1022" width="22" customWidth="1"/>
    <col min="1023" max="1024" width="14.6640625" customWidth="1"/>
    <col min="1025" max="1025" width="9.83203125" bestFit="1" customWidth="1"/>
    <col min="1028" max="1028" width="15" customWidth="1"/>
    <col min="1029" max="1029" width="12.5" customWidth="1"/>
    <col min="1030" max="1030" width="12.6640625" customWidth="1"/>
    <col min="1031" max="1032" width="10.6640625" customWidth="1"/>
    <col min="1033" max="1033" width="20" customWidth="1"/>
    <col min="1034" max="1034" width="32.1640625" customWidth="1"/>
    <col min="1277" max="1277" width="15.5" customWidth="1"/>
    <col min="1278" max="1278" width="22" customWidth="1"/>
    <col min="1279" max="1280" width="14.6640625" customWidth="1"/>
    <col min="1281" max="1281" width="9.83203125" bestFit="1" customWidth="1"/>
    <col min="1284" max="1284" width="15" customWidth="1"/>
    <col min="1285" max="1285" width="12.5" customWidth="1"/>
    <col min="1286" max="1286" width="12.6640625" customWidth="1"/>
    <col min="1287" max="1288" width="10.6640625" customWidth="1"/>
    <col min="1289" max="1289" width="20" customWidth="1"/>
    <col min="1290" max="1290" width="32.1640625" customWidth="1"/>
    <col min="1533" max="1533" width="15.5" customWidth="1"/>
    <col min="1534" max="1534" width="22" customWidth="1"/>
    <col min="1535" max="1536" width="14.6640625" customWidth="1"/>
    <col min="1537" max="1537" width="9.83203125" bestFit="1" customWidth="1"/>
    <col min="1540" max="1540" width="15" customWidth="1"/>
    <col min="1541" max="1541" width="12.5" customWidth="1"/>
    <col min="1542" max="1542" width="12.6640625" customWidth="1"/>
    <col min="1543" max="1544" width="10.6640625" customWidth="1"/>
    <col min="1545" max="1545" width="20" customWidth="1"/>
    <col min="1546" max="1546" width="32.1640625" customWidth="1"/>
    <col min="1789" max="1789" width="15.5" customWidth="1"/>
    <col min="1790" max="1790" width="22" customWidth="1"/>
    <col min="1791" max="1792" width="14.6640625" customWidth="1"/>
    <col min="1793" max="1793" width="9.83203125" bestFit="1" customWidth="1"/>
    <col min="1796" max="1796" width="15" customWidth="1"/>
    <col min="1797" max="1797" width="12.5" customWidth="1"/>
    <col min="1798" max="1798" width="12.6640625" customWidth="1"/>
    <col min="1799" max="1800" width="10.6640625" customWidth="1"/>
    <col min="1801" max="1801" width="20" customWidth="1"/>
    <col min="1802" max="1802" width="32.1640625" customWidth="1"/>
    <col min="2045" max="2045" width="15.5" customWidth="1"/>
    <col min="2046" max="2046" width="22" customWidth="1"/>
    <col min="2047" max="2048" width="14.6640625" customWidth="1"/>
    <col min="2049" max="2049" width="9.83203125" bestFit="1" customWidth="1"/>
    <col min="2052" max="2052" width="15" customWidth="1"/>
    <col min="2053" max="2053" width="12.5" customWidth="1"/>
    <col min="2054" max="2054" width="12.6640625" customWidth="1"/>
    <col min="2055" max="2056" width="10.6640625" customWidth="1"/>
    <col min="2057" max="2057" width="20" customWidth="1"/>
    <col min="2058" max="2058" width="32.1640625" customWidth="1"/>
    <col min="2301" max="2301" width="15.5" customWidth="1"/>
    <col min="2302" max="2302" width="22" customWidth="1"/>
    <col min="2303" max="2304" width="14.6640625" customWidth="1"/>
    <col min="2305" max="2305" width="9.83203125" bestFit="1" customWidth="1"/>
    <col min="2308" max="2308" width="15" customWidth="1"/>
    <col min="2309" max="2309" width="12.5" customWidth="1"/>
    <col min="2310" max="2310" width="12.6640625" customWidth="1"/>
    <col min="2311" max="2312" width="10.6640625" customWidth="1"/>
    <col min="2313" max="2313" width="20" customWidth="1"/>
    <col min="2314" max="2314" width="32.1640625" customWidth="1"/>
    <col min="2557" max="2557" width="15.5" customWidth="1"/>
    <col min="2558" max="2558" width="22" customWidth="1"/>
    <col min="2559" max="2560" width="14.6640625" customWidth="1"/>
    <col min="2561" max="2561" width="9.83203125" bestFit="1" customWidth="1"/>
    <col min="2564" max="2564" width="15" customWidth="1"/>
    <col min="2565" max="2565" width="12.5" customWidth="1"/>
    <col min="2566" max="2566" width="12.6640625" customWidth="1"/>
    <col min="2567" max="2568" width="10.6640625" customWidth="1"/>
    <col min="2569" max="2569" width="20" customWidth="1"/>
    <col min="2570" max="2570" width="32.1640625" customWidth="1"/>
    <col min="2813" max="2813" width="15.5" customWidth="1"/>
    <col min="2814" max="2814" width="22" customWidth="1"/>
    <col min="2815" max="2816" width="14.6640625" customWidth="1"/>
    <col min="2817" max="2817" width="9.83203125" bestFit="1" customWidth="1"/>
    <col min="2820" max="2820" width="15" customWidth="1"/>
    <col min="2821" max="2821" width="12.5" customWidth="1"/>
    <col min="2822" max="2822" width="12.6640625" customWidth="1"/>
    <col min="2823" max="2824" width="10.6640625" customWidth="1"/>
    <col min="2825" max="2825" width="20" customWidth="1"/>
    <col min="2826" max="2826" width="32.1640625" customWidth="1"/>
    <col min="3069" max="3069" width="15.5" customWidth="1"/>
    <col min="3070" max="3070" width="22" customWidth="1"/>
    <col min="3071" max="3072" width="14.6640625" customWidth="1"/>
    <col min="3073" max="3073" width="9.83203125" bestFit="1" customWidth="1"/>
    <col min="3076" max="3076" width="15" customWidth="1"/>
    <col min="3077" max="3077" width="12.5" customWidth="1"/>
    <col min="3078" max="3078" width="12.6640625" customWidth="1"/>
    <col min="3079" max="3080" width="10.6640625" customWidth="1"/>
    <col min="3081" max="3081" width="20" customWidth="1"/>
    <col min="3082" max="3082" width="32.1640625" customWidth="1"/>
    <col min="3325" max="3325" width="15.5" customWidth="1"/>
    <col min="3326" max="3326" width="22" customWidth="1"/>
    <col min="3327" max="3328" width="14.6640625" customWidth="1"/>
    <col min="3329" max="3329" width="9.83203125" bestFit="1" customWidth="1"/>
    <col min="3332" max="3332" width="15" customWidth="1"/>
    <col min="3333" max="3333" width="12.5" customWidth="1"/>
    <col min="3334" max="3334" width="12.6640625" customWidth="1"/>
    <col min="3335" max="3336" width="10.6640625" customWidth="1"/>
    <col min="3337" max="3337" width="20" customWidth="1"/>
    <col min="3338" max="3338" width="32.1640625" customWidth="1"/>
    <col min="3581" max="3581" width="15.5" customWidth="1"/>
    <col min="3582" max="3582" width="22" customWidth="1"/>
    <col min="3583" max="3584" width="14.6640625" customWidth="1"/>
    <col min="3585" max="3585" width="9.83203125" bestFit="1" customWidth="1"/>
    <col min="3588" max="3588" width="15" customWidth="1"/>
    <col min="3589" max="3589" width="12.5" customWidth="1"/>
    <col min="3590" max="3590" width="12.6640625" customWidth="1"/>
    <col min="3591" max="3592" width="10.6640625" customWidth="1"/>
    <col min="3593" max="3593" width="20" customWidth="1"/>
    <col min="3594" max="3594" width="32.1640625" customWidth="1"/>
    <col min="3837" max="3837" width="15.5" customWidth="1"/>
    <col min="3838" max="3838" width="22" customWidth="1"/>
    <col min="3839" max="3840" width="14.6640625" customWidth="1"/>
    <col min="3841" max="3841" width="9.83203125" bestFit="1" customWidth="1"/>
    <col min="3844" max="3844" width="15" customWidth="1"/>
    <col min="3845" max="3845" width="12.5" customWidth="1"/>
    <col min="3846" max="3846" width="12.6640625" customWidth="1"/>
    <col min="3847" max="3848" width="10.6640625" customWidth="1"/>
    <col min="3849" max="3849" width="20" customWidth="1"/>
    <col min="3850" max="3850" width="32.1640625" customWidth="1"/>
    <col min="4093" max="4093" width="15.5" customWidth="1"/>
    <col min="4094" max="4094" width="22" customWidth="1"/>
    <col min="4095" max="4096" width="14.6640625" customWidth="1"/>
    <col min="4097" max="4097" width="9.83203125" bestFit="1" customWidth="1"/>
    <col min="4100" max="4100" width="15" customWidth="1"/>
    <col min="4101" max="4101" width="12.5" customWidth="1"/>
    <col min="4102" max="4102" width="12.6640625" customWidth="1"/>
    <col min="4103" max="4104" width="10.6640625" customWidth="1"/>
    <col min="4105" max="4105" width="20" customWidth="1"/>
    <col min="4106" max="4106" width="32.1640625" customWidth="1"/>
    <col min="4349" max="4349" width="15.5" customWidth="1"/>
    <col min="4350" max="4350" width="22" customWidth="1"/>
    <col min="4351" max="4352" width="14.6640625" customWidth="1"/>
    <col min="4353" max="4353" width="9.83203125" bestFit="1" customWidth="1"/>
    <col min="4356" max="4356" width="15" customWidth="1"/>
    <col min="4357" max="4357" width="12.5" customWidth="1"/>
    <col min="4358" max="4358" width="12.6640625" customWidth="1"/>
    <col min="4359" max="4360" width="10.6640625" customWidth="1"/>
    <col min="4361" max="4361" width="20" customWidth="1"/>
    <col min="4362" max="4362" width="32.1640625" customWidth="1"/>
    <col min="4605" max="4605" width="15.5" customWidth="1"/>
    <col min="4606" max="4606" width="22" customWidth="1"/>
    <col min="4607" max="4608" width="14.6640625" customWidth="1"/>
    <col min="4609" max="4609" width="9.83203125" bestFit="1" customWidth="1"/>
    <col min="4612" max="4612" width="15" customWidth="1"/>
    <col min="4613" max="4613" width="12.5" customWidth="1"/>
    <col min="4614" max="4614" width="12.6640625" customWidth="1"/>
    <col min="4615" max="4616" width="10.6640625" customWidth="1"/>
    <col min="4617" max="4617" width="20" customWidth="1"/>
    <col min="4618" max="4618" width="32.1640625" customWidth="1"/>
    <col min="4861" max="4861" width="15.5" customWidth="1"/>
    <col min="4862" max="4862" width="22" customWidth="1"/>
    <col min="4863" max="4864" width="14.6640625" customWidth="1"/>
    <col min="4865" max="4865" width="9.83203125" bestFit="1" customWidth="1"/>
    <col min="4868" max="4868" width="15" customWidth="1"/>
    <col min="4869" max="4869" width="12.5" customWidth="1"/>
    <col min="4870" max="4870" width="12.6640625" customWidth="1"/>
    <col min="4871" max="4872" width="10.6640625" customWidth="1"/>
    <col min="4873" max="4873" width="20" customWidth="1"/>
    <col min="4874" max="4874" width="32.1640625" customWidth="1"/>
    <col min="5117" max="5117" width="15.5" customWidth="1"/>
    <col min="5118" max="5118" width="22" customWidth="1"/>
    <col min="5119" max="5120" width="14.6640625" customWidth="1"/>
    <col min="5121" max="5121" width="9.83203125" bestFit="1" customWidth="1"/>
    <col min="5124" max="5124" width="15" customWidth="1"/>
    <col min="5125" max="5125" width="12.5" customWidth="1"/>
    <col min="5126" max="5126" width="12.6640625" customWidth="1"/>
    <col min="5127" max="5128" width="10.6640625" customWidth="1"/>
    <col min="5129" max="5129" width="20" customWidth="1"/>
    <col min="5130" max="5130" width="32.1640625" customWidth="1"/>
    <col min="5373" max="5373" width="15.5" customWidth="1"/>
    <col min="5374" max="5374" width="22" customWidth="1"/>
    <col min="5375" max="5376" width="14.6640625" customWidth="1"/>
    <col min="5377" max="5377" width="9.83203125" bestFit="1" customWidth="1"/>
    <col min="5380" max="5380" width="15" customWidth="1"/>
    <col min="5381" max="5381" width="12.5" customWidth="1"/>
    <col min="5382" max="5382" width="12.6640625" customWidth="1"/>
    <col min="5383" max="5384" width="10.6640625" customWidth="1"/>
    <col min="5385" max="5385" width="20" customWidth="1"/>
    <col min="5386" max="5386" width="32.1640625" customWidth="1"/>
    <col min="5629" max="5629" width="15.5" customWidth="1"/>
    <col min="5630" max="5630" width="22" customWidth="1"/>
    <col min="5631" max="5632" width="14.6640625" customWidth="1"/>
    <col min="5633" max="5633" width="9.83203125" bestFit="1" customWidth="1"/>
    <col min="5636" max="5636" width="15" customWidth="1"/>
    <col min="5637" max="5637" width="12.5" customWidth="1"/>
    <col min="5638" max="5638" width="12.6640625" customWidth="1"/>
    <col min="5639" max="5640" width="10.6640625" customWidth="1"/>
    <col min="5641" max="5641" width="20" customWidth="1"/>
    <col min="5642" max="5642" width="32.1640625" customWidth="1"/>
    <col min="5885" max="5885" width="15.5" customWidth="1"/>
    <col min="5886" max="5886" width="22" customWidth="1"/>
    <col min="5887" max="5888" width="14.6640625" customWidth="1"/>
    <col min="5889" max="5889" width="9.83203125" bestFit="1" customWidth="1"/>
    <col min="5892" max="5892" width="15" customWidth="1"/>
    <col min="5893" max="5893" width="12.5" customWidth="1"/>
    <col min="5894" max="5894" width="12.6640625" customWidth="1"/>
    <col min="5895" max="5896" width="10.6640625" customWidth="1"/>
    <col min="5897" max="5897" width="20" customWidth="1"/>
    <col min="5898" max="5898" width="32.1640625" customWidth="1"/>
    <col min="6141" max="6141" width="15.5" customWidth="1"/>
    <col min="6142" max="6142" width="22" customWidth="1"/>
    <col min="6143" max="6144" width="14.6640625" customWidth="1"/>
    <col min="6145" max="6145" width="9.83203125" bestFit="1" customWidth="1"/>
    <col min="6148" max="6148" width="15" customWidth="1"/>
    <col min="6149" max="6149" width="12.5" customWidth="1"/>
    <col min="6150" max="6150" width="12.6640625" customWidth="1"/>
    <col min="6151" max="6152" width="10.6640625" customWidth="1"/>
    <col min="6153" max="6153" width="20" customWidth="1"/>
    <col min="6154" max="6154" width="32.1640625" customWidth="1"/>
    <col min="6397" max="6397" width="15.5" customWidth="1"/>
    <col min="6398" max="6398" width="22" customWidth="1"/>
    <col min="6399" max="6400" width="14.6640625" customWidth="1"/>
    <col min="6401" max="6401" width="9.83203125" bestFit="1" customWidth="1"/>
    <col min="6404" max="6404" width="15" customWidth="1"/>
    <col min="6405" max="6405" width="12.5" customWidth="1"/>
    <col min="6406" max="6406" width="12.6640625" customWidth="1"/>
    <col min="6407" max="6408" width="10.6640625" customWidth="1"/>
    <col min="6409" max="6409" width="20" customWidth="1"/>
    <col min="6410" max="6410" width="32.1640625" customWidth="1"/>
    <col min="6653" max="6653" width="15.5" customWidth="1"/>
    <col min="6654" max="6654" width="22" customWidth="1"/>
    <col min="6655" max="6656" width="14.6640625" customWidth="1"/>
    <col min="6657" max="6657" width="9.83203125" bestFit="1" customWidth="1"/>
    <col min="6660" max="6660" width="15" customWidth="1"/>
    <col min="6661" max="6661" width="12.5" customWidth="1"/>
    <col min="6662" max="6662" width="12.6640625" customWidth="1"/>
    <col min="6663" max="6664" width="10.6640625" customWidth="1"/>
    <col min="6665" max="6665" width="20" customWidth="1"/>
    <col min="6666" max="6666" width="32.1640625" customWidth="1"/>
    <col min="6909" max="6909" width="15.5" customWidth="1"/>
    <col min="6910" max="6910" width="22" customWidth="1"/>
    <col min="6911" max="6912" width="14.6640625" customWidth="1"/>
    <col min="6913" max="6913" width="9.83203125" bestFit="1" customWidth="1"/>
    <col min="6916" max="6916" width="15" customWidth="1"/>
    <col min="6917" max="6917" width="12.5" customWidth="1"/>
    <col min="6918" max="6918" width="12.6640625" customWidth="1"/>
    <col min="6919" max="6920" width="10.6640625" customWidth="1"/>
    <col min="6921" max="6921" width="20" customWidth="1"/>
    <col min="6922" max="6922" width="32.1640625" customWidth="1"/>
    <col min="7165" max="7165" width="15.5" customWidth="1"/>
    <col min="7166" max="7166" width="22" customWidth="1"/>
    <col min="7167" max="7168" width="14.6640625" customWidth="1"/>
    <col min="7169" max="7169" width="9.83203125" bestFit="1" customWidth="1"/>
    <col min="7172" max="7172" width="15" customWidth="1"/>
    <col min="7173" max="7173" width="12.5" customWidth="1"/>
    <col min="7174" max="7174" width="12.6640625" customWidth="1"/>
    <col min="7175" max="7176" width="10.6640625" customWidth="1"/>
    <col min="7177" max="7177" width="20" customWidth="1"/>
    <col min="7178" max="7178" width="32.1640625" customWidth="1"/>
    <col min="7421" max="7421" width="15.5" customWidth="1"/>
    <col min="7422" max="7422" width="22" customWidth="1"/>
    <col min="7423" max="7424" width="14.6640625" customWidth="1"/>
    <col min="7425" max="7425" width="9.83203125" bestFit="1" customWidth="1"/>
    <col min="7428" max="7428" width="15" customWidth="1"/>
    <col min="7429" max="7429" width="12.5" customWidth="1"/>
    <col min="7430" max="7430" width="12.6640625" customWidth="1"/>
    <col min="7431" max="7432" width="10.6640625" customWidth="1"/>
    <col min="7433" max="7433" width="20" customWidth="1"/>
    <col min="7434" max="7434" width="32.1640625" customWidth="1"/>
    <col min="7677" max="7677" width="15.5" customWidth="1"/>
    <col min="7678" max="7678" width="22" customWidth="1"/>
    <col min="7679" max="7680" width="14.6640625" customWidth="1"/>
    <col min="7681" max="7681" width="9.83203125" bestFit="1" customWidth="1"/>
    <col min="7684" max="7684" width="15" customWidth="1"/>
    <col min="7685" max="7685" width="12.5" customWidth="1"/>
    <col min="7686" max="7686" width="12.6640625" customWidth="1"/>
    <col min="7687" max="7688" width="10.6640625" customWidth="1"/>
    <col min="7689" max="7689" width="20" customWidth="1"/>
    <col min="7690" max="7690" width="32.1640625" customWidth="1"/>
    <col min="7933" max="7933" width="15.5" customWidth="1"/>
    <col min="7934" max="7934" width="22" customWidth="1"/>
    <col min="7935" max="7936" width="14.6640625" customWidth="1"/>
    <col min="7937" max="7937" width="9.83203125" bestFit="1" customWidth="1"/>
    <col min="7940" max="7940" width="15" customWidth="1"/>
    <col min="7941" max="7941" width="12.5" customWidth="1"/>
    <col min="7942" max="7942" width="12.6640625" customWidth="1"/>
    <col min="7943" max="7944" width="10.6640625" customWidth="1"/>
    <col min="7945" max="7945" width="20" customWidth="1"/>
    <col min="7946" max="7946" width="32.1640625" customWidth="1"/>
    <col min="8189" max="8189" width="15.5" customWidth="1"/>
    <col min="8190" max="8190" width="22" customWidth="1"/>
    <col min="8191" max="8192" width="14.6640625" customWidth="1"/>
    <col min="8193" max="8193" width="9.83203125" bestFit="1" customWidth="1"/>
    <col min="8196" max="8196" width="15" customWidth="1"/>
    <col min="8197" max="8197" width="12.5" customWidth="1"/>
    <col min="8198" max="8198" width="12.6640625" customWidth="1"/>
    <col min="8199" max="8200" width="10.6640625" customWidth="1"/>
    <col min="8201" max="8201" width="20" customWidth="1"/>
    <col min="8202" max="8202" width="32.1640625" customWidth="1"/>
    <col min="8445" max="8445" width="15.5" customWidth="1"/>
    <col min="8446" max="8446" width="22" customWidth="1"/>
    <col min="8447" max="8448" width="14.6640625" customWidth="1"/>
    <col min="8449" max="8449" width="9.83203125" bestFit="1" customWidth="1"/>
    <col min="8452" max="8452" width="15" customWidth="1"/>
    <col min="8453" max="8453" width="12.5" customWidth="1"/>
    <col min="8454" max="8454" width="12.6640625" customWidth="1"/>
    <col min="8455" max="8456" width="10.6640625" customWidth="1"/>
    <col min="8457" max="8457" width="20" customWidth="1"/>
    <col min="8458" max="8458" width="32.1640625" customWidth="1"/>
    <col min="8701" max="8701" width="15.5" customWidth="1"/>
    <col min="8702" max="8702" width="22" customWidth="1"/>
    <col min="8703" max="8704" width="14.6640625" customWidth="1"/>
    <col min="8705" max="8705" width="9.83203125" bestFit="1" customWidth="1"/>
    <col min="8708" max="8708" width="15" customWidth="1"/>
    <col min="8709" max="8709" width="12.5" customWidth="1"/>
    <col min="8710" max="8710" width="12.6640625" customWidth="1"/>
    <col min="8711" max="8712" width="10.6640625" customWidth="1"/>
    <col min="8713" max="8713" width="20" customWidth="1"/>
    <col min="8714" max="8714" width="32.1640625" customWidth="1"/>
    <col min="8957" max="8957" width="15.5" customWidth="1"/>
    <col min="8958" max="8958" width="22" customWidth="1"/>
    <col min="8959" max="8960" width="14.6640625" customWidth="1"/>
    <col min="8961" max="8961" width="9.83203125" bestFit="1" customWidth="1"/>
    <col min="8964" max="8964" width="15" customWidth="1"/>
    <col min="8965" max="8965" width="12.5" customWidth="1"/>
    <col min="8966" max="8966" width="12.6640625" customWidth="1"/>
    <col min="8967" max="8968" width="10.6640625" customWidth="1"/>
    <col min="8969" max="8969" width="20" customWidth="1"/>
    <col min="8970" max="8970" width="32.1640625" customWidth="1"/>
    <col min="9213" max="9213" width="15.5" customWidth="1"/>
    <col min="9214" max="9214" width="22" customWidth="1"/>
    <col min="9215" max="9216" width="14.6640625" customWidth="1"/>
    <col min="9217" max="9217" width="9.83203125" bestFit="1" customWidth="1"/>
    <col min="9220" max="9220" width="15" customWidth="1"/>
    <col min="9221" max="9221" width="12.5" customWidth="1"/>
    <col min="9222" max="9222" width="12.6640625" customWidth="1"/>
    <col min="9223" max="9224" width="10.6640625" customWidth="1"/>
    <col min="9225" max="9225" width="20" customWidth="1"/>
    <col min="9226" max="9226" width="32.1640625" customWidth="1"/>
    <col min="9469" max="9469" width="15.5" customWidth="1"/>
    <col min="9470" max="9470" width="22" customWidth="1"/>
    <col min="9471" max="9472" width="14.6640625" customWidth="1"/>
    <col min="9473" max="9473" width="9.83203125" bestFit="1" customWidth="1"/>
    <col min="9476" max="9476" width="15" customWidth="1"/>
    <col min="9477" max="9477" width="12.5" customWidth="1"/>
    <col min="9478" max="9478" width="12.6640625" customWidth="1"/>
    <col min="9479" max="9480" width="10.6640625" customWidth="1"/>
    <col min="9481" max="9481" width="20" customWidth="1"/>
    <col min="9482" max="9482" width="32.1640625" customWidth="1"/>
    <col min="9725" max="9725" width="15.5" customWidth="1"/>
    <col min="9726" max="9726" width="22" customWidth="1"/>
    <col min="9727" max="9728" width="14.6640625" customWidth="1"/>
    <col min="9729" max="9729" width="9.83203125" bestFit="1" customWidth="1"/>
    <col min="9732" max="9732" width="15" customWidth="1"/>
    <col min="9733" max="9733" width="12.5" customWidth="1"/>
    <col min="9734" max="9734" width="12.6640625" customWidth="1"/>
    <col min="9735" max="9736" width="10.6640625" customWidth="1"/>
    <col min="9737" max="9737" width="20" customWidth="1"/>
    <col min="9738" max="9738" width="32.1640625" customWidth="1"/>
    <col min="9981" max="9981" width="15.5" customWidth="1"/>
    <col min="9982" max="9982" width="22" customWidth="1"/>
    <col min="9983" max="9984" width="14.6640625" customWidth="1"/>
    <col min="9985" max="9985" width="9.83203125" bestFit="1" customWidth="1"/>
    <col min="9988" max="9988" width="15" customWidth="1"/>
    <col min="9989" max="9989" width="12.5" customWidth="1"/>
    <col min="9990" max="9990" width="12.6640625" customWidth="1"/>
    <col min="9991" max="9992" width="10.6640625" customWidth="1"/>
    <col min="9993" max="9993" width="20" customWidth="1"/>
    <col min="9994" max="9994" width="32.1640625" customWidth="1"/>
    <col min="10237" max="10237" width="15.5" customWidth="1"/>
    <col min="10238" max="10238" width="22" customWidth="1"/>
    <col min="10239" max="10240" width="14.6640625" customWidth="1"/>
    <col min="10241" max="10241" width="9.83203125" bestFit="1" customWidth="1"/>
    <col min="10244" max="10244" width="15" customWidth="1"/>
    <col min="10245" max="10245" width="12.5" customWidth="1"/>
    <col min="10246" max="10246" width="12.6640625" customWidth="1"/>
    <col min="10247" max="10248" width="10.6640625" customWidth="1"/>
    <col min="10249" max="10249" width="20" customWidth="1"/>
    <col min="10250" max="10250" width="32.1640625" customWidth="1"/>
    <col min="10493" max="10493" width="15.5" customWidth="1"/>
    <col min="10494" max="10494" width="22" customWidth="1"/>
    <col min="10495" max="10496" width="14.6640625" customWidth="1"/>
    <col min="10497" max="10497" width="9.83203125" bestFit="1" customWidth="1"/>
    <col min="10500" max="10500" width="15" customWidth="1"/>
    <col min="10501" max="10501" width="12.5" customWidth="1"/>
    <col min="10502" max="10502" width="12.6640625" customWidth="1"/>
    <col min="10503" max="10504" width="10.6640625" customWidth="1"/>
    <col min="10505" max="10505" width="20" customWidth="1"/>
    <col min="10506" max="10506" width="32.1640625" customWidth="1"/>
    <col min="10749" max="10749" width="15.5" customWidth="1"/>
    <col min="10750" max="10750" width="22" customWidth="1"/>
    <col min="10751" max="10752" width="14.6640625" customWidth="1"/>
    <col min="10753" max="10753" width="9.83203125" bestFit="1" customWidth="1"/>
    <col min="10756" max="10756" width="15" customWidth="1"/>
    <col min="10757" max="10757" width="12.5" customWidth="1"/>
    <col min="10758" max="10758" width="12.6640625" customWidth="1"/>
    <col min="10759" max="10760" width="10.6640625" customWidth="1"/>
    <col min="10761" max="10761" width="20" customWidth="1"/>
    <col min="10762" max="10762" width="32.1640625" customWidth="1"/>
    <col min="11005" max="11005" width="15.5" customWidth="1"/>
    <col min="11006" max="11006" width="22" customWidth="1"/>
    <col min="11007" max="11008" width="14.6640625" customWidth="1"/>
    <col min="11009" max="11009" width="9.83203125" bestFit="1" customWidth="1"/>
    <col min="11012" max="11012" width="15" customWidth="1"/>
    <col min="11013" max="11013" width="12.5" customWidth="1"/>
    <col min="11014" max="11014" width="12.6640625" customWidth="1"/>
    <col min="11015" max="11016" width="10.6640625" customWidth="1"/>
    <col min="11017" max="11017" width="20" customWidth="1"/>
    <col min="11018" max="11018" width="32.1640625" customWidth="1"/>
    <col min="11261" max="11261" width="15.5" customWidth="1"/>
    <col min="11262" max="11262" width="22" customWidth="1"/>
    <col min="11263" max="11264" width="14.6640625" customWidth="1"/>
    <col min="11265" max="11265" width="9.83203125" bestFit="1" customWidth="1"/>
    <col min="11268" max="11268" width="15" customWidth="1"/>
    <col min="11269" max="11269" width="12.5" customWidth="1"/>
    <col min="11270" max="11270" width="12.6640625" customWidth="1"/>
    <col min="11271" max="11272" width="10.6640625" customWidth="1"/>
    <col min="11273" max="11273" width="20" customWidth="1"/>
    <col min="11274" max="11274" width="32.1640625" customWidth="1"/>
    <col min="11517" max="11517" width="15.5" customWidth="1"/>
    <col min="11518" max="11518" width="22" customWidth="1"/>
    <col min="11519" max="11520" width="14.6640625" customWidth="1"/>
    <col min="11521" max="11521" width="9.83203125" bestFit="1" customWidth="1"/>
    <col min="11524" max="11524" width="15" customWidth="1"/>
    <col min="11525" max="11525" width="12.5" customWidth="1"/>
    <col min="11526" max="11526" width="12.6640625" customWidth="1"/>
    <col min="11527" max="11528" width="10.6640625" customWidth="1"/>
    <col min="11529" max="11529" width="20" customWidth="1"/>
    <col min="11530" max="11530" width="32.1640625" customWidth="1"/>
    <col min="11773" max="11773" width="15.5" customWidth="1"/>
    <col min="11774" max="11774" width="22" customWidth="1"/>
    <col min="11775" max="11776" width="14.6640625" customWidth="1"/>
    <col min="11777" max="11777" width="9.83203125" bestFit="1" customWidth="1"/>
    <col min="11780" max="11780" width="15" customWidth="1"/>
    <col min="11781" max="11781" width="12.5" customWidth="1"/>
    <col min="11782" max="11782" width="12.6640625" customWidth="1"/>
    <col min="11783" max="11784" width="10.6640625" customWidth="1"/>
    <col min="11785" max="11785" width="20" customWidth="1"/>
    <col min="11786" max="11786" width="32.1640625" customWidth="1"/>
    <col min="12029" max="12029" width="15.5" customWidth="1"/>
    <col min="12030" max="12030" width="22" customWidth="1"/>
    <col min="12031" max="12032" width="14.6640625" customWidth="1"/>
    <col min="12033" max="12033" width="9.83203125" bestFit="1" customWidth="1"/>
    <col min="12036" max="12036" width="15" customWidth="1"/>
    <col min="12037" max="12037" width="12.5" customWidth="1"/>
    <col min="12038" max="12038" width="12.6640625" customWidth="1"/>
    <col min="12039" max="12040" width="10.6640625" customWidth="1"/>
    <col min="12041" max="12041" width="20" customWidth="1"/>
    <col min="12042" max="12042" width="32.1640625" customWidth="1"/>
    <col min="12285" max="12285" width="15.5" customWidth="1"/>
    <col min="12286" max="12286" width="22" customWidth="1"/>
    <col min="12287" max="12288" width="14.6640625" customWidth="1"/>
    <col min="12289" max="12289" width="9.83203125" bestFit="1" customWidth="1"/>
    <col min="12292" max="12292" width="15" customWidth="1"/>
    <col min="12293" max="12293" width="12.5" customWidth="1"/>
    <col min="12294" max="12294" width="12.6640625" customWidth="1"/>
    <col min="12295" max="12296" width="10.6640625" customWidth="1"/>
    <col min="12297" max="12297" width="20" customWidth="1"/>
    <col min="12298" max="12298" width="32.1640625" customWidth="1"/>
    <col min="12541" max="12541" width="15.5" customWidth="1"/>
    <col min="12542" max="12542" width="22" customWidth="1"/>
    <col min="12543" max="12544" width="14.6640625" customWidth="1"/>
    <col min="12545" max="12545" width="9.83203125" bestFit="1" customWidth="1"/>
    <col min="12548" max="12548" width="15" customWidth="1"/>
    <col min="12549" max="12549" width="12.5" customWidth="1"/>
    <col min="12550" max="12550" width="12.6640625" customWidth="1"/>
    <col min="12551" max="12552" width="10.6640625" customWidth="1"/>
    <col min="12553" max="12553" width="20" customWidth="1"/>
    <col min="12554" max="12554" width="32.1640625" customWidth="1"/>
    <col min="12797" max="12797" width="15.5" customWidth="1"/>
    <col min="12798" max="12798" width="22" customWidth="1"/>
    <col min="12799" max="12800" width="14.6640625" customWidth="1"/>
    <col min="12801" max="12801" width="9.83203125" bestFit="1" customWidth="1"/>
    <col min="12804" max="12804" width="15" customWidth="1"/>
    <col min="12805" max="12805" width="12.5" customWidth="1"/>
    <col min="12806" max="12806" width="12.6640625" customWidth="1"/>
    <col min="12807" max="12808" width="10.6640625" customWidth="1"/>
    <col min="12809" max="12809" width="20" customWidth="1"/>
    <col min="12810" max="12810" width="32.1640625" customWidth="1"/>
    <col min="13053" max="13053" width="15.5" customWidth="1"/>
    <col min="13054" max="13054" width="22" customWidth="1"/>
    <col min="13055" max="13056" width="14.6640625" customWidth="1"/>
    <col min="13057" max="13057" width="9.83203125" bestFit="1" customWidth="1"/>
    <col min="13060" max="13060" width="15" customWidth="1"/>
    <col min="13061" max="13061" width="12.5" customWidth="1"/>
    <col min="13062" max="13062" width="12.6640625" customWidth="1"/>
    <col min="13063" max="13064" width="10.6640625" customWidth="1"/>
    <col min="13065" max="13065" width="20" customWidth="1"/>
    <col min="13066" max="13066" width="32.1640625" customWidth="1"/>
    <col min="13309" max="13309" width="15.5" customWidth="1"/>
    <col min="13310" max="13310" width="22" customWidth="1"/>
    <col min="13311" max="13312" width="14.6640625" customWidth="1"/>
    <col min="13313" max="13313" width="9.83203125" bestFit="1" customWidth="1"/>
    <col min="13316" max="13316" width="15" customWidth="1"/>
    <col min="13317" max="13317" width="12.5" customWidth="1"/>
    <col min="13318" max="13318" width="12.6640625" customWidth="1"/>
    <col min="13319" max="13320" width="10.6640625" customWidth="1"/>
    <col min="13321" max="13321" width="20" customWidth="1"/>
    <col min="13322" max="13322" width="32.1640625" customWidth="1"/>
    <col min="13565" max="13565" width="15.5" customWidth="1"/>
    <col min="13566" max="13566" width="22" customWidth="1"/>
    <col min="13567" max="13568" width="14.6640625" customWidth="1"/>
    <col min="13569" max="13569" width="9.83203125" bestFit="1" customWidth="1"/>
    <col min="13572" max="13572" width="15" customWidth="1"/>
    <col min="13573" max="13573" width="12.5" customWidth="1"/>
    <col min="13574" max="13574" width="12.6640625" customWidth="1"/>
    <col min="13575" max="13576" width="10.6640625" customWidth="1"/>
    <col min="13577" max="13577" width="20" customWidth="1"/>
    <col min="13578" max="13578" width="32.1640625" customWidth="1"/>
    <col min="13821" max="13821" width="15.5" customWidth="1"/>
    <col min="13822" max="13822" width="22" customWidth="1"/>
    <col min="13823" max="13824" width="14.6640625" customWidth="1"/>
    <col min="13825" max="13825" width="9.83203125" bestFit="1" customWidth="1"/>
    <col min="13828" max="13828" width="15" customWidth="1"/>
    <col min="13829" max="13829" width="12.5" customWidth="1"/>
    <col min="13830" max="13830" width="12.6640625" customWidth="1"/>
    <col min="13831" max="13832" width="10.6640625" customWidth="1"/>
    <col min="13833" max="13833" width="20" customWidth="1"/>
    <col min="13834" max="13834" width="32.1640625" customWidth="1"/>
    <col min="14077" max="14077" width="15.5" customWidth="1"/>
    <col min="14078" max="14078" width="22" customWidth="1"/>
    <col min="14079" max="14080" width="14.6640625" customWidth="1"/>
    <col min="14081" max="14081" width="9.83203125" bestFit="1" customWidth="1"/>
    <col min="14084" max="14084" width="15" customWidth="1"/>
    <col min="14085" max="14085" width="12.5" customWidth="1"/>
    <col min="14086" max="14086" width="12.6640625" customWidth="1"/>
    <col min="14087" max="14088" width="10.6640625" customWidth="1"/>
    <col min="14089" max="14089" width="20" customWidth="1"/>
    <col min="14090" max="14090" width="32.1640625" customWidth="1"/>
    <col min="14333" max="14333" width="15.5" customWidth="1"/>
    <col min="14334" max="14334" width="22" customWidth="1"/>
    <col min="14335" max="14336" width="14.6640625" customWidth="1"/>
    <col min="14337" max="14337" width="9.83203125" bestFit="1" customWidth="1"/>
    <col min="14340" max="14340" width="15" customWidth="1"/>
    <col min="14341" max="14341" width="12.5" customWidth="1"/>
    <col min="14342" max="14342" width="12.6640625" customWidth="1"/>
    <col min="14343" max="14344" width="10.6640625" customWidth="1"/>
    <col min="14345" max="14345" width="20" customWidth="1"/>
    <col min="14346" max="14346" width="32.1640625" customWidth="1"/>
    <col min="14589" max="14589" width="15.5" customWidth="1"/>
    <col min="14590" max="14590" width="22" customWidth="1"/>
    <col min="14591" max="14592" width="14.6640625" customWidth="1"/>
    <col min="14593" max="14593" width="9.83203125" bestFit="1" customWidth="1"/>
    <col min="14596" max="14596" width="15" customWidth="1"/>
    <col min="14597" max="14597" width="12.5" customWidth="1"/>
    <col min="14598" max="14598" width="12.6640625" customWidth="1"/>
    <col min="14599" max="14600" width="10.6640625" customWidth="1"/>
    <col min="14601" max="14601" width="20" customWidth="1"/>
    <col min="14602" max="14602" width="32.1640625" customWidth="1"/>
    <col min="14845" max="14845" width="15.5" customWidth="1"/>
    <col min="14846" max="14846" width="22" customWidth="1"/>
    <col min="14847" max="14848" width="14.6640625" customWidth="1"/>
    <col min="14849" max="14849" width="9.83203125" bestFit="1" customWidth="1"/>
    <col min="14852" max="14852" width="15" customWidth="1"/>
    <col min="14853" max="14853" width="12.5" customWidth="1"/>
    <col min="14854" max="14854" width="12.6640625" customWidth="1"/>
    <col min="14855" max="14856" width="10.6640625" customWidth="1"/>
    <col min="14857" max="14857" width="20" customWidth="1"/>
    <col min="14858" max="14858" width="32.1640625" customWidth="1"/>
    <col min="15101" max="15101" width="15.5" customWidth="1"/>
    <col min="15102" max="15102" width="22" customWidth="1"/>
    <col min="15103" max="15104" width="14.6640625" customWidth="1"/>
    <col min="15105" max="15105" width="9.83203125" bestFit="1" customWidth="1"/>
    <col min="15108" max="15108" width="15" customWidth="1"/>
    <col min="15109" max="15109" width="12.5" customWidth="1"/>
    <col min="15110" max="15110" width="12.6640625" customWidth="1"/>
    <col min="15111" max="15112" width="10.6640625" customWidth="1"/>
    <col min="15113" max="15113" width="20" customWidth="1"/>
    <col min="15114" max="15114" width="32.1640625" customWidth="1"/>
    <col min="15357" max="15357" width="15.5" customWidth="1"/>
    <col min="15358" max="15358" width="22" customWidth="1"/>
    <col min="15359" max="15360" width="14.6640625" customWidth="1"/>
    <col min="15361" max="15361" width="9.83203125" bestFit="1" customWidth="1"/>
    <col min="15364" max="15364" width="15" customWidth="1"/>
    <col min="15365" max="15365" width="12.5" customWidth="1"/>
    <col min="15366" max="15366" width="12.6640625" customWidth="1"/>
    <col min="15367" max="15368" width="10.6640625" customWidth="1"/>
    <col min="15369" max="15369" width="20" customWidth="1"/>
    <col min="15370" max="15370" width="32.1640625" customWidth="1"/>
    <col min="15613" max="15613" width="15.5" customWidth="1"/>
    <col min="15614" max="15614" width="22" customWidth="1"/>
    <col min="15615" max="15616" width="14.6640625" customWidth="1"/>
    <col min="15617" max="15617" width="9.83203125" bestFit="1" customWidth="1"/>
    <col min="15620" max="15620" width="15" customWidth="1"/>
    <col min="15621" max="15621" width="12.5" customWidth="1"/>
    <col min="15622" max="15622" width="12.6640625" customWidth="1"/>
    <col min="15623" max="15624" width="10.6640625" customWidth="1"/>
    <col min="15625" max="15625" width="20" customWidth="1"/>
    <col min="15626" max="15626" width="32.1640625" customWidth="1"/>
    <col min="15869" max="15869" width="15.5" customWidth="1"/>
    <col min="15870" max="15870" width="22" customWidth="1"/>
    <col min="15871" max="15872" width="14.6640625" customWidth="1"/>
    <col min="15873" max="15873" width="9.83203125" bestFit="1" customWidth="1"/>
    <col min="15876" max="15876" width="15" customWidth="1"/>
    <col min="15877" max="15877" width="12.5" customWidth="1"/>
    <col min="15878" max="15878" width="12.6640625" customWidth="1"/>
    <col min="15879" max="15880" width="10.6640625" customWidth="1"/>
    <col min="15881" max="15881" width="20" customWidth="1"/>
    <col min="15882" max="15882" width="32.1640625" customWidth="1"/>
    <col min="16125" max="16125" width="15.5" customWidth="1"/>
    <col min="16126" max="16126" width="22" customWidth="1"/>
    <col min="16127" max="16128" width="14.6640625" customWidth="1"/>
    <col min="16129" max="16129" width="9.83203125" bestFit="1" customWidth="1"/>
    <col min="16132" max="16132" width="15" customWidth="1"/>
    <col min="16133" max="16133" width="12.5" customWidth="1"/>
    <col min="16134" max="16134" width="12.6640625" customWidth="1"/>
    <col min="16135" max="16136" width="10.6640625" customWidth="1"/>
    <col min="16137" max="16137" width="20" customWidth="1"/>
    <col min="16138" max="16138" width="32.1640625" customWidth="1"/>
  </cols>
  <sheetData>
    <row r="1" spans="1:10" ht="45" customHeight="1">
      <c r="A1" s="1547" t="s">
        <v>424</v>
      </c>
      <c r="B1" s="1548"/>
      <c r="C1" s="226"/>
      <c r="D1" s="226"/>
      <c r="E1" s="226"/>
      <c r="F1" s="226"/>
      <c r="G1" s="226"/>
      <c r="H1" s="226"/>
      <c r="I1" s="103"/>
      <c r="J1" s="117"/>
    </row>
    <row r="2" spans="1:10" s="81" customFormat="1" ht="24.75" customHeight="1">
      <c r="A2" s="69"/>
      <c r="B2" s="1339" t="s">
        <v>370</v>
      </c>
      <c r="C2" s="1339"/>
      <c r="D2" s="1339"/>
      <c r="E2" s="1340" t="s">
        <v>622</v>
      </c>
      <c r="F2" s="1340"/>
      <c r="G2" s="1340"/>
      <c r="H2" s="1334" t="s">
        <v>623</v>
      </c>
      <c r="I2" s="1440"/>
      <c r="J2" s="327" t="s">
        <v>631</v>
      </c>
    </row>
    <row r="3" spans="1:10" s="81" customFormat="1" ht="15">
      <c r="A3" s="102" t="s">
        <v>426</v>
      </c>
      <c r="B3" s="419"/>
      <c r="C3" s="419"/>
      <c r="D3" s="419"/>
      <c r="E3" s="1340"/>
      <c r="F3" s="1340"/>
      <c r="G3" s="1340"/>
      <c r="H3" s="1334"/>
      <c r="I3" s="1440"/>
      <c r="J3" s="327"/>
    </row>
    <row r="4" spans="1:10" s="81" customFormat="1" ht="15">
      <c r="A4" s="102"/>
      <c r="B4" s="419"/>
      <c r="C4" s="419"/>
      <c r="D4" s="419"/>
      <c r="E4" s="1340"/>
      <c r="F4" s="1340"/>
      <c r="G4" s="1340"/>
      <c r="H4" s="1334"/>
      <c r="I4" s="1440"/>
      <c r="J4" s="327"/>
    </row>
    <row r="5" spans="1:10" s="81" customFormat="1" ht="21">
      <c r="A5" s="1310" t="s">
        <v>633</v>
      </c>
      <c r="B5" s="1310"/>
      <c r="C5" s="386"/>
      <c r="D5" s="275" t="s">
        <v>624</v>
      </c>
      <c r="E5" s="1238"/>
      <c r="F5" s="1238"/>
      <c r="G5" s="1238"/>
      <c r="H5" s="1334" t="s">
        <v>625</v>
      </c>
      <c r="I5" s="1440"/>
      <c r="J5" s="327"/>
    </row>
    <row r="6" spans="1:10">
      <c r="A6" s="1310"/>
      <c r="B6" s="1310"/>
      <c r="C6" s="390"/>
      <c r="D6" s="237"/>
      <c r="E6" s="1240"/>
      <c r="F6" s="1542"/>
      <c r="G6" s="1542"/>
      <c r="H6" s="1334"/>
      <c r="I6" s="1440"/>
      <c r="J6" s="327"/>
    </row>
    <row r="7" spans="1:10" ht="10.5" customHeight="1">
      <c r="A7" s="331" t="s">
        <v>653</v>
      </c>
      <c r="B7" s="330" t="s">
        <v>428</v>
      </c>
      <c r="C7" s="1311" t="s">
        <v>429</v>
      </c>
      <c r="D7" s="1317" t="s">
        <v>620</v>
      </c>
      <c r="E7" s="1318" t="s">
        <v>432</v>
      </c>
      <c r="F7" s="1316" t="s">
        <v>430</v>
      </c>
      <c r="G7" s="1317" t="s">
        <v>621</v>
      </c>
      <c r="H7" s="1328" t="s">
        <v>431</v>
      </c>
      <c r="I7" s="1328"/>
      <c r="J7" s="329" t="s">
        <v>627</v>
      </c>
    </row>
    <row r="8" spans="1:10" ht="24.75" customHeight="1">
      <c r="A8" s="326"/>
      <c r="B8" s="99"/>
      <c r="C8" s="1311"/>
      <c r="D8" s="1317"/>
      <c r="E8" s="1318"/>
      <c r="F8" s="1316"/>
      <c r="G8" s="1317"/>
      <c r="H8" s="1328"/>
      <c r="I8" s="1328"/>
      <c r="J8" s="329"/>
    </row>
    <row r="9" spans="1:10" ht="12.75">
      <c r="A9" s="1"/>
      <c r="B9" s="1274" t="s">
        <v>452</v>
      </c>
      <c r="C9" s="1275"/>
      <c r="D9" s="1275"/>
      <c r="E9" s="1275"/>
      <c r="F9" s="1275"/>
      <c r="G9" s="1275"/>
      <c r="H9" s="367"/>
      <c r="I9" s="16"/>
      <c r="J9" s="104"/>
    </row>
    <row r="10" spans="1:10" ht="21">
      <c r="A10" s="59" t="s">
        <v>2561</v>
      </c>
      <c r="B10" s="235" t="s">
        <v>453</v>
      </c>
      <c r="C10" s="233" t="s">
        <v>630</v>
      </c>
      <c r="D10" s="201">
        <v>170</v>
      </c>
      <c r="E10" s="201">
        <f>SUM(D10*1.1)</f>
        <v>187.00000000000003</v>
      </c>
      <c r="F10" s="201">
        <f t="shared" ref="F10:F11" si="0">SUM(G10*1.1)</f>
        <v>988.90000000000009</v>
      </c>
      <c r="G10" s="304">
        <v>899</v>
      </c>
      <c r="H10" s="215"/>
      <c r="I10" s="16"/>
      <c r="J10" s="197" t="s">
        <v>842</v>
      </c>
    </row>
    <row r="11" spans="1:10" ht="21">
      <c r="A11" s="59" t="s">
        <v>2562</v>
      </c>
      <c r="B11" s="235" t="s">
        <v>454</v>
      </c>
      <c r="C11" s="233" t="s">
        <v>630</v>
      </c>
      <c r="D11" s="201">
        <v>200</v>
      </c>
      <c r="E11" s="201">
        <f t="shared" ref="E11:E21" si="1">SUM(D11*1.1)</f>
        <v>220.00000000000003</v>
      </c>
      <c r="F11" s="201">
        <f t="shared" si="0"/>
        <v>988.90000000000009</v>
      </c>
      <c r="G11" s="304">
        <v>899</v>
      </c>
      <c r="H11" s="215"/>
      <c r="I11" s="16"/>
      <c r="J11" s="197" t="s">
        <v>842</v>
      </c>
    </row>
    <row r="12" spans="1:10" ht="31.5">
      <c r="A12" s="59" t="s">
        <v>2563</v>
      </c>
      <c r="B12" s="235" t="s">
        <v>455</v>
      </c>
      <c r="C12" s="233" t="s">
        <v>630</v>
      </c>
      <c r="D12" s="201">
        <v>16</v>
      </c>
      <c r="E12" s="201">
        <f t="shared" si="1"/>
        <v>17.600000000000001</v>
      </c>
      <c r="F12" s="241" t="s">
        <v>783</v>
      </c>
      <c r="G12" s="304" t="s">
        <v>783</v>
      </c>
      <c r="H12" s="454"/>
      <c r="I12" s="310"/>
      <c r="J12" s="311" t="s">
        <v>658</v>
      </c>
    </row>
    <row r="13" spans="1:10" ht="21">
      <c r="A13" s="59" t="s">
        <v>2564</v>
      </c>
      <c r="B13" s="235" t="s">
        <v>456</v>
      </c>
      <c r="C13" s="233" t="s">
        <v>630</v>
      </c>
      <c r="D13" s="201">
        <v>140</v>
      </c>
      <c r="E13" s="201">
        <f t="shared" si="1"/>
        <v>154</v>
      </c>
      <c r="F13" s="201">
        <f t="shared" ref="F13:F23" si="2">SUM(G13*1.1)</f>
        <v>594</v>
      </c>
      <c r="G13" s="201">
        <v>540</v>
      </c>
      <c r="H13" s="215"/>
      <c r="I13" s="274" t="s">
        <v>457</v>
      </c>
      <c r="J13" s="197" t="s">
        <v>842</v>
      </c>
    </row>
    <row r="14" spans="1:10" s="133" customFormat="1" ht="94.5">
      <c r="A14" s="61" t="s">
        <v>2226</v>
      </c>
      <c r="B14" s="96" t="s">
        <v>307</v>
      </c>
      <c r="C14" s="233" t="s">
        <v>630</v>
      </c>
      <c r="D14" s="180">
        <v>18.7</v>
      </c>
      <c r="E14" s="201">
        <f t="shared" si="1"/>
        <v>20.57</v>
      </c>
      <c r="F14" s="234" t="s">
        <v>277</v>
      </c>
      <c r="G14" s="234" t="s">
        <v>277</v>
      </c>
      <c r="H14" s="215"/>
      <c r="I14" s="209" t="s">
        <v>873</v>
      </c>
      <c r="J14" s="161" t="s">
        <v>311</v>
      </c>
    </row>
    <row r="15" spans="1:10" s="133" customFormat="1" ht="42">
      <c r="A15" s="760" t="s">
        <v>2174</v>
      </c>
      <c r="B15" s="374" t="s">
        <v>754</v>
      </c>
      <c r="C15" s="233" t="s">
        <v>630</v>
      </c>
      <c r="D15" s="201">
        <v>35</v>
      </c>
      <c r="E15" s="201">
        <f t="shared" si="1"/>
        <v>38.5</v>
      </c>
      <c r="F15" s="201">
        <f t="shared" si="2"/>
        <v>49.500000000000007</v>
      </c>
      <c r="G15" s="201">
        <v>45</v>
      </c>
      <c r="H15" s="215"/>
      <c r="I15" s="96" t="s">
        <v>337</v>
      </c>
      <c r="J15" s="197" t="s">
        <v>656</v>
      </c>
    </row>
    <row r="16" spans="1:10" s="133" customFormat="1" ht="63">
      <c r="A16" s="61" t="s">
        <v>2175</v>
      </c>
      <c r="B16" s="163" t="s">
        <v>755</v>
      </c>
      <c r="C16" s="233" t="s">
        <v>630</v>
      </c>
      <c r="D16" s="201">
        <v>6.5</v>
      </c>
      <c r="E16" s="201">
        <f t="shared" si="1"/>
        <v>7.15</v>
      </c>
      <c r="F16" s="201">
        <f t="shared" si="2"/>
        <v>3.0250000000000004</v>
      </c>
      <c r="G16" s="201">
        <v>2.75</v>
      </c>
      <c r="H16" s="215"/>
      <c r="I16" s="148" t="s">
        <v>345</v>
      </c>
      <c r="J16" s="197" t="s">
        <v>656</v>
      </c>
    </row>
    <row r="17" spans="1:10" s="133" customFormat="1" ht="63">
      <c r="A17" s="61" t="s">
        <v>2176</v>
      </c>
      <c r="B17" s="163" t="s">
        <v>756</v>
      </c>
      <c r="C17" s="233" t="s">
        <v>630</v>
      </c>
      <c r="D17" s="201">
        <v>5.5</v>
      </c>
      <c r="E17" s="201">
        <f t="shared" si="1"/>
        <v>6.0500000000000007</v>
      </c>
      <c r="F17" s="201">
        <f t="shared" si="2"/>
        <v>3.0250000000000004</v>
      </c>
      <c r="G17" s="201">
        <v>2.75</v>
      </c>
      <c r="H17" s="215"/>
      <c r="I17" s="148" t="s">
        <v>345</v>
      </c>
      <c r="J17" s="197" t="s">
        <v>656</v>
      </c>
    </row>
    <row r="18" spans="1:10" s="133" customFormat="1" ht="63">
      <c r="A18" s="61" t="s">
        <v>2177</v>
      </c>
      <c r="B18" s="163" t="s">
        <v>757</v>
      </c>
      <c r="C18" s="233" t="s">
        <v>630</v>
      </c>
      <c r="D18" s="201">
        <v>4.5</v>
      </c>
      <c r="E18" s="201">
        <f t="shared" si="1"/>
        <v>4.95</v>
      </c>
      <c r="F18" s="201">
        <f t="shared" si="2"/>
        <v>3.0250000000000004</v>
      </c>
      <c r="G18" s="201">
        <v>2.75</v>
      </c>
      <c r="H18" s="215"/>
      <c r="I18" s="148" t="s">
        <v>345</v>
      </c>
      <c r="J18" s="197" t="s">
        <v>656</v>
      </c>
    </row>
    <row r="19" spans="1:10" s="133" customFormat="1" ht="63">
      <c r="A19" s="61" t="s">
        <v>2178</v>
      </c>
      <c r="B19" s="163" t="s">
        <v>758</v>
      </c>
      <c r="C19" s="233" t="s">
        <v>630</v>
      </c>
      <c r="D19" s="201">
        <v>4</v>
      </c>
      <c r="E19" s="201">
        <f t="shared" si="1"/>
        <v>4.4000000000000004</v>
      </c>
      <c r="F19" s="201">
        <f t="shared" si="2"/>
        <v>3.0250000000000004</v>
      </c>
      <c r="G19" s="201">
        <v>2.75</v>
      </c>
      <c r="H19" s="215"/>
      <c r="I19" s="148" t="s">
        <v>345</v>
      </c>
      <c r="J19" s="197" t="s">
        <v>656</v>
      </c>
    </row>
    <row r="20" spans="1:10" s="133" customFormat="1" ht="63">
      <c r="A20" s="61" t="s">
        <v>2179</v>
      </c>
      <c r="B20" s="163" t="s">
        <v>1283</v>
      </c>
      <c r="C20" s="233" t="s">
        <v>630</v>
      </c>
      <c r="D20" s="201">
        <v>3</v>
      </c>
      <c r="E20" s="201">
        <f t="shared" si="1"/>
        <v>3.3000000000000003</v>
      </c>
      <c r="F20" s="201">
        <f t="shared" si="2"/>
        <v>3.0250000000000004</v>
      </c>
      <c r="G20" s="201">
        <v>2.75</v>
      </c>
      <c r="H20" s="215"/>
      <c r="I20" s="148" t="s">
        <v>345</v>
      </c>
      <c r="J20" s="197" t="s">
        <v>656</v>
      </c>
    </row>
    <row r="21" spans="1:10" s="133" customFormat="1" ht="63">
      <c r="A21" s="61" t="s">
        <v>2180</v>
      </c>
      <c r="B21" s="163" t="s">
        <v>759</v>
      </c>
      <c r="C21" s="233" t="s">
        <v>630</v>
      </c>
      <c r="D21" s="201">
        <v>2.5</v>
      </c>
      <c r="E21" s="201">
        <f t="shared" si="1"/>
        <v>2.75</v>
      </c>
      <c r="F21" s="201">
        <f t="shared" si="2"/>
        <v>3.0250000000000004</v>
      </c>
      <c r="G21" s="201">
        <v>2.75</v>
      </c>
      <c r="H21" s="215"/>
      <c r="I21" s="148" t="s">
        <v>345</v>
      </c>
      <c r="J21" s="197" t="s">
        <v>656</v>
      </c>
    </row>
    <row r="22" spans="1:10" s="133" customFormat="1" ht="52.5">
      <c r="A22" s="61" t="s">
        <v>2181</v>
      </c>
      <c r="B22" s="96" t="s">
        <v>760</v>
      </c>
      <c r="C22" s="233" t="s">
        <v>630</v>
      </c>
      <c r="D22" s="304" t="s">
        <v>277</v>
      </c>
      <c r="E22" s="304" t="s">
        <v>277</v>
      </c>
      <c r="F22" s="201">
        <f t="shared" si="2"/>
        <v>104.50000000000001</v>
      </c>
      <c r="G22" s="201">
        <v>95</v>
      </c>
      <c r="H22" s="215"/>
      <c r="I22" s="149" t="s">
        <v>346</v>
      </c>
      <c r="J22" s="197" t="s">
        <v>656</v>
      </c>
    </row>
    <row r="23" spans="1:10" s="133" customFormat="1" ht="31.5">
      <c r="A23" s="61" t="s">
        <v>2227</v>
      </c>
      <c r="B23" s="96" t="s">
        <v>761</v>
      </c>
      <c r="C23" s="233" t="s">
        <v>630</v>
      </c>
      <c r="D23" s="304" t="s">
        <v>277</v>
      </c>
      <c r="E23" s="304" t="s">
        <v>277</v>
      </c>
      <c r="F23" s="201">
        <f t="shared" si="2"/>
        <v>214.50000000000003</v>
      </c>
      <c r="G23" s="201">
        <v>195</v>
      </c>
      <c r="H23" s="215"/>
      <c r="I23" s="96" t="s">
        <v>338</v>
      </c>
      <c r="J23" s="197" t="s">
        <v>656</v>
      </c>
    </row>
    <row r="24" spans="1:10" s="133" customFormat="1"/>
    <row r="25" spans="1:10" s="133" customFormat="1">
      <c r="A25" s="189" t="s">
        <v>632</v>
      </c>
      <c r="B25" s="142"/>
    </row>
    <row r="26" spans="1:10" s="133" customFormat="1">
      <c r="A26" s="188"/>
      <c r="B26" s="141"/>
    </row>
    <row r="27" spans="1:10" s="133" customFormat="1">
      <c r="A27" s="145"/>
      <c r="B27" s="171"/>
    </row>
    <row r="28" spans="1:10" s="133" customFormat="1">
      <c r="A28" s="145"/>
      <c r="B28" s="171"/>
    </row>
    <row r="29" spans="1:10" s="133" customFormat="1"/>
    <row r="30" spans="1:10" s="133" customFormat="1"/>
    <row r="31" spans="1:10" s="133" customFormat="1"/>
    <row r="32" spans="1:10" s="133" customFormat="1"/>
    <row r="33" spans="2:8" s="133" customFormat="1"/>
    <row r="34" spans="2:8" s="133" customFormat="1"/>
    <row r="35" spans="2:8" s="133" customFormat="1"/>
    <row r="36" spans="2:8" s="133" customFormat="1"/>
    <row r="37" spans="2:8" s="133" customFormat="1"/>
    <row r="38" spans="2:8" s="133" customFormat="1"/>
    <row r="39" spans="2:8" s="133" customFormat="1"/>
    <row r="40" spans="2:8" s="133" customFormat="1"/>
    <row r="41" spans="2:8" s="133" customFormat="1"/>
    <row r="42" spans="2:8" s="133" customFormat="1"/>
    <row r="43" spans="2:8" s="133" customFormat="1"/>
    <row r="44" spans="2:8" s="133" customFormat="1"/>
    <row r="45" spans="2:8" s="18" customFormat="1">
      <c r="B45" s="143"/>
      <c r="C45" s="143"/>
      <c r="D45" s="143"/>
      <c r="E45" s="143"/>
      <c r="F45" s="143"/>
      <c r="G45" s="143"/>
      <c r="H45" s="143"/>
    </row>
    <row r="46" spans="2:8" s="18" customFormat="1">
      <c r="B46" s="143"/>
      <c r="C46" s="143"/>
      <c r="D46" s="143"/>
      <c r="E46" s="143"/>
      <c r="F46" s="143"/>
      <c r="G46" s="143"/>
      <c r="H46" s="143"/>
    </row>
    <row r="47" spans="2:8" s="18" customFormat="1">
      <c r="B47" s="143"/>
      <c r="C47" s="143"/>
      <c r="D47" s="143"/>
      <c r="E47" s="143"/>
      <c r="F47" s="143"/>
      <c r="G47" s="143"/>
      <c r="H47" s="143"/>
    </row>
    <row r="48" spans="2:8" s="18" customFormat="1">
      <c r="B48" s="143"/>
      <c r="C48" s="143"/>
      <c r="D48" s="143"/>
      <c r="E48" s="143"/>
      <c r="F48" s="143"/>
      <c r="G48" s="143"/>
      <c r="H48" s="143"/>
    </row>
    <row r="49" spans="2:8" s="18" customFormat="1">
      <c r="B49" s="143"/>
      <c r="C49" s="143"/>
      <c r="D49" s="143"/>
      <c r="E49" s="143"/>
      <c r="F49" s="143"/>
      <c r="G49" s="143"/>
      <c r="H49" s="143"/>
    </row>
    <row r="50" spans="2:8" s="18" customFormat="1">
      <c r="B50" s="143"/>
      <c r="C50" s="143"/>
      <c r="D50" s="143"/>
      <c r="E50" s="143"/>
      <c r="F50" s="143"/>
      <c r="G50" s="143"/>
      <c r="H50" s="143"/>
    </row>
  </sheetData>
  <mergeCells count="14">
    <mergeCell ref="A1:B1"/>
    <mergeCell ref="G7:G8"/>
    <mergeCell ref="H7:I8"/>
    <mergeCell ref="B9:G9"/>
    <mergeCell ref="C7:C8"/>
    <mergeCell ref="D7:D8"/>
    <mergeCell ref="E7:E8"/>
    <mergeCell ref="F7:F8"/>
    <mergeCell ref="B2:D2"/>
    <mergeCell ref="E2:G4"/>
    <mergeCell ref="H2:I4"/>
    <mergeCell ref="A5:B6"/>
    <mergeCell ref="H5:I6"/>
    <mergeCell ref="F6:G6"/>
  </mergeCells>
  <printOptions gridLines="1"/>
  <pageMargins left="0.75" right="0.75" top="1" bottom="1" header="0.5" footer="0.5"/>
  <pageSetup scale="65" orientation="landscape" horizontalDpi="1200" verticalDpi="1200" r:id="rId1"/>
  <headerFooter>
    <oddHeader>&amp;L&amp;F&amp;C&amp;A&amp;R&amp;G</oddHeader>
    <oddFooter>&amp;C&amp;"Tahoma,Italic"Use or disclosure of the data on this page or screen is subject to the restrictions on the title page or opening view screen of this proposal document or file.&amp;R&amp;P of &amp;N</oddFooter>
  </headerFooter>
  <ignoredErrors>
    <ignoredError sqref="E10:E12 F10:F11 E13:G23" unlockedFormula="1"/>
  </ignoredErrors>
  <legacyDrawingHF r:id="rId2"/>
</worksheet>
</file>

<file path=xl/worksheets/sheet25.xml><?xml version="1.0" encoding="utf-8"?>
<worksheet xmlns="http://schemas.openxmlformats.org/spreadsheetml/2006/main" xmlns:r="http://schemas.openxmlformats.org/officeDocument/2006/relationships">
  <sheetPr codeName="Sheet7" enableFormatConditionsCalculation="0">
    <tabColor theme="3" tint="0.79998168889431442"/>
  </sheetPr>
  <dimension ref="A1:L50"/>
  <sheetViews>
    <sheetView zoomScaleNormal="100" zoomScaleSheetLayoutView="100" workbookViewId="0">
      <selection activeCell="A5" sqref="A5:B6"/>
    </sheetView>
  </sheetViews>
  <sheetFormatPr defaultRowHeight="10.5"/>
  <cols>
    <col min="1" max="1" width="15.5" customWidth="1"/>
    <col min="2" max="2" width="22" style="143" customWidth="1"/>
    <col min="3" max="3" width="14.6640625" style="143" customWidth="1"/>
    <col min="4" max="4" width="14.6640625" style="133" hidden="1" customWidth="1"/>
    <col min="5" max="5" width="9.83203125" style="133" bestFit="1" customWidth="1"/>
    <col min="6" max="6" width="11.1640625" style="133" customWidth="1"/>
    <col min="7" max="7" width="0" style="133" hidden="1" customWidth="1"/>
    <col min="8" max="8" width="10.6640625" customWidth="1"/>
    <col min="9" max="10" width="20" customWidth="1"/>
    <col min="11" max="12" width="20.33203125" customWidth="1"/>
  </cols>
  <sheetData>
    <row r="1" spans="1:12" ht="15" customHeight="1">
      <c r="A1" s="1547" t="s">
        <v>424</v>
      </c>
      <c r="B1" s="1548"/>
      <c r="C1" s="103"/>
      <c r="D1" s="103"/>
      <c r="E1" s="103"/>
      <c r="F1" s="103"/>
      <c r="G1" s="103"/>
      <c r="H1" s="103"/>
      <c r="I1" s="103"/>
      <c r="J1" s="323"/>
    </row>
    <row r="2" spans="1:12" s="81" customFormat="1" ht="39.75" customHeight="1">
      <c r="A2" s="69"/>
      <c r="B2" s="1333" t="s">
        <v>370</v>
      </c>
      <c r="C2" s="1333"/>
      <c r="D2" s="1333"/>
      <c r="E2" s="1336" t="s">
        <v>622</v>
      </c>
      <c r="F2" s="1336"/>
      <c r="G2" s="1336"/>
      <c r="H2" s="1334" t="s">
        <v>623</v>
      </c>
      <c r="I2" s="1440"/>
      <c r="J2" s="327" t="s">
        <v>631</v>
      </c>
    </row>
    <row r="3" spans="1:12" s="81" customFormat="1" ht="10.5" customHeight="1">
      <c r="A3" s="102" t="s">
        <v>426</v>
      </c>
      <c r="B3" s="439"/>
      <c r="C3" s="102"/>
      <c r="D3" s="102"/>
      <c r="E3" s="1336"/>
      <c r="F3" s="1336"/>
      <c r="G3" s="1336"/>
      <c r="H3" s="1334"/>
      <c r="I3" s="1440"/>
      <c r="J3" s="327"/>
    </row>
    <row r="4" spans="1:12" s="81" customFormat="1" ht="10.5" customHeight="1">
      <c r="A4" s="102"/>
      <c r="B4" s="439"/>
      <c r="C4" s="102"/>
      <c r="D4" s="102"/>
      <c r="E4" s="1336"/>
      <c r="F4" s="1336"/>
      <c r="G4" s="1336"/>
      <c r="H4" s="1334"/>
      <c r="I4" s="1440"/>
      <c r="J4" s="327"/>
    </row>
    <row r="5" spans="1:12" s="81" customFormat="1" ht="12" customHeight="1">
      <c r="A5" s="1310" t="s">
        <v>633</v>
      </c>
      <c r="B5" s="1310"/>
      <c r="C5" s="127"/>
      <c r="D5" s="328" t="s">
        <v>624</v>
      </c>
      <c r="E5" s="1236"/>
      <c r="F5" s="1236"/>
      <c r="G5" s="1236"/>
      <c r="H5" s="1334" t="s">
        <v>625</v>
      </c>
      <c r="I5" s="1440"/>
      <c r="J5" s="327"/>
    </row>
    <row r="6" spans="1:12" ht="69.75" customHeight="1">
      <c r="A6" s="1310"/>
      <c r="B6" s="1310"/>
      <c r="C6" s="325"/>
      <c r="D6" s="101"/>
      <c r="E6" s="1539"/>
      <c r="F6" s="1543"/>
      <c r="G6" s="1543"/>
      <c r="H6" s="1334"/>
      <c r="I6" s="1440"/>
      <c r="J6" s="327"/>
      <c r="L6" s="8"/>
    </row>
    <row r="7" spans="1:12" ht="21" customHeight="1">
      <c r="A7" s="331" t="s">
        <v>653</v>
      </c>
      <c r="B7" s="177" t="s">
        <v>428</v>
      </c>
      <c r="C7" s="1311" t="s">
        <v>429</v>
      </c>
      <c r="D7" s="1320" t="s">
        <v>620</v>
      </c>
      <c r="E7" s="1312" t="s">
        <v>432</v>
      </c>
      <c r="F7" s="1319" t="s">
        <v>430</v>
      </c>
      <c r="G7" s="1320" t="s">
        <v>621</v>
      </c>
      <c r="H7" s="1328" t="s">
        <v>431</v>
      </c>
      <c r="I7" s="1328"/>
      <c r="J7" s="329" t="s">
        <v>627</v>
      </c>
      <c r="L7" s="8"/>
    </row>
    <row r="8" spans="1:12" ht="21" customHeight="1">
      <c r="A8" s="326"/>
      <c r="B8" s="99"/>
      <c r="C8" s="1311"/>
      <c r="D8" s="1320"/>
      <c r="E8" s="1312"/>
      <c r="F8" s="1319"/>
      <c r="G8" s="1321"/>
      <c r="H8" s="1328"/>
      <c r="I8" s="1328"/>
      <c r="J8" s="329"/>
      <c r="L8" s="8"/>
    </row>
    <row r="9" spans="1:12" ht="12.75">
      <c r="A9" s="1"/>
      <c r="B9" s="1274" t="s">
        <v>452</v>
      </c>
      <c r="C9" s="1275"/>
      <c r="D9" s="1275"/>
      <c r="E9" s="1275"/>
      <c r="F9" s="1275"/>
      <c r="G9" s="1275"/>
      <c r="H9" s="76"/>
      <c r="I9" s="16"/>
      <c r="J9" s="16"/>
      <c r="K9" s="104"/>
      <c r="L9" s="826"/>
    </row>
    <row r="10" spans="1:12" ht="31.5">
      <c r="A10" s="59" t="s">
        <v>1867</v>
      </c>
      <c r="B10" s="235" t="s">
        <v>453</v>
      </c>
      <c r="C10" s="233" t="s">
        <v>628</v>
      </c>
      <c r="D10" s="201">
        <v>182.93</v>
      </c>
      <c r="E10" s="201">
        <f>SUM(D10*1.1)</f>
        <v>201.22300000000001</v>
      </c>
      <c r="F10" s="201">
        <v>0</v>
      </c>
      <c r="G10" s="201">
        <f>(F10-(F10*10%))</f>
        <v>0</v>
      </c>
      <c r="H10" s="82"/>
      <c r="I10" s="16"/>
      <c r="J10" s="16"/>
      <c r="K10" s="244" t="s">
        <v>762</v>
      </c>
      <c r="L10" s="826"/>
    </row>
    <row r="11" spans="1:12" ht="31.5">
      <c r="A11" s="59" t="s">
        <v>1868</v>
      </c>
      <c r="B11" s="235" t="s">
        <v>454</v>
      </c>
      <c r="C11" s="233" t="s">
        <v>628</v>
      </c>
      <c r="D11" s="201">
        <v>214.91</v>
      </c>
      <c r="E11" s="201">
        <f t="shared" ref="E11:E21" si="0">SUM(D11*1.1)</f>
        <v>236.40100000000001</v>
      </c>
      <c r="F11" s="201" t="s">
        <v>783</v>
      </c>
      <c r="G11" s="201" t="s">
        <v>783</v>
      </c>
      <c r="H11" s="82"/>
      <c r="I11" s="16" t="s">
        <v>426</v>
      </c>
      <c r="J11" s="16"/>
      <c r="K11" s="244" t="s">
        <v>764</v>
      </c>
      <c r="L11" s="827"/>
    </row>
    <row r="12" spans="1:12" ht="42">
      <c r="A12" s="59" t="s">
        <v>1869</v>
      </c>
      <c r="B12" s="96" t="s">
        <v>455</v>
      </c>
      <c r="C12" s="177" t="s">
        <v>628</v>
      </c>
      <c r="D12" s="201">
        <v>17</v>
      </c>
      <c r="E12" s="201">
        <f t="shared" si="0"/>
        <v>18.700000000000003</v>
      </c>
      <c r="F12" s="201" t="s">
        <v>783</v>
      </c>
      <c r="G12" s="201" t="s">
        <v>783</v>
      </c>
      <c r="H12" s="82"/>
      <c r="I12" s="16" t="s">
        <v>426</v>
      </c>
      <c r="J12" s="16"/>
      <c r="K12" s="245" t="s">
        <v>763</v>
      </c>
      <c r="L12" s="826"/>
    </row>
    <row r="13" spans="1:12" ht="21">
      <c r="A13" s="59" t="s">
        <v>1870</v>
      </c>
      <c r="B13" s="235" t="s">
        <v>456</v>
      </c>
      <c r="C13" s="233" t="s">
        <v>628</v>
      </c>
      <c r="D13" s="180">
        <v>140</v>
      </c>
      <c r="E13" s="201">
        <f t="shared" si="0"/>
        <v>154</v>
      </c>
      <c r="F13" s="201">
        <v>334.56</v>
      </c>
      <c r="G13" s="201">
        <f>(F13-(F13*10%))</f>
        <v>301.10399999999998</v>
      </c>
      <c r="H13" s="82"/>
      <c r="I13" s="106" t="s">
        <v>457</v>
      </c>
      <c r="J13" s="212"/>
      <c r="K13" s="1"/>
      <c r="L13" s="828"/>
    </row>
    <row r="14" spans="1:12" s="133" customFormat="1" ht="84.75" customHeight="1">
      <c r="A14" s="96" t="s">
        <v>1671</v>
      </c>
      <c r="B14" s="96" t="s">
        <v>307</v>
      </c>
      <c r="C14" s="177" t="s">
        <v>628</v>
      </c>
      <c r="D14" s="349">
        <v>8.84</v>
      </c>
      <c r="E14" s="201">
        <f t="shared" si="0"/>
        <v>9.7240000000000002</v>
      </c>
      <c r="F14" s="304" t="s">
        <v>277</v>
      </c>
      <c r="G14" s="304" t="s">
        <v>277</v>
      </c>
      <c r="H14" s="82"/>
      <c r="I14" s="149" t="s">
        <v>308</v>
      </c>
      <c r="J14" s="161" t="s">
        <v>311</v>
      </c>
      <c r="K14" s="74" t="s">
        <v>797</v>
      </c>
      <c r="L14" s="829"/>
    </row>
    <row r="15" spans="1:12" s="133" customFormat="1" ht="42">
      <c r="A15" s="97" t="s">
        <v>1672</v>
      </c>
      <c r="B15" s="374" t="s">
        <v>1385</v>
      </c>
      <c r="C15" s="233" t="s">
        <v>628</v>
      </c>
      <c r="D15" s="201">
        <v>35</v>
      </c>
      <c r="E15" s="304">
        <f>SUM(D15*1.1)</f>
        <v>38.5</v>
      </c>
      <c r="F15" s="201">
        <v>45.9</v>
      </c>
      <c r="G15" s="201">
        <f t="shared" ref="G15:G21" si="1">(F15-(F15*10%))</f>
        <v>41.31</v>
      </c>
      <c r="H15" s="82"/>
      <c r="I15" s="96" t="s">
        <v>337</v>
      </c>
      <c r="J15" s="149" t="s">
        <v>341</v>
      </c>
      <c r="K15" s="209" t="s">
        <v>693</v>
      </c>
      <c r="L15" s="829"/>
    </row>
    <row r="16" spans="1:12" s="133" customFormat="1" ht="75" customHeight="1">
      <c r="A16" s="96" t="s">
        <v>1673</v>
      </c>
      <c r="B16" s="150" t="s">
        <v>1386</v>
      </c>
      <c r="C16" s="233" t="s">
        <v>628</v>
      </c>
      <c r="D16" s="180">
        <v>6.5</v>
      </c>
      <c r="E16" s="201">
        <f t="shared" si="0"/>
        <v>7.15</v>
      </c>
      <c r="F16" s="201">
        <v>2.81</v>
      </c>
      <c r="G16" s="201">
        <f t="shared" si="1"/>
        <v>2.5289999999999999</v>
      </c>
      <c r="H16" s="82"/>
      <c r="I16" s="148" t="s">
        <v>345</v>
      </c>
      <c r="J16" s="149" t="s">
        <v>353</v>
      </c>
      <c r="K16" s="209" t="s">
        <v>426</v>
      </c>
      <c r="L16" s="829"/>
    </row>
    <row r="17" spans="1:12" s="133" customFormat="1" ht="75" customHeight="1">
      <c r="A17" s="96" t="s">
        <v>1674</v>
      </c>
      <c r="B17" s="150" t="s">
        <v>1387</v>
      </c>
      <c r="C17" s="233" t="s">
        <v>628</v>
      </c>
      <c r="D17" s="201">
        <v>5.5</v>
      </c>
      <c r="E17" s="201">
        <f t="shared" si="0"/>
        <v>6.0500000000000007</v>
      </c>
      <c r="F17" s="201">
        <v>2.81</v>
      </c>
      <c r="G17" s="201">
        <f t="shared" si="1"/>
        <v>2.5289999999999999</v>
      </c>
      <c r="H17" s="82"/>
      <c r="I17" s="148" t="s">
        <v>345</v>
      </c>
      <c r="J17" s="149" t="s">
        <v>353</v>
      </c>
      <c r="K17" s="209" t="s">
        <v>693</v>
      </c>
      <c r="L17" s="829"/>
    </row>
    <row r="18" spans="1:12" s="133" customFormat="1" ht="75" customHeight="1">
      <c r="A18" s="96" t="s">
        <v>1675</v>
      </c>
      <c r="B18" s="150" t="s">
        <v>1388</v>
      </c>
      <c r="C18" s="233" t="s">
        <v>628</v>
      </c>
      <c r="D18" s="201">
        <v>4.5</v>
      </c>
      <c r="E18" s="201">
        <f t="shared" si="0"/>
        <v>4.95</v>
      </c>
      <c r="F18" s="201">
        <v>2.81</v>
      </c>
      <c r="G18" s="201">
        <f t="shared" si="1"/>
        <v>2.5289999999999999</v>
      </c>
      <c r="H18" s="82"/>
      <c r="I18" s="148" t="s">
        <v>345</v>
      </c>
      <c r="J18" s="149" t="s">
        <v>353</v>
      </c>
      <c r="K18" s="209" t="s">
        <v>693</v>
      </c>
      <c r="L18" s="829"/>
    </row>
    <row r="19" spans="1:12" s="133" customFormat="1" ht="75" customHeight="1">
      <c r="A19" s="96" t="s">
        <v>1676</v>
      </c>
      <c r="B19" s="150" t="s">
        <v>1389</v>
      </c>
      <c r="C19" s="233" t="s">
        <v>628</v>
      </c>
      <c r="D19" s="201">
        <v>4</v>
      </c>
      <c r="E19" s="201">
        <f t="shared" si="0"/>
        <v>4.4000000000000004</v>
      </c>
      <c r="F19" s="201">
        <v>2.81</v>
      </c>
      <c r="G19" s="201">
        <f t="shared" si="1"/>
        <v>2.5289999999999999</v>
      </c>
      <c r="H19" s="82"/>
      <c r="I19" s="148" t="s">
        <v>345</v>
      </c>
      <c r="J19" s="209" t="s">
        <v>353</v>
      </c>
      <c r="K19" s="209" t="s">
        <v>693</v>
      </c>
      <c r="L19" s="829"/>
    </row>
    <row r="20" spans="1:12" s="133" customFormat="1" ht="75" customHeight="1">
      <c r="A20" s="96" t="s">
        <v>1677</v>
      </c>
      <c r="B20" s="150" t="s">
        <v>372</v>
      </c>
      <c r="C20" s="233" t="s">
        <v>628</v>
      </c>
      <c r="D20" s="201">
        <v>3</v>
      </c>
      <c r="E20" s="201">
        <f t="shared" si="0"/>
        <v>3.3000000000000003</v>
      </c>
      <c r="F20" s="201">
        <v>2.81</v>
      </c>
      <c r="G20" s="201">
        <f t="shared" si="1"/>
        <v>2.5289999999999999</v>
      </c>
      <c r="H20" s="82"/>
      <c r="I20" s="148" t="s">
        <v>345</v>
      </c>
      <c r="J20" s="149" t="s">
        <v>353</v>
      </c>
      <c r="K20" s="209" t="s">
        <v>693</v>
      </c>
      <c r="L20" s="829"/>
    </row>
    <row r="21" spans="1:12" s="133" customFormat="1" ht="75" customHeight="1">
      <c r="A21" s="96" t="s">
        <v>1678</v>
      </c>
      <c r="B21" s="150" t="s">
        <v>1390</v>
      </c>
      <c r="C21" s="233" t="s">
        <v>628</v>
      </c>
      <c r="D21" s="201">
        <v>2.5</v>
      </c>
      <c r="E21" s="201">
        <f t="shared" si="0"/>
        <v>2.75</v>
      </c>
      <c r="F21" s="201">
        <v>2.81</v>
      </c>
      <c r="G21" s="201">
        <f t="shared" si="1"/>
        <v>2.5289999999999999</v>
      </c>
      <c r="H21" s="82"/>
      <c r="I21" s="148" t="s">
        <v>345</v>
      </c>
      <c r="J21" s="149" t="s">
        <v>353</v>
      </c>
      <c r="K21" s="209" t="s">
        <v>693</v>
      </c>
      <c r="L21" s="829"/>
    </row>
    <row r="22" spans="1:12" s="133" customFormat="1" ht="52.5">
      <c r="A22" s="96" t="s">
        <v>1679</v>
      </c>
      <c r="B22" s="96" t="s">
        <v>1391</v>
      </c>
      <c r="C22" s="233" t="s">
        <v>628</v>
      </c>
      <c r="D22" s="304" t="s">
        <v>277</v>
      </c>
      <c r="E22" s="304" t="s">
        <v>277</v>
      </c>
      <c r="F22" s="201">
        <f t="shared" ref="F22:F23" si="2">SUM(G22*1.1)</f>
        <v>104.50000000000001</v>
      </c>
      <c r="G22" s="201">
        <v>95</v>
      </c>
      <c r="H22" s="82"/>
      <c r="I22" s="149" t="s">
        <v>346</v>
      </c>
      <c r="J22" s="148" t="s">
        <v>340</v>
      </c>
      <c r="K22" s="209" t="s">
        <v>693</v>
      </c>
      <c r="L22" s="829"/>
    </row>
    <row r="23" spans="1:12" s="133" customFormat="1" ht="52.5">
      <c r="A23" s="96" t="s">
        <v>1703</v>
      </c>
      <c r="B23" s="96" t="s">
        <v>1392</v>
      </c>
      <c r="C23" s="233" t="s">
        <v>628</v>
      </c>
      <c r="D23" s="304" t="s">
        <v>277</v>
      </c>
      <c r="E23" s="304" t="s">
        <v>277</v>
      </c>
      <c r="F23" s="201">
        <f t="shared" si="2"/>
        <v>214.50000000000003</v>
      </c>
      <c r="G23" s="201">
        <v>195</v>
      </c>
      <c r="H23" s="82"/>
      <c r="I23" s="96" t="s">
        <v>338</v>
      </c>
      <c r="J23" s="148" t="s">
        <v>339</v>
      </c>
      <c r="K23" s="209" t="s">
        <v>693</v>
      </c>
      <c r="L23" s="829"/>
    </row>
    <row r="24" spans="1:12" s="133" customFormat="1"/>
    <row r="25" spans="1:12" s="133" customFormat="1">
      <c r="A25" s="189" t="s">
        <v>632</v>
      </c>
      <c r="B25" s="142"/>
    </row>
    <row r="26" spans="1:12" s="133" customFormat="1">
      <c r="A26" s="188"/>
      <c r="B26" s="141"/>
    </row>
    <row r="27" spans="1:12" s="133" customFormat="1">
      <c r="A27" s="145"/>
      <c r="B27" s="171"/>
    </row>
    <row r="28" spans="1:12" s="133" customFormat="1">
      <c r="A28" s="145"/>
      <c r="B28" s="171"/>
    </row>
    <row r="29" spans="1:12" s="133" customFormat="1"/>
    <row r="30" spans="1:12" s="133" customFormat="1"/>
    <row r="31" spans="1:12" s="133" customFormat="1"/>
    <row r="32" spans="1:12" s="133" customFormat="1"/>
    <row r="33" spans="2:7" s="133" customFormat="1"/>
    <row r="34" spans="2:7" s="133" customFormat="1"/>
    <row r="35" spans="2:7" s="133" customFormat="1"/>
    <row r="36" spans="2:7" s="133" customFormat="1"/>
    <row r="37" spans="2:7" s="133" customFormat="1"/>
    <row r="38" spans="2:7" s="133" customFormat="1"/>
    <row r="39" spans="2:7" s="133" customFormat="1"/>
    <row r="40" spans="2:7" s="133" customFormat="1"/>
    <row r="41" spans="2:7" s="133" customFormat="1"/>
    <row r="42" spans="2:7" s="133" customFormat="1"/>
    <row r="43" spans="2:7" s="133" customFormat="1"/>
    <row r="44" spans="2:7" s="133" customFormat="1"/>
    <row r="45" spans="2:7" s="18" customFormat="1">
      <c r="B45" s="143"/>
      <c r="C45" s="143"/>
      <c r="D45" s="133"/>
      <c r="E45" s="133"/>
      <c r="F45" s="133"/>
      <c r="G45" s="133"/>
    </row>
    <row r="46" spans="2:7" s="18" customFormat="1">
      <c r="B46" s="143"/>
      <c r="C46" s="143"/>
      <c r="D46" s="133"/>
      <c r="E46" s="133"/>
      <c r="F46" s="133"/>
      <c r="G46" s="133"/>
    </row>
    <row r="47" spans="2:7" s="18" customFormat="1">
      <c r="B47" s="143"/>
      <c r="C47" s="143"/>
      <c r="D47" s="133"/>
      <c r="E47" s="133"/>
      <c r="F47" s="133"/>
      <c r="G47" s="133"/>
    </row>
    <row r="48" spans="2:7" s="18" customFormat="1">
      <c r="B48" s="143"/>
      <c r="C48" s="143"/>
      <c r="D48" s="133"/>
      <c r="E48" s="133"/>
      <c r="F48" s="133"/>
      <c r="G48" s="133"/>
    </row>
    <row r="49" spans="2:7" s="18" customFormat="1">
      <c r="B49" s="143"/>
      <c r="C49" s="143"/>
      <c r="D49" s="133"/>
      <c r="E49" s="133"/>
      <c r="F49" s="133"/>
      <c r="G49" s="133"/>
    </row>
    <row r="50" spans="2:7" s="18" customFormat="1">
      <c r="B50" s="143"/>
      <c r="C50" s="143"/>
      <c r="D50" s="133"/>
      <c r="E50" s="133"/>
      <c r="F50" s="133"/>
      <c r="G50" s="133"/>
    </row>
  </sheetData>
  <mergeCells count="14">
    <mergeCell ref="A1:B1"/>
    <mergeCell ref="B9:G9"/>
    <mergeCell ref="A5:B6"/>
    <mergeCell ref="H5:I6"/>
    <mergeCell ref="F6:G6"/>
    <mergeCell ref="C7:C8"/>
    <mergeCell ref="D7:D8"/>
    <mergeCell ref="E7:E8"/>
    <mergeCell ref="B2:D2"/>
    <mergeCell ref="E2:G4"/>
    <mergeCell ref="H2:I4"/>
    <mergeCell ref="F7:F8"/>
    <mergeCell ref="G7:G8"/>
    <mergeCell ref="H7:I8"/>
  </mergeCells>
  <phoneticPr fontId="0" type="noConversion"/>
  <printOptions horizontalCentered="1"/>
  <pageMargins left="0.75" right="0.75" top="1" bottom="1" header="0.5" footer="0.5"/>
  <pageSetup scale="71" fitToHeight="26" orientation="landscape" r:id="rId1"/>
  <headerFooter alignWithMargins="0">
    <oddHeader>&amp;L&amp;F&amp;C&amp;"Tahoma,Bold"&amp;11&amp;A&amp;R&amp;G</oddHeader>
    <oddFooter>&amp;C&amp;"Tahoma,Italic"Use or disclosure of the data on this page or screen is subject to the restrictions on the title page or opening view screen of this proposal document or file.&amp;R&amp;P of &amp;N</oddFooter>
  </headerFooter>
  <rowBreaks count="1" manualBreakCount="1">
    <brk id="17" max="14" man="1"/>
  </rowBreaks>
  <ignoredErrors>
    <ignoredError sqref="F14:G14 F22:G23 E16:E23 E10:E14" unlockedFormula="1"/>
  </ignoredErrors>
  <legacyDrawingHF r:id="rId2"/>
</worksheet>
</file>

<file path=xl/worksheets/sheet26.xml><?xml version="1.0" encoding="utf-8"?>
<worksheet xmlns="http://schemas.openxmlformats.org/spreadsheetml/2006/main" xmlns:r="http://schemas.openxmlformats.org/officeDocument/2006/relationships">
  <sheetPr>
    <tabColor theme="3" tint="0.79998168889431442"/>
  </sheetPr>
  <dimension ref="A1:N110"/>
  <sheetViews>
    <sheetView zoomScaleNormal="100" workbookViewId="0">
      <selection activeCell="A2" sqref="A2"/>
    </sheetView>
  </sheetViews>
  <sheetFormatPr defaultRowHeight="10.5"/>
  <cols>
    <col min="1" max="1" width="15.33203125" customWidth="1"/>
    <col min="2" max="2" width="21.1640625" style="143" customWidth="1"/>
    <col min="3" max="3" width="17.5" style="143" customWidth="1"/>
    <col min="4" max="4" width="12.6640625" style="143" hidden="1" customWidth="1"/>
    <col min="5" max="5" width="15" style="143" customWidth="1"/>
    <col min="6" max="6" width="12.5" style="143" customWidth="1"/>
    <col min="7" max="7" width="12.1640625" style="287" hidden="1" customWidth="1"/>
    <col min="8" max="8" width="23.33203125" style="143" customWidth="1"/>
    <col min="9" max="9" width="30.6640625" customWidth="1"/>
  </cols>
  <sheetData>
    <row r="1" spans="1:14" ht="15" customHeight="1">
      <c r="A1" s="1547" t="s">
        <v>424</v>
      </c>
      <c r="B1" s="1548"/>
      <c r="C1" s="103"/>
      <c r="D1" s="103"/>
      <c r="E1" s="103"/>
      <c r="F1" s="103"/>
      <c r="G1" s="103"/>
      <c r="H1" s="103"/>
      <c r="I1" s="632"/>
      <c r="J1" s="8"/>
      <c r="K1" s="8"/>
      <c r="L1" s="8"/>
      <c r="M1" s="8"/>
      <c r="N1" s="8"/>
    </row>
    <row r="2" spans="1:14" s="81" customFormat="1" ht="39.75" customHeight="1">
      <c r="A2" s="69"/>
      <c r="B2" s="1333" t="s">
        <v>370</v>
      </c>
      <c r="C2" s="1333"/>
      <c r="D2" s="1333"/>
      <c r="E2" s="1336" t="s">
        <v>622</v>
      </c>
      <c r="F2" s="1336"/>
      <c r="G2" s="1336"/>
      <c r="H2" s="1334" t="s">
        <v>623</v>
      </c>
      <c r="I2" s="640" t="s">
        <v>631</v>
      </c>
      <c r="J2" s="138"/>
      <c r="K2" s="138"/>
      <c r="L2" s="138"/>
      <c r="M2" s="138"/>
      <c r="N2" s="138"/>
    </row>
    <row r="3" spans="1:14" s="81" customFormat="1" ht="10.5" customHeight="1">
      <c r="A3" s="102" t="s">
        <v>426</v>
      </c>
      <c r="B3" s="102"/>
      <c r="C3" s="102"/>
      <c r="D3" s="102"/>
      <c r="E3" s="1336"/>
      <c r="F3" s="1336"/>
      <c r="G3" s="1336"/>
      <c r="H3" s="1334"/>
      <c r="I3" s="640"/>
      <c r="J3" s="138"/>
      <c r="K3" s="138"/>
      <c r="L3" s="138"/>
      <c r="M3" s="138"/>
      <c r="N3" s="138"/>
    </row>
    <row r="4" spans="1:14" s="81" customFormat="1" ht="10.5" customHeight="1">
      <c r="A4" s="102"/>
      <c r="B4" s="102"/>
      <c r="C4" s="102"/>
      <c r="D4" s="102"/>
      <c r="E4" s="1336"/>
      <c r="F4" s="1336"/>
      <c r="G4" s="1336"/>
      <c r="H4" s="1334"/>
      <c r="I4" s="640"/>
      <c r="J4" s="138"/>
      <c r="K4" s="138"/>
      <c r="L4" s="138"/>
      <c r="M4" s="138"/>
      <c r="N4" s="138"/>
    </row>
    <row r="5" spans="1:14" s="81" customFormat="1" ht="12" customHeight="1">
      <c r="A5" s="1310" t="s">
        <v>633</v>
      </c>
      <c r="B5" s="1310"/>
      <c r="C5" s="127"/>
      <c r="D5" s="1236"/>
      <c r="E5" s="1236"/>
      <c r="F5" s="1236"/>
      <c r="G5" s="1236"/>
      <c r="H5" s="1334" t="s">
        <v>625</v>
      </c>
      <c r="I5" s="640"/>
      <c r="J5" s="138"/>
      <c r="K5" s="138"/>
      <c r="L5" s="138"/>
      <c r="M5" s="138"/>
      <c r="N5" s="138"/>
    </row>
    <row r="6" spans="1:14" ht="69.75" customHeight="1">
      <c r="A6" s="1310"/>
      <c r="B6" s="1310"/>
      <c r="C6" s="633"/>
      <c r="D6" s="1539"/>
      <c r="E6" s="1539"/>
      <c r="F6" s="1543"/>
      <c r="G6" s="1543"/>
      <c r="H6" s="1334"/>
      <c r="I6" s="640"/>
      <c r="J6" s="8"/>
      <c r="K6" s="8"/>
      <c r="L6" s="8"/>
      <c r="M6" s="8"/>
      <c r="N6" s="8"/>
    </row>
    <row r="7" spans="1:14" ht="21" customHeight="1">
      <c r="A7" s="643" t="s">
        <v>653</v>
      </c>
      <c r="B7" s="330" t="s">
        <v>428</v>
      </c>
      <c r="C7" s="1311" t="s">
        <v>429</v>
      </c>
      <c r="D7" s="1320" t="s">
        <v>620</v>
      </c>
      <c r="E7" s="1312" t="s">
        <v>432</v>
      </c>
      <c r="F7" s="1319" t="s">
        <v>430</v>
      </c>
      <c r="G7" s="1320" t="s">
        <v>621</v>
      </c>
      <c r="H7" s="1328" t="s">
        <v>431</v>
      </c>
      <c r="I7" s="639" t="s">
        <v>627</v>
      </c>
      <c r="J7" s="8"/>
      <c r="K7" s="8"/>
      <c r="L7" s="8"/>
      <c r="M7" s="8"/>
      <c r="N7" s="8"/>
    </row>
    <row r="8" spans="1:14" ht="21" customHeight="1">
      <c r="A8" s="641"/>
      <c r="B8" s="99"/>
      <c r="C8" s="1311"/>
      <c r="D8" s="1320"/>
      <c r="E8" s="1312"/>
      <c r="F8" s="1319"/>
      <c r="G8" s="1321"/>
      <c r="H8" s="1328"/>
      <c r="I8" s="639"/>
      <c r="J8" s="8"/>
      <c r="K8" s="8"/>
      <c r="L8" s="8"/>
      <c r="M8" s="8"/>
      <c r="N8" s="8"/>
    </row>
    <row r="9" spans="1:14" s="17" customFormat="1" ht="12.75">
      <c r="A9" s="28"/>
      <c r="B9" s="288" t="s">
        <v>273</v>
      </c>
      <c r="C9" s="634"/>
      <c r="D9" s="289"/>
      <c r="E9" s="290"/>
      <c r="F9" s="635"/>
      <c r="G9" s="291"/>
      <c r="H9" s="298"/>
      <c r="I9" s="29"/>
    </row>
    <row r="10" spans="1:14" s="11" customFormat="1" ht="36" customHeight="1">
      <c r="A10" s="61" t="s">
        <v>2132</v>
      </c>
      <c r="B10" s="72" t="s">
        <v>1583</v>
      </c>
      <c r="C10" s="156" t="s">
        <v>630</v>
      </c>
      <c r="D10" s="349" t="s">
        <v>277</v>
      </c>
      <c r="E10" s="241" t="s">
        <v>277</v>
      </c>
      <c r="F10" s="349">
        <f>SUM(1.1*G10)</f>
        <v>108.9</v>
      </c>
      <c r="G10" s="349">
        <v>99</v>
      </c>
      <c r="H10" s="1549" t="s">
        <v>1584</v>
      </c>
      <c r="I10" s="354" t="s">
        <v>1585</v>
      </c>
    </row>
    <row r="11" spans="1:14" s="11" customFormat="1" ht="36" customHeight="1">
      <c r="A11" s="61" t="s">
        <v>2133</v>
      </c>
      <c r="B11" s="72" t="s">
        <v>1586</v>
      </c>
      <c r="C11" s="156" t="s">
        <v>630</v>
      </c>
      <c r="D11" s="349" t="s">
        <v>277</v>
      </c>
      <c r="E11" s="241" t="s">
        <v>277</v>
      </c>
      <c r="F11" s="349">
        <f>SUM(1.1*G11)</f>
        <v>44</v>
      </c>
      <c r="G11" s="349">
        <v>40</v>
      </c>
      <c r="H11" s="1549" t="s">
        <v>1587</v>
      </c>
      <c r="I11" s="354" t="s">
        <v>1585</v>
      </c>
    </row>
    <row r="12" spans="1:14" s="11" customFormat="1" ht="47.25" customHeight="1">
      <c r="A12" s="61" t="s">
        <v>2134</v>
      </c>
      <c r="B12" s="72" t="s">
        <v>1588</v>
      </c>
      <c r="C12" s="156" t="s">
        <v>630</v>
      </c>
      <c r="D12" s="349" t="s">
        <v>277</v>
      </c>
      <c r="E12" s="241" t="s">
        <v>277</v>
      </c>
      <c r="F12" s="349">
        <f t="shared" ref="F12:F22" si="0">SUM(1.1*G12)</f>
        <v>119.9</v>
      </c>
      <c r="G12" s="349">
        <v>109</v>
      </c>
      <c r="H12" s="1549" t="s">
        <v>1584</v>
      </c>
      <c r="I12" s="354" t="s">
        <v>1585</v>
      </c>
    </row>
    <row r="13" spans="1:14" s="11" customFormat="1" ht="54.75" customHeight="1">
      <c r="A13" s="61" t="s">
        <v>2135</v>
      </c>
      <c r="B13" s="72" t="s">
        <v>1589</v>
      </c>
      <c r="C13" s="156" t="s">
        <v>630</v>
      </c>
      <c r="D13" s="349" t="s">
        <v>277</v>
      </c>
      <c r="E13" s="241" t="s">
        <v>277</v>
      </c>
      <c r="F13" s="349">
        <f t="shared" si="0"/>
        <v>46.2</v>
      </c>
      <c r="G13" s="349">
        <v>42</v>
      </c>
      <c r="H13" s="1549" t="s">
        <v>1590</v>
      </c>
      <c r="I13" s="354" t="s">
        <v>1585</v>
      </c>
    </row>
    <row r="14" spans="1:14" s="11" customFormat="1" ht="48" customHeight="1">
      <c r="A14" s="61" t="s">
        <v>2136</v>
      </c>
      <c r="B14" s="72" t="s">
        <v>1591</v>
      </c>
      <c r="C14" s="156" t="s">
        <v>630</v>
      </c>
      <c r="D14" s="349" t="s">
        <v>277</v>
      </c>
      <c r="E14" s="241" t="s">
        <v>277</v>
      </c>
      <c r="F14" s="349">
        <f t="shared" si="0"/>
        <v>130.9</v>
      </c>
      <c r="G14" s="349">
        <v>119</v>
      </c>
      <c r="H14" s="1549" t="s">
        <v>1584</v>
      </c>
      <c r="I14" s="354" t="s">
        <v>1585</v>
      </c>
    </row>
    <row r="15" spans="1:14" s="11" customFormat="1" ht="48" customHeight="1">
      <c r="A15" s="61" t="s">
        <v>2137</v>
      </c>
      <c r="B15" s="72" t="s">
        <v>1592</v>
      </c>
      <c r="C15" s="156" t="s">
        <v>630</v>
      </c>
      <c r="D15" s="349" t="s">
        <v>277</v>
      </c>
      <c r="E15" s="241" t="s">
        <v>277</v>
      </c>
      <c r="F15" s="349">
        <f t="shared" si="0"/>
        <v>49.500000000000007</v>
      </c>
      <c r="G15" s="349">
        <v>45</v>
      </c>
      <c r="H15" s="1549" t="s">
        <v>1590</v>
      </c>
      <c r="I15" s="354" t="s">
        <v>1585</v>
      </c>
    </row>
    <row r="16" spans="1:14" s="11" customFormat="1" ht="48" customHeight="1">
      <c r="A16" s="61" t="s">
        <v>2138</v>
      </c>
      <c r="B16" s="72" t="s">
        <v>1593</v>
      </c>
      <c r="C16" s="156" t="s">
        <v>630</v>
      </c>
      <c r="D16" s="349" t="s">
        <v>277</v>
      </c>
      <c r="E16" s="349" t="s">
        <v>277</v>
      </c>
      <c r="F16" s="349">
        <f t="shared" si="0"/>
        <v>46.914999999999999</v>
      </c>
      <c r="G16" s="349">
        <v>42.65</v>
      </c>
      <c r="H16" s="1549" t="s">
        <v>1594</v>
      </c>
      <c r="I16" s="354" t="s">
        <v>1585</v>
      </c>
    </row>
    <row r="17" spans="1:9" s="11" customFormat="1" ht="48" customHeight="1">
      <c r="A17" s="61" t="s">
        <v>2139</v>
      </c>
      <c r="B17" s="72" t="s">
        <v>1595</v>
      </c>
      <c r="C17" s="156" t="s">
        <v>630</v>
      </c>
      <c r="D17" s="349" t="s">
        <v>277</v>
      </c>
      <c r="E17" s="349" t="s">
        <v>277</v>
      </c>
      <c r="F17" s="349">
        <f t="shared" si="0"/>
        <v>16.885000000000002</v>
      </c>
      <c r="G17" s="349">
        <v>15.35</v>
      </c>
      <c r="H17" s="1549" t="s">
        <v>1596</v>
      </c>
      <c r="I17" s="354" t="s">
        <v>1585</v>
      </c>
    </row>
    <row r="18" spans="1:9" s="11" customFormat="1" ht="253.5" customHeight="1">
      <c r="A18" s="61" t="s">
        <v>2140</v>
      </c>
      <c r="B18" s="72" t="s">
        <v>1540</v>
      </c>
      <c r="C18" s="156" t="s">
        <v>630</v>
      </c>
      <c r="D18" s="349" t="s">
        <v>277</v>
      </c>
      <c r="E18" s="241" t="s">
        <v>277</v>
      </c>
      <c r="F18" s="349">
        <f t="shared" si="0"/>
        <v>60.500000000000007</v>
      </c>
      <c r="G18" s="349">
        <v>55</v>
      </c>
      <c r="H18" s="1241" t="s">
        <v>1597</v>
      </c>
      <c r="I18" s="354" t="s">
        <v>1585</v>
      </c>
    </row>
    <row r="19" spans="1:9" s="11" customFormat="1" ht="255" customHeight="1">
      <c r="A19" s="61" t="s">
        <v>2141</v>
      </c>
      <c r="B19" s="72" t="s">
        <v>1541</v>
      </c>
      <c r="C19" s="156" t="s">
        <v>630</v>
      </c>
      <c r="D19" s="349" t="s">
        <v>277</v>
      </c>
      <c r="E19" s="241" t="s">
        <v>277</v>
      </c>
      <c r="F19" s="349">
        <f t="shared" si="0"/>
        <v>60.500000000000007</v>
      </c>
      <c r="G19" s="349">
        <v>55</v>
      </c>
      <c r="H19" s="1241" t="s">
        <v>1597</v>
      </c>
      <c r="I19" s="354" t="s">
        <v>1585</v>
      </c>
    </row>
    <row r="20" spans="1:9" s="11" customFormat="1" ht="252.75" customHeight="1">
      <c r="A20" s="61" t="s">
        <v>2142</v>
      </c>
      <c r="B20" s="72" t="s">
        <v>1542</v>
      </c>
      <c r="C20" s="156" t="s">
        <v>630</v>
      </c>
      <c r="D20" s="349" t="s">
        <v>277</v>
      </c>
      <c r="E20" s="241" t="s">
        <v>277</v>
      </c>
      <c r="F20" s="349">
        <f t="shared" si="0"/>
        <v>60.500000000000007</v>
      </c>
      <c r="G20" s="349">
        <v>55</v>
      </c>
      <c r="H20" s="1241" t="s">
        <v>1597</v>
      </c>
      <c r="I20" s="354" t="s">
        <v>1585</v>
      </c>
    </row>
    <row r="21" spans="1:9" s="11" customFormat="1" ht="21">
      <c r="A21" s="61" t="s">
        <v>2143</v>
      </c>
      <c r="B21" s="72" t="s">
        <v>1598</v>
      </c>
      <c r="C21" s="156" t="s">
        <v>630</v>
      </c>
      <c r="D21" s="349" t="s">
        <v>277</v>
      </c>
      <c r="E21" s="349" t="s">
        <v>277</v>
      </c>
      <c r="F21" s="349">
        <f t="shared" si="0"/>
        <v>46.914999999999999</v>
      </c>
      <c r="G21" s="349">
        <v>42.65</v>
      </c>
      <c r="H21" s="208" t="s">
        <v>1543</v>
      </c>
      <c r="I21" s="354" t="s">
        <v>1585</v>
      </c>
    </row>
    <row r="22" spans="1:9" s="11" customFormat="1" ht="33" customHeight="1">
      <c r="A22" s="61" t="s">
        <v>2144</v>
      </c>
      <c r="B22" s="72" t="s">
        <v>1599</v>
      </c>
      <c r="C22" s="156" t="s">
        <v>630</v>
      </c>
      <c r="D22" s="349" t="s">
        <v>277</v>
      </c>
      <c r="E22" s="349" t="s">
        <v>277</v>
      </c>
      <c r="F22" s="349">
        <f t="shared" si="0"/>
        <v>16.885000000000002</v>
      </c>
      <c r="G22" s="349">
        <v>15.35</v>
      </c>
      <c r="H22" s="208" t="s">
        <v>1543</v>
      </c>
      <c r="I22" s="354" t="s">
        <v>1585</v>
      </c>
    </row>
    <row r="23" spans="1:9" s="11" customFormat="1" ht="21">
      <c r="A23" s="61" t="s">
        <v>2145</v>
      </c>
      <c r="B23" s="72" t="s">
        <v>520</v>
      </c>
      <c r="C23" s="156" t="s">
        <v>630</v>
      </c>
      <c r="D23" s="349" t="s">
        <v>277</v>
      </c>
      <c r="E23" s="241" t="s">
        <v>277</v>
      </c>
      <c r="F23" s="349">
        <f>SUM(1.1*G23)</f>
        <v>95.254882800000004</v>
      </c>
      <c r="G23" s="349">
        <v>86.595348000000001</v>
      </c>
      <c r="H23" s="644" t="s">
        <v>536</v>
      </c>
      <c r="I23" s="354"/>
    </row>
    <row r="24" spans="1:9" s="11" customFormat="1" ht="21">
      <c r="A24" s="61" t="s">
        <v>2146</v>
      </c>
      <c r="B24" s="72" t="s">
        <v>521</v>
      </c>
      <c r="C24" s="156" t="s">
        <v>630</v>
      </c>
      <c r="D24" s="349" t="s">
        <v>277</v>
      </c>
      <c r="E24" s="241" t="s">
        <v>277</v>
      </c>
      <c r="F24" s="349">
        <f t="shared" ref="F24:F40" si="1">SUM(1.1*G24)</f>
        <v>142.88782199999997</v>
      </c>
      <c r="G24" s="349">
        <v>129.89801999999997</v>
      </c>
      <c r="H24" s="644" t="s">
        <v>536</v>
      </c>
      <c r="I24" s="354"/>
    </row>
    <row r="25" spans="1:9" s="11" customFormat="1" ht="12.75">
      <c r="A25" s="61" t="s">
        <v>2147</v>
      </c>
      <c r="B25" s="72" t="s">
        <v>522</v>
      </c>
      <c r="C25" s="156" t="s">
        <v>630</v>
      </c>
      <c r="D25" s="349" t="s">
        <v>277</v>
      </c>
      <c r="E25" s="241" t="s">
        <v>277</v>
      </c>
      <c r="F25" s="349">
        <f t="shared" si="1"/>
        <v>98.56455840000001</v>
      </c>
      <c r="G25" s="349">
        <v>89.604144000000005</v>
      </c>
      <c r="H25" s="644" t="s">
        <v>536</v>
      </c>
      <c r="I25" s="354"/>
    </row>
    <row r="26" spans="1:9" s="11" customFormat="1" ht="12.75">
      <c r="A26" s="61" t="s">
        <v>2148</v>
      </c>
      <c r="B26" s="72" t="s">
        <v>523</v>
      </c>
      <c r="C26" s="156" t="s">
        <v>630</v>
      </c>
      <c r="D26" s="349" t="s">
        <v>277</v>
      </c>
      <c r="E26" s="241" t="s">
        <v>277</v>
      </c>
      <c r="F26" s="349">
        <f t="shared" si="1"/>
        <v>147.84683760000001</v>
      </c>
      <c r="G26" s="349">
        <v>134.406216</v>
      </c>
      <c r="H26" s="644" t="s">
        <v>536</v>
      </c>
      <c r="I26" s="354"/>
    </row>
    <row r="27" spans="1:9" s="11" customFormat="1" ht="12.75">
      <c r="A27" s="61" t="s">
        <v>2149</v>
      </c>
      <c r="B27" s="72" t="s">
        <v>524</v>
      </c>
      <c r="C27" s="156" t="s">
        <v>630</v>
      </c>
      <c r="D27" s="349" t="s">
        <v>277</v>
      </c>
      <c r="E27" s="241" t="s">
        <v>277</v>
      </c>
      <c r="F27" s="349">
        <f t="shared" si="1"/>
        <v>98.56455840000001</v>
      </c>
      <c r="G27" s="349">
        <v>89.604144000000005</v>
      </c>
      <c r="H27" s="644" t="s">
        <v>536</v>
      </c>
      <c r="I27" s="354"/>
    </row>
    <row r="28" spans="1:9" s="11" customFormat="1" ht="12.75">
      <c r="A28" s="61" t="s">
        <v>2149</v>
      </c>
      <c r="B28" s="72" t="s">
        <v>525</v>
      </c>
      <c r="C28" s="156" t="s">
        <v>630</v>
      </c>
      <c r="D28" s="349" t="s">
        <v>277</v>
      </c>
      <c r="E28" s="241" t="s">
        <v>277</v>
      </c>
      <c r="F28" s="349">
        <f t="shared" si="1"/>
        <v>147.84683760000001</v>
      </c>
      <c r="G28" s="349">
        <v>134.406216</v>
      </c>
      <c r="H28" s="644" t="s">
        <v>536</v>
      </c>
      <c r="I28" s="354"/>
    </row>
    <row r="29" spans="1:9" s="11" customFormat="1" ht="12.75">
      <c r="A29" s="61" t="s">
        <v>2150</v>
      </c>
      <c r="B29" s="72" t="s">
        <v>526</v>
      </c>
      <c r="C29" s="156" t="s">
        <v>630</v>
      </c>
      <c r="D29" s="349" t="s">
        <v>277</v>
      </c>
      <c r="E29" s="241" t="s">
        <v>277</v>
      </c>
      <c r="F29" s="349">
        <f t="shared" si="1"/>
        <v>124.41521400000002</v>
      </c>
      <c r="G29" s="349">
        <v>113.10474000000001</v>
      </c>
      <c r="H29" s="644" t="s">
        <v>536</v>
      </c>
      <c r="I29" s="354"/>
    </row>
    <row r="30" spans="1:9" s="11" customFormat="1" ht="21">
      <c r="A30" s="61" t="s">
        <v>2151</v>
      </c>
      <c r="B30" s="72" t="s">
        <v>527</v>
      </c>
      <c r="C30" s="156" t="s">
        <v>630</v>
      </c>
      <c r="D30" s="349" t="s">
        <v>277</v>
      </c>
      <c r="E30" s="241" t="s">
        <v>277</v>
      </c>
      <c r="F30" s="349">
        <f t="shared" si="1"/>
        <v>186.62831880000002</v>
      </c>
      <c r="G30" s="349">
        <v>169.66210799999999</v>
      </c>
      <c r="H30" s="644" t="s">
        <v>536</v>
      </c>
      <c r="I30" s="354"/>
    </row>
    <row r="31" spans="1:9" s="11" customFormat="1" ht="36" customHeight="1">
      <c r="A31" s="61" t="s">
        <v>2152</v>
      </c>
      <c r="B31" s="72" t="s">
        <v>528</v>
      </c>
      <c r="C31" s="156" t="s">
        <v>630</v>
      </c>
      <c r="D31" s="349" t="s">
        <v>277</v>
      </c>
      <c r="E31" s="241" t="s">
        <v>277</v>
      </c>
      <c r="F31" s="349">
        <f t="shared" si="1"/>
        <v>142.3710288</v>
      </c>
      <c r="G31" s="349">
        <v>129.42820799999998</v>
      </c>
      <c r="H31" s="644" t="s">
        <v>536</v>
      </c>
      <c r="I31" s="354"/>
    </row>
    <row r="32" spans="1:9" s="11" customFormat="1" ht="21">
      <c r="A32" s="182" t="s">
        <v>2153</v>
      </c>
      <c r="B32" s="72" t="s">
        <v>529</v>
      </c>
      <c r="C32" s="156" t="s">
        <v>630</v>
      </c>
      <c r="D32" s="349" t="s">
        <v>277</v>
      </c>
      <c r="E32" s="241" t="s">
        <v>277</v>
      </c>
      <c r="F32" s="349">
        <f t="shared" si="1"/>
        <v>142.3710288</v>
      </c>
      <c r="G32" s="349">
        <v>129.42820799999998</v>
      </c>
      <c r="H32" s="644" t="s">
        <v>536</v>
      </c>
      <c r="I32" s="354"/>
    </row>
    <row r="33" spans="1:9" s="11" customFormat="1" ht="12.75">
      <c r="A33" s="182" t="s">
        <v>2154</v>
      </c>
      <c r="B33" s="72" t="s">
        <v>530</v>
      </c>
      <c r="C33" s="156" t="s">
        <v>630</v>
      </c>
      <c r="D33" s="349" t="s">
        <v>277</v>
      </c>
      <c r="E33" s="241" t="s">
        <v>277</v>
      </c>
      <c r="F33" s="349">
        <f t="shared" si="1"/>
        <v>136.6972992</v>
      </c>
      <c r="G33" s="349">
        <v>124.27027199999999</v>
      </c>
      <c r="H33" s="644" t="s">
        <v>536</v>
      </c>
      <c r="I33" s="354"/>
    </row>
    <row r="34" spans="1:9" s="11" customFormat="1" ht="21">
      <c r="A34" s="182" t="s">
        <v>2155</v>
      </c>
      <c r="B34" s="72" t="s">
        <v>531</v>
      </c>
      <c r="C34" s="156" t="s">
        <v>630</v>
      </c>
      <c r="D34" s="349" t="s">
        <v>277</v>
      </c>
      <c r="E34" s="241" t="s">
        <v>277</v>
      </c>
      <c r="F34" s="349">
        <f t="shared" si="1"/>
        <v>142.3710288</v>
      </c>
      <c r="G34" s="349">
        <v>129.42820799999998</v>
      </c>
      <c r="H34" s="644" t="s">
        <v>536</v>
      </c>
      <c r="I34" s="354"/>
    </row>
    <row r="35" spans="1:9" s="11" customFormat="1" ht="12.75">
      <c r="A35" s="182" t="s">
        <v>2156</v>
      </c>
      <c r="B35" s="72" t="s">
        <v>532</v>
      </c>
      <c r="C35" s="156" t="s">
        <v>630</v>
      </c>
      <c r="D35" s="349" t="s">
        <v>277</v>
      </c>
      <c r="E35" s="241" t="s">
        <v>277</v>
      </c>
      <c r="F35" s="349">
        <f t="shared" si="1"/>
        <v>142.3710288</v>
      </c>
      <c r="G35" s="349">
        <v>129.42820799999998</v>
      </c>
      <c r="H35" s="644" t="s">
        <v>536</v>
      </c>
      <c r="I35" s="354"/>
    </row>
    <row r="36" spans="1:9" s="11" customFormat="1" ht="12.75">
      <c r="A36" s="182" t="s">
        <v>2157</v>
      </c>
      <c r="B36" s="72" t="s">
        <v>533</v>
      </c>
      <c r="C36" s="156" t="s">
        <v>630</v>
      </c>
      <c r="D36" s="349" t="s">
        <v>277</v>
      </c>
      <c r="E36" s="241" t="s">
        <v>277</v>
      </c>
      <c r="F36" s="349">
        <f t="shared" si="1"/>
        <v>148.45159559999999</v>
      </c>
      <c r="G36" s="349">
        <v>134.95599599999997</v>
      </c>
      <c r="H36" s="644" t="s">
        <v>536</v>
      </c>
      <c r="I36" s="354"/>
    </row>
    <row r="37" spans="1:9" s="11" customFormat="1" ht="12.75">
      <c r="A37" s="182" t="s">
        <v>2158</v>
      </c>
      <c r="B37" s="72" t="s">
        <v>534</v>
      </c>
      <c r="C37" s="156" t="s">
        <v>630</v>
      </c>
      <c r="D37" s="349" t="s">
        <v>277</v>
      </c>
      <c r="E37" s="241" t="s">
        <v>277</v>
      </c>
      <c r="F37" s="349">
        <f t="shared" si="1"/>
        <v>181.94419320000003</v>
      </c>
      <c r="G37" s="349">
        <v>165.40381200000002</v>
      </c>
      <c r="H37" s="644" t="s">
        <v>536</v>
      </c>
      <c r="I37" s="354"/>
    </row>
    <row r="38" spans="1:9" s="11" customFormat="1" ht="21">
      <c r="A38" s="182" t="s">
        <v>2161</v>
      </c>
      <c r="B38" s="72" t="s">
        <v>535</v>
      </c>
      <c r="C38" s="156" t="s">
        <v>630</v>
      </c>
      <c r="D38" s="349" t="s">
        <v>277</v>
      </c>
      <c r="E38" s="241" t="s">
        <v>277</v>
      </c>
      <c r="F38" s="349">
        <f t="shared" si="1"/>
        <v>82.15912320000001</v>
      </c>
      <c r="G38" s="349">
        <v>74.690111999999999</v>
      </c>
      <c r="H38" s="644" t="s">
        <v>536</v>
      </c>
      <c r="I38" s="354"/>
    </row>
    <row r="39" spans="1:9" s="11" customFormat="1" ht="21">
      <c r="A39" s="182" t="s">
        <v>2160</v>
      </c>
      <c r="B39" s="72" t="s">
        <v>1544</v>
      </c>
      <c r="C39" s="156" t="s">
        <v>630</v>
      </c>
      <c r="D39" s="349" t="s">
        <v>277</v>
      </c>
      <c r="E39" s="241" t="s">
        <v>277</v>
      </c>
      <c r="F39" s="349">
        <f t="shared" si="1"/>
        <v>100.62800000000001</v>
      </c>
      <c r="G39" s="349">
        <v>91.48</v>
      </c>
      <c r="H39" s="644" t="s">
        <v>536</v>
      </c>
      <c r="I39" s="354" t="s">
        <v>1545</v>
      </c>
    </row>
    <row r="40" spans="1:9" s="11" customFormat="1" ht="12.75">
      <c r="A40" s="182" t="s">
        <v>2159</v>
      </c>
      <c r="B40" s="72" t="s">
        <v>1506</v>
      </c>
      <c r="C40" s="156" t="s">
        <v>630</v>
      </c>
      <c r="D40" s="349" t="s">
        <v>277</v>
      </c>
      <c r="E40" s="241" t="s">
        <v>277</v>
      </c>
      <c r="F40" s="349">
        <f t="shared" si="1"/>
        <v>165</v>
      </c>
      <c r="G40" s="349">
        <v>150</v>
      </c>
      <c r="H40" s="208" t="s">
        <v>1507</v>
      </c>
      <c r="I40" s="354"/>
    </row>
    <row r="41" spans="1:9" s="17" customFormat="1" ht="12.75">
      <c r="A41" s="67"/>
      <c r="B41" s="73" t="s">
        <v>259</v>
      </c>
      <c r="C41" s="177"/>
      <c r="D41" s="349"/>
      <c r="E41" s="241"/>
      <c r="F41" s="241"/>
      <c r="G41" s="241"/>
      <c r="H41" s="330"/>
      <c r="I41" s="46"/>
    </row>
    <row r="42" spans="1:9" s="649" customFormat="1" ht="42.75">
      <c r="A42" s="648" t="s">
        <v>2105</v>
      </c>
      <c r="B42" s="637" t="s">
        <v>1537</v>
      </c>
      <c r="C42" s="156" t="s">
        <v>630</v>
      </c>
      <c r="D42" s="349" t="s">
        <v>277</v>
      </c>
      <c r="E42" s="241" t="s">
        <v>277</v>
      </c>
      <c r="F42" s="201">
        <f t="shared" ref="F42:F53" si="2">SUM(G42*1.1)</f>
        <v>70.279000000000011</v>
      </c>
      <c r="G42" s="201">
        <v>63.89</v>
      </c>
      <c r="H42" s="292" t="s">
        <v>260</v>
      </c>
      <c r="I42" s="94"/>
    </row>
    <row r="43" spans="1:9" s="649" customFormat="1" ht="42.75">
      <c r="A43" s="648" t="s">
        <v>2117</v>
      </c>
      <c r="B43" s="637" t="s">
        <v>1539</v>
      </c>
      <c r="C43" s="156" t="s">
        <v>630</v>
      </c>
      <c r="D43" s="349" t="s">
        <v>277</v>
      </c>
      <c r="E43" s="241" t="s">
        <v>277</v>
      </c>
      <c r="F43" s="201">
        <f t="shared" si="2"/>
        <v>87.626000000000005</v>
      </c>
      <c r="G43" s="201">
        <v>79.66</v>
      </c>
      <c r="H43" s="292" t="s">
        <v>1535</v>
      </c>
      <c r="I43" s="94"/>
    </row>
    <row r="44" spans="1:9" s="649" customFormat="1" ht="42.75">
      <c r="A44" s="648" t="s">
        <v>2118</v>
      </c>
      <c r="B44" s="637" t="s">
        <v>1538</v>
      </c>
      <c r="C44" s="156" t="s">
        <v>630</v>
      </c>
      <c r="D44" s="349" t="s">
        <v>277</v>
      </c>
      <c r="E44" s="241" t="s">
        <v>277</v>
      </c>
      <c r="F44" s="201">
        <f t="shared" si="2"/>
        <v>46.2</v>
      </c>
      <c r="G44" s="201">
        <v>42</v>
      </c>
      <c r="H44" s="292" t="s">
        <v>1536</v>
      </c>
      <c r="I44" s="94"/>
    </row>
    <row r="45" spans="1:9" s="649" customFormat="1" ht="11.25" customHeight="1">
      <c r="A45" s="648" t="s">
        <v>2106</v>
      </c>
      <c r="B45" s="636" t="s">
        <v>261</v>
      </c>
      <c r="C45" s="156" t="s">
        <v>630</v>
      </c>
      <c r="D45" s="349" t="s">
        <v>277</v>
      </c>
      <c r="E45" s="241" t="s">
        <v>277</v>
      </c>
      <c r="F45" s="201">
        <f t="shared" si="2"/>
        <v>157.80600000000001</v>
      </c>
      <c r="G45" s="201">
        <v>143.46</v>
      </c>
      <c r="H45" s="299" t="s">
        <v>262</v>
      </c>
      <c r="I45" s="115"/>
    </row>
    <row r="46" spans="1:9" s="649" customFormat="1" ht="21.75">
      <c r="A46" s="648" t="s">
        <v>2107</v>
      </c>
      <c r="B46" s="636" t="s">
        <v>263</v>
      </c>
      <c r="C46" s="156" t="s">
        <v>630</v>
      </c>
      <c r="D46" s="349" t="s">
        <v>277</v>
      </c>
      <c r="E46" s="241" t="s">
        <v>277</v>
      </c>
      <c r="F46" s="201">
        <f t="shared" si="2"/>
        <v>205.20500000000004</v>
      </c>
      <c r="G46" s="201">
        <v>186.55</v>
      </c>
      <c r="H46" s="299" t="s">
        <v>262</v>
      </c>
      <c r="I46" s="115"/>
    </row>
    <row r="47" spans="1:9" ht="11.25" customHeight="1">
      <c r="A47" s="59" t="s">
        <v>2108</v>
      </c>
      <c r="B47" s="642" t="s">
        <v>264</v>
      </c>
      <c r="C47" s="156" t="s">
        <v>630</v>
      </c>
      <c r="D47" s="349" t="s">
        <v>277</v>
      </c>
      <c r="E47" s="241" t="s">
        <v>277</v>
      </c>
      <c r="F47" s="201">
        <f t="shared" si="2"/>
        <v>137.5</v>
      </c>
      <c r="G47" s="360">
        <v>125</v>
      </c>
      <c r="H47" s="300" t="s">
        <v>262</v>
      </c>
      <c r="I47" s="100" t="s">
        <v>874</v>
      </c>
    </row>
    <row r="48" spans="1:9" ht="21">
      <c r="A48" s="59" t="s">
        <v>2109</v>
      </c>
      <c r="B48" s="642" t="s">
        <v>265</v>
      </c>
      <c r="C48" s="156" t="s">
        <v>630</v>
      </c>
      <c r="D48" s="349" t="s">
        <v>277</v>
      </c>
      <c r="E48" s="241" t="s">
        <v>277</v>
      </c>
      <c r="F48" s="201">
        <f t="shared" si="2"/>
        <v>93.500000000000014</v>
      </c>
      <c r="G48" s="360">
        <v>85</v>
      </c>
      <c r="H48" s="300" t="s">
        <v>262</v>
      </c>
      <c r="I48" s="100" t="s">
        <v>874</v>
      </c>
    </row>
    <row r="49" spans="1:9" ht="11.25" customHeight="1">
      <c r="A49" s="59" t="s">
        <v>2110</v>
      </c>
      <c r="B49" s="642" t="s">
        <v>266</v>
      </c>
      <c r="C49" s="156" t="s">
        <v>630</v>
      </c>
      <c r="D49" s="349" t="s">
        <v>277</v>
      </c>
      <c r="E49" s="241" t="s">
        <v>277</v>
      </c>
      <c r="F49" s="201">
        <f t="shared" si="2"/>
        <v>154</v>
      </c>
      <c r="G49" s="360">
        <v>140</v>
      </c>
      <c r="H49" s="300" t="s">
        <v>262</v>
      </c>
      <c r="I49" s="100" t="s">
        <v>874</v>
      </c>
    </row>
    <row r="50" spans="1:9" ht="31.5">
      <c r="A50" s="59" t="s">
        <v>2111</v>
      </c>
      <c r="B50" s="642" t="s">
        <v>267</v>
      </c>
      <c r="C50" s="156" t="s">
        <v>630</v>
      </c>
      <c r="D50" s="349" t="s">
        <v>277</v>
      </c>
      <c r="E50" s="241" t="s">
        <v>277</v>
      </c>
      <c r="F50" s="201">
        <f t="shared" si="2"/>
        <v>88</v>
      </c>
      <c r="G50" s="360">
        <v>80</v>
      </c>
      <c r="H50" s="300" t="s">
        <v>262</v>
      </c>
      <c r="I50" s="100" t="s">
        <v>874</v>
      </c>
    </row>
    <row r="51" spans="1:9" ht="11.25" customHeight="1">
      <c r="A51" s="59" t="s">
        <v>2113</v>
      </c>
      <c r="B51" s="642" t="s">
        <v>268</v>
      </c>
      <c r="C51" s="156" t="s">
        <v>630</v>
      </c>
      <c r="D51" s="349" t="s">
        <v>277</v>
      </c>
      <c r="E51" s="241" t="s">
        <v>277</v>
      </c>
      <c r="F51" s="201">
        <f t="shared" si="2"/>
        <v>71.5</v>
      </c>
      <c r="G51" s="360">
        <v>65</v>
      </c>
      <c r="H51" s="300" t="s">
        <v>262</v>
      </c>
      <c r="I51" s="100" t="s">
        <v>874</v>
      </c>
    </row>
    <row r="52" spans="1:9" ht="42">
      <c r="A52" s="59" t="s">
        <v>2112</v>
      </c>
      <c r="B52" s="642" t="s">
        <v>269</v>
      </c>
      <c r="C52" s="156" t="s">
        <v>630</v>
      </c>
      <c r="D52" s="349" t="s">
        <v>277</v>
      </c>
      <c r="E52" s="241" t="s">
        <v>277</v>
      </c>
      <c r="F52" s="201">
        <f t="shared" si="2"/>
        <v>38.5</v>
      </c>
      <c r="G52" s="360">
        <v>35</v>
      </c>
      <c r="H52" s="300" t="s">
        <v>262</v>
      </c>
      <c r="I52" s="100" t="s">
        <v>874</v>
      </c>
    </row>
    <row r="53" spans="1:9" ht="52.5">
      <c r="A53" s="59" t="s">
        <v>2114</v>
      </c>
      <c r="B53" s="642" t="s">
        <v>270</v>
      </c>
      <c r="C53" s="156" t="s">
        <v>630</v>
      </c>
      <c r="D53" s="349" t="s">
        <v>277</v>
      </c>
      <c r="E53" s="241" t="s">
        <v>277</v>
      </c>
      <c r="F53" s="201">
        <f t="shared" si="2"/>
        <v>5.5</v>
      </c>
      <c r="G53" s="360">
        <v>5</v>
      </c>
      <c r="H53" s="300" t="s">
        <v>262</v>
      </c>
      <c r="I53" s="100" t="s">
        <v>874</v>
      </c>
    </row>
    <row r="54" spans="1:9" s="8" customFormat="1" ht="11.25">
      <c r="A54" s="4"/>
      <c r="B54" s="645"/>
      <c r="C54" s="142"/>
      <c r="D54" s="142"/>
      <c r="E54" s="293"/>
      <c r="F54" s="145"/>
      <c r="G54" s="362"/>
      <c r="H54" s="645"/>
      <c r="I54" s="4"/>
    </row>
    <row r="55" spans="1:9" ht="11.25">
      <c r="A55" s="77" t="s">
        <v>629</v>
      </c>
      <c r="B55" s="1445" t="s">
        <v>350</v>
      </c>
      <c r="C55" s="1446"/>
      <c r="D55" s="1446"/>
      <c r="E55" s="1446"/>
      <c r="F55" s="1446"/>
      <c r="G55" s="1446"/>
      <c r="H55" s="1446"/>
      <c r="I55" s="1446"/>
    </row>
    <row r="56" spans="1:9" ht="12.75">
      <c r="B56" s="1442"/>
      <c r="C56" s="1443"/>
      <c r="D56" s="1443"/>
      <c r="E56" s="1443"/>
      <c r="F56" s="1443"/>
      <c r="G56" s="1443"/>
      <c r="H56" s="1443"/>
      <c r="I56" s="1443"/>
    </row>
    <row r="57" spans="1:9" ht="11.25">
      <c r="A57" s="77" t="s">
        <v>634</v>
      </c>
      <c r="B57" s="1442" t="s">
        <v>351</v>
      </c>
      <c r="C57" s="1443"/>
      <c r="D57" s="1443"/>
      <c r="E57" s="1443"/>
      <c r="F57" s="1443"/>
      <c r="G57" s="1443"/>
      <c r="H57" s="1443"/>
      <c r="I57" s="1443"/>
    </row>
    <row r="58" spans="1:9">
      <c r="A58" s="1441"/>
      <c r="B58" s="1441"/>
      <c r="C58" s="1441"/>
      <c r="D58" s="1441"/>
      <c r="E58" s="1441"/>
      <c r="F58" s="1441"/>
      <c r="G58" s="1441"/>
      <c r="H58" s="1441"/>
      <c r="I58" s="1441"/>
    </row>
    <row r="59" spans="1:9" ht="11.25">
      <c r="A59" s="77" t="s">
        <v>280</v>
      </c>
      <c r="B59" s="1442" t="s">
        <v>271</v>
      </c>
      <c r="C59" s="1443"/>
      <c r="D59" s="1443"/>
      <c r="E59" s="1443"/>
      <c r="F59" s="1443"/>
      <c r="G59" s="1443"/>
      <c r="H59" s="1443"/>
      <c r="I59" s="1443"/>
    </row>
    <row r="60" spans="1:9">
      <c r="A60" s="1441"/>
      <c r="B60" s="1441"/>
      <c r="C60" s="1441"/>
      <c r="D60" s="1441"/>
      <c r="E60" s="1441"/>
      <c r="F60" s="1441"/>
      <c r="G60" s="1441"/>
      <c r="H60" s="1441"/>
      <c r="I60" s="1441"/>
    </row>
    <row r="61" spans="1:9" ht="11.25">
      <c r="A61" s="78" t="s">
        <v>371</v>
      </c>
      <c r="B61" s="1442" t="s">
        <v>272</v>
      </c>
      <c r="C61" s="1443"/>
      <c r="D61" s="1443"/>
      <c r="E61" s="1443"/>
      <c r="F61" s="1443"/>
      <c r="G61" s="1443"/>
      <c r="H61" s="1443"/>
      <c r="I61" s="1443"/>
    </row>
    <row r="62" spans="1:9">
      <c r="B62" s="294"/>
    </row>
    <row r="63" spans="1:9" s="4" customFormat="1">
      <c r="B63" s="295"/>
      <c r="C63" s="145"/>
      <c r="D63" s="145"/>
      <c r="E63" s="145"/>
      <c r="F63" s="145"/>
      <c r="G63" s="286"/>
      <c r="H63" s="145"/>
    </row>
    <row r="64" spans="1:9" s="4" customFormat="1">
      <c r="B64" s="296"/>
      <c r="C64" s="296"/>
      <c r="D64" s="296"/>
      <c r="E64" s="296"/>
      <c r="F64" s="145"/>
      <c r="G64" s="286"/>
      <c r="H64" s="145"/>
    </row>
    <row r="65" spans="2:8" s="4" customFormat="1">
      <c r="B65" s="645"/>
      <c r="C65" s="645"/>
      <c r="D65" s="645"/>
      <c r="E65" s="297"/>
      <c r="F65" s="145"/>
      <c r="G65" s="286"/>
      <c r="H65" s="145"/>
    </row>
    <row r="66" spans="2:8" s="4" customFormat="1">
      <c r="B66" s="645"/>
      <c r="C66" s="645"/>
      <c r="D66" s="645"/>
      <c r="E66" s="645"/>
      <c r="F66" s="145"/>
      <c r="G66" s="286"/>
      <c r="H66" s="145"/>
    </row>
    <row r="67" spans="2:8" s="4" customFormat="1">
      <c r="B67" s="645"/>
      <c r="C67" s="645"/>
      <c r="D67" s="645"/>
      <c r="E67" s="297"/>
      <c r="F67" s="145"/>
      <c r="G67" s="286"/>
      <c r="H67" s="145"/>
    </row>
    <row r="68" spans="2:8" s="4" customFormat="1">
      <c r="B68" s="645"/>
      <c r="C68" s="645"/>
      <c r="D68" s="645"/>
      <c r="E68" s="645"/>
      <c r="F68" s="145"/>
      <c r="G68" s="286"/>
      <c r="H68" s="145"/>
    </row>
    <row r="69" spans="2:8" s="4" customFormat="1">
      <c r="B69" s="645"/>
      <c r="C69" s="645"/>
      <c r="D69" s="645"/>
      <c r="E69" s="645"/>
      <c r="F69" s="145"/>
      <c r="G69" s="286"/>
      <c r="H69" s="145"/>
    </row>
    <row r="70" spans="2:8" s="4" customFormat="1">
      <c r="B70" s="645"/>
      <c r="C70" s="645"/>
      <c r="D70" s="645"/>
      <c r="E70" s="645"/>
      <c r="F70" s="145"/>
      <c r="G70" s="286"/>
      <c r="H70" s="145"/>
    </row>
    <row r="71" spans="2:8" s="4" customFormat="1">
      <c r="B71" s="1444"/>
      <c r="C71" s="1444"/>
      <c r="D71" s="645"/>
      <c r="E71" s="645"/>
      <c r="F71" s="145"/>
      <c r="G71" s="286"/>
      <c r="H71" s="145"/>
    </row>
    <row r="72" spans="2:8" s="4" customFormat="1">
      <c r="B72" s="145"/>
      <c r="C72" s="145"/>
      <c r="D72" s="145"/>
      <c r="E72" s="145"/>
      <c r="F72" s="145"/>
      <c r="G72" s="286"/>
      <c r="H72" s="145"/>
    </row>
    <row r="73" spans="2:8" s="4" customFormat="1">
      <c r="B73" s="145"/>
      <c r="C73" s="145"/>
      <c r="D73" s="145"/>
      <c r="E73" s="145"/>
      <c r="F73" s="145"/>
      <c r="G73" s="286"/>
      <c r="H73" s="145"/>
    </row>
    <row r="74" spans="2:8" s="4" customFormat="1">
      <c r="B74" s="145"/>
      <c r="C74" s="145"/>
      <c r="D74" s="145"/>
      <c r="E74" s="145"/>
      <c r="F74" s="145"/>
      <c r="G74" s="286"/>
      <c r="H74" s="145"/>
    </row>
    <row r="75" spans="2:8" s="4" customFormat="1">
      <c r="B75" s="145"/>
      <c r="C75" s="145"/>
      <c r="D75" s="145"/>
      <c r="E75" s="145"/>
      <c r="F75" s="145"/>
      <c r="G75" s="286"/>
      <c r="H75" s="145"/>
    </row>
    <row r="76" spans="2:8" s="4" customFormat="1">
      <c r="B76" s="145"/>
      <c r="C76" s="145"/>
      <c r="D76" s="145"/>
      <c r="E76" s="145"/>
      <c r="F76" s="145"/>
      <c r="G76" s="286"/>
      <c r="H76" s="145"/>
    </row>
    <row r="77" spans="2:8" s="4" customFormat="1">
      <c r="B77" s="145"/>
      <c r="C77" s="145"/>
      <c r="D77" s="145"/>
      <c r="E77" s="145"/>
      <c r="F77" s="145"/>
      <c r="G77" s="286"/>
      <c r="H77" s="145"/>
    </row>
    <row r="78" spans="2:8" s="4" customFormat="1">
      <c r="B78" s="145"/>
      <c r="C78" s="145"/>
      <c r="D78" s="145"/>
      <c r="E78" s="145"/>
      <c r="F78" s="145"/>
      <c r="G78" s="286"/>
      <c r="H78" s="145"/>
    </row>
    <row r="79" spans="2:8" s="4" customFormat="1">
      <c r="B79" s="145"/>
      <c r="C79" s="145"/>
      <c r="D79" s="145"/>
      <c r="E79" s="145"/>
      <c r="F79" s="145"/>
      <c r="G79" s="286"/>
      <c r="H79" s="145"/>
    </row>
    <row r="80" spans="2:8" s="4" customFormat="1">
      <c r="B80" s="145"/>
      <c r="C80" s="145"/>
      <c r="D80" s="145"/>
      <c r="E80" s="145"/>
      <c r="F80" s="145"/>
      <c r="G80" s="286"/>
      <c r="H80" s="145"/>
    </row>
    <row r="81" spans="2:8" s="4" customFormat="1">
      <c r="B81" s="145"/>
      <c r="C81" s="145"/>
      <c r="D81" s="145"/>
      <c r="E81" s="145"/>
      <c r="F81" s="145"/>
      <c r="G81" s="286"/>
      <c r="H81" s="145"/>
    </row>
    <row r="82" spans="2:8" s="4" customFormat="1">
      <c r="B82" s="145"/>
      <c r="C82" s="145"/>
      <c r="D82" s="145"/>
      <c r="E82" s="145"/>
      <c r="F82" s="145"/>
      <c r="G82" s="286"/>
      <c r="H82" s="145"/>
    </row>
    <row r="83" spans="2:8" s="4" customFormat="1">
      <c r="B83" s="145"/>
      <c r="C83" s="145"/>
      <c r="D83" s="145"/>
      <c r="E83" s="145"/>
      <c r="F83" s="145"/>
      <c r="G83" s="286"/>
      <c r="H83" s="145"/>
    </row>
    <row r="84" spans="2:8" s="4" customFormat="1">
      <c r="B84" s="145"/>
      <c r="C84" s="145"/>
      <c r="D84" s="145"/>
      <c r="E84" s="145"/>
      <c r="F84" s="145"/>
      <c r="G84" s="286"/>
      <c r="H84" s="145"/>
    </row>
    <row r="85" spans="2:8" s="4" customFormat="1">
      <c r="B85" s="145"/>
      <c r="C85" s="145"/>
      <c r="D85" s="145"/>
      <c r="E85" s="145"/>
      <c r="F85" s="145"/>
      <c r="G85" s="286"/>
      <c r="H85" s="145"/>
    </row>
    <row r="86" spans="2:8" s="4" customFormat="1">
      <c r="B86" s="145"/>
      <c r="C86" s="145"/>
      <c r="D86" s="145"/>
      <c r="E86" s="145"/>
      <c r="F86" s="145"/>
      <c r="G86" s="286"/>
      <c r="H86" s="145"/>
    </row>
    <row r="87" spans="2:8" s="4" customFormat="1">
      <c r="B87" s="145"/>
      <c r="C87" s="145"/>
      <c r="D87" s="145"/>
      <c r="E87" s="145"/>
      <c r="F87" s="145"/>
      <c r="G87" s="286"/>
      <c r="H87" s="145"/>
    </row>
    <row r="88" spans="2:8" s="4" customFormat="1">
      <c r="B88" s="145"/>
      <c r="C88" s="145"/>
      <c r="D88" s="145"/>
      <c r="E88" s="145"/>
      <c r="F88" s="145"/>
      <c r="G88" s="286"/>
      <c r="H88" s="145"/>
    </row>
    <row r="89" spans="2:8" s="4" customFormat="1">
      <c r="B89" s="145"/>
      <c r="C89" s="145"/>
      <c r="D89" s="145"/>
      <c r="E89" s="145"/>
      <c r="F89" s="145"/>
      <c r="G89" s="286"/>
      <c r="H89" s="145"/>
    </row>
    <row r="90" spans="2:8" s="4" customFormat="1">
      <c r="B90" s="145"/>
      <c r="C90" s="145"/>
      <c r="D90" s="145"/>
      <c r="E90" s="145"/>
      <c r="F90" s="145"/>
      <c r="G90" s="286"/>
      <c r="H90" s="145"/>
    </row>
    <row r="91" spans="2:8" s="4" customFormat="1">
      <c r="B91" s="145"/>
      <c r="C91" s="145"/>
      <c r="D91" s="145"/>
      <c r="E91" s="145"/>
      <c r="F91" s="145"/>
      <c r="G91" s="286"/>
      <c r="H91" s="145"/>
    </row>
    <row r="92" spans="2:8" s="4" customFormat="1">
      <c r="B92" s="145"/>
      <c r="C92" s="145"/>
      <c r="D92" s="145"/>
      <c r="E92" s="145"/>
      <c r="F92" s="145"/>
      <c r="G92" s="286"/>
      <c r="H92" s="145"/>
    </row>
    <row r="93" spans="2:8" s="4" customFormat="1">
      <c r="B93" s="145"/>
      <c r="C93" s="145"/>
      <c r="D93" s="145"/>
      <c r="E93" s="145"/>
      <c r="F93" s="145"/>
      <c r="G93" s="286"/>
      <c r="H93" s="145"/>
    </row>
    <row r="94" spans="2:8" s="4" customFormat="1">
      <c r="B94" s="145"/>
      <c r="C94" s="145"/>
      <c r="D94" s="145"/>
      <c r="E94" s="145"/>
      <c r="F94" s="145"/>
      <c r="G94" s="286"/>
      <c r="H94" s="145"/>
    </row>
    <row r="95" spans="2:8" s="4" customFormat="1">
      <c r="B95" s="145"/>
      <c r="C95" s="145"/>
      <c r="D95" s="145"/>
      <c r="E95" s="145"/>
      <c r="F95" s="145"/>
      <c r="G95" s="286"/>
      <c r="H95" s="145"/>
    </row>
    <row r="96" spans="2:8" s="4" customFormat="1">
      <c r="B96" s="145"/>
      <c r="C96" s="145"/>
      <c r="D96" s="145"/>
      <c r="E96" s="145"/>
      <c r="F96" s="145"/>
      <c r="G96" s="286"/>
      <c r="H96" s="145"/>
    </row>
    <row r="97" spans="2:8" s="4" customFormat="1">
      <c r="B97" s="145"/>
      <c r="C97" s="145"/>
      <c r="D97" s="145"/>
      <c r="E97" s="145"/>
      <c r="F97" s="145"/>
      <c r="G97" s="286"/>
      <c r="H97" s="145"/>
    </row>
    <row r="98" spans="2:8" s="4" customFormat="1">
      <c r="B98" s="145"/>
      <c r="C98" s="145"/>
      <c r="D98" s="145"/>
      <c r="E98" s="145"/>
      <c r="F98" s="145"/>
      <c r="G98" s="286"/>
      <c r="H98" s="145"/>
    </row>
    <row r="99" spans="2:8" s="4" customFormat="1">
      <c r="B99" s="145"/>
      <c r="C99" s="145"/>
      <c r="D99" s="145"/>
      <c r="E99" s="145"/>
      <c r="F99" s="145"/>
      <c r="G99" s="286"/>
      <c r="H99" s="145"/>
    </row>
    <row r="100" spans="2:8" s="4" customFormat="1">
      <c r="B100" s="145"/>
      <c r="C100" s="145"/>
      <c r="D100" s="145"/>
      <c r="E100" s="145"/>
      <c r="F100" s="145"/>
      <c r="G100" s="286"/>
      <c r="H100" s="145"/>
    </row>
    <row r="101" spans="2:8" s="4" customFormat="1">
      <c r="B101" s="145"/>
      <c r="C101" s="145"/>
      <c r="D101" s="145"/>
      <c r="E101" s="145"/>
      <c r="F101" s="145"/>
      <c r="G101" s="286"/>
      <c r="H101" s="145"/>
    </row>
    <row r="102" spans="2:8" s="4" customFormat="1">
      <c r="B102" s="145"/>
      <c r="C102" s="145"/>
      <c r="D102" s="145"/>
      <c r="E102" s="145"/>
      <c r="F102" s="145"/>
      <c r="G102" s="286"/>
      <c r="H102" s="145"/>
    </row>
    <row r="103" spans="2:8" s="4" customFormat="1">
      <c r="B103" s="145"/>
      <c r="C103" s="145"/>
      <c r="D103" s="145"/>
      <c r="E103" s="145"/>
      <c r="F103" s="145"/>
      <c r="G103" s="286"/>
      <c r="H103" s="145"/>
    </row>
    <row r="104" spans="2:8" s="4" customFormat="1">
      <c r="B104" s="145"/>
      <c r="C104" s="145"/>
      <c r="D104" s="145"/>
      <c r="E104" s="145"/>
      <c r="F104" s="145"/>
      <c r="G104" s="286"/>
      <c r="H104" s="145"/>
    </row>
    <row r="105" spans="2:8" s="4" customFormat="1">
      <c r="B105" s="145"/>
      <c r="C105" s="145"/>
      <c r="D105" s="145"/>
      <c r="E105" s="145"/>
      <c r="F105" s="145"/>
      <c r="G105" s="286"/>
      <c r="H105" s="145"/>
    </row>
    <row r="106" spans="2:8" s="4" customFormat="1">
      <c r="B106" s="145"/>
      <c r="C106" s="145"/>
      <c r="D106" s="145"/>
      <c r="E106" s="145"/>
      <c r="F106" s="145"/>
      <c r="G106" s="286"/>
      <c r="H106" s="145"/>
    </row>
    <row r="107" spans="2:8" s="4" customFormat="1">
      <c r="B107" s="145"/>
      <c r="C107" s="145"/>
      <c r="D107" s="145"/>
      <c r="E107" s="145"/>
      <c r="F107" s="145"/>
      <c r="G107" s="286"/>
      <c r="H107" s="145"/>
    </row>
    <row r="108" spans="2:8" s="4" customFormat="1">
      <c r="B108" s="145"/>
      <c r="C108" s="145"/>
      <c r="D108" s="145"/>
      <c r="E108" s="145"/>
      <c r="F108" s="145"/>
      <c r="G108" s="286"/>
      <c r="H108" s="145"/>
    </row>
    <row r="109" spans="2:8" s="4" customFormat="1">
      <c r="B109" s="145"/>
      <c r="C109" s="145"/>
      <c r="D109" s="145"/>
      <c r="E109" s="145"/>
      <c r="F109" s="145"/>
      <c r="G109" s="286"/>
      <c r="H109" s="145"/>
    </row>
    <row r="110" spans="2:8" s="4" customFormat="1">
      <c r="B110" s="145"/>
      <c r="C110" s="145"/>
      <c r="D110" s="145"/>
      <c r="E110" s="145"/>
      <c r="F110" s="145"/>
      <c r="G110" s="286"/>
      <c r="H110" s="145"/>
    </row>
  </sheetData>
  <mergeCells count="21">
    <mergeCell ref="A1:B1"/>
    <mergeCell ref="A60:I60"/>
    <mergeCell ref="B61:I61"/>
    <mergeCell ref="B71:C71"/>
    <mergeCell ref="B55:I55"/>
    <mergeCell ref="B56:I56"/>
    <mergeCell ref="B57:I57"/>
    <mergeCell ref="A58:I58"/>
    <mergeCell ref="B59:I59"/>
    <mergeCell ref="C7:C8"/>
    <mergeCell ref="D7:D8"/>
    <mergeCell ref="E7:E8"/>
    <mergeCell ref="F7:F8"/>
    <mergeCell ref="G7:G8"/>
    <mergeCell ref="H7:H8"/>
    <mergeCell ref="B2:D2"/>
    <mergeCell ref="E2:G4"/>
    <mergeCell ref="H2:H4"/>
    <mergeCell ref="A5:B6"/>
    <mergeCell ref="H5:H6"/>
    <mergeCell ref="F6:G6"/>
  </mergeCells>
  <pageMargins left="0.75" right="0.75" top="1" bottom="1" header="0.5" footer="0.5"/>
  <pageSetup scale="65" orientation="landscape" horizontalDpi="1200" verticalDpi="1200" r:id="rId1"/>
  <headerFooter>
    <oddHeader>&amp;L&amp;F&amp;C&amp;A&amp;R&amp;G</oddHeader>
    <oddFooter>&amp;C&amp;"Tahoma,Italic"Use or disclosure of the data on this page or screen is subject to the restrictions on the title page or opening view screen of this proposal document or file.&amp;R&amp;P of &amp;N</oddFooter>
  </headerFooter>
  <ignoredErrors>
    <ignoredError sqref="F42:F53" unlockedFormula="1"/>
  </ignoredErrors>
  <legacyDrawingHF r:id="rId2"/>
</worksheet>
</file>

<file path=xl/worksheets/sheet27.xml><?xml version="1.0" encoding="utf-8"?>
<worksheet xmlns="http://schemas.openxmlformats.org/spreadsheetml/2006/main" xmlns:r="http://schemas.openxmlformats.org/officeDocument/2006/relationships">
  <sheetPr>
    <tabColor theme="9" tint="0.59999389629810485"/>
  </sheetPr>
  <dimension ref="A1:N110"/>
  <sheetViews>
    <sheetView zoomScaleNormal="100" zoomScaleSheetLayoutView="100" workbookViewId="0">
      <selection activeCell="A2" sqref="A2"/>
    </sheetView>
  </sheetViews>
  <sheetFormatPr defaultRowHeight="10.5"/>
  <cols>
    <col min="1" max="1" width="15.33203125" customWidth="1"/>
    <col min="2" max="2" width="21.1640625" style="143" customWidth="1"/>
    <col min="3" max="3" width="17.5" style="143" customWidth="1"/>
    <col min="4" max="4" width="12.6640625" style="143" hidden="1" customWidth="1"/>
    <col min="5" max="5" width="15" style="143" customWidth="1"/>
    <col min="6" max="6" width="12.5" style="143" customWidth="1"/>
    <col min="7" max="7" width="12.1640625" style="287" hidden="1" customWidth="1"/>
    <col min="8" max="8" width="13.1640625" style="143" customWidth="1"/>
    <col min="9" max="9" width="30.6640625" customWidth="1"/>
  </cols>
  <sheetData>
    <row r="1" spans="1:14" ht="15" customHeight="1">
      <c r="A1" s="1547" t="s">
        <v>424</v>
      </c>
      <c r="B1" s="1548"/>
      <c r="C1" s="103"/>
      <c r="D1" s="103"/>
      <c r="E1" s="103"/>
      <c r="F1" s="103"/>
      <c r="G1" s="103"/>
      <c r="H1" s="103"/>
      <c r="I1" s="632"/>
      <c r="J1" s="8"/>
      <c r="K1" s="8"/>
      <c r="L1" s="8"/>
      <c r="M1" s="8"/>
      <c r="N1" s="8"/>
    </row>
    <row r="2" spans="1:14" s="81" customFormat="1" ht="39.75" customHeight="1">
      <c r="A2" s="69"/>
      <c r="B2" s="1333" t="s">
        <v>370</v>
      </c>
      <c r="C2" s="1333"/>
      <c r="D2" s="1333"/>
      <c r="E2" s="1336" t="s">
        <v>622</v>
      </c>
      <c r="F2" s="1336"/>
      <c r="G2" s="1336"/>
      <c r="H2" s="1334" t="s">
        <v>623</v>
      </c>
      <c r="I2" s="640" t="s">
        <v>631</v>
      </c>
      <c r="J2" s="138"/>
      <c r="K2" s="138"/>
      <c r="L2" s="138"/>
      <c r="M2" s="138"/>
      <c r="N2" s="138"/>
    </row>
    <row r="3" spans="1:14" s="81" customFormat="1" ht="10.5" customHeight="1">
      <c r="A3" s="102" t="s">
        <v>426</v>
      </c>
      <c r="B3" s="102"/>
      <c r="C3" s="102"/>
      <c r="D3" s="102"/>
      <c r="E3" s="1336"/>
      <c r="F3" s="1336"/>
      <c r="G3" s="1336"/>
      <c r="H3" s="1334"/>
      <c r="I3" s="640"/>
      <c r="J3" s="138"/>
      <c r="K3" s="138"/>
      <c r="L3" s="138"/>
      <c r="M3" s="138"/>
      <c r="N3" s="138"/>
    </row>
    <row r="4" spans="1:14" s="81" customFormat="1" ht="10.5" customHeight="1">
      <c r="A4" s="102"/>
      <c r="B4" s="102"/>
      <c r="C4" s="102"/>
      <c r="D4" s="102"/>
      <c r="E4" s="1336"/>
      <c r="F4" s="1336"/>
      <c r="G4" s="1336"/>
      <c r="H4" s="1334"/>
      <c r="I4" s="640"/>
      <c r="J4" s="138"/>
      <c r="K4" s="138"/>
      <c r="L4" s="138"/>
      <c r="M4" s="138"/>
      <c r="N4" s="138"/>
    </row>
    <row r="5" spans="1:14" s="81" customFormat="1" ht="12" customHeight="1">
      <c r="A5" s="1310" t="s">
        <v>633</v>
      </c>
      <c r="B5" s="1310"/>
      <c r="C5" s="127"/>
      <c r="D5" s="638" t="s">
        <v>624</v>
      </c>
      <c r="E5" s="1236"/>
      <c r="F5" s="1236"/>
      <c r="G5" s="1236"/>
      <c r="H5" s="1334" t="s">
        <v>625</v>
      </c>
      <c r="I5" s="640"/>
      <c r="J5" s="138"/>
      <c r="K5" s="138"/>
      <c r="L5" s="138"/>
      <c r="M5" s="138"/>
      <c r="N5" s="138"/>
    </row>
    <row r="6" spans="1:14" ht="69.75" customHeight="1">
      <c r="A6" s="1310"/>
      <c r="B6" s="1310"/>
      <c r="C6" s="633"/>
      <c r="D6" s="101"/>
      <c r="E6" s="1539"/>
      <c r="F6" s="1543"/>
      <c r="G6" s="1543"/>
      <c r="H6" s="1334"/>
      <c r="I6" s="640"/>
      <c r="J6" s="8"/>
      <c r="K6" s="8"/>
      <c r="L6" s="8"/>
      <c r="M6" s="8"/>
      <c r="N6" s="8"/>
    </row>
    <row r="7" spans="1:14" ht="21" customHeight="1">
      <c r="A7" s="643" t="s">
        <v>653</v>
      </c>
      <c r="B7" s="330" t="s">
        <v>428</v>
      </c>
      <c r="C7" s="1311" t="s">
        <v>429</v>
      </c>
      <c r="D7" s="1320" t="s">
        <v>620</v>
      </c>
      <c r="E7" s="1312" t="s">
        <v>432</v>
      </c>
      <c r="F7" s="1319" t="s">
        <v>430</v>
      </c>
      <c r="G7" s="1320" t="s">
        <v>621</v>
      </c>
      <c r="H7" s="1328" t="s">
        <v>431</v>
      </c>
      <c r="I7" s="639" t="s">
        <v>627</v>
      </c>
      <c r="J7" s="8"/>
      <c r="K7" s="8"/>
      <c r="L7" s="8"/>
      <c r="M7" s="8"/>
      <c r="N7" s="8"/>
    </row>
    <row r="8" spans="1:14" ht="21" customHeight="1">
      <c r="A8" s="641"/>
      <c r="B8" s="99"/>
      <c r="C8" s="1311"/>
      <c r="D8" s="1320"/>
      <c r="E8" s="1312"/>
      <c r="F8" s="1319"/>
      <c r="G8" s="1321"/>
      <c r="H8" s="1328"/>
      <c r="I8" s="639"/>
      <c r="J8" s="8"/>
      <c r="K8" s="8"/>
      <c r="L8" s="8"/>
      <c r="M8" s="8"/>
      <c r="N8" s="8"/>
    </row>
    <row r="9" spans="1:14" s="17" customFormat="1" ht="39.75" customHeight="1">
      <c r="A9" s="28"/>
      <c r="B9" s="288" t="s">
        <v>273</v>
      </c>
      <c r="C9" s="634"/>
      <c r="D9" s="289"/>
      <c r="E9" s="290"/>
      <c r="F9" s="635"/>
      <c r="G9" s="291"/>
      <c r="H9" s="298"/>
      <c r="I9" s="29"/>
    </row>
    <row r="10" spans="1:14" s="11" customFormat="1" ht="43.5" customHeight="1">
      <c r="A10" s="61" t="s">
        <v>2119</v>
      </c>
      <c r="B10" s="72" t="s">
        <v>1600</v>
      </c>
      <c r="C10" s="177" t="s">
        <v>628</v>
      </c>
      <c r="D10" s="349" t="s">
        <v>277</v>
      </c>
      <c r="E10" s="241" t="s">
        <v>277</v>
      </c>
      <c r="F10" s="349">
        <f>SUM(1.1*G10)</f>
        <v>108.9</v>
      </c>
      <c r="G10" s="349">
        <v>99</v>
      </c>
      <c r="H10" s="208" t="s">
        <v>1584</v>
      </c>
      <c r="I10" s="354" t="s">
        <v>1601</v>
      </c>
    </row>
    <row r="11" spans="1:14" s="11" customFormat="1" ht="45.75" customHeight="1">
      <c r="A11" s="61" t="s">
        <v>2122</v>
      </c>
      <c r="B11" s="72" t="s">
        <v>1602</v>
      </c>
      <c r="C11" s="177" t="s">
        <v>628</v>
      </c>
      <c r="D11" s="349"/>
      <c r="E11" s="241"/>
      <c r="F11" s="349">
        <f>SUM(1.1*G11)</f>
        <v>44</v>
      </c>
      <c r="G11" s="349">
        <v>40</v>
      </c>
      <c r="H11" s="208" t="s">
        <v>1587</v>
      </c>
      <c r="I11" s="354" t="s">
        <v>1601</v>
      </c>
    </row>
    <row r="12" spans="1:14" s="11" customFormat="1" ht="59.25" customHeight="1">
      <c r="A12" s="61" t="s">
        <v>2120</v>
      </c>
      <c r="B12" s="72" t="s">
        <v>1603</v>
      </c>
      <c r="C12" s="177" t="s">
        <v>628</v>
      </c>
      <c r="D12" s="349" t="s">
        <v>277</v>
      </c>
      <c r="E12" s="241" t="s">
        <v>277</v>
      </c>
      <c r="F12" s="349">
        <f t="shared" ref="F12:F22" si="0">SUM(1.1*G12)</f>
        <v>119.9</v>
      </c>
      <c r="G12" s="349">
        <v>109</v>
      </c>
      <c r="H12" s="208" t="s">
        <v>1584</v>
      </c>
      <c r="I12" s="354" t="s">
        <v>1601</v>
      </c>
    </row>
    <row r="13" spans="1:14" s="11" customFormat="1" ht="57.75" customHeight="1">
      <c r="A13" s="61" t="s">
        <v>2121</v>
      </c>
      <c r="B13" s="72" t="s">
        <v>1604</v>
      </c>
      <c r="C13" s="177" t="s">
        <v>628</v>
      </c>
      <c r="D13" s="349" t="s">
        <v>277</v>
      </c>
      <c r="E13" s="241" t="s">
        <v>277</v>
      </c>
      <c r="F13" s="349">
        <f t="shared" si="0"/>
        <v>46.2</v>
      </c>
      <c r="G13" s="349">
        <v>42</v>
      </c>
      <c r="H13" s="208" t="s">
        <v>1590</v>
      </c>
      <c r="I13" s="354" t="s">
        <v>1601</v>
      </c>
    </row>
    <row r="14" spans="1:14" s="11" customFormat="1" ht="48" customHeight="1">
      <c r="A14" s="61" t="s">
        <v>2123</v>
      </c>
      <c r="B14" s="72" t="s">
        <v>1605</v>
      </c>
      <c r="C14" s="177" t="s">
        <v>628</v>
      </c>
      <c r="D14" s="349" t="s">
        <v>277</v>
      </c>
      <c r="E14" s="241" t="s">
        <v>277</v>
      </c>
      <c r="F14" s="349">
        <f t="shared" si="0"/>
        <v>130.9</v>
      </c>
      <c r="G14" s="349">
        <v>119</v>
      </c>
      <c r="H14" s="208" t="s">
        <v>1584</v>
      </c>
      <c r="I14" s="354" t="s">
        <v>1601</v>
      </c>
    </row>
    <row r="15" spans="1:14" s="11" customFormat="1" ht="48" customHeight="1">
      <c r="A15" s="61" t="s">
        <v>2124</v>
      </c>
      <c r="B15" s="72" t="s">
        <v>1606</v>
      </c>
      <c r="C15" s="177" t="s">
        <v>628</v>
      </c>
      <c r="D15" s="349" t="s">
        <v>277</v>
      </c>
      <c r="E15" s="241" t="s">
        <v>277</v>
      </c>
      <c r="F15" s="349">
        <f t="shared" si="0"/>
        <v>49.500000000000007</v>
      </c>
      <c r="G15" s="349">
        <v>45</v>
      </c>
      <c r="H15" s="208" t="s">
        <v>1590</v>
      </c>
      <c r="I15" s="354" t="s">
        <v>1601</v>
      </c>
    </row>
    <row r="16" spans="1:14" s="11" customFormat="1" ht="48" customHeight="1">
      <c r="A16" s="61" t="s">
        <v>2125</v>
      </c>
      <c r="B16" s="72" t="s">
        <v>1607</v>
      </c>
      <c r="C16" s="177" t="s">
        <v>628</v>
      </c>
      <c r="D16" s="349" t="s">
        <v>277</v>
      </c>
      <c r="E16" s="349" t="s">
        <v>277</v>
      </c>
      <c r="F16" s="349">
        <f t="shared" si="0"/>
        <v>46.914999999999999</v>
      </c>
      <c r="G16" s="349">
        <v>42.65</v>
      </c>
      <c r="H16" s="208" t="s">
        <v>1594</v>
      </c>
      <c r="I16" s="354" t="s">
        <v>1601</v>
      </c>
    </row>
    <row r="17" spans="1:9" s="11" customFormat="1" ht="48" customHeight="1">
      <c r="A17" s="61" t="s">
        <v>2126</v>
      </c>
      <c r="B17" s="72" t="s">
        <v>1608</v>
      </c>
      <c r="C17" s="177" t="s">
        <v>628</v>
      </c>
      <c r="D17" s="349" t="s">
        <v>277</v>
      </c>
      <c r="E17" s="349" t="s">
        <v>277</v>
      </c>
      <c r="F17" s="349">
        <f t="shared" si="0"/>
        <v>16.885000000000002</v>
      </c>
      <c r="G17" s="349">
        <v>15.35</v>
      </c>
      <c r="H17" s="208" t="s">
        <v>1596</v>
      </c>
      <c r="I17" s="354" t="s">
        <v>1601</v>
      </c>
    </row>
    <row r="18" spans="1:9" s="11" customFormat="1" ht="235.5" customHeight="1">
      <c r="A18" s="61" t="s">
        <v>2127</v>
      </c>
      <c r="B18" s="72" t="s">
        <v>1609</v>
      </c>
      <c r="C18" s="177" t="s">
        <v>628</v>
      </c>
      <c r="D18" s="349" t="s">
        <v>277</v>
      </c>
      <c r="E18" s="241" t="s">
        <v>277</v>
      </c>
      <c r="F18" s="349">
        <f t="shared" si="0"/>
        <v>43.945000000000007</v>
      </c>
      <c r="G18" s="349">
        <v>39.950000000000003</v>
      </c>
      <c r="H18" s="1241" t="s">
        <v>1597</v>
      </c>
      <c r="I18" s="354" t="s">
        <v>1601</v>
      </c>
    </row>
    <row r="19" spans="1:9" s="11" customFormat="1" ht="47.25" customHeight="1">
      <c r="A19" s="61" t="s">
        <v>2128</v>
      </c>
      <c r="B19" s="72" t="s">
        <v>1610</v>
      </c>
      <c r="C19" s="177" t="s">
        <v>628</v>
      </c>
      <c r="D19" s="349" t="s">
        <v>277</v>
      </c>
      <c r="E19" s="241" t="s">
        <v>277</v>
      </c>
      <c r="F19" s="349">
        <f t="shared" si="0"/>
        <v>43.945000000000007</v>
      </c>
      <c r="G19" s="349">
        <v>39.950000000000003</v>
      </c>
      <c r="H19" s="1241" t="s">
        <v>1597</v>
      </c>
      <c r="I19" s="354" t="s">
        <v>1601</v>
      </c>
    </row>
    <row r="20" spans="1:9" s="11" customFormat="1" ht="48" customHeight="1">
      <c r="A20" s="61" t="s">
        <v>2129</v>
      </c>
      <c r="B20" s="72" t="s">
        <v>1611</v>
      </c>
      <c r="C20" s="177" t="s">
        <v>628</v>
      </c>
      <c r="D20" s="349" t="s">
        <v>277</v>
      </c>
      <c r="E20" s="241" t="s">
        <v>277</v>
      </c>
      <c r="F20" s="349">
        <f t="shared" si="0"/>
        <v>43.945000000000007</v>
      </c>
      <c r="G20" s="349">
        <v>39.950000000000003</v>
      </c>
      <c r="H20" s="1241" t="s">
        <v>1597</v>
      </c>
      <c r="I20" s="354" t="s">
        <v>1601</v>
      </c>
    </row>
    <row r="21" spans="1:9" s="11" customFormat="1" ht="48" customHeight="1">
      <c r="A21" s="61" t="s">
        <v>2130</v>
      </c>
      <c r="B21" s="72" t="s">
        <v>1612</v>
      </c>
      <c r="C21" s="177" t="s">
        <v>628</v>
      </c>
      <c r="D21" s="349" t="s">
        <v>277</v>
      </c>
      <c r="E21" s="349" t="s">
        <v>277</v>
      </c>
      <c r="F21" s="349">
        <f t="shared" si="0"/>
        <v>46.914999999999999</v>
      </c>
      <c r="G21" s="349">
        <v>42.65</v>
      </c>
      <c r="H21" s="208" t="s">
        <v>1543</v>
      </c>
      <c r="I21" s="354"/>
    </row>
    <row r="22" spans="1:9" s="11" customFormat="1" ht="48" customHeight="1">
      <c r="A22" s="61" t="s">
        <v>2131</v>
      </c>
      <c r="B22" s="72" t="s">
        <v>1613</v>
      </c>
      <c r="C22" s="177" t="s">
        <v>628</v>
      </c>
      <c r="D22" s="349" t="s">
        <v>277</v>
      </c>
      <c r="E22" s="349" t="s">
        <v>277</v>
      </c>
      <c r="F22" s="349">
        <f t="shared" si="0"/>
        <v>16.885000000000002</v>
      </c>
      <c r="G22" s="349">
        <v>15.35</v>
      </c>
      <c r="H22" s="208" t="s">
        <v>1543</v>
      </c>
      <c r="I22" s="354"/>
    </row>
    <row r="23" spans="1:9" s="11" customFormat="1" ht="36" customHeight="1">
      <c r="A23" s="61" t="s">
        <v>2090</v>
      </c>
      <c r="B23" s="72" t="s">
        <v>520</v>
      </c>
      <c r="C23" s="177" t="s">
        <v>628</v>
      </c>
      <c r="D23" s="349" t="s">
        <v>277</v>
      </c>
      <c r="E23" s="241" t="s">
        <v>277</v>
      </c>
      <c r="F23" s="349">
        <f>SUM(1.1*G23)</f>
        <v>95.254882800000004</v>
      </c>
      <c r="G23" s="349">
        <v>86.595348000000001</v>
      </c>
      <c r="H23" s="644" t="s">
        <v>536</v>
      </c>
      <c r="I23" s="354"/>
    </row>
    <row r="24" spans="1:9" s="11" customFormat="1" ht="36" customHeight="1">
      <c r="A24" s="61" t="s">
        <v>2091</v>
      </c>
      <c r="B24" s="72" t="s">
        <v>521</v>
      </c>
      <c r="C24" s="177" t="s">
        <v>628</v>
      </c>
      <c r="D24" s="349" t="s">
        <v>277</v>
      </c>
      <c r="E24" s="241" t="s">
        <v>277</v>
      </c>
      <c r="F24" s="349">
        <f t="shared" ref="F24:F40" si="1">SUM(1.1*G24)</f>
        <v>142.88782199999997</v>
      </c>
      <c r="G24" s="349">
        <v>129.89801999999997</v>
      </c>
      <c r="H24" s="644" t="s">
        <v>536</v>
      </c>
      <c r="I24" s="354"/>
    </row>
    <row r="25" spans="1:9" s="11" customFormat="1" ht="36" customHeight="1">
      <c r="A25" s="61" t="s">
        <v>2092</v>
      </c>
      <c r="B25" s="72" t="s">
        <v>522</v>
      </c>
      <c r="C25" s="177" t="s">
        <v>628</v>
      </c>
      <c r="D25" s="349" t="s">
        <v>277</v>
      </c>
      <c r="E25" s="241" t="s">
        <v>277</v>
      </c>
      <c r="F25" s="349">
        <f t="shared" si="1"/>
        <v>98.56455840000001</v>
      </c>
      <c r="G25" s="349">
        <v>89.604144000000005</v>
      </c>
      <c r="H25" s="644" t="s">
        <v>536</v>
      </c>
      <c r="I25" s="354"/>
    </row>
    <row r="26" spans="1:9" s="11" customFormat="1" ht="36" customHeight="1">
      <c r="A26" s="61" t="s">
        <v>2093</v>
      </c>
      <c r="B26" s="72" t="s">
        <v>523</v>
      </c>
      <c r="C26" s="177" t="s">
        <v>628</v>
      </c>
      <c r="D26" s="349" t="s">
        <v>277</v>
      </c>
      <c r="E26" s="241" t="s">
        <v>277</v>
      </c>
      <c r="F26" s="349">
        <f t="shared" si="1"/>
        <v>147.84683760000001</v>
      </c>
      <c r="G26" s="349">
        <v>134.406216</v>
      </c>
      <c r="H26" s="644" t="s">
        <v>536</v>
      </c>
      <c r="I26" s="354"/>
    </row>
    <row r="27" spans="1:9" s="11" customFormat="1" ht="36" customHeight="1">
      <c r="A27" s="61" t="s">
        <v>2094</v>
      </c>
      <c r="B27" s="72" t="s">
        <v>524</v>
      </c>
      <c r="C27" s="177" t="s">
        <v>628</v>
      </c>
      <c r="D27" s="349" t="s">
        <v>277</v>
      </c>
      <c r="E27" s="241" t="s">
        <v>277</v>
      </c>
      <c r="F27" s="349">
        <f t="shared" si="1"/>
        <v>98.56455840000001</v>
      </c>
      <c r="G27" s="349">
        <v>89.604144000000005</v>
      </c>
      <c r="H27" s="644" t="s">
        <v>536</v>
      </c>
      <c r="I27" s="354"/>
    </row>
    <row r="28" spans="1:9" s="11" customFormat="1" ht="36" customHeight="1">
      <c r="A28" s="61" t="s">
        <v>2094</v>
      </c>
      <c r="B28" s="72" t="s">
        <v>525</v>
      </c>
      <c r="C28" s="177" t="s">
        <v>628</v>
      </c>
      <c r="D28" s="349" t="s">
        <v>277</v>
      </c>
      <c r="E28" s="241" t="s">
        <v>277</v>
      </c>
      <c r="F28" s="349">
        <f t="shared" si="1"/>
        <v>147.84683760000001</v>
      </c>
      <c r="G28" s="349">
        <v>134.406216</v>
      </c>
      <c r="H28" s="644" t="s">
        <v>536</v>
      </c>
      <c r="I28" s="354"/>
    </row>
    <row r="29" spans="1:9" s="11" customFormat="1" ht="36" customHeight="1">
      <c r="A29" s="61" t="s">
        <v>2095</v>
      </c>
      <c r="B29" s="72" t="s">
        <v>526</v>
      </c>
      <c r="C29" s="177" t="s">
        <v>628</v>
      </c>
      <c r="D29" s="349" t="s">
        <v>277</v>
      </c>
      <c r="E29" s="241" t="s">
        <v>277</v>
      </c>
      <c r="F29" s="349">
        <f t="shared" si="1"/>
        <v>124.41521400000002</v>
      </c>
      <c r="G29" s="349">
        <v>113.10474000000001</v>
      </c>
      <c r="H29" s="644" t="s">
        <v>536</v>
      </c>
      <c r="I29" s="354"/>
    </row>
    <row r="30" spans="1:9" s="11" customFormat="1" ht="36" customHeight="1">
      <c r="A30" s="61" t="s">
        <v>2096</v>
      </c>
      <c r="B30" s="72" t="s">
        <v>527</v>
      </c>
      <c r="C30" s="177" t="s">
        <v>628</v>
      </c>
      <c r="D30" s="349" t="s">
        <v>277</v>
      </c>
      <c r="E30" s="241" t="s">
        <v>277</v>
      </c>
      <c r="F30" s="349">
        <f t="shared" si="1"/>
        <v>186.62831880000002</v>
      </c>
      <c r="G30" s="349">
        <v>169.66210799999999</v>
      </c>
      <c r="H30" s="644" t="s">
        <v>536</v>
      </c>
      <c r="I30" s="354"/>
    </row>
    <row r="31" spans="1:9" s="11" customFormat="1" ht="36" customHeight="1">
      <c r="A31" s="61" t="s">
        <v>2097</v>
      </c>
      <c r="B31" s="72" t="s">
        <v>528</v>
      </c>
      <c r="C31" s="177" t="s">
        <v>628</v>
      </c>
      <c r="D31" s="349" t="s">
        <v>277</v>
      </c>
      <c r="E31" s="241" t="s">
        <v>277</v>
      </c>
      <c r="F31" s="349">
        <f t="shared" si="1"/>
        <v>142.3710288</v>
      </c>
      <c r="G31" s="349">
        <v>129.42820799999998</v>
      </c>
      <c r="H31" s="644" t="s">
        <v>536</v>
      </c>
      <c r="I31" s="354"/>
    </row>
    <row r="32" spans="1:9" s="11" customFormat="1" ht="36" customHeight="1">
      <c r="A32" s="182" t="s">
        <v>2098</v>
      </c>
      <c r="B32" s="72" t="s">
        <v>529</v>
      </c>
      <c r="C32" s="177" t="s">
        <v>628</v>
      </c>
      <c r="D32" s="349" t="s">
        <v>277</v>
      </c>
      <c r="E32" s="241" t="s">
        <v>277</v>
      </c>
      <c r="F32" s="349">
        <f t="shared" si="1"/>
        <v>142.3710288</v>
      </c>
      <c r="G32" s="349">
        <v>129.42820799999998</v>
      </c>
      <c r="H32" s="644" t="s">
        <v>536</v>
      </c>
      <c r="I32" s="354"/>
    </row>
    <row r="33" spans="1:9" s="11" customFormat="1" ht="36" customHeight="1">
      <c r="A33" s="182" t="s">
        <v>2099</v>
      </c>
      <c r="B33" s="72" t="s">
        <v>530</v>
      </c>
      <c r="C33" s="177" t="s">
        <v>628</v>
      </c>
      <c r="D33" s="349" t="s">
        <v>277</v>
      </c>
      <c r="E33" s="241" t="s">
        <v>277</v>
      </c>
      <c r="F33" s="349">
        <f t="shared" si="1"/>
        <v>136.6972992</v>
      </c>
      <c r="G33" s="349">
        <v>124.27027199999999</v>
      </c>
      <c r="H33" s="644" t="s">
        <v>536</v>
      </c>
      <c r="I33" s="354"/>
    </row>
    <row r="34" spans="1:9" s="11" customFormat="1" ht="36" customHeight="1">
      <c r="A34" s="182" t="s">
        <v>2100</v>
      </c>
      <c r="B34" s="72" t="s">
        <v>531</v>
      </c>
      <c r="C34" s="177" t="s">
        <v>628</v>
      </c>
      <c r="D34" s="349" t="s">
        <v>277</v>
      </c>
      <c r="E34" s="241" t="s">
        <v>277</v>
      </c>
      <c r="F34" s="349">
        <f t="shared" si="1"/>
        <v>142.3710288</v>
      </c>
      <c r="G34" s="349">
        <v>129.42820799999998</v>
      </c>
      <c r="H34" s="644" t="s">
        <v>536</v>
      </c>
      <c r="I34" s="354"/>
    </row>
    <row r="35" spans="1:9" s="11" customFormat="1" ht="36" customHeight="1">
      <c r="A35" s="182" t="s">
        <v>2101</v>
      </c>
      <c r="B35" s="72" t="s">
        <v>532</v>
      </c>
      <c r="C35" s="177" t="s">
        <v>628</v>
      </c>
      <c r="D35" s="349" t="s">
        <v>277</v>
      </c>
      <c r="E35" s="241" t="s">
        <v>277</v>
      </c>
      <c r="F35" s="349">
        <f t="shared" si="1"/>
        <v>142.3710288</v>
      </c>
      <c r="G35" s="349">
        <v>129.42820799999998</v>
      </c>
      <c r="H35" s="644" t="s">
        <v>536</v>
      </c>
      <c r="I35" s="354"/>
    </row>
    <row r="36" spans="1:9" s="11" customFormat="1" ht="36" customHeight="1">
      <c r="A36" s="182" t="s">
        <v>2102</v>
      </c>
      <c r="B36" s="72" t="s">
        <v>533</v>
      </c>
      <c r="C36" s="177" t="s">
        <v>628</v>
      </c>
      <c r="D36" s="349" t="s">
        <v>277</v>
      </c>
      <c r="E36" s="241" t="s">
        <v>277</v>
      </c>
      <c r="F36" s="349">
        <f t="shared" si="1"/>
        <v>148.45159559999999</v>
      </c>
      <c r="G36" s="349">
        <v>134.95599599999997</v>
      </c>
      <c r="H36" s="644" t="s">
        <v>536</v>
      </c>
      <c r="I36" s="354"/>
    </row>
    <row r="37" spans="1:9" s="11" customFormat="1" ht="36" customHeight="1">
      <c r="A37" s="182" t="s">
        <v>2103</v>
      </c>
      <c r="B37" s="72" t="s">
        <v>534</v>
      </c>
      <c r="C37" s="177" t="s">
        <v>628</v>
      </c>
      <c r="D37" s="349" t="s">
        <v>277</v>
      </c>
      <c r="E37" s="241" t="s">
        <v>277</v>
      </c>
      <c r="F37" s="349">
        <f t="shared" si="1"/>
        <v>181.94419320000003</v>
      </c>
      <c r="G37" s="349">
        <v>165.40381200000002</v>
      </c>
      <c r="H37" s="644" t="s">
        <v>536</v>
      </c>
      <c r="I37" s="354"/>
    </row>
    <row r="38" spans="1:9" s="11" customFormat="1" ht="36" customHeight="1">
      <c r="A38" s="182" t="s">
        <v>2104</v>
      </c>
      <c r="B38" s="72" t="s">
        <v>535</v>
      </c>
      <c r="C38" s="177" t="s">
        <v>628</v>
      </c>
      <c r="D38" s="349" t="s">
        <v>277</v>
      </c>
      <c r="E38" s="241" t="s">
        <v>277</v>
      </c>
      <c r="F38" s="349">
        <f t="shared" si="1"/>
        <v>82.15912320000001</v>
      </c>
      <c r="G38" s="349">
        <v>74.690111999999999</v>
      </c>
      <c r="H38" s="644" t="s">
        <v>536</v>
      </c>
      <c r="I38" s="354"/>
    </row>
    <row r="39" spans="1:9" s="11" customFormat="1" ht="36" customHeight="1">
      <c r="A39" s="182" t="s">
        <v>2116</v>
      </c>
      <c r="B39" s="72" t="s">
        <v>1544</v>
      </c>
      <c r="C39" s="156" t="s">
        <v>628</v>
      </c>
      <c r="D39" s="349" t="s">
        <v>277</v>
      </c>
      <c r="E39" s="241" t="s">
        <v>277</v>
      </c>
      <c r="F39" s="349">
        <f t="shared" si="1"/>
        <v>100.62800000000001</v>
      </c>
      <c r="G39" s="349">
        <v>91.48</v>
      </c>
      <c r="H39" s="644" t="s">
        <v>536</v>
      </c>
      <c r="I39" s="354" t="s">
        <v>1545</v>
      </c>
    </row>
    <row r="40" spans="1:9" s="11" customFormat="1" ht="24" customHeight="1">
      <c r="A40" s="182" t="s">
        <v>2115</v>
      </c>
      <c r="B40" s="72" t="s">
        <v>1506</v>
      </c>
      <c r="C40" s="156" t="s">
        <v>628</v>
      </c>
      <c r="D40" s="349" t="s">
        <v>277</v>
      </c>
      <c r="E40" s="241" t="s">
        <v>277</v>
      </c>
      <c r="F40" s="349">
        <f t="shared" si="1"/>
        <v>165</v>
      </c>
      <c r="G40" s="349">
        <v>150</v>
      </c>
      <c r="H40" s="208" t="s">
        <v>1507</v>
      </c>
      <c r="I40" s="354"/>
    </row>
    <row r="41" spans="1:9" s="649" customFormat="1" ht="21.75" customHeight="1">
      <c r="A41" s="67"/>
      <c r="B41" s="73" t="s">
        <v>259</v>
      </c>
      <c r="C41" s="177"/>
      <c r="D41" s="349"/>
      <c r="E41" s="241"/>
      <c r="F41" s="241"/>
      <c r="G41" s="241"/>
      <c r="H41" s="330"/>
      <c r="I41" s="94"/>
    </row>
    <row r="42" spans="1:9" s="649" customFormat="1" ht="42.75">
      <c r="A42" s="648" t="s">
        <v>2105</v>
      </c>
      <c r="B42" s="637" t="s">
        <v>1537</v>
      </c>
      <c r="C42" s="177" t="s">
        <v>628</v>
      </c>
      <c r="D42" s="349" t="s">
        <v>277</v>
      </c>
      <c r="E42" s="241" t="s">
        <v>277</v>
      </c>
      <c r="F42" s="201">
        <f t="shared" ref="F42:F53" si="2">SUM(G42*1.1)</f>
        <v>70.279000000000011</v>
      </c>
      <c r="G42" s="201">
        <v>63.89</v>
      </c>
      <c r="H42" s="292" t="s">
        <v>260</v>
      </c>
      <c r="I42" s="94"/>
    </row>
    <row r="43" spans="1:9" s="649" customFormat="1" ht="42.75">
      <c r="A43" s="648" t="s">
        <v>2117</v>
      </c>
      <c r="B43" s="637" t="s">
        <v>1539</v>
      </c>
      <c r="C43" s="177" t="s">
        <v>628</v>
      </c>
      <c r="D43" s="349" t="s">
        <v>277</v>
      </c>
      <c r="E43" s="241" t="s">
        <v>277</v>
      </c>
      <c r="F43" s="201">
        <f t="shared" si="2"/>
        <v>87.626000000000005</v>
      </c>
      <c r="G43" s="201">
        <v>79.66</v>
      </c>
      <c r="H43" s="292" t="s">
        <v>1535</v>
      </c>
      <c r="I43" s="115"/>
    </row>
    <row r="44" spans="1:9" s="649" customFormat="1" ht="42.75">
      <c r="A44" s="648" t="s">
        <v>2118</v>
      </c>
      <c r="B44" s="637" t="s">
        <v>1538</v>
      </c>
      <c r="C44" s="177" t="s">
        <v>628</v>
      </c>
      <c r="D44" s="349" t="s">
        <v>277</v>
      </c>
      <c r="E44" s="241" t="s">
        <v>277</v>
      </c>
      <c r="F44" s="201">
        <f t="shared" si="2"/>
        <v>46.2</v>
      </c>
      <c r="G44" s="201">
        <v>42</v>
      </c>
      <c r="H44" s="292" t="s">
        <v>1536</v>
      </c>
      <c r="I44" s="115"/>
    </row>
    <row r="45" spans="1:9" ht="21">
      <c r="A45" s="648" t="s">
        <v>2106</v>
      </c>
      <c r="B45" s="636" t="s">
        <v>261</v>
      </c>
      <c r="C45" s="177" t="s">
        <v>628</v>
      </c>
      <c r="D45" s="349" t="s">
        <v>277</v>
      </c>
      <c r="E45" s="241" t="s">
        <v>277</v>
      </c>
      <c r="F45" s="201">
        <f t="shared" si="2"/>
        <v>157.80600000000001</v>
      </c>
      <c r="G45" s="201">
        <v>143.46</v>
      </c>
      <c r="H45" s="299" t="s">
        <v>262</v>
      </c>
      <c r="I45" s="100" t="s">
        <v>874</v>
      </c>
    </row>
    <row r="46" spans="1:9" ht="21">
      <c r="A46" s="648" t="s">
        <v>2107</v>
      </c>
      <c r="B46" s="636" t="s">
        <v>263</v>
      </c>
      <c r="C46" s="177" t="s">
        <v>628</v>
      </c>
      <c r="D46" s="349" t="s">
        <v>277</v>
      </c>
      <c r="E46" s="241" t="s">
        <v>277</v>
      </c>
      <c r="F46" s="201">
        <f t="shared" si="2"/>
        <v>205.20500000000004</v>
      </c>
      <c r="G46" s="201">
        <v>186.55</v>
      </c>
      <c r="H46" s="299" t="s">
        <v>262</v>
      </c>
      <c r="I46" s="100" t="s">
        <v>874</v>
      </c>
    </row>
    <row r="47" spans="1:9" ht="21">
      <c r="A47" s="59" t="s">
        <v>2108</v>
      </c>
      <c r="B47" s="642" t="s">
        <v>264</v>
      </c>
      <c r="C47" s="177" t="s">
        <v>628</v>
      </c>
      <c r="D47" s="349" t="s">
        <v>277</v>
      </c>
      <c r="E47" s="241" t="s">
        <v>277</v>
      </c>
      <c r="F47" s="201">
        <f t="shared" si="2"/>
        <v>137.5</v>
      </c>
      <c r="G47" s="360">
        <v>125</v>
      </c>
      <c r="H47" s="300" t="s">
        <v>262</v>
      </c>
      <c r="I47" s="100" t="s">
        <v>874</v>
      </c>
    </row>
    <row r="48" spans="1:9" ht="21">
      <c r="A48" s="59" t="s">
        <v>2109</v>
      </c>
      <c r="B48" s="642" t="s">
        <v>265</v>
      </c>
      <c r="C48" s="177" t="s">
        <v>628</v>
      </c>
      <c r="D48" s="349" t="s">
        <v>277</v>
      </c>
      <c r="E48" s="241" t="s">
        <v>277</v>
      </c>
      <c r="F48" s="201">
        <f t="shared" si="2"/>
        <v>93.500000000000014</v>
      </c>
      <c r="G48" s="360">
        <v>85</v>
      </c>
      <c r="H48" s="300" t="s">
        <v>262</v>
      </c>
      <c r="I48" s="100" t="s">
        <v>874</v>
      </c>
    </row>
    <row r="49" spans="1:9" ht="31.5">
      <c r="A49" s="59" t="s">
        <v>2110</v>
      </c>
      <c r="B49" s="642" t="s">
        <v>266</v>
      </c>
      <c r="C49" s="177" t="s">
        <v>628</v>
      </c>
      <c r="D49" s="349" t="s">
        <v>277</v>
      </c>
      <c r="E49" s="241" t="s">
        <v>277</v>
      </c>
      <c r="F49" s="201">
        <f t="shared" si="2"/>
        <v>154</v>
      </c>
      <c r="G49" s="360">
        <v>140</v>
      </c>
      <c r="H49" s="300" t="s">
        <v>262</v>
      </c>
      <c r="I49" s="100" t="s">
        <v>874</v>
      </c>
    </row>
    <row r="50" spans="1:9" ht="31.5">
      <c r="A50" s="59" t="s">
        <v>2111</v>
      </c>
      <c r="B50" s="642" t="s">
        <v>267</v>
      </c>
      <c r="C50" s="177" t="s">
        <v>628</v>
      </c>
      <c r="D50" s="349" t="s">
        <v>277</v>
      </c>
      <c r="E50" s="241" t="s">
        <v>277</v>
      </c>
      <c r="F50" s="201">
        <f t="shared" si="2"/>
        <v>88</v>
      </c>
      <c r="G50" s="360">
        <v>80</v>
      </c>
      <c r="H50" s="300" t="s">
        <v>262</v>
      </c>
      <c r="I50" s="100" t="s">
        <v>874</v>
      </c>
    </row>
    <row r="51" spans="1:9" ht="12.75">
      <c r="A51" s="59" t="s">
        <v>2113</v>
      </c>
      <c r="B51" s="642" t="s">
        <v>268</v>
      </c>
      <c r="C51" s="177" t="s">
        <v>628</v>
      </c>
      <c r="D51" s="349" t="s">
        <v>277</v>
      </c>
      <c r="E51" s="241" t="s">
        <v>277</v>
      </c>
      <c r="F51" s="201">
        <f t="shared" si="2"/>
        <v>71.5</v>
      </c>
      <c r="G51" s="360">
        <v>65</v>
      </c>
      <c r="H51" s="300" t="s">
        <v>262</v>
      </c>
      <c r="I51" s="100" t="s">
        <v>874</v>
      </c>
    </row>
    <row r="52" spans="1:9" s="8" customFormat="1" ht="42">
      <c r="A52" s="59" t="s">
        <v>2112</v>
      </c>
      <c r="B52" s="642" t="s">
        <v>269</v>
      </c>
      <c r="C52" s="177" t="s">
        <v>628</v>
      </c>
      <c r="D52" s="349" t="s">
        <v>277</v>
      </c>
      <c r="E52" s="241" t="s">
        <v>277</v>
      </c>
      <c r="F52" s="201">
        <f t="shared" si="2"/>
        <v>38.5</v>
      </c>
      <c r="G52" s="360">
        <v>35</v>
      </c>
      <c r="H52" s="300" t="s">
        <v>262</v>
      </c>
      <c r="I52" s="4"/>
    </row>
    <row r="53" spans="1:9" ht="82.5" customHeight="1">
      <c r="A53" s="59" t="s">
        <v>2114</v>
      </c>
      <c r="B53" s="642" t="s">
        <v>270</v>
      </c>
      <c r="C53" s="177" t="s">
        <v>628</v>
      </c>
      <c r="D53" s="349" t="s">
        <v>277</v>
      </c>
      <c r="E53" s="241" t="s">
        <v>277</v>
      </c>
      <c r="F53" s="201">
        <f t="shared" si="2"/>
        <v>5.5</v>
      </c>
      <c r="G53" s="360">
        <v>5</v>
      </c>
      <c r="H53" s="300" t="s">
        <v>262</v>
      </c>
      <c r="I53" s="792"/>
    </row>
    <row r="54" spans="1:9" ht="4.5" customHeight="1">
      <c r="A54" s="4"/>
      <c r="B54" s="645"/>
      <c r="C54" s="142"/>
      <c r="D54" s="142"/>
      <c r="E54" s="293"/>
      <c r="F54" s="145"/>
      <c r="G54" s="362"/>
      <c r="H54" s="645"/>
      <c r="I54" s="791"/>
    </row>
    <row r="55" spans="1:9" ht="91.5" customHeight="1">
      <c r="A55" s="77" t="s">
        <v>629</v>
      </c>
      <c r="B55" s="1445" t="s">
        <v>350</v>
      </c>
      <c r="C55" s="1445"/>
      <c r="D55" s="1445"/>
      <c r="E55" s="1445"/>
      <c r="F55" s="1445"/>
      <c r="G55" s="1445"/>
      <c r="H55" s="1445"/>
      <c r="I55" s="791"/>
    </row>
    <row r="56" spans="1:9" ht="3" customHeight="1">
      <c r="B56" s="790"/>
      <c r="C56" s="791"/>
      <c r="D56" s="791"/>
      <c r="E56" s="791"/>
      <c r="F56" s="791"/>
      <c r="G56" s="791"/>
      <c r="H56" s="791"/>
      <c r="I56" s="789"/>
    </row>
    <row r="57" spans="1:9" ht="132.75" customHeight="1">
      <c r="A57" s="77" t="s">
        <v>634</v>
      </c>
      <c r="B57" s="1442" t="s">
        <v>351</v>
      </c>
      <c r="C57" s="1442"/>
      <c r="D57" s="1442"/>
      <c r="E57" s="1442"/>
      <c r="F57" s="1442"/>
      <c r="G57" s="1442"/>
      <c r="H57" s="1442"/>
      <c r="I57" s="791"/>
    </row>
    <row r="58" spans="1:9" ht="24" customHeight="1">
      <c r="A58" s="789"/>
      <c r="B58" s="789"/>
      <c r="C58" s="789"/>
      <c r="D58" s="789"/>
      <c r="E58" s="789"/>
      <c r="F58" s="789"/>
      <c r="G58" s="789"/>
      <c r="H58" s="789"/>
      <c r="I58" s="789"/>
    </row>
    <row r="59" spans="1:9" ht="151.5" customHeight="1">
      <c r="A59" s="77" t="s">
        <v>280</v>
      </c>
      <c r="B59" s="1442" t="s">
        <v>271</v>
      </c>
      <c r="C59" s="1442"/>
      <c r="D59" s="1442"/>
      <c r="E59" s="1442"/>
      <c r="F59" s="1442"/>
      <c r="G59" s="1442"/>
      <c r="H59" s="1442"/>
      <c r="I59" s="791"/>
    </row>
    <row r="60" spans="1:9">
      <c r="A60" s="789"/>
      <c r="B60" s="789"/>
      <c r="C60" s="789"/>
      <c r="D60" s="789"/>
      <c r="E60" s="789"/>
      <c r="F60" s="789"/>
      <c r="G60" s="789"/>
      <c r="H60" s="789"/>
    </row>
    <row r="61" spans="1:9" s="4" customFormat="1" ht="78" customHeight="1">
      <c r="A61" s="78" t="s">
        <v>371</v>
      </c>
      <c r="B61" s="1442" t="s">
        <v>272</v>
      </c>
      <c r="C61" s="1442"/>
      <c r="D61" s="1442"/>
      <c r="E61" s="1442"/>
      <c r="F61" s="1442"/>
      <c r="G61" s="1442"/>
      <c r="H61" s="1442"/>
    </row>
    <row r="62" spans="1:9" s="4" customFormat="1">
      <c r="A62"/>
      <c r="B62" s="294"/>
      <c r="C62" s="143"/>
      <c r="D62" s="143"/>
      <c r="E62" s="143"/>
      <c r="F62" s="143"/>
      <c r="G62" s="287"/>
      <c r="H62" s="143"/>
    </row>
    <row r="63" spans="1:9" s="4" customFormat="1">
      <c r="B63" s="295"/>
      <c r="C63" s="145"/>
      <c r="D63" s="145"/>
      <c r="E63" s="145"/>
      <c r="F63" s="145"/>
      <c r="G63" s="286"/>
      <c r="H63" s="145"/>
    </row>
    <row r="64" spans="1:9" s="4" customFormat="1">
      <c r="B64" s="296"/>
      <c r="C64" s="296"/>
      <c r="D64" s="296"/>
      <c r="E64" s="296"/>
      <c r="F64" s="145"/>
      <c r="G64" s="286"/>
      <c r="H64" s="145"/>
    </row>
    <row r="65" spans="2:8" s="4" customFormat="1">
      <c r="B65" s="645"/>
      <c r="C65" s="645"/>
      <c r="D65" s="645"/>
      <c r="E65" s="297"/>
      <c r="F65" s="145"/>
      <c r="G65" s="286"/>
      <c r="H65" s="145"/>
    </row>
    <row r="66" spans="2:8" s="4" customFormat="1">
      <c r="B66" s="645"/>
      <c r="C66" s="645"/>
      <c r="D66" s="645"/>
      <c r="E66" s="645"/>
      <c r="F66" s="145"/>
      <c r="G66" s="286"/>
      <c r="H66" s="145"/>
    </row>
    <row r="67" spans="2:8" s="4" customFormat="1">
      <c r="B67" s="645"/>
      <c r="C67" s="645"/>
      <c r="D67" s="645"/>
      <c r="E67" s="297"/>
      <c r="F67" s="145"/>
      <c r="G67" s="286"/>
      <c r="H67" s="145"/>
    </row>
    <row r="68" spans="2:8" s="4" customFormat="1">
      <c r="B68" s="645"/>
      <c r="C68" s="645"/>
      <c r="D68" s="645"/>
      <c r="E68" s="645"/>
      <c r="F68" s="145"/>
      <c r="G68" s="286"/>
      <c r="H68" s="145"/>
    </row>
    <row r="69" spans="2:8" s="4" customFormat="1">
      <c r="B69" s="645"/>
      <c r="C69" s="645"/>
      <c r="D69" s="645"/>
      <c r="E69" s="645"/>
      <c r="F69" s="145"/>
      <c r="G69" s="286"/>
      <c r="H69" s="145"/>
    </row>
    <row r="70" spans="2:8" s="4" customFormat="1">
      <c r="B70" s="645"/>
      <c r="C70" s="645"/>
      <c r="D70" s="645"/>
      <c r="E70" s="645"/>
      <c r="F70" s="145"/>
      <c r="G70" s="286"/>
      <c r="H70" s="145"/>
    </row>
    <row r="71" spans="2:8" s="4" customFormat="1">
      <c r="B71" s="1444"/>
      <c r="C71" s="1444"/>
      <c r="D71" s="645"/>
      <c r="E71" s="645"/>
      <c r="F71" s="145"/>
      <c r="G71" s="286"/>
      <c r="H71" s="145"/>
    </row>
    <row r="72" spans="2:8" s="4" customFormat="1">
      <c r="B72" s="145"/>
      <c r="C72" s="145"/>
      <c r="D72" s="145"/>
      <c r="E72" s="145"/>
      <c r="F72" s="145"/>
      <c r="G72" s="286"/>
      <c r="H72" s="145"/>
    </row>
    <row r="73" spans="2:8" s="4" customFormat="1">
      <c r="B73" s="145"/>
      <c r="C73" s="145"/>
      <c r="D73" s="145"/>
      <c r="E73" s="145"/>
      <c r="F73" s="145"/>
      <c r="G73" s="286"/>
      <c r="H73" s="145"/>
    </row>
    <row r="74" spans="2:8" s="4" customFormat="1">
      <c r="B74" s="145"/>
      <c r="C74" s="145"/>
      <c r="D74" s="145"/>
      <c r="E74" s="145"/>
      <c r="F74" s="145"/>
      <c r="G74" s="286"/>
      <c r="H74" s="145"/>
    </row>
    <row r="75" spans="2:8" s="4" customFormat="1">
      <c r="B75" s="145"/>
      <c r="C75" s="145"/>
      <c r="D75" s="145"/>
      <c r="E75" s="145"/>
      <c r="F75" s="145"/>
      <c r="G75" s="286"/>
      <c r="H75" s="145"/>
    </row>
    <row r="76" spans="2:8" s="4" customFormat="1">
      <c r="B76" s="145"/>
      <c r="C76" s="145"/>
      <c r="D76" s="145"/>
      <c r="E76" s="145"/>
      <c r="F76" s="145"/>
      <c r="G76" s="286"/>
      <c r="H76" s="145"/>
    </row>
    <row r="77" spans="2:8" s="4" customFormat="1">
      <c r="B77" s="145"/>
      <c r="C77" s="145"/>
      <c r="D77" s="145"/>
      <c r="E77" s="145"/>
      <c r="F77" s="145"/>
      <c r="G77" s="286"/>
      <c r="H77" s="145"/>
    </row>
    <row r="78" spans="2:8" s="4" customFormat="1">
      <c r="B78" s="145"/>
      <c r="C78" s="145"/>
      <c r="D78" s="145"/>
      <c r="E78" s="145"/>
      <c r="F78" s="145"/>
      <c r="G78" s="286"/>
      <c r="H78" s="145"/>
    </row>
    <row r="79" spans="2:8" s="4" customFormat="1">
      <c r="B79" s="145"/>
      <c r="C79" s="145"/>
      <c r="D79" s="145"/>
      <c r="E79" s="145"/>
      <c r="F79" s="145"/>
      <c r="G79" s="286"/>
      <c r="H79" s="145"/>
    </row>
    <row r="80" spans="2:8" s="4" customFormat="1">
      <c r="B80" s="145"/>
      <c r="C80" s="145"/>
      <c r="D80" s="145"/>
      <c r="E80" s="145"/>
      <c r="F80" s="145"/>
      <c r="G80" s="286"/>
      <c r="H80" s="145"/>
    </row>
    <row r="81" spans="2:8" s="4" customFormat="1">
      <c r="B81" s="145"/>
      <c r="C81" s="145"/>
      <c r="D81" s="145"/>
      <c r="E81" s="145"/>
      <c r="F81" s="145"/>
      <c r="G81" s="286"/>
      <c r="H81" s="145"/>
    </row>
    <row r="82" spans="2:8" s="4" customFormat="1">
      <c r="B82" s="145"/>
      <c r="C82" s="145"/>
      <c r="D82" s="145"/>
      <c r="E82" s="145"/>
      <c r="F82" s="145"/>
      <c r="G82" s="286"/>
      <c r="H82" s="145"/>
    </row>
    <row r="83" spans="2:8" s="4" customFormat="1">
      <c r="B83" s="145"/>
      <c r="C83" s="145"/>
      <c r="D83" s="145"/>
      <c r="E83" s="145"/>
      <c r="F83" s="145"/>
      <c r="G83" s="286"/>
      <c r="H83" s="145"/>
    </row>
    <row r="84" spans="2:8" s="4" customFormat="1">
      <c r="B84" s="145"/>
      <c r="C84" s="145"/>
      <c r="D84" s="145"/>
      <c r="E84" s="145"/>
      <c r="F84" s="145"/>
      <c r="G84" s="286"/>
      <c r="H84" s="145"/>
    </row>
    <row r="85" spans="2:8" s="4" customFormat="1">
      <c r="B85" s="145"/>
      <c r="C85" s="145"/>
      <c r="D85" s="145"/>
      <c r="E85" s="145"/>
      <c r="F85" s="145"/>
      <c r="G85" s="286"/>
      <c r="H85" s="145"/>
    </row>
    <row r="86" spans="2:8" s="4" customFormat="1">
      <c r="B86" s="145"/>
      <c r="C86" s="145"/>
      <c r="D86" s="145"/>
      <c r="E86" s="145"/>
      <c r="F86" s="145"/>
      <c r="G86" s="286"/>
      <c r="H86" s="145"/>
    </row>
    <row r="87" spans="2:8" s="4" customFormat="1">
      <c r="B87" s="145"/>
      <c r="C87" s="145"/>
      <c r="D87" s="145"/>
      <c r="E87" s="145"/>
      <c r="F87" s="145"/>
      <c r="G87" s="286"/>
      <c r="H87" s="145"/>
    </row>
    <row r="88" spans="2:8" s="4" customFormat="1">
      <c r="B88" s="145"/>
      <c r="C88" s="145"/>
      <c r="D88" s="145"/>
      <c r="E88" s="145"/>
      <c r="F88" s="145"/>
      <c r="G88" s="286"/>
      <c r="H88" s="145"/>
    </row>
    <row r="89" spans="2:8" s="4" customFormat="1">
      <c r="B89" s="145"/>
      <c r="C89" s="145"/>
      <c r="D89" s="145"/>
      <c r="E89" s="145"/>
      <c r="F89" s="145"/>
      <c r="G89" s="286"/>
      <c r="H89" s="145"/>
    </row>
    <row r="90" spans="2:8" s="4" customFormat="1">
      <c r="B90" s="145"/>
      <c r="C90" s="145"/>
      <c r="D90" s="145"/>
      <c r="E90" s="145"/>
      <c r="F90" s="145"/>
      <c r="G90" s="286"/>
      <c r="H90" s="145"/>
    </row>
    <row r="91" spans="2:8" s="4" customFormat="1">
      <c r="B91" s="145"/>
      <c r="C91" s="145"/>
      <c r="D91" s="145"/>
      <c r="E91" s="145"/>
      <c r="F91" s="145"/>
      <c r="G91" s="286"/>
      <c r="H91" s="145"/>
    </row>
    <row r="92" spans="2:8" s="4" customFormat="1">
      <c r="B92" s="145"/>
      <c r="C92" s="145"/>
      <c r="D92" s="145"/>
      <c r="E92" s="145"/>
      <c r="F92" s="145"/>
      <c r="G92" s="286"/>
      <c r="H92" s="145"/>
    </row>
    <row r="93" spans="2:8" s="4" customFormat="1">
      <c r="B93" s="145"/>
      <c r="C93" s="145"/>
      <c r="D93" s="145"/>
      <c r="E93" s="145"/>
      <c r="F93" s="145"/>
      <c r="G93" s="286"/>
      <c r="H93" s="145"/>
    </row>
    <row r="94" spans="2:8" s="4" customFormat="1">
      <c r="B94" s="145"/>
      <c r="C94" s="145"/>
      <c r="D94" s="145"/>
      <c r="E94" s="145"/>
      <c r="F94" s="145"/>
      <c r="G94" s="286"/>
      <c r="H94" s="145"/>
    </row>
    <row r="95" spans="2:8" s="4" customFormat="1">
      <c r="B95" s="145"/>
      <c r="C95" s="145"/>
      <c r="D95" s="145"/>
      <c r="E95" s="145"/>
      <c r="F95" s="145"/>
      <c r="G95" s="286"/>
      <c r="H95" s="145"/>
    </row>
    <row r="96" spans="2:8" s="4" customFormat="1">
      <c r="B96" s="145"/>
      <c r="C96" s="145"/>
      <c r="D96" s="145"/>
      <c r="E96" s="145"/>
      <c r="F96" s="145"/>
      <c r="G96" s="286"/>
      <c r="H96" s="145"/>
    </row>
    <row r="97" spans="1:8" s="4" customFormat="1">
      <c r="B97" s="145"/>
      <c r="C97" s="145"/>
      <c r="D97" s="145"/>
      <c r="E97" s="145"/>
      <c r="F97" s="145"/>
      <c r="G97" s="286"/>
      <c r="H97" s="145"/>
    </row>
    <row r="98" spans="1:8" s="4" customFormat="1">
      <c r="B98" s="145"/>
      <c r="C98" s="145"/>
      <c r="D98" s="145"/>
      <c r="E98" s="145"/>
      <c r="F98" s="145"/>
      <c r="G98" s="286"/>
      <c r="H98" s="145"/>
    </row>
    <row r="99" spans="1:8" s="4" customFormat="1">
      <c r="B99" s="145"/>
      <c r="C99" s="145"/>
      <c r="D99" s="145"/>
      <c r="E99" s="145"/>
      <c r="F99" s="145"/>
      <c r="G99" s="286"/>
      <c r="H99" s="145"/>
    </row>
    <row r="100" spans="1:8" s="4" customFormat="1">
      <c r="B100" s="145"/>
      <c r="C100" s="145"/>
      <c r="D100" s="145"/>
      <c r="E100" s="145"/>
      <c r="F100" s="145"/>
      <c r="G100" s="286"/>
      <c r="H100" s="145"/>
    </row>
    <row r="101" spans="1:8" s="4" customFormat="1">
      <c r="B101" s="145"/>
      <c r="C101" s="145"/>
      <c r="D101" s="145"/>
      <c r="E101" s="145"/>
      <c r="F101" s="145"/>
      <c r="G101" s="286"/>
      <c r="H101" s="145"/>
    </row>
    <row r="102" spans="1:8" s="4" customFormat="1">
      <c r="B102" s="145"/>
      <c r="C102" s="145"/>
      <c r="D102" s="145"/>
      <c r="E102" s="145"/>
      <c r="F102" s="145"/>
      <c r="G102" s="286"/>
      <c r="H102" s="145"/>
    </row>
    <row r="103" spans="1:8" s="4" customFormat="1">
      <c r="B103" s="145"/>
      <c r="C103" s="145"/>
      <c r="D103" s="145"/>
      <c r="E103" s="145"/>
      <c r="F103" s="145"/>
      <c r="G103" s="286"/>
      <c r="H103" s="145"/>
    </row>
    <row r="104" spans="1:8" s="4" customFormat="1">
      <c r="B104" s="145"/>
      <c r="C104" s="145"/>
      <c r="D104" s="145"/>
      <c r="E104" s="145"/>
      <c r="F104" s="145"/>
      <c r="G104" s="286"/>
      <c r="H104" s="145"/>
    </row>
    <row r="105" spans="1:8" s="4" customFormat="1">
      <c r="B105" s="145"/>
      <c r="C105" s="145"/>
      <c r="D105" s="145"/>
      <c r="E105" s="145"/>
      <c r="F105" s="145"/>
      <c r="G105" s="286"/>
      <c r="H105" s="145"/>
    </row>
    <row r="106" spans="1:8" s="4" customFormat="1">
      <c r="B106" s="145"/>
      <c r="C106" s="145"/>
      <c r="D106" s="145"/>
      <c r="E106" s="145"/>
      <c r="F106" s="145"/>
      <c r="G106" s="286"/>
      <c r="H106" s="145"/>
    </row>
    <row r="107" spans="1:8" s="4" customFormat="1">
      <c r="B107" s="145"/>
      <c r="C107" s="145"/>
      <c r="D107" s="145"/>
      <c r="E107" s="145"/>
      <c r="F107" s="145"/>
      <c r="G107" s="286"/>
      <c r="H107" s="145"/>
    </row>
    <row r="108" spans="1:8" s="4" customFormat="1">
      <c r="B108" s="145"/>
      <c r="C108" s="145"/>
      <c r="D108" s="145"/>
      <c r="E108" s="145"/>
      <c r="F108" s="145"/>
      <c r="G108" s="286"/>
      <c r="H108" s="145"/>
    </row>
    <row r="109" spans="1:8">
      <c r="A109" s="4"/>
      <c r="B109" s="145"/>
      <c r="C109" s="145"/>
      <c r="D109" s="145"/>
      <c r="E109" s="145"/>
      <c r="F109" s="145"/>
      <c r="G109" s="286"/>
      <c r="H109" s="145"/>
    </row>
    <row r="110" spans="1:8">
      <c r="A110" s="4"/>
      <c r="B110" s="145"/>
      <c r="C110" s="145"/>
      <c r="D110" s="145"/>
      <c r="E110" s="145"/>
      <c r="F110" s="145"/>
      <c r="G110" s="286"/>
      <c r="H110" s="145"/>
    </row>
  </sheetData>
  <mergeCells count="18">
    <mergeCell ref="A1:B1"/>
    <mergeCell ref="B55:H55"/>
    <mergeCell ref="B57:H57"/>
    <mergeCell ref="B59:H59"/>
    <mergeCell ref="B61:H61"/>
    <mergeCell ref="B71:C71"/>
    <mergeCell ref="C7:C8"/>
    <mergeCell ref="D7:D8"/>
    <mergeCell ref="E7:E8"/>
    <mergeCell ref="F7:F8"/>
    <mergeCell ref="G7:G8"/>
    <mergeCell ref="H7:H8"/>
    <mergeCell ref="B2:D2"/>
    <mergeCell ref="E2:G4"/>
    <mergeCell ref="H2:H4"/>
    <mergeCell ref="A5:B6"/>
    <mergeCell ref="H5:H6"/>
    <mergeCell ref="F6:G6"/>
  </mergeCells>
  <printOptions horizontalCentered="1"/>
  <pageMargins left="0.75" right="0.75" top="1" bottom="1" header="0.5" footer="0.5"/>
  <pageSetup scale="71" fitToHeight="31" orientation="landscape" r:id="rId1"/>
  <headerFooter alignWithMargins="0">
    <oddHeader>&amp;L&amp;F&amp;C&amp;"Tahoma,Bold"&amp;11&amp;A&amp;R&amp;G</oddHeader>
    <oddFooter>&amp;C&amp;"Tahoma,Italic"Use or disclosure of the data on this page or screen is subject to the restrictions on the title page or opening view screen of this proposal document or file.&amp;R&amp;P of &amp;N</oddFooter>
  </headerFooter>
  <rowBreaks count="1" manualBreakCount="1">
    <brk id="52" max="16383" man="1"/>
  </rowBreaks>
  <legacyDrawingHF r:id="rId2"/>
</worksheet>
</file>

<file path=xl/worksheets/sheet28.xml><?xml version="1.0" encoding="utf-8"?>
<worksheet xmlns="http://schemas.openxmlformats.org/spreadsheetml/2006/main" xmlns:r="http://schemas.openxmlformats.org/officeDocument/2006/relationships">
  <sheetPr>
    <tabColor theme="3" tint="0.79998168889431442"/>
  </sheetPr>
  <dimension ref="A1:N266"/>
  <sheetViews>
    <sheetView zoomScaleNormal="100" workbookViewId="0">
      <selection sqref="A1:C1"/>
    </sheetView>
  </sheetViews>
  <sheetFormatPr defaultRowHeight="30" customHeight="1"/>
  <cols>
    <col min="1" max="1" width="14.83203125" style="143" customWidth="1"/>
    <col min="2" max="2" width="23.5" style="309" customWidth="1"/>
    <col min="3" max="3" width="17.6640625" style="143" customWidth="1"/>
    <col min="4" max="4" width="12.83203125" style="143" hidden="1" customWidth="1"/>
    <col min="5" max="5" width="12" style="143" customWidth="1"/>
    <col min="6" max="6" width="12.5" style="143" customWidth="1"/>
    <col min="7" max="7" width="13.33203125" style="143" hidden="1" customWidth="1"/>
    <col min="8" max="8" width="23.83203125" style="143" customWidth="1"/>
    <col min="9" max="9" width="33.5" style="143" customWidth="1"/>
    <col min="10" max="14" width="9.33203125" style="9" customWidth="1"/>
  </cols>
  <sheetData>
    <row r="1" spans="1:14" ht="30" customHeight="1">
      <c r="A1" s="1545" t="s">
        <v>424</v>
      </c>
      <c r="B1" s="1550"/>
      <c r="C1" s="1546"/>
      <c r="D1" s="226"/>
      <c r="E1" s="226"/>
      <c r="F1" s="226"/>
      <c r="G1" s="226"/>
      <c r="H1" s="226"/>
      <c r="I1" s="402"/>
      <c r="J1" s="8"/>
      <c r="K1" s="8"/>
      <c r="L1" s="8"/>
      <c r="M1" s="8"/>
      <c r="N1" s="8"/>
    </row>
    <row r="2" spans="1:14" s="81" customFormat="1" ht="30" customHeight="1">
      <c r="A2" s="379"/>
      <c r="B2" s="1339" t="s">
        <v>370</v>
      </c>
      <c r="C2" s="1339"/>
      <c r="D2" s="1339"/>
      <c r="E2" s="1340" t="s">
        <v>622</v>
      </c>
      <c r="F2" s="1340"/>
      <c r="G2" s="1340"/>
      <c r="H2" s="1341" t="s">
        <v>623</v>
      </c>
      <c r="I2" s="370" t="s">
        <v>631</v>
      </c>
      <c r="J2" s="138"/>
      <c r="K2" s="138"/>
      <c r="L2" s="138"/>
      <c r="M2" s="138"/>
      <c r="N2" s="138"/>
    </row>
    <row r="3" spans="1:14" s="81" customFormat="1" ht="12" customHeight="1">
      <c r="A3" s="419" t="s">
        <v>426</v>
      </c>
      <c r="B3" s="419"/>
      <c r="C3" s="419"/>
      <c r="D3" s="419"/>
      <c r="E3" s="1340"/>
      <c r="F3" s="1340"/>
      <c r="G3" s="1340"/>
      <c r="H3" s="1341"/>
      <c r="I3" s="370"/>
      <c r="J3" s="138"/>
      <c r="K3" s="138"/>
      <c r="L3" s="138"/>
      <c r="M3" s="138"/>
      <c r="N3" s="138"/>
    </row>
    <row r="4" spans="1:14" s="81" customFormat="1" ht="9.75" customHeight="1">
      <c r="A4" s="419"/>
      <c r="B4" s="419"/>
      <c r="C4" s="419"/>
      <c r="D4" s="419"/>
      <c r="E4" s="1340"/>
      <c r="F4" s="1340"/>
      <c r="G4" s="1340"/>
      <c r="H4" s="1341"/>
      <c r="I4" s="370"/>
      <c r="J4" s="138"/>
      <c r="K4" s="138"/>
      <c r="L4" s="138"/>
      <c r="M4" s="138"/>
      <c r="N4" s="138"/>
    </row>
    <row r="5" spans="1:14" s="81" customFormat="1" ht="46.5" customHeight="1">
      <c r="A5" s="1313" t="s">
        <v>1330</v>
      </c>
      <c r="B5" s="1313"/>
      <c r="C5" s="386"/>
      <c r="D5" s="275" t="s">
        <v>624</v>
      </c>
      <c r="E5" s="1238"/>
      <c r="F5" s="1238"/>
      <c r="G5" s="1238"/>
      <c r="H5" s="1341" t="s">
        <v>625</v>
      </c>
      <c r="I5" s="370"/>
      <c r="J5" s="138"/>
      <c r="K5" s="138"/>
      <c r="L5" s="138"/>
      <c r="M5" s="138"/>
      <c r="N5" s="138"/>
    </row>
    <row r="6" spans="1:14" ht="45" customHeight="1">
      <c r="A6" s="1313"/>
      <c r="B6" s="1313"/>
      <c r="C6" s="390"/>
      <c r="D6" s="237"/>
      <c r="E6" s="1240"/>
      <c r="F6" s="1542"/>
      <c r="G6" s="1542"/>
      <c r="H6" s="1341"/>
      <c r="I6" s="370"/>
      <c r="J6" s="8"/>
      <c r="K6" s="8"/>
      <c r="L6" s="8"/>
      <c r="M6" s="8"/>
      <c r="N6" s="8"/>
    </row>
    <row r="7" spans="1:14" ht="30" customHeight="1">
      <c r="A7" s="375" t="s">
        <v>653</v>
      </c>
      <c r="B7" s="330" t="s">
        <v>428</v>
      </c>
      <c r="C7" s="1311" t="s">
        <v>429</v>
      </c>
      <c r="D7" s="1317" t="s">
        <v>620</v>
      </c>
      <c r="E7" s="1318" t="s">
        <v>432</v>
      </c>
      <c r="F7" s="1316" t="s">
        <v>430</v>
      </c>
      <c r="G7" s="1317" t="s">
        <v>621</v>
      </c>
      <c r="H7" s="1328" t="s">
        <v>431</v>
      </c>
      <c r="I7" s="369" t="s">
        <v>627</v>
      </c>
      <c r="J7" s="8"/>
      <c r="K7" s="8"/>
      <c r="L7" s="8"/>
      <c r="M7" s="8"/>
      <c r="N7" s="8"/>
    </row>
    <row r="8" spans="1:14" ht="24" customHeight="1">
      <c r="A8" s="367"/>
      <c r="B8" s="99"/>
      <c r="C8" s="1311"/>
      <c r="D8" s="1317"/>
      <c r="E8" s="1318"/>
      <c r="F8" s="1316"/>
      <c r="G8" s="1317"/>
      <c r="H8" s="1328"/>
      <c r="I8" s="369"/>
      <c r="J8" s="8"/>
      <c r="K8" s="8"/>
      <c r="L8" s="8"/>
      <c r="M8" s="8"/>
      <c r="N8" s="8"/>
    </row>
    <row r="9" spans="1:14" s="133" customFormat="1" ht="30" customHeight="1">
      <c r="A9" s="73"/>
      <c r="B9" s="1434" t="s">
        <v>355</v>
      </c>
      <c r="C9" s="1308"/>
      <c r="D9" s="1308"/>
      <c r="E9" s="1308"/>
      <c r="F9" s="1308"/>
      <c r="G9" s="1308"/>
      <c r="H9" s="365"/>
      <c r="I9" s="267"/>
      <c r="J9" s="145"/>
      <c r="K9" s="145"/>
      <c r="L9" s="145"/>
      <c r="M9" s="145"/>
      <c r="N9" s="145"/>
    </row>
    <row r="10" spans="1:14" s="133" customFormat="1" ht="30" customHeight="1">
      <c r="A10" s="1420" t="s">
        <v>609</v>
      </c>
      <c r="B10" s="1450"/>
      <c r="C10" s="1450"/>
      <c r="D10" s="1450"/>
      <c r="E10" s="1450"/>
      <c r="F10" s="1450"/>
      <c r="G10" s="1450"/>
      <c r="H10" s="377"/>
      <c r="I10" s="267"/>
      <c r="J10" s="145"/>
      <c r="K10" s="145"/>
      <c r="L10" s="145"/>
      <c r="M10" s="145"/>
      <c r="N10" s="145"/>
    </row>
    <row r="11" spans="1:14" s="30" customFormat="1" ht="30" customHeight="1">
      <c r="A11" s="491"/>
      <c r="B11" s="1434" t="s">
        <v>356</v>
      </c>
      <c r="C11" s="1308"/>
      <c r="D11" s="1308"/>
      <c r="E11" s="1308"/>
      <c r="F11" s="281"/>
      <c r="G11" s="281"/>
      <c r="H11" s="281"/>
      <c r="I11" s="267"/>
      <c r="J11" s="158"/>
      <c r="K11" s="158"/>
      <c r="L11" s="158"/>
      <c r="M11" s="158"/>
      <c r="N11" s="158"/>
    </row>
    <row r="12" spans="1:14" s="30" customFormat="1" ht="62.25" customHeight="1">
      <c r="A12" s="491"/>
      <c r="B12" s="1455" t="s">
        <v>547</v>
      </c>
      <c r="C12" s="1308"/>
      <c r="D12" s="1308"/>
      <c r="E12" s="1308"/>
      <c r="F12" s="1308"/>
      <c r="G12" s="1308"/>
      <c r="H12" s="365"/>
      <c r="I12" s="267"/>
      <c r="J12" s="158"/>
      <c r="K12" s="158"/>
      <c r="L12" s="158"/>
      <c r="M12" s="158"/>
      <c r="N12" s="158"/>
    </row>
    <row r="13" spans="1:14" s="30" customFormat="1" ht="30" customHeight="1">
      <c r="A13" s="491"/>
      <c r="B13" s="1457" t="s">
        <v>553</v>
      </c>
      <c r="C13" s="1448"/>
      <c r="D13" s="1448"/>
      <c r="E13" s="1448"/>
      <c r="F13" s="1448"/>
      <c r="G13" s="1448"/>
      <c r="H13" s="376"/>
      <c r="I13" s="267"/>
      <c r="J13" s="158"/>
      <c r="K13" s="158"/>
      <c r="L13" s="158"/>
      <c r="M13" s="158"/>
      <c r="N13" s="158"/>
    </row>
    <row r="14" spans="1:14" s="133" customFormat="1" ht="30" customHeight="1">
      <c r="A14" s="61" t="s">
        <v>2565</v>
      </c>
      <c r="B14" s="492" t="s">
        <v>549</v>
      </c>
      <c r="C14" s="177" t="s">
        <v>630</v>
      </c>
      <c r="D14" s="201">
        <v>480</v>
      </c>
      <c r="E14" s="201">
        <f>SUM(D14*1.1)</f>
        <v>528</v>
      </c>
      <c r="F14" s="201" t="s">
        <v>539</v>
      </c>
      <c r="G14" s="201" t="s">
        <v>539</v>
      </c>
      <c r="H14" s="148" t="s">
        <v>285</v>
      </c>
      <c r="I14" s="148"/>
      <c r="J14" s="145"/>
      <c r="K14" s="145"/>
      <c r="L14" s="145"/>
      <c r="M14" s="145"/>
      <c r="N14" s="145"/>
    </row>
    <row r="15" spans="1:14" s="133" customFormat="1" ht="30" customHeight="1">
      <c r="A15" s="61" t="s">
        <v>2566</v>
      </c>
      <c r="B15" s="492" t="s">
        <v>550</v>
      </c>
      <c r="C15" s="177" t="s">
        <v>630</v>
      </c>
      <c r="D15" s="201">
        <v>720</v>
      </c>
      <c r="E15" s="201">
        <f t="shared" ref="E15:E17" si="0">SUM(D15*1.1)</f>
        <v>792.00000000000011</v>
      </c>
      <c r="F15" s="201" t="s">
        <v>539</v>
      </c>
      <c r="G15" s="201" t="s">
        <v>539</v>
      </c>
      <c r="H15" s="148" t="s">
        <v>285</v>
      </c>
      <c r="I15" s="148"/>
      <c r="J15" s="145"/>
      <c r="K15" s="145"/>
      <c r="L15" s="145"/>
      <c r="M15" s="145"/>
      <c r="N15" s="145"/>
    </row>
    <row r="16" spans="1:14" s="133" customFormat="1" ht="30" customHeight="1">
      <c r="A16" s="61" t="s">
        <v>2567</v>
      </c>
      <c r="B16" s="492" t="s">
        <v>551</v>
      </c>
      <c r="C16" s="177" t="s">
        <v>630</v>
      </c>
      <c r="D16" s="201">
        <v>480</v>
      </c>
      <c r="E16" s="201">
        <f t="shared" si="0"/>
        <v>528</v>
      </c>
      <c r="F16" s="201" t="s">
        <v>539</v>
      </c>
      <c r="G16" s="201" t="s">
        <v>539</v>
      </c>
      <c r="H16" s="148" t="s">
        <v>285</v>
      </c>
      <c r="I16" s="148"/>
      <c r="J16" s="145"/>
      <c r="K16" s="145"/>
      <c r="L16" s="145"/>
      <c r="M16" s="145"/>
      <c r="N16" s="145"/>
    </row>
    <row r="17" spans="1:14" s="133" customFormat="1" ht="30" customHeight="1">
      <c r="A17" s="61" t="s">
        <v>2568</v>
      </c>
      <c r="B17" s="492" t="s">
        <v>552</v>
      </c>
      <c r="C17" s="177" t="s">
        <v>630</v>
      </c>
      <c r="D17" s="201">
        <v>720</v>
      </c>
      <c r="E17" s="201">
        <f t="shared" si="0"/>
        <v>792.00000000000011</v>
      </c>
      <c r="F17" s="201" t="s">
        <v>539</v>
      </c>
      <c r="G17" s="201" t="s">
        <v>539</v>
      </c>
      <c r="H17" s="148" t="s">
        <v>285</v>
      </c>
      <c r="I17" s="148"/>
      <c r="J17" s="145"/>
      <c r="K17" s="145"/>
      <c r="L17" s="145"/>
      <c r="M17" s="145"/>
      <c r="N17" s="145"/>
    </row>
    <row r="18" spans="1:14" s="138" customFormat="1" ht="30" customHeight="1">
      <c r="A18" s="73"/>
      <c r="B18" s="1447" t="s">
        <v>554</v>
      </c>
      <c r="C18" s="1448"/>
      <c r="D18" s="1448"/>
      <c r="E18" s="1448"/>
      <c r="F18" s="1448"/>
      <c r="G18" s="1448"/>
      <c r="H18" s="493"/>
      <c r="I18" s="493"/>
      <c r="J18" s="147"/>
      <c r="K18" s="147"/>
      <c r="L18" s="147"/>
      <c r="M18" s="147"/>
      <c r="N18" s="147"/>
    </row>
    <row r="19" spans="1:14" s="133" customFormat="1" ht="30" customHeight="1">
      <c r="A19" s="61" t="s">
        <v>2569</v>
      </c>
      <c r="B19" s="763" t="s">
        <v>554</v>
      </c>
      <c r="C19" s="177" t="s">
        <v>630</v>
      </c>
      <c r="D19" s="201">
        <v>255</v>
      </c>
      <c r="E19" s="201">
        <f t="shared" ref="E19" si="1">SUM(D19*1.1)</f>
        <v>280.5</v>
      </c>
      <c r="F19" s="201">
        <f>SUM(G19*1.1)</f>
        <v>231.00000000000003</v>
      </c>
      <c r="G19" s="201">
        <v>210</v>
      </c>
      <c r="H19" s="165" t="s">
        <v>555</v>
      </c>
      <c r="I19" s="165"/>
      <c r="J19" s="145"/>
      <c r="K19" s="145"/>
      <c r="L19" s="145"/>
      <c r="M19" s="145"/>
      <c r="N19" s="145"/>
    </row>
    <row r="20" spans="1:14" s="138" customFormat="1" ht="30" customHeight="1">
      <c r="A20" s="73"/>
      <c r="B20" s="1447" t="s">
        <v>569</v>
      </c>
      <c r="C20" s="1448"/>
      <c r="D20" s="1448"/>
      <c r="E20" s="1448"/>
      <c r="F20" s="1448"/>
      <c r="G20" s="1448"/>
      <c r="H20" s="73"/>
      <c r="I20" s="73"/>
      <c r="J20" s="147"/>
      <c r="K20" s="147"/>
      <c r="L20" s="147"/>
      <c r="M20" s="147"/>
      <c r="N20" s="147"/>
    </row>
    <row r="21" spans="1:14" s="133" customFormat="1" ht="30" customHeight="1">
      <c r="A21" s="61" t="s">
        <v>2570</v>
      </c>
      <c r="B21" s="492" t="s">
        <v>556</v>
      </c>
      <c r="C21" s="177" t="s">
        <v>630</v>
      </c>
      <c r="D21" s="201">
        <v>255</v>
      </c>
      <c r="E21" s="201">
        <f t="shared" ref="E21:E33" si="2">SUM(D21*1.1)</f>
        <v>280.5</v>
      </c>
      <c r="F21" s="241" t="s">
        <v>783</v>
      </c>
      <c r="G21" s="241" t="s">
        <v>783</v>
      </c>
      <c r="H21" s="148" t="s">
        <v>285</v>
      </c>
      <c r="I21" s="148"/>
      <c r="J21" s="145"/>
      <c r="K21" s="145"/>
      <c r="L21" s="145"/>
      <c r="M21" s="145"/>
      <c r="N21" s="145"/>
    </row>
    <row r="22" spans="1:14" s="133" customFormat="1" ht="30" customHeight="1">
      <c r="A22" s="61" t="s">
        <v>2571</v>
      </c>
      <c r="B22" s="492" t="s">
        <v>557</v>
      </c>
      <c r="C22" s="177" t="s">
        <v>630</v>
      </c>
      <c r="D22" s="201">
        <v>300</v>
      </c>
      <c r="E22" s="201">
        <f t="shared" si="2"/>
        <v>330</v>
      </c>
      <c r="F22" s="241" t="s">
        <v>783</v>
      </c>
      <c r="G22" s="241" t="s">
        <v>783</v>
      </c>
      <c r="H22" s="148" t="s">
        <v>285</v>
      </c>
      <c r="I22" s="148"/>
      <c r="J22" s="145"/>
      <c r="K22" s="145"/>
      <c r="L22" s="145"/>
      <c r="M22" s="145"/>
      <c r="N22" s="145"/>
    </row>
    <row r="23" spans="1:14" s="133" customFormat="1" ht="30" customHeight="1">
      <c r="A23" s="61" t="s">
        <v>2572</v>
      </c>
      <c r="B23" s="492" t="s">
        <v>558</v>
      </c>
      <c r="C23" s="177" t="s">
        <v>630</v>
      </c>
      <c r="D23" s="201">
        <v>380</v>
      </c>
      <c r="E23" s="201">
        <f t="shared" si="2"/>
        <v>418.00000000000006</v>
      </c>
      <c r="F23" s="241" t="s">
        <v>783</v>
      </c>
      <c r="G23" s="241" t="s">
        <v>783</v>
      </c>
      <c r="H23" s="148" t="s">
        <v>285</v>
      </c>
      <c r="I23" s="148"/>
      <c r="J23" s="145"/>
      <c r="K23" s="145"/>
      <c r="L23" s="145"/>
      <c r="M23" s="145"/>
      <c r="N23" s="145"/>
    </row>
    <row r="24" spans="1:14" s="133" customFormat="1" ht="30" customHeight="1">
      <c r="A24" s="61" t="s">
        <v>2573</v>
      </c>
      <c r="B24" s="492" t="s">
        <v>559</v>
      </c>
      <c r="C24" s="177" t="s">
        <v>630</v>
      </c>
      <c r="D24" s="201">
        <v>465</v>
      </c>
      <c r="E24" s="201">
        <f t="shared" si="2"/>
        <v>511.50000000000006</v>
      </c>
      <c r="F24" s="241" t="s">
        <v>783</v>
      </c>
      <c r="G24" s="241" t="s">
        <v>783</v>
      </c>
      <c r="H24" s="148" t="s">
        <v>285</v>
      </c>
      <c r="I24" s="148"/>
      <c r="J24" s="145"/>
      <c r="K24" s="145"/>
      <c r="L24" s="145"/>
      <c r="M24" s="145"/>
      <c r="N24" s="145"/>
    </row>
    <row r="25" spans="1:14" s="133" customFormat="1" ht="30" customHeight="1">
      <c r="A25" s="61" t="s">
        <v>2574</v>
      </c>
      <c r="B25" s="492" t="s">
        <v>560</v>
      </c>
      <c r="C25" s="177" t="s">
        <v>630</v>
      </c>
      <c r="D25" s="201">
        <v>550</v>
      </c>
      <c r="E25" s="201">
        <f t="shared" si="2"/>
        <v>605</v>
      </c>
      <c r="F25" s="241" t="s">
        <v>783</v>
      </c>
      <c r="G25" s="241" t="s">
        <v>783</v>
      </c>
      <c r="H25" s="148" t="s">
        <v>285</v>
      </c>
      <c r="I25" s="148"/>
      <c r="J25" s="145"/>
      <c r="K25" s="145"/>
      <c r="L25" s="145"/>
      <c r="M25" s="145"/>
      <c r="N25" s="145"/>
    </row>
    <row r="26" spans="1:14" s="133" customFormat="1" ht="30" customHeight="1">
      <c r="A26" s="61" t="s">
        <v>2575</v>
      </c>
      <c r="B26" s="492" t="s">
        <v>561</v>
      </c>
      <c r="C26" s="177" t="s">
        <v>630</v>
      </c>
      <c r="D26" s="201">
        <v>760</v>
      </c>
      <c r="E26" s="201">
        <f t="shared" si="2"/>
        <v>836.00000000000011</v>
      </c>
      <c r="F26" s="241" t="s">
        <v>783</v>
      </c>
      <c r="G26" s="241" t="s">
        <v>783</v>
      </c>
      <c r="H26" s="148" t="s">
        <v>285</v>
      </c>
      <c r="I26" s="148"/>
      <c r="J26" s="145"/>
      <c r="K26" s="145"/>
      <c r="L26" s="145"/>
      <c r="M26" s="145"/>
      <c r="N26" s="145"/>
    </row>
    <row r="27" spans="1:14" s="133" customFormat="1" ht="30" customHeight="1">
      <c r="A27" s="61" t="s">
        <v>2576</v>
      </c>
      <c r="B27" s="492" t="s">
        <v>562</v>
      </c>
      <c r="C27" s="177" t="s">
        <v>630</v>
      </c>
      <c r="D27" s="201">
        <v>870</v>
      </c>
      <c r="E27" s="201">
        <f t="shared" si="2"/>
        <v>957.00000000000011</v>
      </c>
      <c r="F27" s="241" t="s">
        <v>783</v>
      </c>
      <c r="G27" s="241" t="s">
        <v>783</v>
      </c>
      <c r="H27" s="148" t="s">
        <v>285</v>
      </c>
      <c r="I27" s="148"/>
      <c r="J27" s="145"/>
      <c r="K27" s="145"/>
      <c r="L27" s="145"/>
      <c r="M27" s="145"/>
      <c r="N27" s="145"/>
    </row>
    <row r="28" spans="1:14" s="133" customFormat="1" ht="30" customHeight="1">
      <c r="A28" s="61" t="s">
        <v>2565</v>
      </c>
      <c r="B28" s="492" t="s">
        <v>563</v>
      </c>
      <c r="C28" s="177" t="s">
        <v>630</v>
      </c>
      <c r="D28" s="201">
        <v>1020</v>
      </c>
      <c r="E28" s="201">
        <f t="shared" si="2"/>
        <v>1122</v>
      </c>
      <c r="F28" s="241" t="s">
        <v>783</v>
      </c>
      <c r="G28" s="241" t="s">
        <v>783</v>
      </c>
      <c r="H28" s="148" t="s">
        <v>285</v>
      </c>
      <c r="I28" s="148"/>
      <c r="J28" s="145"/>
      <c r="K28" s="145"/>
      <c r="L28" s="145"/>
      <c r="M28" s="145"/>
      <c r="N28" s="145"/>
    </row>
    <row r="29" spans="1:14" s="133" customFormat="1" ht="30" customHeight="1">
      <c r="A29" s="61" t="s">
        <v>2577</v>
      </c>
      <c r="B29" s="492" t="s">
        <v>564</v>
      </c>
      <c r="C29" s="177" t="s">
        <v>630</v>
      </c>
      <c r="D29" s="201">
        <v>1160</v>
      </c>
      <c r="E29" s="201">
        <f t="shared" si="2"/>
        <v>1276</v>
      </c>
      <c r="F29" s="241" t="s">
        <v>783</v>
      </c>
      <c r="G29" s="241" t="s">
        <v>783</v>
      </c>
      <c r="H29" s="148" t="s">
        <v>285</v>
      </c>
      <c r="I29" s="148"/>
      <c r="J29" s="145"/>
      <c r="K29" s="145"/>
      <c r="L29" s="145"/>
      <c r="M29" s="145"/>
      <c r="N29" s="145"/>
    </row>
    <row r="30" spans="1:14" s="133" customFormat="1" ht="30" customHeight="1">
      <c r="A30" s="61" t="s">
        <v>2578</v>
      </c>
      <c r="B30" s="492" t="s">
        <v>565</v>
      </c>
      <c r="C30" s="177" t="s">
        <v>630</v>
      </c>
      <c r="D30" s="201">
        <v>1330</v>
      </c>
      <c r="E30" s="201">
        <f t="shared" si="2"/>
        <v>1463.0000000000002</v>
      </c>
      <c r="F30" s="241" t="s">
        <v>783</v>
      </c>
      <c r="G30" s="241" t="s">
        <v>783</v>
      </c>
      <c r="H30" s="148" t="s">
        <v>285</v>
      </c>
      <c r="I30" s="148"/>
      <c r="J30" s="145"/>
      <c r="K30" s="145"/>
      <c r="L30" s="145"/>
      <c r="M30" s="145"/>
      <c r="N30" s="145"/>
    </row>
    <row r="31" spans="1:14" s="133" customFormat="1" ht="30" customHeight="1">
      <c r="A31" s="61" t="s">
        <v>2579</v>
      </c>
      <c r="B31" s="492" t="s">
        <v>566</v>
      </c>
      <c r="C31" s="177" t="s">
        <v>630</v>
      </c>
      <c r="D31" s="201">
        <v>1610</v>
      </c>
      <c r="E31" s="201">
        <f t="shared" si="2"/>
        <v>1771.0000000000002</v>
      </c>
      <c r="F31" s="241" t="s">
        <v>783</v>
      </c>
      <c r="G31" s="241" t="s">
        <v>783</v>
      </c>
      <c r="H31" s="148" t="s">
        <v>285</v>
      </c>
      <c r="I31" s="148"/>
      <c r="J31" s="145"/>
      <c r="K31" s="145"/>
      <c r="L31" s="145"/>
      <c r="M31" s="145"/>
      <c r="N31" s="145"/>
    </row>
    <row r="32" spans="1:14" s="133" customFormat="1" ht="30" customHeight="1">
      <c r="A32" s="61" t="s">
        <v>2580</v>
      </c>
      <c r="B32" s="492" t="s">
        <v>567</v>
      </c>
      <c r="C32" s="177" t="s">
        <v>630</v>
      </c>
      <c r="D32" s="201">
        <v>1890</v>
      </c>
      <c r="E32" s="201">
        <f t="shared" si="2"/>
        <v>2079</v>
      </c>
      <c r="F32" s="241" t="s">
        <v>783</v>
      </c>
      <c r="G32" s="241" t="s">
        <v>783</v>
      </c>
      <c r="H32" s="148" t="s">
        <v>285</v>
      </c>
      <c r="I32" s="148"/>
      <c r="J32" s="145"/>
      <c r="K32" s="145"/>
      <c r="L32" s="145"/>
      <c r="M32" s="145"/>
      <c r="N32" s="145"/>
    </row>
    <row r="33" spans="1:14" s="133" customFormat="1" ht="30" customHeight="1">
      <c r="A33" s="61" t="s">
        <v>2581</v>
      </c>
      <c r="B33" s="492" t="s">
        <v>568</v>
      </c>
      <c r="C33" s="177" t="s">
        <v>630</v>
      </c>
      <c r="D33" s="201">
        <v>2180</v>
      </c>
      <c r="E33" s="201">
        <f t="shared" si="2"/>
        <v>2398</v>
      </c>
      <c r="F33" s="241" t="s">
        <v>783</v>
      </c>
      <c r="G33" s="241" t="s">
        <v>783</v>
      </c>
      <c r="H33" s="148" t="s">
        <v>285</v>
      </c>
      <c r="I33" s="148"/>
      <c r="J33" s="145"/>
      <c r="K33" s="145"/>
      <c r="L33" s="145"/>
      <c r="M33" s="145"/>
      <c r="N33" s="145"/>
    </row>
    <row r="34" spans="1:14" s="138" customFormat="1" ht="30" customHeight="1">
      <c r="A34" s="73"/>
      <c r="B34" s="1447" t="s">
        <v>570</v>
      </c>
      <c r="C34" s="1448"/>
      <c r="D34" s="1448"/>
      <c r="E34" s="1448"/>
      <c r="F34" s="1448"/>
      <c r="G34" s="1448"/>
      <c r="H34" s="73"/>
      <c r="I34" s="73"/>
      <c r="J34" s="147"/>
      <c r="K34" s="147"/>
      <c r="L34" s="147"/>
      <c r="M34" s="147"/>
      <c r="N34" s="147"/>
    </row>
    <row r="35" spans="1:14" s="133" customFormat="1" ht="30" customHeight="1">
      <c r="A35" s="61" t="s">
        <v>2582</v>
      </c>
      <c r="B35" s="494" t="s">
        <v>571</v>
      </c>
      <c r="C35" s="177" t="s">
        <v>630</v>
      </c>
      <c r="D35" s="201">
        <v>735</v>
      </c>
      <c r="E35" s="201">
        <f t="shared" ref="E35:E55" si="3">SUM(D35*1.1)</f>
        <v>808.50000000000011</v>
      </c>
      <c r="F35" s="201" t="s">
        <v>539</v>
      </c>
      <c r="G35" s="201" t="s">
        <v>539</v>
      </c>
      <c r="H35" s="148" t="s">
        <v>285</v>
      </c>
      <c r="I35" s="148"/>
      <c r="J35" s="145"/>
      <c r="K35" s="145"/>
      <c r="L35" s="145"/>
      <c r="M35" s="145"/>
      <c r="N35" s="145"/>
    </row>
    <row r="36" spans="1:14" s="133" customFormat="1" ht="30" customHeight="1">
      <c r="A36" s="61" t="s">
        <v>2583</v>
      </c>
      <c r="B36" s="494" t="s">
        <v>572</v>
      </c>
      <c r="C36" s="177" t="s">
        <v>630</v>
      </c>
      <c r="D36" s="201">
        <v>780</v>
      </c>
      <c r="E36" s="201">
        <f t="shared" si="3"/>
        <v>858.00000000000011</v>
      </c>
      <c r="F36" s="201" t="s">
        <v>539</v>
      </c>
      <c r="G36" s="201" t="s">
        <v>539</v>
      </c>
      <c r="H36" s="148" t="s">
        <v>285</v>
      </c>
      <c r="I36" s="148"/>
      <c r="J36" s="145"/>
      <c r="K36" s="145"/>
      <c r="L36" s="145"/>
      <c r="M36" s="145"/>
      <c r="N36" s="145"/>
    </row>
    <row r="37" spans="1:14" s="133" customFormat="1" ht="30" customHeight="1">
      <c r="A37" s="61" t="s">
        <v>2584</v>
      </c>
      <c r="B37" s="494" t="s">
        <v>573</v>
      </c>
      <c r="C37" s="177" t="s">
        <v>630</v>
      </c>
      <c r="D37" s="201">
        <v>860</v>
      </c>
      <c r="E37" s="201">
        <f t="shared" si="3"/>
        <v>946.00000000000011</v>
      </c>
      <c r="F37" s="201" t="s">
        <v>539</v>
      </c>
      <c r="G37" s="201" t="s">
        <v>539</v>
      </c>
      <c r="H37" s="148" t="s">
        <v>285</v>
      </c>
      <c r="I37" s="148"/>
      <c r="J37" s="145"/>
      <c r="K37" s="145"/>
      <c r="L37" s="145"/>
      <c r="M37" s="145"/>
      <c r="N37" s="145"/>
    </row>
    <row r="38" spans="1:14" s="133" customFormat="1" ht="30" customHeight="1">
      <c r="A38" s="61" t="s">
        <v>2585</v>
      </c>
      <c r="B38" s="494" t="s">
        <v>574</v>
      </c>
      <c r="C38" s="177" t="s">
        <v>630</v>
      </c>
      <c r="D38" s="201">
        <v>945</v>
      </c>
      <c r="E38" s="201">
        <f t="shared" si="3"/>
        <v>1039.5</v>
      </c>
      <c r="F38" s="201" t="s">
        <v>539</v>
      </c>
      <c r="G38" s="201" t="s">
        <v>539</v>
      </c>
      <c r="H38" s="148" t="s">
        <v>285</v>
      </c>
      <c r="I38" s="148"/>
      <c r="J38" s="145"/>
      <c r="K38" s="145"/>
      <c r="L38" s="145"/>
      <c r="M38" s="145"/>
      <c r="N38" s="145"/>
    </row>
    <row r="39" spans="1:14" s="133" customFormat="1" ht="30" customHeight="1">
      <c r="A39" s="61" t="s">
        <v>2586</v>
      </c>
      <c r="B39" s="494" t="s">
        <v>575</v>
      </c>
      <c r="C39" s="177" t="s">
        <v>630</v>
      </c>
      <c r="D39" s="201">
        <v>1030</v>
      </c>
      <c r="E39" s="201">
        <f t="shared" si="3"/>
        <v>1133</v>
      </c>
      <c r="F39" s="201" t="s">
        <v>539</v>
      </c>
      <c r="G39" s="201" t="s">
        <v>539</v>
      </c>
      <c r="H39" s="148" t="s">
        <v>285</v>
      </c>
      <c r="I39" s="148"/>
      <c r="J39" s="145"/>
      <c r="K39" s="145"/>
      <c r="L39" s="145"/>
      <c r="M39" s="145"/>
      <c r="N39" s="145"/>
    </row>
    <row r="40" spans="1:14" s="133" customFormat="1" ht="30" customHeight="1">
      <c r="A40" s="61" t="s">
        <v>2587</v>
      </c>
      <c r="B40" s="494" t="s">
        <v>576</v>
      </c>
      <c r="C40" s="177" t="s">
        <v>630</v>
      </c>
      <c r="D40" s="201">
        <v>1240</v>
      </c>
      <c r="E40" s="201">
        <f t="shared" si="3"/>
        <v>1364</v>
      </c>
      <c r="F40" s="201" t="s">
        <v>539</v>
      </c>
      <c r="G40" s="201" t="s">
        <v>539</v>
      </c>
      <c r="H40" s="148" t="s">
        <v>285</v>
      </c>
      <c r="I40" s="148"/>
      <c r="J40" s="145"/>
      <c r="K40" s="145"/>
      <c r="L40" s="145"/>
      <c r="M40" s="145"/>
      <c r="N40" s="145"/>
    </row>
    <row r="41" spans="1:14" s="133" customFormat="1" ht="30" customHeight="1">
      <c r="A41" s="61" t="s">
        <v>2588</v>
      </c>
      <c r="B41" s="494" t="s">
        <v>577</v>
      </c>
      <c r="C41" s="177" t="s">
        <v>630</v>
      </c>
      <c r="D41" s="201">
        <v>1350</v>
      </c>
      <c r="E41" s="201">
        <f t="shared" si="3"/>
        <v>1485.0000000000002</v>
      </c>
      <c r="F41" s="201" t="s">
        <v>539</v>
      </c>
      <c r="G41" s="201" t="s">
        <v>539</v>
      </c>
      <c r="H41" s="148" t="s">
        <v>285</v>
      </c>
      <c r="I41" s="148"/>
      <c r="J41" s="145"/>
      <c r="K41" s="145"/>
      <c r="L41" s="145"/>
      <c r="M41" s="145"/>
      <c r="N41" s="145"/>
    </row>
    <row r="42" spans="1:14" s="133" customFormat="1" ht="30" customHeight="1">
      <c r="A42" s="61" t="s">
        <v>2589</v>
      </c>
      <c r="B42" s="494" t="s">
        <v>578</v>
      </c>
      <c r="C42" s="177" t="s">
        <v>630</v>
      </c>
      <c r="D42" s="201">
        <v>1500</v>
      </c>
      <c r="E42" s="201">
        <f t="shared" si="3"/>
        <v>1650.0000000000002</v>
      </c>
      <c r="F42" s="201" t="s">
        <v>539</v>
      </c>
      <c r="G42" s="201" t="s">
        <v>539</v>
      </c>
      <c r="H42" s="148" t="s">
        <v>285</v>
      </c>
      <c r="I42" s="148"/>
      <c r="J42" s="145"/>
      <c r="K42" s="145"/>
      <c r="L42" s="145"/>
      <c r="M42" s="145"/>
      <c r="N42" s="145"/>
    </row>
    <row r="43" spans="1:14" s="133" customFormat="1" ht="30" customHeight="1">
      <c r="A43" s="61" t="s">
        <v>2590</v>
      </c>
      <c r="B43" s="494" t="s">
        <v>579</v>
      </c>
      <c r="C43" s="177" t="s">
        <v>630</v>
      </c>
      <c r="D43" s="201">
        <v>975</v>
      </c>
      <c r="E43" s="201">
        <f t="shared" si="3"/>
        <v>1072.5</v>
      </c>
      <c r="F43" s="201" t="s">
        <v>539</v>
      </c>
      <c r="G43" s="201" t="s">
        <v>539</v>
      </c>
      <c r="H43" s="148" t="s">
        <v>285</v>
      </c>
      <c r="I43" s="148"/>
      <c r="J43" s="145"/>
      <c r="K43" s="145"/>
      <c r="L43" s="145"/>
      <c r="M43" s="145"/>
      <c r="N43" s="145"/>
    </row>
    <row r="44" spans="1:14" s="133" customFormat="1" ht="30" customHeight="1">
      <c r="A44" s="61" t="s">
        <v>2591</v>
      </c>
      <c r="B44" s="494" t="s">
        <v>580</v>
      </c>
      <c r="C44" s="177" t="s">
        <v>630</v>
      </c>
      <c r="D44" s="201">
        <v>1020</v>
      </c>
      <c r="E44" s="201">
        <f t="shared" si="3"/>
        <v>1122</v>
      </c>
      <c r="F44" s="201" t="s">
        <v>539</v>
      </c>
      <c r="G44" s="201" t="s">
        <v>539</v>
      </c>
      <c r="H44" s="148" t="s">
        <v>285</v>
      </c>
      <c r="I44" s="148"/>
      <c r="J44" s="145"/>
      <c r="K44" s="145"/>
      <c r="L44" s="145"/>
      <c r="M44" s="145"/>
      <c r="N44" s="145"/>
    </row>
    <row r="45" spans="1:14" s="133" customFormat="1" ht="30" customHeight="1">
      <c r="A45" s="61" t="s">
        <v>2592</v>
      </c>
      <c r="B45" s="494" t="s">
        <v>581</v>
      </c>
      <c r="C45" s="177" t="s">
        <v>630</v>
      </c>
      <c r="D45" s="201">
        <v>1100</v>
      </c>
      <c r="E45" s="201">
        <f t="shared" si="3"/>
        <v>1210</v>
      </c>
      <c r="F45" s="201" t="s">
        <v>539</v>
      </c>
      <c r="G45" s="201" t="s">
        <v>539</v>
      </c>
      <c r="H45" s="148" t="s">
        <v>285</v>
      </c>
      <c r="I45" s="148"/>
      <c r="J45" s="145"/>
      <c r="K45" s="145"/>
      <c r="L45" s="145"/>
      <c r="M45" s="145"/>
      <c r="N45" s="145"/>
    </row>
    <row r="46" spans="1:14" s="133" customFormat="1" ht="30" customHeight="1">
      <c r="A46" s="61" t="s">
        <v>2593</v>
      </c>
      <c r="B46" s="494" t="s">
        <v>582</v>
      </c>
      <c r="C46" s="177" t="s">
        <v>630</v>
      </c>
      <c r="D46" s="201">
        <v>1185</v>
      </c>
      <c r="E46" s="201">
        <f t="shared" si="3"/>
        <v>1303.5</v>
      </c>
      <c r="F46" s="201" t="s">
        <v>539</v>
      </c>
      <c r="G46" s="201" t="s">
        <v>539</v>
      </c>
      <c r="H46" s="148" t="s">
        <v>285</v>
      </c>
      <c r="I46" s="148"/>
      <c r="J46" s="145"/>
      <c r="K46" s="145"/>
      <c r="L46" s="145"/>
      <c r="M46" s="145"/>
      <c r="N46" s="145"/>
    </row>
    <row r="47" spans="1:14" s="133" customFormat="1" ht="30" customHeight="1">
      <c r="A47" s="61" t="s">
        <v>2594</v>
      </c>
      <c r="B47" s="494" t="s">
        <v>583</v>
      </c>
      <c r="C47" s="177" t="s">
        <v>630</v>
      </c>
      <c r="D47" s="201">
        <v>1270</v>
      </c>
      <c r="E47" s="201">
        <f t="shared" si="3"/>
        <v>1397</v>
      </c>
      <c r="F47" s="201" t="s">
        <v>539</v>
      </c>
      <c r="G47" s="201" t="s">
        <v>539</v>
      </c>
      <c r="H47" s="148" t="s">
        <v>285</v>
      </c>
      <c r="I47" s="148"/>
      <c r="J47" s="145"/>
      <c r="K47" s="145"/>
      <c r="L47" s="145"/>
      <c r="M47" s="145"/>
      <c r="N47" s="145"/>
    </row>
    <row r="48" spans="1:14" s="133" customFormat="1" ht="30" customHeight="1">
      <c r="A48" s="61" t="s">
        <v>2595</v>
      </c>
      <c r="B48" s="494" t="s">
        <v>584</v>
      </c>
      <c r="C48" s="177" t="s">
        <v>630</v>
      </c>
      <c r="D48" s="201">
        <v>1480</v>
      </c>
      <c r="E48" s="201">
        <f t="shared" si="3"/>
        <v>1628.0000000000002</v>
      </c>
      <c r="F48" s="201" t="s">
        <v>539</v>
      </c>
      <c r="G48" s="201" t="s">
        <v>539</v>
      </c>
      <c r="H48" s="148" t="s">
        <v>285</v>
      </c>
      <c r="I48" s="148"/>
      <c r="J48" s="145"/>
      <c r="K48" s="145"/>
      <c r="L48" s="145"/>
      <c r="M48" s="145"/>
      <c r="N48" s="145"/>
    </row>
    <row r="49" spans="1:14" s="133" customFormat="1" ht="30" customHeight="1">
      <c r="A49" s="61" t="s">
        <v>2596</v>
      </c>
      <c r="B49" s="494" t="s">
        <v>585</v>
      </c>
      <c r="C49" s="177" t="s">
        <v>630</v>
      </c>
      <c r="D49" s="201">
        <v>1590</v>
      </c>
      <c r="E49" s="201">
        <f t="shared" si="3"/>
        <v>1749.0000000000002</v>
      </c>
      <c r="F49" s="201" t="s">
        <v>539</v>
      </c>
      <c r="G49" s="201" t="s">
        <v>539</v>
      </c>
      <c r="H49" s="148" t="s">
        <v>285</v>
      </c>
      <c r="I49" s="148"/>
      <c r="J49" s="145"/>
      <c r="K49" s="145"/>
      <c r="L49" s="145"/>
      <c r="M49" s="145"/>
      <c r="N49" s="145"/>
    </row>
    <row r="50" spans="1:14" s="133" customFormat="1" ht="30" customHeight="1">
      <c r="A50" s="61" t="s">
        <v>2597</v>
      </c>
      <c r="B50" s="494" t="s">
        <v>586</v>
      </c>
      <c r="C50" s="177" t="s">
        <v>630</v>
      </c>
      <c r="D50" s="201">
        <v>1740</v>
      </c>
      <c r="E50" s="201">
        <f t="shared" si="3"/>
        <v>1914.0000000000002</v>
      </c>
      <c r="F50" s="201" t="s">
        <v>539</v>
      </c>
      <c r="G50" s="201" t="s">
        <v>539</v>
      </c>
      <c r="H50" s="148" t="s">
        <v>285</v>
      </c>
      <c r="I50" s="148"/>
      <c r="J50" s="145"/>
      <c r="K50" s="145"/>
      <c r="L50" s="145"/>
      <c r="M50" s="145"/>
      <c r="N50" s="145"/>
    </row>
    <row r="51" spans="1:14" s="133" customFormat="1" ht="30" customHeight="1">
      <c r="A51" s="61" t="s">
        <v>2598</v>
      </c>
      <c r="B51" s="494" t="s">
        <v>587</v>
      </c>
      <c r="C51" s="177" t="s">
        <v>630</v>
      </c>
      <c r="D51" s="201">
        <v>1880</v>
      </c>
      <c r="E51" s="201">
        <f t="shared" si="3"/>
        <v>2068</v>
      </c>
      <c r="F51" s="201" t="s">
        <v>539</v>
      </c>
      <c r="G51" s="201" t="s">
        <v>539</v>
      </c>
      <c r="H51" s="148" t="s">
        <v>285</v>
      </c>
      <c r="I51" s="148"/>
      <c r="J51" s="145"/>
      <c r="K51" s="145"/>
      <c r="L51" s="145"/>
      <c r="M51" s="145"/>
      <c r="N51" s="145"/>
    </row>
    <row r="52" spans="1:14" s="133" customFormat="1" ht="30" customHeight="1">
      <c r="A52" s="61" t="s">
        <v>2599</v>
      </c>
      <c r="B52" s="494" t="s">
        <v>588</v>
      </c>
      <c r="C52" s="177" t="s">
        <v>630</v>
      </c>
      <c r="D52" s="201">
        <v>2050</v>
      </c>
      <c r="E52" s="201">
        <f t="shared" si="3"/>
        <v>2255</v>
      </c>
      <c r="F52" s="201" t="s">
        <v>539</v>
      </c>
      <c r="G52" s="201" t="s">
        <v>539</v>
      </c>
      <c r="H52" s="148" t="s">
        <v>285</v>
      </c>
      <c r="I52" s="148"/>
      <c r="J52" s="145"/>
      <c r="K52" s="145"/>
      <c r="L52" s="145"/>
      <c r="M52" s="145"/>
      <c r="N52" s="145"/>
    </row>
    <row r="53" spans="1:14" s="133" customFormat="1" ht="30" customHeight="1">
      <c r="A53" s="61" t="s">
        <v>2600</v>
      </c>
      <c r="B53" s="494" t="s">
        <v>589</v>
      </c>
      <c r="C53" s="177" t="s">
        <v>630</v>
      </c>
      <c r="D53" s="201">
        <v>2330</v>
      </c>
      <c r="E53" s="201">
        <f t="shared" si="3"/>
        <v>2563</v>
      </c>
      <c r="F53" s="201" t="s">
        <v>539</v>
      </c>
      <c r="G53" s="201" t="s">
        <v>539</v>
      </c>
      <c r="H53" s="148" t="s">
        <v>285</v>
      </c>
      <c r="I53" s="148"/>
      <c r="J53" s="145"/>
      <c r="K53" s="145"/>
      <c r="L53" s="145"/>
      <c r="M53" s="145"/>
      <c r="N53" s="145"/>
    </row>
    <row r="54" spans="1:14" s="133" customFormat="1" ht="30" customHeight="1">
      <c r="A54" s="61" t="s">
        <v>2601</v>
      </c>
      <c r="B54" s="494" t="s">
        <v>590</v>
      </c>
      <c r="C54" s="177" t="s">
        <v>630</v>
      </c>
      <c r="D54" s="201">
        <v>2610</v>
      </c>
      <c r="E54" s="201">
        <f t="shared" si="3"/>
        <v>2871.0000000000005</v>
      </c>
      <c r="F54" s="201" t="s">
        <v>539</v>
      </c>
      <c r="G54" s="201" t="s">
        <v>539</v>
      </c>
      <c r="H54" s="148" t="s">
        <v>285</v>
      </c>
      <c r="I54" s="148"/>
      <c r="J54" s="145"/>
      <c r="K54" s="145"/>
      <c r="L54" s="145"/>
      <c r="M54" s="145"/>
      <c r="N54" s="145"/>
    </row>
    <row r="55" spans="1:14" s="133" customFormat="1" ht="30" customHeight="1">
      <c r="A55" s="61" t="s">
        <v>2602</v>
      </c>
      <c r="B55" s="494" t="s">
        <v>591</v>
      </c>
      <c r="C55" s="177" t="s">
        <v>630</v>
      </c>
      <c r="D55" s="201">
        <v>2900</v>
      </c>
      <c r="E55" s="201">
        <f t="shared" si="3"/>
        <v>3190.0000000000005</v>
      </c>
      <c r="F55" s="201" t="s">
        <v>539</v>
      </c>
      <c r="G55" s="201" t="s">
        <v>539</v>
      </c>
      <c r="H55" s="148" t="s">
        <v>285</v>
      </c>
      <c r="I55" s="148"/>
      <c r="J55" s="145"/>
      <c r="K55" s="145"/>
      <c r="L55" s="145"/>
      <c r="M55" s="145"/>
      <c r="N55" s="145"/>
    </row>
    <row r="56" spans="1:14" s="138" customFormat="1" ht="30" customHeight="1">
      <c r="A56" s="73"/>
      <c r="B56" s="1449" t="s">
        <v>595</v>
      </c>
      <c r="C56" s="1448"/>
      <c r="D56" s="1448"/>
      <c r="E56" s="1448"/>
      <c r="F56" s="1448"/>
      <c r="G56" s="1448"/>
      <c r="H56" s="73"/>
      <c r="I56" s="73"/>
      <c r="J56" s="147"/>
      <c r="K56" s="147"/>
      <c r="L56" s="147"/>
      <c r="M56" s="147"/>
      <c r="N56" s="147"/>
    </row>
    <row r="57" spans="1:14" s="133" customFormat="1" ht="30" customHeight="1">
      <c r="A57" s="61" t="s">
        <v>2603</v>
      </c>
      <c r="B57" s="492" t="s">
        <v>592</v>
      </c>
      <c r="C57" s="177" t="s">
        <v>630</v>
      </c>
      <c r="D57" s="241" t="s">
        <v>783</v>
      </c>
      <c r="E57" s="241" t="s">
        <v>783</v>
      </c>
      <c r="F57" s="201" t="s">
        <v>539</v>
      </c>
      <c r="G57" s="201" t="s">
        <v>539</v>
      </c>
      <c r="H57" s="148" t="s">
        <v>285</v>
      </c>
      <c r="I57" s="148"/>
      <c r="J57" s="145"/>
      <c r="K57" s="145"/>
      <c r="L57" s="145"/>
      <c r="M57" s="145"/>
      <c r="N57" s="145"/>
    </row>
    <row r="58" spans="1:14" s="133" customFormat="1" ht="30" customHeight="1">
      <c r="A58" s="61" t="s">
        <v>2604</v>
      </c>
      <c r="B58" s="492" t="s">
        <v>593</v>
      </c>
      <c r="C58" s="177" t="s">
        <v>630</v>
      </c>
      <c r="D58" s="241" t="s">
        <v>783</v>
      </c>
      <c r="E58" s="241" t="s">
        <v>783</v>
      </c>
      <c r="F58" s="201" t="s">
        <v>539</v>
      </c>
      <c r="G58" s="201" t="s">
        <v>539</v>
      </c>
      <c r="H58" s="148" t="s">
        <v>285</v>
      </c>
      <c r="I58" s="148"/>
      <c r="J58" s="145"/>
      <c r="K58" s="145"/>
      <c r="L58" s="145"/>
      <c r="M58" s="145"/>
      <c r="N58" s="145"/>
    </row>
    <row r="59" spans="1:14" s="133" customFormat="1" ht="30" customHeight="1">
      <c r="A59" s="61" t="s">
        <v>2605</v>
      </c>
      <c r="B59" s="492" t="s">
        <v>594</v>
      </c>
      <c r="C59" s="177" t="s">
        <v>630</v>
      </c>
      <c r="D59" s="241" t="s">
        <v>783</v>
      </c>
      <c r="E59" s="241" t="s">
        <v>783</v>
      </c>
      <c r="F59" s="201" t="s">
        <v>539</v>
      </c>
      <c r="G59" s="201" t="s">
        <v>539</v>
      </c>
      <c r="H59" s="148" t="s">
        <v>285</v>
      </c>
      <c r="I59" s="148"/>
      <c r="J59" s="145"/>
      <c r="K59" s="145"/>
      <c r="L59" s="145"/>
      <c r="M59" s="145"/>
      <c r="N59" s="145"/>
    </row>
    <row r="60" spans="1:14" s="138" customFormat="1" ht="30" customHeight="1">
      <c r="A60" s="73"/>
      <c r="B60" s="1447" t="s">
        <v>598</v>
      </c>
      <c r="C60" s="1448"/>
      <c r="D60" s="1448"/>
      <c r="E60" s="1448"/>
      <c r="F60" s="1448"/>
      <c r="G60" s="1448"/>
      <c r="H60" s="73"/>
      <c r="I60" s="73"/>
      <c r="J60" s="147"/>
      <c r="K60" s="147"/>
      <c r="L60" s="147"/>
      <c r="M60" s="147"/>
      <c r="N60" s="147"/>
    </row>
    <row r="61" spans="1:14" s="133" customFormat="1" ht="30" customHeight="1">
      <c r="A61" s="61" t="s">
        <v>2606</v>
      </c>
      <c r="B61" s="492" t="s">
        <v>596</v>
      </c>
      <c r="C61" s="177" t="s">
        <v>630</v>
      </c>
      <c r="D61" s="201">
        <v>4.25</v>
      </c>
      <c r="E61" s="201">
        <f t="shared" ref="E61" si="4">SUM(D61*1.1)</f>
        <v>4.6750000000000007</v>
      </c>
      <c r="F61" s="201">
        <f>SUM(G61*1.1)</f>
        <v>64.900000000000006</v>
      </c>
      <c r="G61" s="201">
        <v>59</v>
      </c>
      <c r="H61" s="148" t="s">
        <v>285</v>
      </c>
      <c r="I61" s="148"/>
      <c r="J61" s="145"/>
      <c r="K61" s="145"/>
      <c r="L61" s="145"/>
      <c r="M61" s="145"/>
      <c r="N61" s="145"/>
    </row>
    <row r="62" spans="1:14" s="133" customFormat="1" ht="30" customHeight="1">
      <c r="A62" s="61" t="s">
        <v>2607</v>
      </c>
      <c r="B62" s="492" t="s">
        <v>597</v>
      </c>
      <c r="C62" s="177" t="s">
        <v>630</v>
      </c>
      <c r="D62" s="241" t="s">
        <v>783</v>
      </c>
      <c r="E62" s="241" t="s">
        <v>783</v>
      </c>
      <c r="F62" s="201">
        <f>SUM(G62*1.1)</f>
        <v>56.1</v>
      </c>
      <c r="G62" s="201">
        <v>51</v>
      </c>
      <c r="H62" s="148" t="s">
        <v>285</v>
      </c>
      <c r="I62" s="148"/>
      <c r="J62" s="145"/>
      <c r="K62" s="145"/>
      <c r="L62" s="145"/>
      <c r="M62" s="145"/>
      <c r="N62" s="145"/>
    </row>
    <row r="63" spans="1:14" s="133" customFormat="1" ht="30" customHeight="1">
      <c r="A63" s="154"/>
      <c r="B63" s="374"/>
      <c r="C63" s="154"/>
      <c r="D63" s="154"/>
      <c r="E63" s="154"/>
      <c r="F63" s="154"/>
      <c r="G63" s="154"/>
      <c r="H63" s="154"/>
      <c r="I63" s="154"/>
      <c r="J63" s="145"/>
      <c r="K63" s="145"/>
      <c r="L63" s="145"/>
      <c r="M63" s="145"/>
      <c r="N63" s="145"/>
    </row>
    <row r="64" spans="1:14" s="192" customFormat="1" ht="69.75" customHeight="1">
      <c r="A64" s="73"/>
      <c r="B64" s="1458" t="s">
        <v>548</v>
      </c>
      <c r="C64" s="1308"/>
      <c r="D64" s="1308"/>
      <c r="E64" s="1308"/>
      <c r="F64" s="1308"/>
      <c r="G64" s="1308"/>
      <c r="H64" s="73"/>
      <c r="I64" s="73"/>
      <c r="J64" s="191"/>
      <c r="K64" s="191"/>
      <c r="L64" s="191"/>
      <c r="M64" s="191"/>
      <c r="N64" s="191"/>
    </row>
    <row r="65" spans="1:14" s="196" customFormat="1" ht="30" customHeight="1">
      <c r="A65" s="495"/>
      <c r="B65" s="1454" t="s">
        <v>553</v>
      </c>
      <c r="C65" s="1452"/>
      <c r="D65" s="1452"/>
      <c r="E65" s="1452"/>
      <c r="F65" s="1452"/>
      <c r="G65" s="1452"/>
      <c r="H65" s="152"/>
      <c r="I65" s="152"/>
      <c r="J65" s="93"/>
      <c r="K65" s="93"/>
      <c r="L65" s="93"/>
      <c r="M65" s="93"/>
      <c r="N65" s="93"/>
    </row>
    <row r="66" spans="1:14" s="133" customFormat="1" ht="30" customHeight="1">
      <c r="A66" s="61" t="s">
        <v>2608</v>
      </c>
      <c r="B66" s="492" t="s">
        <v>549</v>
      </c>
      <c r="C66" s="177" t="s">
        <v>630</v>
      </c>
      <c r="D66" s="201">
        <v>480</v>
      </c>
      <c r="E66" s="201">
        <f t="shared" ref="E66:E69" si="5">SUM(D66*1.1)</f>
        <v>528</v>
      </c>
      <c r="F66" s="201" t="s">
        <v>539</v>
      </c>
      <c r="G66" s="201" t="s">
        <v>539</v>
      </c>
      <c r="H66" s="148" t="s">
        <v>285</v>
      </c>
      <c r="I66" s="148"/>
      <c r="J66" s="145"/>
      <c r="K66" s="145"/>
      <c r="L66" s="145"/>
      <c r="M66" s="145"/>
      <c r="N66" s="145"/>
    </row>
    <row r="67" spans="1:14" s="133" customFormat="1" ht="30" customHeight="1">
      <c r="A67" s="61" t="s">
        <v>2609</v>
      </c>
      <c r="B67" s="492" t="s">
        <v>550</v>
      </c>
      <c r="C67" s="177" t="s">
        <v>630</v>
      </c>
      <c r="D67" s="201">
        <v>720</v>
      </c>
      <c r="E67" s="201">
        <f t="shared" si="5"/>
        <v>792.00000000000011</v>
      </c>
      <c r="F67" s="201" t="s">
        <v>539</v>
      </c>
      <c r="G67" s="201" t="s">
        <v>539</v>
      </c>
      <c r="H67" s="148" t="s">
        <v>285</v>
      </c>
      <c r="I67" s="148"/>
      <c r="J67" s="145"/>
      <c r="K67" s="145"/>
      <c r="L67" s="145"/>
      <c r="M67" s="145"/>
      <c r="N67" s="145"/>
    </row>
    <row r="68" spans="1:14" s="133" customFormat="1" ht="30" customHeight="1">
      <c r="A68" s="61" t="s">
        <v>2610</v>
      </c>
      <c r="B68" s="492" t="s">
        <v>551</v>
      </c>
      <c r="C68" s="177" t="s">
        <v>630</v>
      </c>
      <c r="D68" s="201">
        <v>480</v>
      </c>
      <c r="E68" s="201">
        <f t="shared" si="5"/>
        <v>528</v>
      </c>
      <c r="F68" s="201" t="s">
        <v>539</v>
      </c>
      <c r="G68" s="201" t="s">
        <v>539</v>
      </c>
      <c r="H68" s="148" t="s">
        <v>285</v>
      </c>
      <c r="I68" s="148"/>
      <c r="J68" s="145"/>
      <c r="K68" s="145"/>
      <c r="L68" s="145"/>
      <c r="M68" s="145"/>
      <c r="N68" s="145"/>
    </row>
    <row r="69" spans="1:14" s="133" customFormat="1" ht="30" customHeight="1">
      <c r="A69" s="61" t="s">
        <v>2568</v>
      </c>
      <c r="B69" s="492" t="s">
        <v>552</v>
      </c>
      <c r="C69" s="177" t="s">
        <v>630</v>
      </c>
      <c r="D69" s="201">
        <v>720</v>
      </c>
      <c r="E69" s="201">
        <f t="shared" si="5"/>
        <v>792.00000000000011</v>
      </c>
      <c r="F69" s="201" t="s">
        <v>539</v>
      </c>
      <c r="G69" s="201" t="s">
        <v>539</v>
      </c>
      <c r="H69" s="148" t="s">
        <v>285</v>
      </c>
      <c r="I69" s="148"/>
      <c r="J69" s="145"/>
      <c r="K69" s="145"/>
      <c r="L69" s="145"/>
      <c r="M69" s="145"/>
      <c r="N69" s="145"/>
    </row>
    <row r="70" spans="1:14" s="133" customFormat="1" ht="30" customHeight="1">
      <c r="A70" s="154"/>
      <c r="B70" s="1451" t="s">
        <v>554</v>
      </c>
      <c r="C70" s="1452"/>
      <c r="D70" s="1452"/>
      <c r="E70" s="1452"/>
      <c r="F70" s="1452"/>
      <c r="G70" s="1452"/>
      <c r="H70" s="154"/>
      <c r="I70" s="154"/>
      <c r="J70" s="145"/>
      <c r="K70" s="145"/>
      <c r="L70" s="145"/>
      <c r="M70" s="145"/>
      <c r="N70" s="145"/>
    </row>
    <row r="71" spans="1:14" s="133" customFormat="1" ht="30" customHeight="1">
      <c r="A71" s="61" t="s">
        <v>2611</v>
      </c>
      <c r="B71" s="763" t="s">
        <v>554</v>
      </c>
      <c r="C71" s="177" t="s">
        <v>630</v>
      </c>
      <c r="D71" s="201">
        <v>255</v>
      </c>
      <c r="E71" s="201">
        <f t="shared" ref="E71" si="6">SUM(D71*1.1)</f>
        <v>280.5</v>
      </c>
      <c r="F71" s="201">
        <f>SUM(G71*1.1)</f>
        <v>231.00000000000003</v>
      </c>
      <c r="G71" s="201">
        <v>210</v>
      </c>
      <c r="H71" s="165" t="s">
        <v>555</v>
      </c>
      <c r="I71" s="165"/>
      <c r="J71" s="145"/>
      <c r="K71" s="145"/>
      <c r="L71" s="145"/>
      <c r="M71" s="145"/>
      <c r="N71" s="145"/>
    </row>
    <row r="72" spans="1:14" s="133" customFormat="1" ht="30" customHeight="1">
      <c r="A72" s="154"/>
      <c r="B72" s="1451" t="s">
        <v>569</v>
      </c>
      <c r="C72" s="1452"/>
      <c r="D72" s="1452"/>
      <c r="E72" s="1452"/>
      <c r="F72" s="1452"/>
      <c r="G72" s="1452"/>
      <c r="H72" s="154"/>
      <c r="I72" s="154"/>
      <c r="J72" s="145"/>
      <c r="K72" s="145"/>
      <c r="L72" s="145"/>
      <c r="M72" s="145"/>
      <c r="N72" s="145"/>
    </row>
    <row r="73" spans="1:14" s="133" customFormat="1" ht="30" customHeight="1">
      <c r="A73" s="61" t="s">
        <v>2612</v>
      </c>
      <c r="B73" s="492" t="s">
        <v>556</v>
      </c>
      <c r="C73" s="177" t="s">
        <v>630</v>
      </c>
      <c r="D73" s="201">
        <v>425</v>
      </c>
      <c r="E73" s="201">
        <f t="shared" ref="E73:E85" si="7">SUM(D73*1.1)</f>
        <v>467.50000000000006</v>
      </c>
      <c r="F73" s="241" t="s">
        <v>783</v>
      </c>
      <c r="G73" s="241" t="s">
        <v>783</v>
      </c>
      <c r="H73" s="148" t="s">
        <v>285</v>
      </c>
      <c r="I73" s="148"/>
      <c r="J73" s="145"/>
      <c r="K73" s="145"/>
      <c r="L73" s="145"/>
      <c r="M73" s="145"/>
      <c r="N73" s="145"/>
    </row>
    <row r="74" spans="1:14" s="133" customFormat="1" ht="30" customHeight="1">
      <c r="A74" s="61" t="s">
        <v>2613</v>
      </c>
      <c r="B74" s="492" t="s">
        <v>557</v>
      </c>
      <c r="C74" s="177" t="s">
        <v>630</v>
      </c>
      <c r="D74" s="201">
        <v>465</v>
      </c>
      <c r="E74" s="201">
        <f t="shared" si="7"/>
        <v>511.50000000000006</v>
      </c>
      <c r="F74" s="241" t="s">
        <v>783</v>
      </c>
      <c r="G74" s="241" t="s">
        <v>783</v>
      </c>
      <c r="H74" s="148" t="s">
        <v>285</v>
      </c>
      <c r="I74" s="148"/>
      <c r="J74" s="145"/>
      <c r="K74" s="145"/>
      <c r="L74" s="145"/>
      <c r="M74" s="145"/>
      <c r="N74" s="145"/>
    </row>
    <row r="75" spans="1:14" s="133" customFormat="1" ht="30" customHeight="1">
      <c r="A75" s="61" t="s">
        <v>2614</v>
      </c>
      <c r="B75" s="492" t="s">
        <v>558</v>
      </c>
      <c r="C75" s="177" t="s">
        <v>630</v>
      </c>
      <c r="D75" s="201">
        <v>550</v>
      </c>
      <c r="E75" s="201">
        <f t="shared" si="7"/>
        <v>605</v>
      </c>
      <c r="F75" s="241" t="s">
        <v>783</v>
      </c>
      <c r="G75" s="241" t="s">
        <v>783</v>
      </c>
      <c r="H75" s="148" t="s">
        <v>285</v>
      </c>
      <c r="I75" s="148"/>
      <c r="J75" s="145"/>
      <c r="K75" s="145"/>
      <c r="L75" s="145"/>
      <c r="M75" s="145"/>
      <c r="N75" s="145"/>
    </row>
    <row r="76" spans="1:14" s="133" customFormat="1" ht="30" customHeight="1">
      <c r="A76" s="61" t="s">
        <v>2615</v>
      </c>
      <c r="B76" s="492" t="s">
        <v>559</v>
      </c>
      <c r="C76" s="177" t="s">
        <v>630</v>
      </c>
      <c r="D76" s="201">
        <v>635</v>
      </c>
      <c r="E76" s="201">
        <f t="shared" si="7"/>
        <v>698.5</v>
      </c>
      <c r="F76" s="241" t="s">
        <v>783</v>
      </c>
      <c r="G76" s="241" t="s">
        <v>783</v>
      </c>
      <c r="H76" s="148" t="s">
        <v>285</v>
      </c>
      <c r="I76" s="148"/>
      <c r="J76" s="145"/>
      <c r="K76" s="145"/>
      <c r="L76" s="145"/>
      <c r="M76" s="145"/>
      <c r="N76" s="145"/>
    </row>
    <row r="77" spans="1:14" s="133" customFormat="1" ht="30" customHeight="1">
      <c r="A77" s="61" t="s">
        <v>2616</v>
      </c>
      <c r="B77" s="492" t="s">
        <v>560</v>
      </c>
      <c r="C77" s="177" t="s">
        <v>630</v>
      </c>
      <c r="D77" s="201">
        <v>720</v>
      </c>
      <c r="E77" s="201">
        <f t="shared" si="7"/>
        <v>792.00000000000011</v>
      </c>
      <c r="F77" s="241" t="s">
        <v>783</v>
      </c>
      <c r="G77" s="241" t="s">
        <v>783</v>
      </c>
      <c r="H77" s="148" t="s">
        <v>285</v>
      </c>
      <c r="I77" s="148"/>
      <c r="J77" s="145"/>
      <c r="K77" s="145"/>
      <c r="L77" s="145"/>
      <c r="M77" s="145"/>
      <c r="N77" s="145"/>
    </row>
    <row r="78" spans="1:14" s="133" customFormat="1" ht="30" customHeight="1">
      <c r="A78" s="61" t="s">
        <v>2617</v>
      </c>
      <c r="B78" s="492" t="s">
        <v>561</v>
      </c>
      <c r="C78" s="177" t="s">
        <v>630</v>
      </c>
      <c r="D78" s="201">
        <v>930</v>
      </c>
      <c r="E78" s="201">
        <f t="shared" si="7"/>
        <v>1023.0000000000001</v>
      </c>
      <c r="F78" s="241" t="s">
        <v>783</v>
      </c>
      <c r="G78" s="241" t="s">
        <v>783</v>
      </c>
      <c r="H78" s="148" t="s">
        <v>285</v>
      </c>
      <c r="I78" s="148"/>
      <c r="J78" s="145"/>
      <c r="K78" s="145"/>
      <c r="L78" s="145"/>
      <c r="M78" s="145"/>
      <c r="N78" s="145"/>
    </row>
    <row r="79" spans="1:14" s="133" customFormat="1" ht="30" customHeight="1">
      <c r="A79" s="61" t="s">
        <v>2618</v>
      </c>
      <c r="B79" s="492" t="s">
        <v>562</v>
      </c>
      <c r="C79" s="177" t="s">
        <v>630</v>
      </c>
      <c r="D79" s="201">
        <v>1040</v>
      </c>
      <c r="E79" s="201">
        <f t="shared" si="7"/>
        <v>1144</v>
      </c>
      <c r="F79" s="241" t="s">
        <v>783</v>
      </c>
      <c r="G79" s="241" t="s">
        <v>783</v>
      </c>
      <c r="H79" s="148" t="s">
        <v>285</v>
      </c>
      <c r="I79" s="148"/>
      <c r="J79" s="145"/>
      <c r="K79" s="145"/>
      <c r="L79" s="145"/>
      <c r="M79" s="145"/>
      <c r="N79" s="145"/>
    </row>
    <row r="80" spans="1:14" s="133" customFormat="1" ht="30" customHeight="1">
      <c r="A80" s="61" t="s">
        <v>2608</v>
      </c>
      <c r="B80" s="492" t="s">
        <v>563</v>
      </c>
      <c r="C80" s="177" t="s">
        <v>630</v>
      </c>
      <c r="D80" s="201">
        <v>1190</v>
      </c>
      <c r="E80" s="201">
        <f t="shared" si="7"/>
        <v>1309</v>
      </c>
      <c r="F80" s="241" t="s">
        <v>783</v>
      </c>
      <c r="G80" s="241" t="s">
        <v>783</v>
      </c>
      <c r="H80" s="148" t="s">
        <v>285</v>
      </c>
      <c r="I80" s="148"/>
      <c r="J80" s="145"/>
      <c r="K80" s="145"/>
      <c r="L80" s="145"/>
      <c r="M80" s="145"/>
      <c r="N80" s="145"/>
    </row>
    <row r="81" spans="1:14" s="133" customFormat="1" ht="30" customHeight="1">
      <c r="A81" s="61" t="s">
        <v>2619</v>
      </c>
      <c r="B81" s="492" t="s">
        <v>564</v>
      </c>
      <c r="C81" s="177" t="s">
        <v>630</v>
      </c>
      <c r="D81" s="201">
        <v>1500</v>
      </c>
      <c r="E81" s="201">
        <f t="shared" si="7"/>
        <v>1650.0000000000002</v>
      </c>
      <c r="F81" s="241" t="s">
        <v>783</v>
      </c>
      <c r="G81" s="241" t="s">
        <v>783</v>
      </c>
      <c r="H81" s="148" t="s">
        <v>285</v>
      </c>
      <c r="I81" s="148"/>
      <c r="J81" s="145"/>
      <c r="K81" s="145"/>
      <c r="L81" s="145"/>
      <c r="M81" s="145"/>
      <c r="N81" s="145"/>
    </row>
    <row r="82" spans="1:14" s="133" customFormat="1" ht="30" customHeight="1">
      <c r="A82" s="61" t="s">
        <v>2620</v>
      </c>
      <c r="B82" s="492" t="s">
        <v>565</v>
      </c>
      <c r="C82" s="177" t="s">
        <v>630</v>
      </c>
      <c r="D82" s="201">
        <v>1670</v>
      </c>
      <c r="E82" s="201">
        <f t="shared" si="7"/>
        <v>1837.0000000000002</v>
      </c>
      <c r="F82" s="241" t="s">
        <v>783</v>
      </c>
      <c r="G82" s="241" t="s">
        <v>783</v>
      </c>
      <c r="H82" s="148" t="s">
        <v>285</v>
      </c>
      <c r="I82" s="148"/>
      <c r="J82" s="145"/>
      <c r="K82" s="145"/>
      <c r="L82" s="145"/>
      <c r="M82" s="145"/>
      <c r="N82" s="145"/>
    </row>
    <row r="83" spans="1:14" s="133" customFormat="1" ht="30" customHeight="1">
      <c r="A83" s="61" t="s">
        <v>2621</v>
      </c>
      <c r="B83" s="492" t="s">
        <v>566</v>
      </c>
      <c r="C83" s="177" t="s">
        <v>630</v>
      </c>
      <c r="D83" s="201">
        <v>1950</v>
      </c>
      <c r="E83" s="201">
        <f t="shared" si="7"/>
        <v>2145</v>
      </c>
      <c r="F83" s="241" t="s">
        <v>783</v>
      </c>
      <c r="G83" s="241" t="s">
        <v>783</v>
      </c>
      <c r="H83" s="148" t="s">
        <v>285</v>
      </c>
      <c r="I83" s="148"/>
      <c r="J83" s="145"/>
      <c r="K83" s="145"/>
      <c r="L83" s="145"/>
      <c r="M83" s="145"/>
      <c r="N83" s="145"/>
    </row>
    <row r="84" spans="1:14" s="133" customFormat="1" ht="30" customHeight="1">
      <c r="A84" s="61" t="s">
        <v>2622</v>
      </c>
      <c r="B84" s="492" t="s">
        <v>567</v>
      </c>
      <c r="C84" s="177" t="s">
        <v>630</v>
      </c>
      <c r="D84" s="201">
        <v>2230</v>
      </c>
      <c r="E84" s="201">
        <f t="shared" si="7"/>
        <v>2453</v>
      </c>
      <c r="F84" s="241" t="s">
        <v>783</v>
      </c>
      <c r="G84" s="241" t="s">
        <v>783</v>
      </c>
      <c r="H84" s="148" t="s">
        <v>285</v>
      </c>
      <c r="I84" s="148"/>
      <c r="J84" s="145"/>
      <c r="K84" s="145"/>
      <c r="L84" s="145"/>
      <c r="M84" s="145"/>
      <c r="N84" s="145"/>
    </row>
    <row r="85" spans="1:14" s="133" customFormat="1" ht="30" customHeight="1">
      <c r="A85" s="61" t="s">
        <v>2623</v>
      </c>
      <c r="B85" s="492" t="s">
        <v>568</v>
      </c>
      <c r="C85" s="177" t="s">
        <v>630</v>
      </c>
      <c r="D85" s="201">
        <v>2520</v>
      </c>
      <c r="E85" s="201">
        <f t="shared" si="7"/>
        <v>2772</v>
      </c>
      <c r="F85" s="241" t="s">
        <v>783</v>
      </c>
      <c r="G85" s="241" t="s">
        <v>783</v>
      </c>
      <c r="H85" s="148" t="s">
        <v>285</v>
      </c>
      <c r="I85" s="148"/>
      <c r="J85" s="145"/>
      <c r="K85" s="145"/>
      <c r="L85" s="145"/>
      <c r="M85" s="145"/>
      <c r="N85" s="145"/>
    </row>
    <row r="86" spans="1:14" s="133" customFormat="1" ht="30" customHeight="1">
      <c r="A86" s="154"/>
      <c r="B86" s="1451" t="s">
        <v>570</v>
      </c>
      <c r="C86" s="1452"/>
      <c r="D86" s="1452"/>
      <c r="E86" s="1452"/>
      <c r="F86" s="1452"/>
      <c r="G86" s="1452"/>
      <c r="H86" s="154"/>
      <c r="I86" s="154"/>
      <c r="J86" s="145"/>
      <c r="K86" s="145"/>
      <c r="L86" s="145"/>
      <c r="M86" s="145"/>
      <c r="N86" s="145"/>
    </row>
    <row r="87" spans="1:14" s="133" customFormat="1" ht="30" customHeight="1">
      <c r="A87" s="61" t="s">
        <v>2624</v>
      </c>
      <c r="B87" s="494" t="s">
        <v>571</v>
      </c>
      <c r="C87" s="177" t="s">
        <v>630</v>
      </c>
      <c r="D87" s="201">
        <v>905</v>
      </c>
      <c r="E87" s="201">
        <f t="shared" ref="E87:E107" si="8">SUM(D87*1.1)</f>
        <v>995.50000000000011</v>
      </c>
      <c r="F87" s="201" t="s">
        <v>539</v>
      </c>
      <c r="G87" s="201" t="s">
        <v>539</v>
      </c>
      <c r="H87" s="148" t="s">
        <v>285</v>
      </c>
      <c r="I87" s="148"/>
      <c r="J87" s="145"/>
      <c r="K87" s="145"/>
      <c r="L87" s="145"/>
      <c r="M87" s="145"/>
      <c r="N87" s="145"/>
    </row>
    <row r="88" spans="1:14" s="133" customFormat="1" ht="30" customHeight="1">
      <c r="A88" s="61" t="s">
        <v>2625</v>
      </c>
      <c r="B88" s="494" t="s">
        <v>572</v>
      </c>
      <c r="C88" s="177" t="s">
        <v>630</v>
      </c>
      <c r="D88" s="201">
        <v>945</v>
      </c>
      <c r="E88" s="201">
        <f t="shared" si="8"/>
        <v>1039.5</v>
      </c>
      <c r="F88" s="201" t="s">
        <v>539</v>
      </c>
      <c r="G88" s="201" t="s">
        <v>539</v>
      </c>
      <c r="H88" s="148" t="s">
        <v>285</v>
      </c>
      <c r="I88" s="148"/>
      <c r="J88" s="145"/>
      <c r="K88" s="145"/>
      <c r="L88" s="145"/>
      <c r="M88" s="145"/>
      <c r="N88" s="145"/>
    </row>
    <row r="89" spans="1:14" s="133" customFormat="1" ht="30" customHeight="1">
      <c r="A89" s="61" t="s">
        <v>2626</v>
      </c>
      <c r="B89" s="494" t="s">
        <v>573</v>
      </c>
      <c r="C89" s="177" t="s">
        <v>630</v>
      </c>
      <c r="D89" s="201">
        <v>1030</v>
      </c>
      <c r="E89" s="201">
        <f t="shared" si="8"/>
        <v>1133</v>
      </c>
      <c r="F89" s="201" t="s">
        <v>539</v>
      </c>
      <c r="G89" s="201" t="s">
        <v>539</v>
      </c>
      <c r="H89" s="148" t="s">
        <v>285</v>
      </c>
      <c r="I89" s="148"/>
      <c r="J89" s="145"/>
      <c r="K89" s="145"/>
      <c r="L89" s="145"/>
      <c r="M89" s="145"/>
      <c r="N89" s="145"/>
    </row>
    <row r="90" spans="1:14" s="133" customFormat="1" ht="30" customHeight="1">
      <c r="A90" s="61" t="s">
        <v>2627</v>
      </c>
      <c r="B90" s="494" t="s">
        <v>574</v>
      </c>
      <c r="C90" s="177" t="s">
        <v>630</v>
      </c>
      <c r="D90" s="201">
        <v>1115</v>
      </c>
      <c r="E90" s="201">
        <f t="shared" si="8"/>
        <v>1226.5</v>
      </c>
      <c r="F90" s="201" t="s">
        <v>539</v>
      </c>
      <c r="G90" s="201" t="s">
        <v>539</v>
      </c>
      <c r="H90" s="148" t="s">
        <v>285</v>
      </c>
      <c r="I90" s="148"/>
      <c r="J90" s="145"/>
      <c r="K90" s="145"/>
      <c r="L90" s="145"/>
      <c r="M90" s="145"/>
      <c r="N90" s="145"/>
    </row>
    <row r="91" spans="1:14" s="133" customFormat="1" ht="30" customHeight="1">
      <c r="A91" s="61" t="s">
        <v>2628</v>
      </c>
      <c r="B91" s="494" t="s">
        <v>575</v>
      </c>
      <c r="C91" s="177" t="s">
        <v>630</v>
      </c>
      <c r="D91" s="201">
        <v>1200</v>
      </c>
      <c r="E91" s="201">
        <f t="shared" si="8"/>
        <v>1320</v>
      </c>
      <c r="F91" s="201" t="s">
        <v>539</v>
      </c>
      <c r="G91" s="201" t="s">
        <v>539</v>
      </c>
      <c r="H91" s="148" t="s">
        <v>285</v>
      </c>
      <c r="I91" s="148"/>
      <c r="J91" s="145"/>
      <c r="K91" s="145"/>
      <c r="L91" s="145"/>
      <c r="M91" s="145"/>
      <c r="N91" s="145"/>
    </row>
    <row r="92" spans="1:14" s="133" customFormat="1" ht="30" customHeight="1">
      <c r="A92" s="61" t="s">
        <v>2629</v>
      </c>
      <c r="B92" s="494" t="s">
        <v>576</v>
      </c>
      <c r="C92" s="177" t="s">
        <v>630</v>
      </c>
      <c r="D92" s="201">
        <v>1410</v>
      </c>
      <c r="E92" s="201">
        <f t="shared" si="8"/>
        <v>1551.0000000000002</v>
      </c>
      <c r="F92" s="201" t="s">
        <v>539</v>
      </c>
      <c r="G92" s="201" t="s">
        <v>539</v>
      </c>
      <c r="H92" s="148" t="s">
        <v>285</v>
      </c>
      <c r="I92" s="148"/>
      <c r="J92" s="145"/>
      <c r="K92" s="145"/>
      <c r="L92" s="145"/>
      <c r="M92" s="145"/>
      <c r="N92" s="145"/>
    </row>
    <row r="93" spans="1:14" s="133" customFormat="1" ht="30" customHeight="1">
      <c r="A93" s="61" t="s">
        <v>2630</v>
      </c>
      <c r="B93" s="494" t="s">
        <v>577</v>
      </c>
      <c r="C93" s="177" t="s">
        <v>630</v>
      </c>
      <c r="D93" s="201">
        <v>1520</v>
      </c>
      <c r="E93" s="201">
        <f t="shared" si="8"/>
        <v>1672.0000000000002</v>
      </c>
      <c r="F93" s="201" t="s">
        <v>539</v>
      </c>
      <c r="G93" s="201" t="s">
        <v>539</v>
      </c>
      <c r="H93" s="148" t="s">
        <v>285</v>
      </c>
      <c r="I93" s="148"/>
      <c r="J93" s="145"/>
      <c r="K93" s="145"/>
      <c r="L93" s="145"/>
      <c r="M93" s="145"/>
      <c r="N93" s="145"/>
    </row>
    <row r="94" spans="1:14" s="133" customFormat="1" ht="30" customHeight="1">
      <c r="A94" s="61" t="s">
        <v>2631</v>
      </c>
      <c r="B94" s="494" t="s">
        <v>578</v>
      </c>
      <c r="C94" s="177" t="s">
        <v>630</v>
      </c>
      <c r="D94" s="201">
        <v>1670</v>
      </c>
      <c r="E94" s="201">
        <f t="shared" si="8"/>
        <v>1837.0000000000002</v>
      </c>
      <c r="F94" s="201" t="s">
        <v>539</v>
      </c>
      <c r="G94" s="201" t="s">
        <v>539</v>
      </c>
      <c r="H94" s="148" t="s">
        <v>285</v>
      </c>
      <c r="I94" s="148"/>
      <c r="J94" s="145"/>
      <c r="K94" s="145"/>
      <c r="L94" s="145"/>
      <c r="M94" s="145"/>
      <c r="N94" s="145"/>
    </row>
    <row r="95" spans="1:14" s="133" customFormat="1" ht="30" customHeight="1">
      <c r="A95" s="61" t="s">
        <v>2632</v>
      </c>
      <c r="B95" s="494" t="s">
        <v>579</v>
      </c>
      <c r="C95" s="177" t="s">
        <v>630</v>
      </c>
      <c r="D95" s="201">
        <v>1145</v>
      </c>
      <c r="E95" s="201">
        <f t="shared" si="8"/>
        <v>1259.5</v>
      </c>
      <c r="F95" s="201" t="s">
        <v>539</v>
      </c>
      <c r="G95" s="201" t="s">
        <v>539</v>
      </c>
      <c r="H95" s="148" t="s">
        <v>285</v>
      </c>
      <c r="I95" s="148"/>
      <c r="J95" s="145"/>
      <c r="K95" s="145"/>
      <c r="L95" s="145"/>
      <c r="M95" s="145"/>
      <c r="N95" s="145"/>
    </row>
    <row r="96" spans="1:14" s="133" customFormat="1" ht="30" customHeight="1">
      <c r="A96" s="61" t="s">
        <v>2633</v>
      </c>
      <c r="B96" s="494" t="s">
        <v>580</v>
      </c>
      <c r="C96" s="177" t="s">
        <v>630</v>
      </c>
      <c r="D96" s="201">
        <v>1185</v>
      </c>
      <c r="E96" s="201">
        <f t="shared" si="8"/>
        <v>1303.5</v>
      </c>
      <c r="F96" s="201" t="s">
        <v>539</v>
      </c>
      <c r="G96" s="201" t="s">
        <v>539</v>
      </c>
      <c r="H96" s="148" t="s">
        <v>285</v>
      </c>
      <c r="I96" s="148"/>
      <c r="J96" s="145"/>
      <c r="K96" s="145"/>
      <c r="L96" s="145"/>
      <c r="M96" s="145"/>
      <c r="N96" s="145"/>
    </row>
    <row r="97" spans="1:14" s="133" customFormat="1" ht="30" customHeight="1">
      <c r="A97" s="61" t="s">
        <v>2634</v>
      </c>
      <c r="B97" s="494" t="s">
        <v>581</v>
      </c>
      <c r="C97" s="177" t="s">
        <v>630</v>
      </c>
      <c r="D97" s="201">
        <v>1270</v>
      </c>
      <c r="E97" s="201">
        <f t="shared" si="8"/>
        <v>1397</v>
      </c>
      <c r="F97" s="201" t="s">
        <v>539</v>
      </c>
      <c r="G97" s="201" t="s">
        <v>539</v>
      </c>
      <c r="H97" s="148" t="s">
        <v>285</v>
      </c>
      <c r="I97" s="148"/>
      <c r="J97" s="145"/>
      <c r="K97" s="145"/>
      <c r="L97" s="145"/>
      <c r="M97" s="145"/>
      <c r="N97" s="145"/>
    </row>
    <row r="98" spans="1:14" s="133" customFormat="1" ht="30" customHeight="1">
      <c r="A98" s="61" t="s">
        <v>2635</v>
      </c>
      <c r="B98" s="494" t="s">
        <v>582</v>
      </c>
      <c r="C98" s="177" t="s">
        <v>630</v>
      </c>
      <c r="D98" s="201">
        <v>1355</v>
      </c>
      <c r="E98" s="201">
        <f t="shared" si="8"/>
        <v>1490.5000000000002</v>
      </c>
      <c r="F98" s="201" t="s">
        <v>539</v>
      </c>
      <c r="G98" s="201" t="s">
        <v>539</v>
      </c>
      <c r="H98" s="148" t="s">
        <v>285</v>
      </c>
      <c r="I98" s="148"/>
      <c r="J98" s="145"/>
      <c r="K98" s="145"/>
      <c r="L98" s="145"/>
      <c r="M98" s="145"/>
      <c r="N98" s="145"/>
    </row>
    <row r="99" spans="1:14" s="133" customFormat="1" ht="30" customHeight="1">
      <c r="A99" s="61" t="s">
        <v>2636</v>
      </c>
      <c r="B99" s="494" t="s">
        <v>583</v>
      </c>
      <c r="C99" s="177" t="s">
        <v>630</v>
      </c>
      <c r="D99" s="201">
        <v>1440</v>
      </c>
      <c r="E99" s="201">
        <f t="shared" si="8"/>
        <v>1584.0000000000002</v>
      </c>
      <c r="F99" s="201" t="s">
        <v>539</v>
      </c>
      <c r="G99" s="201" t="s">
        <v>539</v>
      </c>
      <c r="H99" s="148" t="s">
        <v>285</v>
      </c>
      <c r="I99" s="148"/>
      <c r="J99" s="145"/>
      <c r="K99" s="145"/>
      <c r="L99" s="145"/>
      <c r="M99" s="145"/>
      <c r="N99" s="145"/>
    </row>
    <row r="100" spans="1:14" s="133" customFormat="1" ht="30" customHeight="1">
      <c r="A100" s="61" t="s">
        <v>2637</v>
      </c>
      <c r="B100" s="494" t="s">
        <v>584</v>
      </c>
      <c r="C100" s="177" t="s">
        <v>630</v>
      </c>
      <c r="D100" s="201">
        <v>1650</v>
      </c>
      <c r="E100" s="201">
        <f t="shared" si="8"/>
        <v>1815.0000000000002</v>
      </c>
      <c r="F100" s="201" t="s">
        <v>539</v>
      </c>
      <c r="G100" s="201" t="s">
        <v>539</v>
      </c>
      <c r="H100" s="148" t="s">
        <v>285</v>
      </c>
      <c r="I100" s="148"/>
      <c r="J100" s="145"/>
      <c r="K100" s="145"/>
      <c r="L100" s="145"/>
      <c r="M100" s="145"/>
      <c r="N100" s="145"/>
    </row>
    <row r="101" spans="1:14" s="133" customFormat="1" ht="30" customHeight="1">
      <c r="A101" s="61" t="s">
        <v>2638</v>
      </c>
      <c r="B101" s="494" t="s">
        <v>585</v>
      </c>
      <c r="C101" s="177" t="s">
        <v>630</v>
      </c>
      <c r="D101" s="201">
        <v>1760</v>
      </c>
      <c r="E101" s="201">
        <f t="shared" si="8"/>
        <v>1936.0000000000002</v>
      </c>
      <c r="F101" s="201" t="s">
        <v>539</v>
      </c>
      <c r="G101" s="201" t="s">
        <v>539</v>
      </c>
      <c r="H101" s="148" t="s">
        <v>285</v>
      </c>
      <c r="I101" s="148"/>
      <c r="J101" s="145"/>
      <c r="K101" s="145"/>
      <c r="L101" s="145"/>
      <c r="M101" s="145"/>
      <c r="N101" s="145"/>
    </row>
    <row r="102" spans="1:14" s="133" customFormat="1" ht="30" customHeight="1">
      <c r="A102" s="61" t="s">
        <v>2639</v>
      </c>
      <c r="B102" s="494" t="s">
        <v>586</v>
      </c>
      <c r="C102" s="177" t="s">
        <v>630</v>
      </c>
      <c r="D102" s="201">
        <v>1910</v>
      </c>
      <c r="E102" s="201">
        <f t="shared" si="8"/>
        <v>2101</v>
      </c>
      <c r="F102" s="201" t="s">
        <v>539</v>
      </c>
      <c r="G102" s="201" t="s">
        <v>539</v>
      </c>
      <c r="H102" s="148" t="s">
        <v>285</v>
      </c>
      <c r="I102" s="148"/>
      <c r="J102" s="145"/>
      <c r="K102" s="145"/>
      <c r="L102" s="145"/>
      <c r="M102" s="145"/>
      <c r="N102" s="145"/>
    </row>
    <row r="103" spans="1:14" s="133" customFormat="1" ht="30" customHeight="1">
      <c r="A103" s="61" t="s">
        <v>2640</v>
      </c>
      <c r="B103" s="494" t="s">
        <v>587</v>
      </c>
      <c r="C103" s="177" t="s">
        <v>630</v>
      </c>
      <c r="D103" s="201">
        <v>2220</v>
      </c>
      <c r="E103" s="201">
        <f t="shared" si="8"/>
        <v>2442</v>
      </c>
      <c r="F103" s="201" t="s">
        <v>539</v>
      </c>
      <c r="G103" s="201" t="s">
        <v>539</v>
      </c>
      <c r="H103" s="148" t="s">
        <v>285</v>
      </c>
      <c r="I103" s="148"/>
      <c r="J103" s="145"/>
      <c r="K103" s="145"/>
      <c r="L103" s="145"/>
      <c r="M103" s="145"/>
      <c r="N103" s="145"/>
    </row>
    <row r="104" spans="1:14" s="133" customFormat="1" ht="30" customHeight="1">
      <c r="A104" s="61" t="s">
        <v>2641</v>
      </c>
      <c r="B104" s="494" t="s">
        <v>588</v>
      </c>
      <c r="C104" s="177" t="s">
        <v>630</v>
      </c>
      <c r="D104" s="201">
        <v>2390</v>
      </c>
      <c r="E104" s="201">
        <f t="shared" si="8"/>
        <v>2629</v>
      </c>
      <c r="F104" s="201" t="s">
        <v>539</v>
      </c>
      <c r="G104" s="201" t="s">
        <v>539</v>
      </c>
      <c r="H104" s="148" t="s">
        <v>285</v>
      </c>
      <c r="I104" s="148"/>
      <c r="J104" s="145"/>
      <c r="K104" s="145"/>
      <c r="L104" s="145"/>
      <c r="M104" s="145"/>
      <c r="N104" s="145"/>
    </row>
    <row r="105" spans="1:14" s="133" customFormat="1" ht="30" customHeight="1">
      <c r="A105" s="61" t="s">
        <v>2642</v>
      </c>
      <c r="B105" s="494" t="s">
        <v>589</v>
      </c>
      <c r="C105" s="177" t="s">
        <v>630</v>
      </c>
      <c r="D105" s="201">
        <v>2670</v>
      </c>
      <c r="E105" s="201">
        <f t="shared" si="8"/>
        <v>2937.0000000000005</v>
      </c>
      <c r="F105" s="201" t="s">
        <v>539</v>
      </c>
      <c r="G105" s="201" t="s">
        <v>539</v>
      </c>
      <c r="H105" s="148" t="s">
        <v>285</v>
      </c>
      <c r="I105" s="148"/>
      <c r="J105" s="145"/>
      <c r="K105" s="145"/>
      <c r="L105" s="145"/>
      <c r="M105" s="145"/>
      <c r="N105" s="145"/>
    </row>
    <row r="106" spans="1:14" s="133" customFormat="1" ht="30" customHeight="1">
      <c r="A106" s="61" t="s">
        <v>2643</v>
      </c>
      <c r="B106" s="494" t="s">
        <v>590</v>
      </c>
      <c r="C106" s="177" t="s">
        <v>630</v>
      </c>
      <c r="D106" s="201">
        <v>2950</v>
      </c>
      <c r="E106" s="201">
        <f t="shared" si="8"/>
        <v>3245.0000000000005</v>
      </c>
      <c r="F106" s="201" t="s">
        <v>539</v>
      </c>
      <c r="G106" s="201" t="s">
        <v>539</v>
      </c>
      <c r="H106" s="148" t="s">
        <v>285</v>
      </c>
      <c r="I106" s="148"/>
      <c r="J106" s="145"/>
      <c r="K106" s="145"/>
      <c r="L106" s="145"/>
      <c r="M106" s="145"/>
      <c r="N106" s="145"/>
    </row>
    <row r="107" spans="1:14" s="133" customFormat="1" ht="30" customHeight="1">
      <c r="A107" s="61" t="s">
        <v>2644</v>
      </c>
      <c r="B107" s="494" t="s">
        <v>591</v>
      </c>
      <c r="C107" s="177" t="s">
        <v>630</v>
      </c>
      <c r="D107" s="201">
        <v>3240</v>
      </c>
      <c r="E107" s="201">
        <f t="shared" si="8"/>
        <v>3564.0000000000005</v>
      </c>
      <c r="F107" s="201" t="s">
        <v>539</v>
      </c>
      <c r="G107" s="201" t="s">
        <v>539</v>
      </c>
      <c r="H107" s="148" t="s">
        <v>285</v>
      </c>
      <c r="I107" s="148"/>
      <c r="J107" s="145"/>
      <c r="K107" s="145"/>
      <c r="L107" s="145"/>
      <c r="M107" s="145"/>
      <c r="N107" s="145"/>
    </row>
    <row r="108" spans="1:14" s="133" customFormat="1" ht="30" customHeight="1">
      <c r="A108" s="154"/>
      <c r="B108" s="1456" t="s">
        <v>595</v>
      </c>
      <c r="C108" s="1452"/>
      <c r="D108" s="1452"/>
      <c r="E108" s="1452"/>
      <c r="F108" s="1452"/>
      <c r="G108" s="1452"/>
      <c r="H108" s="154"/>
      <c r="I108" s="154"/>
      <c r="J108" s="145"/>
      <c r="K108" s="145"/>
      <c r="L108" s="145"/>
      <c r="M108" s="145"/>
      <c r="N108" s="145"/>
    </row>
    <row r="109" spans="1:14" s="133" customFormat="1" ht="30" customHeight="1">
      <c r="A109" s="61" t="s">
        <v>2645</v>
      </c>
      <c r="B109" s="492" t="s">
        <v>592</v>
      </c>
      <c r="C109" s="177" t="s">
        <v>630</v>
      </c>
      <c r="D109" s="241" t="s">
        <v>783</v>
      </c>
      <c r="E109" s="241" t="s">
        <v>783</v>
      </c>
      <c r="F109" s="201" t="s">
        <v>539</v>
      </c>
      <c r="G109" s="201" t="s">
        <v>539</v>
      </c>
      <c r="H109" s="148" t="s">
        <v>285</v>
      </c>
      <c r="I109" s="148"/>
      <c r="J109" s="145"/>
      <c r="K109" s="145"/>
      <c r="L109" s="145"/>
      <c r="M109" s="145"/>
      <c r="N109" s="145"/>
    </row>
    <row r="110" spans="1:14" s="133" customFormat="1" ht="30" customHeight="1">
      <c r="A110" s="61" t="s">
        <v>2646</v>
      </c>
      <c r="B110" s="492" t="s">
        <v>593</v>
      </c>
      <c r="C110" s="177" t="s">
        <v>630</v>
      </c>
      <c r="D110" s="241" t="s">
        <v>783</v>
      </c>
      <c r="E110" s="241" t="s">
        <v>783</v>
      </c>
      <c r="F110" s="201" t="s">
        <v>539</v>
      </c>
      <c r="G110" s="201" t="s">
        <v>539</v>
      </c>
      <c r="H110" s="148" t="s">
        <v>285</v>
      </c>
      <c r="I110" s="148"/>
      <c r="J110" s="145"/>
      <c r="K110" s="145"/>
      <c r="L110" s="145"/>
      <c r="M110" s="145"/>
      <c r="N110" s="145"/>
    </row>
    <row r="111" spans="1:14" s="133" customFormat="1" ht="30" customHeight="1">
      <c r="A111" s="771" t="s">
        <v>2647</v>
      </c>
      <c r="B111" s="492" t="s">
        <v>594</v>
      </c>
      <c r="C111" s="177" t="s">
        <v>630</v>
      </c>
      <c r="D111" s="241" t="s">
        <v>783</v>
      </c>
      <c r="E111" s="241" t="s">
        <v>783</v>
      </c>
      <c r="F111" s="201" t="s">
        <v>539</v>
      </c>
      <c r="G111" s="201" t="s">
        <v>539</v>
      </c>
      <c r="H111" s="148" t="s">
        <v>285</v>
      </c>
      <c r="I111" s="148"/>
      <c r="J111" s="145"/>
      <c r="K111" s="145"/>
      <c r="L111" s="145"/>
      <c r="M111" s="145"/>
      <c r="N111" s="145"/>
    </row>
    <row r="112" spans="1:14" s="133" customFormat="1" ht="30" customHeight="1">
      <c r="A112" s="154"/>
      <c r="B112" s="1451" t="s">
        <v>598</v>
      </c>
      <c r="C112" s="1452"/>
      <c r="D112" s="1452"/>
      <c r="E112" s="1452"/>
      <c r="F112" s="1452"/>
      <c r="G112" s="1452"/>
      <c r="H112" s="154"/>
      <c r="I112" s="154"/>
      <c r="J112" s="145"/>
      <c r="K112" s="145"/>
      <c r="L112" s="145"/>
      <c r="M112" s="145"/>
      <c r="N112" s="145"/>
    </row>
    <row r="113" spans="1:14" s="133" customFormat="1" ht="30" customHeight="1">
      <c r="A113" s="61" t="s">
        <v>2648</v>
      </c>
      <c r="B113" s="492" t="s">
        <v>596</v>
      </c>
      <c r="C113" s="177" t="s">
        <v>630</v>
      </c>
      <c r="D113" s="201">
        <v>4.25</v>
      </c>
      <c r="E113" s="201">
        <f t="shared" ref="E113" si="9">SUM(D113*1.1)</f>
        <v>4.6750000000000007</v>
      </c>
      <c r="F113" s="201">
        <f t="shared" ref="F113:F114" si="10">SUM(G113*1.1)</f>
        <v>64.900000000000006</v>
      </c>
      <c r="G113" s="201">
        <v>59</v>
      </c>
      <c r="H113" s="148" t="s">
        <v>285</v>
      </c>
      <c r="I113" s="148"/>
      <c r="J113" s="145"/>
      <c r="K113" s="145"/>
      <c r="L113" s="145"/>
      <c r="M113" s="145"/>
      <c r="N113" s="145"/>
    </row>
    <row r="114" spans="1:14" s="133" customFormat="1" ht="30" customHeight="1">
      <c r="A114" s="61" t="s">
        <v>2649</v>
      </c>
      <c r="B114" s="492" t="s">
        <v>597</v>
      </c>
      <c r="C114" s="177" t="s">
        <v>630</v>
      </c>
      <c r="D114" s="241" t="s">
        <v>783</v>
      </c>
      <c r="E114" s="241" t="s">
        <v>783</v>
      </c>
      <c r="F114" s="201">
        <f t="shared" si="10"/>
        <v>56.1</v>
      </c>
      <c r="G114" s="201">
        <v>51</v>
      </c>
      <c r="H114" s="148" t="s">
        <v>285</v>
      </c>
      <c r="I114" s="148"/>
      <c r="J114" s="145"/>
      <c r="K114" s="145"/>
      <c r="L114" s="145"/>
      <c r="M114" s="145"/>
      <c r="N114" s="145"/>
    </row>
    <row r="115" spans="1:14" s="138" customFormat="1" ht="30" customHeight="1">
      <c r="A115" s="1434" t="s">
        <v>608</v>
      </c>
      <c r="B115" s="1453"/>
      <c r="C115" s="1453"/>
      <c r="D115" s="1453"/>
      <c r="E115" s="1453"/>
      <c r="F115" s="1453"/>
      <c r="G115" s="1453"/>
      <c r="H115" s="267"/>
      <c r="I115" s="267"/>
      <c r="J115" s="147"/>
      <c r="K115" s="147"/>
      <c r="L115" s="147"/>
      <c r="M115" s="147"/>
      <c r="N115" s="147"/>
    </row>
    <row r="116" spans="1:14" s="138" customFormat="1" ht="39" customHeight="1">
      <c r="A116" s="491"/>
      <c r="B116" s="1434" t="s">
        <v>356</v>
      </c>
      <c r="C116" s="1308"/>
      <c r="D116" s="1308"/>
      <c r="E116" s="1308"/>
      <c r="F116" s="281"/>
      <c r="G116" s="281"/>
      <c r="H116" s="608"/>
      <c r="I116" s="608"/>
      <c r="J116" s="147"/>
      <c r="K116" s="147"/>
      <c r="L116" s="147"/>
      <c r="M116" s="147"/>
      <c r="N116" s="147"/>
    </row>
    <row r="117" spans="1:14" s="133" customFormat="1" ht="35.25" customHeight="1">
      <c r="A117" s="496" t="s">
        <v>2650</v>
      </c>
      <c r="B117" s="497" t="s">
        <v>1508</v>
      </c>
      <c r="C117" s="177" t="s">
        <v>630</v>
      </c>
      <c r="D117" s="201">
        <v>2500</v>
      </c>
      <c r="E117" s="201">
        <f t="shared" ref="E117:E128" si="11">SUM(D117*1.1)</f>
        <v>2750</v>
      </c>
      <c r="F117" s="241" t="s">
        <v>783</v>
      </c>
      <c r="G117" s="241" t="s">
        <v>783</v>
      </c>
      <c r="H117" s="612" t="s">
        <v>285</v>
      </c>
      <c r="I117" s="612"/>
      <c r="J117" s="80"/>
      <c r="K117" s="145"/>
      <c r="L117" s="145"/>
      <c r="M117" s="145"/>
      <c r="N117" s="145"/>
    </row>
    <row r="118" spans="1:14" s="133" customFormat="1" ht="30" customHeight="1">
      <c r="A118" s="496" t="s">
        <v>2651</v>
      </c>
      <c r="B118" s="497" t="s">
        <v>1509</v>
      </c>
      <c r="C118" s="177" t="s">
        <v>630</v>
      </c>
      <c r="D118" s="201">
        <v>50</v>
      </c>
      <c r="E118" s="201">
        <f t="shared" si="11"/>
        <v>55.000000000000007</v>
      </c>
      <c r="F118" s="241" t="s">
        <v>277</v>
      </c>
      <c r="G118" s="241" t="s">
        <v>277</v>
      </c>
      <c r="H118" s="688" t="s">
        <v>285</v>
      </c>
      <c r="I118" s="612"/>
      <c r="J118" s="80"/>
      <c r="K118" s="145"/>
      <c r="L118" s="145"/>
      <c r="M118" s="145"/>
      <c r="N118" s="145"/>
    </row>
    <row r="119" spans="1:14" s="133" customFormat="1" ht="21.75">
      <c r="A119" s="496" t="s">
        <v>2652</v>
      </c>
      <c r="B119" s="497" t="s">
        <v>1510</v>
      </c>
      <c r="C119" s="177" t="s">
        <v>630</v>
      </c>
      <c r="D119" s="201">
        <v>75</v>
      </c>
      <c r="E119" s="201">
        <f t="shared" si="11"/>
        <v>82.5</v>
      </c>
      <c r="F119" s="241" t="s">
        <v>783</v>
      </c>
      <c r="G119" s="241" t="s">
        <v>783</v>
      </c>
      <c r="H119" s="612" t="s">
        <v>285</v>
      </c>
      <c r="I119" s="612"/>
      <c r="J119" s="80"/>
      <c r="K119" s="145"/>
      <c r="L119" s="145"/>
      <c r="M119" s="145"/>
      <c r="N119" s="145"/>
    </row>
    <row r="120" spans="1:14" s="133" customFormat="1" ht="30" customHeight="1">
      <c r="A120" s="496" t="s">
        <v>2653</v>
      </c>
      <c r="B120" s="497" t="s">
        <v>1511</v>
      </c>
      <c r="C120" s="177" t="s">
        <v>630</v>
      </c>
      <c r="D120" s="201">
        <v>850</v>
      </c>
      <c r="E120" s="201">
        <f t="shared" si="11"/>
        <v>935.00000000000011</v>
      </c>
      <c r="F120" s="241" t="s">
        <v>277</v>
      </c>
      <c r="G120" s="241" t="s">
        <v>277</v>
      </c>
      <c r="H120" s="688" t="s">
        <v>285</v>
      </c>
      <c r="I120" s="612"/>
      <c r="J120" s="80"/>
      <c r="K120" s="145"/>
      <c r="L120" s="145"/>
      <c r="M120" s="145"/>
      <c r="N120" s="145"/>
    </row>
    <row r="121" spans="1:14" s="133" customFormat="1" ht="33" customHeight="1">
      <c r="A121" s="496" t="s">
        <v>2654</v>
      </c>
      <c r="B121" s="689" t="s">
        <v>1512</v>
      </c>
      <c r="C121" s="177" t="s">
        <v>630</v>
      </c>
      <c r="D121" s="201">
        <v>750</v>
      </c>
      <c r="E121" s="201">
        <f t="shared" si="11"/>
        <v>825.00000000000011</v>
      </c>
      <c r="F121" s="241" t="s">
        <v>277</v>
      </c>
      <c r="G121" s="241" t="s">
        <v>277</v>
      </c>
      <c r="H121" s="688" t="s">
        <v>285</v>
      </c>
      <c r="I121" s="612"/>
      <c r="J121" s="80"/>
      <c r="K121" s="145"/>
      <c r="L121" s="145"/>
      <c r="M121" s="145"/>
      <c r="N121" s="145"/>
    </row>
    <row r="122" spans="1:14" s="133" customFormat="1" ht="42.75">
      <c r="A122" s="496" t="s">
        <v>2655</v>
      </c>
      <c r="B122" s="497" t="s">
        <v>1513</v>
      </c>
      <c r="C122" s="177" t="s">
        <v>630</v>
      </c>
      <c r="D122" s="201">
        <v>1200</v>
      </c>
      <c r="E122" s="201">
        <f t="shared" si="11"/>
        <v>1320</v>
      </c>
      <c r="F122" s="241" t="s">
        <v>277</v>
      </c>
      <c r="G122" s="241" t="s">
        <v>277</v>
      </c>
      <c r="H122" s="688" t="s">
        <v>285</v>
      </c>
      <c r="I122" s="612"/>
      <c r="J122" s="80"/>
      <c r="K122" s="145"/>
      <c r="L122" s="145"/>
      <c r="M122" s="145"/>
      <c r="N122" s="145"/>
    </row>
    <row r="123" spans="1:14" s="133" customFormat="1" ht="30" customHeight="1">
      <c r="A123" s="496" t="s">
        <v>2656</v>
      </c>
      <c r="B123" s="497" t="s">
        <v>1514</v>
      </c>
      <c r="C123" s="177" t="s">
        <v>630</v>
      </c>
      <c r="D123" s="201">
        <v>500</v>
      </c>
      <c r="E123" s="201">
        <f t="shared" si="11"/>
        <v>550</v>
      </c>
      <c r="F123" s="241" t="s">
        <v>277</v>
      </c>
      <c r="G123" s="241" t="s">
        <v>277</v>
      </c>
      <c r="H123" s="688" t="s">
        <v>285</v>
      </c>
      <c r="I123" s="612"/>
      <c r="J123" s="80"/>
      <c r="K123" s="145"/>
      <c r="L123" s="145"/>
      <c r="M123" s="145"/>
      <c r="N123" s="145"/>
    </row>
    <row r="124" spans="1:14" s="133" customFormat="1" ht="30" customHeight="1">
      <c r="A124" s="496" t="s">
        <v>2657</v>
      </c>
      <c r="B124" s="497" t="s">
        <v>1515</v>
      </c>
      <c r="C124" s="177" t="s">
        <v>630</v>
      </c>
      <c r="D124" s="201">
        <v>900</v>
      </c>
      <c r="E124" s="201">
        <f t="shared" si="11"/>
        <v>990.00000000000011</v>
      </c>
      <c r="F124" s="201">
        <f>SUM(G124*1.1)</f>
        <v>687.5</v>
      </c>
      <c r="G124" s="201">
        <v>625</v>
      </c>
      <c r="H124" s="688" t="s">
        <v>285</v>
      </c>
      <c r="I124" s="612"/>
      <c r="J124" s="80"/>
      <c r="K124" s="145"/>
      <c r="L124" s="145"/>
      <c r="M124" s="145"/>
      <c r="N124" s="145"/>
    </row>
    <row r="125" spans="1:14" s="133" customFormat="1" ht="49.5" customHeight="1">
      <c r="A125" s="496" t="s">
        <v>2658</v>
      </c>
      <c r="B125" s="497" t="s">
        <v>1516</v>
      </c>
      <c r="C125" s="177" t="s">
        <v>630</v>
      </c>
      <c r="D125" s="201">
        <v>1400</v>
      </c>
      <c r="E125" s="201">
        <f t="shared" si="11"/>
        <v>1540.0000000000002</v>
      </c>
      <c r="F125" s="201">
        <f t="shared" ref="F125:F128" si="12">SUM(G125*1.1)</f>
        <v>1540.0000000000002</v>
      </c>
      <c r="G125" s="201">
        <v>1400</v>
      </c>
      <c r="H125" s="688" t="s">
        <v>285</v>
      </c>
      <c r="I125" s="612"/>
      <c r="J125" s="80"/>
      <c r="K125" s="145"/>
      <c r="L125" s="145"/>
      <c r="M125" s="145"/>
      <c r="N125" s="145"/>
    </row>
    <row r="126" spans="1:14" s="133" customFormat="1" ht="45" customHeight="1">
      <c r="A126" s="496" t="s">
        <v>2659</v>
      </c>
      <c r="B126" s="497" t="s">
        <v>1517</v>
      </c>
      <c r="C126" s="177" t="s">
        <v>630</v>
      </c>
      <c r="D126" s="201">
        <v>1225</v>
      </c>
      <c r="E126" s="201">
        <f t="shared" si="11"/>
        <v>1347.5</v>
      </c>
      <c r="F126" s="201">
        <f t="shared" si="12"/>
        <v>1347.5</v>
      </c>
      <c r="G126" s="201">
        <v>1225</v>
      </c>
      <c r="H126" s="688" t="s">
        <v>285</v>
      </c>
      <c r="I126" s="612"/>
      <c r="J126" s="80"/>
      <c r="K126" s="145"/>
      <c r="L126" s="145"/>
      <c r="M126" s="145"/>
      <c r="N126" s="145"/>
    </row>
    <row r="127" spans="1:14" s="133" customFormat="1" ht="36" customHeight="1">
      <c r="A127" s="496" t="s">
        <v>2660</v>
      </c>
      <c r="B127" s="497" t="s">
        <v>1518</v>
      </c>
      <c r="C127" s="177" t="s">
        <v>630</v>
      </c>
      <c r="D127" s="201">
        <v>100</v>
      </c>
      <c r="E127" s="201">
        <f t="shared" si="11"/>
        <v>110.00000000000001</v>
      </c>
      <c r="F127" s="241" t="s">
        <v>783</v>
      </c>
      <c r="G127" s="241" t="s">
        <v>783</v>
      </c>
      <c r="H127" s="612" t="s">
        <v>285</v>
      </c>
      <c r="I127" s="612"/>
      <c r="J127" s="80"/>
      <c r="K127" s="145"/>
      <c r="L127" s="145"/>
      <c r="M127" s="145"/>
      <c r="N127" s="145"/>
    </row>
    <row r="128" spans="1:14" s="133" customFormat="1" ht="43.5" customHeight="1">
      <c r="A128" s="496" t="s">
        <v>2661</v>
      </c>
      <c r="B128" s="497" t="s">
        <v>1519</v>
      </c>
      <c r="C128" s="177" t="s">
        <v>630</v>
      </c>
      <c r="D128" s="201">
        <v>435</v>
      </c>
      <c r="E128" s="201">
        <f t="shared" si="11"/>
        <v>478.50000000000006</v>
      </c>
      <c r="F128" s="201">
        <f t="shared" si="12"/>
        <v>522.5</v>
      </c>
      <c r="G128" s="201">
        <v>475</v>
      </c>
      <c r="H128" s="688" t="s">
        <v>285</v>
      </c>
      <c r="I128" s="612"/>
      <c r="J128" s="80"/>
      <c r="K128" s="145"/>
      <c r="L128" s="145"/>
      <c r="M128" s="145"/>
      <c r="N128" s="145"/>
    </row>
    <row r="129" spans="1:14" s="133" customFormat="1" ht="45" customHeight="1">
      <c r="A129" s="496" t="s">
        <v>2509</v>
      </c>
      <c r="B129" s="497" t="s">
        <v>1520</v>
      </c>
      <c r="C129" s="177" t="s">
        <v>630</v>
      </c>
      <c r="D129" s="241" t="s">
        <v>277</v>
      </c>
      <c r="E129" s="241" t="s">
        <v>277</v>
      </c>
      <c r="F129" s="241" t="s">
        <v>539</v>
      </c>
      <c r="G129" s="241" t="s">
        <v>539</v>
      </c>
      <c r="H129" s="241" t="s">
        <v>539</v>
      </c>
      <c r="I129" s="612"/>
      <c r="J129" s="80"/>
      <c r="K129" s="145"/>
      <c r="L129" s="145"/>
      <c r="M129" s="145"/>
      <c r="N129" s="145"/>
    </row>
    <row r="130" spans="1:14" s="133" customFormat="1" ht="36" customHeight="1">
      <c r="A130" s="496" t="s">
        <v>2509</v>
      </c>
      <c r="B130" s="497" t="s">
        <v>1521</v>
      </c>
      <c r="C130" s="177" t="s">
        <v>630</v>
      </c>
      <c r="D130" s="241" t="s">
        <v>277</v>
      </c>
      <c r="E130" s="241" t="s">
        <v>277</v>
      </c>
      <c r="F130" s="241" t="s">
        <v>783</v>
      </c>
      <c r="G130" s="241" t="s">
        <v>783</v>
      </c>
      <c r="H130" s="201">
        <v>230</v>
      </c>
      <c r="I130" s="612"/>
      <c r="J130" s="80"/>
      <c r="K130" s="145"/>
      <c r="L130" s="145"/>
      <c r="M130" s="145"/>
      <c r="N130" s="145"/>
    </row>
    <row r="131" spans="1:14" s="133" customFormat="1" ht="43.5" customHeight="1">
      <c r="A131" s="496" t="s">
        <v>2509</v>
      </c>
      <c r="B131" s="497" t="s">
        <v>1522</v>
      </c>
      <c r="C131" s="177" t="s">
        <v>630</v>
      </c>
      <c r="D131" s="241" t="s">
        <v>277</v>
      </c>
      <c r="E131" s="241" t="s">
        <v>277</v>
      </c>
      <c r="F131" s="241" t="s">
        <v>783</v>
      </c>
      <c r="G131" s="241" t="s">
        <v>783</v>
      </c>
      <c r="H131" s="201">
        <v>755</v>
      </c>
      <c r="I131" s="612"/>
      <c r="J131" s="80"/>
      <c r="K131" s="145"/>
      <c r="L131" s="145"/>
      <c r="M131" s="145"/>
      <c r="N131" s="145"/>
    </row>
    <row r="132" spans="1:14" s="133" customFormat="1" ht="30" customHeight="1">
      <c r="B132" s="193"/>
      <c r="J132" s="145"/>
      <c r="K132" s="145"/>
      <c r="L132" s="145"/>
      <c r="M132" s="145"/>
      <c r="N132" s="145"/>
    </row>
    <row r="133" spans="1:14" s="133" customFormat="1" ht="30" customHeight="1">
      <c r="B133" s="193"/>
      <c r="J133" s="145"/>
      <c r="K133" s="145"/>
      <c r="L133" s="145"/>
      <c r="M133" s="145"/>
      <c r="N133" s="145"/>
    </row>
    <row r="134" spans="1:14" s="133" customFormat="1" ht="30" customHeight="1">
      <c r="B134" s="193"/>
      <c r="J134" s="145"/>
      <c r="K134" s="145"/>
      <c r="L134" s="145"/>
      <c r="M134" s="145"/>
      <c r="N134" s="145"/>
    </row>
    <row r="135" spans="1:14" s="133" customFormat="1" ht="30" customHeight="1">
      <c r="B135" s="193"/>
      <c r="J135" s="145"/>
      <c r="K135" s="145"/>
      <c r="L135" s="145"/>
      <c r="M135" s="145"/>
      <c r="N135" s="145"/>
    </row>
    <row r="136" spans="1:14" s="133" customFormat="1" ht="30" customHeight="1">
      <c r="B136" s="193"/>
      <c r="J136" s="145"/>
      <c r="K136" s="145"/>
      <c r="L136" s="145"/>
      <c r="M136" s="145"/>
      <c r="N136" s="145"/>
    </row>
    <row r="137" spans="1:14" s="133" customFormat="1" ht="30" customHeight="1">
      <c r="B137" s="193"/>
      <c r="J137" s="145"/>
      <c r="K137" s="145"/>
      <c r="L137" s="145"/>
      <c r="M137" s="145"/>
      <c r="N137" s="145"/>
    </row>
    <row r="138" spans="1:14" s="133" customFormat="1" ht="30" customHeight="1">
      <c r="B138" s="193"/>
      <c r="J138" s="145"/>
      <c r="K138" s="145"/>
      <c r="L138" s="145"/>
      <c r="M138" s="145"/>
      <c r="N138" s="145"/>
    </row>
    <row r="139" spans="1:14" s="133" customFormat="1" ht="30" customHeight="1">
      <c r="B139" s="193"/>
      <c r="J139" s="145"/>
      <c r="K139" s="145"/>
      <c r="L139" s="145"/>
      <c r="M139" s="145"/>
      <c r="N139" s="145"/>
    </row>
    <row r="140" spans="1:14" s="133" customFormat="1" ht="30" customHeight="1">
      <c r="B140" s="193"/>
      <c r="J140" s="145"/>
      <c r="K140" s="145"/>
      <c r="L140" s="145"/>
      <c r="M140" s="145"/>
      <c r="N140" s="145"/>
    </row>
    <row r="141" spans="1:14" s="133" customFormat="1" ht="30" customHeight="1">
      <c r="B141" s="193"/>
      <c r="J141" s="145"/>
      <c r="K141" s="145"/>
      <c r="L141" s="145"/>
      <c r="M141" s="145"/>
      <c r="N141" s="145"/>
    </row>
    <row r="142" spans="1:14" s="133" customFormat="1" ht="30" customHeight="1">
      <c r="B142" s="193"/>
      <c r="J142" s="145"/>
      <c r="K142" s="145"/>
      <c r="L142" s="145"/>
      <c r="M142" s="145"/>
      <c r="N142" s="145"/>
    </row>
    <row r="143" spans="1:14" s="133" customFormat="1" ht="30" customHeight="1">
      <c r="B143" s="193"/>
      <c r="J143" s="145"/>
      <c r="K143" s="145"/>
      <c r="L143" s="145"/>
      <c r="M143" s="145"/>
      <c r="N143" s="145"/>
    </row>
    <row r="144" spans="1:14" s="133" customFormat="1" ht="30" customHeight="1">
      <c r="B144" s="193"/>
      <c r="J144" s="145"/>
      <c r="K144" s="145"/>
      <c r="L144" s="145"/>
      <c r="M144" s="145"/>
      <c r="N144" s="145"/>
    </row>
    <row r="145" spans="2:14" s="133" customFormat="1" ht="30" customHeight="1">
      <c r="B145" s="193"/>
      <c r="J145" s="145"/>
      <c r="K145" s="145"/>
      <c r="L145" s="145"/>
      <c r="M145" s="145"/>
      <c r="N145" s="145"/>
    </row>
    <row r="146" spans="2:14" s="133" customFormat="1" ht="30" customHeight="1">
      <c r="B146" s="193"/>
      <c r="J146" s="145"/>
      <c r="K146" s="145"/>
      <c r="L146" s="145"/>
      <c r="M146" s="145"/>
      <c r="N146" s="145"/>
    </row>
    <row r="147" spans="2:14" s="133" customFormat="1" ht="30" customHeight="1">
      <c r="B147" s="193"/>
      <c r="J147" s="145"/>
      <c r="K147" s="145"/>
      <c r="L147" s="145"/>
      <c r="M147" s="145"/>
      <c r="N147" s="145"/>
    </row>
    <row r="148" spans="2:14" s="133" customFormat="1" ht="30" customHeight="1">
      <c r="B148" s="193"/>
      <c r="J148" s="145"/>
      <c r="K148" s="145"/>
      <c r="L148" s="145"/>
      <c r="M148" s="145"/>
      <c r="N148" s="145"/>
    </row>
    <row r="149" spans="2:14" s="133" customFormat="1" ht="30" customHeight="1">
      <c r="B149" s="193"/>
      <c r="J149" s="145"/>
      <c r="K149" s="145"/>
      <c r="L149" s="145"/>
      <c r="M149" s="145"/>
      <c r="N149" s="145"/>
    </row>
    <row r="150" spans="2:14" s="133" customFormat="1" ht="30" customHeight="1">
      <c r="B150" s="193"/>
      <c r="J150" s="145"/>
      <c r="K150" s="145"/>
      <c r="L150" s="145"/>
      <c r="M150" s="145"/>
      <c r="N150" s="145"/>
    </row>
    <row r="151" spans="2:14" s="133" customFormat="1" ht="30" customHeight="1">
      <c r="B151" s="193"/>
      <c r="J151" s="145"/>
      <c r="K151" s="145"/>
      <c r="L151" s="145"/>
      <c r="M151" s="145"/>
      <c r="N151" s="145"/>
    </row>
    <row r="152" spans="2:14" s="133" customFormat="1" ht="30" customHeight="1">
      <c r="B152" s="193"/>
      <c r="J152" s="145"/>
      <c r="K152" s="145"/>
      <c r="L152" s="145"/>
      <c r="M152" s="145"/>
      <c r="N152" s="145"/>
    </row>
    <row r="153" spans="2:14" s="133" customFormat="1" ht="30" customHeight="1">
      <c r="B153" s="193"/>
      <c r="J153" s="145"/>
      <c r="K153" s="145"/>
      <c r="L153" s="145"/>
      <c r="M153" s="145"/>
      <c r="N153" s="145"/>
    </row>
    <row r="154" spans="2:14" s="133" customFormat="1" ht="30" customHeight="1">
      <c r="B154" s="193"/>
      <c r="J154" s="145"/>
      <c r="K154" s="145"/>
      <c r="L154" s="145"/>
      <c r="M154" s="145"/>
      <c r="N154" s="145"/>
    </row>
    <row r="155" spans="2:14" s="133" customFormat="1" ht="30" customHeight="1">
      <c r="B155" s="193"/>
      <c r="J155" s="145"/>
      <c r="K155" s="145"/>
      <c r="L155" s="145"/>
      <c r="M155" s="145"/>
      <c r="N155" s="145"/>
    </row>
    <row r="156" spans="2:14" s="133" customFormat="1" ht="30" customHeight="1">
      <c r="B156" s="193"/>
      <c r="J156" s="145"/>
      <c r="K156" s="145"/>
      <c r="L156" s="145"/>
      <c r="M156" s="145"/>
      <c r="N156" s="145"/>
    </row>
    <row r="157" spans="2:14" s="133" customFormat="1" ht="30" customHeight="1">
      <c r="B157" s="193"/>
      <c r="J157" s="145"/>
      <c r="K157" s="145"/>
      <c r="L157" s="145"/>
      <c r="M157" s="145"/>
      <c r="N157" s="145"/>
    </row>
    <row r="158" spans="2:14" s="133" customFormat="1" ht="30" customHeight="1">
      <c r="B158" s="193"/>
      <c r="J158" s="145"/>
      <c r="K158" s="145"/>
      <c r="L158" s="145"/>
      <c r="M158" s="145"/>
      <c r="N158" s="145"/>
    </row>
    <row r="159" spans="2:14" s="133" customFormat="1" ht="30" customHeight="1">
      <c r="B159" s="193"/>
      <c r="J159" s="145"/>
      <c r="K159" s="145"/>
      <c r="L159" s="145"/>
      <c r="M159" s="145"/>
      <c r="N159" s="145"/>
    </row>
    <row r="160" spans="2:14" s="133" customFormat="1" ht="30" customHeight="1">
      <c r="B160" s="193"/>
      <c r="J160" s="145"/>
      <c r="K160" s="145"/>
      <c r="L160" s="145"/>
      <c r="M160" s="145"/>
      <c r="N160" s="145"/>
    </row>
    <row r="161" spans="2:14" s="133" customFormat="1" ht="30" customHeight="1">
      <c r="B161" s="193"/>
      <c r="J161" s="145"/>
      <c r="K161" s="145"/>
      <c r="L161" s="145"/>
      <c r="M161" s="145"/>
      <c r="N161" s="145"/>
    </row>
    <row r="162" spans="2:14" s="133" customFormat="1" ht="30" customHeight="1">
      <c r="B162" s="193"/>
      <c r="J162" s="145"/>
      <c r="K162" s="145"/>
      <c r="L162" s="145"/>
      <c r="M162" s="145"/>
      <c r="N162" s="145"/>
    </row>
    <row r="163" spans="2:14" s="133" customFormat="1" ht="30" customHeight="1">
      <c r="B163" s="193"/>
      <c r="J163" s="145"/>
      <c r="K163" s="145"/>
      <c r="L163" s="145"/>
      <c r="M163" s="145"/>
      <c r="N163" s="145"/>
    </row>
    <row r="164" spans="2:14" s="133" customFormat="1" ht="30" customHeight="1">
      <c r="B164" s="193"/>
      <c r="J164" s="145"/>
      <c r="K164" s="145"/>
      <c r="L164" s="145"/>
      <c r="M164" s="145"/>
      <c r="N164" s="145"/>
    </row>
    <row r="165" spans="2:14" s="133" customFormat="1" ht="30" customHeight="1">
      <c r="B165" s="193"/>
      <c r="J165" s="145"/>
      <c r="K165" s="145"/>
      <c r="L165" s="145"/>
      <c r="M165" s="145"/>
      <c r="N165" s="145"/>
    </row>
    <row r="166" spans="2:14" s="133" customFormat="1" ht="30" customHeight="1">
      <c r="B166" s="193"/>
      <c r="J166" s="145"/>
      <c r="K166" s="145"/>
      <c r="L166" s="145"/>
      <c r="M166" s="145"/>
      <c r="N166" s="145"/>
    </row>
    <row r="167" spans="2:14" s="133" customFormat="1" ht="30" customHeight="1">
      <c r="B167" s="193"/>
      <c r="J167" s="145"/>
      <c r="K167" s="145"/>
      <c r="L167" s="145"/>
      <c r="M167" s="145"/>
      <c r="N167" s="145"/>
    </row>
    <row r="168" spans="2:14" s="133" customFormat="1" ht="30" customHeight="1">
      <c r="B168" s="193"/>
      <c r="J168" s="145"/>
      <c r="K168" s="145"/>
      <c r="L168" s="145"/>
      <c r="M168" s="145"/>
      <c r="N168" s="145"/>
    </row>
    <row r="169" spans="2:14" s="133" customFormat="1" ht="30" customHeight="1">
      <c r="B169" s="193"/>
      <c r="J169" s="145"/>
      <c r="K169" s="145"/>
      <c r="L169" s="145"/>
      <c r="M169" s="145"/>
      <c r="N169" s="145"/>
    </row>
    <row r="170" spans="2:14" s="133" customFormat="1" ht="30" customHeight="1">
      <c r="B170" s="193"/>
      <c r="J170" s="145"/>
      <c r="K170" s="145"/>
      <c r="L170" s="145"/>
      <c r="M170" s="145"/>
      <c r="N170" s="145"/>
    </row>
    <row r="171" spans="2:14" s="133" customFormat="1" ht="30" customHeight="1">
      <c r="B171" s="193"/>
      <c r="J171" s="145"/>
      <c r="K171" s="145"/>
      <c r="L171" s="145"/>
      <c r="M171" s="145"/>
      <c r="N171" s="145"/>
    </row>
    <row r="172" spans="2:14" s="133" customFormat="1" ht="30" customHeight="1">
      <c r="B172" s="193"/>
      <c r="J172" s="145"/>
      <c r="K172" s="145"/>
      <c r="L172" s="145"/>
      <c r="M172" s="145"/>
      <c r="N172" s="145"/>
    </row>
    <row r="173" spans="2:14" s="133" customFormat="1" ht="30" customHeight="1">
      <c r="B173" s="193"/>
      <c r="J173" s="145"/>
      <c r="K173" s="145"/>
      <c r="L173" s="145"/>
      <c r="M173" s="145"/>
      <c r="N173" s="145"/>
    </row>
    <row r="174" spans="2:14" s="133" customFormat="1" ht="30" customHeight="1">
      <c r="B174" s="193"/>
      <c r="J174" s="145"/>
      <c r="K174" s="145"/>
      <c r="L174" s="145"/>
      <c r="M174" s="145"/>
      <c r="N174" s="145"/>
    </row>
    <row r="175" spans="2:14" s="133" customFormat="1" ht="30" customHeight="1">
      <c r="B175" s="193"/>
      <c r="J175" s="145"/>
      <c r="K175" s="145"/>
      <c r="L175" s="145"/>
      <c r="M175" s="145"/>
      <c r="N175" s="145"/>
    </row>
    <row r="176" spans="2:14" s="133" customFormat="1" ht="30" customHeight="1">
      <c r="B176" s="193"/>
      <c r="J176" s="145"/>
      <c r="K176" s="145"/>
      <c r="L176" s="145"/>
      <c r="M176" s="145"/>
      <c r="N176" s="145"/>
    </row>
    <row r="177" spans="2:14" s="133" customFormat="1" ht="30" customHeight="1">
      <c r="B177" s="193"/>
      <c r="J177" s="145"/>
      <c r="K177" s="145"/>
      <c r="L177" s="145"/>
      <c r="M177" s="145"/>
      <c r="N177" s="145"/>
    </row>
    <row r="178" spans="2:14" s="133" customFormat="1" ht="30" customHeight="1">
      <c r="B178" s="193"/>
      <c r="J178" s="145"/>
      <c r="K178" s="145"/>
      <c r="L178" s="145"/>
      <c r="M178" s="145"/>
      <c r="N178" s="145"/>
    </row>
    <row r="179" spans="2:14" s="133" customFormat="1" ht="30" customHeight="1">
      <c r="B179" s="193"/>
      <c r="J179" s="145"/>
      <c r="K179" s="145"/>
      <c r="L179" s="145"/>
      <c r="M179" s="145"/>
      <c r="N179" s="145"/>
    </row>
    <row r="180" spans="2:14" s="133" customFormat="1" ht="30" customHeight="1">
      <c r="B180" s="193"/>
      <c r="J180" s="145"/>
      <c r="K180" s="145"/>
      <c r="L180" s="145"/>
      <c r="M180" s="145"/>
      <c r="N180" s="145"/>
    </row>
    <row r="181" spans="2:14" s="133" customFormat="1" ht="30" customHeight="1">
      <c r="B181" s="193"/>
      <c r="J181" s="145"/>
      <c r="K181" s="145"/>
      <c r="L181" s="145"/>
      <c r="M181" s="145"/>
      <c r="N181" s="145"/>
    </row>
    <row r="182" spans="2:14" s="133" customFormat="1" ht="30" customHeight="1">
      <c r="B182" s="193"/>
      <c r="J182" s="145"/>
      <c r="K182" s="145"/>
      <c r="L182" s="145"/>
      <c r="M182" s="145"/>
      <c r="N182" s="145"/>
    </row>
    <row r="183" spans="2:14" s="133" customFormat="1" ht="30" customHeight="1">
      <c r="B183" s="193"/>
      <c r="J183" s="145"/>
      <c r="K183" s="145"/>
      <c r="L183" s="145"/>
      <c r="M183" s="145"/>
      <c r="N183" s="145"/>
    </row>
    <row r="184" spans="2:14" s="133" customFormat="1" ht="30" customHeight="1">
      <c r="B184" s="193"/>
      <c r="J184" s="145"/>
      <c r="K184" s="145"/>
      <c r="L184" s="145"/>
      <c r="M184" s="145"/>
      <c r="N184" s="145"/>
    </row>
    <row r="185" spans="2:14" s="133" customFormat="1" ht="30" customHeight="1">
      <c r="B185" s="193"/>
      <c r="J185" s="145"/>
      <c r="K185" s="145"/>
      <c r="L185" s="145"/>
      <c r="M185" s="145"/>
      <c r="N185" s="145"/>
    </row>
    <row r="186" spans="2:14" s="133" customFormat="1" ht="30" customHeight="1">
      <c r="B186" s="193"/>
      <c r="J186" s="145"/>
      <c r="K186" s="145"/>
      <c r="L186" s="145"/>
      <c r="M186" s="145"/>
      <c r="N186" s="145"/>
    </row>
    <row r="187" spans="2:14" s="133" customFormat="1" ht="30" customHeight="1">
      <c r="B187" s="193"/>
      <c r="J187" s="145"/>
      <c r="K187" s="145"/>
      <c r="L187" s="145"/>
      <c r="M187" s="145"/>
      <c r="N187" s="145"/>
    </row>
    <row r="188" spans="2:14" s="133" customFormat="1" ht="30" customHeight="1">
      <c r="B188" s="193"/>
      <c r="J188" s="145"/>
      <c r="K188" s="145"/>
      <c r="L188" s="145"/>
      <c r="M188" s="145"/>
      <c r="N188" s="145"/>
    </row>
    <row r="189" spans="2:14" s="133" customFormat="1" ht="30" customHeight="1">
      <c r="B189" s="193"/>
      <c r="J189" s="145"/>
      <c r="K189" s="145"/>
      <c r="L189" s="145"/>
      <c r="M189" s="145"/>
      <c r="N189" s="145"/>
    </row>
    <row r="190" spans="2:14" s="133" customFormat="1" ht="30" customHeight="1">
      <c r="B190" s="193"/>
      <c r="J190" s="145"/>
      <c r="K190" s="145"/>
      <c r="L190" s="145"/>
      <c r="M190" s="145"/>
      <c r="N190" s="145"/>
    </row>
    <row r="191" spans="2:14" s="133" customFormat="1" ht="30" customHeight="1">
      <c r="B191" s="193"/>
      <c r="J191" s="145"/>
      <c r="K191" s="145"/>
      <c r="L191" s="145"/>
      <c r="M191" s="145"/>
      <c r="N191" s="145"/>
    </row>
    <row r="192" spans="2:14" s="133" customFormat="1" ht="30" customHeight="1">
      <c r="B192" s="193"/>
      <c r="J192" s="145"/>
      <c r="K192" s="145"/>
      <c r="L192" s="145"/>
      <c r="M192" s="145"/>
      <c r="N192" s="145"/>
    </row>
    <row r="193" spans="2:14" s="133" customFormat="1" ht="30" customHeight="1">
      <c r="B193" s="193"/>
      <c r="J193" s="145"/>
      <c r="K193" s="145"/>
      <c r="L193" s="145"/>
      <c r="M193" s="145"/>
      <c r="N193" s="145"/>
    </row>
    <row r="194" spans="2:14" s="133" customFormat="1" ht="30" customHeight="1">
      <c r="B194" s="193"/>
      <c r="J194" s="145"/>
      <c r="K194" s="145"/>
      <c r="L194" s="145"/>
      <c r="M194" s="145"/>
      <c r="N194" s="145"/>
    </row>
    <row r="195" spans="2:14" s="133" customFormat="1" ht="30" customHeight="1">
      <c r="B195" s="193"/>
      <c r="J195" s="145"/>
      <c r="K195" s="145"/>
      <c r="L195" s="145"/>
      <c r="M195" s="145"/>
      <c r="N195" s="145"/>
    </row>
    <row r="196" spans="2:14" s="133" customFormat="1" ht="30" customHeight="1">
      <c r="B196" s="193"/>
      <c r="J196" s="145"/>
      <c r="K196" s="145"/>
      <c r="L196" s="145"/>
      <c r="M196" s="145"/>
      <c r="N196" s="145"/>
    </row>
    <row r="197" spans="2:14" s="133" customFormat="1" ht="30" customHeight="1">
      <c r="B197" s="193"/>
      <c r="J197" s="145"/>
      <c r="K197" s="145"/>
      <c r="L197" s="145"/>
      <c r="M197" s="145"/>
      <c r="N197" s="145"/>
    </row>
    <row r="198" spans="2:14" s="133" customFormat="1" ht="30" customHeight="1">
      <c r="B198" s="193"/>
      <c r="J198" s="145"/>
      <c r="K198" s="145"/>
      <c r="L198" s="145"/>
      <c r="M198" s="145"/>
      <c r="N198" s="145"/>
    </row>
    <row r="199" spans="2:14" s="133" customFormat="1" ht="30" customHeight="1">
      <c r="B199" s="193"/>
      <c r="J199" s="145"/>
      <c r="K199" s="145"/>
      <c r="L199" s="145"/>
      <c r="M199" s="145"/>
      <c r="N199" s="145"/>
    </row>
    <row r="200" spans="2:14" s="133" customFormat="1" ht="30" customHeight="1">
      <c r="B200" s="193"/>
      <c r="J200" s="145"/>
      <c r="K200" s="145"/>
      <c r="L200" s="145"/>
      <c r="M200" s="145"/>
      <c r="N200" s="145"/>
    </row>
    <row r="201" spans="2:14" s="133" customFormat="1" ht="30" customHeight="1">
      <c r="B201" s="193"/>
      <c r="J201" s="145"/>
      <c r="K201" s="145"/>
      <c r="L201" s="145"/>
      <c r="M201" s="145"/>
      <c r="N201" s="145"/>
    </row>
    <row r="202" spans="2:14" s="133" customFormat="1" ht="30" customHeight="1">
      <c r="B202" s="193"/>
      <c r="J202" s="145"/>
      <c r="K202" s="145"/>
      <c r="L202" s="145"/>
      <c r="M202" s="145"/>
      <c r="N202" s="145"/>
    </row>
    <row r="203" spans="2:14" s="133" customFormat="1" ht="30" customHeight="1">
      <c r="B203" s="193"/>
      <c r="J203" s="145"/>
      <c r="K203" s="145"/>
      <c r="L203" s="145"/>
      <c r="M203" s="145"/>
      <c r="N203" s="145"/>
    </row>
    <row r="204" spans="2:14" s="133" customFormat="1" ht="30" customHeight="1">
      <c r="B204" s="193"/>
      <c r="J204" s="145"/>
      <c r="K204" s="145"/>
      <c r="L204" s="145"/>
      <c r="M204" s="145"/>
      <c r="N204" s="145"/>
    </row>
    <row r="205" spans="2:14" s="133" customFormat="1" ht="30" customHeight="1">
      <c r="B205" s="193"/>
      <c r="J205" s="145"/>
      <c r="K205" s="145"/>
      <c r="L205" s="145"/>
      <c r="M205" s="145"/>
      <c r="N205" s="145"/>
    </row>
    <row r="206" spans="2:14" s="133" customFormat="1" ht="30" customHeight="1">
      <c r="B206" s="193"/>
      <c r="J206" s="145"/>
      <c r="K206" s="145"/>
      <c r="L206" s="145"/>
      <c r="M206" s="145"/>
      <c r="N206" s="145"/>
    </row>
    <row r="207" spans="2:14" s="133" customFormat="1" ht="30" customHeight="1">
      <c r="B207" s="193"/>
      <c r="J207" s="145"/>
      <c r="K207" s="145"/>
      <c r="L207" s="145"/>
      <c r="M207" s="145"/>
      <c r="N207" s="145"/>
    </row>
    <row r="208" spans="2:14" s="133" customFormat="1" ht="30" customHeight="1">
      <c r="B208" s="193"/>
      <c r="J208" s="145"/>
      <c r="K208" s="145"/>
      <c r="L208" s="145"/>
      <c r="M208" s="145"/>
      <c r="N208" s="145"/>
    </row>
    <row r="209" spans="2:14" s="133" customFormat="1" ht="30" customHeight="1">
      <c r="B209" s="193"/>
      <c r="J209" s="145"/>
      <c r="K209" s="145"/>
      <c r="L209" s="145"/>
      <c r="M209" s="145"/>
      <c r="N209" s="145"/>
    </row>
    <row r="210" spans="2:14" s="133" customFormat="1" ht="30" customHeight="1">
      <c r="B210" s="193"/>
      <c r="J210" s="145"/>
      <c r="K210" s="145"/>
      <c r="L210" s="145"/>
      <c r="M210" s="145"/>
      <c r="N210" s="145"/>
    </row>
    <row r="211" spans="2:14" s="133" customFormat="1" ht="30" customHeight="1">
      <c r="B211" s="193"/>
      <c r="J211" s="145"/>
      <c r="K211" s="145"/>
      <c r="L211" s="145"/>
      <c r="M211" s="145"/>
      <c r="N211" s="145"/>
    </row>
    <row r="212" spans="2:14" s="133" customFormat="1" ht="30" customHeight="1">
      <c r="B212" s="193"/>
      <c r="J212" s="145"/>
      <c r="K212" s="145"/>
      <c r="L212" s="145"/>
      <c r="M212" s="145"/>
      <c r="N212" s="145"/>
    </row>
    <row r="213" spans="2:14" s="133" customFormat="1" ht="30" customHeight="1">
      <c r="B213" s="193"/>
      <c r="J213" s="145"/>
      <c r="K213" s="145"/>
      <c r="L213" s="145"/>
      <c r="M213" s="145"/>
      <c r="N213" s="145"/>
    </row>
    <row r="214" spans="2:14" s="133" customFormat="1" ht="30" customHeight="1">
      <c r="B214" s="193"/>
      <c r="J214" s="145"/>
      <c r="K214" s="145"/>
      <c r="L214" s="145"/>
      <c r="M214" s="145"/>
      <c r="N214" s="145"/>
    </row>
    <row r="215" spans="2:14" s="133" customFormat="1" ht="30" customHeight="1">
      <c r="B215" s="193"/>
      <c r="J215" s="145"/>
      <c r="K215" s="145"/>
      <c r="L215" s="145"/>
      <c r="M215" s="145"/>
      <c r="N215" s="145"/>
    </row>
    <row r="216" spans="2:14" s="133" customFormat="1" ht="30" customHeight="1">
      <c r="B216" s="193"/>
      <c r="J216" s="145"/>
      <c r="K216" s="145"/>
      <c r="L216" s="145"/>
      <c r="M216" s="145"/>
      <c r="N216" s="145"/>
    </row>
    <row r="217" spans="2:14" s="133" customFormat="1" ht="30" customHeight="1">
      <c r="B217" s="193"/>
      <c r="J217" s="145"/>
      <c r="K217" s="145"/>
      <c r="L217" s="145"/>
      <c r="M217" s="145"/>
      <c r="N217" s="145"/>
    </row>
    <row r="218" spans="2:14" s="133" customFormat="1" ht="30" customHeight="1">
      <c r="B218" s="193"/>
      <c r="J218" s="145"/>
      <c r="K218" s="145"/>
      <c r="L218" s="145"/>
      <c r="M218" s="145"/>
      <c r="N218" s="145"/>
    </row>
    <row r="219" spans="2:14" s="133" customFormat="1" ht="30" customHeight="1">
      <c r="B219" s="193"/>
      <c r="J219" s="145"/>
      <c r="K219" s="145"/>
      <c r="L219" s="145"/>
      <c r="M219" s="145"/>
      <c r="N219" s="145"/>
    </row>
    <row r="220" spans="2:14" s="133" customFormat="1" ht="30" customHeight="1">
      <c r="B220" s="193"/>
      <c r="J220" s="145"/>
      <c r="K220" s="145"/>
      <c r="L220" s="145"/>
      <c r="M220" s="145"/>
      <c r="N220" s="145"/>
    </row>
    <row r="221" spans="2:14" s="133" customFormat="1" ht="30" customHeight="1">
      <c r="B221" s="193"/>
      <c r="J221" s="145"/>
      <c r="K221" s="145"/>
      <c r="L221" s="145"/>
      <c r="M221" s="145"/>
      <c r="N221" s="145"/>
    </row>
    <row r="222" spans="2:14" s="133" customFormat="1" ht="30" customHeight="1">
      <c r="B222" s="193"/>
      <c r="J222" s="145"/>
      <c r="K222" s="145"/>
      <c r="L222" s="145"/>
      <c r="M222" s="145"/>
      <c r="N222" s="145"/>
    </row>
    <row r="223" spans="2:14" s="133" customFormat="1" ht="30" customHeight="1">
      <c r="B223" s="193"/>
      <c r="J223" s="145"/>
      <c r="K223" s="145"/>
      <c r="L223" s="145"/>
      <c r="M223" s="145"/>
      <c r="N223" s="145"/>
    </row>
    <row r="224" spans="2:14" s="133" customFormat="1" ht="30" customHeight="1">
      <c r="B224" s="193"/>
      <c r="J224" s="145"/>
      <c r="K224" s="145"/>
      <c r="L224" s="145"/>
      <c r="M224" s="145"/>
      <c r="N224" s="145"/>
    </row>
    <row r="225" spans="2:14" s="133" customFormat="1" ht="30" customHeight="1">
      <c r="B225" s="193"/>
      <c r="J225" s="145"/>
      <c r="K225" s="145"/>
      <c r="L225" s="145"/>
      <c r="M225" s="145"/>
      <c r="N225" s="145"/>
    </row>
    <row r="226" spans="2:14" s="133" customFormat="1" ht="30" customHeight="1">
      <c r="B226" s="193"/>
      <c r="J226" s="145"/>
      <c r="K226" s="145"/>
      <c r="L226" s="145"/>
      <c r="M226" s="145"/>
      <c r="N226" s="145"/>
    </row>
    <row r="227" spans="2:14" s="133" customFormat="1" ht="30" customHeight="1">
      <c r="B227" s="193"/>
      <c r="J227" s="145"/>
      <c r="K227" s="145"/>
      <c r="L227" s="145"/>
      <c r="M227" s="145"/>
      <c r="N227" s="145"/>
    </row>
    <row r="228" spans="2:14" s="133" customFormat="1" ht="30" customHeight="1">
      <c r="B228" s="193"/>
      <c r="J228" s="145"/>
      <c r="K228" s="145"/>
      <c r="L228" s="145"/>
      <c r="M228" s="145"/>
      <c r="N228" s="145"/>
    </row>
    <row r="229" spans="2:14" s="133" customFormat="1" ht="30" customHeight="1">
      <c r="B229" s="193"/>
      <c r="J229" s="145"/>
      <c r="K229" s="145"/>
      <c r="L229" s="145"/>
      <c r="M229" s="145"/>
      <c r="N229" s="145"/>
    </row>
    <row r="230" spans="2:14" s="133" customFormat="1" ht="30" customHeight="1">
      <c r="B230" s="193"/>
      <c r="J230" s="145"/>
      <c r="K230" s="145"/>
      <c r="L230" s="145"/>
      <c r="M230" s="145"/>
      <c r="N230" s="145"/>
    </row>
    <row r="231" spans="2:14" s="133" customFormat="1" ht="30" customHeight="1">
      <c r="B231" s="193"/>
      <c r="J231" s="145"/>
      <c r="K231" s="145"/>
      <c r="L231" s="145"/>
      <c r="M231" s="145"/>
      <c r="N231" s="145"/>
    </row>
    <row r="232" spans="2:14" s="133" customFormat="1" ht="30" customHeight="1">
      <c r="B232" s="193"/>
      <c r="J232" s="145"/>
      <c r="K232" s="145"/>
      <c r="L232" s="145"/>
      <c r="M232" s="145"/>
      <c r="N232" s="145"/>
    </row>
    <row r="233" spans="2:14" s="133" customFormat="1" ht="30" customHeight="1">
      <c r="B233" s="193"/>
      <c r="J233" s="145"/>
      <c r="K233" s="145"/>
      <c r="L233" s="145"/>
      <c r="M233" s="145"/>
      <c r="N233" s="145"/>
    </row>
    <row r="234" spans="2:14" s="133" customFormat="1" ht="30" customHeight="1">
      <c r="B234" s="193"/>
      <c r="J234" s="145"/>
      <c r="K234" s="145"/>
      <c r="L234" s="145"/>
      <c r="M234" s="145"/>
      <c r="N234" s="145"/>
    </row>
    <row r="235" spans="2:14" s="133" customFormat="1" ht="30" customHeight="1">
      <c r="B235" s="193"/>
      <c r="J235" s="145"/>
      <c r="K235" s="145"/>
      <c r="L235" s="145"/>
      <c r="M235" s="145"/>
      <c r="N235" s="145"/>
    </row>
    <row r="236" spans="2:14" s="133" customFormat="1" ht="30" customHeight="1">
      <c r="B236" s="193"/>
      <c r="J236" s="145"/>
      <c r="K236" s="145"/>
      <c r="L236" s="145"/>
      <c r="M236" s="145"/>
      <c r="N236" s="145"/>
    </row>
    <row r="237" spans="2:14" s="133" customFormat="1" ht="30" customHeight="1">
      <c r="B237" s="193"/>
      <c r="J237" s="145"/>
      <c r="K237" s="145"/>
      <c r="L237" s="145"/>
      <c r="M237" s="145"/>
      <c r="N237" s="145"/>
    </row>
    <row r="238" spans="2:14" s="133" customFormat="1" ht="30" customHeight="1">
      <c r="B238" s="193"/>
      <c r="J238" s="145"/>
      <c r="K238" s="145"/>
      <c r="L238" s="145"/>
      <c r="M238" s="145"/>
      <c r="N238" s="145"/>
    </row>
    <row r="239" spans="2:14" s="133" customFormat="1" ht="30" customHeight="1">
      <c r="B239" s="193"/>
      <c r="J239" s="145"/>
      <c r="K239" s="145"/>
      <c r="L239" s="145"/>
      <c r="M239" s="145"/>
      <c r="N239" s="145"/>
    </row>
    <row r="240" spans="2:14" s="133" customFormat="1" ht="30" customHeight="1">
      <c r="B240" s="193"/>
      <c r="J240" s="145"/>
      <c r="K240" s="145"/>
      <c r="L240" s="145"/>
      <c r="M240" s="145"/>
      <c r="N240" s="145"/>
    </row>
    <row r="241" spans="2:14" s="133" customFormat="1" ht="30" customHeight="1">
      <c r="B241" s="193"/>
      <c r="J241" s="145"/>
      <c r="K241" s="145"/>
      <c r="L241" s="145"/>
      <c r="M241" s="145"/>
      <c r="N241" s="145"/>
    </row>
    <row r="242" spans="2:14" s="133" customFormat="1" ht="30" customHeight="1">
      <c r="B242" s="193"/>
      <c r="J242" s="145"/>
      <c r="K242" s="145"/>
      <c r="L242" s="145"/>
      <c r="M242" s="145"/>
      <c r="N242" s="145"/>
    </row>
    <row r="243" spans="2:14" s="133" customFormat="1" ht="30" customHeight="1">
      <c r="B243" s="193"/>
      <c r="J243" s="145"/>
      <c r="K243" s="145"/>
      <c r="L243" s="145"/>
      <c r="M243" s="145"/>
      <c r="N243" s="145"/>
    </row>
    <row r="244" spans="2:14" s="133" customFormat="1" ht="30" customHeight="1">
      <c r="B244" s="193"/>
      <c r="J244" s="145"/>
      <c r="K244" s="145"/>
      <c r="L244" s="145"/>
      <c r="M244" s="145"/>
      <c r="N244" s="145"/>
    </row>
    <row r="245" spans="2:14" s="133" customFormat="1" ht="30" customHeight="1">
      <c r="B245" s="193"/>
      <c r="J245" s="145"/>
      <c r="K245" s="145"/>
      <c r="L245" s="145"/>
      <c r="M245" s="145"/>
      <c r="N245" s="145"/>
    </row>
    <row r="246" spans="2:14" s="133" customFormat="1" ht="30" customHeight="1">
      <c r="B246" s="193"/>
      <c r="J246" s="145"/>
      <c r="K246" s="145"/>
      <c r="L246" s="145"/>
      <c r="M246" s="145"/>
      <c r="N246" s="145"/>
    </row>
    <row r="247" spans="2:14" s="133" customFormat="1" ht="30" customHeight="1">
      <c r="B247" s="193"/>
      <c r="J247" s="145"/>
      <c r="K247" s="145"/>
      <c r="L247" s="145"/>
      <c r="M247" s="145"/>
      <c r="N247" s="145"/>
    </row>
    <row r="248" spans="2:14" s="133" customFormat="1" ht="30" customHeight="1">
      <c r="B248" s="193"/>
      <c r="J248" s="145"/>
      <c r="K248" s="145"/>
      <c r="L248" s="145"/>
      <c r="M248" s="145"/>
      <c r="N248" s="145"/>
    </row>
    <row r="249" spans="2:14" s="133" customFormat="1" ht="30" customHeight="1">
      <c r="B249" s="193"/>
      <c r="J249" s="145"/>
      <c r="K249" s="145"/>
      <c r="L249" s="145"/>
      <c r="M249" s="145"/>
      <c r="N249" s="145"/>
    </row>
    <row r="250" spans="2:14" s="133" customFormat="1" ht="30" customHeight="1">
      <c r="B250" s="193"/>
      <c r="J250" s="145"/>
      <c r="K250" s="145"/>
      <c r="L250" s="145"/>
      <c r="M250" s="145"/>
      <c r="N250" s="145"/>
    </row>
    <row r="251" spans="2:14" s="133" customFormat="1" ht="30" customHeight="1">
      <c r="B251" s="193"/>
      <c r="J251" s="145"/>
      <c r="K251" s="145"/>
      <c r="L251" s="145"/>
      <c r="M251" s="145"/>
      <c r="N251" s="145"/>
    </row>
    <row r="252" spans="2:14" s="133" customFormat="1" ht="30" customHeight="1">
      <c r="B252" s="193"/>
      <c r="J252" s="145"/>
      <c r="K252" s="145"/>
      <c r="L252" s="145"/>
      <c r="M252" s="145"/>
      <c r="N252" s="145"/>
    </row>
    <row r="253" spans="2:14" s="133" customFormat="1" ht="30" customHeight="1">
      <c r="B253" s="193"/>
      <c r="J253" s="145"/>
      <c r="K253" s="145"/>
      <c r="L253" s="145"/>
      <c r="M253" s="145"/>
      <c r="N253" s="145"/>
    </row>
    <row r="254" spans="2:14" s="133" customFormat="1" ht="30" customHeight="1">
      <c r="B254" s="193"/>
      <c r="J254" s="145"/>
      <c r="K254" s="145"/>
      <c r="L254" s="145"/>
      <c r="M254" s="145"/>
      <c r="N254" s="145"/>
    </row>
    <row r="255" spans="2:14" s="133" customFormat="1" ht="30" customHeight="1">
      <c r="B255" s="193"/>
      <c r="J255" s="145"/>
      <c r="K255" s="145"/>
      <c r="L255" s="145"/>
      <c r="M255" s="145"/>
      <c r="N255" s="145"/>
    </row>
    <row r="256" spans="2:14" s="133" customFormat="1" ht="30" customHeight="1">
      <c r="B256" s="193"/>
      <c r="J256" s="145"/>
      <c r="K256" s="145"/>
      <c r="L256" s="145"/>
      <c r="M256" s="145"/>
      <c r="N256" s="145"/>
    </row>
    <row r="257" spans="2:14" s="133" customFormat="1" ht="30" customHeight="1">
      <c r="B257" s="193"/>
      <c r="J257" s="145"/>
      <c r="K257" s="145"/>
      <c r="L257" s="145"/>
      <c r="M257" s="145"/>
      <c r="N257" s="145"/>
    </row>
    <row r="258" spans="2:14" s="133" customFormat="1" ht="30" customHeight="1">
      <c r="B258" s="193"/>
      <c r="J258" s="145"/>
      <c r="K258" s="145"/>
      <c r="L258" s="145"/>
      <c r="M258" s="145"/>
      <c r="N258" s="145"/>
    </row>
    <row r="259" spans="2:14" s="133" customFormat="1" ht="30" customHeight="1">
      <c r="B259" s="193"/>
      <c r="J259" s="145"/>
      <c r="K259" s="145"/>
      <c r="L259" s="145"/>
      <c r="M259" s="145"/>
      <c r="N259" s="145"/>
    </row>
    <row r="260" spans="2:14" s="133" customFormat="1" ht="30" customHeight="1">
      <c r="B260" s="193"/>
      <c r="J260" s="145"/>
      <c r="K260" s="145"/>
      <c r="L260" s="145"/>
      <c r="M260" s="145"/>
      <c r="N260" s="145"/>
    </row>
    <row r="261" spans="2:14" s="133" customFormat="1" ht="30" customHeight="1">
      <c r="B261" s="193"/>
      <c r="J261" s="145"/>
      <c r="K261" s="145"/>
      <c r="L261" s="145"/>
      <c r="M261" s="145"/>
      <c r="N261" s="145"/>
    </row>
    <row r="262" spans="2:14" s="133" customFormat="1" ht="30" customHeight="1">
      <c r="B262" s="193"/>
      <c r="J262" s="145"/>
      <c r="K262" s="145"/>
      <c r="L262" s="145"/>
      <c r="M262" s="145"/>
      <c r="N262" s="145"/>
    </row>
    <row r="263" spans="2:14" s="133" customFormat="1" ht="30" customHeight="1">
      <c r="B263" s="193"/>
      <c r="J263" s="145"/>
      <c r="K263" s="145"/>
      <c r="L263" s="145"/>
      <c r="M263" s="145"/>
      <c r="N263" s="145"/>
    </row>
    <row r="264" spans="2:14" s="133" customFormat="1" ht="30" customHeight="1">
      <c r="B264" s="193"/>
      <c r="J264" s="145"/>
      <c r="K264" s="145"/>
      <c r="L264" s="145"/>
      <c r="M264" s="145"/>
      <c r="N264" s="145"/>
    </row>
    <row r="265" spans="2:14" s="133" customFormat="1" ht="30" customHeight="1">
      <c r="B265" s="193"/>
      <c r="J265" s="145"/>
      <c r="K265" s="145"/>
      <c r="L265" s="145"/>
      <c r="M265" s="145"/>
      <c r="N265" s="145"/>
    </row>
    <row r="266" spans="2:14" s="133" customFormat="1" ht="30" customHeight="1">
      <c r="B266" s="193"/>
      <c r="J266" s="145"/>
      <c r="K266" s="145"/>
      <c r="L266" s="145"/>
      <c r="M266" s="145"/>
      <c r="N266" s="145"/>
    </row>
  </sheetData>
  <mergeCells count="32">
    <mergeCell ref="A1:C1"/>
    <mergeCell ref="B116:E116"/>
    <mergeCell ref="F7:F8"/>
    <mergeCell ref="B9:G9"/>
    <mergeCell ref="B112:G112"/>
    <mergeCell ref="A115:G115"/>
    <mergeCell ref="B65:G65"/>
    <mergeCell ref="B70:G70"/>
    <mergeCell ref="B72:G72"/>
    <mergeCell ref="B11:E11"/>
    <mergeCell ref="B12:G12"/>
    <mergeCell ref="B86:G86"/>
    <mergeCell ref="B108:G108"/>
    <mergeCell ref="B13:G13"/>
    <mergeCell ref="B64:G64"/>
    <mergeCell ref="B18:G18"/>
    <mergeCell ref="H2:H4"/>
    <mergeCell ref="A5:B6"/>
    <mergeCell ref="H5:H6"/>
    <mergeCell ref="F6:G6"/>
    <mergeCell ref="B2:D2"/>
    <mergeCell ref="E2:G4"/>
    <mergeCell ref="B20:G20"/>
    <mergeCell ref="B34:G34"/>
    <mergeCell ref="B56:G56"/>
    <mergeCell ref="B60:G60"/>
    <mergeCell ref="H7:H8"/>
    <mergeCell ref="G7:G8"/>
    <mergeCell ref="A10:G10"/>
    <mergeCell ref="C7:C8"/>
    <mergeCell ref="D7:D8"/>
    <mergeCell ref="E7:E8"/>
  </mergeCells>
  <printOptions gridLines="1"/>
  <pageMargins left="0.75" right="0.75" top="1" bottom="1" header="0.5" footer="0.5"/>
  <pageSetup scale="65" orientation="landscape" horizontalDpi="1200" verticalDpi="1200" r:id="rId1"/>
  <headerFooter>
    <oddHeader>&amp;L&amp;F&amp;C&amp;A&amp;R&amp;G</oddHeader>
    <oddFooter>&amp;C&amp;"Tahoma,Italic"Use or disclosure of the data on this page or screen is subject to the restrictions on the title page or opening view screen of this proposal document or file.&amp;R&amp;P of &amp;N</oddFooter>
  </headerFooter>
  <ignoredErrors>
    <ignoredError sqref="E14:E17 E19 E21:E33 E35:E55 E73:E85 E71 E66:E69 E61 F61:F62 E87:E107 F113:F114 E113 E118:E128 E117 F19 F71 F118:G128" unlockedFormula="1"/>
  </ignoredErrors>
  <legacyDrawingHF r:id="rId2"/>
</worksheet>
</file>

<file path=xl/worksheets/sheet29.xml><?xml version="1.0" encoding="utf-8"?>
<worksheet xmlns="http://schemas.openxmlformats.org/spreadsheetml/2006/main" xmlns:r="http://schemas.openxmlformats.org/officeDocument/2006/relationships">
  <sheetPr enableFormatConditionsCalculation="0">
    <pageSetUpPr fitToPage="1"/>
  </sheetPr>
  <dimension ref="A1:N266"/>
  <sheetViews>
    <sheetView zoomScaleNormal="100" zoomScaleSheetLayoutView="90" workbookViewId="0">
      <selection activeCell="I5" sqref="I5"/>
    </sheetView>
  </sheetViews>
  <sheetFormatPr defaultRowHeight="30" customHeight="1"/>
  <cols>
    <col min="1" max="1" width="14.83203125" style="143" customWidth="1"/>
    <col min="2" max="2" width="23.5" style="309" customWidth="1"/>
    <col min="3" max="3" width="17.6640625" style="143" customWidth="1"/>
    <col min="4" max="4" width="12.83203125" style="143" hidden="1" customWidth="1"/>
    <col min="5" max="5" width="12" style="143" customWidth="1"/>
    <col min="6" max="6" width="12.5" style="143" customWidth="1"/>
    <col min="7" max="7" width="13.33203125" style="143" hidden="1" customWidth="1"/>
    <col min="8" max="8" width="31.33203125" style="143" customWidth="1"/>
    <col min="9" max="9" width="33.5" style="143" customWidth="1"/>
    <col min="10" max="14" width="9.33203125" style="9" customWidth="1"/>
  </cols>
  <sheetData>
    <row r="1" spans="1:14" ht="30" customHeight="1">
      <c r="A1" s="1545" t="s">
        <v>424</v>
      </c>
      <c r="B1" s="1546"/>
      <c r="C1" s="226"/>
      <c r="D1" s="226"/>
      <c r="E1" s="226"/>
      <c r="F1" s="226"/>
      <c r="G1" s="226"/>
      <c r="H1" s="226"/>
      <c r="I1" s="609"/>
      <c r="J1" s="8"/>
      <c r="K1" s="8"/>
      <c r="L1" s="8"/>
      <c r="M1" s="8"/>
      <c r="N1" s="8"/>
    </row>
    <row r="2" spans="1:14" s="81" customFormat="1" ht="30" customHeight="1">
      <c r="A2" s="379"/>
      <c r="B2" s="1339" t="s">
        <v>370</v>
      </c>
      <c r="C2" s="1339"/>
      <c r="D2" s="1339"/>
      <c r="E2" s="1340" t="s">
        <v>622</v>
      </c>
      <c r="F2" s="1340"/>
      <c r="G2" s="1340"/>
      <c r="H2" s="1341" t="s">
        <v>623</v>
      </c>
      <c r="I2" s="606" t="s">
        <v>631</v>
      </c>
      <c r="J2" s="138"/>
      <c r="K2" s="138"/>
      <c r="L2" s="138"/>
      <c r="M2" s="138"/>
      <c r="N2" s="138"/>
    </row>
    <row r="3" spans="1:14" s="81" customFormat="1" ht="12" customHeight="1">
      <c r="A3" s="419" t="s">
        <v>426</v>
      </c>
      <c r="B3" s="419"/>
      <c r="C3" s="419"/>
      <c r="D3" s="419"/>
      <c r="E3" s="1340"/>
      <c r="F3" s="1340"/>
      <c r="G3" s="1340"/>
      <c r="H3" s="1341"/>
      <c r="I3" s="606"/>
      <c r="J3" s="138"/>
      <c r="K3" s="138"/>
      <c r="L3" s="138"/>
      <c r="M3" s="138"/>
      <c r="N3" s="138"/>
    </row>
    <row r="4" spans="1:14" s="81" customFormat="1" ht="9.75" customHeight="1">
      <c r="A4" s="419"/>
      <c r="B4" s="419"/>
      <c r="C4" s="419"/>
      <c r="D4" s="419"/>
      <c r="E4" s="1340"/>
      <c r="F4" s="1340"/>
      <c r="G4" s="1340"/>
      <c r="H4" s="1341"/>
      <c r="I4" s="606"/>
      <c r="J4" s="138"/>
      <c r="K4" s="138"/>
      <c r="L4" s="138"/>
      <c r="M4" s="138"/>
      <c r="N4" s="138"/>
    </row>
    <row r="5" spans="1:14" s="81" customFormat="1" ht="46.5" customHeight="1">
      <c r="A5" s="1313" t="s">
        <v>1330</v>
      </c>
      <c r="B5" s="1313"/>
      <c r="C5" s="386"/>
      <c r="D5" s="607" t="s">
        <v>624</v>
      </c>
      <c r="E5" s="607" t="s">
        <v>277</v>
      </c>
      <c r="F5" s="420" t="s">
        <v>427</v>
      </c>
      <c r="G5" s="420"/>
      <c r="H5" s="1341" t="s">
        <v>625</v>
      </c>
      <c r="I5" s="606"/>
      <c r="J5" s="138"/>
      <c r="K5" s="138"/>
      <c r="L5" s="138"/>
      <c r="M5" s="138"/>
      <c r="N5" s="138"/>
    </row>
    <row r="6" spans="1:14" ht="45" customHeight="1">
      <c r="A6" s="1313"/>
      <c r="B6" s="1313"/>
      <c r="C6" s="603"/>
      <c r="D6" s="237"/>
      <c r="E6" s="237"/>
      <c r="F6" s="1369">
        <v>40638</v>
      </c>
      <c r="G6" s="1369"/>
      <c r="H6" s="1341"/>
      <c r="I6" s="606"/>
      <c r="J6" s="8"/>
      <c r="K6" s="8"/>
      <c r="L6" s="8"/>
      <c r="M6" s="8"/>
      <c r="N6" s="8"/>
    </row>
    <row r="7" spans="1:14" ht="30" customHeight="1">
      <c r="A7" s="610" t="s">
        <v>653</v>
      </c>
      <c r="B7" s="330" t="s">
        <v>428</v>
      </c>
      <c r="C7" s="1311" t="s">
        <v>429</v>
      </c>
      <c r="D7" s="1317" t="s">
        <v>620</v>
      </c>
      <c r="E7" s="1318" t="s">
        <v>432</v>
      </c>
      <c r="F7" s="1316" t="s">
        <v>430</v>
      </c>
      <c r="G7" s="1317" t="s">
        <v>621</v>
      </c>
      <c r="H7" s="1328" t="s">
        <v>431</v>
      </c>
      <c r="I7" s="605" t="s">
        <v>627</v>
      </c>
      <c r="J7" s="8"/>
      <c r="K7" s="8"/>
      <c r="L7" s="8"/>
      <c r="M7" s="8"/>
      <c r="N7" s="8"/>
    </row>
    <row r="8" spans="1:14" ht="24" customHeight="1">
      <c r="A8" s="601"/>
      <c r="B8" s="99"/>
      <c r="C8" s="1311"/>
      <c r="D8" s="1317"/>
      <c r="E8" s="1318"/>
      <c r="F8" s="1316"/>
      <c r="G8" s="1317"/>
      <c r="H8" s="1328"/>
      <c r="I8" s="605"/>
      <c r="J8" s="8"/>
      <c r="K8" s="8"/>
      <c r="L8" s="8"/>
      <c r="M8" s="8"/>
      <c r="N8" s="8"/>
    </row>
    <row r="9" spans="1:14" s="133" customFormat="1" ht="30" customHeight="1">
      <c r="A9" s="73"/>
      <c r="B9" s="1434" t="s">
        <v>355</v>
      </c>
      <c r="C9" s="1308"/>
      <c r="D9" s="1308"/>
      <c r="E9" s="1308"/>
      <c r="F9" s="1308"/>
      <c r="G9" s="1308"/>
      <c r="H9" s="602"/>
      <c r="I9" s="608"/>
      <c r="J9" s="145"/>
      <c r="K9" s="145"/>
      <c r="L9" s="145"/>
      <c r="M9" s="145"/>
      <c r="N9" s="145"/>
    </row>
    <row r="10" spans="1:14" s="133" customFormat="1" ht="30" customHeight="1">
      <c r="A10" s="1420" t="s">
        <v>609</v>
      </c>
      <c r="B10" s="1450"/>
      <c r="C10" s="1450"/>
      <c r="D10" s="1450"/>
      <c r="E10" s="1450"/>
      <c r="F10" s="1450"/>
      <c r="G10" s="1450"/>
      <c r="H10" s="614"/>
      <c r="I10" s="608"/>
      <c r="J10" s="145"/>
      <c r="K10" s="145"/>
      <c r="L10" s="145"/>
      <c r="M10" s="145"/>
      <c r="N10" s="145"/>
    </row>
    <row r="11" spans="1:14" s="30" customFormat="1" ht="30" customHeight="1">
      <c r="A11" s="491"/>
      <c r="B11" s="1434" t="s">
        <v>356</v>
      </c>
      <c r="C11" s="1308"/>
      <c r="D11" s="1308"/>
      <c r="E11" s="1308"/>
      <c r="F11" s="281"/>
      <c r="G11" s="281"/>
      <c r="H11" s="281"/>
      <c r="I11" s="608"/>
      <c r="J11" s="158"/>
      <c r="K11" s="158"/>
      <c r="L11" s="158"/>
      <c r="M11" s="158"/>
      <c r="N11" s="158"/>
    </row>
    <row r="12" spans="1:14" s="30" customFormat="1" ht="64.5" customHeight="1">
      <c r="A12" s="491"/>
      <c r="B12" s="1455" t="s">
        <v>547</v>
      </c>
      <c r="C12" s="1308"/>
      <c r="D12" s="1308"/>
      <c r="E12" s="1308"/>
      <c r="F12" s="1308"/>
      <c r="G12" s="1308"/>
      <c r="H12" s="602"/>
      <c r="I12" s="608"/>
      <c r="J12" s="158"/>
      <c r="K12" s="158"/>
      <c r="L12" s="158"/>
      <c r="M12" s="158"/>
      <c r="N12" s="158"/>
    </row>
    <row r="13" spans="1:14" s="30" customFormat="1" ht="30" customHeight="1">
      <c r="A13" s="491"/>
      <c r="B13" s="1457" t="s">
        <v>553</v>
      </c>
      <c r="C13" s="1448"/>
      <c r="D13" s="1448"/>
      <c r="E13" s="1448"/>
      <c r="F13" s="1448"/>
      <c r="G13" s="1448"/>
      <c r="H13" s="615"/>
      <c r="I13" s="608"/>
      <c r="J13" s="158"/>
      <c r="K13" s="158"/>
      <c r="L13" s="158"/>
      <c r="M13" s="158"/>
      <c r="N13" s="158"/>
    </row>
    <row r="14" spans="1:14" s="133" customFormat="1" ht="30" customHeight="1">
      <c r="A14" s="61" t="s">
        <v>1978</v>
      </c>
      <c r="B14" s="492" t="s">
        <v>549</v>
      </c>
      <c r="C14" s="156" t="s">
        <v>628</v>
      </c>
      <c r="D14" s="201">
        <v>480</v>
      </c>
      <c r="E14" s="201">
        <f>SUM(D14*1.1)</f>
        <v>528</v>
      </c>
      <c r="F14" s="201" t="s">
        <v>539</v>
      </c>
      <c r="G14" s="201" t="s">
        <v>539</v>
      </c>
      <c r="H14" s="612" t="s">
        <v>285</v>
      </c>
      <c r="I14" s="612"/>
      <c r="J14" s="145"/>
      <c r="K14" s="145"/>
      <c r="L14" s="145"/>
      <c r="M14" s="145"/>
      <c r="N14" s="145"/>
    </row>
    <row r="15" spans="1:14" s="133" customFormat="1" ht="30" customHeight="1">
      <c r="A15" s="61" t="s">
        <v>1979</v>
      </c>
      <c r="B15" s="492" t="s">
        <v>550</v>
      </c>
      <c r="C15" s="156" t="s">
        <v>628</v>
      </c>
      <c r="D15" s="201">
        <v>720</v>
      </c>
      <c r="E15" s="201">
        <f t="shared" ref="E15:E17" si="0">SUM(D15*1.1)</f>
        <v>792.00000000000011</v>
      </c>
      <c r="F15" s="201" t="s">
        <v>539</v>
      </c>
      <c r="G15" s="201" t="s">
        <v>539</v>
      </c>
      <c r="H15" s="612" t="s">
        <v>285</v>
      </c>
      <c r="I15" s="612"/>
      <c r="J15" s="145"/>
      <c r="K15" s="145"/>
      <c r="L15" s="145"/>
      <c r="M15" s="145"/>
      <c r="N15" s="145"/>
    </row>
    <row r="16" spans="1:14" s="133" customFormat="1" ht="30" customHeight="1">
      <c r="A16" s="61" t="s">
        <v>1980</v>
      </c>
      <c r="B16" s="492" t="s">
        <v>551</v>
      </c>
      <c r="C16" s="156" t="s">
        <v>628</v>
      </c>
      <c r="D16" s="201">
        <v>480</v>
      </c>
      <c r="E16" s="201">
        <f t="shared" si="0"/>
        <v>528</v>
      </c>
      <c r="F16" s="201" t="s">
        <v>539</v>
      </c>
      <c r="G16" s="201" t="s">
        <v>539</v>
      </c>
      <c r="H16" s="612" t="s">
        <v>285</v>
      </c>
      <c r="I16" s="612"/>
      <c r="J16" s="145"/>
      <c r="K16" s="145"/>
      <c r="L16" s="145"/>
      <c r="M16" s="145"/>
      <c r="N16" s="145"/>
    </row>
    <row r="17" spans="1:14" s="133" customFormat="1" ht="30" customHeight="1">
      <c r="A17" s="61" t="s">
        <v>1981</v>
      </c>
      <c r="B17" s="492" t="s">
        <v>552</v>
      </c>
      <c r="C17" s="156" t="s">
        <v>628</v>
      </c>
      <c r="D17" s="201">
        <v>720</v>
      </c>
      <c r="E17" s="201">
        <f t="shared" si="0"/>
        <v>792.00000000000011</v>
      </c>
      <c r="F17" s="201" t="s">
        <v>539</v>
      </c>
      <c r="G17" s="201" t="s">
        <v>539</v>
      </c>
      <c r="H17" s="612" t="s">
        <v>285</v>
      </c>
      <c r="I17" s="612"/>
      <c r="J17" s="145"/>
      <c r="K17" s="145"/>
      <c r="L17" s="145"/>
      <c r="M17" s="145"/>
      <c r="N17" s="145"/>
    </row>
    <row r="18" spans="1:14" s="138" customFormat="1" ht="30" customHeight="1">
      <c r="A18" s="73"/>
      <c r="B18" s="1447" t="s">
        <v>554</v>
      </c>
      <c r="C18" s="1448"/>
      <c r="D18" s="1448"/>
      <c r="E18" s="1448"/>
      <c r="F18" s="1448"/>
      <c r="G18" s="1448"/>
      <c r="H18" s="493"/>
      <c r="I18" s="493"/>
      <c r="J18" s="147"/>
      <c r="K18" s="147"/>
      <c r="L18" s="147"/>
      <c r="M18" s="147"/>
      <c r="N18" s="147"/>
    </row>
    <row r="19" spans="1:14" s="133" customFormat="1" ht="30" customHeight="1">
      <c r="A19" s="61" t="s">
        <v>1983</v>
      </c>
      <c r="B19" s="492" t="s">
        <v>554</v>
      </c>
      <c r="C19" s="156" t="s">
        <v>628</v>
      </c>
      <c r="D19" s="201">
        <v>255</v>
      </c>
      <c r="E19" s="201">
        <f t="shared" ref="E19" si="1">SUM(D19*1.1)</f>
        <v>280.5</v>
      </c>
      <c r="F19" s="201">
        <f>SUM(G19*1.1)</f>
        <v>231.00000000000003</v>
      </c>
      <c r="G19" s="201">
        <v>210</v>
      </c>
      <c r="H19" s="165" t="s">
        <v>555</v>
      </c>
      <c r="I19" s="165"/>
      <c r="J19" s="145"/>
      <c r="K19" s="145"/>
      <c r="L19" s="145"/>
      <c r="M19" s="145"/>
      <c r="N19" s="145"/>
    </row>
    <row r="20" spans="1:14" s="138" customFormat="1" ht="30" customHeight="1">
      <c r="A20" s="73"/>
      <c r="B20" s="1447" t="s">
        <v>569</v>
      </c>
      <c r="C20" s="1448"/>
      <c r="D20" s="1448"/>
      <c r="E20" s="1448"/>
      <c r="F20" s="1448"/>
      <c r="G20" s="1448"/>
      <c r="H20" s="73"/>
      <c r="I20" s="73"/>
      <c r="J20" s="147"/>
      <c r="K20" s="147"/>
      <c r="L20" s="147"/>
      <c r="M20" s="147"/>
      <c r="N20" s="147"/>
    </row>
    <row r="21" spans="1:14" s="133" customFormat="1" ht="30" customHeight="1">
      <c r="A21" s="61" t="s">
        <v>1982</v>
      </c>
      <c r="B21" s="492" t="s">
        <v>556</v>
      </c>
      <c r="C21" s="156" t="s">
        <v>628</v>
      </c>
      <c r="D21" s="201">
        <v>255</v>
      </c>
      <c r="E21" s="201">
        <f t="shared" ref="E21:E33" si="2">SUM(D21*1.1)</f>
        <v>280.5</v>
      </c>
      <c r="F21" s="241" t="s">
        <v>783</v>
      </c>
      <c r="G21" s="241" t="s">
        <v>783</v>
      </c>
      <c r="H21" s="612" t="s">
        <v>285</v>
      </c>
      <c r="I21" s="612"/>
      <c r="J21" s="145"/>
      <c r="K21" s="145"/>
      <c r="L21" s="145"/>
      <c r="M21" s="145"/>
      <c r="N21" s="145"/>
    </row>
    <row r="22" spans="1:14" s="133" customFormat="1" ht="30" customHeight="1">
      <c r="A22" s="61" t="s">
        <v>1986</v>
      </c>
      <c r="B22" s="492" t="s">
        <v>557</v>
      </c>
      <c r="C22" s="156" t="s">
        <v>628</v>
      </c>
      <c r="D22" s="201">
        <v>300</v>
      </c>
      <c r="E22" s="201">
        <f t="shared" si="2"/>
        <v>330</v>
      </c>
      <c r="F22" s="241" t="s">
        <v>783</v>
      </c>
      <c r="G22" s="241" t="s">
        <v>783</v>
      </c>
      <c r="H22" s="612" t="s">
        <v>285</v>
      </c>
      <c r="I22" s="612"/>
      <c r="J22" s="145"/>
      <c r="K22" s="145"/>
      <c r="L22" s="145"/>
      <c r="M22" s="145"/>
      <c r="N22" s="145"/>
    </row>
    <row r="23" spans="1:14" s="133" customFormat="1" ht="30" customHeight="1">
      <c r="A23" s="61" t="s">
        <v>1984</v>
      </c>
      <c r="B23" s="492" t="s">
        <v>558</v>
      </c>
      <c r="C23" s="156" t="s">
        <v>628</v>
      </c>
      <c r="D23" s="201">
        <v>380</v>
      </c>
      <c r="E23" s="201">
        <f t="shared" si="2"/>
        <v>418.00000000000006</v>
      </c>
      <c r="F23" s="241" t="s">
        <v>783</v>
      </c>
      <c r="G23" s="241" t="s">
        <v>783</v>
      </c>
      <c r="H23" s="612" t="s">
        <v>285</v>
      </c>
      <c r="I23" s="612"/>
      <c r="J23" s="145"/>
      <c r="K23" s="145"/>
      <c r="L23" s="145"/>
      <c r="M23" s="145"/>
      <c r="N23" s="145"/>
    </row>
    <row r="24" spans="1:14" s="133" customFormat="1" ht="30" customHeight="1">
      <c r="A24" s="61" t="s">
        <v>1985</v>
      </c>
      <c r="B24" s="492" t="s">
        <v>559</v>
      </c>
      <c r="C24" s="156" t="s">
        <v>628</v>
      </c>
      <c r="D24" s="201">
        <v>465</v>
      </c>
      <c r="E24" s="201">
        <f t="shared" si="2"/>
        <v>511.50000000000006</v>
      </c>
      <c r="F24" s="241" t="s">
        <v>783</v>
      </c>
      <c r="G24" s="241" t="s">
        <v>783</v>
      </c>
      <c r="H24" s="612" t="s">
        <v>285</v>
      </c>
      <c r="I24" s="612"/>
      <c r="J24" s="145"/>
      <c r="K24" s="145"/>
      <c r="L24" s="145"/>
      <c r="M24" s="145"/>
      <c r="N24" s="145"/>
    </row>
    <row r="25" spans="1:14" s="133" customFormat="1" ht="30" customHeight="1">
      <c r="A25" s="61" t="s">
        <v>1987</v>
      </c>
      <c r="B25" s="492" t="s">
        <v>560</v>
      </c>
      <c r="C25" s="156" t="s">
        <v>628</v>
      </c>
      <c r="D25" s="201">
        <v>550</v>
      </c>
      <c r="E25" s="201">
        <f t="shared" si="2"/>
        <v>605</v>
      </c>
      <c r="F25" s="241" t="s">
        <v>783</v>
      </c>
      <c r="G25" s="241" t="s">
        <v>783</v>
      </c>
      <c r="H25" s="612" t="s">
        <v>285</v>
      </c>
      <c r="I25" s="612"/>
      <c r="J25" s="145"/>
      <c r="K25" s="145"/>
      <c r="L25" s="145"/>
      <c r="M25" s="145"/>
      <c r="N25" s="145"/>
    </row>
    <row r="26" spans="1:14" s="133" customFormat="1" ht="30" customHeight="1">
      <c r="A26" s="61" t="s">
        <v>1988</v>
      </c>
      <c r="B26" s="492" t="s">
        <v>561</v>
      </c>
      <c r="C26" s="156" t="s">
        <v>628</v>
      </c>
      <c r="D26" s="201">
        <v>760</v>
      </c>
      <c r="E26" s="201">
        <f t="shared" si="2"/>
        <v>836.00000000000011</v>
      </c>
      <c r="F26" s="241" t="s">
        <v>783</v>
      </c>
      <c r="G26" s="241" t="s">
        <v>783</v>
      </c>
      <c r="H26" s="612" t="s">
        <v>285</v>
      </c>
      <c r="I26" s="612"/>
      <c r="J26" s="145"/>
      <c r="K26" s="145"/>
      <c r="L26" s="145"/>
      <c r="M26" s="145"/>
      <c r="N26" s="145"/>
    </row>
    <row r="27" spans="1:14" s="133" customFormat="1" ht="30" customHeight="1">
      <c r="A27" s="61" t="s">
        <v>1989</v>
      </c>
      <c r="B27" s="492" t="s">
        <v>562</v>
      </c>
      <c r="C27" s="156" t="s">
        <v>628</v>
      </c>
      <c r="D27" s="201">
        <v>870</v>
      </c>
      <c r="E27" s="201">
        <f t="shared" si="2"/>
        <v>957.00000000000011</v>
      </c>
      <c r="F27" s="241" t="s">
        <v>783</v>
      </c>
      <c r="G27" s="241" t="s">
        <v>783</v>
      </c>
      <c r="H27" s="612" t="s">
        <v>285</v>
      </c>
      <c r="I27" s="612"/>
      <c r="J27" s="145"/>
      <c r="K27" s="145"/>
      <c r="L27" s="145"/>
      <c r="M27" s="145"/>
      <c r="N27" s="145"/>
    </row>
    <row r="28" spans="1:14" s="133" customFormat="1" ht="30" customHeight="1">
      <c r="A28" s="61" t="s">
        <v>1978</v>
      </c>
      <c r="B28" s="492" t="s">
        <v>563</v>
      </c>
      <c r="C28" s="156" t="s">
        <v>628</v>
      </c>
      <c r="D28" s="201">
        <v>1020</v>
      </c>
      <c r="E28" s="201">
        <f t="shared" si="2"/>
        <v>1122</v>
      </c>
      <c r="F28" s="241" t="s">
        <v>783</v>
      </c>
      <c r="G28" s="241" t="s">
        <v>783</v>
      </c>
      <c r="H28" s="612" t="s">
        <v>285</v>
      </c>
      <c r="I28" s="612"/>
      <c r="J28" s="145"/>
      <c r="K28" s="145"/>
      <c r="L28" s="145"/>
      <c r="M28" s="145"/>
      <c r="N28" s="145"/>
    </row>
    <row r="29" spans="1:14" s="133" customFormat="1" ht="30" customHeight="1">
      <c r="A29" s="61" t="s">
        <v>1990</v>
      </c>
      <c r="B29" s="492" t="s">
        <v>564</v>
      </c>
      <c r="C29" s="156" t="s">
        <v>628</v>
      </c>
      <c r="D29" s="201">
        <v>1160</v>
      </c>
      <c r="E29" s="201">
        <f t="shared" si="2"/>
        <v>1276</v>
      </c>
      <c r="F29" s="241" t="s">
        <v>783</v>
      </c>
      <c r="G29" s="241" t="s">
        <v>783</v>
      </c>
      <c r="H29" s="612" t="s">
        <v>285</v>
      </c>
      <c r="I29" s="612"/>
      <c r="J29" s="145"/>
      <c r="K29" s="145"/>
      <c r="L29" s="145"/>
      <c r="M29" s="145"/>
      <c r="N29" s="145"/>
    </row>
    <row r="30" spans="1:14" s="133" customFormat="1" ht="30" customHeight="1">
      <c r="A30" s="61" t="s">
        <v>1991</v>
      </c>
      <c r="B30" s="492" t="s">
        <v>565</v>
      </c>
      <c r="C30" s="156" t="s">
        <v>628</v>
      </c>
      <c r="D30" s="201">
        <v>1330</v>
      </c>
      <c r="E30" s="201">
        <f t="shared" si="2"/>
        <v>1463.0000000000002</v>
      </c>
      <c r="F30" s="241" t="s">
        <v>783</v>
      </c>
      <c r="G30" s="241" t="s">
        <v>783</v>
      </c>
      <c r="H30" s="612" t="s">
        <v>285</v>
      </c>
      <c r="I30" s="612"/>
      <c r="J30" s="145"/>
      <c r="K30" s="145"/>
      <c r="L30" s="145"/>
      <c r="M30" s="145"/>
      <c r="N30" s="145"/>
    </row>
    <row r="31" spans="1:14" s="133" customFormat="1" ht="30" customHeight="1">
      <c r="A31" s="61" t="s">
        <v>1992</v>
      </c>
      <c r="B31" s="492" t="s">
        <v>566</v>
      </c>
      <c r="C31" s="156" t="s">
        <v>628</v>
      </c>
      <c r="D31" s="201">
        <v>1610</v>
      </c>
      <c r="E31" s="201">
        <f t="shared" si="2"/>
        <v>1771.0000000000002</v>
      </c>
      <c r="F31" s="241" t="s">
        <v>783</v>
      </c>
      <c r="G31" s="241" t="s">
        <v>783</v>
      </c>
      <c r="H31" s="612" t="s">
        <v>285</v>
      </c>
      <c r="I31" s="612"/>
      <c r="J31" s="145"/>
      <c r="K31" s="145"/>
      <c r="L31" s="145"/>
      <c r="M31" s="145"/>
      <c r="N31" s="145"/>
    </row>
    <row r="32" spans="1:14" s="133" customFormat="1" ht="30" customHeight="1">
      <c r="A32" s="61" t="s">
        <v>1993</v>
      </c>
      <c r="B32" s="492" t="s">
        <v>567</v>
      </c>
      <c r="C32" s="156" t="s">
        <v>628</v>
      </c>
      <c r="D32" s="201">
        <v>1890</v>
      </c>
      <c r="E32" s="201">
        <f t="shared" si="2"/>
        <v>2079</v>
      </c>
      <c r="F32" s="241" t="s">
        <v>783</v>
      </c>
      <c r="G32" s="241" t="s">
        <v>783</v>
      </c>
      <c r="H32" s="612" t="s">
        <v>285</v>
      </c>
      <c r="I32" s="612"/>
      <c r="J32" s="145"/>
      <c r="K32" s="145"/>
      <c r="L32" s="145"/>
      <c r="M32" s="145"/>
      <c r="N32" s="145"/>
    </row>
    <row r="33" spans="1:14" s="133" customFormat="1" ht="30" customHeight="1">
      <c r="A33" s="61" t="s">
        <v>1994</v>
      </c>
      <c r="B33" s="492" t="s">
        <v>568</v>
      </c>
      <c r="C33" s="156" t="s">
        <v>628</v>
      </c>
      <c r="D33" s="201">
        <v>2180</v>
      </c>
      <c r="E33" s="201">
        <f t="shared" si="2"/>
        <v>2398</v>
      </c>
      <c r="F33" s="241" t="s">
        <v>783</v>
      </c>
      <c r="G33" s="241" t="s">
        <v>783</v>
      </c>
      <c r="H33" s="612" t="s">
        <v>285</v>
      </c>
      <c r="I33" s="612"/>
      <c r="J33" s="145"/>
      <c r="K33" s="145"/>
      <c r="L33" s="145"/>
      <c r="M33" s="145"/>
      <c r="N33" s="145"/>
    </row>
    <row r="34" spans="1:14" s="138" customFormat="1" ht="30" customHeight="1">
      <c r="A34" s="73"/>
      <c r="B34" s="1447" t="s">
        <v>570</v>
      </c>
      <c r="C34" s="1448"/>
      <c r="D34" s="1448"/>
      <c r="E34" s="1448"/>
      <c r="F34" s="1448"/>
      <c r="G34" s="1448"/>
      <c r="H34" s="73"/>
      <c r="I34" s="73"/>
      <c r="J34" s="147"/>
      <c r="K34" s="147"/>
      <c r="L34" s="147"/>
      <c r="M34" s="147"/>
      <c r="N34" s="147"/>
    </row>
    <row r="35" spans="1:14" s="133" customFormat="1" ht="30" customHeight="1">
      <c r="A35" s="61" t="s">
        <v>1995</v>
      </c>
      <c r="B35" s="494" t="s">
        <v>571</v>
      </c>
      <c r="C35" s="156" t="s">
        <v>628</v>
      </c>
      <c r="D35" s="201">
        <v>735</v>
      </c>
      <c r="E35" s="201">
        <f t="shared" ref="E35:E55" si="3">SUM(D35*1.1)</f>
        <v>808.50000000000011</v>
      </c>
      <c r="F35" s="201" t="s">
        <v>539</v>
      </c>
      <c r="G35" s="201" t="s">
        <v>539</v>
      </c>
      <c r="H35" s="612" t="s">
        <v>285</v>
      </c>
      <c r="I35" s="612"/>
      <c r="J35" s="145"/>
      <c r="K35" s="145"/>
      <c r="L35" s="145"/>
      <c r="M35" s="145"/>
      <c r="N35" s="145"/>
    </row>
    <row r="36" spans="1:14" s="133" customFormat="1" ht="30" customHeight="1">
      <c r="A36" s="61" t="s">
        <v>1996</v>
      </c>
      <c r="B36" s="494" t="s">
        <v>572</v>
      </c>
      <c r="C36" s="156" t="s">
        <v>628</v>
      </c>
      <c r="D36" s="201">
        <v>780</v>
      </c>
      <c r="E36" s="201">
        <f t="shared" si="3"/>
        <v>858.00000000000011</v>
      </c>
      <c r="F36" s="201" t="s">
        <v>539</v>
      </c>
      <c r="G36" s="201" t="s">
        <v>539</v>
      </c>
      <c r="H36" s="612" t="s">
        <v>285</v>
      </c>
      <c r="I36" s="612"/>
      <c r="J36" s="145"/>
      <c r="K36" s="145"/>
      <c r="L36" s="145"/>
      <c r="M36" s="145"/>
      <c r="N36" s="145"/>
    </row>
    <row r="37" spans="1:14" s="133" customFormat="1" ht="30" customHeight="1">
      <c r="A37" s="61" t="s">
        <v>1997</v>
      </c>
      <c r="B37" s="494" t="s">
        <v>573</v>
      </c>
      <c r="C37" s="156" t="s">
        <v>628</v>
      </c>
      <c r="D37" s="201">
        <v>860</v>
      </c>
      <c r="E37" s="201">
        <f t="shared" si="3"/>
        <v>946.00000000000011</v>
      </c>
      <c r="F37" s="201" t="s">
        <v>539</v>
      </c>
      <c r="G37" s="201" t="s">
        <v>539</v>
      </c>
      <c r="H37" s="612" t="s">
        <v>285</v>
      </c>
      <c r="I37" s="612"/>
      <c r="J37" s="145"/>
      <c r="K37" s="145"/>
      <c r="L37" s="145"/>
      <c r="M37" s="145"/>
      <c r="N37" s="145"/>
    </row>
    <row r="38" spans="1:14" s="133" customFormat="1" ht="30" customHeight="1">
      <c r="A38" s="61" t="s">
        <v>1998</v>
      </c>
      <c r="B38" s="494" t="s">
        <v>574</v>
      </c>
      <c r="C38" s="156" t="s">
        <v>628</v>
      </c>
      <c r="D38" s="201">
        <v>945</v>
      </c>
      <c r="E38" s="201">
        <f t="shared" si="3"/>
        <v>1039.5</v>
      </c>
      <c r="F38" s="201" t="s">
        <v>539</v>
      </c>
      <c r="G38" s="201" t="s">
        <v>539</v>
      </c>
      <c r="H38" s="612" t="s">
        <v>285</v>
      </c>
      <c r="I38" s="612"/>
      <c r="J38" s="145"/>
      <c r="K38" s="145"/>
      <c r="L38" s="145"/>
      <c r="M38" s="145"/>
      <c r="N38" s="145"/>
    </row>
    <row r="39" spans="1:14" s="133" customFormat="1" ht="30" customHeight="1">
      <c r="A39" s="61" t="s">
        <v>1999</v>
      </c>
      <c r="B39" s="494" t="s">
        <v>575</v>
      </c>
      <c r="C39" s="156" t="s">
        <v>628</v>
      </c>
      <c r="D39" s="201">
        <v>1030</v>
      </c>
      <c r="E39" s="201">
        <f t="shared" si="3"/>
        <v>1133</v>
      </c>
      <c r="F39" s="201" t="s">
        <v>539</v>
      </c>
      <c r="G39" s="201" t="s">
        <v>539</v>
      </c>
      <c r="H39" s="612" t="s">
        <v>285</v>
      </c>
      <c r="I39" s="612"/>
      <c r="J39" s="145"/>
      <c r="K39" s="145"/>
      <c r="L39" s="145"/>
      <c r="M39" s="145"/>
      <c r="N39" s="145"/>
    </row>
    <row r="40" spans="1:14" s="133" customFormat="1" ht="30" customHeight="1">
      <c r="A40" s="61" t="s">
        <v>2000</v>
      </c>
      <c r="B40" s="494" t="s">
        <v>576</v>
      </c>
      <c r="C40" s="156" t="s">
        <v>628</v>
      </c>
      <c r="D40" s="201">
        <v>1240</v>
      </c>
      <c r="E40" s="201">
        <f t="shared" si="3"/>
        <v>1364</v>
      </c>
      <c r="F40" s="201" t="s">
        <v>539</v>
      </c>
      <c r="G40" s="201" t="s">
        <v>539</v>
      </c>
      <c r="H40" s="612" t="s">
        <v>285</v>
      </c>
      <c r="I40" s="612"/>
      <c r="J40" s="145"/>
      <c r="K40" s="145"/>
      <c r="L40" s="145"/>
      <c r="M40" s="145"/>
      <c r="N40" s="145"/>
    </row>
    <row r="41" spans="1:14" s="133" customFormat="1" ht="30" customHeight="1">
      <c r="A41" s="61" t="s">
        <v>2001</v>
      </c>
      <c r="B41" s="494" t="s">
        <v>577</v>
      </c>
      <c r="C41" s="156" t="s">
        <v>628</v>
      </c>
      <c r="D41" s="201">
        <v>1350</v>
      </c>
      <c r="E41" s="201">
        <f t="shared" si="3"/>
        <v>1485.0000000000002</v>
      </c>
      <c r="F41" s="201" t="s">
        <v>539</v>
      </c>
      <c r="G41" s="201" t="s">
        <v>539</v>
      </c>
      <c r="H41" s="612" t="s">
        <v>285</v>
      </c>
      <c r="I41" s="612"/>
      <c r="J41" s="145"/>
      <c r="K41" s="145"/>
      <c r="L41" s="145"/>
      <c r="M41" s="145"/>
      <c r="N41" s="145"/>
    </row>
    <row r="42" spans="1:14" s="133" customFormat="1" ht="30" customHeight="1">
      <c r="A42" s="61" t="s">
        <v>2002</v>
      </c>
      <c r="B42" s="494" t="s">
        <v>578</v>
      </c>
      <c r="C42" s="156" t="s">
        <v>628</v>
      </c>
      <c r="D42" s="201">
        <v>1500</v>
      </c>
      <c r="E42" s="201">
        <f t="shared" si="3"/>
        <v>1650.0000000000002</v>
      </c>
      <c r="F42" s="201" t="s">
        <v>539</v>
      </c>
      <c r="G42" s="201" t="s">
        <v>539</v>
      </c>
      <c r="H42" s="612" t="s">
        <v>285</v>
      </c>
      <c r="I42" s="612"/>
      <c r="J42" s="145"/>
      <c r="K42" s="145"/>
      <c r="L42" s="145"/>
      <c r="M42" s="145"/>
      <c r="N42" s="145"/>
    </row>
    <row r="43" spans="1:14" s="133" customFormat="1" ht="30" customHeight="1">
      <c r="A43" s="61" t="s">
        <v>2003</v>
      </c>
      <c r="B43" s="494" t="s">
        <v>579</v>
      </c>
      <c r="C43" s="156" t="s">
        <v>628</v>
      </c>
      <c r="D43" s="201">
        <v>975</v>
      </c>
      <c r="E43" s="201">
        <f t="shared" si="3"/>
        <v>1072.5</v>
      </c>
      <c r="F43" s="201" t="s">
        <v>539</v>
      </c>
      <c r="G43" s="201" t="s">
        <v>539</v>
      </c>
      <c r="H43" s="612" t="s">
        <v>285</v>
      </c>
      <c r="I43" s="612"/>
      <c r="J43" s="145"/>
      <c r="K43" s="145"/>
      <c r="L43" s="145"/>
      <c r="M43" s="145"/>
      <c r="N43" s="145"/>
    </row>
    <row r="44" spans="1:14" s="133" customFormat="1" ht="30" customHeight="1">
      <c r="A44" s="61" t="s">
        <v>2004</v>
      </c>
      <c r="B44" s="494" t="s">
        <v>580</v>
      </c>
      <c r="C44" s="156" t="s">
        <v>628</v>
      </c>
      <c r="D44" s="201">
        <v>1020</v>
      </c>
      <c r="E44" s="201">
        <f t="shared" si="3"/>
        <v>1122</v>
      </c>
      <c r="F44" s="201" t="s">
        <v>539</v>
      </c>
      <c r="G44" s="201" t="s">
        <v>539</v>
      </c>
      <c r="H44" s="612" t="s">
        <v>285</v>
      </c>
      <c r="I44" s="612"/>
      <c r="J44" s="145"/>
      <c r="K44" s="145"/>
      <c r="L44" s="145"/>
      <c r="M44" s="145"/>
      <c r="N44" s="145"/>
    </row>
    <row r="45" spans="1:14" s="133" customFormat="1" ht="30" customHeight="1">
      <c r="A45" s="61" t="s">
        <v>2005</v>
      </c>
      <c r="B45" s="494" t="s">
        <v>581</v>
      </c>
      <c r="C45" s="156" t="s">
        <v>628</v>
      </c>
      <c r="D45" s="201">
        <v>1100</v>
      </c>
      <c r="E45" s="201">
        <f t="shared" si="3"/>
        <v>1210</v>
      </c>
      <c r="F45" s="201" t="s">
        <v>539</v>
      </c>
      <c r="G45" s="201" t="s">
        <v>539</v>
      </c>
      <c r="H45" s="612" t="s">
        <v>285</v>
      </c>
      <c r="I45" s="612"/>
      <c r="J45" s="145"/>
      <c r="K45" s="145"/>
      <c r="L45" s="145"/>
      <c r="M45" s="145"/>
      <c r="N45" s="145"/>
    </row>
    <row r="46" spans="1:14" s="133" customFormat="1" ht="30" customHeight="1">
      <c r="A46" s="61" t="s">
        <v>2006</v>
      </c>
      <c r="B46" s="494" t="s">
        <v>582</v>
      </c>
      <c r="C46" s="156" t="s">
        <v>628</v>
      </c>
      <c r="D46" s="201">
        <v>1185</v>
      </c>
      <c r="E46" s="201">
        <f t="shared" si="3"/>
        <v>1303.5</v>
      </c>
      <c r="F46" s="201" t="s">
        <v>539</v>
      </c>
      <c r="G46" s="201" t="s">
        <v>539</v>
      </c>
      <c r="H46" s="612" t="s">
        <v>285</v>
      </c>
      <c r="I46" s="612"/>
      <c r="J46" s="145"/>
      <c r="K46" s="145"/>
      <c r="L46" s="145"/>
      <c r="M46" s="145"/>
      <c r="N46" s="145"/>
    </row>
    <row r="47" spans="1:14" s="133" customFormat="1" ht="30" customHeight="1">
      <c r="A47" s="61" t="s">
        <v>2008</v>
      </c>
      <c r="B47" s="494" t="s">
        <v>583</v>
      </c>
      <c r="C47" s="156" t="s">
        <v>628</v>
      </c>
      <c r="D47" s="201">
        <v>1270</v>
      </c>
      <c r="E47" s="201">
        <f t="shared" si="3"/>
        <v>1397</v>
      </c>
      <c r="F47" s="201" t="s">
        <v>539</v>
      </c>
      <c r="G47" s="201" t="s">
        <v>539</v>
      </c>
      <c r="H47" s="612" t="s">
        <v>285</v>
      </c>
      <c r="I47" s="612"/>
      <c r="J47" s="145"/>
      <c r="K47" s="145"/>
      <c r="L47" s="145"/>
      <c r="M47" s="145"/>
      <c r="N47" s="145"/>
    </row>
    <row r="48" spans="1:14" s="133" customFormat="1" ht="30" customHeight="1">
      <c r="A48" s="61" t="s">
        <v>2007</v>
      </c>
      <c r="B48" s="494" t="s">
        <v>584</v>
      </c>
      <c r="C48" s="156" t="s">
        <v>628</v>
      </c>
      <c r="D48" s="201">
        <v>1480</v>
      </c>
      <c r="E48" s="201">
        <f t="shared" si="3"/>
        <v>1628.0000000000002</v>
      </c>
      <c r="F48" s="201" t="s">
        <v>539</v>
      </c>
      <c r="G48" s="201" t="s">
        <v>539</v>
      </c>
      <c r="H48" s="612" t="s">
        <v>285</v>
      </c>
      <c r="I48" s="612"/>
      <c r="J48" s="145"/>
      <c r="K48" s="145"/>
      <c r="L48" s="145"/>
      <c r="M48" s="145"/>
      <c r="N48" s="145"/>
    </row>
    <row r="49" spans="1:14" s="133" customFormat="1" ht="30" customHeight="1">
      <c r="A49" s="61" t="s">
        <v>2009</v>
      </c>
      <c r="B49" s="494" t="s">
        <v>585</v>
      </c>
      <c r="C49" s="156" t="s">
        <v>628</v>
      </c>
      <c r="D49" s="201">
        <v>1590</v>
      </c>
      <c r="E49" s="201">
        <f t="shared" si="3"/>
        <v>1749.0000000000002</v>
      </c>
      <c r="F49" s="201" t="s">
        <v>539</v>
      </c>
      <c r="G49" s="201" t="s">
        <v>539</v>
      </c>
      <c r="H49" s="612" t="s">
        <v>285</v>
      </c>
      <c r="I49" s="612"/>
      <c r="J49" s="145"/>
      <c r="K49" s="145"/>
      <c r="L49" s="145"/>
      <c r="M49" s="145"/>
      <c r="N49" s="145"/>
    </row>
    <row r="50" spans="1:14" s="133" customFormat="1" ht="30" customHeight="1">
      <c r="A50" s="61" t="s">
        <v>2010</v>
      </c>
      <c r="B50" s="494" t="s">
        <v>586</v>
      </c>
      <c r="C50" s="156" t="s">
        <v>628</v>
      </c>
      <c r="D50" s="201">
        <v>1740</v>
      </c>
      <c r="E50" s="201">
        <f t="shared" si="3"/>
        <v>1914.0000000000002</v>
      </c>
      <c r="F50" s="201" t="s">
        <v>539</v>
      </c>
      <c r="G50" s="201" t="s">
        <v>539</v>
      </c>
      <c r="H50" s="612" t="s">
        <v>285</v>
      </c>
      <c r="I50" s="612"/>
      <c r="J50" s="145"/>
      <c r="K50" s="145"/>
      <c r="L50" s="145"/>
      <c r="M50" s="145"/>
      <c r="N50" s="145"/>
    </row>
    <row r="51" spans="1:14" s="133" customFormat="1" ht="30" customHeight="1">
      <c r="A51" s="61" t="s">
        <v>2011</v>
      </c>
      <c r="B51" s="494" t="s">
        <v>587</v>
      </c>
      <c r="C51" s="156" t="s">
        <v>628</v>
      </c>
      <c r="D51" s="201">
        <v>1880</v>
      </c>
      <c r="E51" s="201">
        <f t="shared" si="3"/>
        <v>2068</v>
      </c>
      <c r="F51" s="201" t="s">
        <v>539</v>
      </c>
      <c r="G51" s="201" t="s">
        <v>539</v>
      </c>
      <c r="H51" s="612" t="s">
        <v>285</v>
      </c>
      <c r="I51" s="612"/>
      <c r="J51" s="145"/>
      <c r="K51" s="145"/>
      <c r="L51" s="145"/>
      <c r="M51" s="145"/>
      <c r="N51" s="145"/>
    </row>
    <row r="52" spans="1:14" s="133" customFormat="1" ht="30" customHeight="1">
      <c r="A52" s="61" t="s">
        <v>2013</v>
      </c>
      <c r="B52" s="494" t="s">
        <v>588</v>
      </c>
      <c r="C52" s="156" t="s">
        <v>628</v>
      </c>
      <c r="D52" s="201">
        <v>2050</v>
      </c>
      <c r="E52" s="201">
        <f t="shared" si="3"/>
        <v>2255</v>
      </c>
      <c r="F52" s="201" t="s">
        <v>539</v>
      </c>
      <c r="G52" s="201" t="s">
        <v>539</v>
      </c>
      <c r="H52" s="612" t="s">
        <v>285</v>
      </c>
      <c r="I52" s="612"/>
      <c r="J52" s="145"/>
      <c r="K52" s="145"/>
      <c r="L52" s="145"/>
      <c r="M52" s="145"/>
      <c r="N52" s="145"/>
    </row>
    <row r="53" spans="1:14" s="133" customFormat="1" ht="30" customHeight="1">
      <c r="A53" s="61" t="s">
        <v>2012</v>
      </c>
      <c r="B53" s="494" t="s">
        <v>589</v>
      </c>
      <c r="C53" s="156" t="s">
        <v>628</v>
      </c>
      <c r="D53" s="201">
        <v>2330</v>
      </c>
      <c r="E53" s="201">
        <f t="shared" si="3"/>
        <v>2563</v>
      </c>
      <c r="F53" s="201" t="s">
        <v>539</v>
      </c>
      <c r="G53" s="201" t="s">
        <v>539</v>
      </c>
      <c r="H53" s="612" t="s">
        <v>285</v>
      </c>
      <c r="I53" s="612"/>
      <c r="J53" s="145"/>
      <c r="K53" s="145"/>
      <c r="L53" s="145"/>
      <c r="M53" s="145"/>
      <c r="N53" s="145"/>
    </row>
    <row r="54" spans="1:14" s="133" customFormat="1" ht="30" customHeight="1">
      <c r="A54" s="61" t="s">
        <v>2014</v>
      </c>
      <c r="B54" s="494" t="s">
        <v>590</v>
      </c>
      <c r="C54" s="156" t="s">
        <v>628</v>
      </c>
      <c r="D54" s="201">
        <v>2610</v>
      </c>
      <c r="E54" s="201">
        <f t="shared" si="3"/>
        <v>2871.0000000000005</v>
      </c>
      <c r="F54" s="201" t="s">
        <v>539</v>
      </c>
      <c r="G54" s="201" t="s">
        <v>539</v>
      </c>
      <c r="H54" s="612" t="s">
        <v>285</v>
      </c>
      <c r="I54" s="612"/>
      <c r="J54" s="145"/>
      <c r="K54" s="145"/>
      <c r="L54" s="145"/>
      <c r="M54" s="145"/>
      <c r="N54" s="145"/>
    </row>
    <row r="55" spans="1:14" s="133" customFormat="1" ht="30" customHeight="1">
      <c r="A55" s="61" t="s">
        <v>2015</v>
      </c>
      <c r="B55" s="494" t="s">
        <v>591</v>
      </c>
      <c r="C55" s="156" t="s">
        <v>628</v>
      </c>
      <c r="D55" s="201">
        <v>2900</v>
      </c>
      <c r="E55" s="201">
        <f t="shared" si="3"/>
        <v>3190.0000000000005</v>
      </c>
      <c r="F55" s="201" t="s">
        <v>539</v>
      </c>
      <c r="G55" s="201" t="s">
        <v>539</v>
      </c>
      <c r="H55" s="612" t="s">
        <v>285</v>
      </c>
      <c r="I55" s="612"/>
      <c r="J55" s="145"/>
      <c r="K55" s="145"/>
      <c r="L55" s="145"/>
      <c r="M55" s="145"/>
      <c r="N55" s="145"/>
    </row>
    <row r="56" spans="1:14" s="138" customFormat="1" ht="30" customHeight="1">
      <c r="A56" s="73"/>
      <c r="B56" s="1449" t="s">
        <v>595</v>
      </c>
      <c r="C56" s="1448"/>
      <c r="D56" s="1448"/>
      <c r="E56" s="1448"/>
      <c r="F56" s="1448"/>
      <c r="G56" s="1448"/>
      <c r="H56" s="73"/>
      <c r="I56" s="73"/>
      <c r="J56" s="147"/>
      <c r="K56" s="147"/>
      <c r="L56" s="147"/>
      <c r="M56" s="147"/>
      <c r="N56" s="147"/>
    </row>
    <row r="57" spans="1:14" s="133" customFormat="1" ht="30" customHeight="1">
      <c r="A57" s="61" t="s">
        <v>2016</v>
      </c>
      <c r="B57" s="492" t="s">
        <v>592</v>
      </c>
      <c r="C57" s="156" t="s">
        <v>628</v>
      </c>
      <c r="D57" s="241" t="s">
        <v>783</v>
      </c>
      <c r="E57" s="241" t="s">
        <v>783</v>
      </c>
      <c r="F57" s="201" t="s">
        <v>539</v>
      </c>
      <c r="G57" s="201" t="s">
        <v>539</v>
      </c>
      <c r="H57" s="612" t="s">
        <v>285</v>
      </c>
      <c r="I57" s="612"/>
      <c r="J57" s="145"/>
      <c r="K57" s="145"/>
      <c r="L57" s="145"/>
      <c r="M57" s="145"/>
      <c r="N57" s="145"/>
    </row>
    <row r="58" spans="1:14" s="133" customFormat="1" ht="30" customHeight="1">
      <c r="A58" s="61" t="s">
        <v>2017</v>
      </c>
      <c r="B58" s="492" t="s">
        <v>593</v>
      </c>
      <c r="C58" s="156" t="s">
        <v>628</v>
      </c>
      <c r="D58" s="241" t="s">
        <v>783</v>
      </c>
      <c r="E58" s="241" t="s">
        <v>783</v>
      </c>
      <c r="F58" s="201" t="s">
        <v>539</v>
      </c>
      <c r="G58" s="201" t="s">
        <v>539</v>
      </c>
      <c r="H58" s="612" t="s">
        <v>285</v>
      </c>
      <c r="I58" s="612"/>
      <c r="J58" s="145"/>
      <c r="K58" s="145"/>
      <c r="L58" s="145"/>
      <c r="M58" s="145"/>
      <c r="N58" s="145"/>
    </row>
    <row r="59" spans="1:14" s="133" customFormat="1" ht="30" customHeight="1">
      <c r="A59" s="61" t="s">
        <v>2018</v>
      </c>
      <c r="B59" s="492" t="s">
        <v>594</v>
      </c>
      <c r="C59" s="156" t="s">
        <v>628</v>
      </c>
      <c r="D59" s="241" t="s">
        <v>783</v>
      </c>
      <c r="E59" s="241" t="s">
        <v>783</v>
      </c>
      <c r="F59" s="201" t="s">
        <v>539</v>
      </c>
      <c r="G59" s="201" t="s">
        <v>539</v>
      </c>
      <c r="H59" s="612" t="s">
        <v>285</v>
      </c>
      <c r="I59" s="612"/>
      <c r="J59" s="145"/>
      <c r="K59" s="145"/>
      <c r="L59" s="145"/>
      <c r="M59" s="145"/>
      <c r="N59" s="145"/>
    </row>
    <row r="60" spans="1:14" s="138" customFormat="1" ht="30" customHeight="1">
      <c r="A60" s="73"/>
      <c r="B60" s="1447" t="s">
        <v>598</v>
      </c>
      <c r="C60" s="1448"/>
      <c r="D60" s="1448"/>
      <c r="E60" s="1448"/>
      <c r="F60" s="1448"/>
      <c r="G60" s="1448"/>
      <c r="H60" s="73"/>
      <c r="I60" s="73"/>
      <c r="J60" s="147"/>
      <c r="K60" s="147"/>
      <c r="L60" s="147"/>
      <c r="M60" s="147"/>
      <c r="N60" s="147"/>
    </row>
    <row r="61" spans="1:14" s="133" customFormat="1" ht="30" customHeight="1">
      <c r="A61" s="61" t="s">
        <v>2019</v>
      </c>
      <c r="B61" s="492" t="s">
        <v>596</v>
      </c>
      <c r="C61" s="156" t="s">
        <v>628</v>
      </c>
      <c r="D61" s="201">
        <v>4.25</v>
      </c>
      <c r="E61" s="201">
        <f t="shared" ref="E61" si="4">SUM(D61*1.1)</f>
        <v>4.6750000000000007</v>
      </c>
      <c r="F61" s="201">
        <f>SUM(G61*1.1)</f>
        <v>64.900000000000006</v>
      </c>
      <c r="G61" s="201">
        <v>59</v>
      </c>
      <c r="H61" s="612" t="s">
        <v>285</v>
      </c>
      <c r="I61" s="612"/>
      <c r="J61" s="145"/>
      <c r="K61" s="145"/>
      <c r="L61" s="145"/>
      <c r="M61" s="145"/>
      <c r="N61" s="145"/>
    </row>
    <row r="62" spans="1:14" s="133" customFormat="1" ht="30" customHeight="1">
      <c r="A62" s="61" t="s">
        <v>2020</v>
      </c>
      <c r="B62" s="492" t="s">
        <v>597</v>
      </c>
      <c r="C62" s="156" t="s">
        <v>628</v>
      </c>
      <c r="D62" s="241" t="s">
        <v>783</v>
      </c>
      <c r="E62" s="241" t="s">
        <v>783</v>
      </c>
      <c r="F62" s="201">
        <f>SUM(G62*1.1)</f>
        <v>56.1</v>
      </c>
      <c r="G62" s="201">
        <v>51</v>
      </c>
      <c r="H62" s="612" t="s">
        <v>285</v>
      </c>
      <c r="I62" s="612"/>
      <c r="J62" s="145"/>
      <c r="K62" s="145"/>
      <c r="L62" s="145"/>
      <c r="M62" s="145"/>
      <c r="N62" s="145"/>
    </row>
    <row r="63" spans="1:14" s="133" customFormat="1" ht="30" customHeight="1">
      <c r="A63" s="762"/>
      <c r="B63" s="604"/>
      <c r="C63" s="611"/>
      <c r="D63" s="611"/>
      <c r="E63" s="611"/>
      <c r="F63" s="611"/>
      <c r="G63" s="611"/>
      <c r="H63" s="611"/>
      <c r="I63" s="611"/>
      <c r="J63" s="145"/>
      <c r="K63" s="145"/>
      <c r="L63" s="145"/>
      <c r="M63" s="145"/>
      <c r="N63" s="145"/>
    </row>
    <row r="64" spans="1:14" s="192" customFormat="1" ht="74.25" customHeight="1">
      <c r="A64" s="73"/>
      <c r="B64" s="1458" t="s">
        <v>548</v>
      </c>
      <c r="C64" s="1308"/>
      <c r="D64" s="1308"/>
      <c r="E64" s="1308"/>
      <c r="F64" s="1308"/>
      <c r="G64" s="1308"/>
      <c r="H64" s="73"/>
      <c r="I64" s="73"/>
      <c r="J64" s="191"/>
      <c r="K64" s="191"/>
      <c r="L64" s="191"/>
      <c r="M64" s="191"/>
      <c r="N64" s="191"/>
    </row>
    <row r="65" spans="1:14" s="196" customFormat="1" ht="30" customHeight="1">
      <c r="A65" s="495"/>
      <c r="B65" s="1454" t="s">
        <v>553</v>
      </c>
      <c r="C65" s="1452"/>
      <c r="D65" s="1452"/>
      <c r="E65" s="1452"/>
      <c r="F65" s="1452"/>
      <c r="G65" s="1452"/>
      <c r="H65" s="613"/>
      <c r="I65" s="613"/>
      <c r="J65" s="93"/>
      <c r="K65" s="93"/>
      <c r="L65" s="93"/>
      <c r="M65" s="93"/>
      <c r="N65" s="93"/>
    </row>
    <row r="66" spans="1:14" s="133" customFormat="1" ht="30" customHeight="1">
      <c r="A66" s="61" t="s">
        <v>2021</v>
      </c>
      <c r="B66" s="492" t="s">
        <v>549</v>
      </c>
      <c r="C66" s="156" t="s">
        <v>628</v>
      </c>
      <c r="D66" s="201">
        <v>480</v>
      </c>
      <c r="E66" s="201">
        <f t="shared" ref="E66:E69" si="5">SUM(D66*1.1)</f>
        <v>528</v>
      </c>
      <c r="F66" s="201" t="s">
        <v>539</v>
      </c>
      <c r="G66" s="201" t="s">
        <v>539</v>
      </c>
      <c r="H66" s="612" t="s">
        <v>285</v>
      </c>
      <c r="I66" s="612"/>
      <c r="J66" s="145"/>
      <c r="K66" s="145"/>
      <c r="L66" s="145"/>
      <c r="M66" s="145"/>
      <c r="N66" s="145"/>
    </row>
    <row r="67" spans="1:14" s="133" customFormat="1" ht="30" customHeight="1">
      <c r="A67" s="61" t="s">
        <v>2022</v>
      </c>
      <c r="B67" s="492" t="s">
        <v>550</v>
      </c>
      <c r="C67" s="156" t="s">
        <v>628</v>
      </c>
      <c r="D67" s="201">
        <v>720</v>
      </c>
      <c r="E67" s="201">
        <f t="shared" si="5"/>
        <v>792.00000000000011</v>
      </c>
      <c r="F67" s="201" t="s">
        <v>539</v>
      </c>
      <c r="G67" s="201" t="s">
        <v>539</v>
      </c>
      <c r="H67" s="612" t="s">
        <v>285</v>
      </c>
      <c r="I67" s="612"/>
      <c r="J67" s="145"/>
      <c r="K67" s="145"/>
      <c r="L67" s="145"/>
      <c r="M67" s="145"/>
      <c r="N67" s="145"/>
    </row>
    <row r="68" spans="1:14" s="133" customFormat="1" ht="30" customHeight="1">
      <c r="A68" s="61" t="s">
        <v>2023</v>
      </c>
      <c r="B68" s="492" t="s">
        <v>551</v>
      </c>
      <c r="C68" s="156" t="s">
        <v>628</v>
      </c>
      <c r="D68" s="201">
        <v>480</v>
      </c>
      <c r="E68" s="201">
        <f t="shared" si="5"/>
        <v>528</v>
      </c>
      <c r="F68" s="201" t="s">
        <v>539</v>
      </c>
      <c r="G68" s="201" t="s">
        <v>539</v>
      </c>
      <c r="H68" s="612" t="s">
        <v>285</v>
      </c>
      <c r="I68" s="612"/>
      <c r="J68" s="145"/>
      <c r="K68" s="145"/>
      <c r="L68" s="145"/>
      <c r="M68" s="145"/>
      <c r="N68" s="145"/>
    </row>
    <row r="69" spans="1:14" s="133" customFormat="1" ht="30" customHeight="1">
      <c r="A69" s="61" t="s">
        <v>1981</v>
      </c>
      <c r="B69" s="492" t="s">
        <v>552</v>
      </c>
      <c r="C69" s="156" t="s">
        <v>628</v>
      </c>
      <c r="D69" s="201">
        <v>720</v>
      </c>
      <c r="E69" s="201">
        <f t="shared" si="5"/>
        <v>792.00000000000011</v>
      </c>
      <c r="F69" s="201" t="s">
        <v>539</v>
      </c>
      <c r="G69" s="201" t="s">
        <v>539</v>
      </c>
      <c r="H69" s="612" t="s">
        <v>285</v>
      </c>
      <c r="I69" s="612"/>
      <c r="J69" s="145"/>
      <c r="K69" s="145"/>
      <c r="L69" s="145"/>
      <c r="M69" s="145"/>
      <c r="N69" s="145"/>
    </row>
    <row r="70" spans="1:14" s="133" customFormat="1" ht="30" customHeight="1">
      <c r="A70" s="762"/>
      <c r="B70" s="1451" t="s">
        <v>554</v>
      </c>
      <c r="C70" s="1452"/>
      <c r="D70" s="1452"/>
      <c r="E70" s="1452"/>
      <c r="F70" s="1452"/>
      <c r="G70" s="1452"/>
      <c r="H70" s="611"/>
      <c r="I70" s="611"/>
      <c r="J70" s="145"/>
      <c r="K70" s="145"/>
      <c r="L70" s="145"/>
      <c r="M70" s="145"/>
      <c r="N70" s="145"/>
    </row>
    <row r="71" spans="1:14" s="133" customFormat="1" ht="30" customHeight="1">
      <c r="A71" s="61" t="s">
        <v>2024</v>
      </c>
      <c r="B71" s="492" t="s">
        <v>554</v>
      </c>
      <c r="C71" s="156" t="s">
        <v>628</v>
      </c>
      <c r="D71" s="201">
        <v>255</v>
      </c>
      <c r="E71" s="201">
        <f t="shared" ref="E71" si="6">SUM(D71*1.1)</f>
        <v>280.5</v>
      </c>
      <c r="F71" s="201">
        <f>SUM(G71*1.1)</f>
        <v>231.00000000000003</v>
      </c>
      <c r="G71" s="201">
        <v>210</v>
      </c>
      <c r="H71" s="165" t="s">
        <v>555</v>
      </c>
      <c r="I71" s="165"/>
      <c r="J71" s="145"/>
      <c r="K71" s="145"/>
      <c r="L71" s="145"/>
      <c r="M71" s="145"/>
      <c r="N71" s="145"/>
    </row>
    <row r="72" spans="1:14" s="133" customFormat="1" ht="30" customHeight="1">
      <c r="A72" s="762"/>
      <c r="B72" s="1451" t="s">
        <v>569</v>
      </c>
      <c r="C72" s="1452"/>
      <c r="D72" s="1452"/>
      <c r="E72" s="1452"/>
      <c r="F72" s="1452"/>
      <c r="G72" s="1452"/>
      <c r="H72" s="611"/>
      <c r="I72" s="611"/>
      <c r="J72" s="145"/>
      <c r="K72" s="145"/>
      <c r="L72" s="145"/>
      <c r="M72" s="145"/>
      <c r="N72" s="145"/>
    </row>
    <row r="73" spans="1:14" s="133" customFormat="1" ht="30" customHeight="1">
      <c r="A73" s="61" t="s">
        <v>2025</v>
      </c>
      <c r="B73" s="492" t="s">
        <v>556</v>
      </c>
      <c r="C73" s="156" t="s">
        <v>628</v>
      </c>
      <c r="D73" s="201">
        <v>425</v>
      </c>
      <c r="E73" s="201">
        <f t="shared" ref="E73:E85" si="7">SUM(D73*1.1)</f>
        <v>467.50000000000006</v>
      </c>
      <c r="F73" s="241" t="s">
        <v>783</v>
      </c>
      <c r="G73" s="241" t="s">
        <v>783</v>
      </c>
      <c r="H73" s="612" t="s">
        <v>285</v>
      </c>
      <c r="I73" s="612"/>
      <c r="J73" s="145"/>
      <c r="K73" s="145"/>
      <c r="L73" s="145"/>
      <c r="M73" s="145"/>
      <c r="N73" s="145"/>
    </row>
    <row r="74" spans="1:14" s="133" customFormat="1" ht="30" customHeight="1">
      <c r="A74" s="61" t="s">
        <v>2026</v>
      </c>
      <c r="B74" s="492" t="s">
        <v>557</v>
      </c>
      <c r="C74" s="156" t="s">
        <v>628</v>
      </c>
      <c r="D74" s="201">
        <v>465</v>
      </c>
      <c r="E74" s="201">
        <f t="shared" si="7"/>
        <v>511.50000000000006</v>
      </c>
      <c r="F74" s="241" t="s">
        <v>783</v>
      </c>
      <c r="G74" s="241" t="s">
        <v>783</v>
      </c>
      <c r="H74" s="612" t="s">
        <v>285</v>
      </c>
      <c r="I74" s="612"/>
      <c r="J74" s="145"/>
      <c r="K74" s="145"/>
      <c r="L74" s="145"/>
      <c r="M74" s="145"/>
      <c r="N74" s="145"/>
    </row>
    <row r="75" spans="1:14" s="133" customFormat="1" ht="30" customHeight="1">
      <c r="A75" s="61" t="s">
        <v>2027</v>
      </c>
      <c r="B75" s="492" t="s">
        <v>558</v>
      </c>
      <c r="C75" s="156" t="s">
        <v>628</v>
      </c>
      <c r="D75" s="201">
        <v>550</v>
      </c>
      <c r="E75" s="201">
        <f t="shared" si="7"/>
        <v>605</v>
      </c>
      <c r="F75" s="241" t="s">
        <v>783</v>
      </c>
      <c r="G75" s="241" t="s">
        <v>783</v>
      </c>
      <c r="H75" s="612" t="s">
        <v>285</v>
      </c>
      <c r="I75" s="612"/>
      <c r="J75" s="145"/>
      <c r="K75" s="145"/>
      <c r="L75" s="145"/>
      <c r="M75" s="145"/>
      <c r="N75" s="145"/>
    </row>
    <row r="76" spans="1:14" s="133" customFormat="1" ht="30" customHeight="1">
      <c r="A76" s="61" t="s">
        <v>2028</v>
      </c>
      <c r="B76" s="492" t="s">
        <v>559</v>
      </c>
      <c r="C76" s="156" t="s">
        <v>628</v>
      </c>
      <c r="D76" s="201">
        <v>635</v>
      </c>
      <c r="E76" s="201">
        <f t="shared" si="7"/>
        <v>698.5</v>
      </c>
      <c r="F76" s="241" t="s">
        <v>783</v>
      </c>
      <c r="G76" s="241" t="s">
        <v>783</v>
      </c>
      <c r="H76" s="612" t="s">
        <v>285</v>
      </c>
      <c r="I76" s="612"/>
      <c r="J76" s="145"/>
      <c r="K76" s="145"/>
      <c r="L76" s="145"/>
      <c r="M76" s="145"/>
      <c r="N76" s="145"/>
    </row>
    <row r="77" spans="1:14" s="133" customFormat="1" ht="30" customHeight="1">
      <c r="A77" s="61" t="s">
        <v>2029</v>
      </c>
      <c r="B77" s="492" t="s">
        <v>560</v>
      </c>
      <c r="C77" s="156" t="s">
        <v>628</v>
      </c>
      <c r="D77" s="201">
        <v>720</v>
      </c>
      <c r="E77" s="201">
        <f t="shared" si="7"/>
        <v>792.00000000000011</v>
      </c>
      <c r="F77" s="241" t="s">
        <v>783</v>
      </c>
      <c r="G77" s="241" t="s">
        <v>783</v>
      </c>
      <c r="H77" s="612" t="s">
        <v>285</v>
      </c>
      <c r="I77" s="612"/>
      <c r="J77" s="145"/>
      <c r="K77" s="145"/>
      <c r="L77" s="145"/>
      <c r="M77" s="145"/>
      <c r="N77" s="145"/>
    </row>
    <row r="78" spans="1:14" s="133" customFormat="1" ht="30" customHeight="1">
      <c r="A78" s="61" t="s">
        <v>2030</v>
      </c>
      <c r="B78" s="492" t="s">
        <v>561</v>
      </c>
      <c r="C78" s="156" t="s">
        <v>628</v>
      </c>
      <c r="D78" s="201">
        <v>930</v>
      </c>
      <c r="E78" s="201">
        <f t="shared" si="7"/>
        <v>1023.0000000000001</v>
      </c>
      <c r="F78" s="241" t="s">
        <v>783</v>
      </c>
      <c r="G78" s="241" t="s">
        <v>783</v>
      </c>
      <c r="H78" s="612" t="s">
        <v>285</v>
      </c>
      <c r="I78" s="612"/>
      <c r="J78" s="145"/>
      <c r="K78" s="145"/>
      <c r="L78" s="145"/>
      <c r="M78" s="145"/>
      <c r="N78" s="145"/>
    </row>
    <row r="79" spans="1:14" s="133" customFormat="1" ht="30" customHeight="1">
      <c r="A79" s="61" t="s">
        <v>2031</v>
      </c>
      <c r="B79" s="492" t="s">
        <v>562</v>
      </c>
      <c r="C79" s="156" t="s">
        <v>628</v>
      </c>
      <c r="D79" s="201">
        <v>1040</v>
      </c>
      <c r="E79" s="201">
        <f t="shared" si="7"/>
        <v>1144</v>
      </c>
      <c r="F79" s="241" t="s">
        <v>783</v>
      </c>
      <c r="G79" s="241" t="s">
        <v>783</v>
      </c>
      <c r="H79" s="612" t="s">
        <v>285</v>
      </c>
      <c r="I79" s="612"/>
      <c r="J79" s="145"/>
      <c r="K79" s="145"/>
      <c r="L79" s="145"/>
      <c r="M79" s="145"/>
      <c r="N79" s="145"/>
    </row>
    <row r="80" spans="1:14" s="133" customFormat="1" ht="30" customHeight="1">
      <c r="A80" s="61" t="s">
        <v>2021</v>
      </c>
      <c r="B80" s="492" t="s">
        <v>563</v>
      </c>
      <c r="C80" s="156" t="s">
        <v>628</v>
      </c>
      <c r="D80" s="201">
        <v>1190</v>
      </c>
      <c r="E80" s="201">
        <f t="shared" si="7"/>
        <v>1309</v>
      </c>
      <c r="F80" s="241" t="s">
        <v>783</v>
      </c>
      <c r="G80" s="241" t="s">
        <v>783</v>
      </c>
      <c r="H80" s="612" t="s">
        <v>285</v>
      </c>
      <c r="I80" s="612"/>
      <c r="J80" s="145"/>
      <c r="K80" s="145"/>
      <c r="L80" s="145"/>
      <c r="M80" s="145"/>
      <c r="N80" s="145"/>
    </row>
    <row r="81" spans="1:14" s="133" customFormat="1" ht="30" customHeight="1">
      <c r="A81" s="61" t="s">
        <v>2032</v>
      </c>
      <c r="B81" s="492" t="s">
        <v>564</v>
      </c>
      <c r="C81" s="156" t="s">
        <v>628</v>
      </c>
      <c r="D81" s="201">
        <v>1500</v>
      </c>
      <c r="E81" s="201">
        <f t="shared" si="7"/>
        <v>1650.0000000000002</v>
      </c>
      <c r="F81" s="241" t="s">
        <v>783</v>
      </c>
      <c r="G81" s="241" t="s">
        <v>783</v>
      </c>
      <c r="H81" s="612" t="s">
        <v>285</v>
      </c>
      <c r="I81" s="612"/>
      <c r="J81" s="145"/>
      <c r="K81" s="145"/>
      <c r="L81" s="145"/>
      <c r="M81" s="145"/>
      <c r="N81" s="145"/>
    </row>
    <row r="82" spans="1:14" s="133" customFormat="1" ht="30" customHeight="1">
      <c r="A82" s="61" t="s">
        <v>2033</v>
      </c>
      <c r="B82" s="492" t="s">
        <v>565</v>
      </c>
      <c r="C82" s="156" t="s">
        <v>628</v>
      </c>
      <c r="D82" s="201">
        <v>1670</v>
      </c>
      <c r="E82" s="201">
        <f t="shared" si="7"/>
        <v>1837.0000000000002</v>
      </c>
      <c r="F82" s="241" t="s">
        <v>783</v>
      </c>
      <c r="G82" s="241" t="s">
        <v>783</v>
      </c>
      <c r="H82" s="612" t="s">
        <v>285</v>
      </c>
      <c r="I82" s="612"/>
      <c r="J82" s="145"/>
      <c r="K82" s="145"/>
      <c r="L82" s="145"/>
      <c r="M82" s="145"/>
      <c r="N82" s="145"/>
    </row>
    <row r="83" spans="1:14" s="133" customFormat="1" ht="30" customHeight="1">
      <c r="A83" s="61" t="s">
        <v>2034</v>
      </c>
      <c r="B83" s="492" t="s">
        <v>566</v>
      </c>
      <c r="C83" s="156" t="s">
        <v>628</v>
      </c>
      <c r="D83" s="201">
        <v>1950</v>
      </c>
      <c r="E83" s="201">
        <f t="shared" si="7"/>
        <v>2145</v>
      </c>
      <c r="F83" s="241" t="s">
        <v>783</v>
      </c>
      <c r="G83" s="241" t="s">
        <v>783</v>
      </c>
      <c r="H83" s="612" t="s">
        <v>285</v>
      </c>
      <c r="I83" s="612"/>
      <c r="J83" s="145"/>
      <c r="K83" s="145"/>
      <c r="L83" s="145"/>
      <c r="M83" s="145"/>
      <c r="N83" s="145"/>
    </row>
    <row r="84" spans="1:14" s="133" customFormat="1" ht="30" customHeight="1">
      <c r="A84" s="61" t="s">
        <v>2035</v>
      </c>
      <c r="B84" s="492" t="s">
        <v>567</v>
      </c>
      <c r="C84" s="156" t="s">
        <v>628</v>
      </c>
      <c r="D84" s="201">
        <v>2230</v>
      </c>
      <c r="E84" s="201">
        <f t="shared" si="7"/>
        <v>2453</v>
      </c>
      <c r="F84" s="241" t="s">
        <v>783</v>
      </c>
      <c r="G84" s="241" t="s">
        <v>783</v>
      </c>
      <c r="H84" s="612" t="s">
        <v>285</v>
      </c>
      <c r="I84" s="612"/>
      <c r="J84" s="145"/>
      <c r="K84" s="145"/>
      <c r="L84" s="145"/>
      <c r="M84" s="145"/>
      <c r="N84" s="145"/>
    </row>
    <row r="85" spans="1:14" s="133" customFormat="1" ht="30" customHeight="1">
      <c r="A85" s="61" t="s">
        <v>2036</v>
      </c>
      <c r="B85" s="492" t="s">
        <v>568</v>
      </c>
      <c r="C85" s="156" t="s">
        <v>628</v>
      </c>
      <c r="D85" s="201">
        <v>2520</v>
      </c>
      <c r="E85" s="201">
        <f t="shared" si="7"/>
        <v>2772</v>
      </c>
      <c r="F85" s="241" t="s">
        <v>783</v>
      </c>
      <c r="G85" s="241" t="s">
        <v>783</v>
      </c>
      <c r="H85" s="612" t="s">
        <v>285</v>
      </c>
      <c r="I85" s="612"/>
      <c r="J85" s="145"/>
      <c r="K85" s="145"/>
      <c r="L85" s="145"/>
      <c r="M85" s="145"/>
      <c r="N85" s="145"/>
    </row>
    <row r="86" spans="1:14" s="133" customFormat="1" ht="30" customHeight="1">
      <c r="A86" s="762"/>
      <c r="B86" s="1451" t="s">
        <v>570</v>
      </c>
      <c r="C86" s="1452"/>
      <c r="D86" s="1452"/>
      <c r="E86" s="1452"/>
      <c r="F86" s="1452"/>
      <c r="G86" s="1452"/>
      <c r="H86" s="611"/>
      <c r="I86" s="611"/>
      <c r="J86" s="145"/>
      <c r="K86" s="145"/>
      <c r="L86" s="145"/>
      <c r="M86" s="145"/>
      <c r="N86" s="145"/>
    </row>
    <row r="87" spans="1:14" s="133" customFormat="1" ht="30" customHeight="1">
      <c r="A87" s="61" t="s">
        <v>2037</v>
      </c>
      <c r="B87" s="494" t="s">
        <v>571</v>
      </c>
      <c r="C87" s="156" t="s">
        <v>628</v>
      </c>
      <c r="D87" s="201">
        <v>905</v>
      </c>
      <c r="E87" s="201">
        <f t="shared" ref="E87:E107" si="8">SUM(D87*1.1)</f>
        <v>995.50000000000011</v>
      </c>
      <c r="F87" s="201" t="s">
        <v>539</v>
      </c>
      <c r="G87" s="201" t="s">
        <v>539</v>
      </c>
      <c r="H87" s="612" t="s">
        <v>285</v>
      </c>
      <c r="I87" s="612"/>
      <c r="J87" s="145"/>
      <c r="K87" s="145"/>
      <c r="L87" s="145"/>
      <c r="M87" s="145"/>
      <c r="N87" s="145"/>
    </row>
    <row r="88" spans="1:14" s="133" customFormat="1" ht="30" customHeight="1">
      <c r="A88" s="61" t="s">
        <v>2038</v>
      </c>
      <c r="B88" s="494" t="s">
        <v>572</v>
      </c>
      <c r="C88" s="156" t="s">
        <v>628</v>
      </c>
      <c r="D88" s="201">
        <v>945</v>
      </c>
      <c r="E88" s="201">
        <f t="shared" si="8"/>
        <v>1039.5</v>
      </c>
      <c r="F88" s="201" t="s">
        <v>539</v>
      </c>
      <c r="G88" s="201" t="s">
        <v>539</v>
      </c>
      <c r="H88" s="612" t="s">
        <v>285</v>
      </c>
      <c r="I88" s="612"/>
      <c r="J88" s="145"/>
      <c r="K88" s="145"/>
      <c r="L88" s="145"/>
      <c r="M88" s="145"/>
      <c r="N88" s="145"/>
    </row>
    <row r="89" spans="1:14" s="133" customFormat="1" ht="30" customHeight="1">
      <c r="A89" s="61" t="s">
        <v>2039</v>
      </c>
      <c r="B89" s="494" t="s">
        <v>573</v>
      </c>
      <c r="C89" s="156" t="s">
        <v>628</v>
      </c>
      <c r="D89" s="201">
        <v>1030</v>
      </c>
      <c r="E89" s="201">
        <f t="shared" si="8"/>
        <v>1133</v>
      </c>
      <c r="F89" s="201" t="s">
        <v>539</v>
      </c>
      <c r="G89" s="201" t="s">
        <v>539</v>
      </c>
      <c r="H89" s="612" t="s">
        <v>285</v>
      </c>
      <c r="I89" s="612"/>
      <c r="J89" s="145"/>
      <c r="K89" s="145"/>
      <c r="L89" s="145"/>
      <c r="M89" s="145"/>
      <c r="N89" s="145"/>
    </row>
    <row r="90" spans="1:14" s="133" customFormat="1" ht="30" customHeight="1">
      <c r="A90" s="61" t="s">
        <v>2040</v>
      </c>
      <c r="B90" s="494" t="s">
        <v>574</v>
      </c>
      <c r="C90" s="156" t="s">
        <v>628</v>
      </c>
      <c r="D90" s="201">
        <v>1115</v>
      </c>
      <c r="E90" s="201">
        <f t="shared" si="8"/>
        <v>1226.5</v>
      </c>
      <c r="F90" s="201" t="s">
        <v>539</v>
      </c>
      <c r="G90" s="201" t="s">
        <v>539</v>
      </c>
      <c r="H90" s="612" t="s">
        <v>285</v>
      </c>
      <c r="I90" s="612"/>
      <c r="J90" s="145"/>
      <c r="K90" s="145"/>
      <c r="L90" s="145"/>
      <c r="M90" s="145"/>
      <c r="N90" s="145"/>
    </row>
    <row r="91" spans="1:14" s="133" customFormat="1" ht="30" customHeight="1">
      <c r="A91" s="61" t="s">
        <v>2041</v>
      </c>
      <c r="B91" s="494" t="s">
        <v>575</v>
      </c>
      <c r="C91" s="156" t="s">
        <v>628</v>
      </c>
      <c r="D91" s="201">
        <v>1200</v>
      </c>
      <c r="E91" s="201">
        <f t="shared" si="8"/>
        <v>1320</v>
      </c>
      <c r="F91" s="201" t="s">
        <v>539</v>
      </c>
      <c r="G91" s="201" t="s">
        <v>539</v>
      </c>
      <c r="H91" s="612" t="s">
        <v>285</v>
      </c>
      <c r="I91" s="612"/>
      <c r="J91" s="145"/>
      <c r="K91" s="145"/>
      <c r="L91" s="145"/>
      <c r="M91" s="145"/>
      <c r="N91" s="145"/>
    </row>
    <row r="92" spans="1:14" s="133" customFormat="1" ht="30" customHeight="1">
      <c r="A92" s="61" t="s">
        <v>2042</v>
      </c>
      <c r="B92" s="494" t="s">
        <v>576</v>
      </c>
      <c r="C92" s="156" t="s">
        <v>628</v>
      </c>
      <c r="D92" s="201">
        <v>1410</v>
      </c>
      <c r="E92" s="201">
        <f t="shared" si="8"/>
        <v>1551.0000000000002</v>
      </c>
      <c r="F92" s="201" t="s">
        <v>539</v>
      </c>
      <c r="G92" s="201" t="s">
        <v>539</v>
      </c>
      <c r="H92" s="612" t="s">
        <v>285</v>
      </c>
      <c r="I92" s="612"/>
      <c r="J92" s="145"/>
      <c r="K92" s="145"/>
      <c r="L92" s="145"/>
      <c r="M92" s="145"/>
      <c r="N92" s="145"/>
    </row>
    <row r="93" spans="1:14" s="133" customFormat="1" ht="30" customHeight="1">
      <c r="A93" s="61" t="s">
        <v>2043</v>
      </c>
      <c r="B93" s="494" t="s">
        <v>577</v>
      </c>
      <c r="C93" s="156" t="s">
        <v>628</v>
      </c>
      <c r="D93" s="201">
        <v>1520</v>
      </c>
      <c r="E93" s="201">
        <f t="shared" si="8"/>
        <v>1672.0000000000002</v>
      </c>
      <c r="F93" s="201" t="s">
        <v>539</v>
      </c>
      <c r="G93" s="201" t="s">
        <v>539</v>
      </c>
      <c r="H93" s="612" t="s">
        <v>285</v>
      </c>
      <c r="I93" s="612"/>
      <c r="J93" s="145"/>
      <c r="K93" s="145"/>
      <c r="L93" s="145"/>
      <c r="M93" s="145"/>
      <c r="N93" s="145"/>
    </row>
    <row r="94" spans="1:14" s="133" customFormat="1" ht="30" customHeight="1">
      <c r="A94" s="61" t="s">
        <v>2044</v>
      </c>
      <c r="B94" s="494" t="s">
        <v>578</v>
      </c>
      <c r="C94" s="156" t="s">
        <v>628</v>
      </c>
      <c r="D94" s="201">
        <v>1670</v>
      </c>
      <c r="E94" s="201">
        <f t="shared" si="8"/>
        <v>1837.0000000000002</v>
      </c>
      <c r="F94" s="201" t="s">
        <v>539</v>
      </c>
      <c r="G94" s="201" t="s">
        <v>539</v>
      </c>
      <c r="H94" s="612" t="s">
        <v>285</v>
      </c>
      <c r="I94" s="612"/>
      <c r="J94" s="145"/>
      <c r="K94" s="145"/>
      <c r="L94" s="145"/>
      <c r="M94" s="145"/>
      <c r="N94" s="145"/>
    </row>
    <row r="95" spans="1:14" s="133" customFormat="1" ht="30" customHeight="1">
      <c r="A95" s="61" t="s">
        <v>2045</v>
      </c>
      <c r="B95" s="494" t="s">
        <v>579</v>
      </c>
      <c r="C95" s="156" t="s">
        <v>628</v>
      </c>
      <c r="D95" s="201">
        <v>1145</v>
      </c>
      <c r="E95" s="201">
        <f t="shared" si="8"/>
        <v>1259.5</v>
      </c>
      <c r="F95" s="201" t="s">
        <v>539</v>
      </c>
      <c r="G95" s="201" t="s">
        <v>539</v>
      </c>
      <c r="H95" s="612" t="s">
        <v>285</v>
      </c>
      <c r="I95" s="612"/>
      <c r="J95" s="145"/>
      <c r="K95" s="145"/>
      <c r="L95" s="145"/>
      <c r="M95" s="145"/>
      <c r="N95" s="145"/>
    </row>
    <row r="96" spans="1:14" s="133" customFormat="1" ht="30" customHeight="1">
      <c r="A96" s="61" t="s">
        <v>2046</v>
      </c>
      <c r="B96" s="494" t="s">
        <v>580</v>
      </c>
      <c r="C96" s="156" t="s">
        <v>628</v>
      </c>
      <c r="D96" s="201">
        <v>1185</v>
      </c>
      <c r="E96" s="201">
        <f t="shared" si="8"/>
        <v>1303.5</v>
      </c>
      <c r="F96" s="201" t="s">
        <v>539</v>
      </c>
      <c r="G96" s="201" t="s">
        <v>539</v>
      </c>
      <c r="H96" s="612" t="s">
        <v>285</v>
      </c>
      <c r="I96" s="612"/>
      <c r="J96" s="145"/>
      <c r="K96" s="145"/>
      <c r="L96" s="145"/>
      <c r="M96" s="145"/>
      <c r="N96" s="145"/>
    </row>
    <row r="97" spans="1:14" s="133" customFormat="1" ht="30" customHeight="1">
      <c r="A97" s="61" t="s">
        <v>2047</v>
      </c>
      <c r="B97" s="494" t="s">
        <v>581</v>
      </c>
      <c r="C97" s="156" t="s">
        <v>628</v>
      </c>
      <c r="D97" s="201">
        <v>1270</v>
      </c>
      <c r="E97" s="201">
        <f t="shared" si="8"/>
        <v>1397</v>
      </c>
      <c r="F97" s="201" t="s">
        <v>539</v>
      </c>
      <c r="G97" s="201" t="s">
        <v>539</v>
      </c>
      <c r="H97" s="612" t="s">
        <v>285</v>
      </c>
      <c r="I97" s="612"/>
      <c r="J97" s="145"/>
      <c r="K97" s="145"/>
      <c r="L97" s="145"/>
      <c r="M97" s="145"/>
      <c r="N97" s="145"/>
    </row>
    <row r="98" spans="1:14" s="133" customFormat="1" ht="30" customHeight="1">
      <c r="A98" s="61" t="s">
        <v>2048</v>
      </c>
      <c r="B98" s="494" t="s">
        <v>582</v>
      </c>
      <c r="C98" s="156" t="s">
        <v>628</v>
      </c>
      <c r="D98" s="201">
        <v>1355</v>
      </c>
      <c r="E98" s="201">
        <f t="shared" si="8"/>
        <v>1490.5000000000002</v>
      </c>
      <c r="F98" s="201" t="s">
        <v>539</v>
      </c>
      <c r="G98" s="201" t="s">
        <v>539</v>
      </c>
      <c r="H98" s="612" t="s">
        <v>285</v>
      </c>
      <c r="I98" s="612"/>
      <c r="J98" s="145"/>
      <c r="K98" s="145"/>
      <c r="L98" s="145"/>
      <c r="M98" s="145"/>
      <c r="N98" s="145"/>
    </row>
    <row r="99" spans="1:14" s="133" customFormat="1" ht="30" customHeight="1">
      <c r="A99" s="61" t="s">
        <v>2049</v>
      </c>
      <c r="B99" s="494" t="s">
        <v>583</v>
      </c>
      <c r="C99" s="156" t="s">
        <v>628</v>
      </c>
      <c r="D99" s="201">
        <v>1440</v>
      </c>
      <c r="E99" s="201">
        <f t="shared" si="8"/>
        <v>1584.0000000000002</v>
      </c>
      <c r="F99" s="201" t="s">
        <v>539</v>
      </c>
      <c r="G99" s="201" t="s">
        <v>539</v>
      </c>
      <c r="H99" s="612" t="s">
        <v>285</v>
      </c>
      <c r="I99" s="612"/>
      <c r="J99" s="145"/>
      <c r="K99" s="145"/>
      <c r="L99" s="145"/>
      <c r="M99" s="145"/>
      <c r="N99" s="145"/>
    </row>
    <row r="100" spans="1:14" s="133" customFormat="1" ht="30" customHeight="1">
      <c r="A100" s="61" t="s">
        <v>2050</v>
      </c>
      <c r="B100" s="494" t="s">
        <v>584</v>
      </c>
      <c r="C100" s="156" t="s">
        <v>628</v>
      </c>
      <c r="D100" s="201">
        <v>1650</v>
      </c>
      <c r="E100" s="201">
        <f t="shared" si="8"/>
        <v>1815.0000000000002</v>
      </c>
      <c r="F100" s="201" t="s">
        <v>539</v>
      </c>
      <c r="G100" s="201" t="s">
        <v>539</v>
      </c>
      <c r="H100" s="612" t="s">
        <v>285</v>
      </c>
      <c r="I100" s="612"/>
      <c r="J100" s="145"/>
      <c r="K100" s="145"/>
      <c r="L100" s="145"/>
      <c r="M100" s="145"/>
      <c r="N100" s="145"/>
    </row>
    <row r="101" spans="1:14" s="133" customFormat="1" ht="30" customHeight="1">
      <c r="A101" s="61" t="s">
        <v>2051</v>
      </c>
      <c r="B101" s="494" t="s">
        <v>585</v>
      </c>
      <c r="C101" s="156" t="s">
        <v>628</v>
      </c>
      <c r="D101" s="201">
        <v>1760</v>
      </c>
      <c r="E101" s="201">
        <f t="shared" si="8"/>
        <v>1936.0000000000002</v>
      </c>
      <c r="F101" s="201" t="s">
        <v>539</v>
      </c>
      <c r="G101" s="201" t="s">
        <v>539</v>
      </c>
      <c r="H101" s="612" t="s">
        <v>285</v>
      </c>
      <c r="I101" s="612"/>
      <c r="J101" s="145"/>
      <c r="K101" s="145"/>
      <c r="L101" s="145"/>
      <c r="M101" s="145"/>
      <c r="N101" s="145"/>
    </row>
    <row r="102" spans="1:14" s="133" customFormat="1" ht="30" customHeight="1">
      <c r="A102" s="61" t="s">
        <v>2052</v>
      </c>
      <c r="B102" s="494" t="s">
        <v>586</v>
      </c>
      <c r="C102" s="156" t="s">
        <v>628</v>
      </c>
      <c r="D102" s="201">
        <v>1910</v>
      </c>
      <c r="E102" s="201">
        <f t="shared" si="8"/>
        <v>2101</v>
      </c>
      <c r="F102" s="201" t="s">
        <v>539</v>
      </c>
      <c r="G102" s="201" t="s">
        <v>539</v>
      </c>
      <c r="H102" s="612" t="s">
        <v>285</v>
      </c>
      <c r="I102" s="612"/>
      <c r="J102" s="145"/>
      <c r="K102" s="145"/>
      <c r="L102" s="145"/>
      <c r="M102" s="145"/>
      <c r="N102" s="145"/>
    </row>
    <row r="103" spans="1:14" s="133" customFormat="1" ht="30" customHeight="1">
      <c r="A103" s="61" t="s">
        <v>2053</v>
      </c>
      <c r="B103" s="494" t="s">
        <v>587</v>
      </c>
      <c r="C103" s="156" t="s">
        <v>628</v>
      </c>
      <c r="D103" s="201">
        <v>2220</v>
      </c>
      <c r="E103" s="201">
        <f t="shared" si="8"/>
        <v>2442</v>
      </c>
      <c r="F103" s="201" t="s">
        <v>539</v>
      </c>
      <c r="G103" s="201" t="s">
        <v>539</v>
      </c>
      <c r="H103" s="612" t="s">
        <v>285</v>
      </c>
      <c r="I103" s="612"/>
      <c r="J103" s="145"/>
      <c r="K103" s="145"/>
      <c r="L103" s="145"/>
      <c r="M103" s="145"/>
      <c r="N103" s="145"/>
    </row>
    <row r="104" spans="1:14" s="133" customFormat="1" ht="30" customHeight="1">
      <c r="A104" s="61" t="s">
        <v>2054</v>
      </c>
      <c r="B104" s="494" t="s">
        <v>588</v>
      </c>
      <c r="C104" s="156" t="s">
        <v>628</v>
      </c>
      <c r="D104" s="201">
        <v>2390</v>
      </c>
      <c r="E104" s="201">
        <f t="shared" si="8"/>
        <v>2629</v>
      </c>
      <c r="F104" s="201" t="s">
        <v>539</v>
      </c>
      <c r="G104" s="201" t="s">
        <v>539</v>
      </c>
      <c r="H104" s="612" t="s">
        <v>285</v>
      </c>
      <c r="I104" s="612"/>
      <c r="J104" s="145"/>
      <c r="K104" s="145"/>
      <c r="L104" s="145"/>
      <c r="M104" s="145"/>
      <c r="N104" s="145"/>
    </row>
    <row r="105" spans="1:14" s="133" customFormat="1" ht="30" customHeight="1">
      <c r="A105" s="61" t="s">
        <v>2055</v>
      </c>
      <c r="B105" s="494" t="s">
        <v>589</v>
      </c>
      <c r="C105" s="156" t="s">
        <v>628</v>
      </c>
      <c r="D105" s="201">
        <v>2670</v>
      </c>
      <c r="E105" s="201">
        <f t="shared" si="8"/>
        <v>2937.0000000000005</v>
      </c>
      <c r="F105" s="201" t="s">
        <v>539</v>
      </c>
      <c r="G105" s="201" t="s">
        <v>539</v>
      </c>
      <c r="H105" s="612" t="s">
        <v>285</v>
      </c>
      <c r="I105" s="612"/>
      <c r="J105" s="145"/>
      <c r="K105" s="145"/>
      <c r="L105" s="145"/>
      <c r="M105" s="145"/>
      <c r="N105" s="145"/>
    </row>
    <row r="106" spans="1:14" s="133" customFormat="1" ht="30" customHeight="1">
      <c r="A106" s="61" t="s">
        <v>2056</v>
      </c>
      <c r="B106" s="494" t="s">
        <v>590</v>
      </c>
      <c r="C106" s="156" t="s">
        <v>628</v>
      </c>
      <c r="D106" s="201">
        <v>2950</v>
      </c>
      <c r="E106" s="201">
        <f t="shared" si="8"/>
        <v>3245.0000000000005</v>
      </c>
      <c r="F106" s="201" t="s">
        <v>539</v>
      </c>
      <c r="G106" s="201" t="s">
        <v>539</v>
      </c>
      <c r="H106" s="612" t="s">
        <v>285</v>
      </c>
      <c r="I106" s="612"/>
      <c r="J106" s="145"/>
      <c r="K106" s="145"/>
      <c r="L106" s="145"/>
      <c r="M106" s="145"/>
      <c r="N106" s="145"/>
    </row>
    <row r="107" spans="1:14" s="133" customFormat="1" ht="30" customHeight="1">
      <c r="A107" s="61" t="s">
        <v>2057</v>
      </c>
      <c r="B107" s="494" t="s">
        <v>591</v>
      </c>
      <c r="C107" s="156" t="s">
        <v>628</v>
      </c>
      <c r="D107" s="201">
        <v>3240</v>
      </c>
      <c r="E107" s="201">
        <f t="shared" si="8"/>
        <v>3564.0000000000005</v>
      </c>
      <c r="F107" s="201" t="s">
        <v>539</v>
      </c>
      <c r="G107" s="201" t="s">
        <v>539</v>
      </c>
      <c r="H107" s="612" t="s">
        <v>285</v>
      </c>
      <c r="I107" s="612"/>
      <c r="J107" s="145"/>
      <c r="K107" s="145"/>
      <c r="L107" s="145"/>
      <c r="M107" s="145"/>
      <c r="N107" s="145"/>
    </row>
    <row r="108" spans="1:14" s="133" customFormat="1" ht="30" customHeight="1">
      <c r="A108" s="762"/>
      <c r="B108" s="1456" t="s">
        <v>595</v>
      </c>
      <c r="C108" s="1452"/>
      <c r="D108" s="1452"/>
      <c r="E108" s="1452"/>
      <c r="F108" s="1452"/>
      <c r="G108" s="1452"/>
      <c r="H108" s="611"/>
      <c r="I108" s="611"/>
      <c r="J108" s="145"/>
      <c r="K108" s="145"/>
      <c r="L108" s="145"/>
      <c r="M108" s="145"/>
      <c r="N108" s="145"/>
    </row>
    <row r="109" spans="1:14" s="133" customFormat="1" ht="30" customHeight="1">
      <c r="A109" s="61" t="s">
        <v>2058</v>
      </c>
      <c r="B109" s="492" t="s">
        <v>592</v>
      </c>
      <c r="C109" s="156" t="s">
        <v>628</v>
      </c>
      <c r="D109" s="241" t="s">
        <v>783</v>
      </c>
      <c r="E109" s="241" t="s">
        <v>783</v>
      </c>
      <c r="F109" s="201" t="s">
        <v>539</v>
      </c>
      <c r="G109" s="201" t="s">
        <v>539</v>
      </c>
      <c r="H109" s="612" t="s">
        <v>285</v>
      </c>
      <c r="I109" s="612"/>
      <c r="J109" s="145"/>
      <c r="K109" s="145"/>
      <c r="L109" s="145"/>
      <c r="M109" s="145"/>
      <c r="N109" s="145"/>
    </row>
    <row r="110" spans="1:14" s="133" customFormat="1" ht="30" customHeight="1">
      <c r="A110" s="61" t="s">
        <v>2059</v>
      </c>
      <c r="B110" s="492" t="s">
        <v>593</v>
      </c>
      <c r="C110" s="156" t="s">
        <v>628</v>
      </c>
      <c r="D110" s="241" t="s">
        <v>783</v>
      </c>
      <c r="E110" s="241" t="s">
        <v>783</v>
      </c>
      <c r="F110" s="201" t="s">
        <v>539</v>
      </c>
      <c r="G110" s="201" t="s">
        <v>539</v>
      </c>
      <c r="H110" s="612" t="s">
        <v>285</v>
      </c>
      <c r="I110" s="612"/>
      <c r="J110" s="145"/>
      <c r="K110" s="145"/>
      <c r="L110" s="145"/>
      <c r="M110" s="145"/>
      <c r="N110" s="145"/>
    </row>
    <row r="111" spans="1:14" s="133" customFormat="1" ht="30" customHeight="1">
      <c r="A111" s="761" t="s">
        <v>2060</v>
      </c>
      <c r="B111" s="492" t="s">
        <v>594</v>
      </c>
      <c r="C111" s="156" t="s">
        <v>628</v>
      </c>
      <c r="D111" s="241" t="s">
        <v>783</v>
      </c>
      <c r="E111" s="241" t="s">
        <v>783</v>
      </c>
      <c r="F111" s="201" t="s">
        <v>539</v>
      </c>
      <c r="G111" s="201" t="s">
        <v>539</v>
      </c>
      <c r="H111" s="612" t="s">
        <v>285</v>
      </c>
      <c r="I111" s="612"/>
      <c r="J111" s="145"/>
      <c r="K111" s="145"/>
      <c r="L111" s="145"/>
      <c r="M111" s="145"/>
      <c r="N111" s="145"/>
    </row>
    <row r="112" spans="1:14" s="133" customFormat="1" ht="30" customHeight="1">
      <c r="A112" s="762"/>
      <c r="B112" s="1451" t="s">
        <v>598</v>
      </c>
      <c r="C112" s="1452"/>
      <c r="D112" s="1452"/>
      <c r="E112" s="1452"/>
      <c r="F112" s="1452"/>
      <c r="G112" s="1452"/>
      <c r="H112" s="611"/>
      <c r="I112" s="611"/>
      <c r="J112" s="145"/>
      <c r="K112" s="145"/>
      <c r="L112" s="145"/>
      <c r="M112" s="145"/>
      <c r="N112" s="145"/>
    </row>
    <row r="113" spans="1:14" s="133" customFormat="1" ht="30" customHeight="1">
      <c r="A113" s="61" t="s">
        <v>2061</v>
      </c>
      <c r="B113" s="492" t="s">
        <v>596</v>
      </c>
      <c r="C113" s="156" t="s">
        <v>628</v>
      </c>
      <c r="D113" s="201">
        <v>4.25</v>
      </c>
      <c r="E113" s="201">
        <f t="shared" ref="E113" si="9">SUM(D113*1.1)</f>
        <v>4.6750000000000007</v>
      </c>
      <c r="F113" s="201">
        <f t="shared" ref="F113:F114" si="10">SUM(G113*1.1)</f>
        <v>64.900000000000006</v>
      </c>
      <c r="G113" s="201">
        <v>59</v>
      </c>
      <c r="H113" s="612" t="s">
        <v>285</v>
      </c>
      <c r="I113" s="612"/>
      <c r="J113" s="145"/>
      <c r="K113" s="145"/>
      <c r="L113" s="145"/>
      <c r="M113" s="145"/>
      <c r="N113" s="145"/>
    </row>
    <row r="114" spans="1:14" s="133" customFormat="1" ht="30" customHeight="1">
      <c r="A114" s="61" t="s">
        <v>2062</v>
      </c>
      <c r="B114" s="492" t="s">
        <v>597</v>
      </c>
      <c r="C114" s="156" t="s">
        <v>628</v>
      </c>
      <c r="D114" s="241" t="s">
        <v>783</v>
      </c>
      <c r="E114" s="241" t="s">
        <v>783</v>
      </c>
      <c r="F114" s="201">
        <f t="shared" si="10"/>
        <v>56.1</v>
      </c>
      <c r="G114" s="201">
        <v>51</v>
      </c>
      <c r="H114" s="612" t="s">
        <v>285</v>
      </c>
      <c r="I114" s="612"/>
      <c r="J114" s="145"/>
      <c r="K114" s="145"/>
      <c r="L114" s="145"/>
      <c r="M114" s="145"/>
      <c r="N114" s="145"/>
    </row>
    <row r="115" spans="1:14" s="138" customFormat="1" ht="30" customHeight="1">
      <c r="A115" s="1434" t="s">
        <v>608</v>
      </c>
      <c r="B115" s="1453"/>
      <c r="C115" s="1453"/>
      <c r="D115" s="1453"/>
      <c r="E115" s="1453"/>
      <c r="F115" s="1453"/>
      <c r="G115" s="1453"/>
      <c r="H115" s="608"/>
      <c r="I115" s="608"/>
      <c r="J115" s="147"/>
      <c r="K115" s="147"/>
      <c r="L115" s="147"/>
      <c r="M115" s="147"/>
      <c r="N115" s="147"/>
    </row>
    <row r="116" spans="1:14" s="138" customFormat="1" ht="39" customHeight="1">
      <c r="A116" s="491"/>
      <c r="B116" s="1434" t="s">
        <v>356</v>
      </c>
      <c r="C116" s="1308"/>
      <c r="D116" s="1308"/>
      <c r="E116" s="1308"/>
      <c r="F116" s="281"/>
      <c r="G116" s="281"/>
      <c r="H116" s="608"/>
      <c r="I116" s="608"/>
      <c r="J116" s="147"/>
      <c r="K116" s="147"/>
      <c r="L116" s="147"/>
      <c r="M116" s="147"/>
      <c r="N116" s="147"/>
    </row>
    <row r="117" spans="1:14" s="133" customFormat="1" ht="35.25" customHeight="1">
      <c r="A117" s="496" t="s">
        <v>2650</v>
      </c>
      <c r="B117" s="497" t="s">
        <v>1508</v>
      </c>
      <c r="C117" s="156" t="s">
        <v>628</v>
      </c>
      <c r="D117" s="201">
        <v>2500</v>
      </c>
      <c r="E117" s="201">
        <f t="shared" ref="E117:E128" si="11">SUM(D117*1.1)</f>
        <v>2750</v>
      </c>
      <c r="F117" s="241" t="s">
        <v>783</v>
      </c>
      <c r="G117" s="241" t="s">
        <v>783</v>
      </c>
      <c r="H117" s="612" t="s">
        <v>285</v>
      </c>
      <c r="I117" s="612"/>
      <c r="J117" s="80"/>
      <c r="K117" s="145"/>
      <c r="L117" s="145"/>
      <c r="M117" s="145"/>
      <c r="N117" s="145"/>
    </row>
    <row r="118" spans="1:14" s="133" customFormat="1" ht="30" customHeight="1">
      <c r="A118" s="496" t="s">
        <v>2651</v>
      </c>
      <c r="B118" s="497" t="s">
        <v>1509</v>
      </c>
      <c r="C118" s="156" t="s">
        <v>628</v>
      </c>
      <c r="D118" s="201">
        <v>50</v>
      </c>
      <c r="E118" s="201">
        <f t="shared" si="11"/>
        <v>55.000000000000007</v>
      </c>
      <c r="F118" s="241" t="s">
        <v>277</v>
      </c>
      <c r="G118" s="241" t="s">
        <v>277</v>
      </c>
      <c r="H118" s="688" t="s">
        <v>285</v>
      </c>
      <c r="I118" s="612"/>
      <c r="J118" s="80"/>
      <c r="K118" s="145"/>
      <c r="L118" s="145"/>
      <c r="M118" s="145"/>
      <c r="N118" s="145"/>
    </row>
    <row r="119" spans="1:14" s="133" customFormat="1" ht="21.75">
      <c r="A119" s="496" t="s">
        <v>2652</v>
      </c>
      <c r="B119" s="497" t="s">
        <v>1510</v>
      </c>
      <c r="C119" s="156" t="s">
        <v>628</v>
      </c>
      <c r="D119" s="201">
        <v>75</v>
      </c>
      <c r="E119" s="201">
        <f t="shared" si="11"/>
        <v>82.5</v>
      </c>
      <c r="F119" s="241" t="s">
        <v>783</v>
      </c>
      <c r="G119" s="241" t="s">
        <v>783</v>
      </c>
      <c r="H119" s="612" t="s">
        <v>285</v>
      </c>
      <c r="I119" s="612"/>
      <c r="J119" s="80"/>
      <c r="K119" s="145"/>
      <c r="L119" s="145"/>
      <c r="M119" s="145"/>
      <c r="N119" s="145"/>
    </row>
    <row r="120" spans="1:14" s="133" customFormat="1" ht="30" customHeight="1">
      <c r="A120" s="496" t="s">
        <v>2653</v>
      </c>
      <c r="B120" s="497" t="s">
        <v>1511</v>
      </c>
      <c r="C120" s="156" t="s">
        <v>628</v>
      </c>
      <c r="D120" s="201">
        <v>850</v>
      </c>
      <c r="E120" s="201">
        <f t="shared" si="11"/>
        <v>935.00000000000011</v>
      </c>
      <c r="F120" s="241" t="s">
        <v>277</v>
      </c>
      <c r="G120" s="241" t="s">
        <v>277</v>
      </c>
      <c r="H120" s="688" t="s">
        <v>285</v>
      </c>
      <c r="I120" s="612"/>
      <c r="J120" s="80"/>
      <c r="K120" s="145"/>
      <c r="L120" s="145"/>
      <c r="M120" s="145"/>
      <c r="N120" s="145"/>
    </row>
    <row r="121" spans="1:14" s="133" customFormat="1" ht="33" customHeight="1">
      <c r="A121" s="496" t="s">
        <v>2654</v>
      </c>
      <c r="B121" s="689" t="s">
        <v>1512</v>
      </c>
      <c r="C121" s="156" t="s">
        <v>628</v>
      </c>
      <c r="D121" s="201">
        <v>750</v>
      </c>
      <c r="E121" s="201">
        <f t="shared" si="11"/>
        <v>825.00000000000011</v>
      </c>
      <c r="F121" s="241" t="s">
        <v>277</v>
      </c>
      <c r="G121" s="241" t="s">
        <v>277</v>
      </c>
      <c r="H121" s="688" t="s">
        <v>285</v>
      </c>
      <c r="I121" s="612"/>
      <c r="J121" s="80"/>
      <c r="K121" s="145"/>
      <c r="L121" s="145"/>
      <c r="M121" s="145"/>
      <c r="N121" s="145"/>
    </row>
    <row r="122" spans="1:14" s="133" customFormat="1" ht="42.75">
      <c r="A122" s="496" t="s">
        <v>2655</v>
      </c>
      <c r="B122" s="497" t="s">
        <v>1513</v>
      </c>
      <c r="C122" s="156" t="s">
        <v>628</v>
      </c>
      <c r="D122" s="201">
        <v>1200</v>
      </c>
      <c r="E122" s="201">
        <f t="shared" si="11"/>
        <v>1320</v>
      </c>
      <c r="F122" s="241" t="s">
        <v>277</v>
      </c>
      <c r="G122" s="241" t="s">
        <v>277</v>
      </c>
      <c r="H122" s="688" t="s">
        <v>285</v>
      </c>
      <c r="I122" s="612"/>
      <c r="J122" s="80"/>
      <c r="K122" s="145"/>
      <c r="L122" s="145"/>
      <c r="M122" s="145"/>
      <c r="N122" s="145"/>
    </row>
    <row r="123" spans="1:14" s="133" customFormat="1" ht="30" customHeight="1">
      <c r="A123" s="496" t="s">
        <v>2656</v>
      </c>
      <c r="B123" s="497" t="s">
        <v>1514</v>
      </c>
      <c r="C123" s="156" t="s">
        <v>628</v>
      </c>
      <c r="D123" s="201">
        <v>500</v>
      </c>
      <c r="E123" s="201">
        <f t="shared" si="11"/>
        <v>550</v>
      </c>
      <c r="F123" s="241" t="s">
        <v>277</v>
      </c>
      <c r="G123" s="241" t="s">
        <v>277</v>
      </c>
      <c r="H123" s="688" t="s">
        <v>285</v>
      </c>
      <c r="I123" s="612"/>
      <c r="J123" s="80"/>
      <c r="K123" s="145"/>
      <c r="L123" s="145"/>
      <c r="M123" s="145"/>
      <c r="N123" s="145"/>
    </row>
    <row r="124" spans="1:14" s="133" customFormat="1" ht="30" customHeight="1">
      <c r="A124" s="496" t="s">
        <v>2657</v>
      </c>
      <c r="B124" s="497" t="s">
        <v>1515</v>
      </c>
      <c r="C124" s="156" t="s">
        <v>628</v>
      </c>
      <c r="D124" s="201">
        <v>900</v>
      </c>
      <c r="E124" s="201">
        <f t="shared" si="11"/>
        <v>990.00000000000011</v>
      </c>
      <c r="F124" s="201">
        <f>SUM(G124*1.1)</f>
        <v>687.5</v>
      </c>
      <c r="G124" s="201">
        <v>625</v>
      </c>
      <c r="H124" s="688" t="s">
        <v>285</v>
      </c>
      <c r="I124" s="612"/>
      <c r="J124" s="80"/>
      <c r="K124" s="145"/>
      <c r="L124" s="145"/>
      <c r="M124" s="145"/>
      <c r="N124" s="145"/>
    </row>
    <row r="125" spans="1:14" s="133" customFormat="1" ht="49.5" customHeight="1">
      <c r="A125" s="496" t="s">
        <v>2658</v>
      </c>
      <c r="B125" s="497" t="s">
        <v>1516</v>
      </c>
      <c r="C125" s="156" t="s">
        <v>628</v>
      </c>
      <c r="D125" s="201">
        <v>1400</v>
      </c>
      <c r="E125" s="201">
        <f t="shared" si="11"/>
        <v>1540.0000000000002</v>
      </c>
      <c r="F125" s="201">
        <f t="shared" ref="F125:F128" si="12">SUM(G125*1.1)</f>
        <v>1540.0000000000002</v>
      </c>
      <c r="G125" s="201">
        <v>1400</v>
      </c>
      <c r="H125" s="688" t="s">
        <v>285</v>
      </c>
      <c r="I125" s="612"/>
      <c r="J125" s="80"/>
      <c r="K125" s="145"/>
      <c r="L125" s="145"/>
      <c r="M125" s="145"/>
      <c r="N125" s="145"/>
    </row>
    <row r="126" spans="1:14" s="133" customFormat="1" ht="45" customHeight="1">
      <c r="A126" s="496" t="s">
        <v>2659</v>
      </c>
      <c r="B126" s="497" t="s">
        <v>1517</v>
      </c>
      <c r="C126" s="156" t="s">
        <v>628</v>
      </c>
      <c r="D126" s="201">
        <v>1225</v>
      </c>
      <c r="E126" s="201">
        <f t="shared" si="11"/>
        <v>1347.5</v>
      </c>
      <c r="F126" s="201">
        <f t="shared" si="12"/>
        <v>1347.5</v>
      </c>
      <c r="G126" s="201">
        <v>1225</v>
      </c>
      <c r="H126" s="688" t="s">
        <v>285</v>
      </c>
      <c r="I126" s="612"/>
      <c r="J126" s="80"/>
      <c r="K126" s="145"/>
      <c r="L126" s="145"/>
      <c r="M126" s="145"/>
      <c r="N126" s="145"/>
    </row>
    <row r="127" spans="1:14" s="133" customFormat="1" ht="36" customHeight="1">
      <c r="A127" s="496" t="s">
        <v>2660</v>
      </c>
      <c r="B127" s="497" t="s">
        <v>1518</v>
      </c>
      <c r="C127" s="156" t="s">
        <v>628</v>
      </c>
      <c r="D127" s="201">
        <v>100</v>
      </c>
      <c r="E127" s="201">
        <f t="shared" si="11"/>
        <v>110.00000000000001</v>
      </c>
      <c r="F127" s="241" t="s">
        <v>783</v>
      </c>
      <c r="G127" s="241" t="s">
        <v>783</v>
      </c>
      <c r="H127" s="688" t="s">
        <v>285</v>
      </c>
      <c r="I127" s="612"/>
      <c r="J127" s="80"/>
      <c r="K127" s="145"/>
      <c r="L127" s="145"/>
      <c r="M127" s="145"/>
      <c r="N127" s="145"/>
    </row>
    <row r="128" spans="1:14" s="133" customFormat="1" ht="43.5" customHeight="1">
      <c r="A128" s="496" t="s">
        <v>2661</v>
      </c>
      <c r="B128" s="497" t="s">
        <v>1519</v>
      </c>
      <c r="C128" s="156" t="s">
        <v>628</v>
      </c>
      <c r="D128" s="201">
        <v>435</v>
      </c>
      <c r="E128" s="201">
        <f t="shared" si="11"/>
        <v>478.50000000000006</v>
      </c>
      <c r="F128" s="201">
        <f t="shared" si="12"/>
        <v>522.5</v>
      </c>
      <c r="G128" s="201">
        <v>475</v>
      </c>
      <c r="H128" s="688" t="s">
        <v>285</v>
      </c>
      <c r="I128" s="612"/>
      <c r="J128" s="80"/>
      <c r="K128" s="145"/>
      <c r="L128" s="145"/>
      <c r="M128" s="145"/>
      <c r="N128" s="145"/>
    </row>
    <row r="129" spans="1:14" s="133" customFormat="1" ht="45" customHeight="1">
      <c r="A129" s="496" t="s">
        <v>2509</v>
      </c>
      <c r="B129" s="497" t="s">
        <v>1520</v>
      </c>
      <c r="C129" s="156" t="s">
        <v>628</v>
      </c>
      <c r="D129" s="241" t="s">
        <v>277</v>
      </c>
      <c r="E129" s="241" t="s">
        <v>277</v>
      </c>
      <c r="F129" s="241" t="s">
        <v>539</v>
      </c>
      <c r="G129" s="241" t="s">
        <v>539</v>
      </c>
      <c r="H129" s="241" t="s">
        <v>539</v>
      </c>
      <c r="I129" s="612"/>
      <c r="J129" s="80"/>
      <c r="K129" s="145"/>
      <c r="L129" s="145"/>
      <c r="M129" s="145"/>
      <c r="N129" s="145"/>
    </row>
    <row r="130" spans="1:14" s="133" customFormat="1" ht="36" customHeight="1">
      <c r="A130" s="496" t="s">
        <v>2509</v>
      </c>
      <c r="B130" s="497" t="s">
        <v>1521</v>
      </c>
      <c r="C130" s="156" t="s">
        <v>628</v>
      </c>
      <c r="D130" s="241" t="s">
        <v>277</v>
      </c>
      <c r="E130" s="241" t="s">
        <v>277</v>
      </c>
      <c r="F130" s="241" t="s">
        <v>783</v>
      </c>
      <c r="G130" s="241" t="s">
        <v>783</v>
      </c>
      <c r="H130" s="201">
        <v>230</v>
      </c>
      <c r="I130" s="612"/>
      <c r="J130" s="80"/>
      <c r="K130" s="145"/>
      <c r="L130" s="145"/>
      <c r="M130" s="145"/>
      <c r="N130" s="145"/>
    </row>
    <row r="131" spans="1:14" s="133" customFormat="1" ht="43.5" customHeight="1">
      <c r="A131" s="496" t="s">
        <v>2509</v>
      </c>
      <c r="B131" s="497" t="s">
        <v>1522</v>
      </c>
      <c r="C131" s="156" t="s">
        <v>628</v>
      </c>
      <c r="D131" s="241" t="s">
        <v>277</v>
      </c>
      <c r="E131" s="241" t="s">
        <v>277</v>
      </c>
      <c r="F131" s="241" t="s">
        <v>783</v>
      </c>
      <c r="G131" s="241" t="s">
        <v>783</v>
      </c>
      <c r="H131" s="201">
        <v>755</v>
      </c>
      <c r="I131" s="612"/>
      <c r="J131" s="80"/>
      <c r="K131" s="145"/>
      <c r="L131" s="145"/>
      <c r="M131" s="145"/>
      <c r="N131" s="145"/>
    </row>
    <row r="132" spans="1:14" s="133" customFormat="1" ht="30" customHeight="1">
      <c r="B132" s="193"/>
      <c r="J132" s="145"/>
      <c r="K132" s="145"/>
      <c r="L132" s="145"/>
      <c r="M132" s="145"/>
      <c r="N132" s="145"/>
    </row>
    <row r="133" spans="1:14" s="133" customFormat="1" ht="30" customHeight="1">
      <c r="B133" s="193"/>
      <c r="J133" s="145"/>
      <c r="K133" s="145"/>
      <c r="L133" s="145"/>
      <c r="M133" s="145"/>
      <c r="N133" s="145"/>
    </row>
    <row r="134" spans="1:14" s="133" customFormat="1" ht="30" customHeight="1">
      <c r="B134" s="193"/>
      <c r="J134" s="145"/>
      <c r="K134" s="145"/>
      <c r="L134" s="145"/>
      <c r="M134" s="145"/>
      <c r="N134" s="145"/>
    </row>
    <row r="135" spans="1:14" s="133" customFormat="1" ht="30" customHeight="1">
      <c r="B135" s="193"/>
      <c r="J135" s="145"/>
      <c r="K135" s="145"/>
      <c r="L135" s="145"/>
      <c r="M135" s="145"/>
      <c r="N135" s="145"/>
    </row>
    <row r="136" spans="1:14" s="133" customFormat="1" ht="30" customHeight="1">
      <c r="B136" s="193"/>
      <c r="J136" s="145"/>
      <c r="K136" s="145"/>
      <c r="L136" s="145"/>
      <c r="M136" s="145"/>
      <c r="N136" s="145"/>
    </row>
    <row r="137" spans="1:14" s="133" customFormat="1" ht="30" customHeight="1">
      <c r="B137" s="193"/>
      <c r="J137" s="145"/>
      <c r="K137" s="145"/>
      <c r="L137" s="145"/>
      <c r="M137" s="145"/>
      <c r="N137" s="145"/>
    </row>
    <row r="138" spans="1:14" s="133" customFormat="1" ht="30" customHeight="1">
      <c r="B138" s="193"/>
      <c r="J138" s="145"/>
      <c r="K138" s="145"/>
      <c r="L138" s="145"/>
      <c r="M138" s="145"/>
      <c r="N138" s="145"/>
    </row>
    <row r="139" spans="1:14" s="133" customFormat="1" ht="30" customHeight="1">
      <c r="B139" s="193"/>
      <c r="J139" s="145"/>
      <c r="K139" s="145"/>
      <c r="L139" s="145"/>
      <c r="M139" s="145"/>
      <c r="N139" s="145"/>
    </row>
    <row r="140" spans="1:14" s="133" customFormat="1" ht="30" customHeight="1">
      <c r="B140" s="193"/>
      <c r="J140" s="145"/>
      <c r="K140" s="145"/>
      <c r="L140" s="145"/>
      <c r="M140" s="145"/>
      <c r="N140" s="145"/>
    </row>
    <row r="141" spans="1:14" s="133" customFormat="1" ht="30" customHeight="1">
      <c r="B141" s="193"/>
      <c r="J141" s="145"/>
      <c r="K141" s="145"/>
      <c r="L141" s="145"/>
      <c r="M141" s="145"/>
      <c r="N141" s="145"/>
    </row>
    <row r="142" spans="1:14" s="133" customFormat="1" ht="30" customHeight="1">
      <c r="B142" s="193"/>
      <c r="J142" s="145"/>
      <c r="K142" s="145"/>
      <c r="L142" s="145"/>
      <c r="M142" s="145"/>
      <c r="N142" s="145"/>
    </row>
    <row r="143" spans="1:14" s="133" customFormat="1" ht="30" customHeight="1">
      <c r="B143" s="193"/>
      <c r="J143" s="145"/>
      <c r="K143" s="145"/>
      <c r="L143" s="145"/>
      <c r="M143" s="145"/>
      <c r="N143" s="145"/>
    </row>
    <row r="144" spans="1:14" s="133" customFormat="1" ht="30" customHeight="1">
      <c r="B144" s="193"/>
      <c r="J144" s="145"/>
      <c r="K144" s="145"/>
      <c r="L144" s="145"/>
      <c r="M144" s="145"/>
      <c r="N144" s="145"/>
    </row>
    <row r="145" spans="2:14" s="133" customFormat="1" ht="30" customHeight="1">
      <c r="B145" s="193"/>
      <c r="J145" s="145"/>
      <c r="K145" s="145"/>
      <c r="L145" s="145"/>
      <c r="M145" s="145"/>
      <c r="N145" s="145"/>
    </row>
    <row r="146" spans="2:14" s="133" customFormat="1" ht="30" customHeight="1">
      <c r="B146" s="193"/>
      <c r="J146" s="145"/>
      <c r="K146" s="145"/>
      <c r="L146" s="145"/>
      <c r="M146" s="145"/>
      <c r="N146" s="145"/>
    </row>
    <row r="147" spans="2:14" s="133" customFormat="1" ht="30" customHeight="1">
      <c r="B147" s="193"/>
      <c r="J147" s="145"/>
      <c r="K147" s="145"/>
      <c r="L147" s="145"/>
      <c r="M147" s="145"/>
      <c r="N147" s="145"/>
    </row>
    <row r="148" spans="2:14" s="133" customFormat="1" ht="30" customHeight="1">
      <c r="B148" s="193"/>
      <c r="J148" s="145"/>
      <c r="K148" s="145"/>
      <c r="L148" s="145"/>
      <c r="M148" s="145"/>
      <c r="N148" s="145"/>
    </row>
    <row r="149" spans="2:14" s="133" customFormat="1" ht="30" customHeight="1">
      <c r="B149" s="193"/>
      <c r="J149" s="145"/>
      <c r="K149" s="145"/>
      <c r="L149" s="145"/>
      <c r="M149" s="145"/>
      <c r="N149" s="145"/>
    </row>
    <row r="150" spans="2:14" s="133" customFormat="1" ht="30" customHeight="1">
      <c r="B150" s="193"/>
      <c r="J150" s="145"/>
      <c r="K150" s="145"/>
      <c r="L150" s="145"/>
      <c r="M150" s="145"/>
      <c r="N150" s="145"/>
    </row>
    <row r="151" spans="2:14" s="133" customFormat="1" ht="30" customHeight="1">
      <c r="B151" s="193"/>
      <c r="J151" s="145"/>
      <c r="K151" s="145"/>
      <c r="L151" s="145"/>
      <c r="M151" s="145"/>
      <c r="N151" s="145"/>
    </row>
    <row r="152" spans="2:14" s="133" customFormat="1" ht="30" customHeight="1">
      <c r="B152" s="193"/>
      <c r="J152" s="145"/>
      <c r="K152" s="145"/>
      <c r="L152" s="145"/>
      <c r="M152" s="145"/>
      <c r="N152" s="145"/>
    </row>
    <row r="153" spans="2:14" s="133" customFormat="1" ht="30" customHeight="1">
      <c r="B153" s="193"/>
      <c r="J153" s="145"/>
      <c r="K153" s="145"/>
      <c r="L153" s="145"/>
      <c r="M153" s="145"/>
      <c r="N153" s="145"/>
    </row>
    <row r="154" spans="2:14" s="133" customFormat="1" ht="30" customHeight="1">
      <c r="B154" s="193"/>
      <c r="J154" s="145"/>
      <c r="K154" s="145"/>
      <c r="L154" s="145"/>
      <c r="M154" s="145"/>
      <c r="N154" s="145"/>
    </row>
    <row r="155" spans="2:14" s="133" customFormat="1" ht="30" customHeight="1">
      <c r="B155" s="193"/>
      <c r="J155" s="145"/>
      <c r="K155" s="145"/>
      <c r="L155" s="145"/>
      <c r="M155" s="145"/>
      <c r="N155" s="145"/>
    </row>
    <row r="156" spans="2:14" s="133" customFormat="1" ht="30" customHeight="1">
      <c r="B156" s="193"/>
      <c r="J156" s="145"/>
      <c r="K156" s="145"/>
      <c r="L156" s="145"/>
      <c r="M156" s="145"/>
      <c r="N156" s="145"/>
    </row>
    <row r="157" spans="2:14" s="133" customFormat="1" ht="30" customHeight="1">
      <c r="B157" s="193"/>
      <c r="J157" s="145"/>
      <c r="K157" s="145"/>
      <c r="L157" s="145"/>
      <c r="M157" s="145"/>
      <c r="N157" s="145"/>
    </row>
    <row r="158" spans="2:14" s="133" customFormat="1" ht="30" customHeight="1">
      <c r="B158" s="193"/>
      <c r="J158" s="145"/>
      <c r="K158" s="145"/>
      <c r="L158" s="145"/>
      <c r="M158" s="145"/>
      <c r="N158" s="145"/>
    </row>
    <row r="159" spans="2:14" s="133" customFormat="1" ht="30" customHeight="1">
      <c r="B159" s="193"/>
      <c r="J159" s="145"/>
      <c r="K159" s="145"/>
      <c r="L159" s="145"/>
      <c r="M159" s="145"/>
      <c r="N159" s="145"/>
    </row>
    <row r="160" spans="2:14" s="133" customFormat="1" ht="30" customHeight="1">
      <c r="B160" s="193"/>
      <c r="J160" s="145"/>
      <c r="K160" s="145"/>
      <c r="L160" s="145"/>
      <c r="M160" s="145"/>
      <c r="N160" s="145"/>
    </row>
    <row r="161" spans="2:14" s="133" customFormat="1" ht="30" customHeight="1">
      <c r="B161" s="193"/>
      <c r="J161" s="145"/>
      <c r="K161" s="145"/>
      <c r="L161" s="145"/>
      <c r="M161" s="145"/>
      <c r="N161" s="145"/>
    </row>
    <row r="162" spans="2:14" s="133" customFormat="1" ht="30" customHeight="1">
      <c r="B162" s="193"/>
      <c r="J162" s="145"/>
      <c r="K162" s="145"/>
      <c r="L162" s="145"/>
      <c r="M162" s="145"/>
      <c r="N162" s="145"/>
    </row>
    <row r="163" spans="2:14" s="133" customFormat="1" ht="30" customHeight="1">
      <c r="B163" s="193"/>
      <c r="J163" s="145"/>
      <c r="K163" s="145"/>
      <c r="L163" s="145"/>
      <c r="M163" s="145"/>
      <c r="N163" s="145"/>
    </row>
    <row r="164" spans="2:14" s="133" customFormat="1" ht="30" customHeight="1">
      <c r="B164" s="193"/>
      <c r="J164" s="145"/>
      <c r="K164" s="145"/>
      <c r="L164" s="145"/>
      <c r="M164" s="145"/>
      <c r="N164" s="145"/>
    </row>
    <row r="165" spans="2:14" s="133" customFormat="1" ht="30" customHeight="1">
      <c r="B165" s="193"/>
      <c r="J165" s="145"/>
      <c r="K165" s="145"/>
      <c r="L165" s="145"/>
      <c r="M165" s="145"/>
      <c r="N165" s="145"/>
    </row>
    <row r="166" spans="2:14" s="133" customFormat="1" ht="30" customHeight="1">
      <c r="B166" s="193"/>
      <c r="J166" s="145"/>
      <c r="K166" s="145"/>
      <c r="L166" s="145"/>
      <c r="M166" s="145"/>
      <c r="N166" s="145"/>
    </row>
    <row r="167" spans="2:14" s="133" customFormat="1" ht="30" customHeight="1">
      <c r="B167" s="193"/>
      <c r="J167" s="145"/>
      <c r="K167" s="145"/>
      <c r="L167" s="145"/>
      <c r="M167" s="145"/>
      <c r="N167" s="145"/>
    </row>
    <row r="168" spans="2:14" s="133" customFormat="1" ht="30" customHeight="1">
      <c r="B168" s="193"/>
      <c r="J168" s="145"/>
      <c r="K168" s="145"/>
      <c r="L168" s="145"/>
      <c r="M168" s="145"/>
      <c r="N168" s="145"/>
    </row>
    <row r="169" spans="2:14" s="133" customFormat="1" ht="30" customHeight="1">
      <c r="B169" s="193"/>
      <c r="J169" s="145"/>
      <c r="K169" s="145"/>
      <c r="L169" s="145"/>
      <c r="M169" s="145"/>
      <c r="N169" s="145"/>
    </row>
    <row r="170" spans="2:14" s="133" customFormat="1" ht="30" customHeight="1">
      <c r="B170" s="193"/>
      <c r="J170" s="145"/>
      <c r="K170" s="145"/>
      <c r="L170" s="145"/>
      <c r="M170" s="145"/>
      <c r="N170" s="145"/>
    </row>
    <row r="171" spans="2:14" s="133" customFormat="1" ht="30" customHeight="1">
      <c r="B171" s="193"/>
      <c r="J171" s="145"/>
      <c r="K171" s="145"/>
      <c r="L171" s="145"/>
      <c r="M171" s="145"/>
      <c r="N171" s="145"/>
    </row>
    <row r="172" spans="2:14" s="133" customFormat="1" ht="30" customHeight="1">
      <c r="B172" s="193"/>
      <c r="J172" s="145"/>
      <c r="K172" s="145"/>
      <c r="L172" s="145"/>
      <c r="M172" s="145"/>
      <c r="N172" s="145"/>
    </row>
    <row r="173" spans="2:14" s="133" customFormat="1" ht="30" customHeight="1">
      <c r="B173" s="193"/>
      <c r="J173" s="145"/>
      <c r="K173" s="145"/>
      <c r="L173" s="145"/>
      <c r="M173" s="145"/>
      <c r="N173" s="145"/>
    </row>
    <row r="174" spans="2:14" s="133" customFormat="1" ht="30" customHeight="1">
      <c r="B174" s="193"/>
      <c r="J174" s="145"/>
      <c r="K174" s="145"/>
      <c r="L174" s="145"/>
      <c r="M174" s="145"/>
      <c r="N174" s="145"/>
    </row>
    <row r="175" spans="2:14" s="133" customFormat="1" ht="30" customHeight="1">
      <c r="B175" s="193"/>
      <c r="J175" s="145"/>
      <c r="K175" s="145"/>
      <c r="L175" s="145"/>
      <c r="M175" s="145"/>
      <c r="N175" s="145"/>
    </row>
    <row r="176" spans="2:14" s="133" customFormat="1" ht="30" customHeight="1">
      <c r="B176" s="193"/>
      <c r="J176" s="145"/>
      <c r="K176" s="145"/>
      <c r="L176" s="145"/>
      <c r="M176" s="145"/>
      <c r="N176" s="145"/>
    </row>
    <row r="177" spans="2:14" s="133" customFormat="1" ht="30" customHeight="1">
      <c r="B177" s="193"/>
      <c r="J177" s="145"/>
      <c r="K177" s="145"/>
      <c r="L177" s="145"/>
      <c r="M177" s="145"/>
      <c r="N177" s="145"/>
    </row>
    <row r="178" spans="2:14" s="133" customFormat="1" ht="30" customHeight="1">
      <c r="B178" s="193"/>
      <c r="J178" s="145"/>
      <c r="K178" s="145"/>
      <c r="L178" s="145"/>
      <c r="M178" s="145"/>
      <c r="N178" s="145"/>
    </row>
    <row r="179" spans="2:14" s="133" customFormat="1" ht="30" customHeight="1">
      <c r="B179" s="193"/>
      <c r="J179" s="145"/>
      <c r="K179" s="145"/>
      <c r="L179" s="145"/>
      <c r="M179" s="145"/>
      <c r="N179" s="145"/>
    </row>
    <row r="180" spans="2:14" s="133" customFormat="1" ht="30" customHeight="1">
      <c r="B180" s="193"/>
      <c r="J180" s="145"/>
      <c r="K180" s="145"/>
      <c r="L180" s="145"/>
      <c r="M180" s="145"/>
      <c r="N180" s="145"/>
    </row>
    <row r="181" spans="2:14" s="133" customFormat="1" ht="30" customHeight="1">
      <c r="B181" s="193"/>
      <c r="J181" s="145"/>
      <c r="K181" s="145"/>
      <c r="L181" s="145"/>
      <c r="M181" s="145"/>
      <c r="N181" s="145"/>
    </row>
    <row r="182" spans="2:14" s="133" customFormat="1" ht="30" customHeight="1">
      <c r="B182" s="193"/>
      <c r="J182" s="145"/>
      <c r="K182" s="145"/>
      <c r="L182" s="145"/>
      <c r="M182" s="145"/>
      <c r="N182" s="145"/>
    </row>
    <row r="183" spans="2:14" s="133" customFormat="1" ht="30" customHeight="1">
      <c r="B183" s="193"/>
      <c r="J183" s="145"/>
      <c r="K183" s="145"/>
      <c r="L183" s="145"/>
      <c r="M183" s="145"/>
      <c r="N183" s="145"/>
    </row>
    <row r="184" spans="2:14" s="133" customFormat="1" ht="30" customHeight="1">
      <c r="B184" s="193"/>
      <c r="J184" s="145"/>
      <c r="K184" s="145"/>
      <c r="L184" s="145"/>
      <c r="M184" s="145"/>
      <c r="N184" s="145"/>
    </row>
    <row r="185" spans="2:14" s="133" customFormat="1" ht="30" customHeight="1">
      <c r="B185" s="193"/>
      <c r="J185" s="145"/>
      <c r="K185" s="145"/>
      <c r="L185" s="145"/>
      <c r="M185" s="145"/>
      <c r="N185" s="145"/>
    </row>
    <row r="186" spans="2:14" s="133" customFormat="1" ht="30" customHeight="1">
      <c r="B186" s="193"/>
      <c r="J186" s="145"/>
      <c r="K186" s="145"/>
      <c r="L186" s="145"/>
      <c r="M186" s="145"/>
      <c r="N186" s="145"/>
    </row>
    <row r="187" spans="2:14" s="133" customFormat="1" ht="30" customHeight="1">
      <c r="B187" s="193"/>
      <c r="J187" s="145"/>
      <c r="K187" s="145"/>
      <c r="L187" s="145"/>
      <c r="M187" s="145"/>
      <c r="N187" s="145"/>
    </row>
    <row r="188" spans="2:14" s="133" customFormat="1" ht="30" customHeight="1">
      <c r="B188" s="193"/>
      <c r="J188" s="145"/>
      <c r="K188" s="145"/>
      <c r="L188" s="145"/>
      <c r="M188" s="145"/>
      <c r="N188" s="145"/>
    </row>
    <row r="189" spans="2:14" s="133" customFormat="1" ht="30" customHeight="1">
      <c r="B189" s="193"/>
      <c r="J189" s="145"/>
      <c r="K189" s="145"/>
      <c r="L189" s="145"/>
      <c r="M189" s="145"/>
      <c r="N189" s="145"/>
    </row>
    <row r="190" spans="2:14" s="133" customFormat="1" ht="30" customHeight="1">
      <c r="B190" s="193"/>
      <c r="J190" s="145"/>
      <c r="K190" s="145"/>
      <c r="L190" s="145"/>
      <c r="M190" s="145"/>
      <c r="N190" s="145"/>
    </row>
    <row r="191" spans="2:14" s="133" customFormat="1" ht="30" customHeight="1">
      <c r="B191" s="193"/>
      <c r="J191" s="145"/>
      <c r="K191" s="145"/>
      <c r="L191" s="145"/>
      <c r="M191" s="145"/>
      <c r="N191" s="145"/>
    </row>
    <row r="192" spans="2:14" s="133" customFormat="1" ht="30" customHeight="1">
      <c r="B192" s="193"/>
      <c r="J192" s="145"/>
      <c r="K192" s="145"/>
      <c r="L192" s="145"/>
      <c r="M192" s="145"/>
      <c r="N192" s="145"/>
    </row>
    <row r="193" spans="2:14" s="133" customFormat="1" ht="30" customHeight="1">
      <c r="B193" s="193"/>
      <c r="J193" s="145"/>
      <c r="K193" s="145"/>
      <c r="L193" s="145"/>
      <c r="M193" s="145"/>
      <c r="N193" s="145"/>
    </row>
    <row r="194" spans="2:14" s="133" customFormat="1" ht="30" customHeight="1">
      <c r="B194" s="193"/>
      <c r="J194" s="145"/>
      <c r="K194" s="145"/>
      <c r="L194" s="145"/>
      <c r="M194" s="145"/>
      <c r="N194" s="145"/>
    </row>
    <row r="195" spans="2:14" s="133" customFormat="1" ht="30" customHeight="1">
      <c r="B195" s="193"/>
      <c r="J195" s="145"/>
      <c r="K195" s="145"/>
      <c r="L195" s="145"/>
      <c r="M195" s="145"/>
      <c r="N195" s="145"/>
    </row>
    <row r="196" spans="2:14" s="133" customFormat="1" ht="30" customHeight="1">
      <c r="B196" s="193"/>
      <c r="J196" s="145"/>
      <c r="K196" s="145"/>
      <c r="L196" s="145"/>
      <c r="M196" s="145"/>
      <c r="N196" s="145"/>
    </row>
    <row r="197" spans="2:14" s="133" customFormat="1" ht="30" customHeight="1">
      <c r="B197" s="193"/>
      <c r="J197" s="145"/>
      <c r="K197" s="145"/>
      <c r="L197" s="145"/>
      <c r="M197" s="145"/>
      <c r="N197" s="145"/>
    </row>
    <row r="198" spans="2:14" s="133" customFormat="1" ht="30" customHeight="1">
      <c r="B198" s="193"/>
      <c r="J198" s="145"/>
      <c r="K198" s="145"/>
      <c r="L198" s="145"/>
      <c r="M198" s="145"/>
      <c r="N198" s="145"/>
    </row>
    <row r="199" spans="2:14" s="133" customFormat="1" ht="30" customHeight="1">
      <c r="B199" s="193"/>
      <c r="J199" s="145"/>
      <c r="K199" s="145"/>
      <c r="L199" s="145"/>
      <c r="M199" s="145"/>
      <c r="N199" s="145"/>
    </row>
    <row r="200" spans="2:14" s="133" customFormat="1" ht="30" customHeight="1">
      <c r="B200" s="193"/>
      <c r="J200" s="145"/>
      <c r="K200" s="145"/>
      <c r="L200" s="145"/>
      <c r="M200" s="145"/>
      <c r="N200" s="145"/>
    </row>
    <row r="201" spans="2:14" s="133" customFormat="1" ht="30" customHeight="1">
      <c r="B201" s="193"/>
      <c r="J201" s="145"/>
      <c r="K201" s="145"/>
      <c r="L201" s="145"/>
      <c r="M201" s="145"/>
      <c r="N201" s="145"/>
    </row>
    <row r="202" spans="2:14" s="133" customFormat="1" ht="30" customHeight="1">
      <c r="B202" s="193"/>
      <c r="J202" s="145"/>
      <c r="K202" s="145"/>
      <c r="L202" s="145"/>
      <c r="M202" s="145"/>
      <c r="N202" s="145"/>
    </row>
    <row r="203" spans="2:14" s="133" customFormat="1" ht="30" customHeight="1">
      <c r="B203" s="193"/>
      <c r="J203" s="145"/>
      <c r="K203" s="145"/>
      <c r="L203" s="145"/>
      <c r="M203" s="145"/>
      <c r="N203" s="145"/>
    </row>
    <row r="204" spans="2:14" s="133" customFormat="1" ht="30" customHeight="1">
      <c r="B204" s="193"/>
      <c r="J204" s="145"/>
      <c r="K204" s="145"/>
      <c r="L204" s="145"/>
      <c r="M204" s="145"/>
      <c r="N204" s="145"/>
    </row>
    <row r="205" spans="2:14" s="133" customFormat="1" ht="30" customHeight="1">
      <c r="B205" s="193"/>
      <c r="J205" s="145"/>
      <c r="K205" s="145"/>
      <c r="L205" s="145"/>
      <c r="M205" s="145"/>
      <c r="N205" s="145"/>
    </row>
    <row r="206" spans="2:14" s="133" customFormat="1" ht="30" customHeight="1">
      <c r="B206" s="193"/>
      <c r="J206" s="145"/>
      <c r="K206" s="145"/>
      <c r="L206" s="145"/>
      <c r="M206" s="145"/>
      <c r="N206" s="145"/>
    </row>
    <row r="207" spans="2:14" s="133" customFormat="1" ht="30" customHeight="1">
      <c r="B207" s="193"/>
      <c r="J207" s="145"/>
      <c r="K207" s="145"/>
      <c r="L207" s="145"/>
      <c r="M207" s="145"/>
      <c r="N207" s="145"/>
    </row>
    <row r="208" spans="2:14" s="133" customFormat="1" ht="30" customHeight="1">
      <c r="B208" s="193"/>
      <c r="J208" s="145"/>
      <c r="K208" s="145"/>
      <c r="L208" s="145"/>
      <c r="M208" s="145"/>
      <c r="N208" s="145"/>
    </row>
    <row r="209" spans="2:14" s="133" customFormat="1" ht="30" customHeight="1">
      <c r="B209" s="193"/>
      <c r="J209" s="145"/>
      <c r="K209" s="145"/>
      <c r="L209" s="145"/>
      <c r="M209" s="145"/>
      <c r="N209" s="145"/>
    </row>
    <row r="210" spans="2:14" s="133" customFormat="1" ht="30" customHeight="1">
      <c r="B210" s="193"/>
      <c r="J210" s="145"/>
      <c r="K210" s="145"/>
      <c r="L210" s="145"/>
      <c r="M210" s="145"/>
      <c r="N210" s="145"/>
    </row>
    <row r="211" spans="2:14" s="133" customFormat="1" ht="30" customHeight="1">
      <c r="B211" s="193"/>
      <c r="J211" s="145"/>
      <c r="K211" s="145"/>
      <c r="L211" s="145"/>
      <c r="M211" s="145"/>
      <c r="N211" s="145"/>
    </row>
    <row r="212" spans="2:14" s="133" customFormat="1" ht="30" customHeight="1">
      <c r="B212" s="193"/>
      <c r="J212" s="145"/>
      <c r="K212" s="145"/>
      <c r="L212" s="145"/>
      <c r="M212" s="145"/>
      <c r="N212" s="145"/>
    </row>
    <row r="213" spans="2:14" s="133" customFormat="1" ht="30" customHeight="1">
      <c r="B213" s="193"/>
      <c r="J213" s="145"/>
      <c r="K213" s="145"/>
      <c r="L213" s="145"/>
      <c r="M213" s="145"/>
      <c r="N213" s="145"/>
    </row>
    <row r="214" spans="2:14" s="133" customFormat="1" ht="30" customHeight="1">
      <c r="B214" s="193"/>
      <c r="J214" s="145"/>
      <c r="K214" s="145"/>
      <c r="L214" s="145"/>
      <c r="M214" s="145"/>
      <c r="N214" s="145"/>
    </row>
    <row r="215" spans="2:14" s="133" customFormat="1" ht="30" customHeight="1">
      <c r="B215" s="193"/>
      <c r="J215" s="145"/>
      <c r="K215" s="145"/>
      <c r="L215" s="145"/>
      <c r="M215" s="145"/>
      <c r="N215" s="145"/>
    </row>
    <row r="216" spans="2:14" s="133" customFormat="1" ht="30" customHeight="1">
      <c r="B216" s="193"/>
      <c r="J216" s="145"/>
      <c r="K216" s="145"/>
      <c r="L216" s="145"/>
      <c r="M216" s="145"/>
      <c r="N216" s="145"/>
    </row>
    <row r="217" spans="2:14" s="133" customFormat="1" ht="30" customHeight="1">
      <c r="B217" s="193"/>
      <c r="J217" s="145"/>
      <c r="K217" s="145"/>
      <c r="L217" s="145"/>
      <c r="M217" s="145"/>
      <c r="N217" s="145"/>
    </row>
    <row r="218" spans="2:14" s="133" customFormat="1" ht="30" customHeight="1">
      <c r="B218" s="193"/>
      <c r="J218" s="145"/>
      <c r="K218" s="145"/>
      <c r="L218" s="145"/>
      <c r="M218" s="145"/>
      <c r="N218" s="145"/>
    </row>
    <row r="219" spans="2:14" s="133" customFormat="1" ht="30" customHeight="1">
      <c r="B219" s="193"/>
      <c r="J219" s="145"/>
      <c r="K219" s="145"/>
      <c r="L219" s="145"/>
      <c r="M219" s="145"/>
      <c r="N219" s="145"/>
    </row>
    <row r="220" spans="2:14" s="133" customFormat="1" ht="30" customHeight="1">
      <c r="B220" s="193"/>
      <c r="J220" s="145"/>
      <c r="K220" s="145"/>
      <c r="L220" s="145"/>
      <c r="M220" s="145"/>
      <c r="N220" s="145"/>
    </row>
    <row r="221" spans="2:14" s="133" customFormat="1" ht="30" customHeight="1">
      <c r="B221" s="193"/>
      <c r="J221" s="145"/>
      <c r="K221" s="145"/>
      <c r="L221" s="145"/>
      <c r="M221" s="145"/>
      <c r="N221" s="145"/>
    </row>
    <row r="222" spans="2:14" s="133" customFormat="1" ht="30" customHeight="1">
      <c r="B222" s="193"/>
      <c r="J222" s="145"/>
      <c r="K222" s="145"/>
      <c r="L222" s="145"/>
      <c r="M222" s="145"/>
      <c r="N222" s="145"/>
    </row>
    <row r="223" spans="2:14" s="133" customFormat="1" ht="30" customHeight="1">
      <c r="B223" s="193"/>
      <c r="J223" s="145"/>
      <c r="K223" s="145"/>
      <c r="L223" s="145"/>
      <c r="M223" s="145"/>
      <c r="N223" s="145"/>
    </row>
    <row r="224" spans="2:14" s="133" customFormat="1" ht="30" customHeight="1">
      <c r="B224" s="193"/>
      <c r="J224" s="145"/>
      <c r="K224" s="145"/>
      <c r="L224" s="145"/>
      <c r="M224" s="145"/>
      <c r="N224" s="145"/>
    </row>
    <row r="225" spans="2:14" s="133" customFormat="1" ht="30" customHeight="1">
      <c r="B225" s="193"/>
      <c r="J225" s="145"/>
      <c r="K225" s="145"/>
      <c r="L225" s="145"/>
      <c r="M225" s="145"/>
      <c r="N225" s="145"/>
    </row>
    <row r="226" spans="2:14" s="133" customFormat="1" ht="30" customHeight="1">
      <c r="B226" s="193"/>
      <c r="J226" s="145"/>
      <c r="K226" s="145"/>
      <c r="L226" s="145"/>
      <c r="M226" s="145"/>
      <c r="N226" s="145"/>
    </row>
    <row r="227" spans="2:14" s="133" customFormat="1" ht="30" customHeight="1">
      <c r="B227" s="193"/>
      <c r="J227" s="145"/>
      <c r="K227" s="145"/>
      <c r="L227" s="145"/>
      <c r="M227" s="145"/>
      <c r="N227" s="145"/>
    </row>
    <row r="228" spans="2:14" s="133" customFormat="1" ht="30" customHeight="1">
      <c r="B228" s="193"/>
      <c r="J228" s="145"/>
      <c r="K228" s="145"/>
      <c r="L228" s="145"/>
      <c r="M228" s="145"/>
      <c r="N228" s="145"/>
    </row>
    <row r="229" spans="2:14" s="133" customFormat="1" ht="30" customHeight="1">
      <c r="B229" s="193"/>
      <c r="J229" s="145"/>
      <c r="K229" s="145"/>
      <c r="L229" s="145"/>
      <c r="M229" s="145"/>
      <c r="N229" s="145"/>
    </row>
    <row r="230" spans="2:14" s="133" customFormat="1" ht="30" customHeight="1">
      <c r="B230" s="193"/>
      <c r="J230" s="145"/>
      <c r="K230" s="145"/>
      <c r="L230" s="145"/>
      <c r="M230" s="145"/>
      <c r="N230" s="145"/>
    </row>
    <row r="231" spans="2:14" s="133" customFormat="1" ht="30" customHeight="1">
      <c r="B231" s="193"/>
      <c r="J231" s="145"/>
      <c r="K231" s="145"/>
      <c r="L231" s="145"/>
      <c r="M231" s="145"/>
      <c r="N231" s="145"/>
    </row>
    <row r="232" spans="2:14" s="133" customFormat="1" ht="30" customHeight="1">
      <c r="B232" s="193"/>
      <c r="J232" s="145"/>
      <c r="K232" s="145"/>
      <c r="L232" s="145"/>
      <c r="M232" s="145"/>
      <c r="N232" s="145"/>
    </row>
    <row r="233" spans="2:14" s="133" customFormat="1" ht="30" customHeight="1">
      <c r="B233" s="193"/>
      <c r="J233" s="145"/>
      <c r="K233" s="145"/>
      <c r="L233" s="145"/>
      <c r="M233" s="145"/>
      <c r="N233" s="145"/>
    </row>
    <row r="234" spans="2:14" s="133" customFormat="1" ht="30" customHeight="1">
      <c r="B234" s="193"/>
      <c r="J234" s="145"/>
      <c r="K234" s="145"/>
      <c r="L234" s="145"/>
      <c r="M234" s="145"/>
      <c r="N234" s="145"/>
    </row>
    <row r="235" spans="2:14" s="133" customFormat="1" ht="30" customHeight="1">
      <c r="B235" s="193"/>
      <c r="J235" s="145"/>
      <c r="K235" s="145"/>
      <c r="L235" s="145"/>
      <c r="M235" s="145"/>
      <c r="N235" s="145"/>
    </row>
    <row r="236" spans="2:14" s="133" customFormat="1" ht="30" customHeight="1">
      <c r="B236" s="193"/>
      <c r="J236" s="145"/>
      <c r="K236" s="145"/>
      <c r="L236" s="145"/>
      <c r="M236" s="145"/>
      <c r="N236" s="145"/>
    </row>
    <row r="237" spans="2:14" s="133" customFormat="1" ht="30" customHeight="1">
      <c r="B237" s="193"/>
      <c r="J237" s="145"/>
      <c r="K237" s="145"/>
      <c r="L237" s="145"/>
      <c r="M237" s="145"/>
      <c r="N237" s="145"/>
    </row>
    <row r="238" spans="2:14" s="133" customFormat="1" ht="30" customHeight="1">
      <c r="B238" s="193"/>
      <c r="J238" s="145"/>
      <c r="K238" s="145"/>
      <c r="L238" s="145"/>
      <c r="M238" s="145"/>
      <c r="N238" s="145"/>
    </row>
    <row r="239" spans="2:14" s="133" customFormat="1" ht="30" customHeight="1">
      <c r="B239" s="193"/>
      <c r="J239" s="145"/>
      <c r="K239" s="145"/>
      <c r="L239" s="145"/>
      <c r="M239" s="145"/>
      <c r="N239" s="145"/>
    </row>
    <row r="240" spans="2:14" s="133" customFormat="1" ht="30" customHeight="1">
      <c r="B240" s="193"/>
      <c r="J240" s="145"/>
      <c r="K240" s="145"/>
      <c r="L240" s="145"/>
      <c r="M240" s="145"/>
      <c r="N240" s="145"/>
    </row>
    <row r="241" spans="2:14" s="133" customFormat="1" ht="30" customHeight="1">
      <c r="B241" s="193"/>
      <c r="J241" s="145"/>
      <c r="K241" s="145"/>
      <c r="L241" s="145"/>
      <c r="M241" s="145"/>
      <c r="N241" s="145"/>
    </row>
    <row r="242" spans="2:14" s="133" customFormat="1" ht="30" customHeight="1">
      <c r="B242" s="193"/>
      <c r="J242" s="145"/>
      <c r="K242" s="145"/>
      <c r="L242" s="145"/>
      <c r="M242" s="145"/>
      <c r="N242" s="145"/>
    </row>
    <row r="243" spans="2:14" s="133" customFormat="1" ht="30" customHeight="1">
      <c r="B243" s="193"/>
      <c r="J243" s="145"/>
      <c r="K243" s="145"/>
      <c r="L243" s="145"/>
      <c r="M243" s="145"/>
      <c r="N243" s="145"/>
    </row>
    <row r="244" spans="2:14" s="133" customFormat="1" ht="30" customHeight="1">
      <c r="B244" s="193"/>
      <c r="J244" s="145"/>
      <c r="K244" s="145"/>
      <c r="L244" s="145"/>
      <c r="M244" s="145"/>
      <c r="N244" s="145"/>
    </row>
    <row r="245" spans="2:14" s="133" customFormat="1" ht="30" customHeight="1">
      <c r="B245" s="193"/>
      <c r="J245" s="145"/>
      <c r="K245" s="145"/>
      <c r="L245" s="145"/>
      <c r="M245" s="145"/>
      <c r="N245" s="145"/>
    </row>
    <row r="246" spans="2:14" s="133" customFormat="1" ht="30" customHeight="1">
      <c r="B246" s="193"/>
      <c r="J246" s="145"/>
      <c r="K246" s="145"/>
      <c r="L246" s="145"/>
      <c r="M246" s="145"/>
      <c r="N246" s="145"/>
    </row>
    <row r="247" spans="2:14" s="133" customFormat="1" ht="30" customHeight="1">
      <c r="B247" s="193"/>
      <c r="J247" s="145"/>
      <c r="K247" s="145"/>
      <c r="L247" s="145"/>
      <c r="M247" s="145"/>
      <c r="N247" s="145"/>
    </row>
    <row r="248" spans="2:14" s="133" customFormat="1" ht="30" customHeight="1">
      <c r="B248" s="193"/>
      <c r="J248" s="145"/>
      <c r="K248" s="145"/>
      <c r="L248" s="145"/>
      <c r="M248" s="145"/>
      <c r="N248" s="145"/>
    </row>
    <row r="249" spans="2:14" s="133" customFormat="1" ht="30" customHeight="1">
      <c r="B249" s="193"/>
      <c r="J249" s="145"/>
      <c r="K249" s="145"/>
      <c r="L249" s="145"/>
      <c r="M249" s="145"/>
      <c r="N249" s="145"/>
    </row>
    <row r="250" spans="2:14" s="133" customFormat="1" ht="30" customHeight="1">
      <c r="B250" s="193"/>
      <c r="J250" s="145"/>
      <c r="K250" s="145"/>
      <c r="L250" s="145"/>
      <c r="M250" s="145"/>
      <c r="N250" s="145"/>
    </row>
    <row r="251" spans="2:14" s="133" customFormat="1" ht="30" customHeight="1">
      <c r="B251" s="193"/>
      <c r="J251" s="145"/>
      <c r="K251" s="145"/>
      <c r="L251" s="145"/>
      <c r="M251" s="145"/>
      <c r="N251" s="145"/>
    </row>
    <row r="252" spans="2:14" s="133" customFormat="1" ht="30" customHeight="1">
      <c r="B252" s="193"/>
      <c r="J252" s="145"/>
      <c r="K252" s="145"/>
      <c r="L252" s="145"/>
      <c r="M252" s="145"/>
      <c r="N252" s="145"/>
    </row>
    <row r="253" spans="2:14" s="133" customFormat="1" ht="30" customHeight="1">
      <c r="B253" s="193"/>
      <c r="J253" s="145"/>
      <c r="K253" s="145"/>
      <c r="L253" s="145"/>
      <c r="M253" s="145"/>
      <c r="N253" s="145"/>
    </row>
    <row r="254" spans="2:14" s="133" customFormat="1" ht="30" customHeight="1">
      <c r="B254" s="193"/>
      <c r="J254" s="145"/>
      <c r="K254" s="145"/>
      <c r="L254" s="145"/>
      <c r="M254" s="145"/>
      <c r="N254" s="145"/>
    </row>
    <row r="255" spans="2:14" s="133" customFormat="1" ht="30" customHeight="1">
      <c r="B255" s="193"/>
      <c r="J255" s="145"/>
      <c r="K255" s="145"/>
      <c r="L255" s="145"/>
      <c r="M255" s="145"/>
      <c r="N255" s="145"/>
    </row>
    <row r="256" spans="2:14" s="133" customFormat="1" ht="30" customHeight="1">
      <c r="B256" s="193"/>
      <c r="J256" s="145"/>
      <c r="K256" s="145"/>
      <c r="L256" s="145"/>
      <c r="M256" s="145"/>
      <c r="N256" s="145"/>
    </row>
    <row r="257" spans="2:14" s="133" customFormat="1" ht="30" customHeight="1">
      <c r="B257" s="193"/>
      <c r="J257" s="145"/>
      <c r="K257" s="145"/>
      <c r="L257" s="145"/>
      <c r="M257" s="145"/>
      <c r="N257" s="145"/>
    </row>
    <row r="258" spans="2:14" s="133" customFormat="1" ht="30" customHeight="1">
      <c r="B258" s="193"/>
      <c r="J258" s="145"/>
      <c r="K258" s="145"/>
      <c r="L258" s="145"/>
      <c r="M258" s="145"/>
      <c r="N258" s="145"/>
    </row>
    <row r="259" spans="2:14" s="133" customFormat="1" ht="30" customHeight="1">
      <c r="B259" s="193"/>
      <c r="J259" s="145"/>
      <c r="K259" s="145"/>
      <c r="L259" s="145"/>
      <c r="M259" s="145"/>
      <c r="N259" s="145"/>
    </row>
    <row r="260" spans="2:14" s="133" customFormat="1" ht="30" customHeight="1">
      <c r="B260" s="193"/>
      <c r="J260" s="145"/>
      <c r="K260" s="145"/>
      <c r="L260" s="145"/>
      <c r="M260" s="145"/>
      <c r="N260" s="145"/>
    </row>
    <row r="261" spans="2:14" s="133" customFormat="1" ht="30" customHeight="1">
      <c r="B261" s="193"/>
      <c r="J261" s="145"/>
      <c r="K261" s="145"/>
      <c r="L261" s="145"/>
      <c r="M261" s="145"/>
      <c r="N261" s="145"/>
    </row>
    <row r="262" spans="2:14" s="133" customFormat="1" ht="30" customHeight="1">
      <c r="B262" s="193"/>
      <c r="J262" s="145"/>
      <c r="K262" s="145"/>
      <c r="L262" s="145"/>
      <c r="M262" s="145"/>
      <c r="N262" s="145"/>
    </row>
    <row r="263" spans="2:14" s="133" customFormat="1" ht="30" customHeight="1">
      <c r="B263" s="193"/>
      <c r="J263" s="145"/>
      <c r="K263" s="145"/>
      <c r="L263" s="145"/>
      <c r="M263" s="145"/>
      <c r="N263" s="145"/>
    </row>
    <row r="264" spans="2:14" s="133" customFormat="1" ht="30" customHeight="1">
      <c r="B264" s="193"/>
      <c r="J264" s="145"/>
      <c r="K264" s="145"/>
      <c r="L264" s="145"/>
      <c r="M264" s="145"/>
      <c r="N264" s="145"/>
    </row>
    <row r="265" spans="2:14" s="133" customFormat="1" ht="30" customHeight="1">
      <c r="B265" s="193"/>
      <c r="J265" s="145"/>
      <c r="K265" s="145"/>
      <c r="L265" s="145"/>
      <c r="M265" s="145"/>
      <c r="N265" s="145"/>
    </row>
    <row r="266" spans="2:14" s="133" customFormat="1" ht="30" customHeight="1">
      <c r="B266" s="193"/>
      <c r="J266" s="145"/>
      <c r="K266" s="145"/>
      <c r="L266" s="145"/>
      <c r="M266" s="145"/>
      <c r="N266" s="145"/>
    </row>
  </sheetData>
  <sheetProtection formatColumns="0"/>
  <mergeCells count="32">
    <mergeCell ref="A1:B1"/>
    <mergeCell ref="B72:G72"/>
    <mergeCell ref="B116:E116"/>
    <mergeCell ref="B108:G108"/>
    <mergeCell ref="B86:G86"/>
    <mergeCell ref="A115:G115"/>
    <mergeCell ref="B112:G112"/>
    <mergeCell ref="B70:G70"/>
    <mergeCell ref="B64:G64"/>
    <mergeCell ref="B60:G60"/>
    <mergeCell ref="B13:G13"/>
    <mergeCell ref="B18:G18"/>
    <mergeCell ref="B34:G34"/>
    <mergeCell ref="B20:G20"/>
    <mergeCell ref="B56:G56"/>
    <mergeCell ref="B65:G65"/>
    <mergeCell ref="H2:H4"/>
    <mergeCell ref="H5:H6"/>
    <mergeCell ref="F6:G6"/>
    <mergeCell ref="A5:B6"/>
    <mergeCell ref="E7:E8"/>
    <mergeCell ref="B2:D2"/>
    <mergeCell ref="E2:G4"/>
    <mergeCell ref="B12:G12"/>
    <mergeCell ref="B11:E11"/>
    <mergeCell ref="H7:H8"/>
    <mergeCell ref="C7:C8"/>
    <mergeCell ref="D7:D8"/>
    <mergeCell ref="F7:F8"/>
    <mergeCell ref="G7:G8"/>
    <mergeCell ref="A10:G10"/>
    <mergeCell ref="B9:G9"/>
  </mergeCells>
  <phoneticPr fontId="0" type="noConversion"/>
  <printOptions horizontalCentered="1" gridLines="1"/>
  <pageMargins left="0.75" right="0.75" top="1" bottom="1" header="0.5" footer="0.5"/>
  <pageSetup scale="69" fitToHeight="32" orientation="landscape" r:id="rId1"/>
  <headerFooter alignWithMargins="0">
    <oddHeader>&amp;L&amp;F&amp;C&amp;"Tahoma,Bold"&amp;12&amp;A&amp;R&amp;G</oddHeader>
    <oddFooter>&amp;C&amp;"Tahoma,Italic"Use or disclosure of the data on this page or screen is subject to the restrictions on the title page or opening view screen of this proposal document or file.&amp;R&amp;"Tahoma,Bold"&amp;10&amp;P of &amp;N</oddFooter>
  </headerFooter>
  <rowBreaks count="8" manualBreakCount="8">
    <brk id="17" max="16383" man="1"/>
    <brk id="33" max="16383" man="1"/>
    <brk id="55" max="16383" man="1"/>
    <brk id="63" max="16383" man="1"/>
    <brk id="71" max="16383" man="1"/>
    <brk id="85" max="16383" man="1"/>
    <brk id="107" max="16383" man="1"/>
    <brk id="114" max="16383" man="1"/>
  </rowBreaks>
  <ignoredErrors>
    <ignoredError sqref="B18:E18 B14:B17 D14:E17 B19 B21:B33 B56:E56 B35:B55 D35:E55 B57:B59 D57:E59 B61:B62 B66:B69 B71 B73:B85 B108:E108 B87:B107 D87:E107 B109:B111 D109:E111 B113:B114 B117:B128 D21:E33 D73:E85 F14:G18 D19:F19 F35:G59 D61:G62 D66:G69 D71:F71 F87:G111 D113:G114 D117:G128 A115:G116 B112:G112 B86:G86 B72:G72 B70:G70 B63:G65 B60:G60 B34:G34 B20:G20" unlockedFormula="1"/>
  </ignoredErrors>
  <legacyDrawingHF r:id="rId2"/>
</worksheet>
</file>

<file path=xl/worksheets/sheet30.xml><?xml version="1.0" encoding="utf-8"?>
<worksheet xmlns="http://schemas.openxmlformats.org/spreadsheetml/2006/main" xmlns:r="http://schemas.openxmlformats.org/officeDocument/2006/relationships">
  <sheetPr>
    <tabColor theme="3" tint="0.79998168889431442"/>
    <pageSetUpPr fitToPage="1"/>
  </sheetPr>
  <dimension ref="A1:CY74"/>
  <sheetViews>
    <sheetView zoomScaleNormal="100" workbookViewId="0">
      <selection activeCell="A2" sqref="A2"/>
    </sheetView>
  </sheetViews>
  <sheetFormatPr defaultRowHeight="10.5"/>
  <cols>
    <col min="1" max="1" width="16.83203125" style="143" customWidth="1"/>
    <col min="2" max="2" width="22.1640625" style="143" customWidth="1"/>
    <col min="3" max="3" width="17.5" style="143" customWidth="1"/>
    <col min="4" max="4" width="16.5" style="143" hidden="1" customWidth="1"/>
    <col min="5" max="5" width="12.33203125" style="143" bestFit="1" customWidth="1"/>
    <col min="6" max="6" width="14.33203125" style="143" customWidth="1"/>
    <col min="7" max="7" width="15" style="143" hidden="1" customWidth="1"/>
    <col min="8" max="8" width="27.83203125" style="143" customWidth="1"/>
    <col min="9" max="9" width="31" style="143" customWidth="1"/>
    <col min="10" max="103" width="9.33203125" style="8" customWidth="1"/>
  </cols>
  <sheetData>
    <row r="1" spans="1:103" ht="21" customHeight="1">
      <c r="A1" s="1545" t="s">
        <v>424</v>
      </c>
      <c r="B1" s="1546"/>
      <c r="C1" s="226"/>
      <c r="D1" s="226"/>
      <c r="E1" s="226"/>
      <c r="F1" s="226"/>
      <c r="G1" s="226"/>
      <c r="H1" s="226"/>
      <c r="I1" s="402"/>
    </row>
    <row r="2" spans="1:103" s="81" customFormat="1" ht="21">
      <c r="A2" s="379"/>
      <c r="B2" s="1339" t="s">
        <v>370</v>
      </c>
      <c r="C2" s="1339"/>
      <c r="D2" s="1339"/>
      <c r="E2" s="1340" t="s">
        <v>622</v>
      </c>
      <c r="F2" s="1340"/>
      <c r="G2" s="1340"/>
      <c r="H2" s="1341" t="s">
        <v>623</v>
      </c>
      <c r="I2" s="370" t="s">
        <v>631</v>
      </c>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8"/>
      <c r="BY2" s="138"/>
      <c r="BZ2" s="138"/>
      <c r="CA2" s="138"/>
      <c r="CB2" s="138"/>
      <c r="CC2" s="138"/>
      <c r="CD2" s="138"/>
      <c r="CE2" s="138"/>
      <c r="CF2" s="138"/>
      <c r="CG2" s="138"/>
      <c r="CH2" s="138"/>
      <c r="CI2" s="138"/>
      <c r="CJ2" s="138"/>
      <c r="CK2" s="138"/>
      <c r="CL2" s="138"/>
      <c r="CM2" s="138"/>
      <c r="CN2" s="138"/>
      <c r="CO2" s="138"/>
      <c r="CP2" s="138"/>
      <c r="CQ2" s="138"/>
      <c r="CR2" s="138"/>
      <c r="CS2" s="138"/>
      <c r="CT2" s="138"/>
      <c r="CU2" s="138"/>
      <c r="CV2" s="138"/>
      <c r="CW2" s="138"/>
      <c r="CX2" s="138"/>
      <c r="CY2" s="138"/>
    </row>
    <row r="3" spans="1:103" s="81" customFormat="1">
      <c r="A3" s="419" t="s">
        <v>426</v>
      </c>
      <c r="B3" s="419"/>
      <c r="C3" s="419"/>
      <c r="D3" s="419"/>
      <c r="E3" s="1340"/>
      <c r="F3" s="1340"/>
      <c r="G3" s="1340"/>
      <c r="H3" s="1341"/>
      <c r="I3" s="370"/>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c r="CY3" s="138"/>
    </row>
    <row r="4" spans="1:103" s="81" customFormat="1">
      <c r="A4" s="419"/>
      <c r="B4" s="419"/>
      <c r="C4" s="419"/>
      <c r="D4" s="419"/>
      <c r="E4" s="1340"/>
      <c r="F4" s="1340"/>
      <c r="G4" s="1340"/>
      <c r="H4" s="1341"/>
      <c r="I4" s="370"/>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c r="CY4" s="138"/>
    </row>
    <row r="5" spans="1:103" s="81" customFormat="1">
      <c r="A5" s="1313" t="s">
        <v>1330</v>
      </c>
      <c r="B5" s="1313"/>
      <c r="C5" s="386"/>
      <c r="D5" s="275" t="s">
        <v>624</v>
      </c>
      <c r="E5" s="1238"/>
      <c r="F5" s="1238"/>
      <c r="G5" s="1238"/>
      <c r="H5" s="1341" t="s">
        <v>625</v>
      </c>
      <c r="I5" s="370"/>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c r="AR5" s="138"/>
      <c r="AS5" s="138"/>
      <c r="AT5" s="138"/>
      <c r="AU5" s="138"/>
      <c r="AV5" s="138"/>
      <c r="AW5" s="138"/>
      <c r="AX5" s="138"/>
      <c r="AY5" s="138"/>
      <c r="AZ5" s="138"/>
      <c r="BA5" s="138"/>
      <c r="BB5" s="138"/>
      <c r="BC5" s="138"/>
      <c r="BD5" s="138"/>
      <c r="BE5" s="138"/>
      <c r="BF5" s="138"/>
      <c r="BG5" s="138"/>
      <c r="BH5" s="138"/>
      <c r="BI5" s="138"/>
      <c r="BJ5" s="138"/>
      <c r="BK5" s="138"/>
      <c r="BL5" s="138"/>
      <c r="BM5" s="138"/>
      <c r="BN5" s="138"/>
      <c r="BO5" s="138"/>
      <c r="BP5" s="138"/>
      <c r="BQ5" s="138"/>
      <c r="BR5" s="138"/>
      <c r="BS5" s="138"/>
      <c r="BT5" s="138"/>
      <c r="BU5" s="138"/>
      <c r="BV5" s="138"/>
      <c r="BW5" s="138"/>
      <c r="BX5" s="138"/>
      <c r="BY5" s="138"/>
      <c r="BZ5" s="138"/>
      <c r="CA5" s="138"/>
      <c r="CB5" s="138"/>
      <c r="CC5" s="138"/>
      <c r="CD5" s="138"/>
      <c r="CE5" s="138"/>
      <c r="CF5" s="138"/>
      <c r="CG5" s="138"/>
      <c r="CH5" s="138"/>
      <c r="CI5" s="138"/>
      <c r="CJ5" s="138"/>
      <c r="CK5" s="138"/>
      <c r="CL5" s="138"/>
      <c r="CM5" s="138"/>
      <c r="CN5" s="138"/>
      <c r="CO5" s="138"/>
      <c r="CP5" s="138"/>
      <c r="CQ5" s="138"/>
      <c r="CR5" s="138"/>
      <c r="CS5" s="138"/>
      <c r="CT5" s="138"/>
      <c r="CU5" s="138"/>
      <c r="CV5" s="138"/>
      <c r="CW5" s="138"/>
      <c r="CX5" s="138"/>
      <c r="CY5" s="138"/>
    </row>
    <row r="6" spans="1:103" ht="38.25" customHeight="1">
      <c r="A6" s="1313"/>
      <c r="B6" s="1313"/>
      <c r="C6" s="390"/>
      <c r="D6" s="237"/>
      <c r="E6" s="1240"/>
      <c r="F6" s="1542"/>
      <c r="G6" s="1542"/>
      <c r="H6" s="1341"/>
      <c r="I6" s="370"/>
    </row>
    <row r="7" spans="1:103" ht="10.5" customHeight="1">
      <c r="A7" s="375" t="s">
        <v>653</v>
      </c>
      <c r="B7" s="330" t="s">
        <v>428</v>
      </c>
      <c r="C7" s="1311" t="s">
        <v>429</v>
      </c>
      <c r="D7" s="1317" t="s">
        <v>620</v>
      </c>
      <c r="E7" s="1318" t="s">
        <v>432</v>
      </c>
      <c r="F7" s="1316" t="s">
        <v>430</v>
      </c>
      <c r="G7" s="1317" t="s">
        <v>621</v>
      </c>
      <c r="H7" s="1328" t="s">
        <v>431</v>
      </c>
      <c r="I7" s="369" t="s">
        <v>627</v>
      </c>
    </row>
    <row r="8" spans="1:103" ht="30" customHeight="1">
      <c r="A8" s="367"/>
      <c r="B8" s="99"/>
      <c r="C8" s="1311"/>
      <c r="D8" s="1317"/>
      <c r="E8" s="1318"/>
      <c r="F8" s="1316"/>
      <c r="G8" s="1317"/>
      <c r="H8" s="1328"/>
      <c r="I8" s="369"/>
    </row>
    <row r="9" spans="1:103">
      <c r="A9" s="154"/>
      <c r="B9" s="1434" t="s">
        <v>492</v>
      </c>
      <c r="C9" s="1314"/>
      <c r="D9" s="1314"/>
      <c r="E9" s="1314"/>
      <c r="F9" s="1314"/>
      <c r="G9" s="1314"/>
      <c r="H9" s="374"/>
      <c r="I9" s="152"/>
    </row>
    <row r="10" spans="1:103">
      <c r="A10" s="372"/>
      <c r="B10" s="1434" t="s">
        <v>494</v>
      </c>
      <c r="C10" s="1314"/>
      <c r="D10" s="1314"/>
      <c r="E10" s="1314"/>
      <c r="F10" s="1314"/>
      <c r="G10" s="1314"/>
      <c r="H10" s="374"/>
      <c r="I10" s="152"/>
    </row>
    <row r="11" spans="1:103" ht="21">
      <c r="A11" s="61" t="s">
        <v>2662</v>
      </c>
      <c r="B11" s="160" t="s">
        <v>498</v>
      </c>
      <c r="C11" s="177" t="s">
        <v>630</v>
      </c>
      <c r="D11" s="180">
        <v>1415</v>
      </c>
      <c r="E11" s="304">
        <f>SUM(D11*1.1)</f>
        <v>1556.5000000000002</v>
      </c>
      <c r="F11" s="201" t="s">
        <v>539</v>
      </c>
      <c r="G11" s="201" t="s">
        <v>539</v>
      </c>
      <c r="H11" s="148" t="s">
        <v>542</v>
      </c>
      <c r="I11" s="154"/>
    </row>
    <row r="12" spans="1:103" ht="21">
      <c r="A12" s="61" t="s">
        <v>2663</v>
      </c>
      <c r="B12" s="160" t="s">
        <v>499</v>
      </c>
      <c r="C12" s="177" t="s">
        <v>630</v>
      </c>
      <c r="D12" s="180">
        <v>800</v>
      </c>
      <c r="E12" s="304">
        <f t="shared" ref="E12:E15" si="0">SUM(D12*1.1)</f>
        <v>880.00000000000011</v>
      </c>
      <c r="F12" s="201" t="s">
        <v>539</v>
      </c>
      <c r="G12" s="201" t="s">
        <v>539</v>
      </c>
      <c r="H12" s="148" t="s">
        <v>542</v>
      </c>
      <c r="I12" s="154"/>
    </row>
    <row r="13" spans="1:103" ht="21">
      <c r="A13" s="61" t="s">
        <v>2664</v>
      </c>
      <c r="B13" s="160" t="s">
        <v>495</v>
      </c>
      <c r="C13" s="177" t="s">
        <v>630</v>
      </c>
      <c r="D13" s="180">
        <v>45</v>
      </c>
      <c r="E13" s="304">
        <f t="shared" si="0"/>
        <v>49.500000000000007</v>
      </c>
      <c r="F13" s="241" t="s">
        <v>783</v>
      </c>
      <c r="G13" s="241" t="s">
        <v>783</v>
      </c>
      <c r="H13" s="148" t="s">
        <v>543</v>
      </c>
      <c r="I13" s="154"/>
    </row>
    <row r="14" spans="1:103" ht="21">
      <c r="A14" s="61" t="s">
        <v>2665</v>
      </c>
      <c r="B14" s="160" t="s">
        <v>496</v>
      </c>
      <c r="C14" s="177" t="s">
        <v>630</v>
      </c>
      <c r="D14" s="180">
        <v>110</v>
      </c>
      <c r="E14" s="304">
        <f t="shared" si="0"/>
        <v>121.00000000000001</v>
      </c>
      <c r="F14" s="241" t="s">
        <v>783</v>
      </c>
      <c r="G14" s="241" t="s">
        <v>783</v>
      </c>
      <c r="H14" s="148" t="s">
        <v>543</v>
      </c>
      <c r="I14" s="154"/>
    </row>
    <row r="15" spans="1:103">
      <c r="A15" s="61" t="s">
        <v>2666</v>
      </c>
      <c r="B15" s="160" t="s">
        <v>493</v>
      </c>
      <c r="C15" s="177" t="s">
        <v>630</v>
      </c>
      <c r="D15" s="180">
        <v>220</v>
      </c>
      <c r="E15" s="304">
        <f t="shared" si="0"/>
        <v>242.00000000000003</v>
      </c>
      <c r="F15" s="241" t="s">
        <v>783</v>
      </c>
      <c r="G15" s="241" t="s">
        <v>783</v>
      </c>
      <c r="H15" s="148" t="s">
        <v>544</v>
      </c>
      <c r="I15" s="154"/>
    </row>
    <row r="16" spans="1:103">
      <c r="A16" s="154"/>
      <c r="B16" s="154"/>
      <c r="C16" s="373"/>
      <c r="D16" s="373"/>
      <c r="E16" s="201"/>
      <c r="F16" s="201"/>
      <c r="G16" s="201"/>
      <c r="H16" s="148"/>
      <c r="I16" s="154"/>
    </row>
    <row r="17" spans="1:9">
      <c r="A17" s="154"/>
      <c r="B17" s="1434" t="s">
        <v>497</v>
      </c>
      <c r="C17" s="1314"/>
      <c r="D17" s="1314"/>
      <c r="E17" s="1314"/>
      <c r="F17" s="1314"/>
      <c r="G17" s="1314"/>
      <c r="H17" s="148"/>
      <c r="I17" s="154"/>
    </row>
    <row r="18" spans="1:9" ht="21">
      <c r="A18" s="61" t="s">
        <v>2667</v>
      </c>
      <c r="B18" s="96" t="s">
        <v>500</v>
      </c>
      <c r="C18" s="177" t="s">
        <v>630</v>
      </c>
      <c r="D18" s="180">
        <v>3080</v>
      </c>
      <c r="E18" s="304">
        <f t="shared" ref="E18:E23" si="1">SUM(D18*1.1)</f>
        <v>3388.0000000000005</v>
      </c>
      <c r="F18" s="201" t="s">
        <v>539</v>
      </c>
      <c r="G18" s="201" t="s">
        <v>539</v>
      </c>
      <c r="H18" s="148" t="s">
        <v>542</v>
      </c>
      <c r="I18" s="154"/>
    </row>
    <row r="19" spans="1:9" ht="21">
      <c r="A19" s="61" t="s">
        <v>2668</v>
      </c>
      <c r="B19" s="96" t="s">
        <v>501</v>
      </c>
      <c r="C19" s="177" t="s">
        <v>630</v>
      </c>
      <c r="D19" s="180">
        <v>2095</v>
      </c>
      <c r="E19" s="304">
        <f t="shared" si="1"/>
        <v>2304.5</v>
      </c>
      <c r="F19" s="201" t="s">
        <v>539</v>
      </c>
      <c r="G19" s="201" t="s">
        <v>539</v>
      </c>
      <c r="H19" s="148" t="s">
        <v>542</v>
      </c>
      <c r="I19" s="154"/>
    </row>
    <row r="20" spans="1:9" ht="21">
      <c r="A20" s="61" t="s">
        <v>2669</v>
      </c>
      <c r="B20" s="96" t="s">
        <v>502</v>
      </c>
      <c r="C20" s="177" t="s">
        <v>630</v>
      </c>
      <c r="D20" s="180">
        <v>110</v>
      </c>
      <c r="E20" s="304">
        <f t="shared" si="1"/>
        <v>121.00000000000001</v>
      </c>
      <c r="F20" s="241" t="s">
        <v>783</v>
      </c>
      <c r="G20" s="241" t="s">
        <v>783</v>
      </c>
      <c r="H20" s="148" t="s">
        <v>543</v>
      </c>
      <c r="I20" s="154"/>
    </row>
    <row r="21" spans="1:9" ht="21">
      <c r="A21" s="61" t="s">
        <v>2670</v>
      </c>
      <c r="B21" s="96" t="s">
        <v>503</v>
      </c>
      <c r="C21" s="177" t="s">
        <v>630</v>
      </c>
      <c r="D21" s="180">
        <v>135</v>
      </c>
      <c r="E21" s="304">
        <f t="shared" si="1"/>
        <v>148.5</v>
      </c>
      <c r="F21" s="241" t="s">
        <v>783</v>
      </c>
      <c r="G21" s="241" t="s">
        <v>783</v>
      </c>
      <c r="H21" s="148" t="s">
        <v>543</v>
      </c>
      <c r="I21" s="154"/>
    </row>
    <row r="22" spans="1:9" ht="21">
      <c r="A22" s="61" t="s">
        <v>2671</v>
      </c>
      <c r="B22" s="96" t="s">
        <v>507</v>
      </c>
      <c r="C22" s="177" t="s">
        <v>630</v>
      </c>
      <c r="D22" s="180">
        <v>45</v>
      </c>
      <c r="E22" s="304">
        <f t="shared" si="1"/>
        <v>49.500000000000007</v>
      </c>
      <c r="F22" s="241" t="s">
        <v>783</v>
      </c>
      <c r="G22" s="241" t="s">
        <v>783</v>
      </c>
      <c r="H22" s="148" t="s">
        <v>543</v>
      </c>
      <c r="I22" s="154"/>
    </row>
    <row r="23" spans="1:9">
      <c r="A23" s="61" t="s">
        <v>2672</v>
      </c>
      <c r="B23" s="96" t="s">
        <v>504</v>
      </c>
      <c r="C23" s="177" t="s">
        <v>630</v>
      </c>
      <c r="D23" s="180">
        <v>220</v>
      </c>
      <c r="E23" s="304">
        <f t="shared" si="1"/>
        <v>242.00000000000003</v>
      </c>
      <c r="F23" s="241" t="s">
        <v>783</v>
      </c>
      <c r="G23" s="241" t="s">
        <v>783</v>
      </c>
      <c r="H23" s="148" t="s">
        <v>544</v>
      </c>
      <c r="I23" s="154"/>
    </row>
    <row r="24" spans="1:9">
      <c r="A24" s="154"/>
      <c r="B24" s="210"/>
      <c r="C24" s="373"/>
      <c r="D24" s="373"/>
      <c r="E24" s="201"/>
      <c r="F24" s="201"/>
      <c r="G24" s="201"/>
      <c r="H24" s="148"/>
      <c r="I24" s="154"/>
    </row>
    <row r="25" spans="1:9">
      <c r="A25" s="154"/>
      <c r="B25" s="1434" t="s">
        <v>505</v>
      </c>
      <c r="C25" s="1314"/>
      <c r="D25" s="1314"/>
      <c r="E25" s="1314"/>
      <c r="F25" s="1314"/>
      <c r="G25" s="1314"/>
      <c r="H25" s="148"/>
      <c r="I25" s="154"/>
    </row>
    <row r="26" spans="1:9" ht="21">
      <c r="A26" s="61" t="s">
        <v>2673</v>
      </c>
      <c r="B26" s="374" t="s">
        <v>506</v>
      </c>
      <c r="C26" s="177" t="s">
        <v>630</v>
      </c>
      <c r="D26" s="180">
        <v>4715</v>
      </c>
      <c r="E26" s="304">
        <f t="shared" ref="E26:E33" si="2">SUM(D26*1.1)</f>
        <v>5186.5</v>
      </c>
      <c r="F26" s="201" t="s">
        <v>539</v>
      </c>
      <c r="G26" s="201" t="s">
        <v>539</v>
      </c>
      <c r="H26" s="148" t="s">
        <v>542</v>
      </c>
      <c r="I26" s="154"/>
    </row>
    <row r="27" spans="1:9" ht="21">
      <c r="A27" s="61" t="s">
        <v>2674</v>
      </c>
      <c r="B27" s="374" t="s">
        <v>508</v>
      </c>
      <c r="C27" s="177" t="s">
        <v>630</v>
      </c>
      <c r="D27" s="180">
        <v>4190</v>
      </c>
      <c r="E27" s="304">
        <f t="shared" si="2"/>
        <v>4609</v>
      </c>
      <c r="F27" s="201" t="s">
        <v>539</v>
      </c>
      <c r="G27" s="201" t="s">
        <v>539</v>
      </c>
      <c r="H27" s="148" t="s">
        <v>542</v>
      </c>
      <c r="I27" s="154"/>
    </row>
    <row r="28" spans="1:9" ht="21">
      <c r="A28" s="61" t="s">
        <v>2675</v>
      </c>
      <c r="B28" s="374" t="s">
        <v>509</v>
      </c>
      <c r="C28" s="177" t="s">
        <v>630</v>
      </c>
      <c r="D28" s="180">
        <v>360</v>
      </c>
      <c r="E28" s="304">
        <f t="shared" si="2"/>
        <v>396.00000000000006</v>
      </c>
      <c r="F28" s="241" t="s">
        <v>783</v>
      </c>
      <c r="G28" s="241" t="s">
        <v>783</v>
      </c>
      <c r="H28" s="148" t="s">
        <v>543</v>
      </c>
      <c r="I28" s="154"/>
    </row>
    <row r="29" spans="1:9" ht="21">
      <c r="A29" s="61" t="s">
        <v>2676</v>
      </c>
      <c r="B29" s="374" t="s">
        <v>510</v>
      </c>
      <c r="C29" s="177" t="s">
        <v>630</v>
      </c>
      <c r="D29" s="180">
        <v>135</v>
      </c>
      <c r="E29" s="304">
        <f t="shared" si="2"/>
        <v>148.5</v>
      </c>
      <c r="F29" s="241" t="s">
        <v>783</v>
      </c>
      <c r="G29" s="241" t="s">
        <v>783</v>
      </c>
      <c r="H29" s="148" t="s">
        <v>543</v>
      </c>
      <c r="I29" s="154"/>
    </row>
    <row r="30" spans="1:9" ht="21">
      <c r="A30" s="61" t="s">
        <v>2677</v>
      </c>
      <c r="B30" s="374" t="s">
        <v>512</v>
      </c>
      <c r="C30" s="177" t="s">
        <v>630</v>
      </c>
      <c r="D30" s="180">
        <v>110</v>
      </c>
      <c r="E30" s="304">
        <f t="shared" si="2"/>
        <v>121.00000000000001</v>
      </c>
      <c r="F30" s="241" t="s">
        <v>783</v>
      </c>
      <c r="G30" s="241" t="s">
        <v>783</v>
      </c>
      <c r="H30" s="148" t="s">
        <v>543</v>
      </c>
      <c r="I30" s="154"/>
    </row>
    <row r="31" spans="1:9" s="8" customFormat="1" ht="21">
      <c r="A31" s="61" t="s">
        <v>2678</v>
      </c>
      <c r="B31" s="374" t="s">
        <v>514</v>
      </c>
      <c r="C31" s="177" t="s">
        <v>630</v>
      </c>
      <c r="D31" s="180">
        <v>45</v>
      </c>
      <c r="E31" s="304">
        <f t="shared" si="2"/>
        <v>49.500000000000007</v>
      </c>
      <c r="F31" s="241" t="s">
        <v>783</v>
      </c>
      <c r="G31" s="241" t="s">
        <v>783</v>
      </c>
      <c r="H31" s="148" t="s">
        <v>543</v>
      </c>
      <c r="I31" s="154"/>
    </row>
    <row r="32" spans="1:9" s="8" customFormat="1">
      <c r="A32" s="61" t="s">
        <v>2679</v>
      </c>
      <c r="B32" s="374" t="s">
        <v>516</v>
      </c>
      <c r="C32" s="177" t="s">
        <v>630</v>
      </c>
      <c r="D32" s="180">
        <v>220</v>
      </c>
      <c r="E32" s="304">
        <f t="shared" si="2"/>
        <v>242.00000000000003</v>
      </c>
      <c r="F32" s="241" t="s">
        <v>783</v>
      </c>
      <c r="G32" s="241" t="s">
        <v>783</v>
      </c>
      <c r="H32" s="148" t="s">
        <v>544</v>
      </c>
      <c r="I32" s="154"/>
    </row>
    <row r="33" spans="1:103" s="8" customFormat="1" ht="31.5">
      <c r="A33" s="61" t="s">
        <v>2680</v>
      </c>
      <c r="B33" s="374" t="s">
        <v>513</v>
      </c>
      <c r="C33" s="177" t="s">
        <v>630</v>
      </c>
      <c r="D33" s="180">
        <v>550</v>
      </c>
      <c r="E33" s="304">
        <f t="shared" si="2"/>
        <v>605</v>
      </c>
      <c r="F33" s="241" t="s">
        <v>783</v>
      </c>
      <c r="G33" s="241" t="s">
        <v>783</v>
      </c>
      <c r="H33" s="148" t="s">
        <v>543</v>
      </c>
      <c r="I33" s="154"/>
    </row>
    <row r="34" spans="1:103" s="8" customFormat="1">
      <c r="A34" s="154"/>
      <c r="B34" s="210"/>
      <c r="C34" s="373"/>
      <c r="D34" s="373"/>
      <c r="E34" s="201"/>
      <c r="F34" s="201"/>
      <c r="G34" s="201"/>
      <c r="H34" s="152"/>
      <c r="I34" s="154"/>
    </row>
    <row r="36" spans="1:103" s="18" customFormat="1">
      <c r="A36" s="151" t="s">
        <v>632</v>
      </c>
      <c r="B36" s="142"/>
      <c r="C36" s="143"/>
      <c r="D36" s="143"/>
      <c r="E36" s="143"/>
      <c r="F36" s="143"/>
      <c r="G36" s="143"/>
      <c r="H36" s="143"/>
      <c r="I36" s="14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row>
    <row r="37" spans="1:103" s="18" customFormat="1">
      <c r="A37" s="499"/>
      <c r="B37" s="431"/>
      <c r="C37" s="143"/>
      <c r="D37" s="143"/>
      <c r="E37" s="143"/>
      <c r="F37" s="143"/>
      <c r="G37" s="143"/>
      <c r="H37" s="143"/>
      <c r="I37" s="14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row>
    <row r="38" spans="1:103" s="18" customFormat="1">
      <c r="A38" s="188"/>
      <c r="B38" s="144"/>
      <c r="C38" s="143"/>
      <c r="D38" s="143"/>
      <c r="E38" s="143"/>
      <c r="F38" s="143"/>
      <c r="G38" s="143"/>
      <c r="H38" s="143"/>
      <c r="I38" s="14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row>
    <row r="39" spans="1:103" s="18" customFormat="1">
      <c r="A39" s="145"/>
      <c r="B39" s="146"/>
      <c r="C39" s="143"/>
      <c r="D39" s="143"/>
      <c r="E39" s="143"/>
      <c r="F39" s="143"/>
      <c r="G39" s="143"/>
      <c r="H39" s="143"/>
      <c r="I39" s="14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row>
    <row r="40" spans="1:103" s="18" customFormat="1">
      <c r="A40" s="145"/>
      <c r="B40" s="146"/>
      <c r="C40" s="143"/>
      <c r="D40" s="143"/>
      <c r="E40" s="143"/>
      <c r="F40" s="143"/>
      <c r="G40" s="143"/>
      <c r="H40" s="143"/>
      <c r="I40" s="14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row>
    <row r="41" spans="1:103" s="18" customFormat="1">
      <c r="A41" s="145"/>
      <c r="B41" s="146"/>
      <c r="C41" s="143"/>
      <c r="D41" s="143"/>
      <c r="E41" s="143"/>
      <c r="F41" s="143"/>
      <c r="G41" s="143"/>
      <c r="H41" s="143"/>
      <c r="I41" s="14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row>
    <row r="42" spans="1:103" s="18" customFormat="1">
      <c r="A42" s="143"/>
      <c r="B42" s="171"/>
      <c r="C42" s="143"/>
      <c r="D42" s="143"/>
      <c r="E42" s="143"/>
      <c r="F42" s="143"/>
      <c r="G42" s="143"/>
      <c r="H42" s="143"/>
      <c r="I42" s="14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row>
    <row r="43" spans="1:103" s="18" customFormat="1">
      <c r="A43" s="143"/>
      <c r="B43" s="143"/>
      <c r="C43" s="143"/>
      <c r="D43" s="143"/>
      <c r="E43" s="143"/>
      <c r="F43" s="143"/>
      <c r="G43" s="143"/>
      <c r="H43" s="143"/>
      <c r="I43" s="14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row>
    <row r="44" spans="1:103" s="18" customFormat="1">
      <c r="A44" s="143"/>
      <c r="B44" s="143"/>
      <c r="C44" s="143"/>
      <c r="D44" s="143"/>
      <c r="E44" s="143"/>
      <c r="F44" s="143"/>
      <c r="G44" s="143"/>
      <c r="H44" s="143"/>
      <c r="I44" s="14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row>
    <row r="45" spans="1:103" s="18" customFormat="1">
      <c r="A45" s="143"/>
      <c r="B45" s="143"/>
      <c r="C45" s="143"/>
      <c r="D45" s="143"/>
      <c r="E45" s="143"/>
      <c r="F45" s="143"/>
      <c r="G45" s="143"/>
      <c r="H45" s="143"/>
      <c r="I45" s="14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row>
    <row r="46" spans="1:103" s="18" customFormat="1">
      <c r="A46" s="143"/>
      <c r="B46" s="143"/>
      <c r="C46" s="143"/>
      <c r="D46" s="143"/>
      <c r="E46" s="143"/>
      <c r="F46" s="143"/>
      <c r="G46" s="143"/>
      <c r="H46" s="143"/>
      <c r="I46" s="14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row>
    <row r="47" spans="1:103" s="18" customFormat="1">
      <c r="A47" s="143"/>
      <c r="B47" s="143"/>
      <c r="C47" s="143"/>
      <c r="D47" s="143"/>
      <c r="E47" s="143"/>
      <c r="F47" s="143"/>
      <c r="G47" s="143"/>
      <c r="H47" s="143"/>
      <c r="I47" s="14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row>
    <row r="48" spans="1:103" s="18" customFormat="1">
      <c r="A48" s="143"/>
      <c r="B48" s="143"/>
      <c r="C48" s="143"/>
      <c r="D48" s="143"/>
      <c r="E48" s="143"/>
      <c r="F48" s="143"/>
      <c r="G48" s="143"/>
      <c r="H48" s="143"/>
      <c r="I48" s="14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row>
    <row r="49" spans="1:103" s="18" customFormat="1">
      <c r="A49" s="143"/>
      <c r="B49" s="143"/>
      <c r="C49" s="143"/>
      <c r="D49" s="143"/>
      <c r="E49" s="143"/>
      <c r="F49" s="143"/>
      <c r="G49" s="143"/>
      <c r="H49" s="143"/>
      <c r="I49" s="14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row>
    <row r="50" spans="1:103" s="18" customFormat="1">
      <c r="A50" s="143"/>
      <c r="B50" s="143"/>
      <c r="C50" s="143"/>
      <c r="D50" s="143"/>
      <c r="E50" s="143"/>
      <c r="F50" s="143"/>
      <c r="G50" s="143"/>
      <c r="H50" s="143"/>
      <c r="I50" s="14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row>
    <row r="51" spans="1:103" s="18" customFormat="1">
      <c r="A51" s="143"/>
      <c r="B51" s="143"/>
      <c r="C51" s="143"/>
      <c r="D51" s="143"/>
      <c r="E51" s="143"/>
      <c r="F51" s="143"/>
      <c r="G51" s="143"/>
      <c r="H51" s="143"/>
      <c r="I51" s="14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row>
    <row r="52" spans="1:103" s="18" customFormat="1">
      <c r="A52" s="143"/>
      <c r="B52" s="143"/>
      <c r="C52" s="143"/>
      <c r="D52" s="143"/>
      <c r="E52" s="143"/>
      <c r="F52" s="143"/>
      <c r="G52" s="143"/>
      <c r="H52" s="143"/>
      <c r="I52" s="14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row>
    <row r="53" spans="1:103" s="18" customFormat="1">
      <c r="A53" s="143"/>
      <c r="B53" s="143"/>
      <c r="C53" s="143"/>
      <c r="D53" s="143"/>
      <c r="E53" s="143"/>
      <c r="F53" s="143"/>
      <c r="G53" s="143"/>
      <c r="H53" s="143"/>
      <c r="I53" s="14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row>
    <row r="54" spans="1:103" s="18" customFormat="1">
      <c r="A54" s="143"/>
      <c r="B54" s="143"/>
      <c r="C54" s="143"/>
      <c r="D54" s="143"/>
      <c r="E54" s="143"/>
      <c r="F54" s="143"/>
      <c r="G54" s="143"/>
      <c r="H54" s="143"/>
      <c r="I54" s="14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row>
    <row r="55" spans="1:103" s="18" customFormat="1">
      <c r="A55" s="143"/>
      <c r="B55" s="143"/>
      <c r="C55" s="143"/>
      <c r="D55" s="143"/>
      <c r="E55" s="143"/>
      <c r="F55" s="143"/>
      <c r="G55" s="143"/>
      <c r="H55" s="143"/>
      <c r="I55" s="14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row>
    <row r="56" spans="1:103" s="18" customFormat="1">
      <c r="A56" s="143"/>
      <c r="B56" s="143"/>
      <c r="C56" s="143"/>
      <c r="D56" s="143"/>
      <c r="E56" s="143"/>
      <c r="F56" s="143"/>
      <c r="G56" s="143"/>
      <c r="H56" s="143"/>
      <c r="I56" s="14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row>
    <row r="57" spans="1:103" s="18" customFormat="1">
      <c r="A57" s="143"/>
      <c r="B57" s="143"/>
      <c r="C57" s="143"/>
      <c r="D57" s="143"/>
      <c r="E57" s="143"/>
      <c r="F57" s="143"/>
      <c r="G57" s="143"/>
      <c r="H57" s="143"/>
      <c r="I57" s="14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row>
    <row r="58" spans="1:103" s="18" customFormat="1">
      <c r="A58" s="143"/>
      <c r="B58" s="143"/>
      <c r="C58" s="143"/>
      <c r="D58" s="143"/>
      <c r="E58" s="143"/>
      <c r="F58" s="143"/>
      <c r="G58" s="143"/>
      <c r="H58" s="143"/>
      <c r="I58" s="14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row>
    <row r="59" spans="1:103" s="18" customFormat="1">
      <c r="A59" s="143"/>
      <c r="B59" s="143"/>
      <c r="C59" s="143"/>
      <c r="D59" s="143"/>
      <c r="E59" s="143"/>
      <c r="F59" s="143"/>
      <c r="G59" s="143"/>
      <c r="H59" s="143"/>
      <c r="I59" s="14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c r="CS59" s="23"/>
      <c r="CT59" s="23"/>
      <c r="CU59" s="23"/>
      <c r="CV59" s="23"/>
      <c r="CW59" s="23"/>
      <c r="CX59" s="23"/>
      <c r="CY59" s="23"/>
    </row>
    <row r="60" spans="1:103" s="18" customFormat="1">
      <c r="A60" s="143"/>
      <c r="B60" s="143"/>
      <c r="C60" s="143"/>
      <c r="D60" s="143"/>
      <c r="E60" s="143"/>
      <c r="F60" s="143"/>
      <c r="G60" s="143"/>
      <c r="H60" s="143"/>
      <c r="I60" s="14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row>
    <row r="61" spans="1:103" s="18" customFormat="1">
      <c r="A61" s="143"/>
      <c r="B61" s="143"/>
      <c r="C61" s="143"/>
      <c r="D61" s="143"/>
      <c r="E61" s="143"/>
      <c r="F61" s="143"/>
      <c r="G61" s="143"/>
      <c r="H61" s="143"/>
      <c r="I61" s="14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row>
    <row r="62" spans="1:103" s="18" customFormat="1">
      <c r="A62" s="143"/>
      <c r="B62" s="143"/>
      <c r="C62" s="143"/>
      <c r="D62" s="143"/>
      <c r="E62" s="143"/>
      <c r="F62" s="143"/>
      <c r="G62" s="143"/>
      <c r="H62" s="143"/>
      <c r="I62" s="14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row>
    <row r="63" spans="1:103" s="18" customFormat="1">
      <c r="A63" s="143"/>
      <c r="B63" s="143"/>
      <c r="C63" s="143"/>
      <c r="D63" s="143"/>
      <c r="E63" s="143"/>
      <c r="F63" s="143"/>
      <c r="G63" s="143"/>
      <c r="H63" s="143"/>
      <c r="I63" s="14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row>
    <row r="64" spans="1:103" s="18" customFormat="1">
      <c r="A64" s="143"/>
      <c r="B64" s="143"/>
      <c r="C64" s="143"/>
      <c r="D64" s="143"/>
      <c r="E64" s="143"/>
      <c r="F64" s="143"/>
      <c r="G64" s="143"/>
      <c r="H64" s="143"/>
      <c r="I64" s="14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row>
    <row r="65" spans="1:103" s="18" customFormat="1">
      <c r="A65" s="143"/>
      <c r="B65" s="143"/>
      <c r="C65" s="143"/>
      <c r="D65" s="143"/>
      <c r="E65" s="143"/>
      <c r="F65" s="143"/>
      <c r="G65" s="143"/>
      <c r="H65" s="143"/>
      <c r="I65" s="14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c r="CR65" s="23"/>
      <c r="CS65" s="23"/>
      <c r="CT65" s="23"/>
      <c r="CU65" s="23"/>
      <c r="CV65" s="23"/>
      <c r="CW65" s="23"/>
      <c r="CX65" s="23"/>
      <c r="CY65" s="23"/>
    </row>
    <row r="66" spans="1:103" s="18" customFormat="1">
      <c r="A66" s="143"/>
      <c r="B66" s="143"/>
      <c r="C66" s="143"/>
      <c r="D66" s="143"/>
      <c r="E66" s="143"/>
      <c r="F66" s="143"/>
      <c r="G66" s="143"/>
      <c r="H66" s="143"/>
      <c r="I66" s="14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row>
    <row r="67" spans="1:103" s="18" customFormat="1">
      <c r="A67" s="143"/>
      <c r="B67" s="143"/>
      <c r="C67" s="143"/>
      <c r="D67" s="143"/>
      <c r="E67" s="143"/>
      <c r="F67" s="143"/>
      <c r="G67" s="143"/>
      <c r="H67" s="143"/>
      <c r="I67" s="14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c r="CY67" s="23"/>
    </row>
    <row r="68" spans="1:103" s="18" customFormat="1">
      <c r="A68" s="143"/>
      <c r="B68" s="143"/>
      <c r="C68" s="143"/>
      <c r="D68" s="143"/>
      <c r="E68" s="143"/>
      <c r="F68" s="143"/>
      <c r="G68" s="143"/>
      <c r="H68" s="143"/>
      <c r="I68" s="14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row>
    <row r="69" spans="1:103" s="18" customFormat="1">
      <c r="A69" s="143"/>
      <c r="B69" s="143"/>
      <c r="C69" s="143"/>
      <c r="D69" s="143"/>
      <c r="E69" s="143"/>
      <c r="F69" s="143"/>
      <c r="G69" s="143"/>
      <c r="H69" s="143"/>
      <c r="I69" s="14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row>
    <row r="70" spans="1:103" s="18" customFormat="1">
      <c r="A70" s="143"/>
      <c r="B70" s="143"/>
      <c r="C70" s="143"/>
      <c r="D70" s="143"/>
      <c r="E70" s="143"/>
      <c r="F70" s="143"/>
      <c r="G70" s="143"/>
      <c r="H70" s="143"/>
      <c r="I70" s="14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row>
    <row r="71" spans="1:103" s="18" customFormat="1">
      <c r="A71" s="143"/>
      <c r="B71" s="143"/>
      <c r="C71" s="143"/>
      <c r="D71" s="143"/>
      <c r="E71" s="143"/>
      <c r="F71" s="143"/>
      <c r="G71" s="143"/>
      <c r="H71" s="143"/>
      <c r="I71" s="14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c r="CS71" s="23"/>
      <c r="CT71" s="23"/>
      <c r="CU71" s="23"/>
      <c r="CV71" s="23"/>
      <c r="CW71" s="23"/>
      <c r="CX71" s="23"/>
      <c r="CY71" s="23"/>
    </row>
    <row r="72" spans="1:103" s="18" customFormat="1">
      <c r="A72" s="143"/>
      <c r="B72" s="143"/>
      <c r="C72" s="143"/>
      <c r="D72" s="143"/>
      <c r="E72" s="143"/>
      <c r="F72" s="143"/>
      <c r="G72" s="143"/>
      <c r="H72" s="143"/>
      <c r="I72" s="14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row>
    <row r="73" spans="1:103" s="18" customFormat="1">
      <c r="A73" s="143"/>
      <c r="B73" s="143"/>
      <c r="C73" s="143"/>
      <c r="D73" s="143"/>
      <c r="E73" s="143"/>
      <c r="F73" s="143"/>
      <c r="G73" s="143"/>
      <c r="H73" s="143"/>
      <c r="I73" s="14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row>
    <row r="74" spans="1:103" s="18" customFormat="1">
      <c r="A74" s="143"/>
      <c r="B74" s="143"/>
      <c r="C74" s="143"/>
      <c r="D74" s="143"/>
      <c r="E74" s="143"/>
      <c r="F74" s="143"/>
      <c r="G74" s="143"/>
      <c r="H74" s="143"/>
      <c r="I74" s="14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row>
  </sheetData>
  <mergeCells count="17">
    <mergeCell ref="A1:B1"/>
    <mergeCell ref="B17:G17"/>
    <mergeCell ref="B25:G25"/>
    <mergeCell ref="B10:G10"/>
    <mergeCell ref="C7:C8"/>
    <mergeCell ref="D7:D8"/>
    <mergeCell ref="E7:E8"/>
    <mergeCell ref="F7:F8"/>
    <mergeCell ref="G7:G8"/>
    <mergeCell ref="H7:H8"/>
    <mergeCell ref="B9:G9"/>
    <mergeCell ref="B2:D2"/>
    <mergeCell ref="E2:G4"/>
    <mergeCell ref="H2:H4"/>
    <mergeCell ref="A5:B6"/>
    <mergeCell ref="H5:H6"/>
    <mergeCell ref="F6:G6"/>
  </mergeCells>
  <pageMargins left="0.75" right="0.75" top="1" bottom="1" header="0.5" footer="0.5"/>
  <pageSetup scale="71" fitToHeight="30" orientation="landscape" r:id="rId1"/>
  <headerFooter>
    <oddHeader>&amp;L&amp;F&amp;C&amp;A&amp;R&amp;G</oddHeader>
    <oddFooter>&amp;C&amp;"Tahoma,Italic"Use or disclosure of the data on this page or screen is subject to the restrictions on the title page or opening view screen of this proposal document or file.&amp;R&amp;P of &amp;N</oddFooter>
  </headerFooter>
  <legacyDrawingHF r:id="rId2"/>
</worksheet>
</file>

<file path=xl/worksheets/sheet31.xml><?xml version="1.0" encoding="utf-8"?>
<worksheet xmlns="http://schemas.openxmlformats.org/spreadsheetml/2006/main" xmlns:r="http://schemas.openxmlformats.org/officeDocument/2006/relationships">
  <sheetPr codeName="Sheet12" enableFormatConditionsCalculation="0"/>
  <dimension ref="A1:O74"/>
  <sheetViews>
    <sheetView zoomScaleNormal="100" zoomScaleSheetLayoutView="100" workbookViewId="0">
      <selection sqref="A1:B1"/>
    </sheetView>
  </sheetViews>
  <sheetFormatPr defaultRowHeight="10.5"/>
  <cols>
    <col min="1" max="1" width="16.83203125" style="143" customWidth="1"/>
    <col min="2" max="2" width="22.1640625" style="143" customWidth="1"/>
    <col min="3" max="3" width="17.5" style="143" customWidth="1"/>
    <col min="4" max="4" width="14.5" style="143" hidden="1" customWidth="1"/>
    <col min="5" max="5" width="12.33203125" style="143" bestFit="1" customWidth="1"/>
    <col min="6" max="6" width="14.33203125" style="143" customWidth="1"/>
    <col min="7" max="7" width="15" style="143" hidden="1" customWidth="1"/>
    <col min="8" max="8" width="10.83203125" style="143" customWidth="1"/>
    <col min="9" max="9" width="14.6640625" style="143" customWidth="1"/>
    <col min="10" max="10" width="31" style="143" customWidth="1"/>
  </cols>
  <sheetData>
    <row r="1" spans="1:15" ht="15" customHeight="1">
      <c r="A1" s="1545" t="s">
        <v>424</v>
      </c>
      <c r="B1" s="1546"/>
      <c r="C1" s="226"/>
      <c r="D1" s="226"/>
      <c r="E1" s="226"/>
      <c r="F1" s="226"/>
      <c r="G1" s="226"/>
      <c r="H1" s="226"/>
      <c r="I1" s="226"/>
      <c r="J1" s="402"/>
      <c r="K1" s="8"/>
      <c r="L1" s="8"/>
      <c r="M1" s="8"/>
      <c r="N1" s="8"/>
      <c r="O1" s="8"/>
    </row>
    <row r="2" spans="1:15" s="81" customFormat="1" ht="39.75" customHeight="1">
      <c r="A2" s="379"/>
      <c r="B2" s="1339" t="s">
        <v>370</v>
      </c>
      <c r="C2" s="1339"/>
      <c r="D2" s="1339"/>
      <c r="E2" s="1340" t="s">
        <v>622</v>
      </c>
      <c r="F2" s="1340"/>
      <c r="G2" s="1340"/>
      <c r="H2" s="1341" t="s">
        <v>623</v>
      </c>
      <c r="I2" s="1403"/>
      <c r="J2" s="370" t="s">
        <v>631</v>
      </c>
      <c r="K2" s="138"/>
      <c r="L2" s="138"/>
      <c r="M2" s="138"/>
      <c r="N2" s="138"/>
      <c r="O2" s="138"/>
    </row>
    <row r="3" spans="1:15" s="81" customFormat="1" ht="10.5" customHeight="1">
      <c r="A3" s="419" t="s">
        <v>426</v>
      </c>
      <c r="B3" s="419"/>
      <c r="C3" s="419"/>
      <c r="D3" s="419"/>
      <c r="E3" s="1340"/>
      <c r="F3" s="1340"/>
      <c r="G3" s="1340"/>
      <c r="H3" s="1341"/>
      <c r="I3" s="1403"/>
      <c r="J3" s="370"/>
      <c r="K3" s="138"/>
      <c r="L3" s="138"/>
      <c r="M3" s="138"/>
      <c r="N3" s="138"/>
      <c r="O3" s="138"/>
    </row>
    <row r="4" spans="1:15" s="81" customFormat="1" ht="10.5" customHeight="1">
      <c r="A4" s="419"/>
      <c r="B4" s="419"/>
      <c r="C4" s="419"/>
      <c r="D4" s="419"/>
      <c r="E4" s="1340"/>
      <c r="F4" s="1340"/>
      <c r="G4" s="1340"/>
      <c r="H4" s="1341"/>
      <c r="I4" s="1403"/>
      <c r="J4" s="370"/>
      <c r="K4" s="138"/>
      <c r="L4" s="138"/>
      <c r="M4" s="138"/>
      <c r="N4" s="138"/>
      <c r="O4" s="138"/>
    </row>
    <row r="5" spans="1:15" s="81" customFormat="1" ht="12" customHeight="1">
      <c r="A5" s="1313" t="s">
        <v>1330</v>
      </c>
      <c r="B5" s="1313"/>
      <c r="C5" s="386"/>
      <c r="D5" s="275" t="s">
        <v>624</v>
      </c>
      <c r="E5" s="1238"/>
      <c r="F5" s="1238"/>
      <c r="G5" s="1238"/>
      <c r="H5" s="1341" t="s">
        <v>625</v>
      </c>
      <c r="I5" s="1403"/>
      <c r="J5" s="370"/>
      <c r="K5" s="138"/>
      <c r="L5" s="138"/>
      <c r="M5" s="138"/>
      <c r="N5" s="138"/>
      <c r="O5" s="138"/>
    </row>
    <row r="6" spans="1:15" ht="69.75" customHeight="1">
      <c r="A6" s="1313"/>
      <c r="B6" s="1313"/>
      <c r="C6" s="390"/>
      <c r="D6" s="237"/>
      <c r="E6" s="1240"/>
      <c r="F6" s="1542"/>
      <c r="G6" s="1542"/>
      <c r="H6" s="1341"/>
      <c r="I6" s="1403"/>
      <c r="J6" s="370"/>
      <c r="K6" s="8"/>
      <c r="L6" s="8"/>
      <c r="M6" s="8"/>
      <c r="N6" s="8"/>
      <c r="O6" s="8"/>
    </row>
    <row r="7" spans="1:15" ht="21" customHeight="1">
      <c r="A7" s="375" t="s">
        <v>653</v>
      </c>
      <c r="B7" s="330" t="s">
        <v>428</v>
      </c>
      <c r="C7" s="1311" t="s">
        <v>429</v>
      </c>
      <c r="D7" s="1317" t="s">
        <v>620</v>
      </c>
      <c r="E7" s="1318" t="s">
        <v>432</v>
      </c>
      <c r="F7" s="1316" t="s">
        <v>430</v>
      </c>
      <c r="G7" s="1317" t="s">
        <v>621</v>
      </c>
      <c r="H7" s="1328" t="s">
        <v>431</v>
      </c>
      <c r="I7" s="1404"/>
      <c r="J7" s="369" t="s">
        <v>627</v>
      </c>
      <c r="K7" s="8"/>
      <c r="L7" s="8"/>
      <c r="M7" s="8"/>
      <c r="N7" s="8"/>
      <c r="O7" s="8"/>
    </row>
    <row r="8" spans="1:15" ht="21" customHeight="1">
      <c r="A8" s="367"/>
      <c r="B8" s="99"/>
      <c r="C8" s="1311"/>
      <c r="D8" s="1317"/>
      <c r="E8" s="1318"/>
      <c r="F8" s="1316"/>
      <c r="G8" s="1317"/>
      <c r="H8" s="1328"/>
      <c r="I8" s="1404"/>
      <c r="J8" s="369"/>
      <c r="K8" s="8"/>
      <c r="L8" s="8"/>
      <c r="M8" s="8"/>
      <c r="N8" s="8"/>
      <c r="O8" s="8"/>
    </row>
    <row r="9" spans="1:15">
      <c r="A9" s="154"/>
      <c r="B9" s="1434" t="s">
        <v>492</v>
      </c>
      <c r="C9" s="1314"/>
      <c r="D9" s="1314"/>
      <c r="E9" s="1314"/>
      <c r="F9" s="1314"/>
      <c r="G9" s="1314"/>
      <c r="H9" s="374"/>
      <c r="I9" s="201"/>
      <c r="J9" s="152"/>
    </row>
    <row r="10" spans="1:15">
      <c r="A10" s="372"/>
      <c r="B10" s="1434" t="s">
        <v>494</v>
      </c>
      <c r="C10" s="1314"/>
      <c r="D10" s="1314"/>
      <c r="E10" s="1314"/>
      <c r="F10" s="1314"/>
      <c r="G10" s="1314"/>
      <c r="H10" s="374"/>
      <c r="I10" s="201"/>
      <c r="J10" s="152"/>
    </row>
    <row r="11" spans="1:15" ht="21">
      <c r="A11" s="61" t="s">
        <v>1955</v>
      </c>
      <c r="B11" s="160" t="s">
        <v>498</v>
      </c>
      <c r="C11" s="177" t="s">
        <v>628</v>
      </c>
      <c r="D11" s="180">
        <v>1415</v>
      </c>
      <c r="E11" s="304">
        <f>SUM(D11*1.1)</f>
        <v>1556.5000000000002</v>
      </c>
      <c r="F11" s="201" t="s">
        <v>539</v>
      </c>
      <c r="G11" s="201" t="s">
        <v>539</v>
      </c>
      <c r="H11" s="1428" t="s">
        <v>542</v>
      </c>
      <c r="I11" s="1428"/>
      <c r="J11" s="154"/>
    </row>
    <row r="12" spans="1:15" ht="21">
      <c r="A12" s="61" t="s">
        <v>1956</v>
      </c>
      <c r="B12" s="160" t="s">
        <v>499</v>
      </c>
      <c r="C12" s="177" t="s">
        <v>628</v>
      </c>
      <c r="D12" s="180">
        <v>800</v>
      </c>
      <c r="E12" s="304">
        <f t="shared" ref="E12:E15" si="0">SUM(D12*1.1)</f>
        <v>880.00000000000011</v>
      </c>
      <c r="F12" s="201" t="s">
        <v>539</v>
      </c>
      <c r="G12" s="201" t="s">
        <v>539</v>
      </c>
      <c r="H12" s="1428" t="s">
        <v>542</v>
      </c>
      <c r="I12" s="1428"/>
      <c r="J12" s="154"/>
    </row>
    <row r="13" spans="1:15" ht="21">
      <c r="A13" s="61" t="s">
        <v>1957</v>
      </c>
      <c r="B13" s="160" t="s">
        <v>495</v>
      </c>
      <c r="C13" s="177" t="s">
        <v>628</v>
      </c>
      <c r="D13" s="180">
        <v>45</v>
      </c>
      <c r="E13" s="304">
        <f t="shared" si="0"/>
        <v>49.500000000000007</v>
      </c>
      <c r="F13" s="241" t="s">
        <v>783</v>
      </c>
      <c r="G13" s="241" t="s">
        <v>783</v>
      </c>
      <c r="H13" s="1428" t="s">
        <v>543</v>
      </c>
      <c r="I13" s="1428"/>
      <c r="J13" s="154"/>
    </row>
    <row r="14" spans="1:15" ht="21">
      <c r="A14" s="61" t="s">
        <v>1958</v>
      </c>
      <c r="B14" s="160" t="s">
        <v>496</v>
      </c>
      <c r="C14" s="177" t="s">
        <v>628</v>
      </c>
      <c r="D14" s="180">
        <v>110</v>
      </c>
      <c r="E14" s="304">
        <f t="shared" si="0"/>
        <v>121.00000000000001</v>
      </c>
      <c r="F14" s="241" t="s">
        <v>783</v>
      </c>
      <c r="G14" s="241" t="s">
        <v>783</v>
      </c>
      <c r="H14" s="1428" t="s">
        <v>543</v>
      </c>
      <c r="I14" s="1428"/>
      <c r="J14" s="154"/>
    </row>
    <row r="15" spans="1:15">
      <c r="A15" s="61" t="s">
        <v>1959</v>
      </c>
      <c r="B15" s="160" t="s">
        <v>493</v>
      </c>
      <c r="C15" s="177" t="s">
        <v>628</v>
      </c>
      <c r="D15" s="180">
        <v>220</v>
      </c>
      <c r="E15" s="304">
        <f t="shared" si="0"/>
        <v>242.00000000000003</v>
      </c>
      <c r="F15" s="241" t="s">
        <v>783</v>
      </c>
      <c r="G15" s="241" t="s">
        <v>783</v>
      </c>
      <c r="H15" s="1428" t="s">
        <v>544</v>
      </c>
      <c r="I15" s="1428"/>
      <c r="J15" s="154"/>
    </row>
    <row r="16" spans="1:15">
      <c r="A16" s="154"/>
      <c r="B16" s="154"/>
      <c r="C16" s="373"/>
      <c r="D16" s="373"/>
      <c r="E16" s="201"/>
      <c r="F16" s="201"/>
      <c r="G16" s="201"/>
      <c r="H16" s="1428"/>
      <c r="I16" s="1428"/>
      <c r="J16" s="154"/>
    </row>
    <row r="17" spans="1:10">
      <c r="A17" s="154"/>
      <c r="B17" s="1434" t="s">
        <v>497</v>
      </c>
      <c r="C17" s="1314"/>
      <c r="D17" s="1314"/>
      <c r="E17" s="1314"/>
      <c r="F17" s="1314"/>
      <c r="G17" s="1314"/>
      <c r="H17" s="1428"/>
      <c r="I17" s="1428"/>
      <c r="J17" s="154"/>
    </row>
    <row r="18" spans="1:10" ht="21">
      <c r="A18" s="61" t="s">
        <v>1960</v>
      </c>
      <c r="B18" s="96" t="s">
        <v>500</v>
      </c>
      <c r="C18" s="177" t="s">
        <v>628</v>
      </c>
      <c r="D18" s="180">
        <v>2200</v>
      </c>
      <c r="E18" s="304">
        <f t="shared" ref="E18:E23" si="1">SUM(D18*1.1)</f>
        <v>2420</v>
      </c>
      <c r="F18" s="201" t="s">
        <v>539</v>
      </c>
      <c r="G18" s="201" t="s">
        <v>539</v>
      </c>
      <c r="H18" s="1428" t="s">
        <v>542</v>
      </c>
      <c r="I18" s="1428"/>
      <c r="J18" s="154"/>
    </row>
    <row r="19" spans="1:10" ht="21">
      <c r="A19" s="61" t="s">
        <v>1961</v>
      </c>
      <c r="B19" s="96" t="s">
        <v>501</v>
      </c>
      <c r="C19" s="177" t="s">
        <v>628</v>
      </c>
      <c r="D19" s="180">
        <v>1850</v>
      </c>
      <c r="E19" s="304">
        <f t="shared" si="1"/>
        <v>2035.0000000000002</v>
      </c>
      <c r="F19" s="201" t="s">
        <v>539</v>
      </c>
      <c r="G19" s="201" t="s">
        <v>539</v>
      </c>
      <c r="H19" s="1428" t="s">
        <v>542</v>
      </c>
      <c r="I19" s="1428"/>
      <c r="J19" s="154"/>
    </row>
    <row r="20" spans="1:10" ht="21">
      <c r="A20" s="61" t="s">
        <v>1962</v>
      </c>
      <c r="B20" s="96" t="s">
        <v>502</v>
      </c>
      <c r="C20" s="177" t="s">
        <v>628</v>
      </c>
      <c r="D20" s="180">
        <v>110</v>
      </c>
      <c r="E20" s="304">
        <f t="shared" si="1"/>
        <v>121.00000000000001</v>
      </c>
      <c r="F20" s="241" t="s">
        <v>783</v>
      </c>
      <c r="G20" s="241" t="s">
        <v>783</v>
      </c>
      <c r="H20" s="1428" t="s">
        <v>543</v>
      </c>
      <c r="I20" s="1428"/>
      <c r="J20" s="154"/>
    </row>
    <row r="21" spans="1:10" ht="21">
      <c r="A21" s="61" t="s">
        <v>1963</v>
      </c>
      <c r="B21" s="96" t="s">
        <v>503</v>
      </c>
      <c r="C21" s="177" t="s">
        <v>628</v>
      </c>
      <c r="D21" s="180">
        <v>135</v>
      </c>
      <c r="E21" s="304">
        <f t="shared" si="1"/>
        <v>148.5</v>
      </c>
      <c r="F21" s="241" t="s">
        <v>783</v>
      </c>
      <c r="G21" s="241" t="s">
        <v>783</v>
      </c>
      <c r="H21" s="1428" t="s">
        <v>543</v>
      </c>
      <c r="I21" s="1428"/>
      <c r="J21" s="154"/>
    </row>
    <row r="22" spans="1:10" ht="21">
      <c r="A22" s="61" t="s">
        <v>1964</v>
      </c>
      <c r="B22" s="96" t="s">
        <v>507</v>
      </c>
      <c r="C22" s="177" t="s">
        <v>628</v>
      </c>
      <c r="D22" s="180">
        <v>45</v>
      </c>
      <c r="E22" s="304">
        <f t="shared" si="1"/>
        <v>49.500000000000007</v>
      </c>
      <c r="F22" s="241" t="s">
        <v>783</v>
      </c>
      <c r="G22" s="241" t="s">
        <v>783</v>
      </c>
      <c r="H22" s="1428" t="s">
        <v>543</v>
      </c>
      <c r="I22" s="1428"/>
      <c r="J22" s="154"/>
    </row>
    <row r="23" spans="1:10">
      <c r="A23" s="61" t="s">
        <v>1965</v>
      </c>
      <c r="B23" s="96" t="s">
        <v>504</v>
      </c>
      <c r="C23" s="177" t="s">
        <v>628</v>
      </c>
      <c r="D23" s="180">
        <v>220</v>
      </c>
      <c r="E23" s="304">
        <f t="shared" si="1"/>
        <v>242.00000000000003</v>
      </c>
      <c r="F23" s="241" t="s">
        <v>783</v>
      </c>
      <c r="G23" s="241" t="s">
        <v>783</v>
      </c>
      <c r="H23" s="1428" t="s">
        <v>544</v>
      </c>
      <c r="I23" s="1428"/>
      <c r="J23" s="154"/>
    </row>
    <row r="24" spans="1:10">
      <c r="A24" s="154"/>
      <c r="B24" s="210"/>
      <c r="C24" s="373"/>
      <c r="D24" s="373"/>
      <c r="E24" s="201"/>
      <c r="F24" s="201"/>
      <c r="G24" s="201"/>
      <c r="H24" s="1428"/>
      <c r="I24" s="1428"/>
      <c r="J24" s="154"/>
    </row>
    <row r="25" spans="1:10">
      <c r="A25" s="154"/>
      <c r="B25" s="1434" t="s">
        <v>505</v>
      </c>
      <c r="C25" s="1314"/>
      <c r="D25" s="1314"/>
      <c r="E25" s="1314"/>
      <c r="F25" s="1314"/>
      <c r="G25" s="1314"/>
      <c r="H25" s="1428"/>
      <c r="I25" s="1428"/>
      <c r="J25" s="154"/>
    </row>
    <row r="26" spans="1:10" ht="21">
      <c r="A26" s="61" t="s">
        <v>1966</v>
      </c>
      <c r="B26" s="374" t="s">
        <v>506</v>
      </c>
      <c r="C26" s="177" t="s">
        <v>628</v>
      </c>
      <c r="D26" s="180">
        <v>4725</v>
      </c>
      <c r="E26" s="304">
        <f t="shared" ref="E26:E33" si="2">SUM(D26*1.1)</f>
        <v>5197.5</v>
      </c>
      <c r="F26" s="201" t="s">
        <v>539</v>
      </c>
      <c r="G26" s="201" t="s">
        <v>539</v>
      </c>
      <c r="H26" s="1428" t="s">
        <v>542</v>
      </c>
      <c r="I26" s="1428"/>
      <c r="J26" s="154"/>
    </row>
    <row r="27" spans="1:10" ht="21">
      <c r="A27" s="61" t="s">
        <v>1967</v>
      </c>
      <c r="B27" s="374" t="s">
        <v>508</v>
      </c>
      <c r="C27" s="177" t="s">
        <v>628</v>
      </c>
      <c r="D27" s="180">
        <v>4190</v>
      </c>
      <c r="E27" s="304">
        <f t="shared" si="2"/>
        <v>4609</v>
      </c>
      <c r="F27" s="201" t="s">
        <v>539</v>
      </c>
      <c r="G27" s="201" t="s">
        <v>539</v>
      </c>
      <c r="H27" s="1428" t="s">
        <v>542</v>
      </c>
      <c r="I27" s="1428"/>
      <c r="J27" s="154"/>
    </row>
    <row r="28" spans="1:10" ht="21">
      <c r="A28" s="61" t="s">
        <v>1968</v>
      </c>
      <c r="B28" s="374" t="s">
        <v>509</v>
      </c>
      <c r="C28" s="177" t="s">
        <v>628</v>
      </c>
      <c r="D28" s="180">
        <v>360</v>
      </c>
      <c r="E28" s="304">
        <f t="shared" si="2"/>
        <v>396.00000000000006</v>
      </c>
      <c r="F28" s="241" t="s">
        <v>783</v>
      </c>
      <c r="G28" s="241" t="s">
        <v>783</v>
      </c>
      <c r="H28" s="1428" t="s">
        <v>543</v>
      </c>
      <c r="I28" s="1428"/>
      <c r="J28" s="154"/>
    </row>
    <row r="29" spans="1:10" ht="21">
      <c r="A29" s="61" t="s">
        <v>1972</v>
      </c>
      <c r="B29" s="374" t="s">
        <v>510</v>
      </c>
      <c r="C29" s="177" t="s">
        <v>628</v>
      </c>
      <c r="D29" s="180">
        <v>135</v>
      </c>
      <c r="E29" s="304">
        <f t="shared" si="2"/>
        <v>148.5</v>
      </c>
      <c r="F29" s="241" t="s">
        <v>783</v>
      </c>
      <c r="G29" s="241" t="s">
        <v>783</v>
      </c>
      <c r="H29" s="1428" t="s">
        <v>543</v>
      </c>
      <c r="I29" s="1428"/>
      <c r="J29" s="154"/>
    </row>
    <row r="30" spans="1:10" ht="21">
      <c r="A30" s="61" t="s">
        <v>1969</v>
      </c>
      <c r="B30" s="374" t="s">
        <v>512</v>
      </c>
      <c r="C30" s="177" t="s">
        <v>628</v>
      </c>
      <c r="D30" s="180">
        <v>110</v>
      </c>
      <c r="E30" s="304">
        <f t="shared" si="2"/>
        <v>121.00000000000001</v>
      </c>
      <c r="F30" s="241" t="s">
        <v>783</v>
      </c>
      <c r="G30" s="241" t="s">
        <v>783</v>
      </c>
      <c r="H30" s="1428" t="s">
        <v>543</v>
      </c>
      <c r="I30" s="1428"/>
      <c r="J30" s="154"/>
    </row>
    <row r="31" spans="1:10" ht="21">
      <c r="A31" s="61" t="s">
        <v>1970</v>
      </c>
      <c r="B31" s="374" t="s">
        <v>514</v>
      </c>
      <c r="C31" s="177" t="s">
        <v>628</v>
      </c>
      <c r="D31" s="180">
        <v>45</v>
      </c>
      <c r="E31" s="304">
        <f t="shared" si="2"/>
        <v>49.500000000000007</v>
      </c>
      <c r="F31" s="241" t="s">
        <v>783</v>
      </c>
      <c r="G31" s="241" t="s">
        <v>783</v>
      </c>
      <c r="H31" s="1428" t="s">
        <v>543</v>
      </c>
      <c r="I31" s="1428"/>
      <c r="J31" s="154"/>
    </row>
    <row r="32" spans="1:10">
      <c r="A32" s="61" t="s">
        <v>1971</v>
      </c>
      <c r="B32" s="374" t="s">
        <v>516</v>
      </c>
      <c r="C32" s="177" t="s">
        <v>628</v>
      </c>
      <c r="D32" s="180">
        <v>220</v>
      </c>
      <c r="E32" s="304">
        <f t="shared" si="2"/>
        <v>242.00000000000003</v>
      </c>
      <c r="F32" s="241" t="s">
        <v>783</v>
      </c>
      <c r="G32" s="241" t="s">
        <v>783</v>
      </c>
      <c r="H32" s="1428" t="s">
        <v>544</v>
      </c>
      <c r="I32" s="1428"/>
      <c r="J32" s="154"/>
    </row>
    <row r="33" spans="1:10" s="8" customFormat="1" ht="31.5">
      <c r="A33" s="61" t="s">
        <v>1973</v>
      </c>
      <c r="B33" s="1234" t="s">
        <v>513</v>
      </c>
      <c r="C33" s="1237" t="s">
        <v>628</v>
      </c>
      <c r="D33" s="180">
        <v>550</v>
      </c>
      <c r="E33" s="304">
        <f t="shared" si="2"/>
        <v>605</v>
      </c>
      <c r="F33" s="241" t="s">
        <v>783</v>
      </c>
      <c r="G33" s="241" t="s">
        <v>783</v>
      </c>
      <c r="H33" s="1428" t="s">
        <v>543</v>
      </c>
      <c r="I33" s="1428"/>
      <c r="J33" s="818"/>
    </row>
    <row r="34" spans="1:10">
      <c r="A34" s="194"/>
      <c r="B34" s="210"/>
      <c r="C34" s="373"/>
      <c r="D34" s="373"/>
      <c r="E34" s="201"/>
      <c r="F34" s="201"/>
      <c r="G34" s="201"/>
      <c r="H34" s="1435"/>
      <c r="I34" s="1435"/>
      <c r="J34" s="154"/>
    </row>
    <row r="36" spans="1:10" s="18" customFormat="1">
      <c r="A36" s="151" t="s">
        <v>632</v>
      </c>
      <c r="B36" s="142"/>
      <c r="C36" s="143"/>
      <c r="D36" s="143"/>
      <c r="E36" s="143"/>
      <c r="F36" s="143"/>
      <c r="G36" s="143"/>
      <c r="H36" s="143"/>
      <c r="I36" s="143"/>
      <c r="J36" s="143"/>
    </row>
    <row r="37" spans="1:10" s="18" customFormat="1">
      <c r="A37" s="499"/>
      <c r="B37" s="431"/>
      <c r="C37" s="143"/>
      <c r="D37" s="143"/>
      <c r="E37" s="143"/>
      <c r="F37" s="143"/>
      <c r="G37" s="143"/>
      <c r="H37" s="143"/>
      <c r="I37" s="143"/>
      <c r="J37" s="143"/>
    </row>
    <row r="38" spans="1:10" s="18" customFormat="1">
      <c r="A38" s="188"/>
      <c r="B38" s="144"/>
      <c r="C38" s="143"/>
      <c r="D38" s="143"/>
      <c r="E38" s="143"/>
      <c r="F38" s="143"/>
      <c r="G38" s="143"/>
      <c r="H38" s="143"/>
      <c r="I38" s="143"/>
      <c r="J38" s="143"/>
    </row>
    <row r="39" spans="1:10" s="18" customFormat="1">
      <c r="A39" s="145"/>
      <c r="B39" s="146"/>
      <c r="C39" s="143"/>
      <c r="D39" s="143"/>
      <c r="E39" s="143"/>
      <c r="F39" s="143"/>
      <c r="G39" s="143"/>
      <c r="H39" s="143"/>
      <c r="I39" s="143"/>
      <c r="J39" s="143"/>
    </row>
    <row r="40" spans="1:10" s="18" customFormat="1">
      <c r="A40" s="145"/>
      <c r="B40" s="146"/>
      <c r="C40" s="143"/>
      <c r="D40" s="143"/>
      <c r="E40" s="143"/>
      <c r="F40" s="143"/>
      <c r="G40" s="143"/>
      <c r="H40" s="143"/>
      <c r="I40" s="143"/>
      <c r="J40" s="143"/>
    </row>
    <row r="41" spans="1:10" s="18" customFormat="1">
      <c r="A41" s="145"/>
      <c r="B41" s="146"/>
      <c r="C41" s="143"/>
      <c r="D41" s="143"/>
      <c r="E41" s="143"/>
      <c r="F41" s="143"/>
      <c r="G41" s="143"/>
      <c r="H41" s="143"/>
      <c r="I41" s="143"/>
      <c r="J41" s="143"/>
    </row>
    <row r="42" spans="1:10" s="18" customFormat="1">
      <c r="A42" s="143"/>
      <c r="B42" s="171"/>
      <c r="C42" s="143"/>
      <c r="D42" s="143"/>
      <c r="E42" s="143"/>
      <c r="F42" s="143"/>
      <c r="G42" s="143"/>
      <c r="H42" s="143"/>
      <c r="I42" s="143"/>
      <c r="J42" s="143"/>
    </row>
    <row r="43" spans="1:10" s="18" customFormat="1">
      <c r="A43" s="143"/>
      <c r="B43" s="143"/>
      <c r="C43" s="143"/>
      <c r="D43" s="143"/>
      <c r="E43" s="143"/>
      <c r="F43" s="143"/>
      <c r="G43" s="143"/>
      <c r="H43" s="143"/>
      <c r="I43" s="143"/>
      <c r="J43" s="143"/>
    </row>
    <row r="44" spans="1:10" s="18" customFormat="1">
      <c r="A44" s="143"/>
      <c r="B44" s="143"/>
      <c r="C44" s="143"/>
      <c r="D44" s="143"/>
      <c r="E44" s="143"/>
      <c r="F44" s="143"/>
      <c r="G44" s="143"/>
      <c r="H44" s="143"/>
      <c r="I44" s="143"/>
      <c r="J44" s="143"/>
    </row>
    <row r="45" spans="1:10" s="18" customFormat="1">
      <c r="A45" s="143"/>
      <c r="B45" s="143"/>
      <c r="C45" s="143"/>
      <c r="D45" s="143"/>
      <c r="E45" s="143"/>
      <c r="F45" s="143"/>
      <c r="G45" s="143"/>
      <c r="H45" s="143"/>
      <c r="I45" s="143"/>
      <c r="J45" s="143"/>
    </row>
    <row r="46" spans="1:10" s="18" customFormat="1">
      <c r="A46" s="143"/>
      <c r="B46" s="143"/>
      <c r="C46" s="143"/>
      <c r="D46" s="143"/>
      <c r="E46" s="143"/>
      <c r="F46" s="143"/>
      <c r="G46" s="143"/>
      <c r="H46" s="143"/>
      <c r="I46" s="143"/>
      <c r="J46" s="143"/>
    </row>
    <row r="47" spans="1:10" s="18" customFormat="1">
      <c r="A47" s="143"/>
      <c r="B47" s="143"/>
      <c r="C47" s="143"/>
      <c r="D47" s="143"/>
      <c r="E47" s="143"/>
      <c r="F47" s="143"/>
      <c r="G47" s="143"/>
      <c r="H47" s="143"/>
      <c r="I47" s="143"/>
      <c r="J47" s="143"/>
    </row>
    <row r="48" spans="1:10" s="18" customFormat="1">
      <c r="A48" s="143"/>
      <c r="B48" s="143"/>
      <c r="C48" s="143"/>
      <c r="D48" s="143"/>
      <c r="E48" s="143"/>
      <c r="F48" s="143"/>
      <c r="G48" s="143"/>
      <c r="H48" s="143"/>
      <c r="I48" s="143"/>
      <c r="J48" s="143"/>
    </row>
    <row r="49" spans="1:10" s="18" customFormat="1">
      <c r="A49" s="143"/>
      <c r="B49" s="143"/>
      <c r="C49" s="143"/>
      <c r="D49" s="143"/>
      <c r="E49" s="143"/>
      <c r="F49" s="143"/>
      <c r="G49" s="143"/>
      <c r="H49" s="143"/>
      <c r="I49" s="143"/>
      <c r="J49" s="143"/>
    </row>
    <row r="50" spans="1:10" s="18" customFormat="1">
      <c r="A50" s="143"/>
      <c r="B50" s="143"/>
      <c r="C50" s="143"/>
      <c r="D50" s="143"/>
      <c r="E50" s="143"/>
      <c r="F50" s="143"/>
      <c r="G50" s="143"/>
      <c r="H50" s="143"/>
      <c r="I50" s="143"/>
      <c r="J50" s="143"/>
    </row>
    <row r="51" spans="1:10" s="18" customFormat="1">
      <c r="A51" s="143"/>
      <c r="B51" s="143"/>
      <c r="C51" s="143"/>
      <c r="D51" s="143"/>
      <c r="E51" s="143"/>
      <c r="F51" s="143"/>
      <c r="G51" s="143"/>
      <c r="H51" s="143"/>
      <c r="I51" s="143"/>
      <c r="J51" s="143"/>
    </row>
    <row r="52" spans="1:10" s="18" customFormat="1">
      <c r="A52" s="143"/>
      <c r="B52" s="143"/>
      <c r="C52" s="143"/>
      <c r="D52" s="143"/>
      <c r="E52" s="143"/>
      <c r="F52" s="143"/>
      <c r="G52" s="143"/>
      <c r="H52" s="143"/>
      <c r="I52" s="143"/>
      <c r="J52" s="143"/>
    </row>
    <row r="53" spans="1:10" s="18" customFormat="1">
      <c r="A53" s="143"/>
      <c r="B53" s="143"/>
      <c r="C53" s="143"/>
      <c r="D53" s="143"/>
      <c r="E53" s="143"/>
      <c r="F53" s="143"/>
      <c r="G53" s="143"/>
      <c r="H53" s="143"/>
      <c r="I53" s="143"/>
      <c r="J53" s="143"/>
    </row>
    <row r="54" spans="1:10" s="18" customFormat="1">
      <c r="A54" s="143"/>
      <c r="B54" s="143"/>
      <c r="C54" s="143"/>
      <c r="D54" s="143"/>
      <c r="E54" s="143"/>
      <c r="F54" s="143"/>
      <c r="G54" s="143"/>
      <c r="H54" s="143"/>
      <c r="I54" s="143"/>
      <c r="J54" s="143"/>
    </row>
    <row r="55" spans="1:10" s="18" customFormat="1">
      <c r="A55" s="143"/>
      <c r="B55" s="143"/>
      <c r="C55" s="143"/>
      <c r="D55" s="143"/>
      <c r="E55" s="143"/>
      <c r="F55" s="143"/>
      <c r="G55" s="143"/>
      <c r="H55" s="143"/>
      <c r="I55" s="143"/>
      <c r="J55" s="143"/>
    </row>
    <row r="56" spans="1:10" s="18" customFormat="1">
      <c r="A56" s="143"/>
      <c r="B56" s="143"/>
      <c r="C56" s="143"/>
      <c r="D56" s="143"/>
      <c r="E56" s="143"/>
      <c r="F56" s="143"/>
      <c r="G56" s="143"/>
      <c r="H56" s="143"/>
      <c r="I56" s="143"/>
      <c r="J56" s="143"/>
    </row>
    <row r="57" spans="1:10" s="18" customFormat="1">
      <c r="A57" s="143"/>
      <c r="B57" s="143"/>
      <c r="C57" s="143"/>
      <c r="D57" s="143"/>
      <c r="E57" s="143"/>
      <c r="F57" s="143"/>
      <c r="G57" s="143"/>
      <c r="H57" s="143"/>
      <c r="I57" s="143"/>
      <c r="J57" s="143"/>
    </row>
    <row r="58" spans="1:10" s="18" customFormat="1">
      <c r="A58" s="143"/>
      <c r="B58" s="143"/>
      <c r="C58" s="143"/>
      <c r="D58" s="143"/>
      <c r="E58" s="143"/>
      <c r="F58" s="143"/>
      <c r="G58" s="143"/>
      <c r="H58" s="143"/>
      <c r="I58" s="143"/>
      <c r="J58" s="143"/>
    </row>
    <row r="59" spans="1:10" s="18" customFormat="1">
      <c r="A59" s="143"/>
      <c r="B59" s="143"/>
      <c r="C59" s="143"/>
      <c r="D59" s="143"/>
      <c r="E59" s="143"/>
      <c r="F59" s="143"/>
      <c r="G59" s="143"/>
      <c r="H59" s="143"/>
      <c r="I59" s="143"/>
      <c r="J59" s="143"/>
    </row>
    <row r="60" spans="1:10" s="18" customFormat="1">
      <c r="A60" s="143"/>
      <c r="B60" s="143"/>
      <c r="C60" s="143"/>
      <c r="D60" s="143"/>
      <c r="E60" s="143"/>
      <c r="F60" s="143"/>
      <c r="G60" s="143"/>
      <c r="H60" s="143"/>
      <c r="I60" s="143"/>
      <c r="J60" s="143"/>
    </row>
    <row r="61" spans="1:10" s="18" customFormat="1">
      <c r="A61" s="143"/>
      <c r="B61" s="143"/>
      <c r="C61" s="143"/>
      <c r="D61" s="143"/>
      <c r="E61" s="143"/>
      <c r="F61" s="143"/>
      <c r="G61" s="143"/>
      <c r="H61" s="143"/>
      <c r="I61" s="143"/>
      <c r="J61" s="143"/>
    </row>
    <row r="62" spans="1:10" s="18" customFormat="1">
      <c r="A62" s="143"/>
      <c r="B62" s="143"/>
      <c r="C62" s="143"/>
      <c r="D62" s="143"/>
      <c r="E62" s="143"/>
      <c r="F62" s="143"/>
      <c r="G62" s="143"/>
      <c r="H62" s="143"/>
      <c r="I62" s="143"/>
      <c r="J62" s="143"/>
    </row>
    <row r="63" spans="1:10" s="18" customFormat="1">
      <c r="A63" s="143"/>
      <c r="B63" s="143"/>
      <c r="C63" s="143"/>
      <c r="D63" s="143"/>
      <c r="E63" s="143"/>
      <c r="F63" s="143"/>
      <c r="G63" s="143"/>
      <c r="H63" s="143"/>
      <c r="I63" s="143"/>
      <c r="J63" s="143"/>
    </row>
    <row r="64" spans="1:10" s="18" customFormat="1">
      <c r="A64" s="143"/>
      <c r="B64" s="143"/>
      <c r="C64" s="143"/>
      <c r="D64" s="143"/>
      <c r="E64" s="143"/>
      <c r="F64" s="143"/>
      <c r="G64" s="143"/>
      <c r="H64" s="143"/>
      <c r="I64" s="143"/>
      <c r="J64" s="143"/>
    </row>
    <row r="65" spans="1:10" s="18" customFormat="1">
      <c r="A65" s="143"/>
      <c r="B65" s="143"/>
      <c r="C65" s="143"/>
      <c r="D65" s="143"/>
      <c r="E65" s="143"/>
      <c r="F65" s="143"/>
      <c r="G65" s="143"/>
      <c r="H65" s="143"/>
      <c r="I65" s="143"/>
      <c r="J65" s="143"/>
    </row>
    <row r="66" spans="1:10" s="18" customFormat="1">
      <c r="A66" s="143"/>
      <c r="B66" s="143"/>
      <c r="C66" s="143"/>
      <c r="D66" s="143"/>
      <c r="E66" s="143"/>
      <c r="F66" s="143"/>
      <c r="G66" s="143"/>
      <c r="H66" s="143"/>
      <c r="I66" s="143"/>
      <c r="J66" s="143"/>
    </row>
    <row r="67" spans="1:10" s="18" customFormat="1">
      <c r="A67" s="143"/>
      <c r="B67" s="143"/>
      <c r="C67" s="143"/>
      <c r="D67" s="143"/>
      <c r="E67" s="143"/>
      <c r="F67" s="143"/>
      <c r="G67" s="143"/>
      <c r="H67" s="143"/>
      <c r="I67" s="143"/>
      <c r="J67" s="143"/>
    </row>
    <row r="68" spans="1:10" s="18" customFormat="1">
      <c r="A68" s="143"/>
      <c r="B68" s="143"/>
      <c r="C68" s="143"/>
      <c r="D68" s="143"/>
      <c r="E68" s="143"/>
      <c r="F68" s="143"/>
      <c r="G68" s="143"/>
      <c r="H68" s="143"/>
      <c r="I68" s="143"/>
      <c r="J68" s="143"/>
    </row>
    <row r="69" spans="1:10" s="18" customFormat="1">
      <c r="A69" s="143"/>
      <c r="B69" s="143"/>
      <c r="C69" s="143"/>
      <c r="D69" s="143"/>
      <c r="E69" s="143"/>
      <c r="F69" s="143"/>
      <c r="G69" s="143"/>
      <c r="H69" s="143"/>
      <c r="I69" s="143"/>
      <c r="J69" s="143"/>
    </row>
    <row r="70" spans="1:10" s="18" customFormat="1">
      <c r="A70" s="143"/>
      <c r="B70" s="143"/>
      <c r="C70" s="143"/>
      <c r="D70" s="143"/>
      <c r="E70" s="143"/>
      <c r="F70" s="143"/>
      <c r="G70" s="143"/>
      <c r="H70" s="143"/>
      <c r="I70" s="143"/>
      <c r="J70" s="143"/>
    </row>
    <row r="71" spans="1:10" s="18" customFormat="1">
      <c r="A71" s="143"/>
      <c r="B71" s="143"/>
      <c r="C71" s="143"/>
      <c r="D71" s="143"/>
      <c r="E71" s="143"/>
      <c r="F71" s="143"/>
      <c r="G71" s="143"/>
      <c r="H71" s="143"/>
      <c r="I71" s="143"/>
      <c r="J71" s="143"/>
    </row>
    <row r="72" spans="1:10" s="18" customFormat="1">
      <c r="A72" s="143"/>
      <c r="B72" s="143"/>
      <c r="C72" s="143"/>
      <c r="D72" s="143"/>
      <c r="E72" s="143"/>
      <c r="F72" s="143"/>
      <c r="G72" s="143"/>
      <c r="H72" s="143"/>
      <c r="I72" s="143"/>
      <c r="J72" s="143"/>
    </row>
    <row r="73" spans="1:10" s="18" customFormat="1">
      <c r="A73" s="143"/>
      <c r="B73" s="143"/>
      <c r="C73" s="143"/>
      <c r="D73" s="143"/>
      <c r="E73" s="143"/>
      <c r="F73" s="143"/>
      <c r="G73" s="143"/>
      <c r="H73" s="143"/>
      <c r="I73" s="143"/>
      <c r="J73" s="143"/>
    </row>
    <row r="74" spans="1:10" s="18" customFormat="1">
      <c r="A74" s="143"/>
      <c r="B74" s="143"/>
      <c r="C74" s="143"/>
      <c r="D74" s="143"/>
      <c r="E74" s="143"/>
      <c r="F74" s="143"/>
      <c r="G74" s="143"/>
      <c r="H74" s="143"/>
      <c r="I74" s="143"/>
      <c r="J74" s="143"/>
    </row>
  </sheetData>
  <mergeCells count="41">
    <mergeCell ref="A1:B1"/>
    <mergeCell ref="B9:G9"/>
    <mergeCell ref="H15:I15"/>
    <mergeCell ref="H13:I13"/>
    <mergeCell ref="H25:I25"/>
    <mergeCell ref="B17:G17"/>
    <mergeCell ref="H14:I14"/>
    <mergeCell ref="B25:G25"/>
    <mergeCell ref="H23:I23"/>
    <mergeCell ref="H24:I24"/>
    <mergeCell ref="H19:I19"/>
    <mergeCell ref="H18:I18"/>
    <mergeCell ref="H22:I22"/>
    <mergeCell ref="H21:I21"/>
    <mergeCell ref="H20:I20"/>
    <mergeCell ref="H11:I11"/>
    <mergeCell ref="H16:I16"/>
    <mergeCell ref="H17:I17"/>
    <mergeCell ref="H12:I12"/>
    <mergeCell ref="B10:G10"/>
    <mergeCell ref="H34:I34"/>
    <mergeCell ref="H30:I30"/>
    <mergeCell ref="H26:I26"/>
    <mergeCell ref="H27:I27"/>
    <mergeCell ref="H33:I33"/>
    <mergeCell ref="H32:I32"/>
    <mergeCell ref="H31:I31"/>
    <mergeCell ref="H28:I28"/>
    <mergeCell ref="H29:I29"/>
    <mergeCell ref="B2:D2"/>
    <mergeCell ref="E2:G4"/>
    <mergeCell ref="H2:I4"/>
    <mergeCell ref="F7:F8"/>
    <mergeCell ref="A5:B6"/>
    <mergeCell ref="H5:I6"/>
    <mergeCell ref="H7:I8"/>
    <mergeCell ref="F6:G6"/>
    <mergeCell ref="D7:D8"/>
    <mergeCell ref="C7:C8"/>
    <mergeCell ref="E7:E8"/>
    <mergeCell ref="G7:G8"/>
  </mergeCells>
  <phoneticPr fontId="0" type="noConversion"/>
  <printOptions horizontalCentered="1" gridLines="1"/>
  <pageMargins left="0.75" right="0.75" top="1" bottom="1" header="0.5" footer="0.5"/>
  <pageSetup scale="70" fitToHeight="28" orientation="landscape" r:id="rId1"/>
  <headerFooter alignWithMargins="0">
    <oddHeader>&amp;L&amp;F&amp;C&amp;"Tahoma,Bold"&amp;11&amp;A&amp;R&amp;G</oddHeader>
    <oddFooter>&amp;C&amp;"Tahoma,Italic"Use or disclosure of the data on this page or screen is subject to the restrictions on the title page or opening view screen of this proposal document or file.&amp;R&amp;P of &amp;N</oddFooter>
  </headerFooter>
  <legacyDrawingHF r:id="rId2"/>
</worksheet>
</file>

<file path=xl/worksheets/sheet32.xml><?xml version="1.0" encoding="utf-8"?>
<worksheet xmlns="http://schemas.openxmlformats.org/spreadsheetml/2006/main" xmlns:r="http://schemas.openxmlformats.org/officeDocument/2006/relationships">
  <dimension ref="A1:N34"/>
  <sheetViews>
    <sheetView zoomScaleNormal="100" workbookViewId="0">
      <selection sqref="A1:B1"/>
    </sheetView>
  </sheetViews>
  <sheetFormatPr defaultRowHeight="10.5"/>
  <cols>
    <col min="1" max="1" width="12" customWidth="1"/>
    <col min="2" max="2" width="36.83203125" customWidth="1"/>
    <col min="3" max="3" width="22.1640625" customWidth="1"/>
    <col min="4" max="4" width="15.5" hidden="1" customWidth="1"/>
    <col min="5" max="5" width="13.1640625" customWidth="1"/>
    <col min="6" max="6" width="10.5" customWidth="1"/>
    <col min="7" max="7" width="15.1640625" hidden="1" customWidth="1"/>
    <col min="8" max="8" width="48.33203125" customWidth="1"/>
    <col min="9" max="9" width="33.33203125" customWidth="1"/>
  </cols>
  <sheetData>
    <row r="1" spans="1:14" ht="15" customHeight="1">
      <c r="A1" s="1545" t="s">
        <v>424</v>
      </c>
      <c r="B1" s="1546"/>
      <c r="C1" s="226"/>
      <c r="D1" s="226"/>
      <c r="E1" s="226"/>
      <c r="F1" s="226"/>
      <c r="G1" s="226"/>
      <c r="H1" s="226"/>
      <c r="I1" s="657"/>
      <c r="J1" s="133"/>
      <c r="K1" s="8"/>
      <c r="L1" s="8"/>
      <c r="M1" s="8"/>
      <c r="N1" s="8"/>
    </row>
    <row r="2" spans="1:14" s="81" customFormat="1" ht="39.75" customHeight="1">
      <c r="A2" s="379"/>
      <c r="B2" s="1339" t="s">
        <v>370</v>
      </c>
      <c r="C2" s="1339"/>
      <c r="D2" s="1339"/>
      <c r="E2" s="1340" t="s">
        <v>622</v>
      </c>
      <c r="F2" s="1340"/>
      <c r="G2" s="1340"/>
      <c r="H2" s="1403"/>
      <c r="I2" s="655" t="s">
        <v>631</v>
      </c>
      <c r="J2" s="138"/>
      <c r="K2" s="138"/>
      <c r="L2" s="138"/>
      <c r="M2" s="138"/>
      <c r="N2" s="138"/>
    </row>
    <row r="3" spans="1:14" s="81" customFormat="1" ht="10.5" customHeight="1">
      <c r="A3" s="419" t="s">
        <v>426</v>
      </c>
      <c r="B3" s="419"/>
      <c r="C3" s="419"/>
      <c r="D3" s="419"/>
      <c r="E3" s="1340"/>
      <c r="F3" s="1340"/>
      <c r="G3" s="1340"/>
      <c r="H3" s="1403"/>
      <c r="I3" s="655"/>
      <c r="J3" s="138"/>
      <c r="K3" s="138"/>
      <c r="L3" s="138"/>
      <c r="M3" s="138"/>
      <c r="N3" s="138"/>
    </row>
    <row r="4" spans="1:14" s="81" customFormat="1" ht="10.5" customHeight="1">
      <c r="A4" s="419"/>
      <c r="B4" s="419"/>
      <c r="C4" s="419"/>
      <c r="D4" s="419"/>
      <c r="E4" s="1340"/>
      <c r="F4" s="1340"/>
      <c r="G4" s="1340"/>
      <c r="H4" s="1403"/>
      <c r="I4" s="655"/>
      <c r="J4" s="138"/>
      <c r="K4" s="138"/>
      <c r="L4" s="138"/>
      <c r="M4" s="138"/>
      <c r="N4" s="138"/>
    </row>
    <row r="5" spans="1:14" s="81" customFormat="1" ht="12" customHeight="1">
      <c r="A5" s="1313" t="s">
        <v>1330</v>
      </c>
      <c r="B5" s="1313"/>
      <c r="C5" s="386"/>
      <c r="D5" s="656" t="s">
        <v>624</v>
      </c>
      <c r="E5" s="1238"/>
      <c r="F5" s="1238"/>
      <c r="G5" s="1238"/>
      <c r="H5" s="1403"/>
      <c r="I5" s="655"/>
      <c r="J5" s="138"/>
      <c r="K5" s="138"/>
      <c r="L5" s="138"/>
      <c r="M5" s="138"/>
      <c r="N5" s="138"/>
    </row>
    <row r="6" spans="1:14" ht="69.75" customHeight="1">
      <c r="A6" s="1313"/>
      <c r="B6" s="1313"/>
      <c r="C6" s="652"/>
      <c r="D6" s="237"/>
      <c r="E6" s="1240"/>
      <c r="F6" s="1542"/>
      <c r="G6" s="1542"/>
      <c r="H6" s="1403"/>
      <c r="I6" s="655"/>
      <c r="J6" s="133"/>
      <c r="K6" s="8"/>
      <c r="L6" s="8"/>
      <c r="M6" s="8"/>
      <c r="N6" s="8"/>
    </row>
    <row r="7" spans="1:14" ht="21" customHeight="1">
      <c r="A7" s="658" t="s">
        <v>653</v>
      </c>
      <c r="B7" s="330" t="s">
        <v>428</v>
      </c>
      <c r="C7" s="1311" t="s">
        <v>429</v>
      </c>
      <c r="D7" s="1317" t="s">
        <v>620</v>
      </c>
      <c r="E7" s="1318" t="s">
        <v>432</v>
      </c>
      <c r="F7" s="1316" t="s">
        <v>430</v>
      </c>
      <c r="G7" s="1317" t="s">
        <v>621</v>
      </c>
      <c r="H7" s="1404"/>
      <c r="I7" s="654" t="s">
        <v>627</v>
      </c>
      <c r="J7" s="133"/>
      <c r="K7" s="8"/>
      <c r="L7" s="8"/>
      <c r="M7" s="8"/>
      <c r="N7" s="8"/>
    </row>
    <row r="8" spans="1:14" ht="21" customHeight="1">
      <c r="A8" s="651"/>
      <c r="B8" s="99"/>
      <c r="C8" s="1311"/>
      <c r="D8" s="1317"/>
      <c r="E8" s="1318"/>
      <c r="F8" s="1316"/>
      <c r="G8" s="1317"/>
      <c r="H8" s="1404"/>
      <c r="I8" s="654"/>
      <c r="J8" s="133"/>
      <c r="K8" s="8"/>
      <c r="L8" s="8"/>
      <c r="M8" s="8"/>
      <c r="N8" s="8"/>
    </row>
    <row r="9" spans="1:14" s="193" customFormat="1">
      <c r="A9" s="653"/>
      <c r="B9" s="1420" t="s">
        <v>1615</v>
      </c>
      <c r="C9" s="1461"/>
      <c r="D9" s="1461"/>
      <c r="E9" s="1461"/>
      <c r="F9" s="1461"/>
      <c r="G9" s="1461"/>
      <c r="H9" s="281"/>
      <c r="I9" s="1435"/>
      <c r="J9" s="1435"/>
    </row>
    <row r="10" spans="1:14" s="193" customFormat="1" ht="52.5">
      <c r="A10" s="61" t="s">
        <v>2071</v>
      </c>
      <c r="B10" s="668" t="s">
        <v>1616</v>
      </c>
      <c r="C10" s="504" t="s">
        <v>1483</v>
      </c>
      <c r="D10" s="498" t="s">
        <v>277</v>
      </c>
      <c r="E10" s="498" t="s">
        <v>277</v>
      </c>
      <c r="F10" s="201">
        <f>SUM(G10*1.1)</f>
        <v>212.45400000000001</v>
      </c>
      <c r="G10" s="502">
        <v>193.14</v>
      </c>
      <c r="H10" s="503" t="s">
        <v>1614</v>
      </c>
      <c r="I10" s="136"/>
    </row>
    <row r="11" spans="1:14" s="193" customFormat="1" ht="52.5">
      <c r="A11" s="61" t="s">
        <v>2072</v>
      </c>
      <c r="B11" s="500" t="s">
        <v>1617</v>
      </c>
      <c r="C11" s="504" t="s">
        <v>1483</v>
      </c>
      <c r="D11" s="498" t="s">
        <v>277</v>
      </c>
      <c r="E11" s="498" t="s">
        <v>277</v>
      </c>
      <c r="F11" s="201">
        <f t="shared" ref="F11:F19" si="0">SUM(G11*1.1)</f>
        <v>212.45400000000001</v>
      </c>
      <c r="G11" s="502">
        <v>193.14</v>
      </c>
      <c r="H11" s="503" t="s">
        <v>1614</v>
      </c>
      <c r="I11" s="136"/>
    </row>
    <row r="12" spans="1:14" s="193" customFormat="1" ht="52.5">
      <c r="A12" s="765" t="s">
        <v>2073</v>
      </c>
      <c r="B12" s="500" t="s">
        <v>1618</v>
      </c>
      <c r="C12" s="504" t="s">
        <v>1483</v>
      </c>
      <c r="D12" s="498" t="s">
        <v>277</v>
      </c>
      <c r="E12" s="498" t="s">
        <v>277</v>
      </c>
      <c r="F12" s="201">
        <f t="shared" si="0"/>
        <v>322.34400000000005</v>
      </c>
      <c r="G12" s="502">
        <v>293.04000000000002</v>
      </c>
      <c r="H12" s="503" t="s">
        <v>1614</v>
      </c>
      <c r="I12" s="136"/>
    </row>
    <row r="13" spans="1:14" s="193" customFormat="1" ht="52.5">
      <c r="A13" s="61" t="s">
        <v>2074</v>
      </c>
      <c r="B13" s="500" t="s">
        <v>1619</v>
      </c>
      <c r="C13" s="504" t="s">
        <v>1483</v>
      </c>
      <c r="D13" s="498" t="s">
        <v>277</v>
      </c>
      <c r="E13" s="498" t="s">
        <v>277</v>
      </c>
      <c r="F13" s="201">
        <f t="shared" si="0"/>
        <v>322.34400000000005</v>
      </c>
      <c r="G13" s="502">
        <v>293.04000000000002</v>
      </c>
      <c r="H13" s="503" t="s">
        <v>1614</v>
      </c>
      <c r="I13" s="136"/>
    </row>
    <row r="14" spans="1:14" s="193" customFormat="1" ht="52.5">
      <c r="A14" s="61" t="s">
        <v>2075</v>
      </c>
      <c r="B14" s="500" t="s">
        <v>1620</v>
      </c>
      <c r="C14" s="504" t="s">
        <v>1483</v>
      </c>
      <c r="D14" s="498" t="s">
        <v>277</v>
      </c>
      <c r="E14" s="498" t="s">
        <v>277</v>
      </c>
      <c r="F14" s="201">
        <f t="shared" si="0"/>
        <v>93.775000000000006</v>
      </c>
      <c r="G14" s="502">
        <v>85.25</v>
      </c>
      <c r="H14" s="503" t="s">
        <v>1614</v>
      </c>
      <c r="I14" s="136"/>
    </row>
    <row r="15" spans="1:14" s="193" customFormat="1" ht="52.5">
      <c r="A15" s="61" t="s">
        <v>2076</v>
      </c>
      <c r="B15" s="500" t="s">
        <v>1621</v>
      </c>
      <c r="C15" s="504" t="s">
        <v>1483</v>
      </c>
      <c r="D15" s="498" t="s">
        <v>277</v>
      </c>
      <c r="E15" s="498" t="s">
        <v>277</v>
      </c>
      <c r="F15" s="201">
        <f t="shared" si="0"/>
        <v>93.775000000000006</v>
      </c>
      <c r="G15" s="502">
        <v>85.25</v>
      </c>
      <c r="H15" s="503" t="s">
        <v>1614</v>
      </c>
      <c r="I15" s="136"/>
    </row>
    <row r="16" spans="1:14" s="193" customFormat="1" ht="52.5">
      <c r="A16" s="61" t="s">
        <v>2077</v>
      </c>
      <c r="B16" s="500" t="s">
        <v>1622</v>
      </c>
      <c r="C16" s="504" t="s">
        <v>1483</v>
      </c>
      <c r="D16" s="498" t="s">
        <v>277</v>
      </c>
      <c r="E16" s="498" t="s">
        <v>277</v>
      </c>
      <c r="F16" s="201">
        <f t="shared" si="0"/>
        <v>7.4470000000000001</v>
      </c>
      <c r="G16" s="502">
        <v>6.77</v>
      </c>
      <c r="H16" s="503" t="s">
        <v>1614</v>
      </c>
      <c r="I16" s="136"/>
    </row>
    <row r="17" spans="1:10" s="193" customFormat="1" ht="52.5">
      <c r="A17" s="61" t="s">
        <v>2078</v>
      </c>
      <c r="B17" s="500" t="s">
        <v>1623</v>
      </c>
      <c r="C17" s="504" t="s">
        <v>1483</v>
      </c>
      <c r="D17" s="498" t="s">
        <v>277</v>
      </c>
      <c r="E17" s="498" t="s">
        <v>277</v>
      </c>
      <c r="F17" s="201">
        <f t="shared" si="0"/>
        <v>7.4470000000000001</v>
      </c>
      <c r="G17" s="502">
        <v>6.77</v>
      </c>
      <c r="H17" s="503" t="s">
        <v>1614</v>
      </c>
      <c r="I17" s="136"/>
    </row>
    <row r="18" spans="1:10" s="193" customFormat="1" ht="52.5">
      <c r="A18" s="61" t="s">
        <v>2079</v>
      </c>
      <c r="B18" s="500" t="s">
        <v>1624</v>
      </c>
      <c r="C18" s="504" t="s">
        <v>1483</v>
      </c>
      <c r="D18" s="498" t="s">
        <v>277</v>
      </c>
      <c r="E18" s="498" t="s">
        <v>277</v>
      </c>
      <c r="F18" s="201">
        <f t="shared" si="0"/>
        <v>14.894</v>
      </c>
      <c r="G18" s="502">
        <v>13.54</v>
      </c>
      <c r="H18" s="503" t="s">
        <v>1614</v>
      </c>
      <c r="I18" s="136"/>
    </row>
    <row r="19" spans="1:10" s="193" customFormat="1" ht="52.5" customHeight="1">
      <c r="A19" s="61" t="s">
        <v>2080</v>
      </c>
      <c r="B19" s="500" t="s">
        <v>1625</v>
      </c>
      <c r="C19" s="504" t="s">
        <v>1483</v>
      </c>
      <c r="D19" s="498" t="s">
        <v>277</v>
      </c>
      <c r="E19" s="498" t="s">
        <v>277</v>
      </c>
      <c r="F19" s="201">
        <f t="shared" si="0"/>
        <v>14.894</v>
      </c>
      <c r="G19" s="502">
        <v>13.54</v>
      </c>
      <c r="H19" s="662" t="s">
        <v>1614</v>
      </c>
      <c r="I19" s="210"/>
    </row>
    <row r="20" spans="1:10" s="193" customFormat="1"/>
    <row r="21" spans="1:10" s="141" customFormat="1" ht="14.25">
      <c r="A21" s="663"/>
      <c r="B21" s="38"/>
      <c r="C21" s="34"/>
      <c r="D21" s="34"/>
      <c r="E21" s="43"/>
      <c r="F21" s="43"/>
      <c r="G21" s="43"/>
      <c r="H21" s="43"/>
      <c r="I21" s="1459"/>
      <c r="J21" s="1459"/>
    </row>
    <row r="22" spans="1:10" s="141" customFormat="1" ht="14.25">
      <c r="A22" s="664"/>
      <c r="B22" s="665"/>
      <c r="C22" s="5"/>
      <c r="D22" s="5"/>
      <c r="E22" s="3"/>
      <c r="F22" s="3"/>
      <c r="G22" s="3"/>
      <c r="H22" s="43"/>
      <c r="I22" s="1459"/>
      <c r="J22" s="1459"/>
    </row>
    <row r="23" spans="1:10" s="141" customFormat="1" ht="14.25">
      <c r="A23" s="666"/>
      <c r="B23" s="38"/>
      <c r="C23" s="34"/>
      <c r="D23" s="34"/>
      <c r="E23" s="43"/>
      <c r="F23" s="43"/>
      <c r="G23" s="43"/>
      <c r="H23" s="43"/>
      <c r="I23" s="1459"/>
      <c r="J23" s="1459"/>
    </row>
    <row r="24" spans="1:10" s="141" customFormat="1" ht="14.25">
      <c r="A24" s="666"/>
      <c r="B24" s="38"/>
      <c r="C24" s="34"/>
      <c r="D24" s="34"/>
      <c r="E24" s="43"/>
      <c r="F24" s="43"/>
      <c r="G24" s="43"/>
      <c r="H24" s="43"/>
      <c r="I24" s="1459"/>
      <c r="J24" s="1459"/>
    </row>
    <row r="25" spans="1:10" s="141" customFormat="1" ht="14.25">
      <c r="A25" s="666"/>
      <c r="B25" s="38"/>
      <c r="C25" s="34"/>
      <c r="D25" s="34"/>
      <c r="E25" s="43"/>
      <c r="F25" s="43"/>
      <c r="G25" s="43"/>
      <c r="H25" s="43"/>
      <c r="I25" s="1459"/>
      <c r="J25" s="1459"/>
    </row>
    <row r="26" spans="1:10" s="144" customFormat="1" ht="14.25">
      <c r="A26" s="36"/>
      <c r="B26" s="40"/>
      <c r="C26" s="41"/>
      <c r="D26" s="41"/>
      <c r="E26" s="42"/>
      <c r="F26" s="42"/>
      <c r="G26" s="42"/>
      <c r="H26" s="43"/>
      <c r="I26" s="1459"/>
      <c r="J26" s="1459"/>
    </row>
    <row r="27" spans="1:10" s="144" customFormat="1" ht="14.25">
      <c r="A27" s="79"/>
      <c r="B27" s="34"/>
      <c r="C27" s="667"/>
      <c r="D27" s="667"/>
      <c r="E27" s="42"/>
      <c r="F27" s="42"/>
      <c r="G27" s="42"/>
      <c r="H27" s="43"/>
      <c r="I27" s="1459"/>
      <c r="J27" s="1459"/>
    </row>
    <row r="28" spans="1:10" s="144" customFormat="1" ht="14.25">
      <c r="A28" s="666"/>
      <c r="B28" s="36"/>
      <c r="C28" s="667"/>
      <c r="D28" s="667"/>
      <c r="E28" s="42"/>
      <c r="F28" s="42"/>
      <c r="G28" s="42"/>
      <c r="H28" s="43"/>
      <c r="I28" s="1459"/>
      <c r="J28" s="1459"/>
    </row>
    <row r="29" spans="1:10" s="144" customFormat="1" ht="14.25">
      <c r="A29" s="666"/>
      <c r="B29" s="40"/>
      <c r="C29" s="667"/>
      <c r="D29" s="667"/>
      <c r="E29" s="42"/>
      <c r="F29" s="42"/>
      <c r="G29" s="42"/>
      <c r="H29" s="43"/>
      <c r="I29" s="1459"/>
      <c r="J29" s="1459"/>
    </row>
    <row r="30" spans="1:10" s="144" customFormat="1" ht="14.25">
      <c r="A30" s="666"/>
      <c r="B30" s="40"/>
      <c r="C30" s="667"/>
      <c r="D30" s="667"/>
      <c r="E30" s="42"/>
      <c r="F30" s="42"/>
      <c r="G30" s="42"/>
      <c r="H30" s="43"/>
      <c r="I30" s="1459"/>
      <c r="J30" s="1459"/>
    </row>
    <row r="31" spans="1:10" s="144" customFormat="1" ht="12.75">
      <c r="A31" s="309"/>
      <c r="B31" s="309"/>
      <c r="C31" s="309"/>
      <c r="D31" s="309"/>
      <c r="E31" s="14"/>
      <c r="F31" s="14"/>
      <c r="G31" s="14"/>
      <c r="H31" s="3"/>
      <c r="I31" s="1460"/>
      <c r="J31" s="1460"/>
    </row>
    <row r="32" spans="1:10" s="309" customFormat="1"/>
    <row r="33" s="143" customFormat="1"/>
    <row r="34" s="143" customFormat="1"/>
  </sheetData>
  <mergeCells count="26">
    <mergeCell ref="A1:B1"/>
    <mergeCell ref="I21:J21"/>
    <mergeCell ref="I22:J22"/>
    <mergeCell ref="I23:J23"/>
    <mergeCell ref="B2:D2"/>
    <mergeCell ref="E2:G4"/>
    <mergeCell ref="H2:H4"/>
    <mergeCell ref="A5:B6"/>
    <mergeCell ref="H5:H6"/>
    <mergeCell ref="F6:G6"/>
    <mergeCell ref="I9:J9"/>
    <mergeCell ref="C7:C8"/>
    <mergeCell ref="D7:D8"/>
    <mergeCell ref="E7:E8"/>
    <mergeCell ref="F7:F8"/>
    <mergeCell ref="G7:G8"/>
    <mergeCell ref="H7:H8"/>
    <mergeCell ref="B9:G9"/>
    <mergeCell ref="I30:J30"/>
    <mergeCell ref="I31:J31"/>
    <mergeCell ref="I24:J24"/>
    <mergeCell ref="I25:J25"/>
    <mergeCell ref="I27:J27"/>
    <mergeCell ref="I28:J28"/>
    <mergeCell ref="I29:J29"/>
    <mergeCell ref="I26:J26"/>
  </mergeCells>
  <printOptions gridLines="1"/>
  <pageMargins left="0.75" right="0.75" top="1" bottom="1" header="0.5" footer="0.5"/>
  <pageSetup scale="57" orientation="landscape" horizontalDpi="1200" verticalDpi="1200" r:id="rId1"/>
  <headerFooter>
    <oddHeader>&amp;L&amp;F&amp;C&amp;A&amp;R&amp;G</oddHeader>
    <oddFooter>&amp;C&amp;"Tahoma,Italic"Use or disclosure of the data on this page or screen is subject to the restrictions on the title page or opening view screen of this proposal document or file.&amp;R&amp;P of &amp;N</oddFooter>
  </headerFooter>
  <ignoredErrors>
    <ignoredError sqref="F10:F19" unlockedFormula="1"/>
  </ignoredErrors>
  <legacyDrawingHF r:id="rId2"/>
</worksheet>
</file>

<file path=xl/worksheets/sheet33.xml><?xml version="1.0" encoding="utf-8"?>
<worksheet xmlns="http://schemas.openxmlformats.org/spreadsheetml/2006/main" xmlns:r="http://schemas.openxmlformats.org/officeDocument/2006/relationships">
  <dimension ref="A1:N29"/>
  <sheetViews>
    <sheetView zoomScaleNormal="100" workbookViewId="0">
      <selection activeCell="A2" sqref="A2"/>
    </sheetView>
  </sheetViews>
  <sheetFormatPr defaultRowHeight="10.5"/>
  <cols>
    <col min="1" max="1" width="9.1640625" style="143"/>
    <col min="2" max="2" width="32.5" style="143" customWidth="1"/>
    <col min="3" max="3" width="27.5" style="143" customWidth="1"/>
    <col min="4" max="4" width="12.6640625" style="143" hidden="1" customWidth="1"/>
    <col min="5" max="5" width="16.6640625" style="143" customWidth="1"/>
    <col min="6" max="6" width="11.5" style="143" customWidth="1"/>
    <col min="7" max="7" width="11.5" style="143" hidden="1" customWidth="1"/>
    <col min="8" max="8" width="39.5" style="143" customWidth="1"/>
    <col min="9" max="9" width="31" style="143" customWidth="1"/>
  </cols>
  <sheetData>
    <row r="1" spans="1:14" ht="15" customHeight="1">
      <c r="A1" s="1545" t="s">
        <v>424</v>
      </c>
      <c r="B1" s="1546"/>
      <c r="C1" s="226"/>
      <c r="D1" s="226"/>
      <c r="E1" s="226"/>
      <c r="F1" s="226"/>
      <c r="G1" s="226"/>
      <c r="H1" s="226"/>
      <c r="I1" s="402"/>
      <c r="J1" s="8"/>
      <c r="K1" s="8"/>
      <c r="L1" s="8"/>
      <c r="M1" s="8"/>
      <c r="N1" s="8"/>
    </row>
    <row r="2" spans="1:14" s="81" customFormat="1" ht="39.75" customHeight="1">
      <c r="A2" s="379"/>
      <c r="B2" s="1339" t="s">
        <v>370</v>
      </c>
      <c r="C2" s="1339"/>
      <c r="D2" s="1339"/>
      <c r="E2" s="1340" t="s">
        <v>622</v>
      </c>
      <c r="F2" s="1340"/>
      <c r="G2" s="1340"/>
      <c r="H2" s="1403"/>
      <c r="I2" s="370" t="s">
        <v>631</v>
      </c>
      <c r="J2" s="138"/>
      <c r="K2" s="138"/>
      <c r="L2" s="138"/>
      <c r="M2" s="138"/>
      <c r="N2" s="138"/>
    </row>
    <row r="3" spans="1:14" s="81" customFormat="1" ht="10.5" customHeight="1">
      <c r="A3" s="419" t="s">
        <v>426</v>
      </c>
      <c r="B3" s="419"/>
      <c r="C3" s="419"/>
      <c r="D3" s="419"/>
      <c r="E3" s="1340"/>
      <c r="F3" s="1340"/>
      <c r="G3" s="1340"/>
      <c r="H3" s="1403"/>
      <c r="I3" s="370"/>
      <c r="J3" s="138"/>
      <c r="K3" s="138"/>
      <c r="L3" s="138"/>
      <c r="M3" s="138"/>
      <c r="N3" s="138"/>
    </row>
    <row r="4" spans="1:14" s="81" customFormat="1" ht="10.5" customHeight="1">
      <c r="A4" s="419"/>
      <c r="B4" s="419"/>
      <c r="C4" s="419"/>
      <c r="D4" s="419"/>
      <c r="E4" s="1340"/>
      <c r="F4" s="1340"/>
      <c r="G4" s="1340"/>
      <c r="H4" s="1403"/>
      <c r="I4" s="370"/>
      <c r="J4" s="138"/>
      <c r="K4" s="138"/>
      <c r="L4" s="138"/>
      <c r="M4" s="138"/>
      <c r="N4" s="138"/>
    </row>
    <row r="5" spans="1:14" s="81" customFormat="1" ht="12" customHeight="1">
      <c r="A5" s="1313" t="s">
        <v>1330</v>
      </c>
      <c r="B5" s="1313"/>
      <c r="C5" s="386"/>
      <c r="D5" s="275" t="s">
        <v>624</v>
      </c>
      <c r="E5" s="1238"/>
      <c r="F5" s="1238"/>
      <c r="G5" s="1238"/>
      <c r="H5" s="1403"/>
      <c r="I5" s="370"/>
      <c r="J5" s="138"/>
      <c r="K5" s="138"/>
      <c r="L5" s="138"/>
      <c r="M5" s="138"/>
      <c r="N5" s="138"/>
    </row>
    <row r="6" spans="1:14" ht="69.75" customHeight="1">
      <c r="A6" s="1313"/>
      <c r="B6" s="1313"/>
      <c r="C6" s="390"/>
      <c r="D6" s="237"/>
      <c r="E6" s="1240"/>
      <c r="F6" s="1542"/>
      <c r="G6" s="1542"/>
      <c r="H6" s="1403"/>
      <c r="I6" s="370"/>
      <c r="J6" s="8"/>
      <c r="K6" s="8"/>
      <c r="L6" s="8"/>
      <c r="M6" s="8"/>
      <c r="N6" s="8"/>
    </row>
    <row r="7" spans="1:14" ht="21" customHeight="1">
      <c r="A7" s="375" t="s">
        <v>653</v>
      </c>
      <c r="B7" s="330" t="s">
        <v>428</v>
      </c>
      <c r="C7" s="1311" t="s">
        <v>429</v>
      </c>
      <c r="D7" s="1317" t="s">
        <v>620</v>
      </c>
      <c r="E7" s="1318" t="s">
        <v>432</v>
      </c>
      <c r="F7" s="1316" t="s">
        <v>430</v>
      </c>
      <c r="G7" s="1317" t="s">
        <v>621</v>
      </c>
      <c r="H7" s="1404"/>
      <c r="I7" s="369" t="s">
        <v>627</v>
      </c>
      <c r="J7" s="8"/>
      <c r="K7" s="8"/>
      <c r="L7" s="8"/>
      <c r="M7" s="8"/>
      <c r="N7" s="8"/>
    </row>
    <row r="8" spans="1:14" ht="21" customHeight="1">
      <c r="A8" s="367"/>
      <c r="B8" s="99"/>
      <c r="C8" s="1311"/>
      <c r="D8" s="1317"/>
      <c r="E8" s="1318"/>
      <c r="F8" s="1316"/>
      <c r="G8" s="1317"/>
      <c r="H8" s="1404"/>
      <c r="I8" s="369"/>
      <c r="J8" s="8"/>
      <c r="K8" s="8"/>
      <c r="L8" s="8"/>
      <c r="M8" s="8"/>
    </row>
    <row r="9" spans="1:14" s="133" customFormat="1" ht="30.75" customHeight="1">
      <c r="A9" s="73"/>
      <c r="B9" s="1420" t="s">
        <v>875</v>
      </c>
      <c r="C9" s="1461"/>
      <c r="D9" s="1461"/>
      <c r="E9" s="1461"/>
      <c r="F9" s="1461"/>
      <c r="G9" s="1461"/>
      <c r="H9" s="281"/>
      <c r="I9" s="371"/>
    </row>
    <row r="10" spans="1:14" s="133" customFormat="1" ht="73.5">
      <c r="A10" s="63" t="s">
        <v>2063</v>
      </c>
      <c r="B10" s="160" t="s">
        <v>876</v>
      </c>
      <c r="C10" s="504" t="s">
        <v>1483</v>
      </c>
      <c r="D10" s="498" t="s">
        <v>277</v>
      </c>
      <c r="E10" s="201" t="s">
        <v>277</v>
      </c>
      <c r="F10" s="201">
        <f>SUM(G10*1.1)</f>
        <v>231.99000000000004</v>
      </c>
      <c r="G10" s="502">
        <v>210.9</v>
      </c>
      <c r="H10" s="503" t="s">
        <v>877</v>
      </c>
      <c r="I10" s="135"/>
    </row>
    <row r="11" spans="1:14" s="133" customFormat="1" ht="73.5">
      <c r="A11" s="63" t="s">
        <v>2064</v>
      </c>
      <c r="B11" s="160" t="s">
        <v>878</v>
      </c>
      <c r="C11" s="504" t="s">
        <v>1483</v>
      </c>
      <c r="D11" s="498" t="s">
        <v>277</v>
      </c>
      <c r="E11" s="201" t="s">
        <v>277</v>
      </c>
      <c r="F11" s="201">
        <f t="shared" ref="F11:F17" si="0">SUM(G11*1.1)</f>
        <v>320.14400000000006</v>
      </c>
      <c r="G11" s="502">
        <v>291.04000000000002</v>
      </c>
      <c r="H11" s="503" t="s">
        <v>877</v>
      </c>
      <c r="I11" s="135"/>
    </row>
    <row r="12" spans="1:14" s="133" customFormat="1" ht="73.5">
      <c r="A12" s="764" t="s">
        <v>2065</v>
      </c>
      <c r="B12" s="160" t="s">
        <v>879</v>
      </c>
      <c r="C12" s="504" t="s">
        <v>1483</v>
      </c>
      <c r="D12" s="498" t="s">
        <v>277</v>
      </c>
      <c r="E12" s="201" t="s">
        <v>277</v>
      </c>
      <c r="F12" s="201">
        <f t="shared" si="0"/>
        <v>292.30300000000005</v>
      </c>
      <c r="G12" s="502">
        <v>265.73</v>
      </c>
      <c r="H12" s="503" t="s">
        <v>877</v>
      </c>
      <c r="I12" s="135"/>
    </row>
    <row r="13" spans="1:14" s="133" customFormat="1" ht="73.5">
      <c r="A13" s="764" t="s">
        <v>2066</v>
      </c>
      <c r="B13" s="160" t="s">
        <v>880</v>
      </c>
      <c r="C13" s="504" t="s">
        <v>1483</v>
      </c>
      <c r="D13" s="498" t="s">
        <v>277</v>
      </c>
      <c r="E13" s="201" t="s">
        <v>277</v>
      </c>
      <c r="F13" s="201">
        <f t="shared" si="0"/>
        <v>375.82600000000008</v>
      </c>
      <c r="G13" s="502">
        <v>341.66</v>
      </c>
      <c r="H13" s="503" t="s">
        <v>877</v>
      </c>
      <c r="I13" s="135"/>
    </row>
    <row r="14" spans="1:14" s="133" customFormat="1" ht="73.5">
      <c r="A14" s="764" t="s">
        <v>2067</v>
      </c>
      <c r="B14" s="160" t="s">
        <v>881</v>
      </c>
      <c r="C14" s="504" t="s">
        <v>1483</v>
      </c>
      <c r="D14" s="498" t="s">
        <v>277</v>
      </c>
      <c r="E14" s="201" t="s">
        <v>277</v>
      </c>
      <c r="F14" s="201">
        <f t="shared" si="0"/>
        <v>227.34800000000001</v>
      </c>
      <c r="G14" s="502">
        <v>206.68</v>
      </c>
      <c r="H14" s="503" t="s">
        <v>877</v>
      </c>
      <c r="I14" s="135"/>
    </row>
    <row r="15" spans="1:14" s="133" customFormat="1" ht="73.5">
      <c r="A15" s="764" t="s">
        <v>2068</v>
      </c>
      <c r="B15" s="160" t="s">
        <v>882</v>
      </c>
      <c r="C15" s="504" t="s">
        <v>1483</v>
      </c>
      <c r="D15" s="498" t="s">
        <v>277</v>
      </c>
      <c r="E15" s="201" t="s">
        <v>277</v>
      </c>
      <c r="F15" s="201">
        <f t="shared" si="0"/>
        <v>26.664000000000001</v>
      </c>
      <c r="G15" s="502">
        <v>24.24</v>
      </c>
      <c r="H15" s="503" t="s">
        <v>877</v>
      </c>
      <c r="I15" s="135"/>
    </row>
    <row r="16" spans="1:14" s="133" customFormat="1" ht="73.5">
      <c r="A16" s="165" t="s">
        <v>2069</v>
      </c>
      <c r="B16" s="160" t="s">
        <v>883</v>
      </c>
      <c r="C16" s="504" t="s">
        <v>1483</v>
      </c>
      <c r="D16" s="498" t="s">
        <v>277</v>
      </c>
      <c r="E16" s="201" t="s">
        <v>277</v>
      </c>
      <c r="F16" s="201">
        <f t="shared" si="0"/>
        <v>98.659000000000006</v>
      </c>
      <c r="G16" s="502">
        <v>89.69</v>
      </c>
      <c r="H16" s="503" t="s">
        <v>877</v>
      </c>
      <c r="I16" s="135"/>
    </row>
    <row r="17" spans="1:10" s="133" customFormat="1" ht="73.5">
      <c r="A17" s="764" t="s">
        <v>2070</v>
      </c>
      <c r="B17" s="160" t="s">
        <v>884</v>
      </c>
      <c r="C17" s="504" t="s">
        <v>1483</v>
      </c>
      <c r="D17" s="498" t="s">
        <v>277</v>
      </c>
      <c r="E17" s="201" t="s">
        <v>277</v>
      </c>
      <c r="F17" s="201">
        <f t="shared" si="0"/>
        <v>3.806</v>
      </c>
      <c r="G17" s="502">
        <v>3.46</v>
      </c>
      <c r="H17" s="503" t="s">
        <v>877</v>
      </c>
      <c r="I17" s="135"/>
    </row>
    <row r="18" spans="1:10" s="133" customFormat="1"/>
    <row r="19" spans="1:10" s="145" customFormat="1" ht="14.25">
      <c r="A19" s="170"/>
      <c r="B19" s="431"/>
      <c r="C19" s="142"/>
      <c r="D19" s="142"/>
      <c r="E19" s="249"/>
      <c r="F19" s="249"/>
      <c r="G19" s="249"/>
      <c r="H19" s="249"/>
      <c r="I19" s="1459"/>
      <c r="J19" s="1459"/>
    </row>
    <row r="20" spans="1:10" s="145" customFormat="1" ht="14.25">
      <c r="A20" s="170"/>
      <c r="B20" s="431"/>
      <c r="C20" s="142"/>
      <c r="D20" s="142"/>
      <c r="E20" s="249"/>
      <c r="F20" s="249"/>
      <c r="G20" s="249"/>
      <c r="H20" s="249"/>
      <c r="I20" s="1459"/>
      <c r="J20" s="1459"/>
    </row>
    <row r="21" spans="1:10" s="145" customFormat="1" ht="14.25">
      <c r="A21" s="505"/>
      <c r="B21" s="7"/>
      <c r="C21" s="435"/>
      <c r="D21" s="435"/>
      <c r="E21" s="506"/>
      <c r="F21" s="506"/>
      <c r="G21" s="506"/>
      <c r="H21" s="249"/>
      <c r="I21" s="1459"/>
      <c r="J21" s="1459"/>
    </row>
    <row r="22" spans="1:10" s="145" customFormat="1" ht="14.25">
      <c r="B22" s="431"/>
      <c r="C22" s="142"/>
      <c r="D22" s="142"/>
      <c r="E22" s="249"/>
      <c r="F22" s="249"/>
      <c r="G22" s="249"/>
      <c r="H22" s="249"/>
      <c r="I22" s="1459"/>
      <c r="J22" s="1459"/>
    </row>
    <row r="23" spans="1:10" s="145" customFormat="1" ht="14.25">
      <c r="B23" s="431"/>
      <c r="C23" s="142"/>
      <c r="D23" s="142"/>
      <c r="E23" s="249"/>
      <c r="F23" s="249"/>
      <c r="G23" s="249"/>
      <c r="H23" s="249"/>
      <c r="I23" s="1459"/>
      <c r="J23" s="1459"/>
    </row>
    <row r="24" spans="1:10" s="4" customFormat="1" ht="14.25">
      <c r="A24" s="145"/>
      <c r="B24" s="431"/>
      <c r="C24" s="142"/>
      <c r="D24" s="142"/>
      <c r="E24" s="249"/>
      <c r="F24" s="249"/>
      <c r="G24" s="249"/>
      <c r="H24" s="249"/>
      <c r="I24" s="1459"/>
      <c r="J24" s="1459"/>
    </row>
    <row r="25" spans="1:10" s="4" customFormat="1" ht="14.25">
      <c r="A25" s="151"/>
      <c r="B25" s="142"/>
      <c r="C25" s="133"/>
      <c r="D25" s="133"/>
      <c r="E25" s="249"/>
      <c r="F25" s="249"/>
      <c r="G25" s="249"/>
      <c r="H25" s="249"/>
      <c r="I25" s="1459"/>
      <c r="J25" s="1459"/>
    </row>
    <row r="26" spans="1:10" s="4" customFormat="1" ht="14.25">
      <c r="A26" s="145"/>
      <c r="B26" s="141"/>
      <c r="C26" s="133"/>
      <c r="D26" s="133"/>
      <c r="E26" s="249"/>
      <c r="F26" s="249"/>
      <c r="G26" s="249"/>
      <c r="H26" s="249"/>
      <c r="I26" s="1459"/>
      <c r="J26" s="1459"/>
    </row>
    <row r="27" spans="1:10" s="4" customFormat="1" ht="14.25">
      <c r="A27" s="145"/>
      <c r="B27" s="171"/>
      <c r="C27" s="133"/>
      <c r="D27" s="133"/>
      <c r="E27" s="249"/>
      <c r="F27" s="249"/>
      <c r="G27" s="249"/>
      <c r="H27" s="249"/>
      <c r="I27" s="1459"/>
      <c r="J27" s="1459"/>
    </row>
    <row r="28" spans="1:10" s="9" customFormat="1" ht="14.25">
      <c r="A28" s="145"/>
      <c r="B28" s="146"/>
      <c r="C28" s="143"/>
      <c r="D28" s="143"/>
      <c r="E28" s="488"/>
      <c r="F28" s="488"/>
      <c r="G28" s="488"/>
      <c r="H28" s="249"/>
      <c r="I28" s="1459"/>
      <c r="J28" s="1459"/>
    </row>
    <row r="29" spans="1:10" s="9" customFormat="1">
      <c r="A29" s="143"/>
      <c r="B29" s="143"/>
      <c r="C29" s="143"/>
      <c r="D29" s="143"/>
      <c r="E29" s="488"/>
      <c r="F29" s="488"/>
      <c r="G29" s="488"/>
      <c r="H29" s="249"/>
      <c r="I29" s="1462"/>
      <c r="J29" s="1462"/>
    </row>
  </sheetData>
  <mergeCells count="25">
    <mergeCell ref="A1:B1"/>
    <mergeCell ref="B2:D2"/>
    <mergeCell ref="E2:G4"/>
    <mergeCell ref="H2:H4"/>
    <mergeCell ref="A5:B6"/>
    <mergeCell ref="H5:H6"/>
    <mergeCell ref="F6:G6"/>
    <mergeCell ref="I19:J19"/>
    <mergeCell ref="C7:C8"/>
    <mergeCell ref="D7:D8"/>
    <mergeCell ref="E7:E8"/>
    <mergeCell ref="F7:F8"/>
    <mergeCell ref="G7:G8"/>
    <mergeCell ref="H7:H8"/>
    <mergeCell ref="B9:G9"/>
    <mergeCell ref="I26:J26"/>
    <mergeCell ref="I27:J27"/>
    <mergeCell ref="I28:J28"/>
    <mergeCell ref="I29:J29"/>
    <mergeCell ref="I20:J20"/>
    <mergeCell ref="I21:J21"/>
    <mergeCell ref="I22:J22"/>
    <mergeCell ref="I23:J23"/>
    <mergeCell ref="I24:J24"/>
    <mergeCell ref="I25:J25"/>
  </mergeCells>
  <printOptions gridLines="1"/>
  <pageMargins left="0.75" right="0.75" top="1" bottom="1" header="0.5" footer="0.5"/>
  <pageSetup scale="55" orientation="landscape" horizontalDpi="1200" verticalDpi="1200" r:id="rId1"/>
  <headerFooter>
    <oddHeader>&amp;L&amp;F&amp;C&amp;A&amp;R&amp;G</oddHeader>
    <oddFooter>&amp;C&amp;"Tahoma,Italic"Use or disclosure of the data on this page or screen is subject to the restrictions on the title page or opening view screen of this proposal document or file.&amp;R&amp;P of &amp;N</oddFooter>
  </headerFooter>
  <rowBreaks count="1" manualBreakCount="1">
    <brk id="19" max="16383" man="1"/>
  </rowBreaks>
  <ignoredErrors>
    <ignoredError sqref="F10:F17" unlockedFormula="1"/>
  </ignoredErrors>
  <legacyDrawingHF r:id="rId2"/>
</worksheet>
</file>

<file path=xl/worksheets/sheet34.xml><?xml version="1.0" encoding="utf-8"?>
<worksheet xmlns="http://schemas.openxmlformats.org/spreadsheetml/2006/main" xmlns:r="http://schemas.openxmlformats.org/officeDocument/2006/relationships">
  <dimension ref="A1:N31"/>
  <sheetViews>
    <sheetView view="pageBreakPreview" zoomScale="60" zoomScaleNormal="100" workbookViewId="0">
      <selection activeCell="A2" sqref="A2"/>
    </sheetView>
  </sheetViews>
  <sheetFormatPr defaultRowHeight="10.5"/>
  <cols>
    <col min="1" max="1" width="18.83203125" style="143" customWidth="1"/>
    <col min="2" max="2" width="25.6640625" style="143" customWidth="1"/>
    <col min="3" max="3" width="19" style="143" customWidth="1"/>
    <col min="4" max="4" width="11.83203125" style="143" hidden="1" customWidth="1"/>
    <col min="5" max="5" width="14.33203125" style="143" customWidth="1"/>
    <col min="6" max="6" width="19.33203125" style="143" customWidth="1"/>
    <col min="7" max="7" width="18.83203125" style="143" hidden="1" customWidth="1"/>
    <col min="8" max="8" width="40.5" style="143" customWidth="1"/>
    <col min="9" max="9" width="31.33203125" style="143" customWidth="1"/>
  </cols>
  <sheetData>
    <row r="1" spans="1:14" ht="33.75" customHeight="1">
      <c r="A1" s="1551" t="s">
        <v>424</v>
      </c>
      <c r="B1" s="1552"/>
      <c r="C1" s="226"/>
      <c r="D1" s="226"/>
      <c r="E1" s="226"/>
      <c r="F1" s="226"/>
      <c r="G1" s="226"/>
      <c r="H1" s="226"/>
      <c r="I1" s="402"/>
      <c r="J1" s="8"/>
      <c r="K1" s="8"/>
      <c r="L1" s="8"/>
      <c r="M1" s="8"/>
      <c r="N1" s="8"/>
    </row>
    <row r="2" spans="1:14" s="81" customFormat="1" ht="39.75" customHeight="1">
      <c r="A2" s="719"/>
      <c r="B2" s="1471" t="s">
        <v>370</v>
      </c>
      <c r="C2" s="1471"/>
      <c r="D2" s="1471"/>
      <c r="E2" s="1472" t="s">
        <v>622</v>
      </c>
      <c r="F2" s="1472"/>
      <c r="G2" s="1472"/>
      <c r="H2" s="1474"/>
      <c r="I2" s="720" t="s">
        <v>631</v>
      </c>
      <c r="J2" s="138"/>
      <c r="K2" s="138"/>
      <c r="L2" s="138"/>
      <c r="M2" s="138"/>
      <c r="N2" s="138"/>
    </row>
    <row r="3" spans="1:14" s="81" customFormat="1" ht="10.5" customHeight="1">
      <c r="A3" s="721" t="s">
        <v>426</v>
      </c>
      <c r="B3" s="721"/>
      <c r="C3" s="721"/>
      <c r="D3" s="721"/>
      <c r="E3" s="1472"/>
      <c r="F3" s="1472"/>
      <c r="G3" s="1472"/>
      <c r="H3" s="1474"/>
      <c r="I3" s="720"/>
      <c r="J3" s="138"/>
      <c r="K3" s="138"/>
      <c r="L3" s="138"/>
      <c r="M3" s="138"/>
      <c r="N3" s="138"/>
    </row>
    <row r="4" spans="1:14" s="81" customFormat="1" ht="10.5" customHeight="1">
      <c r="A4" s="721"/>
      <c r="B4" s="721"/>
      <c r="C4" s="721"/>
      <c r="D4" s="721"/>
      <c r="E4" s="1472"/>
      <c r="F4" s="1472"/>
      <c r="G4" s="1472"/>
      <c r="H4" s="1474"/>
      <c r="I4" s="720"/>
      <c r="J4" s="138"/>
      <c r="K4" s="138"/>
      <c r="L4" s="138"/>
      <c r="M4" s="138"/>
      <c r="N4" s="138"/>
    </row>
    <row r="5" spans="1:14" s="81" customFormat="1" ht="21.75" customHeight="1">
      <c r="A5" s="1475" t="s">
        <v>3072</v>
      </c>
      <c r="B5" s="1475"/>
      <c r="C5" s="722"/>
      <c r="D5" s="723" t="s">
        <v>624</v>
      </c>
      <c r="E5" s="1242"/>
      <c r="F5" s="1242"/>
      <c r="G5" s="1242"/>
      <c r="H5" s="1474"/>
      <c r="I5" s="720"/>
      <c r="J5" s="138"/>
      <c r="K5" s="138"/>
      <c r="L5" s="138"/>
      <c r="M5" s="138"/>
      <c r="N5" s="138"/>
    </row>
    <row r="6" spans="1:14" ht="69.75" customHeight="1">
      <c r="A6" s="1475"/>
      <c r="B6" s="1475"/>
      <c r="C6" s="724"/>
      <c r="D6" s="725"/>
      <c r="E6" s="1553"/>
      <c r="F6" s="1554"/>
      <c r="G6" s="1554"/>
      <c r="H6" s="1474"/>
      <c r="I6" s="720"/>
      <c r="J6" s="8"/>
      <c r="K6" s="8"/>
      <c r="L6" s="8"/>
      <c r="M6" s="8"/>
      <c r="N6" s="8"/>
    </row>
    <row r="7" spans="1:14" ht="21" customHeight="1">
      <c r="A7" s="726" t="s">
        <v>653</v>
      </c>
      <c r="B7" s="727" t="s">
        <v>428</v>
      </c>
      <c r="C7" s="1463" t="s">
        <v>429</v>
      </c>
      <c r="D7" s="1464" t="s">
        <v>620</v>
      </c>
      <c r="E7" s="1465" t="s">
        <v>432</v>
      </c>
      <c r="F7" s="1466" t="s">
        <v>430</v>
      </c>
      <c r="G7" s="1464" t="s">
        <v>621</v>
      </c>
      <c r="H7" s="1468"/>
      <c r="I7" s="728" t="s">
        <v>627</v>
      </c>
      <c r="J7" s="8"/>
      <c r="K7" s="8"/>
      <c r="L7" s="8"/>
      <c r="M7" s="8"/>
      <c r="N7" s="8"/>
    </row>
    <row r="8" spans="1:14" ht="36" customHeight="1">
      <c r="A8" s="729"/>
      <c r="B8" s="730"/>
      <c r="C8" s="1463"/>
      <c r="D8" s="1464"/>
      <c r="E8" s="1465"/>
      <c r="F8" s="1466"/>
      <c r="G8" s="1464"/>
      <c r="H8" s="1468"/>
      <c r="I8" s="728"/>
      <c r="J8" s="8"/>
      <c r="K8" s="8"/>
      <c r="L8" s="8"/>
      <c r="M8" s="8"/>
      <c r="N8" s="8"/>
    </row>
    <row r="9" spans="1:14" s="133" customFormat="1" ht="18">
      <c r="A9" s="731"/>
      <c r="B9" s="1469" t="s">
        <v>885</v>
      </c>
      <c r="C9" s="1470"/>
      <c r="D9" s="1470"/>
      <c r="E9" s="1470"/>
      <c r="F9" s="1470"/>
      <c r="G9" s="1470"/>
      <c r="H9" s="732"/>
      <c r="I9" s="733"/>
      <c r="J9" s="334"/>
    </row>
    <row r="10" spans="1:14" s="133" customFormat="1" ht="198">
      <c r="A10" s="734" t="s">
        <v>1873</v>
      </c>
      <c r="B10" s="735" t="s">
        <v>886</v>
      </c>
      <c r="C10" s="736" t="s">
        <v>1483</v>
      </c>
      <c r="D10" s="737" t="s">
        <v>277</v>
      </c>
      <c r="E10" s="738" t="s">
        <v>277</v>
      </c>
      <c r="F10" s="738">
        <f>SUM(G10*1.1)</f>
        <v>33.003630000000008</v>
      </c>
      <c r="G10" s="739">
        <v>30.003300000000003</v>
      </c>
      <c r="H10" s="741" t="s">
        <v>887</v>
      </c>
      <c r="I10" s="742"/>
    </row>
    <row r="11" spans="1:14" s="133" customFormat="1" ht="198">
      <c r="A11" s="734" t="s">
        <v>1874</v>
      </c>
      <c r="B11" s="735" t="s">
        <v>888</v>
      </c>
      <c r="C11" s="736" t="s">
        <v>1483</v>
      </c>
      <c r="D11" s="737" t="s">
        <v>277</v>
      </c>
      <c r="E11" s="738" t="s">
        <v>277</v>
      </c>
      <c r="F11" s="738">
        <f t="shared" ref="F11:F23" si="0">SUM(G11*1.1)</f>
        <v>34.310100000000013</v>
      </c>
      <c r="G11" s="739">
        <v>31.191000000000006</v>
      </c>
      <c r="H11" s="741" t="s">
        <v>887</v>
      </c>
      <c r="I11" s="742"/>
    </row>
    <row r="12" spans="1:14" s="133" customFormat="1" ht="198">
      <c r="A12" s="734" t="s">
        <v>1875</v>
      </c>
      <c r="B12" s="735" t="s">
        <v>889</v>
      </c>
      <c r="C12" s="736" t="s">
        <v>1483</v>
      </c>
      <c r="D12" s="737" t="s">
        <v>277</v>
      </c>
      <c r="E12" s="738" t="s">
        <v>277</v>
      </c>
      <c r="F12" s="738">
        <f t="shared" si="0"/>
        <v>61.965750000000007</v>
      </c>
      <c r="G12" s="739">
        <v>56.332500000000003</v>
      </c>
      <c r="H12" s="741" t="s">
        <v>887</v>
      </c>
      <c r="I12" s="742"/>
    </row>
    <row r="13" spans="1:14" s="133" customFormat="1" ht="234">
      <c r="A13" s="734" t="s">
        <v>1876</v>
      </c>
      <c r="B13" s="735" t="s">
        <v>890</v>
      </c>
      <c r="C13" s="736" t="s">
        <v>1483</v>
      </c>
      <c r="D13" s="737" t="s">
        <v>277</v>
      </c>
      <c r="E13" s="738" t="s">
        <v>277</v>
      </c>
      <c r="F13" s="738">
        <f t="shared" si="0"/>
        <v>63.589680000000008</v>
      </c>
      <c r="G13" s="739">
        <v>57.808800000000005</v>
      </c>
      <c r="H13" s="743" t="s">
        <v>891</v>
      </c>
      <c r="I13" s="742"/>
    </row>
    <row r="14" spans="1:14" s="133" customFormat="1" ht="234">
      <c r="A14" s="756" t="s">
        <v>1877</v>
      </c>
      <c r="B14" s="735" t="s">
        <v>892</v>
      </c>
      <c r="C14" s="736" t="s">
        <v>1483</v>
      </c>
      <c r="D14" s="737" t="s">
        <v>277</v>
      </c>
      <c r="E14" s="738" t="s">
        <v>277</v>
      </c>
      <c r="F14" s="738">
        <f t="shared" si="0"/>
        <v>33.516450000000006</v>
      </c>
      <c r="G14" s="739">
        <v>30.469500000000004</v>
      </c>
      <c r="H14" s="743" t="s">
        <v>891</v>
      </c>
      <c r="I14" s="742"/>
    </row>
    <row r="15" spans="1:14" s="133" customFormat="1" ht="234">
      <c r="A15" s="734" t="s">
        <v>1878</v>
      </c>
      <c r="B15" s="735" t="s">
        <v>893</v>
      </c>
      <c r="C15" s="736" t="s">
        <v>1483</v>
      </c>
      <c r="D15" s="737" t="s">
        <v>277</v>
      </c>
      <c r="E15" s="738" t="s">
        <v>277</v>
      </c>
      <c r="F15" s="738">
        <f t="shared" si="0"/>
        <v>50.061000000000007</v>
      </c>
      <c r="G15" s="739">
        <v>45.510000000000005</v>
      </c>
      <c r="H15" s="743" t="s">
        <v>891</v>
      </c>
      <c r="I15" s="742"/>
    </row>
    <row r="16" spans="1:14" s="133" customFormat="1" ht="234">
      <c r="A16" s="734" t="s">
        <v>1879</v>
      </c>
      <c r="B16" s="735" t="s">
        <v>894</v>
      </c>
      <c r="C16" s="736" t="s">
        <v>1483</v>
      </c>
      <c r="D16" s="737" t="s">
        <v>277</v>
      </c>
      <c r="E16" s="738" t="s">
        <v>277</v>
      </c>
      <c r="F16" s="738">
        <f t="shared" si="0"/>
        <v>90.231900000000024</v>
      </c>
      <c r="G16" s="739">
        <v>82.029000000000011</v>
      </c>
      <c r="H16" s="743" t="s">
        <v>891</v>
      </c>
      <c r="I16" s="742"/>
    </row>
    <row r="17" spans="1:10" s="133" customFormat="1" ht="234">
      <c r="A17" s="734" t="s">
        <v>1880</v>
      </c>
      <c r="B17" s="735" t="s">
        <v>895</v>
      </c>
      <c r="C17" s="736" t="s">
        <v>1483</v>
      </c>
      <c r="D17" s="737" t="s">
        <v>277</v>
      </c>
      <c r="E17" s="738" t="s">
        <v>277</v>
      </c>
      <c r="F17" s="738">
        <f t="shared" si="0"/>
        <v>131.44065000000003</v>
      </c>
      <c r="G17" s="739">
        <v>119.49150000000002</v>
      </c>
      <c r="H17" s="743" t="s">
        <v>891</v>
      </c>
      <c r="I17" s="742"/>
    </row>
    <row r="18" spans="1:10" s="133" customFormat="1" ht="234">
      <c r="A18" s="734" t="s">
        <v>1881</v>
      </c>
      <c r="B18" s="735" t="s">
        <v>896</v>
      </c>
      <c r="C18" s="736" t="s">
        <v>1321</v>
      </c>
      <c r="D18" s="737" t="s">
        <v>277</v>
      </c>
      <c r="E18" s="738" t="s">
        <v>277</v>
      </c>
      <c r="F18" s="738">
        <f t="shared" si="0"/>
        <v>131.44065000000003</v>
      </c>
      <c r="G18" s="739">
        <v>119.49150000000002</v>
      </c>
      <c r="H18" s="743" t="s">
        <v>891</v>
      </c>
      <c r="I18" s="742"/>
    </row>
    <row r="19" spans="1:10" s="133" customFormat="1" ht="234">
      <c r="A19" s="734" t="s">
        <v>1882</v>
      </c>
      <c r="B19" s="735" t="s">
        <v>897</v>
      </c>
      <c r="C19" s="736" t="s">
        <v>1483</v>
      </c>
      <c r="D19" s="737" t="s">
        <v>277</v>
      </c>
      <c r="E19" s="738" t="s">
        <v>277</v>
      </c>
      <c r="F19" s="738">
        <f t="shared" si="0"/>
        <v>145.6653</v>
      </c>
      <c r="G19" s="739">
        <v>132.423</v>
      </c>
      <c r="H19" s="743" t="s">
        <v>891</v>
      </c>
      <c r="I19" s="742"/>
    </row>
    <row r="20" spans="1:10" s="133" customFormat="1" ht="234">
      <c r="A20" s="734" t="s">
        <v>1883</v>
      </c>
      <c r="B20" s="735" t="s">
        <v>898</v>
      </c>
      <c r="C20" s="736" t="s">
        <v>1483</v>
      </c>
      <c r="D20" s="737" t="s">
        <v>277</v>
      </c>
      <c r="E20" s="738" t="s">
        <v>277</v>
      </c>
      <c r="F20" s="738">
        <f t="shared" si="0"/>
        <v>145.6653</v>
      </c>
      <c r="G20" s="739">
        <v>132.423</v>
      </c>
      <c r="H20" s="743" t="s">
        <v>891</v>
      </c>
      <c r="I20" s="742"/>
    </row>
    <row r="21" spans="1:10" s="133" customFormat="1" ht="234">
      <c r="A21" s="734" t="s">
        <v>1884</v>
      </c>
      <c r="B21" s="735" t="s">
        <v>899</v>
      </c>
      <c r="C21" s="736" t="s">
        <v>1483</v>
      </c>
      <c r="D21" s="737" t="s">
        <v>277</v>
      </c>
      <c r="E21" s="738" t="s">
        <v>277</v>
      </c>
      <c r="F21" s="738">
        <f t="shared" si="0"/>
        <v>182.47845000000001</v>
      </c>
      <c r="G21" s="739">
        <v>165.8895</v>
      </c>
      <c r="H21" s="743" t="s">
        <v>891</v>
      </c>
      <c r="I21" s="742"/>
    </row>
    <row r="22" spans="1:10" s="133" customFormat="1" ht="234">
      <c r="A22" s="734" t="s">
        <v>1885</v>
      </c>
      <c r="B22" s="735" t="s">
        <v>900</v>
      </c>
      <c r="C22" s="736" t="s">
        <v>1483</v>
      </c>
      <c r="D22" s="737" t="s">
        <v>277</v>
      </c>
      <c r="E22" s="738" t="s">
        <v>277</v>
      </c>
      <c r="F22" s="738">
        <f t="shared" si="0"/>
        <v>182.47845000000001</v>
      </c>
      <c r="G22" s="739">
        <v>165.8895</v>
      </c>
      <c r="H22" s="743" t="s">
        <v>891</v>
      </c>
      <c r="I22" s="742"/>
    </row>
    <row r="23" spans="1:10" s="133" customFormat="1" ht="234">
      <c r="A23" s="734" t="s">
        <v>1886</v>
      </c>
      <c r="B23" s="735" t="s">
        <v>901</v>
      </c>
      <c r="C23" s="736" t="s">
        <v>1483</v>
      </c>
      <c r="D23" s="737" t="s">
        <v>277</v>
      </c>
      <c r="E23" s="738" t="s">
        <v>277</v>
      </c>
      <c r="F23" s="738">
        <f t="shared" si="0"/>
        <v>181.92900000000003</v>
      </c>
      <c r="G23" s="739">
        <v>165.39000000000001</v>
      </c>
      <c r="H23" s="743" t="s">
        <v>891</v>
      </c>
      <c r="I23" s="742"/>
    </row>
    <row r="24" spans="1:10" s="145" customFormat="1" ht="14.25">
      <c r="A24" s="170"/>
      <c r="B24" s="431"/>
      <c r="C24" s="142"/>
      <c r="D24" s="142"/>
      <c r="E24" s="249"/>
      <c r="F24" s="249"/>
      <c r="G24" s="249"/>
      <c r="H24" s="249"/>
      <c r="I24" s="1459"/>
      <c r="J24" s="1459"/>
    </row>
    <row r="25" spans="1:10" s="145" customFormat="1" ht="14.25">
      <c r="A25" s="170"/>
      <c r="B25" s="431"/>
      <c r="C25" s="142"/>
      <c r="D25" s="142"/>
      <c r="E25" s="249"/>
      <c r="F25" s="249"/>
      <c r="G25" s="249"/>
      <c r="H25" s="249"/>
      <c r="I25" s="1459"/>
      <c r="J25" s="1459"/>
    </row>
    <row r="26" spans="1:10" s="145" customFormat="1" ht="14.25">
      <c r="A26" s="483"/>
      <c r="B26" s="171"/>
      <c r="C26" s="142"/>
      <c r="D26" s="142"/>
      <c r="E26" s="249"/>
      <c r="F26" s="249"/>
      <c r="G26" s="249"/>
      <c r="H26" s="249"/>
      <c r="I26" s="1459"/>
      <c r="J26" s="1459"/>
    </row>
    <row r="27" spans="1:10" s="145" customFormat="1" ht="14.25">
      <c r="B27" s="431"/>
      <c r="C27" s="142"/>
      <c r="D27" s="142"/>
      <c r="E27" s="249"/>
      <c r="F27" s="249"/>
      <c r="G27" s="249"/>
      <c r="H27" s="249"/>
      <c r="I27" s="1459"/>
      <c r="J27" s="1459"/>
    </row>
    <row r="28" spans="1:10" s="145" customFormat="1" ht="14.25">
      <c r="B28" s="431"/>
      <c r="C28" s="142"/>
      <c r="D28" s="142"/>
      <c r="E28" s="249"/>
      <c r="F28" s="249"/>
      <c r="G28" s="249"/>
      <c r="H28" s="249"/>
      <c r="I28" s="1459"/>
      <c r="J28" s="1459"/>
    </row>
    <row r="29" spans="1:10" s="145" customFormat="1" ht="14.25">
      <c r="B29" s="431"/>
      <c r="C29" s="142"/>
      <c r="D29" s="142"/>
      <c r="E29" s="249"/>
      <c r="F29" s="249"/>
      <c r="G29" s="249"/>
      <c r="H29" s="249"/>
      <c r="I29" s="1459"/>
      <c r="J29" s="1459"/>
    </row>
    <row r="30" spans="1:10" s="9" customFormat="1" ht="14.25">
      <c r="A30" s="151"/>
      <c r="B30" s="142"/>
      <c r="C30" s="143"/>
      <c r="D30" s="143"/>
      <c r="E30" s="488"/>
      <c r="F30" s="488"/>
      <c r="G30" s="488"/>
      <c r="H30" s="249"/>
      <c r="I30" s="1459"/>
      <c r="J30" s="1459"/>
    </row>
    <row r="31" spans="1:10" s="9" customFormat="1" ht="14.25">
      <c r="A31" s="145"/>
      <c r="B31" s="144"/>
      <c r="C31" s="143"/>
      <c r="D31" s="143"/>
      <c r="E31" s="488"/>
      <c r="F31" s="488"/>
      <c r="G31" s="488"/>
      <c r="H31" s="249"/>
      <c r="I31" s="1459"/>
      <c r="J31" s="1459"/>
    </row>
  </sheetData>
  <mergeCells count="22">
    <mergeCell ref="A1:B1"/>
    <mergeCell ref="B2:D2"/>
    <mergeCell ref="E2:G4"/>
    <mergeCell ref="H2:H4"/>
    <mergeCell ref="A5:B6"/>
    <mergeCell ref="H5:H6"/>
    <mergeCell ref="F6:G6"/>
    <mergeCell ref="I24:J24"/>
    <mergeCell ref="C7:C8"/>
    <mergeCell ref="D7:D8"/>
    <mergeCell ref="E7:E8"/>
    <mergeCell ref="F7:F8"/>
    <mergeCell ref="G7:G8"/>
    <mergeCell ref="H7:H8"/>
    <mergeCell ref="B9:G9"/>
    <mergeCell ref="I31:J31"/>
    <mergeCell ref="I25:J25"/>
    <mergeCell ref="I26:J26"/>
    <mergeCell ref="I27:J27"/>
    <mergeCell ref="I28:J28"/>
    <mergeCell ref="I29:J29"/>
    <mergeCell ref="I30:J30"/>
  </mergeCells>
  <printOptions gridLines="1"/>
  <pageMargins left="0.75" right="0.75" top="1" bottom="1" header="0.5" footer="0.5"/>
  <pageSetup scale="55" orientation="landscape" horizontalDpi="1200" verticalDpi="1200" r:id="rId1"/>
  <headerFooter>
    <oddHeader>&amp;L&amp;F&amp;C&amp;A&amp;R&amp;G</oddHeader>
    <oddFooter>&amp;C&amp;"Tahoma,Italic"Use or disclosure of the data on this page or screen is subject to the restrictions on the title page or opening view screen of this proposal document or file.&amp;R&amp;P of &amp;N</oddFooter>
  </headerFooter>
  <ignoredErrors>
    <ignoredError sqref="F10:F18 F19:F23" unlockedFormula="1"/>
  </ignoredErrors>
  <legacyDrawingHF r:id="rId2"/>
</worksheet>
</file>

<file path=xl/worksheets/sheet35.xml><?xml version="1.0" encoding="utf-8"?>
<worksheet xmlns="http://schemas.openxmlformats.org/spreadsheetml/2006/main" xmlns:r="http://schemas.openxmlformats.org/officeDocument/2006/relationships">
  <dimension ref="A1:N26"/>
  <sheetViews>
    <sheetView zoomScaleNormal="100" workbookViewId="0">
      <selection activeCell="A2" sqref="A2"/>
    </sheetView>
  </sheetViews>
  <sheetFormatPr defaultRowHeight="10.5"/>
  <cols>
    <col min="2" max="2" width="25.6640625" customWidth="1"/>
    <col min="3" max="3" width="21.83203125" customWidth="1"/>
    <col min="4" max="4" width="11.83203125" hidden="1" customWidth="1"/>
    <col min="5" max="5" width="14.33203125" customWidth="1"/>
    <col min="6" max="6" width="11.83203125" customWidth="1"/>
    <col min="7" max="7" width="13.83203125" hidden="1" customWidth="1"/>
    <col min="8" max="8" width="52.83203125" customWidth="1"/>
    <col min="9" max="9" width="31.33203125" customWidth="1"/>
  </cols>
  <sheetData>
    <row r="1" spans="1:14">
      <c r="A1" s="1555" t="s">
        <v>424</v>
      </c>
      <c r="B1" s="1556"/>
      <c r="C1" s="1556"/>
      <c r="D1" s="1556"/>
      <c r="E1" s="1556"/>
      <c r="F1" s="1556"/>
      <c r="G1" s="1556"/>
      <c r="H1" s="1556"/>
      <c r="I1" s="1556"/>
      <c r="J1" s="8"/>
      <c r="K1" s="8"/>
      <c r="L1" s="8"/>
      <c r="M1" s="8"/>
      <c r="N1" s="8"/>
    </row>
    <row r="2" spans="1:14" s="81" customFormat="1" ht="21">
      <c r="A2" s="379"/>
      <c r="B2" s="1339" t="s">
        <v>370</v>
      </c>
      <c r="C2" s="1339"/>
      <c r="D2" s="1339"/>
      <c r="E2" s="1340" t="s">
        <v>622</v>
      </c>
      <c r="F2" s="1340"/>
      <c r="G2" s="1340"/>
      <c r="H2" s="1403"/>
      <c r="I2" s="370" t="s">
        <v>631</v>
      </c>
      <c r="J2" s="138"/>
      <c r="K2" s="138"/>
      <c r="L2" s="138"/>
      <c r="M2" s="138"/>
      <c r="N2" s="138"/>
    </row>
    <row r="3" spans="1:14" s="81" customFormat="1">
      <c r="A3" s="419" t="s">
        <v>426</v>
      </c>
      <c r="B3" s="419"/>
      <c r="C3" s="419"/>
      <c r="D3" s="419"/>
      <c r="E3" s="1340"/>
      <c r="F3" s="1340"/>
      <c r="G3" s="1340"/>
      <c r="H3" s="1403"/>
      <c r="I3" s="370"/>
      <c r="J3" s="138"/>
      <c r="K3" s="138"/>
      <c r="L3" s="138"/>
      <c r="M3" s="138"/>
      <c r="N3" s="138"/>
    </row>
    <row r="4" spans="1:14" s="81" customFormat="1">
      <c r="A4" s="419"/>
      <c r="B4" s="419"/>
      <c r="C4" s="419"/>
      <c r="D4" s="419"/>
      <c r="E4" s="1340"/>
      <c r="F4" s="1340"/>
      <c r="G4" s="1340"/>
      <c r="H4" s="1403"/>
      <c r="I4" s="370"/>
      <c r="J4" s="138"/>
      <c r="K4" s="138"/>
      <c r="L4" s="138"/>
      <c r="M4" s="138"/>
      <c r="N4" s="138"/>
    </row>
    <row r="5" spans="1:14" s="81" customFormat="1" ht="31.5">
      <c r="A5" s="1313" t="s">
        <v>1484</v>
      </c>
      <c r="B5" s="1313"/>
      <c r="C5" s="386"/>
      <c r="D5" s="275" t="s">
        <v>624</v>
      </c>
      <c r="E5" s="1238"/>
      <c r="F5" s="1238"/>
      <c r="G5" s="1238"/>
      <c r="H5" s="1403"/>
      <c r="I5" s="370"/>
      <c r="J5" s="138"/>
      <c r="K5" s="138"/>
      <c r="L5" s="138"/>
      <c r="M5" s="138"/>
      <c r="N5" s="138"/>
    </row>
    <row r="6" spans="1:14">
      <c r="A6" s="1313"/>
      <c r="B6" s="1313"/>
      <c r="C6" s="390"/>
      <c r="D6" s="237"/>
      <c r="E6" s="1240"/>
      <c r="F6" s="1542"/>
      <c r="G6" s="1542"/>
      <c r="H6" s="1403"/>
      <c r="I6" s="370"/>
      <c r="J6" s="8"/>
      <c r="K6" s="8"/>
      <c r="L6" s="8"/>
      <c r="M6" s="8"/>
      <c r="N6" s="8"/>
    </row>
    <row r="7" spans="1:14" ht="33" customHeight="1">
      <c r="A7" s="375" t="s">
        <v>653</v>
      </c>
      <c r="B7" s="330" t="s">
        <v>428</v>
      </c>
      <c r="C7" s="1311" t="s">
        <v>429</v>
      </c>
      <c r="D7" s="1278" t="s">
        <v>620</v>
      </c>
      <c r="E7" s="1318" t="s">
        <v>432</v>
      </c>
      <c r="F7" s="1316" t="s">
        <v>430</v>
      </c>
      <c r="G7" s="1317" t="s">
        <v>621</v>
      </c>
      <c r="H7" s="1404"/>
      <c r="I7" s="369" t="s">
        <v>627</v>
      </c>
      <c r="J7" s="8"/>
      <c r="K7" s="8"/>
      <c r="L7" s="8"/>
      <c r="M7" s="8"/>
      <c r="N7" s="8"/>
    </row>
    <row r="8" spans="1:14" ht="11.25">
      <c r="A8" s="367"/>
      <c r="B8" s="99"/>
      <c r="C8" s="1311"/>
      <c r="D8" s="1279"/>
      <c r="E8" s="1318"/>
      <c r="F8" s="1316"/>
      <c r="G8" s="1317"/>
      <c r="H8" s="1404"/>
      <c r="I8" s="369"/>
      <c r="J8" s="8"/>
      <c r="K8" s="8"/>
      <c r="L8" s="8"/>
      <c r="M8" s="8"/>
      <c r="N8" s="8"/>
    </row>
    <row r="9" spans="1:14" s="133" customFormat="1" ht="14.25">
      <c r="A9" s="507"/>
      <c r="B9" s="1476" t="s">
        <v>902</v>
      </c>
      <c r="C9" s="1461"/>
      <c r="D9" s="1461"/>
      <c r="E9" s="1461"/>
      <c r="F9" s="1461"/>
      <c r="G9" s="1461"/>
      <c r="H9" s="281"/>
      <c r="I9" s="371"/>
      <c r="J9" s="334"/>
    </row>
    <row r="10" spans="1:14" s="133" customFormat="1" ht="31.5">
      <c r="A10" s="760" t="s">
        <v>2081</v>
      </c>
      <c r="B10" s="509" t="s">
        <v>1211</v>
      </c>
      <c r="C10" s="501" t="s">
        <v>1483</v>
      </c>
      <c r="D10" s="304" t="s">
        <v>277</v>
      </c>
      <c r="E10" s="304" t="s">
        <v>277</v>
      </c>
      <c r="F10" s="201">
        <f>SUM(G10*1.1)</f>
        <v>62.271000000000008</v>
      </c>
      <c r="G10" s="508">
        <v>56.61</v>
      </c>
      <c r="H10" s="500" t="s">
        <v>1206</v>
      </c>
      <c r="I10" s="135"/>
    </row>
    <row r="11" spans="1:14" s="133" customFormat="1" ht="33.75">
      <c r="A11" s="766" t="s">
        <v>2082</v>
      </c>
      <c r="B11" s="509" t="s">
        <v>1212</v>
      </c>
      <c r="C11" s="501" t="s">
        <v>1483</v>
      </c>
      <c r="D11" s="304" t="s">
        <v>277</v>
      </c>
      <c r="E11" s="304" t="s">
        <v>277</v>
      </c>
      <c r="F11" s="502">
        <v>54.35</v>
      </c>
      <c r="G11" s="508">
        <v>53.28</v>
      </c>
      <c r="H11" s="500" t="s">
        <v>1206</v>
      </c>
      <c r="I11" s="135"/>
    </row>
    <row r="12" spans="1:14" s="133" customFormat="1" ht="42">
      <c r="A12" s="760" t="s">
        <v>2083</v>
      </c>
      <c r="B12" s="509" t="s">
        <v>1213</v>
      </c>
      <c r="C12" s="501" t="s">
        <v>1483</v>
      </c>
      <c r="D12" s="304" t="s">
        <v>277</v>
      </c>
      <c r="E12" s="304" t="s">
        <v>277</v>
      </c>
      <c r="F12" s="502">
        <v>48.68</v>
      </c>
      <c r="G12" s="508">
        <v>47.73</v>
      </c>
      <c r="H12" s="500" t="s">
        <v>1220</v>
      </c>
      <c r="I12" s="135"/>
    </row>
    <row r="13" spans="1:14" s="133" customFormat="1" ht="39" customHeight="1">
      <c r="A13" s="760" t="s">
        <v>2084</v>
      </c>
      <c r="B13" s="509" t="s">
        <v>1214</v>
      </c>
      <c r="C13" s="501" t="s">
        <v>1483</v>
      </c>
      <c r="D13" s="304" t="s">
        <v>277</v>
      </c>
      <c r="E13" s="304" t="s">
        <v>277</v>
      </c>
      <c r="F13" s="502">
        <v>46.42</v>
      </c>
      <c r="G13" s="508">
        <v>45.51</v>
      </c>
      <c r="H13" s="500" t="s">
        <v>1206</v>
      </c>
      <c r="I13" s="135"/>
    </row>
    <row r="14" spans="1:14" s="133" customFormat="1" ht="33.75">
      <c r="A14" s="760" t="s">
        <v>2085</v>
      </c>
      <c r="B14" s="509" t="s">
        <v>1215</v>
      </c>
      <c r="C14" s="501" t="s">
        <v>1483</v>
      </c>
      <c r="D14" s="304" t="s">
        <v>277</v>
      </c>
      <c r="E14" s="304" t="s">
        <v>277</v>
      </c>
      <c r="F14" s="502">
        <v>60.28</v>
      </c>
      <c r="G14" s="508">
        <v>59.1</v>
      </c>
      <c r="H14" s="500" t="s">
        <v>1206</v>
      </c>
      <c r="I14" s="135"/>
    </row>
    <row r="15" spans="1:14" s="133" customFormat="1" ht="33.75">
      <c r="A15" s="760" t="s">
        <v>2086</v>
      </c>
      <c r="B15" s="509" t="s">
        <v>1216</v>
      </c>
      <c r="C15" s="501" t="s">
        <v>1483</v>
      </c>
      <c r="D15" s="304" t="s">
        <v>277</v>
      </c>
      <c r="E15" s="304" t="s">
        <v>277</v>
      </c>
      <c r="F15" s="502">
        <v>69.06</v>
      </c>
      <c r="G15" s="508">
        <v>67.709999999999994</v>
      </c>
      <c r="H15" s="500" t="s">
        <v>1207</v>
      </c>
      <c r="I15" s="135"/>
    </row>
    <row r="16" spans="1:14" s="133" customFormat="1" ht="52.5">
      <c r="A16" s="760" t="s">
        <v>2087</v>
      </c>
      <c r="B16" s="509" t="s">
        <v>1217</v>
      </c>
      <c r="C16" s="501" t="s">
        <v>1483</v>
      </c>
      <c r="D16" s="304" t="s">
        <v>277</v>
      </c>
      <c r="E16" s="304" t="s">
        <v>277</v>
      </c>
      <c r="F16" s="502">
        <v>221.9</v>
      </c>
      <c r="G16" s="508">
        <v>217.55</v>
      </c>
      <c r="H16" s="500" t="s">
        <v>1208</v>
      </c>
      <c r="I16" s="135"/>
    </row>
    <row r="17" spans="1:10" s="133" customFormat="1" ht="33.75">
      <c r="A17" s="760" t="s">
        <v>2088</v>
      </c>
      <c r="B17" s="509" t="s">
        <v>1218</v>
      </c>
      <c r="C17" s="501" t="s">
        <v>1483</v>
      </c>
      <c r="D17" s="304" t="s">
        <v>277</v>
      </c>
      <c r="E17" s="304" t="s">
        <v>277</v>
      </c>
      <c r="F17" s="502">
        <v>176.61</v>
      </c>
      <c r="G17" s="508">
        <v>173.15</v>
      </c>
      <c r="H17" s="500" t="s">
        <v>1209</v>
      </c>
      <c r="I17" s="135"/>
    </row>
    <row r="18" spans="1:10" s="133" customFormat="1" ht="39.75" customHeight="1">
      <c r="A18" s="760" t="s">
        <v>2089</v>
      </c>
      <c r="B18" s="509" t="s">
        <v>1219</v>
      </c>
      <c r="C18" s="501" t="s">
        <v>1483</v>
      </c>
      <c r="D18" s="304" t="s">
        <v>277</v>
      </c>
      <c r="E18" s="304" t="s">
        <v>277</v>
      </c>
      <c r="F18" s="502">
        <v>46.42</v>
      </c>
      <c r="G18" s="508">
        <v>45.51</v>
      </c>
      <c r="H18" s="500" t="s">
        <v>1210</v>
      </c>
      <c r="I18" s="135"/>
    </row>
    <row r="19" spans="1:10" s="145" customFormat="1" ht="14.25">
      <c r="A19" s="54"/>
      <c r="B19" s="38"/>
      <c r="C19" s="34"/>
      <c r="D19" s="34"/>
      <c r="E19" s="43"/>
      <c r="F19" s="43"/>
      <c r="G19" s="43"/>
      <c r="H19" s="43"/>
      <c r="I19" s="1459"/>
      <c r="J19" s="1459"/>
    </row>
    <row r="20" spans="1:10" s="145" customFormat="1" ht="14.25">
      <c r="A20" s="54"/>
      <c r="B20" s="38"/>
      <c r="C20" s="34"/>
      <c r="D20" s="34"/>
      <c r="E20" s="43"/>
      <c r="F20" s="43"/>
      <c r="G20" s="43"/>
      <c r="H20" s="43"/>
      <c r="I20" s="1459"/>
      <c r="J20" s="1459"/>
    </row>
    <row r="21" spans="1:10" s="145" customFormat="1" ht="14.25">
      <c r="A21" s="335"/>
      <c r="B21" s="336"/>
      <c r="C21" s="5"/>
      <c r="D21" s="5"/>
      <c r="E21" s="3"/>
      <c r="F21" s="3"/>
      <c r="G21" s="3"/>
      <c r="H21" s="43"/>
      <c r="I21" s="1459"/>
      <c r="J21" s="1459"/>
    </row>
    <row r="22" spans="1:10" s="145" customFormat="1" ht="14.25">
      <c r="A22" s="35"/>
      <c r="B22" s="38"/>
      <c r="C22" s="34"/>
      <c r="D22" s="34"/>
      <c r="E22" s="43"/>
      <c r="F22" s="43"/>
      <c r="G22" s="43"/>
      <c r="H22" s="43"/>
      <c r="I22" s="1459"/>
      <c r="J22" s="1459"/>
    </row>
    <row r="23" spans="1:10" s="145" customFormat="1" ht="14.25">
      <c r="A23" s="35"/>
      <c r="B23" s="38"/>
      <c r="C23" s="34"/>
      <c r="D23" s="34"/>
      <c r="E23" s="43"/>
      <c r="F23" s="43"/>
      <c r="G23" s="43"/>
      <c r="H23" s="43"/>
      <c r="I23" s="1459"/>
      <c r="J23" s="1459"/>
    </row>
    <row r="24" spans="1:10" s="145" customFormat="1" ht="14.25">
      <c r="A24" s="35"/>
      <c r="B24" s="38"/>
      <c r="C24" s="34"/>
      <c r="D24" s="34"/>
      <c r="E24" s="43"/>
      <c r="F24" s="43"/>
      <c r="G24" s="43"/>
      <c r="H24" s="43"/>
      <c r="I24" s="1459"/>
      <c r="J24" s="1459"/>
    </row>
    <row r="25" spans="1:10" s="9" customFormat="1" ht="14.25">
      <c r="A25" s="79"/>
      <c r="B25" s="34"/>
      <c r="C25" s="33"/>
      <c r="D25" s="33"/>
      <c r="E25" s="42"/>
      <c r="F25" s="42"/>
      <c r="G25" s="42"/>
      <c r="H25" s="43"/>
      <c r="I25" s="1459"/>
      <c r="J25" s="1459"/>
    </row>
    <row r="26" spans="1:10" s="9" customFormat="1" ht="14.25">
      <c r="A26" s="35"/>
      <c r="B26" s="36"/>
      <c r="C26" s="33"/>
      <c r="D26" s="33"/>
      <c r="E26" s="42"/>
      <c r="F26" s="42"/>
      <c r="G26" s="42"/>
      <c r="H26" s="43"/>
      <c r="I26" s="1459"/>
      <c r="J26" s="1459"/>
    </row>
  </sheetData>
  <mergeCells count="22">
    <mergeCell ref="A1:I1"/>
    <mergeCell ref="B2:D2"/>
    <mergeCell ref="E2:G4"/>
    <mergeCell ref="H2:H4"/>
    <mergeCell ref="A5:B6"/>
    <mergeCell ref="H5:H6"/>
    <mergeCell ref="F6:G6"/>
    <mergeCell ref="I19:J19"/>
    <mergeCell ref="C7:C8"/>
    <mergeCell ref="D7:D8"/>
    <mergeCell ref="E7:E8"/>
    <mergeCell ref="F7:F8"/>
    <mergeCell ref="G7:G8"/>
    <mergeCell ref="H7:H8"/>
    <mergeCell ref="B9:G9"/>
    <mergeCell ref="I26:J26"/>
    <mergeCell ref="I20:J20"/>
    <mergeCell ref="I21:J21"/>
    <mergeCell ref="I22:J22"/>
    <mergeCell ref="I23:J23"/>
    <mergeCell ref="I24:J24"/>
    <mergeCell ref="I25:J25"/>
  </mergeCells>
  <pageMargins left="0.75" right="0.75" top="1" bottom="1" header="0.5" footer="0.5"/>
  <pageSetup scale="58" orientation="landscape" r:id="rId1"/>
  <headerFooter>
    <oddHeader>&amp;L&amp;F&amp;C&amp;A&amp;R&amp;G</oddHeader>
    <oddFooter>&amp;C&amp;"Tahoma,Italic"Use or disclosure of the data on this page or screen is subject to the restrictions on the title page or opening view screen of this proposal document or file.&amp;R&amp;P of &amp;N</oddFooter>
  </headerFooter>
  <ignoredErrors>
    <ignoredError sqref="F11:F18 F10" unlockedFormula="1"/>
  </ignoredErrors>
  <legacyDrawingHF r:id="rId2"/>
</worksheet>
</file>

<file path=xl/worksheets/sheet36.xml><?xml version="1.0" encoding="utf-8"?>
<worksheet xmlns="http://schemas.openxmlformats.org/spreadsheetml/2006/main" xmlns:r="http://schemas.openxmlformats.org/officeDocument/2006/relationships">
  <sheetPr>
    <tabColor theme="3" tint="0.79998168889431442"/>
  </sheetPr>
  <dimension ref="A1:O31"/>
  <sheetViews>
    <sheetView view="pageBreakPreview" zoomScale="90" zoomScaleNormal="100" zoomScaleSheetLayoutView="90" workbookViewId="0">
      <selection sqref="A1:B1"/>
    </sheetView>
  </sheetViews>
  <sheetFormatPr defaultRowHeight="10.5"/>
  <cols>
    <col min="1" max="1" width="18.83203125" style="143" customWidth="1"/>
    <col min="2" max="2" width="47.6640625" style="143" customWidth="1"/>
    <col min="3" max="3" width="19.6640625" style="309" customWidth="1"/>
    <col min="4" max="4" width="15.1640625" style="143" hidden="1" customWidth="1"/>
    <col min="5" max="5" width="14.33203125" style="143" customWidth="1"/>
    <col min="6" max="6" width="19.33203125" style="143" customWidth="1"/>
    <col min="7" max="7" width="18.83203125" style="143" hidden="1" customWidth="1"/>
    <col min="8" max="8" width="18.6640625" style="143" customWidth="1"/>
    <col min="9" max="9" width="19" style="143" customWidth="1"/>
    <col min="10" max="10" width="26.1640625" style="143" customWidth="1"/>
  </cols>
  <sheetData>
    <row r="1" spans="1:15" ht="15" customHeight="1">
      <c r="A1" s="1551" t="s">
        <v>424</v>
      </c>
      <c r="B1" s="1552"/>
      <c r="C1" s="226"/>
      <c r="D1" s="226"/>
      <c r="E1" s="226"/>
      <c r="F1" s="226"/>
      <c r="G1" s="226"/>
      <c r="H1" s="226"/>
      <c r="I1" s="226"/>
      <c r="J1" s="837"/>
      <c r="K1" s="8"/>
      <c r="L1" s="8"/>
      <c r="M1" s="8"/>
      <c r="N1" s="8"/>
      <c r="O1" s="8"/>
    </row>
    <row r="2" spans="1:15" s="81" customFormat="1" ht="39.75" customHeight="1">
      <c r="A2" s="719"/>
      <c r="B2" s="1471" t="s">
        <v>370</v>
      </c>
      <c r="C2" s="1471"/>
      <c r="D2" s="1471"/>
      <c r="E2" s="1472" t="s">
        <v>622</v>
      </c>
      <c r="F2" s="1472"/>
      <c r="G2" s="1472"/>
      <c r="H2" s="1473" t="s">
        <v>623</v>
      </c>
      <c r="I2" s="1474"/>
      <c r="J2" s="720"/>
      <c r="K2" s="138"/>
      <c r="L2" s="138"/>
      <c r="M2" s="138"/>
      <c r="N2" s="138"/>
      <c r="O2" s="138"/>
    </row>
    <row r="3" spans="1:15" s="81" customFormat="1" ht="10.5" customHeight="1">
      <c r="A3" s="721" t="s">
        <v>426</v>
      </c>
      <c r="B3" s="721"/>
      <c r="C3" s="721"/>
      <c r="D3" s="721"/>
      <c r="E3" s="1472"/>
      <c r="F3" s="1472"/>
      <c r="G3" s="1472"/>
      <c r="H3" s="1473"/>
      <c r="I3" s="1474"/>
      <c r="J3" s="720"/>
      <c r="K3" s="138"/>
      <c r="L3" s="138"/>
      <c r="M3" s="138"/>
      <c r="N3" s="138"/>
      <c r="O3" s="138"/>
    </row>
    <row r="4" spans="1:15" s="81" customFormat="1" ht="10.5" customHeight="1">
      <c r="A4" s="721"/>
      <c r="B4" s="721"/>
      <c r="C4" s="721"/>
      <c r="D4" s="721"/>
      <c r="E4" s="1472"/>
      <c r="F4" s="1472"/>
      <c r="G4" s="1472"/>
      <c r="H4" s="1473"/>
      <c r="I4" s="1474"/>
      <c r="J4" s="720"/>
      <c r="K4" s="138"/>
      <c r="L4" s="138"/>
      <c r="M4" s="138"/>
      <c r="N4" s="138"/>
      <c r="O4" s="138"/>
    </row>
    <row r="5" spans="1:15" s="81" customFormat="1" ht="21.75" customHeight="1">
      <c r="A5" s="1475" t="s">
        <v>1658</v>
      </c>
      <c r="B5" s="1475"/>
      <c r="C5" s="722"/>
      <c r="D5" s="838" t="s">
        <v>624</v>
      </c>
      <c r="E5" s="1242"/>
      <c r="F5" s="1242"/>
      <c r="G5" s="1242"/>
      <c r="H5" s="1473" t="s">
        <v>625</v>
      </c>
      <c r="I5" s="1474"/>
      <c r="J5" s="720"/>
      <c r="K5" s="138"/>
      <c r="L5" s="138"/>
      <c r="M5" s="138"/>
      <c r="N5" s="138"/>
      <c r="O5" s="138"/>
    </row>
    <row r="6" spans="1:15" ht="69.75" customHeight="1">
      <c r="A6" s="1475"/>
      <c r="B6" s="1475"/>
      <c r="C6" s="839"/>
      <c r="D6" s="725"/>
      <c r="E6" s="1553"/>
      <c r="F6" s="1557"/>
      <c r="G6" s="1557"/>
      <c r="H6" s="1473"/>
      <c r="I6" s="1474"/>
      <c r="J6" s="720"/>
      <c r="K6" s="8"/>
      <c r="L6" s="8"/>
      <c r="M6" s="8"/>
      <c r="N6" s="8"/>
      <c r="O6" s="8"/>
    </row>
    <row r="7" spans="1:15" ht="21" customHeight="1">
      <c r="A7" s="726" t="s">
        <v>653</v>
      </c>
      <c r="B7" s="727" t="s">
        <v>428</v>
      </c>
      <c r="C7" s="1463" t="s">
        <v>429</v>
      </c>
      <c r="D7" s="1464" t="s">
        <v>620</v>
      </c>
      <c r="E7" s="1465" t="s">
        <v>432</v>
      </c>
      <c r="F7" s="1466" t="s">
        <v>430</v>
      </c>
      <c r="G7" s="1464" t="s">
        <v>621</v>
      </c>
      <c r="H7" s="1467" t="s">
        <v>431</v>
      </c>
      <c r="I7" s="1468"/>
      <c r="J7" s="728" t="s">
        <v>627</v>
      </c>
      <c r="K7" s="8"/>
      <c r="L7" s="8"/>
      <c r="M7" s="8"/>
      <c r="N7" s="8"/>
      <c r="O7" s="8"/>
    </row>
    <row r="8" spans="1:15" ht="62.25" customHeight="1">
      <c r="A8" s="729"/>
      <c r="B8" s="730"/>
      <c r="C8" s="1463"/>
      <c r="D8" s="1464"/>
      <c r="E8" s="1465"/>
      <c r="F8" s="1466"/>
      <c r="G8" s="1464"/>
      <c r="H8" s="1467"/>
      <c r="I8" s="1468"/>
      <c r="J8" s="728"/>
      <c r="K8" s="8"/>
      <c r="L8" s="8"/>
      <c r="M8" s="8"/>
      <c r="N8" s="8"/>
      <c r="O8" s="8"/>
    </row>
    <row r="9" spans="1:15" s="133" customFormat="1" ht="18">
      <c r="A9" s="875"/>
      <c r="B9" s="1477" t="s">
        <v>2735</v>
      </c>
      <c r="C9" s="1478"/>
      <c r="D9" s="1478"/>
      <c r="E9" s="1478"/>
      <c r="F9" s="1478"/>
      <c r="G9" s="1478"/>
      <c r="H9" s="876"/>
      <c r="I9" s="738"/>
      <c r="J9" s="877"/>
      <c r="K9" s="334"/>
    </row>
    <row r="10" spans="1:15" s="133" customFormat="1" ht="28.5">
      <c r="A10" s="734" t="s">
        <v>2736</v>
      </c>
      <c r="B10" s="878" t="s">
        <v>2737</v>
      </c>
      <c r="C10" s="879" t="s">
        <v>2738</v>
      </c>
      <c r="D10" s="880" t="s">
        <v>277</v>
      </c>
      <c r="E10" s="881" t="s">
        <v>277</v>
      </c>
      <c r="F10" s="881">
        <f>G10*1.1</f>
        <v>419.43000000000006</v>
      </c>
      <c r="G10" s="882">
        <v>381.3</v>
      </c>
      <c r="H10" s="740"/>
      <c r="I10" s="741"/>
      <c r="J10" s="883" t="s">
        <v>277</v>
      </c>
      <c r="K10" s="334"/>
    </row>
    <row r="11" spans="1:15" s="133" customFormat="1" ht="28.5">
      <c r="A11" s="734" t="s">
        <v>2739</v>
      </c>
      <c r="B11" s="878" t="s">
        <v>2740</v>
      </c>
      <c r="C11" s="879" t="s">
        <v>2738</v>
      </c>
      <c r="D11" s="880" t="s">
        <v>277</v>
      </c>
      <c r="E11" s="881" t="s">
        <v>277</v>
      </c>
      <c r="F11" s="881">
        <f t="shared" ref="F11:F12" si="0">G11*1.1</f>
        <v>493.96600000000007</v>
      </c>
      <c r="G11" s="880">
        <v>449.06</v>
      </c>
      <c r="H11" s="740"/>
      <c r="I11" s="741"/>
      <c r="J11" s="883" t="s">
        <v>277</v>
      </c>
    </row>
    <row r="12" spans="1:15" s="133" customFormat="1" ht="28.5">
      <c r="A12" s="734" t="s">
        <v>2741</v>
      </c>
      <c r="B12" s="878" t="s">
        <v>2742</v>
      </c>
      <c r="C12" s="879" t="s">
        <v>2738</v>
      </c>
      <c r="D12" s="880" t="s">
        <v>277</v>
      </c>
      <c r="E12" s="881" t="s">
        <v>277</v>
      </c>
      <c r="F12" s="881">
        <f t="shared" si="0"/>
        <v>141.61400000000003</v>
      </c>
      <c r="G12" s="882">
        <v>128.74</v>
      </c>
      <c r="H12" s="740"/>
      <c r="I12" s="741"/>
      <c r="J12" s="883" t="s">
        <v>277</v>
      </c>
    </row>
    <row r="13" spans="1:15" s="133" customFormat="1" ht="18">
      <c r="A13" s="734"/>
      <c r="B13" s="884"/>
      <c r="C13" s="879"/>
      <c r="D13" s="880"/>
      <c r="E13" s="881"/>
      <c r="F13" s="881"/>
      <c r="G13" s="882"/>
      <c r="H13" s="740"/>
      <c r="I13" s="743"/>
      <c r="J13" s="885"/>
    </row>
    <row r="14" spans="1:15" s="133" customFormat="1" ht="18">
      <c r="A14" s="886"/>
      <c r="B14" s="887" t="s">
        <v>2743</v>
      </c>
      <c r="C14" s="879"/>
      <c r="D14" s="880"/>
      <c r="E14" s="881"/>
      <c r="F14" s="881"/>
      <c r="G14" s="882"/>
      <c r="H14" s="740"/>
      <c r="I14" s="743"/>
      <c r="J14" s="885"/>
    </row>
    <row r="15" spans="1:15" s="133" customFormat="1" ht="28.5">
      <c r="A15" s="886" t="s">
        <v>2744</v>
      </c>
      <c r="B15" s="878" t="s">
        <v>2745</v>
      </c>
      <c r="C15" s="879" t="s">
        <v>2738</v>
      </c>
      <c r="D15" s="880" t="s">
        <v>277</v>
      </c>
      <c r="E15" s="881" t="s">
        <v>277</v>
      </c>
      <c r="F15" s="881">
        <f t="shared" ref="F15:F17" si="1">G15*1.1</f>
        <v>500.74200000000008</v>
      </c>
      <c r="G15" s="882">
        <v>455.22</v>
      </c>
      <c r="H15" s="740"/>
      <c r="I15" s="743"/>
      <c r="J15" s="883" t="s">
        <v>277</v>
      </c>
    </row>
    <row r="16" spans="1:15" s="133" customFormat="1" ht="28.5">
      <c r="A16" s="734" t="s">
        <v>2746</v>
      </c>
      <c r="B16" s="878" t="s">
        <v>2747</v>
      </c>
      <c r="C16" s="879" t="s">
        <v>2738</v>
      </c>
      <c r="D16" s="880" t="s">
        <v>277</v>
      </c>
      <c r="E16" s="881" t="s">
        <v>277</v>
      </c>
      <c r="F16" s="881">
        <f t="shared" si="1"/>
        <v>636.26200000000006</v>
      </c>
      <c r="G16" s="882">
        <v>578.41999999999996</v>
      </c>
      <c r="H16" s="740"/>
      <c r="I16" s="743"/>
      <c r="J16" s="883" t="s">
        <v>277</v>
      </c>
    </row>
    <row r="17" spans="1:11" s="133" customFormat="1" ht="28.5">
      <c r="A17" s="734" t="s">
        <v>2748</v>
      </c>
      <c r="B17" s="878" t="s">
        <v>2749</v>
      </c>
      <c r="C17" s="879" t="s">
        <v>2738</v>
      </c>
      <c r="D17" s="880" t="s">
        <v>277</v>
      </c>
      <c r="E17" s="881" t="s">
        <v>277</v>
      </c>
      <c r="F17" s="881">
        <f t="shared" si="1"/>
        <v>141.61400000000003</v>
      </c>
      <c r="G17" s="882">
        <v>128.74</v>
      </c>
      <c r="H17" s="740"/>
      <c r="I17" s="743"/>
      <c r="J17" s="883" t="s">
        <v>277</v>
      </c>
    </row>
    <row r="18" spans="1:11" s="133" customFormat="1" ht="18">
      <c r="A18" s="734"/>
      <c r="B18" s="735"/>
      <c r="C18" s="840"/>
      <c r="D18" s="737"/>
      <c r="E18" s="738"/>
      <c r="F18" s="738"/>
      <c r="G18" s="739"/>
      <c r="H18" s="740"/>
      <c r="I18" s="743"/>
      <c r="J18" s="742"/>
    </row>
    <row r="19" spans="1:11" s="133" customFormat="1" ht="18">
      <c r="A19" s="734"/>
      <c r="B19" s="735"/>
      <c r="C19" s="840"/>
      <c r="D19" s="737"/>
      <c r="E19" s="738"/>
      <c r="F19" s="738"/>
      <c r="G19" s="739"/>
      <c r="H19" s="740"/>
      <c r="I19" s="743"/>
      <c r="J19" s="742"/>
    </row>
    <row r="20" spans="1:11" s="133" customFormat="1" ht="18">
      <c r="A20" s="734"/>
      <c r="B20" s="735"/>
      <c r="C20" s="840"/>
      <c r="D20" s="737"/>
      <c r="E20" s="738"/>
      <c r="F20" s="738"/>
      <c r="G20" s="739"/>
      <c r="H20" s="740"/>
      <c r="I20" s="743"/>
      <c r="J20" s="742"/>
    </row>
    <row r="21" spans="1:11" s="133" customFormat="1" ht="18">
      <c r="A21" s="734"/>
      <c r="B21" s="735"/>
      <c r="C21" s="840"/>
      <c r="D21" s="737"/>
      <c r="E21" s="738"/>
      <c r="F21" s="738"/>
      <c r="G21" s="739"/>
      <c r="H21" s="740"/>
      <c r="I21" s="743"/>
      <c r="J21" s="742"/>
    </row>
    <row r="22" spans="1:11" s="133" customFormat="1" ht="18">
      <c r="A22" s="734"/>
      <c r="B22" s="735"/>
      <c r="C22" s="840"/>
      <c r="D22" s="737"/>
      <c r="E22" s="738"/>
      <c r="F22" s="738"/>
      <c r="G22" s="739"/>
      <c r="H22" s="740"/>
      <c r="I22" s="743"/>
      <c r="J22" s="742"/>
    </row>
    <row r="23" spans="1:11" s="133" customFormat="1" ht="18">
      <c r="A23" s="734"/>
      <c r="B23" s="735"/>
      <c r="C23" s="840"/>
      <c r="D23" s="737"/>
      <c r="E23" s="738"/>
      <c r="F23" s="738"/>
      <c r="G23" s="739"/>
      <c r="H23" s="740"/>
      <c r="I23" s="743"/>
      <c r="J23" s="742"/>
    </row>
    <row r="24" spans="1:11" s="145" customFormat="1" ht="14.25">
      <c r="A24" s="170"/>
      <c r="B24" s="431"/>
      <c r="C24" s="142"/>
      <c r="D24" s="142"/>
      <c r="E24" s="249"/>
      <c r="F24" s="249"/>
      <c r="G24" s="249"/>
      <c r="H24" s="249"/>
      <c r="I24" s="249"/>
      <c r="J24" s="1459"/>
      <c r="K24" s="1459"/>
    </row>
    <row r="25" spans="1:11" s="145" customFormat="1" ht="14.25">
      <c r="A25" s="170"/>
      <c r="B25" s="431"/>
      <c r="C25" s="142"/>
      <c r="D25" s="142"/>
      <c r="E25" s="249"/>
      <c r="F25" s="249"/>
      <c r="G25" s="249"/>
      <c r="H25" s="249"/>
      <c r="I25" s="249"/>
      <c r="J25" s="1459"/>
      <c r="K25" s="1459"/>
    </row>
    <row r="26" spans="1:11" s="145" customFormat="1" ht="14.25">
      <c r="A26" s="483"/>
      <c r="B26" s="171"/>
      <c r="C26" s="142"/>
      <c r="D26" s="142"/>
      <c r="E26" s="249"/>
      <c r="F26" s="249"/>
      <c r="G26" s="249"/>
      <c r="H26" s="249"/>
      <c r="I26" s="249"/>
      <c r="J26" s="1459"/>
      <c r="K26" s="1459"/>
    </row>
    <row r="27" spans="1:11" s="145" customFormat="1" ht="14.25">
      <c r="B27" s="431"/>
      <c r="C27" s="142"/>
      <c r="D27" s="142"/>
      <c r="E27" s="249"/>
      <c r="F27" s="249"/>
      <c r="G27" s="249"/>
      <c r="H27" s="249"/>
      <c r="I27" s="249"/>
      <c r="J27" s="1459"/>
      <c r="K27" s="1459"/>
    </row>
    <row r="28" spans="1:11" s="145" customFormat="1" ht="14.25">
      <c r="B28" s="431"/>
      <c r="C28" s="142"/>
      <c r="D28" s="142"/>
      <c r="E28" s="249"/>
      <c r="F28" s="249"/>
      <c r="G28" s="249"/>
      <c r="H28" s="249"/>
      <c r="I28" s="249"/>
      <c r="J28" s="1459"/>
      <c r="K28" s="1459"/>
    </row>
    <row r="29" spans="1:11" s="145" customFormat="1" ht="14.25">
      <c r="B29" s="431"/>
      <c r="C29" s="142"/>
      <c r="D29" s="142"/>
      <c r="E29" s="249"/>
      <c r="F29" s="249"/>
      <c r="G29" s="249"/>
      <c r="H29" s="249"/>
      <c r="I29" s="249"/>
      <c r="J29" s="1459"/>
      <c r="K29" s="1459"/>
    </row>
    <row r="30" spans="1:11" s="9" customFormat="1" ht="14.25">
      <c r="A30" s="151"/>
      <c r="B30" s="142"/>
      <c r="C30" s="309"/>
      <c r="D30" s="143"/>
      <c r="E30" s="488"/>
      <c r="F30" s="488"/>
      <c r="G30" s="488"/>
      <c r="H30" s="249"/>
      <c r="I30" s="249"/>
      <c r="J30" s="1459"/>
      <c r="K30" s="1459"/>
    </row>
    <row r="31" spans="1:11" s="9" customFormat="1" ht="14.25">
      <c r="A31" s="145"/>
      <c r="B31" s="144"/>
      <c r="C31" s="309"/>
      <c r="D31" s="143"/>
      <c r="E31" s="488"/>
      <c r="F31" s="488"/>
      <c r="G31" s="488"/>
      <c r="H31" s="249"/>
      <c r="I31" s="249"/>
      <c r="J31" s="1459"/>
      <c r="K31" s="1459"/>
    </row>
  </sheetData>
  <mergeCells count="22">
    <mergeCell ref="A1:B1"/>
    <mergeCell ref="J31:K31"/>
    <mergeCell ref="J25:K25"/>
    <mergeCell ref="J26:K26"/>
    <mergeCell ref="J27:K27"/>
    <mergeCell ref="J28:K28"/>
    <mergeCell ref="J29:K29"/>
    <mergeCell ref="J30:K30"/>
    <mergeCell ref="J24:K24"/>
    <mergeCell ref="C7:C8"/>
    <mergeCell ref="D7:D8"/>
    <mergeCell ref="E7:E8"/>
    <mergeCell ref="F7:F8"/>
    <mergeCell ref="G7:G8"/>
    <mergeCell ref="H7:I8"/>
    <mergeCell ref="B9:G9"/>
    <mergeCell ref="B2:D2"/>
    <mergeCell ref="E2:G4"/>
    <mergeCell ref="H2:I4"/>
    <mergeCell ref="A5:B6"/>
    <mergeCell ref="H5:I6"/>
    <mergeCell ref="F6:G6"/>
  </mergeCells>
  <printOptions horizontalCentered="1" gridLines="1"/>
  <pageMargins left="0.2" right="0.22" top="1" bottom="1" header="0.5" footer="0.5"/>
  <pageSetup scale="55" orientation="landscape" horizontalDpi="1200" verticalDpi="1200" r:id="rId1"/>
  <headerFooter>
    <oddHeader>&amp;L&amp;F&amp;C&amp;A&amp;R&amp;G</oddHeader>
    <oddFooter>&amp;C&amp;"Tahoma,Italic"Use or disclosure of the data on this page or screen is subject to the restrictions on the title page or opening view screen of this proposal document or file.&amp;R&amp;P of &amp;N</oddFooter>
  </headerFooter>
  <legacyDrawingHF r:id="rId2"/>
</worksheet>
</file>

<file path=xl/worksheets/sheet37.xml><?xml version="1.0" encoding="utf-8"?>
<worksheet xmlns="http://schemas.openxmlformats.org/spreadsheetml/2006/main" xmlns:r="http://schemas.openxmlformats.org/officeDocument/2006/relationships">
  <sheetPr>
    <tabColor rgb="FFFFC000"/>
    <pageSetUpPr fitToPage="1"/>
  </sheetPr>
  <dimension ref="A1:S226"/>
  <sheetViews>
    <sheetView zoomScaleNormal="100" workbookViewId="0">
      <selection activeCell="A12" sqref="A12"/>
    </sheetView>
  </sheetViews>
  <sheetFormatPr defaultRowHeight="12.75"/>
  <cols>
    <col min="1" max="1" width="21.83203125" style="966" customWidth="1"/>
    <col min="2" max="2" width="29.5" style="966" customWidth="1"/>
    <col min="3" max="3" width="14.33203125" style="966" customWidth="1"/>
    <col min="4" max="4" width="12.5" style="966" customWidth="1"/>
    <col min="5" max="5" width="10.83203125" style="1015" hidden="1" customWidth="1"/>
    <col min="6" max="6" width="12.5" style="1015" hidden="1" customWidth="1"/>
    <col min="7" max="7" width="9.33203125" style="1015"/>
    <col min="8" max="8" width="13" style="1015" customWidth="1"/>
    <col min="9" max="10" width="13" style="912" customWidth="1"/>
    <col min="11" max="11" width="13" style="912" hidden="1" customWidth="1"/>
    <col min="12" max="12" width="13.6640625" style="912" hidden="1" customWidth="1"/>
    <col min="13" max="13" width="11.83203125" style="966" customWidth="1"/>
    <col min="14" max="14" width="57.1640625" style="966" customWidth="1"/>
    <col min="15" max="258" width="9.33203125" style="898"/>
    <col min="259" max="259" width="18.1640625" style="898" customWidth="1"/>
    <col min="260" max="260" width="23.1640625" style="898" customWidth="1"/>
    <col min="261" max="261" width="12.5" style="898" customWidth="1"/>
    <col min="262" max="262" width="10.83203125" style="898" customWidth="1"/>
    <col min="263" max="263" width="9.33203125" style="898"/>
    <col min="264" max="264" width="12.1640625" style="898" customWidth="1"/>
    <col min="265" max="265" width="11.1640625" style="898" customWidth="1"/>
    <col min="266" max="266" width="13.1640625" style="898" customWidth="1"/>
    <col min="267" max="267" width="11" style="898" customWidth="1"/>
    <col min="268" max="268" width="7.5" style="898" customWidth="1"/>
    <col min="269" max="269" width="18.5" style="898" customWidth="1"/>
    <col min="270" max="270" width="23.6640625" style="898" customWidth="1"/>
    <col min="271" max="514" width="9.33203125" style="898"/>
    <col min="515" max="515" width="18.1640625" style="898" customWidth="1"/>
    <col min="516" max="516" width="23.1640625" style="898" customWidth="1"/>
    <col min="517" max="517" width="12.5" style="898" customWidth="1"/>
    <col min="518" max="518" width="10.83203125" style="898" customWidth="1"/>
    <col min="519" max="519" width="9.33203125" style="898"/>
    <col min="520" max="520" width="12.1640625" style="898" customWidth="1"/>
    <col min="521" max="521" width="11.1640625" style="898" customWidth="1"/>
    <col min="522" max="522" width="13.1640625" style="898" customWidth="1"/>
    <col min="523" max="523" width="11" style="898" customWidth="1"/>
    <col min="524" max="524" width="7.5" style="898" customWidth="1"/>
    <col min="525" max="525" width="18.5" style="898" customWidth="1"/>
    <col min="526" max="526" width="23.6640625" style="898" customWidth="1"/>
    <col min="527" max="770" width="9.33203125" style="898"/>
    <col min="771" max="771" width="18.1640625" style="898" customWidth="1"/>
    <col min="772" max="772" width="23.1640625" style="898" customWidth="1"/>
    <col min="773" max="773" width="12.5" style="898" customWidth="1"/>
    <col min="774" max="774" width="10.83203125" style="898" customWidth="1"/>
    <col min="775" max="775" width="9.33203125" style="898"/>
    <col min="776" max="776" width="12.1640625" style="898" customWidth="1"/>
    <col min="777" max="777" width="11.1640625" style="898" customWidth="1"/>
    <col min="778" max="778" width="13.1640625" style="898" customWidth="1"/>
    <col min="779" max="779" width="11" style="898" customWidth="1"/>
    <col min="780" max="780" width="7.5" style="898" customWidth="1"/>
    <col min="781" max="781" width="18.5" style="898" customWidth="1"/>
    <col min="782" max="782" width="23.6640625" style="898" customWidth="1"/>
    <col min="783" max="1026" width="9.33203125" style="898"/>
    <col min="1027" max="1027" width="18.1640625" style="898" customWidth="1"/>
    <col min="1028" max="1028" width="23.1640625" style="898" customWidth="1"/>
    <col min="1029" max="1029" width="12.5" style="898" customWidth="1"/>
    <col min="1030" max="1030" width="10.83203125" style="898" customWidth="1"/>
    <col min="1031" max="1031" width="9.33203125" style="898"/>
    <col min="1032" max="1032" width="12.1640625" style="898" customWidth="1"/>
    <col min="1033" max="1033" width="11.1640625" style="898" customWidth="1"/>
    <col min="1034" max="1034" width="13.1640625" style="898" customWidth="1"/>
    <col min="1035" max="1035" width="11" style="898" customWidth="1"/>
    <col min="1036" max="1036" width="7.5" style="898" customWidth="1"/>
    <col min="1037" max="1037" width="18.5" style="898" customWidth="1"/>
    <col min="1038" max="1038" width="23.6640625" style="898" customWidth="1"/>
    <col min="1039" max="1282" width="9.33203125" style="898"/>
    <col min="1283" max="1283" width="18.1640625" style="898" customWidth="1"/>
    <col min="1284" max="1284" width="23.1640625" style="898" customWidth="1"/>
    <col min="1285" max="1285" width="12.5" style="898" customWidth="1"/>
    <col min="1286" max="1286" width="10.83203125" style="898" customWidth="1"/>
    <col min="1287" max="1287" width="9.33203125" style="898"/>
    <col min="1288" max="1288" width="12.1640625" style="898" customWidth="1"/>
    <col min="1289" max="1289" width="11.1640625" style="898" customWidth="1"/>
    <col min="1290" max="1290" width="13.1640625" style="898" customWidth="1"/>
    <col min="1291" max="1291" width="11" style="898" customWidth="1"/>
    <col min="1292" max="1292" width="7.5" style="898" customWidth="1"/>
    <col min="1293" max="1293" width="18.5" style="898" customWidth="1"/>
    <col min="1294" max="1294" width="23.6640625" style="898" customWidth="1"/>
    <col min="1295" max="1538" width="9.33203125" style="898"/>
    <col min="1539" max="1539" width="18.1640625" style="898" customWidth="1"/>
    <col min="1540" max="1540" width="23.1640625" style="898" customWidth="1"/>
    <col min="1541" max="1541" width="12.5" style="898" customWidth="1"/>
    <col min="1542" max="1542" width="10.83203125" style="898" customWidth="1"/>
    <col min="1543" max="1543" width="9.33203125" style="898"/>
    <col min="1544" max="1544" width="12.1640625" style="898" customWidth="1"/>
    <col min="1545" max="1545" width="11.1640625" style="898" customWidth="1"/>
    <col min="1546" max="1546" width="13.1640625" style="898" customWidth="1"/>
    <col min="1547" max="1547" width="11" style="898" customWidth="1"/>
    <col min="1548" max="1548" width="7.5" style="898" customWidth="1"/>
    <col min="1549" max="1549" width="18.5" style="898" customWidth="1"/>
    <col min="1550" max="1550" width="23.6640625" style="898" customWidth="1"/>
    <col min="1551" max="1794" width="9.33203125" style="898"/>
    <col min="1795" max="1795" width="18.1640625" style="898" customWidth="1"/>
    <col min="1796" max="1796" width="23.1640625" style="898" customWidth="1"/>
    <col min="1797" max="1797" width="12.5" style="898" customWidth="1"/>
    <col min="1798" max="1798" width="10.83203125" style="898" customWidth="1"/>
    <col min="1799" max="1799" width="9.33203125" style="898"/>
    <col min="1800" max="1800" width="12.1640625" style="898" customWidth="1"/>
    <col min="1801" max="1801" width="11.1640625" style="898" customWidth="1"/>
    <col min="1802" max="1802" width="13.1640625" style="898" customWidth="1"/>
    <col min="1803" max="1803" width="11" style="898" customWidth="1"/>
    <col min="1804" max="1804" width="7.5" style="898" customWidth="1"/>
    <col min="1805" max="1805" width="18.5" style="898" customWidth="1"/>
    <col min="1806" max="1806" width="23.6640625" style="898" customWidth="1"/>
    <col min="1807" max="2050" width="9.33203125" style="898"/>
    <col min="2051" max="2051" width="18.1640625" style="898" customWidth="1"/>
    <col min="2052" max="2052" width="23.1640625" style="898" customWidth="1"/>
    <col min="2053" max="2053" width="12.5" style="898" customWidth="1"/>
    <col min="2054" max="2054" width="10.83203125" style="898" customWidth="1"/>
    <col min="2055" max="2055" width="9.33203125" style="898"/>
    <col min="2056" max="2056" width="12.1640625" style="898" customWidth="1"/>
    <col min="2057" max="2057" width="11.1640625" style="898" customWidth="1"/>
    <col min="2058" max="2058" width="13.1640625" style="898" customWidth="1"/>
    <col min="2059" max="2059" width="11" style="898" customWidth="1"/>
    <col min="2060" max="2060" width="7.5" style="898" customWidth="1"/>
    <col min="2061" max="2061" width="18.5" style="898" customWidth="1"/>
    <col min="2062" max="2062" width="23.6640625" style="898" customWidth="1"/>
    <col min="2063" max="2306" width="9.33203125" style="898"/>
    <col min="2307" max="2307" width="18.1640625" style="898" customWidth="1"/>
    <col min="2308" max="2308" width="23.1640625" style="898" customWidth="1"/>
    <col min="2309" max="2309" width="12.5" style="898" customWidth="1"/>
    <col min="2310" max="2310" width="10.83203125" style="898" customWidth="1"/>
    <col min="2311" max="2311" width="9.33203125" style="898"/>
    <col min="2312" max="2312" width="12.1640625" style="898" customWidth="1"/>
    <col min="2313" max="2313" width="11.1640625" style="898" customWidth="1"/>
    <col min="2314" max="2314" width="13.1640625" style="898" customWidth="1"/>
    <col min="2315" max="2315" width="11" style="898" customWidth="1"/>
    <col min="2316" max="2316" width="7.5" style="898" customWidth="1"/>
    <col min="2317" max="2317" width="18.5" style="898" customWidth="1"/>
    <col min="2318" max="2318" width="23.6640625" style="898" customWidth="1"/>
    <col min="2319" max="2562" width="9.33203125" style="898"/>
    <col min="2563" max="2563" width="18.1640625" style="898" customWidth="1"/>
    <col min="2564" max="2564" width="23.1640625" style="898" customWidth="1"/>
    <col min="2565" max="2565" width="12.5" style="898" customWidth="1"/>
    <col min="2566" max="2566" width="10.83203125" style="898" customWidth="1"/>
    <col min="2567" max="2567" width="9.33203125" style="898"/>
    <col min="2568" max="2568" width="12.1640625" style="898" customWidth="1"/>
    <col min="2569" max="2569" width="11.1640625" style="898" customWidth="1"/>
    <col min="2570" max="2570" width="13.1640625" style="898" customWidth="1"/>
    <col min="2571" max="2571" width="11" style="898" customWidth="1"/>
    <col min="2572" max="2572" width="7.5" style="898" customWidth="1"/>
    <col min="2573" max="2573" width="18.5" style="898" customWidth="1"/>
    <col min="2574" max="2574" width="23.6640625" style="898" customWidth="1"/>
    <col min="2575" max="2818" width="9.33203125" style="898"/>
    <col min="2819" max="2819" width="18.1640625" style="898" customWidth="1"/>
    <col min="2820" max="2820" width="23.1640625" style="898" customWidth="1"/>
    <col min="2821" max="2821" width="12.5" style="898" customWidth="1"/>
    <col min="2822" max="2822" width="10.83203125" style="898" customWidth="1"/>
    <col min="2823" max="2823" width="9.33203125" style="898"/>
    <col min="2824" max="2824" width="12.1640625" style="898" customWidth="1"/>
    <col min="2825" max="2825" width="11.1640625" style="898" customWidth="1"/>
    <col min="2826" max="2826" width="13.1640625" style="898" customWidth="1"/>
    <col min="2827" max="2827" width="11" style="898" customWidth="1"/>
    <col min="2828" max="2828" width="7.5" style="898" customWidth="1"/>
    <col min="2829" max="2829" width="18.5" style="898" customWidth="1"/>
    <col min="2830" max="2830" width="23.6640625" style="898" customWidth="1"/>
    <col min="2831" max="3074" width="9.33203125" style="898"/>
    <col min="3075" max="3075" width="18.1640625" style="898" customWidth="1"/>
    <col min="3076" max="3076" width="23.1640625" style="898" customWidth="1"/>
    <col min="3077" max="3077" width="12.5" style="898" customWidth="1"/>
    <col min="3078" max="3078" width="10.83203125" style="898" customWidth="1"/>
    <col min="3079" max="3079" width="9.33203125" style="898"/>
    <col min="3080" max="3080" width="12.1640625" style="898" customWidth="1"/>
    <col min="3081" max="3081" width="11.1640625" style="898" customWidth="1"/>
    <col min="3082" max="3082" width="13.1640625" style="898" customWidth="1"/>
    <col min="3083" max="3083" width="11" style="898" customWidth="1"/>
    <col min="3084" max="3084" width="7.5" style="898" customWidth="1"/>
    <col min="3085" max="3085" width="18.5" style="898" customWidth="1"/>
    <col min="3086" max="3086" width="23.6640625" style="898" customWidth="1"/>
    <col min="3087" max="3330" width="9.33203125" style="898"/>
    <col min="3331" max="3331" width="18.1640625" style="898" customWidth="1"/>
    <col min="3332" max="3332" width="23.1640625" style="898" customWidth="1"/>
    <col min="3333" max="3333" width="12.5" style="898" customWidth="1"/>
    <col min="3334" max="3334" width="10.83203125" style="898" customWidth="1"/>
    <col min="3335" max="3335" width="9.33203125" style="898"/>
    <col min="3336" max="3336" width="12.1640625" style="898" customWidth="1"/>
    <col min="3337" max="3337" width="11.1640625" style="898" customWidth="1"/>
    <col min="3338" max="3338" width="13.1640625" style="898" customWidth="1"/>
    <col min="3339" max="3339" width="11" style="898" customWidth="1"/>
    <col min="3340" max="3340" width="7.5" style="898" customWidth="1"/>
    <col min="3341" max="3341" width="18.5" style="898" customWidth="1"/>
    <col min="3342" max="3342" width="23.6640625" style="898" customWidth="1"/>
    <col min="3343" max="3586" width="9.33203125" style="898"/>
    <col min="3587" max="3587" width="18.1640625" style="898" customWidth="1"/>
    <col min="3588" max="3588" width="23.1640625" style="898" customWidth="1"/>
    <col min="3589" max="3589" width="12.5" style="898" customWidth="1"/>
    <col min="3590" max="3590" width="10.83203125" style="898" customWidth="1"/>
    <col min="3591" max="3591" width="9.33203125" style="898"/>
    <col min="3592" max="3592" width="12.1640625" style="898" customWidth="1"/>
    <col min="3593" max="3593" width="11.1640625" style="898" customWidth="1"/>
    <col min="3594" max="3594" width="13.1640625" style="898" customWidth="1"/>
    <col min="3595" max="3595" width="11" style="898" customWidth="1"/>
    <col min="3596" max="3596" width="7.5" style="898" customWidth="1"/>
    <col min="3597" max="3597" width="18.5" style="898" customWidth="1"/>
    <col min="3598" max="3598" width="23.6640625" style="898" customWidth="1"/>
    <col min="3599" max="3842" width="9.33203125" style="898"/>
    <col min="3843" max="3843" width="18.1640625" style="898" customWidth="1"/>
    <col min="3844" max="3844" width="23.1640625" style="898" customWidth="1"/>
    <col min="3845" max="3845" width="12.5" style="898" customWidth="1"/>
    <col min="3846" max="3846" width="10.83203125" style="898" customWidth="1"/>
    <col min="3847" max="3847" width="9.33203125" style="898"/>
    <col min="3848" max="3848" width="12.1640625" style="898" customWidth="1"/>
    <col min="3849" max="3849" width="11.1640625" style="898" customWidth="1"/>
    <col min="3850" max="3850" width="13.1640625" style="898" customWidth="1"/>
    <col min="3851" max="3851" width="11" style="898" customWidth="1"/>
    <col min="3852" max="3852" width="7.5" style="898" customWidth="1"/>
    <col min="3853" max="3853" width="18.5" style="898" customWidth="1"/>
    <col min="3854" max="3854" width="23.6640625" style="898" customWidth="1"/>
    <col min="3855" max="4098" width="9.33203125" style="898"/>
    <col min="4099" max="4099" width="18.1640625" style="898" customWidth="1"/>
    <col min="4100" max="4100" width="23.1640625" style="898" customWidth="1"/>
    <col min="4101" max="4101" width="12.5" style="898" customWidth="1"/>
    <col min="4102" max="4102" width="10.83203125" style="898" customWidth="1"/>
    <col min="4103" max="4103" width="9.33203125" style="898"/>
    <col min="4104" max="4104" width="12.1640625" style="898" customWidth="1"/>
    <col min="4105" max="4105" width="11.1640625" style="898" customWidth="1"/>
    <col min="4106" max="4106" width="13.1640625" style="898" customWidth="1"/>
    <col min="4107" max="4107" width="11" style="898" customWidth="1"/>
    <col min="4108" max="4108" width="7.5" style="898" customWidth="1"/>
    <col min="4109" max="4109" width="18.5" style="898" customWidth="1"/>
    <col min="4110" max="4110" width="23.6640625" style="898" customWidth="1"/>
    <col min="4111" max="4354" width="9.33203125" style="898"/>
    <col min="4355" max="4355" width="18.1640625" style="898" customWidth="1"/>
    <col min="4356" max="4356" width="23.1640625" style="898" customWidth="1"/>
    <col min="4357" max="4357" width="12.5" style="898" customWidth="1"/>
    <col min="4358" max="4358" width="10.83203125" style="898" customWidth="1"/>
    <col min="4359" max="4359" width="9.33203125" style="898"/>
    <col min="4360" max="4360" width="12.1640625" style="898" customWidth="1"/>
    <col min="4361" max="4361" width="11.1640625" style="898" customWidth="1"/>
    <col min="4362" max="4362" width="13.1640625" style="898" customWidth="1"/>
    <col min="4363" max="4363" width="11" style="898" customWidth="1"/>
    <col min="4364" max="4364" width="7.5" style="898" customWidth="1"/>
    <col min="4365" max="4365" width="18.5" style="898" customWidth="1"/>
    <col min="4366" max="4366" width="23.6640625" style="898" customWidth="1"/>
    <col min="4367" max="4610" width="9.33203125" style="898"/>
    <col min="4611" max="4611" width="18.1640625" style="898" customWidth="1"/>
    <col min="4612" max="4612" width="23.1640625" style="898" customWidth="1"/>
    <col min="4613" max="4613" width="12.5" style="898" customWidth="1"/>
    <col min="4614" max="4614" width="10.83203125" style="898" customWidth="1"/>
    <col min="4615" max="4615" width="9.33203125" style="898"/>
    <col min="4616" max="4616" width="12.1640625" style="898" customWidth="1"/>
    <col min="4617" max="4617" width="11.1640625" style="898" customWidth="1"/>
    <col min="4618" max="4618" width="13.1640625" style="898" customWidth="1"/>
    <col min="4619" max="4619" width="11" style="898" customWidth="1"/>
    <col min="4620" max="4620" width="7.5" style="898" customWidth="1"/>
    <col min="4621" max="4621" width="18.5" style="898" customWidth="1"/>
    <col min="4622" max="4622" width="23.6640625" style="898" customWidth="1"/>
    <col min="4623" max="4866" width="9.33203125" style="898"/>
    <col min="4867" max="4867" width="18.1640625" style="898" customWidth="1"/>
    <col min="4868" max="4868" width="23.1640625" style="898" customWidth="1"/>
    <col min="4869" max="4869" width="12.5" style="898" customWidth="1"/>
    <col min="4870" max="4870" width="10.83203125" style="898" customWidth="1"/>
    <col min="4871" max="4871" width="9.33203125" style="898"/>
    <col min="4872" max="4872" width="12.1640625" style="898" customWidth="1"/>
    <col min="4873" max="4873" width="11.1640625" style="898" customWidth="1"/>
    <col min="4874" max="4874" width="13.1640625" style="898" customWidth="1"/>
    <col min="4875" max="4875" width="11" style="898" customWidth="1"/>
    <col min="4876" max="4876" width="7.5" style="898" customWidth="1"/>
    <col min="4877" max="4877" width="18.5" style="898" customWidth="1"/>
    <col min="4878" max="4878" width="23.6640625" style="898" customWidth="1"/>
    <col min="4879" max="5122" width="9.33203125" style="898"/>
    <col min="5123" max="5123" width="18.1640625" style="898" customWidth="1"/>
    <col min="5124" max="5124" width="23.1640625" style="898" customWidth="1"/>
    <col min="5125" max="5125" width="12.5" style="898" customWidth="1"/>
    <col min="5126" max="5126" width="10.83203125" style="898" customWidth="1"/>
    <col min="5127" max="5127" width="9.33203125" style="898"/>
    <col min="5128" max="5128" width="12.1640625" style="898" customWidth="1"/>
    <col min="5129" max="5129" width="11.1640625" style="898" customWidth="1"/>
    <col min="5130" max="5130" width="13.1640625" style="898" customWidth="1"/>
    <col min="5131" max="5131" width="11" style="898" customWidth="1"/>
    <col min="5132" max="5132" width="7.5" style="898" customWidth="1"/>
    <col min="5133" max="5133" width="18.5" style="898" customWidth="1"/>
    <col min="5134" max="5134" width="23.6640625" style="898" customWidth="1"/>
    <col min="5135" max="5378" width="9.33203125" style="898"/>
    <col min="5379" max="5379" width="18.1640625" style="898" customWidth="1"/>
    <col min="5380" max="5380" width="23.1640625" style="898" customWidth="1"/>
    <col min="5381" max="5381" width="12.5" style="898" customWidth="1"/>
    <col min="5382" max="5382" width="10.83203125" style="898" customWidth="1"/>
    <col min="5383" max="5383" width="9.33203125" style="898"/>
    <col min="5384" max="5384" width="12.1640625" style="898" customWidth="1"/>
    <col min="5385" max="5385" width="11.1640625" style="898" customWidth="1"/>
    <col min="5386" max="5386" width="13.1640625" style="898" customWidth="1"/>
    <col min="5387" max="5387" width="11" style="898" customWidth="1"/>
    <col min="5388" max="5388" width="7.5" style="898" customWidth="1"/>
    <col min="5389" max="5389" width="18.5" style="898" customWidth="1"/>
    <col min="5390" max="5390" width="23.6640625" style="898" customWidth="1"/>
    <col min="5391" max="5634" width="9.33203125" style="898"/>
    <col min="5635" max="5635" width="18.1640625" style="898" customWidth="1"/>
    <col min="5636" max="5636" width="23.1640625" style="898" customWidth="1"/>
    <col min="5637" max="5637" width="12.5" style="898" customWidth="1"/>
    <col min="5638" max="5638" width="10.83203125" style="898" customWidth="1"/>
    <col min="5639" max="5639" width="9.33203125" style="898"/>
    <col min="5640" max="5640" width="12.1640625" style="898" customWidth="1"/>
    <col min="5641" max="5641" width="11.1640625" style="898" customWidth="1"/>
    <col min="5642" max="5642" width="13.1640625" style="898" customWidth="1"/>
    <col min="5643" max="5643" width="11" style="898" customWidth="1"/>
    <col min="5644" max="5644" width="7.5" style="898" customWidth="1"/>
    <col min="5645" max="5645" width="18.5" style="898" customWidth="1"/>
    <col min="5646" max="5646" width="23.6640625" style="898" customWidth="1"/>
    <col min="5647" max="5890" width="9.33203125" style="898"/>
    <col min="5891" max="5891" width="18.1640625" style="898" customWidth="1"/>
    <col min="5892" max="5892" width="23.1640625" style="898" customWidth="1"/>
    <col min="5893" max="5893" width="12.5" style="898" customWidth="1"/>
    <col min="5894" max="5894" width="10.83203125" style="898" customWidth="1"/>
    <col min="5895" max="5895" width="9.33203125" style="898"/>
    <col min="5896" max="5896" width="12.1640625" style="898" customWidth="1"/>
    <col min="5897" max="5897" width="11.1640625" style="898" customWidth="1"/>
    <col min="5898" max="5898" width="13.1640625" style="898" customWidth="1"/>
    <col min="5899" max="5899" width="11" style="898" customWidth="1"/>
    <col min="5900" max="5900" width="7.5" style="898" customWidth="1"/>
    <col min="5901" max="5901" width="18.5" style="898" customWidth="1"/>
    <col min="5902" max="5902" width="23.6640625" style="898" customWidth="1"/>
    <col min="5903" max="6146" width="9.33203125" style="898"/>
    <col min="6147" max="6147" width="18.1640625" style="898" customWidth="1"/>
    <col min="6148" max="6148" width="23.1640625" style="898" customWidth="1"/>
    <col min="6149" max="6149" width="12.5" style="898" customWidth="1"/>
    <col min="6150" max="6150" width="10.83203125" style="898" customWidth="1"/>
    <col min="6151" max="6151" width="9.33203125" style="898"/>
    <col min="6152" max="6152" width="12.1640625" style="898" customWidth="1"/>
    <col min="6153" max="6153" width="11.1640625" style="898" customWidth="1"/>
    <col min="6154" max="6154" width="13.1640625" style="898" customWidth="1"/>
    <col min="6155" max="6155" width="11" style="898" customWidth="1"/>
    <col min="6156" max="6156" width="7.5" style="898" customWidth="1"/>
    <col min="6157" max="6157" width="18.5" style="898" customWidth="1"/>
    <col min="6158" max="6158" width="23.6640625" style="898" customWidth="1"/>
    <col min="6159" max="6402" width="9.33203125" style="898"/>
    <col min="6403" max="6403" width="18.1640625" style="898" customWidth="1"/>
    <col min="6404" max="6404" width="23.1640625" style="898" customWidth="1"/>
    <col min="6405" max="6405" width="12.5" style="898" customWidth="1"/>
    <col min="6406" max="6406" width="10.83203125" style="898" customWidth="1"/>
    <col min="6407" max="6407" width="9.33203125" style="898"/>
    <col min="6408" max="6408" width="12.1640625" style="898" customWidth="1"/>
    <col min="6409" max="6409" width="11.1640625" style="898" customWidth="1"/>
    <col min="6410" max="6410" width="13.1640625" style="898" customWidth="1"/>
    <col min="6411" max="6411" width="11" style="898" customWidth="1"/>
    <col min="6412" max="6412" width="7.5" style="898" customWidth="1"/>
    <col min="6413" max="6413" width="18.5" style="898" customWidth="1"/>
    <col min="6414" max="6414" width="23.6640625" style="898" customWidth="1"/>
    <col min="6415" max="6658" width="9.33203125" style="898"/>
    <col min="6659" max="6659" width="18.1640625" style="898" customWidth="1"/>
    <col min="6660" max="6660" width="23.1640625" style="898" customWidth="1"/>
    <col min="6661" max="6661" width="12.5" style="898" customWidth="1"/>
    <col min="6662" max="6662" width="10.83203125" style="898" customWidth="1"/>
    <col min="6663" max="6663" width="9.33203125" style="898"/>
    <col min="6664" max="6664" width="12.1640625" style="898" customWidth="1"/>
    <col min="6665" max="6665" width="11.1640625" style="898" customWidth="1"/>
    <col min="6666" max="6666" width="13.1640625" style="898" customWidth="1"/>
    <col min="6667" max="6667" width="11" style="898" customWidth="1"/>
    <col min="6668" max="6668" width="7.5" style="898" customWidth="1"/>
    <col min="6669" max="6669" width="18.5" style="898" customWidth="1"/>
    <col min="6670" max="6670" width="23.6640625" style="898" customWidth="1"/>
    <col min="6671" max="6914" width="9.33203125" style="898"/>
    <col min="6915" max="6915" width="18.1640625" style="898" customWidth="1"/>
    <col min="6916" max="6916" width="23.1640625" style="898" customWidth="1"/>
    <col min="6917" max="6917" width="12.5" style="898" customWidth="1"/>
    <col min="6918" max="6918" width="10.83203125" style="898" customWidth="1"/>
    <col min="6919" max="6919" width="9.33203125" style="898"/>
    <col min="6920" max="6920" width="12.1640625" style="898" customWidth="1"/>
    <col min="6921" max="6921" width="11.1640625" style="898" customWidth="1"/>
    <col min="6922" max="6922" width="13.1640625" style="898" customWidth="1"/>
    <col min="6923" max="6923" width="11" style="898" customWidth="1"/>
    <col min="6924" max="6924" width="7.5" style="898" customWidth="1"/>
    <col min="6925" max="6925" width="18.5" style="898" customWidth="1"/>
    <col min="6926" max="6926" width="23.6640625" style="898" customWidth="1"/>
    <col min="6927" max="7170" width="9.33203125" style="898"/>
    <col min="7171" max="7171" width="18.1640625" style="898" customWidth="1"/>
    <col min="7172" max="7172" width="23.1640625" style="898" customWidth="1"/>
    <col min="7173" max="7173" width="12.5" style="898" customWidth="1"/>
    <col min="7174" max="7174" width="10.83203125" style="898" customWidth="1"/>
    <col min="7175" max="7175" width="9.33203125" style="898"/>
    <col min="7176" max="7176" width="12.1640625" style="898" customWidth="1"/>
    <col min="7177" max="7177" width="11.1640625" style="898" customWidth="1"/>
    <col min="7178" max="7178" width="13.1640625" style="898" customWidth="1"/>
    <col min="7179" max="7179" width="11" style="898" customWidth="1"/>
    <col min="7180" max="7180" width="7.5" style="898" customWidth="1"/>
    <col min="7181" max="7181" width="18.5" style="898" customWidth="1"/>
    <col min="7182" max="7182" width="23.6640625" style="898" customWidth="1"/>
    <col min="7183" max="7426" width="9.33203125" style="898"/>
    <col min="7427" max="7427" width="18.1640625" style="898" customWidth="1"/>
    <col min="7428" max="7428" width="23.1640625" style="898" customWidth="1"/>
    <col min="7429" max="7429" width="12.5" style="898" customWidth="1"/>
    <col min="7430" max="7430" width="10.83203125" style="898" customWidth="1"/>
    <col min="7431" max="7431" width="9.33203125" style="898"/>
    <col min="7432" max="7432" width="12.1640625" style="898" customWidth="1"/>
    <col min="7433" max="7433" width="11.1640625" style="898" customWidth="1"/>
    <col min="7434" max="7434" width="13.1640625" style="898" customWidth="1"/>
    <col min="7435" max="7435" width="11" style="898" customWidth="1"/>
    <col min="7436" max="7436" width="7.5" style="898" customWidth="1"/>
    <col min="7437" max="7437" width="18.5" style="898" customWidth="1"/>
    <col min="7438" max="7438" width="23.6640625" style="898" customWidth="1"/>
    <col min="7439" max="7682" width="9.33203125" style="898"/>
    <col min="7683" max="7683" width="18.1640625" style="898" customWidth="1"/>
    <col min="7684" max="7684" width="23.1640625" style="898" customWidth="1"/>
    <col min="7685" max="7685" width="12.5" style="898" customWidth="1"/>
    <col min="7686" max="7686" width="10.83203125" style="898" customWidth="1"/>
    <col min="7687" max="7687" width="9.33203125" style="898"/>
    <col min="7688" max="7688" width="12.1640625" style="898" customWidth="1"/>
    <col min="7689" max="7689" width="11.1640625" style="898" customWidth="1"/>
    <col min="7690" max="7690" width="13.1640625" style="898" customWidth="1"/>
    <col min="7691" max="7691" width="11" style="898" customWidth="1"/>
    <col min="7692" max="7692" width="7.5" style="898" customWidth="1"/>
    <col min="7693" max="7693" width="18.5" style="898" customWidth="1"/>
    <col min="7694" max="7694" width="23.6640625" style="898" customWidth="1"/>
    <col min="7695" max="7938" width="9.33203125" style="898"/>
    <col min="7939" max="7939" width="18.1640625" style="898" customWidth="1"/>
    <col min="7940" max="7940" width="23.1640625" style="898" customWidth="1"/>
    <col min="7941" max="7941" width="12.5" style="898" customWidth="1"/>
    <col min="7942" max="7942" width="10.83203125" style="898" customWidth="1"/>
    <col min="7943" max="7943" width="9.33203125" style="898"/>
    <col min="7944" max="7944" width="12.1640625" style="898" customWidth="1"/>
    <col min="7945" max="7945" width="11.1640625" style="898" customWidth="1"/>
    <col min="7946" max="7946" width="13.1640625" style="898" customWidth="1"/>
    <col min="7947" max="7947" width="11" style="898" customWidth="1"/>
    <col min="7948" max="7948" width="7.5" style="898" customWidth="1"/>
    <col min="7949" max="7949" width="18.5" style="898" customWidth="1"/>
    <col min="7950" max="7950" width="23.6640625" style="898" customWidth="1"/>
    <col min="7951" max="8194" width="9.33203125" style="898"/>
    <col min="8195" max="8195" width="18.1640625" style="898" customWidth="1"/>
    <col min="8196" max="8196" width="23.1640625" style="898" customWidth="1"/>
    <col min="8197" max="8197" width="12.5" style="898" customWidth="1"/>
    <col min="8198" max="8198" width="10.83203125" style="898" customWidth="1"/>
    <col min="8199" max="8199" width="9.33203125" style="898"/>
    <col min="8200" max="8200" width="12.1640625" style="898" customWidth="1"/>
    <col min="8201" max="8201" width="11.1640625" style="898" customWidth="1"/>
    <col min="8202" max="8202" width="13.1640625" style="898" customWidth="1"/>
    <col min="8203" max="8203" width="11" style="898" customWidth="1"/>
    <col min="8204" max="8204" width="7.5" style="898" customWidth="1"/>
    <col min="8205" max="8205" width="18.5" style="898" customWidth="1"/>
    <col min="8206" max="8206" width="23.6640625" style="898" customWidth="1"/>
    <col min="8207" max="8450" width="9.33203125" style="898"/>
    <col min="8451" max="8451" width="18.1640625" style="898" customWidth="1"/>
    <col min="8452" max="8452" width="23.1640625" style="898" customWidth="1"/>
    <col min="8453" max="8453" width="12.5" style="898" customWidth="1"/>
    <col min="8454" max="8454" width="10.83203125" style="898" customWidth="1"/>
    <col min="8455" max="8455" width="9.33203125" style="898"/>
    <col min="8456" max="8456" width="12.1640625" style="898" customWidth="1"/>
    <col min="8457" max="8457" width="11.1640625" style="898" customWidth="1"/>
    <col min="8458" max="8458" width="13.1640625" style="898" customWidth="1"/>
    <col min="8459" max="8459" width="11" style="898" customWidth="1"/>
    <col min="8460" max="8460" width="7.5" style="898" customWidth="1"/>
    <col min="8461" max="8461" width="18.5" style="898" customWidth="1"/>
    <col min="8462" max="8462" width="23.6640625" style="898" customWidth="1"/>
    <col min="8463" max="8706" width="9.33203125" style="898"/>
    <col min="8707" max="8707" width="18.1640625" style="898" customWidth="1"/>
    <col min="8708" max="8708" width="23.1640625" style="898" customWidth="1"/>
    <col min="8709" max="8709" width="12.5" style="898" customWidth="1"/>
    <col min="8710" max="8710" width="10.83203125" style="898" customWidth="1"/>
    <col min="8711" max="8711" width="9.33203125" style="898"/>
    <col min="8712" max="8712" width="12.1640625" style="898" customWidth="1"/>
    <col min="8713" max="8713" width="11.1640625" style="898" customWidth="1"/>
    <col min="8714" max="8714" width="13.1640625" style="898" customWidth="1"/>
    <col min="8715" max="8715" width="11" style="898" customWidth="1"/>
    <col min="8716" max="8716" width="7.5" style="898" customWidth="1"/>
    <col min="8717" max="8717" width="18.5" style="898" customWidth="1"/>
    <col min="8718" max="8718" width="23.6640625" style="898" customWidth="1"/>
    <col min="8719" max="8962" width="9.33203125" style="898"/>
    <col min="8963" max="8963" width="18.1640625" style="898" customWidth="1"/>
    <col min="8964" max="8964" width="23.1640625" style="898" customWidth="1"/>
    <col min="8965" max="8965" width="12.5" style="898" customWidth="1"/>
    <col min="8966" max="8966" width="10.83203125" style="898" customWidth="1"/>
    <col min="8967" max="8967" width="9.33203125" style="898"/>
    <col min="8968" max="8968" width="12.1640625" style="898" customWidth="1"/>
    <col min="8969" max="8969" width="11.1640625" style="898" customWidth="1"/>
    <col min="8970" max="8970" width="13.1640625" style="898" customWidth="1"/>
    <col min="8971" max="8971" width="11" style="898" customWidth="1"/>
    <col min="8972" max="8972" width="7.5" style="898" customWidth="1"/>
    <col min="8973" max="8973" width="18.5" style="898" customWidth="1"/>
    <col min="8974" max="8974" width="23.6640625" style="898" customWidth="1"/>
    <col min="8975" max="9218" width="9.33203125" style="898"/>
    <col min="9219" max="9219" width="18.1640625" style="898" customWidth="1"/>
    <col min="9220" max="9220" width="23.1640625" style="898" customWidth="1"/>
    <col min="9221" max="9221" width="12.5" style="898" customWidth="1"/>
    <col min="9222" max="9222" width="10.83203125" style="898" customWidth="1"/>
    <col min="9223" max="9223" width="9.33203125" style="898"/>
    <col min="9224" max="9224" width="12.1640625" style="898" customWidth="1"/>
    <col min="9225" max="9225" width="11.1640625" style="898" customWidth="1"/>
    <col min="9226" max="9226" width="13.1640625" style="898" customWidth="1"/>
    <col min="9227" max="9227" width="11" style="898" customWidth="1"/>
    <col min="9228" max="9228" width="7.5" style="898" customWidth="1"/>
    <col min="9229" max="9229" width="18.5" style="898" customWidth="1"/>
    <col min="9230" max="9230" width="23.6640625" style="898" customWidth="1"/>
    <col min="9231" max="9474" width="9.33203125" style="898"/>
    <col min="9475" max="9475" width="18.1640625" style="898" customWidth="1"/>
    <col min="9476" max="9476" width="23.1640625" style="898" customWidth="1"/>
    <col min="9477" max="9477" width="12.5" style="898" customWidth="1"/>
    <col min="9478" max="9478" width="10.83203125" style="898" customWidth="1"/>
    <col min="9479" max="9479" width="9.33203125" style="898"/>
    <col min="9480" max="9480" width="12.1640625" style="898" customWidth="1"/>
    <col min="9481" max="9481" width="11.1640625" style="898" customWidth="1"/>
    <col min="9482" max="9482" width="13.1640625" style="898" customWidth="1"/>
    <col min="9483" max="9483" width="11" style="898" customWidth="1"/>
    <col min="9484" max="9484" width="7.5" style="898" customWidth="1"/>
    <col min="9485" max="9485" width="18.5" style="898" customWidth="1"/>
    <col min="9486" max="9486" width="23.6640625" style="898" customWidth="1"/>
    <col min="9487" max="9730" width="9.33203125" style="898"/>
    <col min="9731" max="9731" width="18.1640625" style="898" customWidth="1"/>
    <col min="9732" max="9732" width="23.1640625" style="898" customWidth="1"/>
    <col min="9733" max="9733" width="12.5" style="898" customWidth="1"/>
    <col min="9734" max="9734" width="10.83203125" style="898" customWidth="1"/>
    <col min="9735" max="9735" width="9.33203125" style="898"/>
    <col min="9736" max="9736" width="12.1640625" style="898" customWidth="1"/>
    <col min="9737" max="9737" width="11.1640625" style="898" customWidth="1"/>
    <col min="9738" max="9738" width="13.1640625" style="898" customWidth="1"/>
    <col min="9739" max="9739" width="11" style="898" customWidth="1"/>
    <col min="9740" max="9740" width="7.5" style="898" customWidth="1"/>
    <col min="9741" max="9741" width="18.5" style="898" customWidth="1"/>
    <col min="9742" max="9742" width="23.6640625" style="898" customWidth="1"/>
    <col min="9743" max="9986" width="9.33203125" style="898"/>
    <col min="9987" max="9987" width="18.1640625" style="898" customWidth="1"/>
    <col min="9988" max="9988" width="23.1640625" style="898" customWidth="1"/>
    <col min="9989" max="9989" width="12.5" style="898" customWidth="1"/>
    <col min="9990" max="9990" width="10.83203125" style="898" customWidth="1"/>
    <col min="9991" max="9991" width="9.33203125" style="898"/>
    <col min="9992" max="9992" width="12.1640625" style="898" customWidth="1"/>
    <col min="9993" max="9993" width="11.1640625" style="898" customWidth="1"/>
    <col min="9994" max="9994" width="13.1640625" style="898" customWidth="1"/>
    <col min="9995" max="9995" width="11" style="898" customWidth="1"/>
    <col min="9996" max="9996" width="7.5" style="898" customWidth="1"/>
    <col min="9997" max="9997" width="18.5" style="898" customWidth="1"/>
    <col min="9998" max="9998" width="23.6640625" style="898" customWidth="1"/>
    <col min="9999" max="10242" width="9.33203125" style="898"/>
    <col min="10243" max="10243" width="18.1640625" style="898" customWidth="1"/>
    <col min="10244" max="10244" width="23.1640625" style="898" customWidth="1"/>
    <col min="10245" max="10245" width="12.5" style="898" customWidth="1"/>
    <col min="10246" max="10246" width="10.83203125" style="898" customWidth="1"/>
    <col min="10247" max="10247" width="9.33203125" style="898"/>
    <col min="10248" max="10248" width="12.1640625" style="898" customWidth="1"/>
    <col min="10249" max="10249" width="11.1640625" style="898" customWidth="1"/>
    <col min="10250" max="10250" width="13.1640625" style="898" customWidth="1"/>
    <col min="10251" max="10251" width="11" style="898" customWidth="1"/>
    <col min="10252" max="10252" width="7.5" style="898" customWidth="1"/>
    <col min="10253" max="10253" width="18.5" style="898" customWidth="1"/>
    <col min="10254" max="10254" width="23.6640625" style="898" customWidth="1"/>
    <col min="10255" max="10498" width="9.33203125" style="898"/>
    <col min="10499" max="10499" width="18.1640625" style="898" customWidth="1"/>
    <col min="10500" max="10500" width="23.1640625" style="898" customWidth="1"/>
    <col min="10501" max="10501" width="12.5" style="898" customWidth="1"/>
    <col min="10502" max="10502" width="10.83203125" style="898" customWidth="1"/>
    <col min="10503" max="10503" width="9.33203125" style="898"/>
    <col min="10504" max="10504" width="12.1640625" style="898" customWidth="1"/>
    <col min="10505" max="10505" width="11.1640625" style="898" customWidth="1"/>
    <col min="10506" max="10506" width="13.1640625" style="898" customWidth="1"/>
    <col min="10507" max="10507" width="11" style="898" customWidth="1"/>
    <col min="10508" max="10508" width="7.5" style="898" customWidth="1"/>
    <col min="10509" max="10509" width="18.5" style="898" customWidth="1"/>
    <col min="10510" max="10510" width="23.6640625" style="898" customWidth="1"/>
    <col min="10511" max="10754" width="9.33203125" style="898"/>
    <col min="10755" max="10755" width="18.1640625" style="898" customWidth="1"/>
    <col min="10756" max="10756" width="23.1640625" style="898" customWidth="1"/>
    <col min="10757" max="10757" width="12.5" style="898" customWidth="1"/>
    <col min="10758" max="10758" width="10.83203125" style="898" customWidth="1"/>
    <col min="10759" max="10759" width="9.33203125" style="898"/>
    <col min="10760" max="10760" width="12.1640625" style="898" customWidth="1"/>
    <col min="10761" max="10761" width="11.1640625" style="898" customWidth="1"/>
    <col min="10762" max="10762" width="13.1640625" style="898" customWidth="1"/>
    <col min="10763" max="10763" width="11" style="898" customWidth="1"/>
    <col min="10764" max="10764" width="7.5" style="898" customWidth="1"/>
    <col min="10765" max="10765" width="18.5" style="898" customWidth="1"/>
    <col min="10766" max="10766" width="23.6640625" style="898" customWidth="1"/>
    <col min="10767" max="11010" width="9.33203125" style="898"/>
    <col min="11011" max="11011" width="18.1640625" style="898" customWidth="1"/>
    <col min="11012" max="11012" width="23.1640625" style="898" customWidth="1"/>
    <col min="11013" max="11013" width="12.5" style="898" customWidth="1"/>
    <col min="11014" max="11014" width="10.83203125" style="898" customWidth="1"/>
    <col min="11015" max="11015" width="9.33203125" style="898"/>
    <col min="11016" max="11016" width="12.1640625" style="898" customWidth="1"/>
    <col min="11017" max="11017" width="11.1640625" style="898" customWidth="1"/>
    <col min="11018" max="11018" width="13.1640625" style="898" customWidth="1"/>
    <col min="11019" max="11019" width="11" style="898" customWidth="1"/>
    <col min="11020" max="11020" width="7.5" style="898" customWidth="1"/>
    <col min="11021" max="11021" width="18.5" style="898" customWidth="1"/>
    <col min="11022" max="11022" width="23.6640625" style="898" customWidth="1"/>
    <col min="11023" max="11266" width="9.33203125" style="898"/>
    <col min="11267" max="11267" width="18.1640625" style="898" customWidth="1"/>
    <col min="11268" max="11268" width="23.1640625" style="898" customWidth="1"/>
    <col min="11269" max="11269" width="12.5" style="898" customWidth="1"/>
    <col min="11270" max="11270" width="10.83203125" style="898" customWidth="1"/>
    <col min="11271" max="11271" width="9.33203125" style="898"/>
    <col min="11272" max="11272" width="12.1640625" style="898" customWidth="1"/>
    <col min="11273" max="11273" width="11.1640625" style="898" customWidth="1"/>
    <col min="11274" max="11274" width="13.1640625" style="898" customWidth="1"/>
    <col min="11275" max="11275" width="11" style="898" customWidth="1"/>
    <col min="11276" max="11276" width="7.5" style="898" customWidth="1"/>
    <col min="11277" max="11277" width="18.5" style="898" customWidth="1"/>
    <col min="11278" max="11278" width="23.6640625" style="898" customWidth="1"/>
    <col min="11279" max="11522" width="9.33203125" style="898"/>
    <col min="11523" max="11523" width="18.1640625" style="898" customWidth="1"/>
    <col min="11524" max="11524" width="23.1640625" style="898" customWidth="1"/>
    <col min="11525" max="11525" width="12.5" style="898" customWidth="1"/>
    <col min="11526" max="11526" width="10.83203125" style="898" customWidth="1"/>
    <col min="11527" max="11527" width="9.33203125" style="898"/>
    <col min="11528" max="11528" width="12.1640625" style="898" customWidth="1"/>
    <col min="11529" max="11529" width="11.1640625" style="898" customWidth="1"/>
    <col min="11530" max="11530" width="13.1640625" style="898" customWidth="1"/>
    <col min="11531" max="11531" width="11" style="898" customWidth="1"/>
    <col min="11532" max="11532" width="7.5" style="898" customWidth="1"/>
    <col min="11533" max="11533" width="18.5" style="898" customWidth="1"/>
    <col min="11534" max="11534" width="23.6640625" style="898" customWidth="1"/>
    <col min="11535" max="11778" width="9.33203125" style="898"/>
    <col min="11779" max="11779" width="18.1640625" style="898" customWidth="1"/>
    <col min="11780" max="11780" width="23.1640625" style="898" customWidth="1"/>
    <col min="11781" max="11781" width="12.5" style="898" customWidth="1"/>
    <col min="11782" max="11782" width="10.83203125" style="898" customWidth="1"/>
    <col min="11783" max="11783" width="9.33203125" style="898"/>
    <col min="11784" max="11784" width="12.1640625" style="898" customWidth="1"/>
    <col min="11785" max="11785" width="11.1640625" style="898" customWidth="1"/>
    <col min="11786" max="11786" width="13.1640625" style="898" customWidth="1"/>
    <col min="11787" max="11787" width="11" style="898" customWidth="1"/>
    <col min="11788" max="11788" width="7.5" style="898" customWidth="1"/>
    <col min="11789" max="11789" width="18.5" style="898" customWidth="1"/>
    <col min="11790" max="11790" width="23.6640625" style="898" customWidth="1"/>
    <col min="11791" max="12034" width="9.33203125" style="898"/>
    <col min="12035" max="12035" width="18.1640625" style="898" customWidth="1"/>
    <col min="12036" max="12036" width="23.1640625" style="898" customWidth="1"/>
    <col min="12037" max="12037" width="12.5" style="898" customWidth="1"/>
    <col min="12038" max="12038" width="10.83203125" style="898" customWidth="1"/>
    <col min="12039" max="12039" width="9.33203125" style="898"/>
    <col min="12040" max="12040" width="12.1640625" style="898" customWidth="1"/>
    <col min="12041" max="12041" width="11.1640625" style="898" customWidth="1"/>
    <col min="12042" max="12042" width="13.1640625" style="898" customWidth="1"/>
    <col min="12043" max="12043" width="11" style="898" customWidth="1"/>
    <col min="12044" max="12044" width="7.5" style="898" customWidth="1"/>
    <col min="12045" max="12045" width="18.5" style="898" customWidth="1"/>
    <col min="12046" max="12046" width="23.6640625" style="898" customWidth="1"/>
    <col min="12047" max="12290" width="9.33203125" style="898"/>
    <col min="12291" max="12291" width="18.1640625" style="898" customWidth="1"/>
    <col min="12292" max="12292" width="23.1640625" style="898" customWidth="1"/>
    <col min="12293" max="12293" width="12.5" style="898" customWidth="1"/>
    <col min="12294" max="12294" width="10.83203125" style="898" customWidth="1"/>
    <col min="12295" max="12295" width="9.33203125" style="898"/>
    <col min="12296" max="12296" width="12.1640625" style="898" customWidth="1"/>
    <col min="12297" max="12297" width="11.1640625" style="898" customWidth="1"/>
    <col min="12298" max="12298" width="13.1640625" style="898" customWidth="1"/>
    <col min="12299" max="12299" width="11" style="898" customWidth="1"/>
    <col min="12300" max="12300" width="7.5" style="898" customWidth="1"/>
    <col min="12301" max="12301" width="18.5" style="898" customWidth="1"/>
    <col min="12302" max="12302" width="23.6640625" style="898" customWidth="1"/>
    <col min="12303" max="12546" width="9.33203125" style="898"/>
    <col min="12547" max="12547" width="18.1640625" style="898" customWidth="1"/>
    <col min="12548" max="12548" width="23.1640625" style="898" customWidth="1"/>
    <col min="12549" max="12549" width="12.5" style="898" customWidth="1"/>
    <col min="12550" max="12550" width="10.83203125" style="898" customWidth="1"/>
    <col min="12551" max="12551" width="9.33203125" style="898"/>
    <col min="12552" max="12552" width="12.1640625" style="898" customWidth="1"/>
    <col min="12553" max="12553" width="11.1640625" style="898" customWidth="1"/>
    <col min="12554" max="12554" width="13.1640625" style="898" customWidth="1"/>
    <col min="12555" max="12555" width="11" style="898" customWidth="1"/>
    <col min="12556" max="12556" width="7.5" style="898" customWidth="1"/>
    <col min="12557" max="12557" width="18.5" style="898" customWidth="1"/>
    <col min="12558" max="12558" width="23.6640625" style="898" customWidth="1"/>
    <col min="12559" max="12802" width="9.33203125" style="898"/>
    <col min="12803" max="12803" width="18.1640625" style="898" customWidth="1"/>
    <col min="12804" max="12804" width="23.1640625" style="898" customWidth="1"/>
    <col min="12805" max="12805" width="12.5" style="898" customWidth="1"/>
    <col min="12806" max="12806" width="10.83203125" style="898" customWidth="1"/>
    <col min="12807" max="12807" width="9.33203125" style="898"/>
    <col min="12808" max="12808" width="12.1640625" style="898" customWidth="1"/>
    <col min="12809" max="12809" width="11.1640625" style="898" customWidth="1"/>
    <col min="12810" max="12810" width="13.1640625" style="898" customWidth="1"/>
    <col min="12811" max="12811" width="11" style="898" customWidth="1"/>
    <col min="12812" max="12812" width="7.5" style="898" customWidth="1"/>
    <col min="12813" max="12813" width="18.5" style="898" customWidth="1"/>
    <col min="12814" max="12814" width="23.6640625" style="898" customWidth="1"/>
    <col min="12815" max="13058" width="9.33203125" style="898"/>
    <col min="13059" max="13059" width="18.1640625" style="898" customWidth="1"/>
    <col min="13060" max="13060" width="23.1640625" style="898" customWidth="1"/>
    <col min="13061" max="13061" width="12.5" style="898" customWidth="1"/>
    <col min="13062" max="13062" width="10.83203125" style="898" customWidth="1"/>
    <col min="13063" max="13063" width="9.33203125" style="898"/>
    <col min="13064" max="13064" width="12.1640625" style="898" customWidth="1"/>
    <col min="13065" max="13065" width="11.1640625" style="898" customWidth="1"/>
    <col min="13066" max="13066" width="13.1640625" style="898" customWidth="1"/>
    <col min="13067" max="13067" width="11" style="898" customWidth="1"/>
    <col min="13068" max="13068" width="7.5" style="898" customWidth="1"/>
    <col min="13069" max="13069" width="18.5" style="898" customWidth="1"/>
    <col min="13070" max="13070" width="23.6640625" style="898" customWidth="1"/>
    <col min="13071" max="13314" width="9.33203125" style="898"/>
    <col min="13315" max="13315" width="18.1640625" style="898" customWidth="1"/>
    <col min="13316" max="13316" width="23.1640625" style="898" customWidth="1"/>
    <col min="13317" max="13317" width="12.5" style="898" customWidth="1"/>
    <col min="13318" max="13318" width="10.83203125" style="898" customWidth="1"/>
    <col min="13319" max="13319" width="9.33203125" style="898"/>
    <col min="13320" max="13320" width="12.1640625" style="898" customWidth="1"/>
    <col min="13321" max="13321" width="11.1640625" style="898" customWidth="1"/>
    <col min="13322" max="13322" width="13.1640625" style="898" customWidth="1"/>
    <col min="13323" max="13323" width="11" style="898" customWidth="1"/>
    <col min="13324" max="13324" width="7.5" style="898" customWidth="1"/>
    <col min="13325" max="13325" width="18.5" style="898" customWidth="1"/>
    <col min="13326" max="13326" width="23.6640625" style="898" customWidth="1"/>
    <col min="13327" max="13570" width="9.33203125" style="898"/>
    <col min="13571" max="13571" width="18.1640625" style="898" customWidth="1"/>
    <col min="13572" max="13572" width="23.1640625" style="898" customWidth="1"/>
    <col min="13573" max="13573" width="12.5" style="898" customWidth="1"/>
    <col min="13574" max="13574" width="10.83203125" style="898" customWidth="1"/>
    <col min="13575" max="13575" width="9.33203125" style="898"/>
    <col min="13576" max="13576" width="12.1640625" style="898" customWidth="1"/>
    <col min="13577" max="13577" width="11.1640625" style="898" customWidth="1"/>
    <col min="13578" max="13578" width="13.1640625" style="898" customWidth="1"/>
    <col min="13579" max="13579" width="11" style="898" customWidth="1"/>
    <col min="13580" max="13580" width="7.5" style="898" customWidth="1"/>
    <col min="13581" max="13581" width="18.5" style="898" customWidth="1"/>
    <col min="13582" max="13582" width="23.6640625" style="898" customWidth="1"/>
    <col min="13583" max="13826" width="9.33203125" style="898"/>
    <col min="13827" max="13827" width="18.1640625" style="898" customWidth="1"/>
    <col min="13828" max="13828" width="23.1640625" style="898" customWidth="1"/>
    <col min="13829" max="13829" width="12.5" style="898" customWidth="1"/>
    <col min="13830" max="13830" width="10.83203125" style="898" customWidth="1"/>
    <col min="13831" max="13831" width="9.33203125" style="898"/>
    <col min="13832" max="13832" width="12.1640625" style="898" customWidth="1"/>
    <col min="13833" max="13833" width="11.1640625" style="898" customWidth="1"/>
    <col min="13834" max="13834" width="13.1640625" style="898" customWidth="1"/>
    <col min="13835" max="13835" width="11" style="898" customWidth="1"/>
    <col min="13836" max="13836" width="7.5" style="898" customWidth="1"/>
    <col min="13837" max="13837" width="18.5" style="898" customWidth="1"/>
    <col min="13838" max="13838" width="23.6640625" style="898" customWidth="1"/>
    <col min="13839" max="14082" width="9.33203125" style="898"/>
    <col min="14083" max="14083" width="18.1640625" style="898" customWidth="1"/>
    <col min="14084" max="14084" width="23.1640625" style="898" customWidth="1"/>
    <col min="14085" max="14085" width="12.5" style="898" customWidth="1"/>
    <col min="14086" max="14086" width="10.83203125" style="898" customWidth="1"/>
    <col min="14087" max="14087" width="9.33203125" style="898"/>
    <col min="14088" max="14088" width="12.1640625" style="898" customWidth="1"/>
    <col min="14089" max="14089" width="11.1640625" style="898" customWidth="1"/>
    <col min="14090" max="14090" width="13.1640625" style="898" customWidth="1"/>
    <col min="14091" max="14091" width="11" style="898" customWidth="1"/>
    <col min="14092" max="14092" width="7.5" style="898" customWidth="1"/>
    <col min="14093" max="14093" width="18.5" style="898" customWidth="1"/>
    <col min="14094" max="14094" width="23.6640625" style="898" customWidth="1"/>
    <col min="14095" max="14338" width="9.33203125" style="898"/>
    <col min="14339" max="14339" width="18.1640625" style="898" customWidth="1"/>
    <col min="14340" max="14340" width="23.1640625" style="898" customWidth="1"/>
    <col min="14341" max="14341" width="12.5" style="898" customWidth="1"/>
    <col min="14342" max="14342" width="10.83203125" style="898" customWidth="1"/>
    <col min="14343" max="14343" width="9.33203125" style="898"/>
    <col min="14344" max="14344" width="12.1640625" style="898" customWidth="1"/>
    <col min="14345" max="14345" width="11.1640625" style="898" customWidth="1"/>
    <col min="14346" max="14346" width="13.1640625" style="898" customWidth="1"/>
    <col min="14347" max="14347" width="11" style="898" customWidth="1"/>
    <col min="14348" max="14348" width="7.5" style="898" customWidth="1"/>
    <col min="14349" max="14349" width="18.5" style="898" customWidth="1"/>
    <col min="14350" max="14350" width="23.6640625" style="898" customWidth="1"/>
    <col min="14351" max="14594" width="9.33203125" style="898"/>
    <col min="14595" max="14595" width="18.1640625" style="898" customWidth="1"/>
    <col min="14596" max="14596" width="23.1640625" style="898" customWidth="1"/>
    <col min="14597" max="14597" width="12.5" style="898" customWidth="1"/>
    <col min="14598" max="14598" width="10.83203125" style="898" customWidth="1"/>
    <col min="14599" max="14599" width="9.33203125" style="898"/>
    <col min="14600" max="14600" width="12.1640625" style="898" customWidth="1"/>
    <col min="14601" max="14601" width="11.1640625" style="898" customWidth="1"/>
    <col min="14602" max="14602" width="13.1640625" style="898" customWidth="1"/>
    <col min="14603" max="14603" width="11" style="898" customWidth="1"/>
    <col min="14604" max="14604" width="7.5" style="898" customWidth="1"/>
    <col min="14605" max="14605" width="18.5" style="898" customWidth="1"/>
    <col min="14606" max="14606" width="23.6640625" style="898" customWidth="1"/>
    <col min="14607" max="14850" width="9.33203125" style="898"/>
    <col min="14851" max="14851" width="18.1640625" style="898" customWidth="1"/>
    <col min="14852" max="14852" width="23.1640625" style="898" customWidth="1"/>
    <col min="14853" max="14853" width="12.5" style="898" customWidth="1"/>
    <col min="14854" max="14854" width="10.83203125" style="898" customWidth="1"/>
    <col min="14855" max="14855" width="9.33203125" style="898"/>
    <col min="14856" max="14856" width="12.1640625" style="898" customWidth="1"/>
    <col min="14857" max="14857" width="11.1640625" style="898" customWidth="1"/>
    <col min="14858" max="14858" width="13.1640625" style="898" customWidth="1"/>
    <col min="14859" max="14859" width="11" style="898" customWidth="1"/>
    <col min="14860" max="14860" width="7.5" style="898" customWidth="1"/>
    <col min="14861" max="14861" width="18.5" style="898" customWidth="1"/>
    <col min="14862" max="14862" width="23.6640625" style="898" customWidth="1"/>
    <col min="14863" max="15106" width="9.33203125" style="898"/>
    <col min="15107" max="15107" width="18.1640625" style="898" customWidth="1"/>
    <col min="15108" max="15108" width="23.1640625" style="898" customWidth="1"/>
    <col min="15109" max="15109" width="12.5" style="898" customWidth="1"/>
    <col min="15110" max="15110" width="10.83203125" style="898" customWidth="1"/>
    <col min="15111" max="15111" width="9.33203125" style="898"/>
    <col min="15112" max="15112" width="12.1640625" style="898" customWidth="1"/>
    <col min="15113" max="15113" width="11.1640625" style="898" customWidth="1"/>
    <col min="15114" max="15114" width="13.1640625" style="898" customWidth="1"/>
    <col min="15115" max="15115" width="11" style="898" customWidth="1"/>
    <col min="15116" max="15116" width="7.5" style="898" customWidth="1"/>
    <col min="15117" max="15117" width="18.5" style="898" customWidth="1"/>
    <col min="15118" max="15118" width="23.6640625" style="898" customWidth="1"/>
    <col min="15119" max="15362" width="9.33203125" style="898"/>
    <col min="15363" max="15363" width="18.1640625" style="898" customWidth="1"/>
    <col min="15364" max="15364" width="23.1640625" style="898" customWidth="1"/>
    <col min="15365" max="15365" width="12.5" style="898" customWidth="1"/>
    <col min="15366" max="15366" width="10.83203125" style="898" customWidth="1"/>
    <col min="15367" max="15367" width="9.33203125" style="898"/>
    <col min="15368" max="15368" width="12.1640625" style="898" customWidth="1"/>
    <col min="15369" max="15369" width="11.1640625" style="898" customWidth="1"/>
    <col min="15370" max="15370" width="13.1640625" style="898" customWidth="1"/>
    <col min="15371" max="15371" width="11" style="898" customWidth="1"/>
    <col min="15372" max="15372" width="7.5" style="898" customWidth="1"/>
    <col min="15373" max="15373" width="18.5" style="898" customWidth="1"/>
    <col min="15374" max="15374" width="23.6640625" style="898" customWidth="1"/>
    <col min="15375" max="15618" width="9.33203125" style="898"/>
    <col min="15619" max="15619" width="18.1640625" style="898" customWidth="1"/>
    <col min="15620" max="15620" width="23.1640625" style="898" customWidth="1"/>
    <col min="15621" max="15621" width="12.5" style="898" customWidth="1"/>
    <col min="15622" max="15622" width="10.83203125" style="898" customWidth="1"/>
    <col min="15623" max="15623" width="9.33203125" style="898"/>
    <col min="15624" max="15624" width="12.1640625" style="898" customWidth="1"/>
    <col min="15625" max="15625" width="11.1640625" style="898" customWidth="1"/>
    <col min="15626" max="15626" width="13.1640625" style="898" customWidth="1"/>
    <col min="15627" max="15627" width="11" style="898" customWidth="1"/>
    <col min="15628" max="15628" width="7.5" style="898" customWidth="1"/>
    <col min="15629" max="15629" width="18.5" style="898" customWidth="1"/>
    <col min="15630" max="15630" width="23.6640625" style="898" customWidth="1"/>
    <col min="15631" max="15874" width="9.33203125" style="898"/>
    <col min="15875" max="15875" width="18.1640625" style="898" customWidth="1"/>
    <col min="15876" max="15876" width="23.1640625" style="898" customWidth="1"/>
    <col min="15877" max="15877" width="12.5" style="898" customWidth="1"/>
    <col min="15878" max="15878" width="10.83203125" style="898" customWidth="1"/>
    <col min="15879" max="15879" width="9.33203125" style="898"/>
    <col min="15880" max="15880" width="12.1640625" style="898" customWidth="1"/>
    <col min="15881" max="15881" width="11.1640625" style="898" customWidth="1"/>
    <col min="15882" max="15882" width="13.1640625" style="898" customWidth="1"/>
    <col min="15883" max="15883" width="11" style="898" customWidth="1"/>
    <col min="15884" max="15884" width="7.5" style="898" customWidth="1"/>
    <col min="15885" max="15885" width="18.5" style="898" customWidth="1"/>
    <col min="15886" max="15886" width="23.6640625" style="898" customWidth="1"/>
    <col min="15887" max="16130" width="9.33203125" style="898"/>
    <col min="16131" max="16131" width="18.1640625" style="898" customWidth="1"/>
    <col min="16132" max="16132" width="23.1640625" style="898" customWidth="1"/>
    <col min="16133" max="16133" width="12.5" style="898" customWidth="1"/>
    <col min="16134" max="16134" width="10.83203125" style="898" customWidth="1"/>
    <col min="16135" max="16135" width="9.33203125" style="898"/>
    <col min="16136" max="16136" width="12.1640625" style="898" customWidth="1"/>
    <col min="16137" max="16137" width="11.1640625" style="898" customWidth="1"/>
    <col min="16138" max="16138" width="13.1640625" style="898" customWidth="1"/>
    <col min="16139" max="16139" width="11" style="898" customWidth="1"/>
    <col min="16140" max="16140" width="7.5" style="898" customWidth="1"/>
    <col min="16141" max="16141" width="18.5" style="898" customWidth="1"/>
    <col min="16142" max="16142" width="23.6640625" style="898" customWidth="1"/>
    <col min="16143" max="16384" width="9.33203125" style="898"/>
  </cols>
  <sheetData>
    <row r="1" spans="1:14" ht="25.5" customHeight="1">
      <c r="A1" s="1561" t="s">
        <v>424</v>
      </c>
      <c r="B1" s="1562"/>
      <c r="C1" s="896"/>
      <c r="D1" s="896"/>
      <c r="E1" s="897"/>
      <c r="F1" s="897"/>
      <c r="G1" s="897"/>
      <c r="H1" s="897"/>
      <c r="I1" s="897"/>
      <c r="J1" s="897"/>
      <c r="K1" s="897"/>
      <c r="L1" s="897"/>
      <c r="M1" s="896"/>
      <c r="N1" s="896"/>
    </row>
    <row r="2" spans="1:14" s="902" customFormat="1">
      <c r="A2" s="899"/>
      <c r="B2" s="1487" t="s">
        <v>370</v>
      </c>
      <c r="C2" s="1487"/>
      <c r="D2" s="1487"/>
      <c r="E2" s="1487"/>
      <c r="F2" s="900"/>
      <c r="G2" s="1488" t="s">
        <v>622</v>
      </c>
      <c r="H2" s="1488"/>
      <c r="I2" s="1488"/>
      <c r="J2" s="1488"/>
      <c r="K2" s="1488"/>
      <c r="L2" s="901"/>
      <c r="M2" s="1489" t="s">
        <v>2801</v>
      </c>
      <c r="N2" s="1489"/>
    </row>
    <row r="3" spans="1:14" s="902" customFormat="1">
      <c r="A3" s="903" t="s">
        <v>426</v>
      </c>
      <c r="B3" s="903"/>
      <c r="C3" s="903"/>
      <c r="D3" s="903"/>
      <c r="E3" s="904"/>
      <c r="F3" s="904"/>
      <c r="G3" s="1488"/>
      <c r="H3" s="1488"/>
      <c r="I3" s="1488"/>
      <c r="J3" s="1488"/>
      <c r="K3" s="1488"/>
      <c r="L3" s="901"/>
      <c r="M3" s="1489"/>
      <c r="N3" s="1489"/>
    </row>
    <row r="4" spans="1:14" s="902" customFormat="1">
      <c r="A4" s="903"/>
      <c r="B4" s="903"/>
      <c r="C4" s="903"/>
      <c r="D4" s="903"/>
      <c r="E4" s="904"/>
      <c r="F4" s="904"/>
      <c r="G4" s="1488"/>
      <c r="H4" s="1488"/>
      <c r="I4" s="1488"/>
      <c r="J4" s="1488"/>
      <c r="K4" s="1488"/>
      <c r="L4" s="901"/>
      <c r="M4" s="1489"/>
      <c r="N4" s="1489"/>
    </row>
    <row r="5" spans="1:14" s="902" customFormat="1" ht="38.25">
      <c r="A5" s="1490" t="s">
        <v>2802</v>
      </c>
      <c r="B5" s="1490"/>
      <c r="C5" s="905"/>
      <c r="D5" s="905"/>
      <c r="E5" s="906" t="s">
        <v>624</v>
      </c>
      <c r="F5" s="906"/>
      <c r="G5" s="1243"/>
      <c r="H5" s="1243"/>
      <c r="I5" s="1243"/>
      <c r="J5" s="1558"/>
      <c r="K5" s="1559"/>
      <c r="L5" s="1560"/>
      <c r="M5" s="1560"/>
      <c r="N5" s="908" t="s">
        <v>2803</v>
      </c>
    </row>
    <row r="6" spans="1:14">
      <c r="A6" s="1490"/>
      <c r="B6" s="1490"/>
      <c r="C6" s="909"/>
      <c r="D6" s="909"/>
      <c r="E6" s="910"/>
      <c r="F6" s="910"/>
      <c r="G6" s="910"/>
      <c r="H6" s="911"/>
      <c r="M6" s="913"/>
      <c r="N6" s="914"/>
    </row>
    <row r="7" spans="1:14" ht="63.75">
      <c r="A7" s="915" t="s">
        <v>653</v>
      </c>
      <c r="B7" s="916" t="s">
        <v>428</v>
      </c>
      <c r="C7" s="916" t="s">
        <v>429</v>
      </c>
      <c r="D7" s="916" t="s">
        <v>2804</v>
      </c>
      <c r="E7" s="917" t="s">
        <v>620</v>
      </c>
      <c r="F7" s="917" t="s">
        <v>2805</v>
      </c>
      <c r="G7" s="918" t="s">
        <v>2806</v>
      </c>
      <c r="H7" s="918" t="s">
        <v>2807</v>
      </c>
      <c r="I7" s="919" t="s">
        <v>2808</v>
      </c>
      <c r="J7" s="919" t="s">
        <v>2809</v>
      </c>
      <c r="K7" s="920" t="s">
        <v>621</v>
      </c>
      <c r="L7" s="920" t="s">
        <v>2810</v>
      </c>
      <c r="M7" s="1491" t="s">
        <v>431</v>
      </c>
      <c r="N7" s="1491"/>
    </row>
    <row r="8" spans="1:14">
      <c r="A8" s="921"/>
      <c r="B8" s="1479" t="s">
        <v>1238</v>
      </c>
      <c r="C8" s="1480"/>
      <c r="D8" s="1480"/>
      <c r="E8" s="1480"/>
      <c r="F8" s="1480"/>
      <c r="G8" s="1480"/>
      <c r="H8" s="1480"/>
      <c r="I8" s="1480"/>
      <c r="J8" s="1480"/>
      <c r="K8" s="1480"/>
      <c r="L8" s="922"/>
      <c r="M8" s="923"/>
      <c r="N8" s="924"/>
    </row>
    <row r="9" spans="1:14" s="929" customFormat="1">
      <c r="A9" s="925"/>
      <c r="B9" s="1481" t="s">
        <v>2811</v>
      </c>
      <c r="C9" s="1482"/>
      <c r="D9" s="1482"/>
      <c r="E9" s="1482"/>
      <c r="F9" s="1482"/>
      <c r="G9" s="1482"/>
      <c r="H9" s="1482"/>
      <c r="I9" s="1482"/>
      <c r="J9" s="1482"/>
      <c r="K9" s="1483"/>
      <c r="L9" s="926"/>
      <c r="M9" s="927"/>
      <c r="N9" s="928"/>
    </row>
    <row r="10" spans="1:14" ht="63.75">
      <c r="A10" s="930"/>
      <c r="B10" s="923" t="s">
        <v>2812</v>
      </c>
      <c r="C10" s="931" t="s">
        <v>630</v>
      </c>
      <c r="D10" s="931">
        <v>1</v>
      </c>
      <c r="E10" s="932">
        <v>9.42</v>
      </c>
      <c r="F10" s="933">
        <f>+ROUND((E10*D10),2)</f>
        <v>9.42</v>
      </c>
      <c r="G10" s="933">
        <f>SUM(E10*1.1)</f>
        <v>10.362</v>
      </c>
      <c r="H10" s="933">
        <f>+ROUND((G10*D10),2)</f>
        <v>10.36</v>
      </c>
      <c r="I10" s="933">
        <f t="shared" ref="I10" si="0">SUM(K10*1.1)</f>
        <v>62.161000000000001</v>
      </c>
      <c r="J10" s="933">
        <f t="shared" ref="J10:J19" si="1">+ROUND((I10*D10),2)</f>
        <v>62.16</v>
      </c>
      <c r="K10" s="933">
        <v>56.51</v>
      </c>
      <c r="L10" s="933">
        <f t="shared" ref="L10:L19" si="2">+ROUND((K10*D10),2)</f>
        <v>56.51</v>
      </c>
      <c r="M10" s="923"/>
      <c r="N10" s="934"/>
    </row>
    <row r="11" spans="1:14" s="940" customFormat="1" ht="38.25">
      <c r="A11" s="935"/>
      <c r="B11" s="936" t="s">
        <v>1245</v>
      </c>
      <c r="C11" s="937" t="s">
        <v>630</v>
      </c>
      <c r="D11" s="931">
        <v>1</v>
      </c>
      <c r="E11" s="933">
        <v>4.5</v>
      </c>
      <c r="F11" s="933">
        <f t="shared" ref="F11:F19" si="3">+ROUND((E11*D11),2)</f>
        <v>4.5</v>
      </c>
      <c r="G11" s="933">
        <f t="shared" ref="G11" si="4">SUM(E11*1.1)</f>
        <v>4.95</v>
      </c>
      <c r="H11" s="933">
        <f t="shared" ref="H11:H19" si="5">+ROUND((G11*D11),2)</f>
        <v>4.95</v>
      </c>
      <c r="I11" s="933">
        <v>0</v>
      </c>
      <c r="J11" s="933">
        <f t="shared" si="1"/>
        <v>0</v>
      </c>
      <c r="K11" s="933">
        <v>0</v>
      </c>
      <c r="L11" s="933">
        <f t="shared" si="2"/>
        <v>0</v>
      </c>
      <c r="M11" s="938"/>
      <c r="N11" s="939"/>
    </row>
    <row r="12" spans="1:14" ht="25.5">
      <c r="A12" s="939"/>
      <c r="B12" s="941" t="s">
        <v>815</v>
      </c>
      <c r="C12" s="931" t="s">
        <v>630</v>
      </c>
      <c r="D12" s="931">
        <v>1</v>
      </c>
      <c r="E12" s="933">
        <v>0</v>
      </c>
      <c r="F12" s="933">
        <f t="shared" si="3"/>
        <v>0</v>
      </c>
      <c r="G12" s="933">
        <v>0</v>
      </c>
      <c r="H12" s="933">
        <f t="shared" si="5"/>
        <v>0</v>
      </c>
      <c r="I12" s="933">
        <v>0</v>
      </c>
      <c r="J12" s="933">
        <f t="shared" si="1"/>
        <v>0</v>
      </c>
      <c r="K12" s="933">
        <v>0</v>
      </c>
      <c r="L12" s="933">
        <f t="shared" si="2"/>
        <v>0</v>
      </c>
      <c r="M12" s="938" t="s">
        <v>285</v>
      </c>
      <c r="N12" s="939" t="s">
        <v>614</v>
      </c>
    </row>
    <row r="13" spans="1:14" ht="25.5">
      <c r="A13" s="942"/>
      <c r="B13" s="939" t="s">
        <v>613</v>
      </c>
      <c r="C13" s="931" t="s">
        <v>630</v>
      </c>
      <c r="D13" s="931">
        <v>1</v>
      </c>
      <c r="E13" s="933">
        <v>0</v>
      </c>
      <c r="F13" s="933">
        <f t="shared" si="3"/>
        <v>0</v>
      </c>
      <c r="G13" s="933">
        <v>0</v>
      </c>
      <c r="H13" s="933">
        <f t="shared" si="5"/>
        <v>0</v>
      </c>
      <c r="I13" s="933">
        <v>0</v>
      </c>
      <c r="J13" s="933">
        <f t="shared" si="1"/>
        <v>0</v>
      </c>
      <c r="K13" s="933">
        <v>0</v>
      </c>
      <c r="L13" s="933">
        <f t="shared" si="2"/>
        <v>0</v>
      </c>
      <c r="M13" s="938" t="s">
        <v>288</v>
      </c>
      <c r="N13" s="939" t="s">
        <v>378</v>
      </c>
    </row>
    <row r="14" spans="1:14" ht="25.5">
      <c r="A14" s="943"/>
      <c r="B14" s="939" t="s">
        <v>617</v>
      </c>
      <c r="C14" s="931" t="s">
        <v>630</v>
      </c>
      <c r="D14" s="931">
        <v>1</v>
      </c>
      <c r="E14" s="933">
        <v>0</v>
      </c>
      <c r="F14" s="933">
        <f t="shared" si="3"/>
        <v>0</v>
      </c>
      <c r="G14" s="944">
        <v>0</v>
      </c>
      <c r="H14" s="933">
        <f t="shared" si="5"/>
        <v>0</v>
      </c>
      <c r="I14" s="944">
        <v>0</v>
      </c>
      <c r="J14" s="933">
        <f t="shared" si="1"/>
        <v>0</v>
      </c>
      <c r="K14" s="944">
        <v>0</v>
      </c>
      <c r="L14" s="933">
        <f t="shared" si="2"/>
        <v>0</v>
      </c>
      <c r="M14" s="945" t="s">
        <v>288</v>
      </c>
      <c r="N14" s="943" t="s">
        <v>426</v>
      </c>
    </row>
    <row r="15" spans="1:14" ht="38.25">
      <c r="A15" s="942"/>
      <c r="B15" s="946" t="s">
        <v>2813</v>
      </c>
      <c r="C15" s="931" t="s">
        <v>630</v>
      </c>
      <c r="D15" s="931">
        <v>1</v>
      </c>
      <c r="E15" s="933">
        <v>0</v>
      </c>
      <c r="F15" s="933">
        <f t="shared" si="3"/>
        <v>0</v>
      </c>
      <c r="G15" s="933">
        <v>0</v>
      </c>
      <c r="H15" s="933">
        <f t="shared" si="5"/>
        <v>0</v>
      </c>
      <c r="I15" s="933">
        <v>0</v>
      </c>
      <c r="J15" s="933">
        <f t="shared" si="1"/>
        <v>0</v>
      </c>
      <c r="K15" s="933">
        <v>0</v>
      </c>
      <c r="L15" s="933">
        <f t="shared" si="2"/>
        <v>0</v>
      </c>
      <c r="M15" s="938" t="s">
        <v>288</v>
      </c>
      <c r="N15" s="939" t="s">
        <v>422</v>
      </c>
    </row>
    <row r="16" spans="1:14" ht="25.5">
      <c r="A16" s="942"/>
      <c r="B16" s="946" t="s">
        <v>367</v>
      </c>
      <c r="C16" s="931" t="s">
        <v>630</v>
      </c>
      <c r="D16" s="931">
        <v>1</v>
      </c>
      <c r="E16" s="933">
        <v>0</v>
      </c>
      <c r="F16" s="933">
        <f t="shared" si="3"/>
        <v>0</v>
      </c>
      <c r="G16" s="933">
        <v>0</v>
      </c>
      <c r="H16" s="933">
        <f t="shared" si="5"/>
        <v>0</v>
      </c>
      <c r="I16" s="933">
        <v>0</v>
      </c>
      <c r="J16" s="933">
        <f t="shared" si="1"/>
        <v>0</v>
      </c>
      <c r="K16" s="933">
        <v>0</v>
      </c>
      <c r="L16" s="933">
        <f t="shared" si="2"/>
        <v>0</v>
      </c>
      <c r="M16" s="938" t="s">
        <v>288</v>
      </c>
      <c r="N16" s="939" t="s">
        <v>423</v>
      </c>
    </row>
    <row r="17" spans="1:19" ht="51">
      <c r="A17" s="942"/>
      <c r="B17" s="939" t="s">
        <v>2814</v>
      </c>
      <c r="C17" s="931" t="s">
        <v>630</v>
      </c>
      <c r="D17" s="931">
        <v>1</v>
      </c>
      <c r="E17" s="933">
        <v>0.75</v>
      </c>
      <c r="F17" s="933">
        <f t="shared" si="3"/>
        <v>0.75</v>
      </c>
      <c r="G17" s="933">
        <f>SUM(E17*1.1)</f>
        <v>0.82500000000000007</v>
      </c>
      <c r="H17" s="933">
        <f t="shared" si="5"/>
        <v>0.83</v>
      </c>
      <c r="I17" s="933">
        <v>5.45</v>
      </c>
      <c r="J17" s="933">
        <f t="shared" si="1"/>
        <v>5.45</v>
      </c>
      <c r="K17" s="933">
        <v>4.95</v>
      </c>
      <c r="L17" s="933">
        <f t="shared" si="2"/>
        <v>4.95</v>
      </c>
      <c r="M17" s="938" t="s">
        <v>288</v>
      </c>
      <c r="N17" s="939" t="s">
        <v>391</v>
      </c>
    </row>
    <row r="18" spans="1:19" ht="51">
      <c r="A18" s="942"/>
      <c r="B18" s="947" t="s">
        <v>893</v>
      </c>
      <c r="C18" s="948" t="s">
        <v>1483</v>
      </c>
      <c r="D18" s="931">
        <v>1</v>
      </c>
      <c r="E18" s="933">
        <v>0</v>
      </c>
      <c r="F18" s="933">
        <f t="shared" si="3"/>
        <v>0</v>
      </c>
      <c r="G18" s="933">
        <v>0</v>
      </c>
      <c r="H18" s="933">
        <f t="shared" si="5"/>
        <v>0</v>
      </c>
      <c r="I18" s="933">
        <v>50.06</v>
      </c>
      <c r="J18" s="933">
        <f t="shared" si="1"/>
        <v>50.06</v>
      </c>
      <c r="K18" s="933">
        <v>45.51</v>
      </c>
      <c r="L18" s="933">
        <f t="shared" si="2"/>
        <v>45.51</v>
      </c>
      <c r="M18" s="939" t="s">
        <v>374</v>
      </c>
      <c r="N18" s="939" t="s">
        <v>389</v>
      </c>
    </row>
    <row r="19" spans="1:19">
      <c r="A19" s="942"/>
      <c r="B19" s="949" t="s">
        <v>1544</v>
      </c>
      <c r="C19" s="948" t="s">
        <v>1483</v>
      </c>
      <c r="D19" s="931">
        <v>0.25</v>
      </c>
      <c r="E19" s="933">
        <v>0</v>
      </c>
      <c r="F19" s="933">
        <f t="shared" si="3"/>
        <v>0</v>
      </c>
      <c r="G19" s="933">
        <v>0</v>
      </c>
      <c r="H19" s="933">
        <f t="shared" si="5"/>
        <v>0</v>
      </c>
      <c r="I19" s="933">
        <v>100.63</v>
      </c>
      <c r="J19" s="933">
        <f t="shared" si="1"/>
        <v>25.16</v>
      </c>
      <c r="K19" s="933">
        <v>91.48</v>
      </c>
      <c r="L19" s="933">
        <f t="shared" si="2"/>
        <v>22.87</v>
      </c>
      <c r="M19" s="939"/>
      <c r="N19" s="939" t="s">
        <v>426</v>
      </c>
    </row>
    <row r="20" spans="1:19" s="955" customFormat="1">
      <c r="A20" s="939"/>
      <c r="B20" s="950" t="s">
        <v>2815</v>
      </c>
      <c r="C20" s="951"/>
      <c r="D20" s="951"/>
      <c r="E20" s="952"/>
      <c r="F20" s="952">
        <f>SUM(F11)</f>
        <v>4.5</v>
      </c>
      <c r="G20" s="952"/>
      <c r="H20" s="952">
        <f>SUM(H11)</f>
        <v>4.95</v>
      </c>
      <c r="I20" s="952"/>
      <c r="J20" s="952">
        <f>SUM(J10+J18+J19)</f>
        <v>137.38</v>
      </c>
      <c r="K20" s="952"/>
      <c r="L20" s="952">
        <f>SUM(L10+L18+L19)</f>
        <v>124.89</v>
      </c>
      <c r="M20" s="953"/>
      <c r="N20" s="954"/>
      <c r="P20" s="956"/>
      <c r="Q20" s="956"/>
      <c r="R20" s="956"/>
      <c r="S20" s="956"/>
    </row>
    <row r="21" spans="1:19" ht="38.25" customHeight="1">
      <c r="A21" s="957" t="s">
        <v>2849</v>
      </c>
      <c r="B21" s="958" t="s">
        <v>2811</v>
      </c>
      <c r="C21" s="958"/>
      <c r="D21" s="958"/>
      <c r="E21" s="958"/>
      <c r="F21" s="959">
        <f>SUM(F10:F19)-F20</f>
        <v>10.17</v>
      </c>
      <c r="G21" s="958"/>
      <c r="H21" s="959">
        <f>SUM(H10:H19)-H20</f>
        <v>11.189999999999998</v>
      </c>
      <c r="I21" s="958"/>
      <c r="J21" s="959">
        <f>SUM(J10:J19)-J20</f>
        <v>5.4500000000000171</v>
      </c>
      <c r="K21" s="958"/>
      <c r="L21" s="959">
        <f>SUM(L10:L19)-L20</f>
        <v>4.9500000000000028</v>
      </c>
      <c r="M21" s="960"/>
      <c r="N21" s="960"/>
    </row>
    <row r="22" spans="1:19">
      <c r="A22" s="939"/>
      <c r="B22" s="939"/>
      <c r="C22" s="937"/>
      <c r="D22" s="937"/>
      <c r="E22" s="968"/>
      <c r="F22" s="968"/>
      <c r="G22" s="968"/>
      <c r="H22" s="968"/>
      <c r="I22" s="968"/>
      <c r="J22" s="968"/>
      <c r="K22" s="968"/>
      <c r="L22" s="968"/>
      <c r="M22" s="973"/>
      <c r="N22" s="939"/>
    </row>
    <row r="23" spans="1:19">
      <c r="A23" s="939"/>
      <c r="B23" s="923"/>
      <c r="C23" s="931"/>
      <c r="D23" s="931"/>
      <c r="E23" s="932"/>
      <c r="F23" s="932"/>
      <c r="G23" s="962"/>
      <c r="H23" s="962"/>
      <c r="I23" s="962"/>
      <c r="J23" s="962"/>
      <c r="K23" s="974"/>
      <c r="L23" s="974"/>
      <c r="M23" s="923"/>
      <c r="N23" s="965"/>
    </row>
    <row r="24" spans="1:19" s="929" customFormat="1">
      <c r="A24" s="925"/>
      <c r="B24" s="1484" t="s">
        <v>2821</v>
      </c>
      <c r="C24" s="1485"/>
      <c r="D24" s="1485"/>
      <c r="E24" s="1485"/>
      <c r="F24" s="1485"/>
      <c r="G24" s="1485"/>
      <c r="H24" s="1485"/>
      <c r="I24" s="1485"/>
      <c r="J24" s="1485"/>
      <c r="K24" s="1485"/>
      <c r="L24" s="1485"/>
      <c r="M24" s="1486"/>
      <c r="N24" s="928"/>
    </row>
    <row r="25" spans="1:19" ht="63.75">
      <c r="A25" s="930"/>
      <c r="B25" s="923" t="s">
        <v>2812</v>
      </c>
      <c r="C25" s="931" t="s">
        <v>630</v>
      </c>
      <c r="D25" s="931">
        <v>2</v>
      </c>
      <c r="E25" s="932">
        <v>9.42</v>
      </c>
      <c r="F25" s="933">
        <f t="shared" ref="F25:F34" si="6">+ROUND((E25*D25),2)</f>
        <v>18.84</v>
      </c>
      <c r="G25" s="933">
        <f>SUM(E25*1.1)</f>
        <v>10.362</v>
      </c>
      <c r="H25" s="933">
        <f t="shared" ref="H25:H34" si="7">+ROUND((G25*D25),2)</f>
        <v>20.72</v>
      </c>
      <c r="I25" s="933">
        <f>SUM(K25*1.1)</f>
        <v>62.161000000000001</v>
      </c>
      <c r="J25" s="933">
        <f t="shared" ref="J25:J34" si="8">+ROUND((I25*D25),2)</f>
        <v>124.32</v>
      </c>
      <c r="K25" s="933">
        <v>56.51</v>
      </c>
      <c r="L25" s="933">
        <f t="shared" ref="L25:L34" si="9">+ROUND((K25*D25),2)</f>
        <v>113.02</v>
      </c>
      <c r="M25" s="923"/>
      <c r="N25" s="934"/>
    </row>
    <row r="26" spans="1:19" s="940" customFormat="1" ht="38.25">
      <c r="A26" s="935"/>
      <c r="B26" s="936" t="s">
        <v>1245</v>
      </c>
      <c r="C26" s="937" t="s">
        <v>630</v>
      </c>
      <c r="D26" s="931">
        <v>1</v>
      </c>
      <c r="E26" s="933">
        <v>4.5</v>
      </c>
      <c r="F26" s="933">
        <f t="shared" si="6"/>
        <v>4.5</v>
      </c>
      <c r="G26" s="933">
        <f t="shared" ref="G26" si="10">SUM(E26*1.1)</f>
        <v>4.95</v>
      </c>
      <c r="H26" s="933">
        <f t="shared" si="7"/>
        <v>4.95</v>
      </c>
      <c r="I26" s="933">
        <v>0</v>
      </c>
      <c r="J26" s="933">
        <f t="shared" si="8"/>
        <v>0</v>
      </c>
      <c r="K26" s="933">
        <v>0</v>
      </c>
      <c r="L26" s="933">
        <f t="shared" si="9"/>
        <v>0</v>
      </c>
      <c r="M26" s="938"/>
      <c r="N26" s="939"/>
    </row>
    <row r="27" spans="1:19" ht="25.5">
      <c r="A27" s="939"/>
      <c r="B27" s="941" t="s">
        <v>815</v>
      </c>
      <c r="C27" s="931" t="s">
        <v>630</v>
      </c>
      <c r="D27" s="931">
        <v>2</v>
      </c>
      <c r="E27" s="933">
        <v>0</v>
      </c>
      <c r="F27" s="933">
        <f t="shared" si="6"/>
        <v>0</v>
      </c>
      <c r="G27" s="933">
        <v>0</v>
      </c>
      <c r="H27" s="933">
        <f t="shared" si="7"/>
        <v>0</v>
      </c>
      <c r="I27" s="933">
        <v>0</v>
      </c>
      <c r="J27" s="933">
        <f t="shared" si="8"/>
        <v>0</v>
      </c>
      <c r="K27" s="933">
        <v>0</v>
      </c>
      <c r="L27" s="933">
        <f t="shared" si="9"/>
        <v>0</v>
      </c>
      <c r="M27" s="938" t="s">
        <v>285</v>
      </c>
      <c r="N27" s="939" t="s">
        <v>614</v>
      </c>
    </row>
    <row r="28" spans="1:19" ht="25.5">
      <c r="A28" s="942"/>
      <c r="B28" s="939" t="s">
        <v>613</v>
      </c>
      <c r="C28" s="931" t="s">
        <v>630</v>
      </c>
      <c r="D28" s="931">
        <v>2</v>
      </c>
      <c r="E28" s="933">
        <v>0</v>
      </c>
      <c r="F28" s="933">
        <f t="shared" si="6"/>
        <v>0</v>
      </c>
      <c r="G28" s="933">
        <v>0</v>
      </c>
      <c r="H28" s="933">
        <f t="shared" si="7"/>
        <v>0</v>
      </c>
      <c r="I28" s="933">
        <v>0</v>
      </c>
      <c r="J28" s="933">
        <f t="shared" si="8"/>
        <v>0</v>
      </c>
      <c r="K28" s="933">
        <v>0</v>
      </c>
      <c r="L28" s="933">
        <f t="shared" si="9"/>
        <v>0</v>
      </c>
      <c r="M28" s="938" t="s">
        <v>288</v>
      </c>
      <c r="N28" s="939" t="s">
        <v>378</v>
      </c>
    </row>
    <row r="29" spans="1:19" ht="25.5">
      <c r="A29" s="943"/>
      <c r="B29" s="939" t="s">
        <v>617</v>
      </c>
      <c r="C29" s="931" t="s">
        <v>630</v>
      </c>
      <c r="D29" s="931">
        <v>2</v>
      </c>
      <c r="E29" s="933">
        <v>0</v>
      </c>
      <c r="F29" s="933">
        <f t="shared" si="6"/>
        <v>0</v>
      </c>
      <c r="G29" s="944">
        <v>0</v>
      </c>
      <c r="H29" s="933">
        <f t="shared" si="7"/>
        <v>0</v>
      </c>
      <c r="I29" s="944">
        <v>0</v>
      </c>
      <c r="J29" s="933">
        <f t="shared" si="8"/>
        <v>0</v>
      </c>
      <c r="K29" s="944">
        <v>0</v>
      </c>
      <c r="L29" s="933">
        <f t="shared" si="9"/>
        <v>0</v>
      </c>
      <c r="M29" s="945" t="s">
        <v>288</v>
      </c>
      <c r="N29" s="943" t="s">
        <v>426</v>
      </c>
    </row>
    <row r="30" spans="1:19" ht="38.25">
      <c r="A30" s="942"/>
      <c r="B30" s="946" t="s">
        <v>2813</v>
      </c>
      <c r="C30" s="931" t="s">
        <v>630</v>
      </c>
      <c r="D30" s="931">
        <v>2</v>
      </c>
      <c r="E30" s="933">
        <v>0</v>
      </c>
      <c r="F30" s="933">
        <f t="shared" si="6"/>
        <v>0</v>
      </c>
      <c r="G30" s="933">
        <v>0</v>
      </c>
      <c r="H30" s="933">
        <f t="shared" si="7"/>
        <v>0</v>
      </c>
      <c r="I30" s="933">
        <v>0</v>
      </c>
      <c r="J30" s="933">
        <f t="shared" si="8"/>
        <v>0</v>
      </c>
      <c r="K30" s="933">
        <v>0</v>
      </c>
      <c r="L30" s="933">
        <f t="shared" si="9"/>
        <v>0</v>
      </c>
      <c r="M30" s="938" t="s">
        <v>288</v>
      </c>
      <c r="N30" s="939" t="s">
        <v>422</v>
      </c>
    </row>
    <row r="31" spans="1:19" ht="25.5">
      <c r="A31" s="942"/>
      <c r="B31" s="946" t="s">
        <v>367</v>
      </c>
      <c r="C31" s="931" t="s">
        <v>630</v>
      </c>
      <c r="D31" s="931">
        <v>2</v>
      </c>
      <c r="E31" s="933">
        <v>0</v>
      </c>
      <c r="F31" s="933">
        <f t="shared" si="6"/>
        <v>0</v>
      </c>
      <c r="G31" s="933">
        <v>0</v>
      </c>
      <c r="H31" s="933">
        <f t="shared" si="7"/>
        <v>0</v>
      </c>
      <c r="I31" s="933">
        <v>0</v>
      </c>
      <c r="J31" s="933">
        <f t="shared" si="8"/>
        <v>0</v>
      </c>
      <c r="K31" s="933">
        <v>0</v>
      </c>
      <c r="L31" s="933">
        <f t="shared" si="9"/>
        <v>0</v>
      </c>
      <c r="M31" s="938" t="s">
        <v>288</v>
      </c>
      <c r="N31" s="939" t="s">
        <v>423</v>
      </c>
    </row>
    <row r="32" spans="1:19" ht="51">
      <c r="A32" s="942"/>
      <c r="B32" s="939" t="s">
        <v>2814</v>
      </c>
      <c r="C32" s="931" t="s">
        <v>630</v>
      </c>
      <c r="D32" s="931">
        <v>1</v>
      </c>
      <c r="E32" s="933">
        <v>0.75</v>
      </c>
      <c r="F32" s="933">
        <f t="shared" si="6"/>
        <v>0.75</v>
      </c>
      <c r="G32" s="933">
        <f>SUM(E32*1.1)</f>
        <v>0.82500000000000007</v>
      </c>
      <c r="H32" s="933">
        <f t="shared" si="7"/>
        <v>0.83</v>
      </c>
      <c r="I32" s="933">
        <v>5.45</v>
      </c>
      <c r="J32" s="933">
        <f t="shared" si="8"/>
        <v>5.45</v>
      </c>
      <c r="K32" s="933">
        <v>4.95</v>
      </c>
      <c r="L32" s="933">
        <f t="shared" si="9"/>
        <v>4.95</v>
      </c>
      <c r="M32" s="938" t="s">
        <v>288</v>
      </c>
      <c r="N32" s="939" t="s">
        <v>391</v>
      </c>
    </row>
    <row r="33" spans="1:19" ht="76.5">
      <c r="A33" s="942"/>
      <c r="B33" s="947" t="s">
        <v>894</v>
      </c>
      <c r="C33" s="948" t="s">
        <v>1483</v>
      </c>
      <c r="D33" s="948">
        <v>1</v>
      </c>
      <c r="E33" s="975">
        <v>0</v>
      </c>
      <c r="F33" s="933">
        <f t="shared" si="6"/>
        <v>0</v>
      </c>
      <c r="G33" s="962">
        <v>0</v>
      </c>
      <c r="H33" s="933">
        <f t="shared" si="7"/>
        <v>0</v>
      </c>
      <c r="I33" s="976">
        <f t="shared" ref="I33" si="11">SUM(K33*1.1)</f>
        <v>90.231900000000024</v>
      </c>
      <c r="J33" s="933">
        <f t="shared" si="8"/>
        <v>90.23</v>
      </c>
      <c r="K33" s="977">
        <v>82.029000000000011</v>
      </c>
      <c r="L33" s="933">
        <f t="shared" si="9"/>
        <v>82.03</v>
      </c>
      <c r="M33" s="978"/>
      <c r="N33" s="979" t="s">
        <v>891</v>
      </c>
    </row>
    <row r="34" spans="1:19">
      <c r="A34" s="942"/>
      <c r="B34" s="949" t="s">
        <v>1544</v>
      </c>
      <c r="C34" s="948" t="s">
        <v>1483</v>
      </c>
      <c r="D34" s="931">
        <v>0.25</v>
      </c>
      <c r="E34" s="933">
        <v>0</v>
      </c>
      <c r="F34" s="933">
        <f t="shared" si="6"/>
        <v>0</v>
      </c>
      <c r="G34" s="933">
        <v>0</v>
      </c>
      <c r="H34" s="933">
        <f t="shared" si="7"/>
        <v>0</v>
      </c>
      <c r="I34" s="933">
        <v>100.63</v>
      </c>
      <c r="J34" s="933">
        <f t="shared" si="8"/>
        <v>25.16</v>
      </c>
      <c r="K34" s="933">
        <v>91.48</v>
      </c>
      <c r="L34" s="933">
        <f t="shared" si="9"/>
        <v>22.87</v>
      </c>
      <c r="M34" s="939"/>
      <c r="N34" s="939" t="s">
        <v>426</v>
      </c>
    </row>
    <row r="35" spans="1:19" s="955" customFormat="1">
      <c r="A35" s="980"/>
      <c r="B35" s="950" t="s">
        <v>2815</v>
      </c>
      <c r="C35" s="951"/>
      <c r="D35" s="951"/>
      <c r="E35" s="952"/>
      <c r="F35" s="952">
        <f>SUM(F26)</f>
        <v>4.5</v>
      </c>
      <c r="G35" s="952"/>
      <c r="H35" s="952">
        <f>SUM(H26)</f>
        <v>4.95</v>
      </c>
      <c r="I35" s="952"/>
      <c r="J35" s="952">
        <f>SUM(J25+J33+J34)</f>
        <v>239.71</v>
      </c>
      <c r="K35" s="952"/>
      <c r="L35" s="952">
        <f>SUM(L25+L33+L34)</f>
        <v>217.92000000000002</v>
      </c>
      <c r="M35" s="953"/>
      <c r="N35" s="954"/>
      <c r="P35" s="956"/>
      <c r="Q35" s="956"/>
      <c r="R35" s="956"/>
      <c r="S35" s="956"/>
    </row>
    <row r="36" spans="1:19" ht="51">
      <c r="A36" s="957" t="s">
        <v>2850</v>
      </c>
      <c r="B36" s="981" t="s">
        <v>2821</v>
      </c>
      <c r="C36" s="982"/>
      <c r="D36" s="982"/>
      <c r="E36" s="982"/>
      <c r="F36" s="959">
        <f>SUM(F25:F34)-F35</f>
        <v>19.59</v>
      </c>
      <c r="G36" s="958"/>
      <c r="H36" s="959">
        <f>SUM(H25:H34)-H35</f>
        <v>21.549999999999997</v>
      </c>
      <c r="I36" s="958"/>
      <c r="J36" s="959">
        <f>SUM(J25:J34)-J35</f>
        <v>5.4499999999999886</v>
      </c>
      <c r="K36" s="958"/>
      <c r="L36" s="959">
        <f>SUM(L25:L34)-L35</f>
        <v>4.9499999999999886</v>
      </c>
      <c r="M36" s="982"/>
      <c r="N36" s="983"/>
    </row>
    <row r="37" spans="1:19" s="929" customFormat="1">
      <c r="A37" s="984"/>
      <c r="B37" s="972"/>
      <c r="C37" s="937"/>
      <c r="D37" s="937"/>
      <c r="E37" s="968"/>
      <c r="F37" s="968"/>
      <c r="G37" s="968"/>
      <c r="H37" s="968"/>
      <c r="I37" s="968"/>
      <c r="J37" s="968"/>
      <c r="K37" s="968"/>
      <c r="L37" s="968"/>
      <c r="M37" s="973"/>
      <c r="N37" s="939"/>
      <c r="O37" s="985"/>
    </row>
    <row r="38" spans="1:19" s="929" customFormat="1">
      <c r="A38" s="925"/>
      <c r="B38" s="986" t="s">
        <v>2822</v>
      </c>
      <c r="C38" s="986"/>
      <c r="D38" s="986"/>
      <c r="E38" s="987"/>
      <c r="F38" s="987"/>
      <c r="G38" s="987"/>
      <c r="H38" s="987"/>
      <c r="I38" s="988"/>
      <c r="J38" s="988"/>
      <c r="K38" s="988"/>
      <c r="L38" s="988"/>
      <c r="M38" s="927"/>
      <c r="N38" s="928"/>
      <c r="P38" s="898"/>
      <c r="Q38" s="898"/>
      <c r="R38" s="898"/>
      <c r="S38" s="898"/>
    </row>
    <row r="39" spans="1:19" ht="63.75">
      <c r="A39" s="930"/>
      <c r="B39" s="923" t="s">
        <v>2812</v>
      </c>
      <c r="C39" s="931" t="s">
        <v>630</v>
      </c>
      <c r="D39" s="931">
        <v>1</v>
      </c>
      <c r="E39" s="932">
        <v>9.42</v>
      </c>
      <c r="F39" s="933">
        <f t="shared" ref="F39:F48" si="12">+ROUND((E39*D39),2)</f>
        <v>9.42</v>
      </c>
      <c r="G39" s="933">
        <f>SUM(E39*1.1)</f>
        <v>10.362</v>
      </c>
      <c r="H39" s="933">
        <f t="shared" ref="H39:H48" si="13">+ROUND((G39*D39),2)</f>
        <v>10.36</v>
      </c>
      <c r="I39" s="933">
        <f>SUM(K39*1.1)</f>
        <v>62.161000000000001</v>
      </c>
      <c r="J39" s="933">
        <f t="shared" ref="J39:J48" si="14">+ROUND((I39*D39),2)</f>
        <v>62.16</v>
      </c>
      <c r="K39" s="933">
        <v>56.51</v>
      </c>
      <c r="L39" s="933">
        <f t="shared" ref="L39:L48" si="15">+ROUND((K39*D39),2)</f>
        <v>56.51</v>
      </c>
      <c r="M39" s="923"/>
      <c r="N39" s="934"/>
    </row>
    <row r="40" spans="1:19" s="940" customFormat="1" ht="38.25">
      <c r="A40" s="935"/>
      <c r="B40" s="936" t="s">
        <v>1245</v>
      </c>
      <c r="C40" s="937" t="s">
        <v>630</v>
      </c>
      <c r="D40" s="931">
        <v>1</v>
      </c>
      <c r="E40" s="933">
        <v>4.5</v>
      </c>
      <c r="F40" s="933">
        <f t="shared" si="12"/>
        <v>4.5</v>
      </c>
      <c r="G40" s="933">
        <f t="shared" ref="G40" si="16">SUM(E40*1.1)</f>
        <v>4.95</v>
      </c>
      <c r="H40" s="933">
        <f t="shared" si="13"/>
        <v>4.95</v>
      </c>
      <c r="I40" s="933">
        <v>0</v>
      </c>
      <c r="J40" s="933">
        <f t="shared" si="14"/>
        <v>0</v>
      </c>
      <c r="K40" s="933">
        <v>0</v>
      </c>
      <c r="L40" s="933">
        <f t="shared" si="15"/>
        <v>0</v>
      </c>
      <c r="M40" s="938"/>
      <c r="N40" s="939"/>
    </row>
    <row r="41" spans="1:19" ht="25.5">
      <c r="A41" s="939"/>
      <c r="B41" s="941" t="s">
        <v>815</v>
      </c>
      <c r="C41" s="931" t="s">
        <v>630</v>
      </c>
      <c r="D41" s="931">
        <v>1</v>
      </c>
      <c r="E41" s="933">
        <v>0</v>
      </c>
      <c r="F41" s="933">
        <f t="shared" si="12"/>
        <v>0</v>
      </c>
      <c r="G41" s="933">
        <v>0</v>
      </c>
      <c r="H41" s="933">
        <f t="shared" si="13"/>
        <v>0</v>
      </c>
      <c r="I41" s="933">
        <v>0</v>
      </c>
      <c r="J41" s="933">
        <f t="shared" si="14"/>
        <v>0</v>
      </c>
      <c r="K41" s="933">
        <v>0</v>
      </c>
      <c r="L41" s="933">
        <f t="shared" si="15"/>
        <v>0</v>
      </c>
      <c r="M41" s="938" t="s">
        <v>285</v>
      </c>
      <c r="N41" s="939" t="s">
        <v>614</v>
      </c>
    </row>
    <row r="42" spans="1:19" ht="25.5">
      <c r="A42" s="942"/>
      <c r="B42" s="939" t="s">
        <v>613</v>
      </c>
      <c r="C42" s="931" t="s">
        <v>630</v>
      </c>
      <c r="D42" s="931">
        <v>1</v>
      </c>
      <c r="E42" s="933">
        <v>0</v>
      </c>
      <c r="F42" s="933">
        <f t="shared" si="12"/>
        <v>0</v>
      </c>
      <c r="G42" s="933">
        <v>0</v>
      </c>
      <c r="H42" s="933">
        <f t="shared" si="13"/>
        <v>0</v>
      </c>
      <c r="I42" s="933">
        <v>0</v>
      </c>
      <c r="J42" s="933">
        <f t="shared" si="14"/>
        <v>0</v>
      </c>
      <c r="K42" s="933">
        <v>0</v>
      </c>
      <c r="L42" s="933">
        <f t="shared" si="15"/>
        <v>0</v>
      </c>
      <c r="M42" s="938" t="s">
        <v>288</v>
      </c>
      <c r="N42" s="939" t="s">
        <v>378</v>
      </c>
    </row>
    <row r="43" spans="1:19" ht="25.5">
      <c r="A43" s="943"/>
      <c r="B43" s="939" t="s">
        <v>617</v>
      </c>
      <c r="C43" s="931" t="s">
        <v>630</v>
      </c>
      <c r="D43" s="931">
        <v>1</v>
      </c>
      <c r="E43" s="933">
        <v>0</v>
      </c>
      <c r="F43" s="933">
        <f t="shared" si="12"/>
        <v>0</v>
      </c>
      <c r="G43" s="944">
        <v>0</v>
      </c>
      <c r="H43" s="933">
        <f t="shared" si="13"/>
        <v>0</v>
      </c>
      <c r="I43" s="944">
        <v>0</v>
      </c>
      <c r="J43" s="933">
        <f t="shared" si="14"/>
        <v>0</v>
      </c>
      <c r="K43" s="944">
        <v>0</v>
      </c>
      <c r="L43" s="933">
        <f t="shared" si="15"/>
        <v>0</v>
      </c>
      <c r="M43" s="945" t="s">
        <v>288</v>
      </c>
      <c r="N43" s="943" t="s">
        <v>426</v>
      </c>
    </row>
    <row r="44" spans="1:19" ht="38.25">
      <c r="A44" s="942"/>
      <c r="B44" s="946" t="s">
        <v>2813</v>
      </c>
      <c r="C44" s="931" t="s">
        <v>630</v>
      </c>
      <c r="D44" s="931">
        <v>1</v>
      </c>
      <c r="E44" s="933">
        <v>0</v>
      </c>
      <c r="F44" s="933">
        <f t="shared" si="12"/>
        <v>0</v>
      </c>
      <c r="G44" s="933">
        <v>0</v>
      </c>
      <c r="H44" s="933">
        <f t="shared" si="13"/>
        <v>0</v>
      </c>
      <c r="I44" s="933">
        <v>0</v>
      </c>
      <c r="J44" s="933">
        <f t="shared" si="14"/>
        <v>0</v>
      </c>
      <c r="K44" s="933">
        <v>0</v>
      </c>
      <c r="L44" s="933">
        <f t="shared" si="15"/>
        <v>0</v>
      </c>
      <c r="M44" s="938" t="s">
        <v>288</v>
      </c>
      <c r="N44" s="939" t="s">
        <v>422</v>
      </c>
    </row>
    <row r="45" spans="1:19" ht="25.5">
      <c r="A45" s="942"/>
      <c r="B45" s="946" t="s">
        <v>367</v>
      </c>
      <c r="C45" s="931" t="s">
        <v>630</v>
      </c>
      <c r="D45" s="931">
        <v>1</v>
      </c>
      <c r="E45" s="933">
        <v>0</v>
      </c>
      <c r="F45" s="933">
        <f t="shared" si="12"/>
        <v>0</v>
      </c>
      <c r="G45" s="933">
        <v>0</v>
      </c>
      <c r="H45" s="933">
        <f t="shared" si="13"/>
        <v>0</v>
      </c>
      <c r="I45" s="933">
        <v>0</v>
      </c>
      <c r="J45" s="933">
        <f t="shared" si="14"/>
        <v>0</v>
      </c>
      <c r="K45" s="933">
        <v>0</v>
      </c>
      <c r="L45" s="933">
        <f t="shared" si="15"/>
        <v>0</v>
      </c>
      <c r="M45" s="938" t="s">
        <v>288</v>
      </c>
      <c r="N45" s="939" t="s">
        <v>423</v>
      </c>
    </row>
    <row r="46" spans="1:19" ht="51">
      <c r="A46" s="942"/>
      <c r="B46" s="939" t="s">
        <v>2814</v>
      </c>
      <c r="C46" s="931" t="s">
        <v>630</v>
      </c>
      <c r="D46" s="931">
        <v>1</v>
      </c>
      <c r="E46" s="933">
        <v>0.75</v>
      </c>
      <c r="F46" s="933">
        <f t="shared" si="12"/>
        <v>0.75</v>
      </c>
      <c r="G46" s="933">
        <f>SUM(E46*1.1)</f>
        <v>0.82500000000000007</v>
      </c>
      <c r="H46" s="933">
        <f t="shared" si="13"/>
        <v>0.83</v>
      </c>
      <c r="I46" s="933">
        <v>5.45</v>
      </c>
      <c r="J46" s="933">
        <f t="shared" si="14"/>
        <v>5.45</v>
      </c>
      <c r="K46" s="933">
        <v>4.95</v>
      </c>
      <c r="L46" s="933">
        <f t="shared" si="15"/>
        <v>4.95</v>
      </c>
      <c r="M46" s="938" t="s">
        <v>288</v>
      </c>
      <c r="N46" s="939" t="s">
        <v>391</v>
      </c>
    </row>
    <row r="47" spans="1:19" ht="38.25">
      <c r="A47" s="942"/>
      <c r="B47" s="989" t="s">
        <v>901</v>
      </c>
      <c r="C47" s="948" t="s">
        <v>1483</v>
      </c>
      <c r="D47" s="990">
        <v>1</v>
      </c>
      <c r="E47" s="963">
        <v>0</v>
      </c>
      <c r="F47" s="933">
        <f t="shared" si="12"/>
        <v>0</v>
      </c>
      <c r="G47" s="991">
        <v>0</v>
      </c>
      <c r="H47" s="933">
        <f t="shared" si="13"/>
        <v>0</v>
      </c>
      <c r="I47" s="991">
        <v>181.92900000000003</v>
      </c>
      <c r="J47" s="933">
        <f t="shared" si="14"/>
        <v>181.93</v>
      </c>
      <c r="K47" s="992">
        <v>165.39000000000001</v>
      </c>
      <c r="L47" s="933">
        <f t="shared" si="15"/>
        <v>165.39</v>
      </c>
      <c r="M47" s="961" t="s">
        <v>2750</v>
      </c>
      <c r="N47" s="965"/>
    </row>
    <row r="48" spans="1:19">
      <c r="A48" s="942"/>
      <c r="B48" s="961" t="s">
        <v>1544</v>
      </c>
      <c r="C48" s="948" t="s">
        <v>1483</v>
      </c>
      <c r="D48" s="931">
        <v>0.25</v>
      </c>
      <c r="E48" s="932">
        <v>0</v>
      </c>
      <c r="F48" s="933">
        <f t="shared" si="12"/>
        <v>0</v>
      </c>
      <c r="G48" s="932">
        <v>0</v>
      </c>
      <c r="H48" s="933">
        <f t="shared" si="13"/>
        <v>0</v>
      </c>
      <c r="I48" s="932">
        <f t="shared" ref="I48" si="17">SUM(1.1*K48)</f>
        <v>100.62800000000001</v>
      </c>
      <c r="J48" s="933">
        <f t="shared" si="14"/>
        <v>25.16</v>
      </c>
      <c r="K48" s="932">
        <v>91.48</v>
      </c>
      <c r="L48" s="933">
        <f t="shared" si="15"/>
        <v>22.87</v>
      </c>
      <c r="M48" s="961" t="s">
        <v>2819</v>
      </c>
      <c r="N48" s="965" t="s">
        <v>2823</v>
      </c>
    </row>
    <row r="49" spans="1:19" s="955" customFormat="1">
      <c r="A49" s="984"/>
      <c r="B49" s="950" t="s">
        <v>2815</v>
      </c>
      <c r="C49" s="951"/>
      <c r="D49" s="951"/>
      <c r="E49" s="952"/>
      <c r="F49" s="952">
        <f>SUM(F40)</f>
        <v>4.5</v>
      </c>
      <c r="G49" s="952"/>
      <c r="H49" s="952">
        <f>SUM(H40)</f>
        <v>4.95</v>
      </c>
      <c r="I49" s="952"/>
      <c r="J49" s="952">
        <f>SUM(J39+J48)</f>
        <v>87.32</v>
      </c>
      <c r="K49" s="952"/>
      <c r="L49" s="952">
        <f>SUM(L39+L48)</f>
        <v>79.38</v>
      </c>
      <c r="M49" s="953"/>
      <c r="N49" s="954"/>
      <c r="P49" s="956"/>
      <c r="Q49" s="956"/>
      <c r="R49" s="956"/>
      <c r="S49" s="956"/>
    </row>
    <row r="50" spans="1:19" ht="51">
      <c r="A50" s="957" t="s">
        <v>2851</v>
      </c>
      <c r="B50" s="958" t="s">
        <v>2822</v>
      </c>
      <c r="C50" s="993"/>
      <c r="D50" s="994"/>
      <c r="E50" s="995"/>
      <c r="F50" s="959">
        <f>SUM(F39:F48)-F49</f>
        <v>10.17</v>
      </c>
      <c r="G50" s="958"/>
      <c r="H50" s="959">
        <f>SUM(H39:H48)-H49</f>
        <v>11.189999999999998</v>
      </c>
      <c r="I50" s="958"/>
      <c r="J50" s="959">
        <f>SUM(J39:J48)-J49</f>
        <v>187.38000000000005</v>
      </c>
      <c r="K50" s="958"/>
      <c r="L50" s="959">
        <f>SUM(L39:L48)-L49</f>
        <v>170.34</v>
      </c>
      <c r="M50" s="996"/>
      <c r="N50" s="997"/>
    </row>
    <row r="51" spans="1:19" s="998" customFormat="1">
      <c r="B51" s="972"/>
      <c r="C51" s="937"/>
      <c r="D51" s="937"/>
      <c r="E51" s="968"/>
      <c r="F51" s="968"/>
      <c r="G51" s="968"/>
      <c r="H51" s="968"/>
      <c r="I51" s="968"/>
      <c r="J51" s="968"/>
      <c r="K51" s="968"/>
      <c r="L51" s="933"/>
      <c r="M51" s="937"/>
      <c r="N51" s="934"/>
    </row>
    <row r="52" spans="1:19" s="1004" customFormat="1">
      <c r="A52" s="999"/>
      <c r="B52" s="986" t="s">
        <v>2824</v>
      </c>
      <c r="C52" s="1000"/>
      <c r="D52" s="1000"/>
      <c r="E52" s="1001"/>
      <c r="F52" s="1001"/>
      <c r="G52" s="1001"/>
      <c r="H52" s="1001"/>
      <c r="I52" s="1002"/>
      <c r="J52" s="1002"/>
      <c r="K52" s="1002"/>
      <c r="L52" s="1002"/>
      <c r="M52" s="1003"/>
      <c r="N52" s="928"/>
    </row>
    <row r="53" spans="1:19" s="998" customFormat="1" ht="63.75">
      <c r="A53" s="936"/>
      <c r="B53" s="923" t="s">
        <v>2812</v>
      </c>
      <c r="C53" s="931" t="s">
        <v>630</v>
      </c>
      <c r="D53" s="931">
        <v>1</v>
      </c>
      <c r="E53" s="933">
        <v>9.42</v>
      </c>
      <c r="F53" s="933">
        <f t="shared" ref="F53:F54" si="18">+ROUND((E53*D53),2)</f>
        <v>9.42</v>
      </c>
      <c r="G53" s="933">
        <f>SUM(E53*1.1)</f>
        <v>10.362</v>
      </c>
      <c r="H53" s="933">
        <f t="shared" ref="H53:H54" si="19">+ROUND((G53*D53),2)</f>
        <v>10.36</v>
      </c>
      <c r="I53" s="933">
        <f t="shared" ref="I53:I54" si="20">SUM(K53*1.1)</f>
        <v>62.161000000000001</v>
      </c>
      <c r="J53" s="933">
        <f t="shared" ref="J53:J54" si="21">+ROUND((I53*D53),2)</f>
        <v>62.16</v>
      </c>
      <c r="K53" s="933">
        <v>56.51</v>
      </c>
      <c r="L53" s="933">
        <f t="shared" ref="L53:L54" si="22">+ROUND((K53*D53),2)</f>
        <v>56.51</v>
      </c>
      <c r="M53" s="931"/>
      <c r="N53" s="934"/>
    </row>
    <row r="54" spans="1:19" s="998" customFormat="1" ht="25.5">
      <c r="A54" s="1005"/>
      <c r="B54" s="949" t="s">
        <v>2825</v>
      </c>
      <c r="C54" s="948" t="s">
        <v>1483</v>
      </c>
      <c r="D54" s="931">
        <v>0.25</v>
      </c>
      <c r="E54" s="933">
        <v>0</v>
      </c>
      <c r="F54" s="933">
        <f t="shared" si="18"/>
        <v>0</v>
      </c>
      <c r="G54" s="933">
        <v>0</v>
      </c>
      <c r="H54" s="933">
        <f t="shared" si="19"/>
        <v>0</v>
      </c>
      <c r="I54" s="933">
        <f t="shared" si="20"/>
        <v>100.62800000000001</v>
      </c>
      <c r="J54" s="933">
        <f t="shared" si="21"/>
        <v>25.16</v>
      </c>
      <c r="K54" s="933">
        <v>91.48</v>
      </c>
      <c r="L54" s="933">
        <f t="shared" si="22"/>
        <v>22.87</v>
      </c>
      <c r="M54" s="931"/>
      <c r="N54" s="965"/>
    </row>
    <row r="55" spans="1:19" s="1010" customFormat="1">
      <c r="A55" s="966"/>
      <c r="B55" s="950" t="s">
        <v>2815</v>
      </c>
      <c r="C55" s="1006"/>
      <c r="D55" s="1007"/>
      <c r="E55" s="1008"/>
      <c r="F55" s="952">
        <v>0</v>
      </c>
      <c r="G55" s="1008"/>
      <c r="H55" s="952">
        <v>0</v>
      </c>
      <c r="I55" s="1008"/>
      <c r="J55" s="952">
        <f>J53</f>
        <v>62.16</v>
      </c>
      <c r="K55" s="1008"/>
      <c r="L55" s="952">
        <f>L53</f>
        <v>56.51</v>
      </c>
      <c r="M55" s="1007"/>
      <c r="N55" s="1009"/>
    </row>
    <row r="56" spans="1:19" s="1012" customFormat="1">
      <c r="A56" s="957" t="s">
        <v>2852</v>
      </c>
      <c r="B56" s="958" t="s">
        <v>2824</v>
      </c>
      <c r="C56" s="993"/>
      <c r="D56" s="994"/>
      <c r="E56" s="1011"/>
      <c r="F56" s="959">
        <f>SUM(F53:F54)-F55</f>
        <v>9.42</v>
      </c>
      <c r="G56" s="958"/>
      <c r="H56" s="959">
        <f>SUM(H53:H54)-H55</f>
        <v>10.36</v>
      </c>
      <c r="I56" s="958"/>
      <c r="J56" s="959">
        <f>SUM(J53:J54)-J55</f>
        <v>25.159999999999997</v>
      </c>
      <c r="K56" s="958"/>
      <c r="L56" s="959">
        <f>SUM(L53:L54)-L55</f>
        <v>22.869999999999997</v>
      </c>
      <c r="M56" s="994"/>
      <c r="N56" s="997"/>
    </row>
    <row r="57" spans="1:19">
      <c r="A57" s="898"/>
      <c r="B57" s="898"/>
      <c r="C57" s="898"/>
      <c r="D57" s="898"/>
      <c r="E57" s="1019"/>
      <c r="F57" s="1019"/>
      <c r="G57" s="1019"/>
      <c r="H57" s="1019"/>
      <c r="I57" s="1020"/>
      <c r="J57" s="1020"/>
      <c r="K57" s="1020"/>
      <c r="L57" s="1020"/>
      <c r="M57" s="898"/>
      <c r="N57" s="898"/>
    </row>
    <row r="58" spans="1:19">
      <c r="A58" s="898"/>
      <c r="B58" s="898"/>
      <c r="C58" s="898"/>
      <c r="D58" s="898"/>
      <c r="E58" s="1019"/>
      <c r="F58" s="1019"/>
      <c r="G58" s="1019"/>
      <c r="H58" s="1019"/>
      <c r="I58" s="1020"/>
      <c r="J58" s="1020"/>
      <c r="K58" s="1020"/>
      <c r="L58" s="1020"/>
      <c r="M58" s="898"/>
      <c r="N58" s="898"/>
    </row>
    <row r="59" spans="1:19">
      <c r="A59" s="898"/>
      <c r="B59" s="898"/>
      <c r="C59" s="898"/>
      <c r="D59" s="898"/>
      <c r="E59" s="1019"/>
      <c r="F59" s="1019"/>
      <c r="G59" s="1019"/>
      <c r="H59" s="1019"/>
      <c r="I59" s="1020"/>
      <c r="J59" s="1020"/>
      <c r="K59" s="1020"/>
      <c r="L59" s="1020"/>
      <c r="M59" s="898"/>
      <c r="N59" s="898"/>
    </row>
    <row r="60" spans="1:19">
      <c r="A60" s="898"/>
      <c r="B60" s="898"/>
      <c r="C60" s="898"/>
      <c r="D60" s="898"/>
      <c r="E60" s="1019"/>
      <c r="F60" s="1019"/>
      <c r="G60" s="1019"/>
      <c r="H60" s="1019"/>
      <c r="I60" s="1020"/>
      <c r="J60" s="1020"/>
      <c r="K60" s="1020"/>
      <c r="L60" s="1020"/>
      <c r="M60" s="898"/>
      <c r="N60" s="898"/>
    </row>
    <row r="61" spans="1:19">
      <c r="A61" s="898"/>
      <c r="B61" s="898"/>
      <c r="C61" s="898"/>
      <c r="D61" s="898"/>
      <c r="E61" s="1019"/>
      <c r="F61" s="1019"/>
      <c r="G61" s="1019"/>
      <c r="H61" s="1019"/>
      <c r="I61" s="1020"/>
      <c r="J61" s="1020"/>
      <c r="K61" s="1020"/>
      <c r="L61" s="1020"/>
      <c r="M61" s="898"/>
      <c r="N61" s="898"/>
    </row>
    <row r="62" spans="1:19">
      <c r="A62" s="898"/>
      <c r="B62" s="898"/>
      <c r="C62" s="898"/>
      <c r="D62" s="898"/>
      <c r="E62" s="1019"/>
      <c r="F62" s="1019"/>
      <c r="G62" s="1019"/>
      <c r="H62" s="1019"/>
      <c r="I62" s="1020"/>
      <c r="J62" s="1020"/>
      <c r="K62" s="1020"/>
      <c r="L62" s="1020"/>
      <c r="M62" s="898"/>
      <c r="N62" s="898"/>
    </row>
    <row r="63" spans="1:19">
      <c r="A63" s="898"/>
      <c r="B63" s="898"/>
      <c r="C63" s="898"/>
      <c r="D63" s="898"/>
      <c r="E63" s="1019"/>
      <c r="F63" s="1019"/>
      <c r="G63" s="1019"/>
      <c r="H63" s="1019"/>
      <c r="I63" s="1020"/>
      <c r="J63" s="1020"/>
      <c r="K63" s="1020"/>
      <c r="L63" s="1020"/>
      <c r="M63" s="898"/>
      <c r="N63" s="898"/>
    </row>
    <row r="64" spans="1:19">
      <c r="A64" s="898"/>
      <c r="B64" s="898"/>
      <c r="C64" s="898"/>
      <c r="D64" s="898"/>
      <c r="E64" s="1019"/>
      <c r="F64" s="1019"/>
      <c r="G64" s="1019"/>
      <c r="H64" s="1019"/>
      <c r="I64" s="1020"/>
      <c r="J64" s="1020"/>
      <c r="K64" s="1020"/>
      <c r="L64" s="1020"/>
      <c r="M64" s="898"/>
      <c r="N64" s="898"/>
    </row>
    <row r="65" spans="1:14">
      <c r="A65" s="898"/>
      <c r="B65" s="898"/>
      <c r="C65" s="898"/>
      <c r="D65" s="898"/>
      <c r="E65" s="1019"/>
      <c r="F65" s="1019"/>
      <c r="G65" s="1019"/>
      <c r="H65" s="1019"/>
      <c r="I65" s="1020"/>
      <c r="J65" s="1020"/>
      <c r="K65" s="1020"/>
      <c r="L65" s="1020"/>
      <c r="M65" s="898"/>
      <c r="N65" s="898"/>
    </row>
    <row r="66" spans="1:14">
      <c r="A66" s="898"/>
      <c r="B66" s="898"/>
      <c r="C66" s="898"/>
      <c r="D66" s="898"/>
      <c r="E66" s="1019"/>
      <c r="F66" s="1019"/>
      <c r="G66" s="1019"/>
      <c r="H66" s="1019"/>
      <c r="I66" s="1020"/>
      <c r="J66" s="1020"/>
      <c r="K66" s="1020"/>
      <c r="L66" s="1020"/>
      <c r="M66" s="898"/>
      <c r="N66" s="898"/>
    </row>
    <row r="67" spans="1:14">
      <c r="A67" s="898"/>
      <c r="B67" s="898"/>
      <c r="C67" s="898"/>
      <c r="D67" s="898"/>
      <c r="E67" s="1019"/>
      <c r="F67" s="1019"/>
      <c r="G67" s="1019"/>
      <c r="H67" s="1019"/>
      <c r="I67" s="1020"/>
      <c r="J67" s="1020"/>
      <c r="K67" s="1020"/>
      <c r="L67" s="1020"/>
      <c r="M67" s="898"/>
      <c r="N67" s="898"/>
    </row>
    <row r="68" spans="1:14">
      <c r="A68" s="898"/>
      <c r="B68" s="898"/>
      <c r="C68" s="898"/>
      <c r="D68" s="898"/>
      <c r="E68" s="1019"/>
      <c r="F68" s="1019"/>
      <c r="G68" s="1019"/>
      <c r="H68" s="1019"/>
      <c r="I68" s="1020"/>
      <c r="J68" s="1020"/>
      <c r="K68" s="1020"/>
      <c r="L68" s="1020"/>
      <c r="M68" s="898"/>
      <c r="N68" s="898"/>
    </row>
    <row r="69" spans="1:14">
      <c r="A69" s="898"/>
      <c r="B69" s="898"/>
      <c r="C69" s="898"/>
      <c r="D69" s="898"/>
      <c r="E69" s="1019"/>
      <c r="F69" s="1019"/>
      <c r="G69" s="1019"/>
      <c r="H69" s="1019"/>
      <c r="I69" s="1020"/>
      <c r="J69" s="1020"/>
      <c r="K69" s="1020"/>
      <c r="L69" s="1020"/>
      <c r="M69" s="898"/>
      <c r="N69" s="898"/>
    </row>
    <row r="70" spans="1:14">
      <c r="A70" s="898"/>
      <c r="B70" s="898"/>
      <c r="C70" s="898"/>
      <c r="D70" s="898"/>
      <c r="E70" s="1019"/>
      <c r="F70" s="1019"/>
      <c r="G70" s="1019"/>
      <c r="H70" s="1019"/>
      <c r="I70" s="1020"/>
      <c r="J70" s="1020"/>
      <c r="K70" s="1020"/>
      <c r="L70" s="1020"/>
      <c r="M70" s="898"/>
      <c r="N70" s="898"/>
    </row>
    <row r="71" spans="1:14">
      <c r="A71" s="898"/>
      <c r="B71" s="898"/>
      <c r="C71" s="898"/>
      <c r="D71" s="898"/>
      <c r="E71" s="1019"/>
      <c r="F71" s="1019"/>
      <c r="G71" s="1019"/>
      <c r="H71" s="1019"/>
      <c r="I71" s="1020"/>
      <c r="J71" s="1020"/>
      <c r="K71" s="1020"/>
      <c r="L71" s="1020"/>
      <c r="M71" s="898"/>
      <c r="N71" s="898"/>
    </row>
    <row r="72" spans="1:14">
      <c r="A72" s="898"/>
      <c r="B72" s="898"/>
      <c r="C72" s="898"/>
      <c r="D72" s="898"/>
      <c r="E72" s="1019"/>
      <c r="F72" s="1019"/>
      <c r="G72" s="1019"/>
      <c r="H72" s="1019"/>
      <c r="I72" s="1020"/>
      <c r="J72" s="1020"/>
      <c r="K72" s="1020"/>
      <c r="L72" s="1020"/>
      <c r="M72" s="898"/>
      <c r="N72" s="898"/>
    </row>
    <row r="73" spans="1:14">
      <c r="A73" s="898"/>
      <c r="B73" s="898"/>
      <c r="C73" s="898"/>
      <c r="D73" s="898"/>
      <c r="E73" s="1019"/>
      <c r="F73" s="1019"/>
      <c r="G73" s="1019"/>
      <c r="H73" s="1019"/>
      <c r="I73" s="1020"/>
      <c r="J73" s="1020"/>
      <c r="K73" s="1020"/>
      <c r="L73" s="1020"/>
      <c r="M73" s="898"/>
      <c r="N73" s="898"/>
    </row>
    <row r="74" spans="1:14">
      <c r="A74" s="898"/>
      <c r="B74" s="898"/>
      <c r="C74" s="898"/>
      <c r="D74" s="898"/>
      <c r="E74" s="1019"/>
      <c r="F74" s="1019"/>
      <c r="G74" s="1019"/>
      <c r="H74" s="1019"/>
      <c r="I74" s="1020"/>
      <c r="J74" s="1020"/>
      <c r="K74" s="1020"/>
      <c r="L74" s="1020"/>
      <c r="M74" s="898"/>
      <c r="N74" s="898"/>
    </row>
    <row r="75" spans="1:14">
      <c r="A75" s="898"/>
      <c r="B75" s="898"/>
      <c r="C75" s="898"/>
      <c r="D75" s="898"/>
      <c r="E75" s="1019"/>
      <c r="F75" s="1019"/>
      <c r="G75" s="1019"/>
      <c r="H75" s="1019"/>
      <c r="I75" s="1020"/>
      <c r="J75" s="1020"/>
      <c r="K75" s="1020"/>
      <c r="L75" s="1020"/>
      <c r="M75" s="898"/>
      <c r="N75" s="898"/>
    </row>
    <row r="76" spans="1:14">
      <c r="A76" s="898"/>
      <c r="B76" s="898"/>
      <c r="C76" s="898"/>
      <c r="D76" s="898"/>
      <c r="E76" s="1019"/>
      <c r="F76" s="1019"/>
      <c r="G76" s="1019"/>
      <c r="H76" s="1019"/>
      <c r="I76" s="1020"/>
      <c r="J76" s="1020"/>
      <c r="K76" s="1020"/>
      <c r="L76" s="1020"/>
      <c r="M76" s="898"/>
      <c r="N76" s="898"/>
    </row>
    <row r="77" spans="1:14">
      <c r="A77" s="898"/>
      <c r="B77" s="898"/>
      <c r="C77" s="898"/>
      <c r="D77" s="898"/>
      <c r="E77" s="1019"/>
      <c r="F77" s="1019"/>
      <c r="G77" s="1019"/>
      <c r="H77" s="1019"/>
      <c r="I77" s="1020"/>
      <c r="J77" s="1020"/>
      <c r="K77" s="1020"/>
      <c r="L77" s="1020"/>
      <c r="M77" s="898"/>
      <c r="N77" s="898"/>
    </row>
    <row r="78" spans="1:14">
      <c r="A78" s="898"/>
      <c r="B78" s="898"/>
      <c r="C78" s="898"/>
      <c r="D78" s="898"/>
      <c r="E78" s="1019"/>
      <c r="F78" s="1019"/>
      <c r="G78" s="1019"/>
      <c r="H78" s="1019"/>
      <c r="I78" s="1020"/>
      <c r="J78" s="1020"/>
      <c r="K78" s="1020"/>
      <c r="L78" s="1020"/>
      <c r="M78" s="898"/>
      <c r="N78" s="898"/>
    </row>
    <row r="79" spans="1:14">
      <c r="A79" s="898"/>
      <c r="B79" s="898"/>
      <c r="C79" s="898"/>
      <c r="D79" s="898"/>
      <c r="E79" s="1019"/>
      <c r="F79" s="1019"/>
      <c r="G79" s="1019"/>
      <c r="H79" s="1019"/>
      <c r="I79" s="1020"/>
      <c r="J79" s="1020"/>
      <c r="K79" s="1020"/>
      <c r="L79" s="1020"/>
      <c r="M79" s="898"/>
      <c r="N79" s="898"/>
    </row>
    <row r="80" spans="1:14">
      <c r="A80" s="898"/>
      <c r="B80" s="898"/>
      <c r="C80" s="898"/>
      <c r="D80" s="898"/>
      <c r="E80" s="1019"/>
      <c r="F80" s="1019"/>
      <c r="G80" s="1019"/>
      <c r="H80" s="1019"/>
      <c r="I80" s="1020"/>
      <c r="J80" s="1020"/>
      <c r="K80" s="1020"/>
      <c r="L80" s="1020"/>
      <c r="M80" s="898"/>
      <c r="N80" s="898"/>
    </row>
    <row r="81" spans="1:14">
      <c r="A81" s="898"/>
      <c r="B81" s="898"/>
      <c r="C81" s="898"/>
      <c r="D81" s="898"/>
      <c r="E81" s="1019"/>
      <c r="F81" s="1019"/>
      <c r="G81" s="1019"/>
      <c r="H81" s="1019"/>
      <c r="I81" s="1020"/>
      <c r="J81" s="1020"/>
      <c r="K81" s="1020"/>
      <c r="L81" s="1020"/>
      <c r="M81" s="898"/>
      <c r="N81" s="898"/>
    </row>
    <row r="82" spans="1:14">
      <c r="A82" s="898"/>
      <c r="B82" s="898"/>
      <c r="C82" s="898"/>
      <c r="D82" s="898"/>
      <c r="E82" s="1019"/>
      <c r="F82" s="1019"/>
      <c r="G82" s="1019"/>
      <c r="H82" s="1019"/>
      <c r="I82" s="1020"/>
      <c r="J82" s="1020"/>
      <c r="K82" s="1020"/>
      <c r="L82" s="1020"/>
      <c r="M82" s="898"/>
      <c r="N82" s="898"/>
    </row>
    <row r="83" spans="1:14">
      <c r="A83" s="898"/>
      <c r="B83" s="898"/>
      <c r="C83" s="898"/>
      <c r="D83" s="898"/>
      <c r="E83" s="1019"/>
      <c r="F83" s="1019"/>
      <c r="G83" s="1019"/>
      <c r="H83" s="1019"/>
      <c r="I83" s="1020"/>
      <c r="J83" s="1020"/>
      <c r="K83" s="1020"/>
      <c r="L83" s="1020"/>
      <c r="M83" s="898"/>
      <c r="N83" s="898"/>
    </row>
    <row r="84" spans="1:14">
      <c r="A84" s="898"/>
      <c r="B84" s="898"/>
      <c r="C84" s="898"/>
      <c r="D84" s="898"/>
      <c r="E84" s="1019"/>
      <c r="F84" s="1019"/>
      <c r="G84" s="1019"/>
      <c r="H84" s="1019"/>
      <c r="I84" s="1020"/>
      <c r="J84" s="1020"/>
      <c r="K84" s="1020"/>
      <c r="L84" s="1020"/>
      <c r="M84" s="898"/>
      <c r="N84" s="898"/>
    </row>
    <row r="85" spans="1:14">
      <c r="A85" s="898"/>
      <c r="B85" s="898"/>
      <c r="C85" s="898"/>
      <c r="D85" s="898"/>
      <c r="E85" s="1019"/>
      <c r="F85" s="1019"/>
      <c r="G85" s="1019"/>
      <c r="H85" s="1019"/>
      <c r="I85" s="1020"/>
      <c r="J85" s="1020"/>
      <c r="K85" s="1020"/>
      <c r="L85" s="1020"/>
      <c r="M85" s="898"/>
      <c r="N85" s="898"/>
    </row>
    <row r="86" spans="1:14">
      <c r="A86" s="898"/>
      <c r="B86" s="898"/>
      <c r="C86" s="898"/>
      <c r="D86" s="898"/>
      <c r="E86" s="1019"/>
      <c r="F86" s="1019"/>
      <c r="G86" s="1019"/>
      <c r="H86" s="1019"/>
      <c r="I86" s="1020"/>
      <c r="J86" s="1020"/>
      <c r="K86" s="1020"/>
      <c r="L86" s="1020"/>
      <c r="M86" s="898"/>
      <c r="N86" s="898"/>
    </row>
    <row r="87" spans="1:14">
      <c r="A87" s="898"/>
      <c r="B87" s="898"/>
      <c r="C87" s="898"/>
      <c r="D87" s="898"/>
      <c r="E87" s="1019"/>
      <c r="F87" s="1019"/>
      <c r="G87" s="1019"/>
      <c r="H87" s="1019"/>
      <c r="I87" s="1020"/>
      <c r="J87" s="1020"/>
      <c r="K87" s="1020"/>
      <c r="L87" s="1020"/>
      <c r="M87" s="898"/>
      <c r="N87" s="898"/>
    </row>
    <row r="88" spans="1:14">
      <c r="A88" s="898"/>
      <c r="B88" s="898"/>
      <c r="C88" s="898"/>
      <c r="D88" s="898"/>
      <c r="E88" s="1019"/>
      <c r="F88" s="1019"/>
      <c r="G88" s="1019"/>
      <c r="H88" s="1019"/>
      <c r="I88" s="1020"/>
      <c r="J88" s="1020"/>
      <c r="K88" s="1020"/>
      <c r="L88" s="1020"/>
      <c r="M88" s="898"/>
      <c r="N88" s="898"/>
    </row>
    <row r="89" spans="1:14">
      <c r="A89" s="898"/>
      <c r="B89" s="898"/>
      <c r="C89" s="898"/>
      <c r="D89" s="898"/>
      <c r="E89" s="1019"/>
      <c r="F89" s="1019"/>
      <c r="G89" s="1019"/>
      <c r="H89" s="1019"/>
      <c r="I89" s="1020"/>
      <c r="J89" s="1020"/>
      <c r="K89" s="1020"/>
      <c r="L89" s="1020"/>
      <c r="M89" s="898"/>
      <c r="N89" s="898"/>
    </row>
    <row r="90" spans="1:14">
      <c r="A90" s="898"/>
      <c r="B90" s="898"/>
      <c r="C90" s="898"/>
      <c r="D90" s="898"/>
      <c r="E90" s="1019"/>
      <c r="F90" s="1019"/>
      <c r="G90" s="1019"/>
      <c r="H90" s="1019"/>
      <c r="I90" s="1020"/>
      <c r="J90" s="1020"/>
      <c r="K90" s="1020"/>
      <c r="L90" s="1020"/>
      <c r="M90" s="898"/>
      <c r="N90" s="898"/>
    </row>
    <row r="91" spans="1:14">
      <c r="A91" s="898"/>
      <c r="B91" s="898"/>
      <c r="C91" s="898"/>
      <c r="D91" s="898"/>
      <c r="E91" s="1019"/>
      <c r="F91" s="1019"/>
      <c r="G91" s="1019"/>
      <c r="H91" s="1019"/>
      <c r="I91" s="1020"/>
      <c r="J91" s="1020"/>
      <c r="K91" s="1020"/>
      <c r="L91" s="1020"/>
      <c r="M91" s="898"/>
      <c r="N91" s="898"/>
    </row>
    <row r="92" spans="1:14">
      <c r="A92" s="898"/>
      <c r="B92" s="898"/>
      <c r="C92" s="898"/>
      <c r="D92" s="898"/>
      <c r="E92" s="1019"/>
      <c r="F92" s="1019"/>
      <c r="G92" s="1019"/>
      <c r="H92" s="1019"/>
      <c r="I92" s="1020"/>
      <c r="J92" s="1020"/>
      <c r="K92" s="1020"/>
      <c r="L92" s="1020"/>
      <c r="M92" s="898"/>
      <c r="N92" s="898"/>
    </row>
    <row r="93" spans="1:14">
      <c r="A93" s="898"/>
      <c r="B93" s="898"/>
      <c r="C93" s="898"/>
      <c r="D93" s="898"/>
      <c r="E93" s="1019"/>
      <c r="F93" s="1019"/>
      <c r="G93" s="1019"/>
      <c r="H93" s="1019"/>
      <c r="I93" s="1020"/>
      <c r="J93" s="1020"/>
      <c r="K93" s="1020"/>
      <c r="L93" s="1020"/>
      <c r="M93" s="898"/>
      <c r="N93" s="898"/>
    </row>
    <row r="94" spans="1:14">
      <c r="A94" s="898"/>
      <c r="B94" s="898"/>
      <c r="C94" s="898"/>
      <c r="D94" s="898"/>
      <c r="E94" s="1019"/>
      <c r="F94" s="1019"/>
      <c r="G94" s="1019"/>
      <c r="H94" s="1019"/>
      <c r="I94" s="1020"/>
      <c r="J94" s="1020"/>
      <c r="K94" s="1020"/>
      <c r="L94" s="1020"/>
      <c r="M94" s="898"/>
      <c r="N94" s="898"/>
    </row>
    <row r="95" spans="1:14">
      <c r="A95" s="898"/>
      <c r="B95" s="898"/>
      <c r="C95" s="898"/>
      <c r="D95" s="898"/>
      <c r="E95" s="1019"/>
      <c r="F95" s="1019"/>
      <c r="G95" s="1019"/>
      <c r="H95" s="1019"/>
      <c r="I95" s="1020"/>
      <c r="J95" s="1020"/>
      <c r="K95" s="1020"/>
      <c r="L95" s="1020"/>
      <c r="M95" s="898"/>
      <c r="N95" s="898"/>
    </row>
    <row r="96" spans="1:14">
      <c r="A96" s="898"/>
      <c r="B96" s="898"/>
      <c r="C96" s="898"/>
      <c r="D96" s="898"/>
      <c r="E96" s="1019"/>
      <c r="F96" s="1019"/>
      <c r="G96" s="1019"/>
      <c r="H96" s="1019"/>
      <c r="I96" s="1020"/>
      <c r="J96" s="1020"/>
      <c r="K96" s="1020"/>
      <c r="L96" s="1020"/>
      <c r="M96" s="898"/>
      <c r="N96" s="898"/>
    </row>
    <row r="97" spans="1:14">
      <c r="A97" s="898"/>
      <c r="B97" s="898"/>
      <c r="C97" s="898"/>
      <c r="D97" s="898"/>
      <c r="E97" s="1019"/>
      <c r="F97" s="1019"/>
      <c r="G97" s="1019"/>
      <c r="H97" s="1019"/>
      <c r="I97" s="1020"/>
      <c r="J97" s="1020"/>
      <c r="K97" s="1020"/>
      <c r="L97" s="1020"/>
      <c r="M97" s="898"/>
      <c r="N97" s="898"/>
    </row>
    <row r="98" spans="1:14">
      <c r="A98" s="898"/>
      <c r="B98" s="898"/>
      <c r="C98" s="898"/>
      <c r="D98" s="898"/>
      <c r="E98" s="1019"/>
      <c r="F98" s="1019"/>
      <c r="G98" s="1019"/>
      <c r="H98" s="1019"/>
      <c r="I98" s="1020"/>
      <c r="J98" s="1020"/>
      <c r="K98" s="1020"/>
      <c r="L98" s="1020"/>
      <c r="M98" s="898"/>
      <c r="N98" s="898"/>
    </row>
    <row r="99" spans="1:14">
      <c r="A99" s="898"/>
      <c r="B99" s="898"/>
      <c r="C99" s="898"/>
      <c r="D99" s="898"/>
      <c r="E99" s="1019"/>
      <c r="F99" s="1019"/>
      <c r="G99" s="1019"/>
      <c r="H99" s="1019"/>
      <c r="I99" s="1020"/>
      <c r="J99" s="1020"/>
      <c r="K99" s="1020"/>
      <c r="L99" s="1020"/>
      <c r="M99" s="898"/>
      <c r="N99" s="898"/>
    </row>
    <row r="100" spans="1:14">
      <c r="A100" s="898"/>
      <c r="B100" s="898"/>
      <c r="C100" s="898"/>
      <c r="D100" s="898"/>
      <c r="E100" s="1019"/>
      <c r="F100" s="1019"/>
      <c r="G100" s="1019"/>
      <c r="H100" s="1019"/>
      <c r="I100" s="1020"/>
      <c r="J100" s="1020"/>
      <c r="K100" s="1020"/>
      <c r="L100" s="1020"/>
      <c r="M100" s="898"/>
      <c r="N100" s="898"/>
    </row>
    <row r="101" spans="1:14">
      <c r="A101" s="898"/>
      <c r="B101" s="898"/>
      <c r="C101" s="898"/>
      <c r="D101" s="898"/>
      <c r="E101" s="1019"/>
      <c r="F101" s="1019"/>
      <c r="G101" s="1019"/>
      <c r="H101" s="1019"/>
      <c r="I101" s="1020"/>
      <c r="J101" s="1020"/>
      <c r="K101" s="1020"/>
      <c r="L101" s="1020"/>
      <c r="M101" s="898"/>
      <c r="N101" s="898"/>
    </row>
    <row r="102" spans="1:14">
      <c r="A102" s="898"/>
      <c r="B102" s="898"/>
      <c r="C102" s="898"/>
      <c r="D102" s="898"/>
      <c r="E102" s="1019"/>
      <c r="F102" s="1019"/>
      <c r="G102" s="1019"/>
      <c r="H102" s="1019"/>
      <c r="I102" s="1020"/>
      <c r="J102" s="1020"/>
      <c r="K102" s="1020"/>
      <c r="L102" s="1020"/>
      <c r="M102" s="898"/>
      <c r="N102" s="898"/>
    </row>
    <row r="103" spans="1:14">
      <c r="A103" s="898"/>
      <c r="B103" s="898"/>
      <c r="C103" s="898"/>
      <c r="D103" s="898"/>
      <c r="E103" s="1019"/>
      <c r="F103" s="1019"/>
      <c r="G103" s="1019"/>
      <c r="H103" s="1019"/>
      <c r="I103" s="1020"/>
      <c r="J103" s="1020"/>
      <c r="K103" s="1020"/>
      <c r="L103" s="1020"/>
      <c r="M103" s="898"/>
      <c r="N103" s="898"/>
    </row>
    <row r="104" spans="1:14">
      <c r="A104" s="898"/>
      <c r="B104" s="898"/>
      <c r="C104" s="898"/>
      <c r="D104" s="898"/>
      <c r="E104" s="1019"/>
      <c r="F104" s="1019"/>
      <c r="G104" s="1019"/>
      <c r="H104" s="1019"/>
      <c r="I104" s="1020"/>
      <c r="J104" s="1020"/>
      <c r="K104" s="1020"/>
      <c r="L104" s="1020"/>
      <c r="M104" s="898"/>
      <c r="N104" s="898"/>
    </row>
    <row r="105" spans="1:14">
      <c r="A105" s="898"/>
      <c r="B105" s="898"/>
      <c r="C105" s="898"/>
      <c r="D105" s="898"/>
      <c r="E105" s="1019"/>
      <c r="F105" s="1019"/>
      <c r="G105" s="1019"/>
      <c r="H105" s="1019"/>
      <c r="I105" s="1020"/>
      <c r="J105" s="1020"/>
      <c r="K105" s="1020"/>
      <c r="L105" s="1020"/>
      <c r="M105" s="898"/>
      <c r="N105" s="898"/>
    </row>
    <row r="106" spans="1:14">
      <c r="A106" s="898"/>
      <c r="B106" s="898"/>
      <c r="C106" s="898"/>
      <c r="D106" s="898"/>
      <c r="E106" s="1019"/>
      <c r="F106" s="1019"/>
      <c r="G106" s="1019"/>
      <c r="H106" s="1019"/>
      <c r="I106" s="1020"/>
      <c r="J106" s="1020"/>
      <c r="K106" s="1020"/>
      <c r="L106" s="1020"/>
      <c r="M106" s="898"/>
      <c r="N106" s="898"/>
    </row>
    <row r="107" spans="1:14">
      <c r="A107" s="898"/>
      <c r="B107" s="898"/>
      <c r="C107" s="898"/>
      <c r="D107" s="898"/>
      <c r="E107" s="1019"/>
      <c r="F107" s="1019"/>
      <c r="G107" s="1019"/>
      <c r="H107" s="1019"/>
      <c r="I107" s="1020"/>
      <c r="J107" s="1020"/>
      <c r="K107" s="1020"/>
      <c r="L107" s="1020"/>
      <c r="M107" s="898"/>
      <c r="N107" s="898"/>
    </row>
    <row r="108" spans="1:14">
      <c r="A108" s="898"/>
      <c r="B108" s="898"/>
      <c r="C108" s="898"/>
      <c r="D108" s="898"/>
      <c r="E108" s="1019"/>
      <c r="F108" s="1019"/>
      <c r="G108" s="1019"/>
      <c r="H108" s="1019"/>
      <c r="I108" s="1020"/>
      <c r="J108" s="1020"/>
      <c r="K108" s="1020"/>
      <c r="L108" s="1020"/>
      <c r="M108" s="898"/>
      <c r="N108" s="898"/>
    </row>
    <row r="109" spans="1:14">
      <c r="A109" s="898"/>
      <c r="B109" s="898"/>
      <c r="C109" s="898"/>
      <c r="D109" s="898"/>
      <c r="E109" s="1019"/>
      <c r="F109" s="1019"/>
      <c r="G109" s="1019"/>
      <c r="H109" s="1019"/>
      <c r="I109" s="1020"/>
      <c r="J109" s="1020"/>
      <c r="K109" s="1020"/>
      <c r="L109" s="1020"/>
      <c r="M109" s="898"/>
      <c r="N109" s="898"/>
    </row>
    <row r="110" spans="1:14">
      <c r="A110" s="898"/>
      <c r="B110" s="898"/>
      <c r="C110" s="898"/>
      <c r="D110" s="898"/>
      <c r="E110" s="1019"/>
      <c r="F110" s="1019"/>
      <c r="G110" s="1019"/>
      <c r="H110" s="1019"/>
      <c r="I110" s="1020"/>
      <c r="J110" s="1020"/>
      <c r="K110" s="1020"/>
      <c r="L110" s="1020"/>
      <c r="M110" s="898"/>
      <c r="N110" s="898"/>
    </row>
    <row r="111" spans="1:14">
      <c r="A111" s="898"/>
      <c r="B111" s="898"/>
      <c r="C111" s="898"/>
      <c r="D111" s="898"/>
      <c r="E111" s="1019"/>
      <c r="F111" s="1019"/>
      <c r="G111" s="1019"/>
      <c r="H111" s="1019"/>
      <c r="I111" s="1020"/>
      <c r="J111" s="1020"/>
      <c r="K111" s="1020"/>
      <c r="L111" s="1020"/>
      <c r="M111" s="898"/>
      <c r="N111" s="898"/>
    </row>
    <row r="112" spans="1:14">
      <c r="A112" s="898"/>
      <c r="B112" s="898"/>
      <c r="C112" s="898"/>
      <c r="D112" s="898"/>
      <c r="E112" s="1019"/>
      <c r="F112" s="1019"/>
      <c r="G112" s="1019"/>
      <c r="H112" s="1019"/>
      <c r="I112" s="1020"/>
      <c r="J112" s="1020"/>
      <c r="K112" s="1020"/>
      <c r="L112" s="1020"/>
      <c r="M112" s="898"/>
      <c r="N112" s="898"/>
    </row>
    <row r="113" spans="1:14">
      <c r="A113" s="898"/>
      <c r="B113" s="898"/>
      <c r="C113" s="898"/>
      <c r="D113" s="898"/>
      <c r="E113" s="1019"/>
      <c r="F113" s="1019"/>
      <c r="G113" s="1019"/>
      <c r="H113" s="1019"/>
      <c r="I113" s="1020"/>
      <c r="J113" s="1020"/>
      <c r="K113" s="1020"/>
      <c r="L113" s="1020"/>
      <c r="M113" s="898"/>
      <c r="N113" s="898"/>
    </row>
    <row r="114" spans="1:14">
      <c r="A114" s="898"/>
      <c r="B114" s="898"/>
      <c r="C114" s="898"/>
      <c r="D114" s="898"/>
      <c r="E114" s="1019"/>
      <c r="F114" s="1019"/>
      <c r="G114" s="1019"/>
      <c r="H114" s="1019"/>
      <c r="I114" s="1020"/>
      <c r="J114" s="1020"/>
      <c r="K114" s="1020"/>
      <c r="L114" s="1020"/>
      <c r="M114" s="898"/>
      <c r="N114" s="898"/>
    </row>
    <row r="115" spans="1:14">
      <c r="A115" s="898"/>
      <c r="B115" s="898"/>
      <c r="C115" s="898"/>
      <c r="D115" s="898"/>
      <c r="E115" s="1019"/>
      <c r="F115" s="1019"/>
      <c r="G115" s="1019"/>
      <c r="H115" s="1019"/>
      <c r="I115" s="1020"/>
      <c r="J115" s="1020"/>
      <c r="K115" s="1020"/>
      <c r="L115" s="1020"/>
      <c r="M115" s="898"/>
      <c r="N115" s="898"/>
    </row>
    <row r="116" spans="1:14">
      <c r="A116" s="898"/>
      <c r="B116" s="898"/>
      <c r="C116" s="898"/>
      <c r="D116" s="898"/>
      <c r="E116" s="1019"/>
      <c r="F116" s="1019"/>
      <c r="G116" s="1019"/>
      <c r="H116" s="1019"/>
      <c r="I116" s="1020"/>
      <c r="J116" s="1020"/>
      <c r="K116" s="1020"/>
      <c r="L116" s="1020"/>
      <c r="M116" s="898"/>
      <c r="N116" s="898"/>
    </row>
    <row r="117" spans="1:14">
      <c r="A117" s="898"/>
      <c r="B117" s="898"/>
      <c r="C117" s="898"/>
      <c r="D117" s="898"/>
      <c r="E117" s="1019"/>
      <c r="F117" s="1019"/>
      <c r="G117" s="1019"/>
      <c r="H117" s="1019"/>
      <c r="I117" s="1020"/>
      <c r="J117" s="1020"/>
      <c r="K117" s="1020"/>
      <c r="L117" s="1020"/>
      <c r="M117" s="898"/>
      <c r="N117" s="898"/>
    </row>
    <row r="118" spans="1:14">
      <c r="A118" s="898"/>
      <c r="B118" s="898"/>
      <c r="C118" s="898"/>
      <c r="D118" s="898"/>
      <c r="E118" s="1019"/>
      <c r="F118" s="1019"/>
      <c r="G118" s="1019"/>
      <c r="H118" s="1019"/>
      <c r="I118" s="1020"/>
      <c r="J118" s="1020"/>
      <c r="K118" s="1020"/>
      <c r="L118" s="1020"/>
      <c r="M118" s="898"/>
      <c r="N118" s="898"/>
    </row>
    <row r="119" spans="1:14">
      <c r="A119" s="898"/>
      <c r="B119" s="898"/>
      <c r="C119" s="898"/>
      <c r="D119" s="898"/>
      <c r="E119" s="1019"/>
      <c r="F119" s="1019"/>
      <c r="G119" s="1019"/>
      <c r="H119" s="1019"/>
      <c r="I119" s="1020"/>
      <c r="J119" s="1020"/>
      <c r="K119" s="1020"/>
      <c r="L119" s="1020"/>
      <c r="M119" s="898"/>
      <c r="N119" s="898"/>
    </row>
    <row r="120" spans="1:14">
      <c r="A120" s="898"/>
      <c r="B120" s="898"/>
      <c r="C120" s="898"/>
      <c r="D120" s="898"/>
      <c r="E120" s="1019"/>
      <c r="F120" s="1019"/>
      <c r="G120" s="1019"/>
      <c r="H120" s="1019"/>
      <c r="I120" s="1020"/>
      <c r="J120" s="1020"/>
      <c r="K120" s="1020"/>
      <c r="L120" s="1020"/>
      <c r="M120" s="898"/>
      <c r="N120" s="898"/>
    </row>
    <row r="121" spans="1:14">
      <c r="A121" s="898"/>
      <c r="B121" s="898"/>
      <c r="C121" s="898"/>
      <c r="D121" s="898"/>
      <c r="E121" s="1019"/>
      <c r="F121" s="1019"/>
      <c r="G121" s="1019"/>
      <c r="H121" s="1019"/>
      <c r="I121" s="1020"/>
      <c r="J121" s="1020"/>
      <c r="K121" s="1020"/>
      <c r="L121" s="1020"/>
      <c r="M121" s="898"/>
      <c r="N121" s="898"/>
    </row>
    <row r="122" spans="1:14">
      <c r="A122" s="898"/>
      <c r="B122" s="898"/>
      <c r="C122" s="898"/>
      <c r="D122" s="898"/>
      <c r="E122" s="1019"/>
      <c r="F122" s="1019"/>
      <c r="G122" s="1019"/>
      <c r="H122" s="1019"/>
      <c r="I122" s="1020"/>
      <c r="J122" s="1020"/>
      <c r="K122" s="1020"/>
      <c r="L122" s="1020"/>
      <c r="M122" s="898"/>
      <c r="N122" s="898"/>
    </row>
    <row r="123" spans="1:14">
      <c r="A123" s="898"/>
      <c r="B123" s="898"/>
      <c r="C123" s="898"/>
      <c r="D123" s="898"/>
      <c r="E123" s="1019"/>
      <c r="F123" s="1019"/>
      <c r="G123" s="1019"/>
      <c r="H123" s="1019"/>
      <c r="I123" s="1020"/>
      <c r="J123" s="1020"/>
      <c r="K123" s="1020"/>
      <c r="L123" s="1020"/>
      <c r="M123" s="898"/>
      <c r="N123" s="898"/>
    </row>
    <row r="124" spans="1:14">
      <c r="A124" s="898"/>
      <c r="B124" s="898"/>
      <c r="C124" s="898"/>
      <c r="D124" s="898"/>
      <c r="E124" s="1019"/>
      <c r="F124" s="1019"/>
      <c r="G124" s="1019"/>
      <c r="H124" s="1019"/>
      <c r="I124" s="1020"/>
      <c r="J124" s="1020"/>
      <c r="K124" s="1020"/>
      <c r="L124" s="1020"/>
      <c r="M124" s="898"/>
      <c r="N124" s="898"/>
    </row>
    <row r="125" spans="1:14">
      <c r="A125" s="898"/>
      <c r="B125" s="898"/>
      <c r="C125" s="898"/>
      <c r="D125" s="898"/>
      <c r="E125" s="1019"/>
      <c r="F125" s="1019"/>
      <c r="G125" s="1019"/>
      <c r="H125" s="1019"/>
      <c r="I125" s="1020"/>
      <c r="J125" s="1020"/>
      <c r="K125" s="1020"/>
      <c r="L125" s="1020"/>
      <c r="M125" s="898"/>
      <c r="N125" s="898"/>
    </row>
    <row r="126" spans="1:14">
      <c r="A126" s="898"/>
      <c r="B126" s="898"/>
      <c r="C126" s="898"/>
      <c r="D126" s="898"/>
      <c r="E126" s="1019"/>
      <c r="F126" s="1019"/>
      <c r="G126" s="1019"/>
      <c r="H126" s="1019"/>
      <c r="I126" s="1020"/>
      <c r="J126" s="1020"/>
      <c r="K126" s="1020"/>
      <c r="L126" s="1020"/>
      <c r="M126" s="898"/>
      <c r="N126" s="898"/>
    </row>
    <row r="127" spans="1:14">
      <c r="A127" s="898"/>
      <c r="B127" s="898"/>
      <c r="C127" s="898"/>
      <c r="D127" s="898"/>
      <c r="E127" s="1019"/>
      <c r="F127" s="1019"/>
      <c r="G127" s="1019"/>
      <c r="H127" s="1019"/>
      <c r="I127" s="1020"/>
      <c r="J127" s="1020"/>
      <c r="K127" s="1020"/>
      <c r="L127" s="1020"/>
      <c r="M127" s="898"/>
      <c r="N127" s="898"/>
    </row>
    <row r="128" spans="1:14">
      <c r="A128" s="898"/>
      <c r="B128" s="898"/>
      <c r="C128" s="898"/>
      <c r="D128" s="898"/>
      <c r="E128" s="1019"/>
      <c r="F128" s="1019"/>
      <c r="G128" s="1019"/>
      <c r="H128" s="1019"/>
      <c r="I128" s="1020"/>
      <c r="J128" s="1020"/>
      <c r="K128" s="1020"/>
      <c r="L128" s="1020"/>
      <c r="M128" s="898"/>
      <c r="N128" s="898"/>
    </row>
    <row r="129" spans="1:14">
      <c r="A129" s="898"/>
      <c r="B129" s="898"/>
      <c r="C129" s="898"/>
      <c r="D129" s="898"/>
      <c r="E129" s="1019"/>
      <c r="F129" s="1019"/>
      <c r="G129" s="1019"/>
      <c r="H129" s="1019"/>
      <c r="I129" s="1020"/>
      <c r="J129" s="1020"/>
      <c r="K129" s="1020"/>
      <c r="L129" s="1020"/>
      <c r="M129" s="898"/>
      <c r="N129" s="898"/>
    </row>
    <row r="130" spans="1:14">
      <c r="A130" s="898"/>
      <c r="B130" s="898"/>
      <c r="C130" s="898"/>
      <c r="D130" s="898"/>
      <c r="E130" s="1019"/>
      <c r="F130" s="1019"/>
      <c r="G130" s="1019"/>
      <c r="H130" s="1019"/>
      <c r="I130" s="1020"/>
      <c r="J130" s="1020"/>
      <c r="K130" s="1020"/>
      <c r="L130" s="1020"/>
      <c r="M130" s="898"/>
      <c r="N130" s="898"/>
    </row>
    <row r="131" spans="1:14">
      <c r="A131" s="898"/>
      <c r="B131" s="898"/>
      <c r="C131" s="898"/>
      <c r="D131" s="898"/>
      <c r="E131" s="1019"/>
      <c r="F131" s="1019"/>
      <c r="G131" s="1019"/>
      <c r="H131" s="1019"/>
      <c r="I131" s="1020"/>
      <c r="J131" s="1020"/>
      <c r="K131" s="1020"/>
      <c r="L131" s="1020"/>
      <c r="M131" s="898"/>
      <c r="N131" s="898"/>
    </row>
    <row r="132" spans="1:14">
      <c r="A132" s="898"/>
      <c r="B132" s="898"/>
      <c r="C132" s="898"/>
      <c r="D132" s="898"/>
      <c r="E132" s="1019"/>
      <c r="F132" s="1019"/>
      <c r="G132" s="1019"/>
      <c r="H132" s="1019"/>
      <c r="I132" s="1020"/>
      <c r="J132" s="1020"/>
      <c r="K132" s="1020"/>
      <c r="L132" s="1020"/>
      <c r="M132" s="898"/>
      <c r="N132" s="898"/>
    </row>
    <row r="133" spans="1:14">
      <c r="A133" s="898"/>
      <c r="B133" s="898"/>
      <c r="C133" s="898"/>
      <c r="D133" s="898"/>
      <c r="E133" s="1019"/>
      <c r="F133" s="1019"/>
      <c r="G133" s="1019"/>
      <c r="H133" s="1019"/>
      <c r="I133" s="1020"/>
      <c r="J133" s="1020"/>
      <c r="K133" s="1020"/>
      <c r="L133" s="1020"/>
      <c r="M133" s="898"/>
      <c r="N133" s="898"/>
    </row>
    <row r="134" spans="1:14">
      <c r="A134" s="898"/>
      <c r="B134" s="898"/>
      <c r="C134" s="898"/>
      <c r="D134" s="898"/>
      <c r="E134" s="1019"/>
      <c r="F134" s="1019"/>
      <c r="G134" s="1019"/>
      <c r="H134" s="1019"/>
      <c r="I134" s="1020"/>
      <c r="J134" s="1020"/>
      <c r="K134" s="1020"/>
      <c r="L134" s="1020"/>
      <c r="M134" s="898"/>
      <c r="N134" s="898"/>
    </row>
    <row r="135" spans="1:14">
      <c r="A135" s="898"/>
      <c r="B135" s="898"/>
      <c r="C135" s="898"/>
      <c r="D135" s="898"/>
      <c r="E135" s="1019"/>
      <c r="F135" s="1019"/>
      <c r="G135" s="1019"/>
      <c r="H135" s="1019"/>
      <c r="I135" s="1020"/>
      <c r="J135" s="1020"/>
      <c r="K135" s="1020"/>
      <c r="L135" s="1020"/>
      <c r="M135" s="898"/>
      <c r="N135" s="898"/>
    </row>
    <row r="136" spans="1:14">
      <c r="A136" s="898"/>
      <c r="B136" s="898"/>
      <c r="C136" s="898"/>
      <c r="D136" s="898"/>
      <c r="E136" s="1019"/>
      <c r="F136" s="1019"/>
      <c r="G136" s="1019"/>
      <c r="H136" s="1019"/>
      <c r="I136" s="1020"/>
      <c r="J136" s="1020"/>
      <c r="K136" s="1020"/>
      <c r="L136" s="1020"/>
      <c r="M136" s="898"/>
      <c r="N136" s="898"/>
    </row>
    <row r="137" spans="1:14">
      <c r="A137" s="898"/>
      <c r="B137" s="898"/>
      <c r="C137" s="898"/>
      <c r="D137" s="898"/>
      <c r="E137" s="1019"/>
      <c r="F137" s="1019"/>
      <c r="G137" s="1019"/>
      <c r="H137" s="1019"/>
      <c r="I137" s="1020"/>
      <c r="J137" s="1020"/>
      <c r="K137" s="1020"/>
      <c r="L137" s="1020"/>
      <c r="M137" s="898"/>
      <c r="N137" s="898"/>
    </row>
    <row r="138" spans="1:14">
      <c r="A138" s="898"/>
      <c r="B138" s="898"/>
      <c r="C138" s="898"/>
      <c r="D138" s="898"/>
      <c r="E138" s="1019"/>
      <c r="F138" s="1019"/>
      <c r="G138" s="1019"/>
      <c r="H138" s="1019"/>
      <c r="I138" s="1020"/>
      <c r="J138" s="1020"/>
      <c r="K138" s="1020"/>
      <c r="L138" s="1020"/>
      <c r="M138" s="898"/>
      <c r="N138" s="898"/>
    </row>
    <row r="139" spans="1:14">
      <c r="A139" s="898"/>
      <c r="B139" s="898"/>
      <c r="C139" s="898"/>
      <c r="D139" s="898"/>
      <c r="E139" s="1019"/>
      <c r="F139" s="1019"/>
      <c r="G139" s="1019"/>
      <c r="H139" s="1019"/>
      <c r="I139" s="1020"/>
      <c r="J139" s="1020"/>
      <c r="K139" s="1020"/>
      <c r="L139" s="1020"/>
      <c r="M139" s="898"/>
      <c r="N139" s="898"/>
    </row>
    <row r="140" spans="1:14">
      <c r="A140" s="898"/>
      <c r="B140" s="898"/>
      <c r="C140" s="898"/>
      <c r="D140" s="898"/>
      <c r="E140" s="1019"/>
      <c r="F140" s="1019"/>
      <c r="G140" s="1019"/>
      <c r="H140" s="1019"/>
      <c r="I140" s="1020"/>
      <c r="J140" s="1020"/>
      <c r="K140" s="1020"/>
      <c r="L140" s="1020"/>
      <c r="M140" s="898"/>
      <c r="N140" s="898"/>
    </row>
    <row r="141" spans="1:14">
      <c r="A141" s="898"/>
      <c r="B141" s="898"/>
      <c r="C141" s="898"/>
      <c r="D141" s="898"/>
      <c r="E141" s="1019"/>
      <c r="F141" s="1019"/>
      <c r="G141" s="1019"/>
      <c r="H141" s="1019"/>
      <c r="I141" s="1020"/>
      <c r="J141" s="1020"/>
      <c r="K141" s="1020"/>
      <c r="L141" s="1020"/>
      <c r="M141" s="898"/>
      <c r="N141" s="898"/>
    </row>
    <row r="142" spans="1:14">
      <c r="A142" s="898"/>
      <c r="B142" s="898"/>
      <c r="C142" s="898"/>
      <c r="D142" s="898"/>
      <c r="E142" s="1019"/>
      <c r="F142" s="1019"/>
      <c r="G142" s="1019"/>
      <c r="H142" s="1019"/>
      <c r="I142" s="1020"/>
      <c r="J142" s="1020"/>
      <c r="K142" s="1020"/>
      <c r="L142" s="1020"/>
      <c r="M142" s="898"/>
      <c r="N142" s="898"/>
    </row>
    <row r="143" spans="1:14">
      <c r="A143" s="898"/>
      <c r="B143" s="898"/>
      <c r="C143" s="898"/>
      <c r="D143" s="898"/>
      <c r="E143" s="1019"/>
      <c r="F143" s="1019"/>
      <c r="G143" s="1019"/>
      <c r="H143" s="1019"/>
      <c r="I143" s="1020"/>
      <c r="J143" s="1020"/>
      <c r="K143" s="1020"/>
      <c r="L143" s="1020"/>
      <c r="M143" s="898"/>
      <c r="N143" s="898"/>
    </row>
    <row r="144" spans="1:14">
      <c r="A144" s="898"/>
      <c r="B144" s="898"/>
      <c r="C144" s="898"/>
      <c r="D144" s="898"/>
      <c r="E144" s="1019"/>
      <c r="F144" s="1019"/>
      <c r="G144" s="1019"/>
      <c r="H144" s="1019"/>
      <c r="I144" s="1020"/>
      <c r="J144" s="1020"/>
      <c r="K144" s="1020"/>
      <c r="L144" s="1020"/>
      <c r="M144" s="898"/>
      <c r="N144" s="898"/>
    </row>
    <row r="145" spans="1:14">
      <c r="A145" s="898"/>
      <c r="B145" s="898"/>
      <c r="C145" s="898"/>
      <c r="D145" s="898"/>
      <c r="E145" s="1019"/>
      <c r="F145" s="1019"/>
      <c r="G145" s="1019"/>
      <c r="H145" s="1019"/>
      <c r="I145" s="1020"/>
      <c r="J145" s="1020"/>
      <c r="K145" s="1020"/>
      <c r="L145" s="1020"/>
      <c r="M145" s="898"/>
      <c r="N145" s="898"/>
    </row>
    <row r="146" spans="1:14">
      <c r="A146" s="898"/>
      <c r="B146" s="898"/>
      <c r="C146" s="898"/>
      <c r="D146" s="898"/>
      <c r="E146" s="1019"/>
      <c r="F146" s="1019"/>
      <c r="G146" s="1019"/>
      <c r="H146" s="1019"/>
      <c r="I146" s="1020"/>
      <c r="J146" s="1020"/>
      <c r="K146" s="1020"/>
      <c r="L146" s="1020"/>
      <c r="M146" s="898"/>
      <c r="N146" s="898"/>
    </row>
    <row r="147" spans="1:14">
      <c r="A147" s="898"/>
      <c r="B147" s="898"/>
      <c r="C147" s="898"/>
      <c r="D147" s="898"/>
      <c r="E147" s="1019"/>
      <c r="F147" s="1019"/>
      <c r="G147" s="1019"/>
      <c r="H147" s="1019"/>
      <c r="I147" s="1020"/>
      <c r="J147" s="1020"/>
      <c r="K147" s="1020"/>
      <c r="L147" s="1020"/>
      <c r="M147" s="898"/>
      <c r="N147" s="898"/>
    </row>
    <row r="148" spans="1:14">
      <c r="A148" s="898"/>
      <c r="B148" s="898"/>
      <c r="C148" s="898"/>
      <c r="D148" s="898"/>
      <c r="E148" s="1019"/>
      <c r="F148" s="1019"/>
      <c r="G148" s="1019"/>
      <c r="H148" s="1019"/>
      <c r="I148" s="1020"/>
      <c r="J148" s="1020"/>
      <c r="K148" s="1020"/>
      <c r="L148" s="1020"/>
      <c r="M148" s="898"/>
      <c r="N148" s="898"/>
    </row>
    <row r="149" spans="1:14">
      <c r="A149" s="898"/>
      <c r="B149" s="898"/>
      <c r="C149" s="898"/>
      <c r="D149" s="898"/>
      <c r="E149" s="1019"/>
      <c r="F149" s="1019"/>
      <c r="G149" s="1019"/>
      <c r="H149" s="1019"/>
      <c r="I149" s="1020"/>
      <c r="J149" s="1020"/>
      <c r="K149" s="1020"/>
      <c r="L149" s="1020"/>
      <c r="M149" s="898"/>
      <c r="N149" s="898"/>
    </row>
    <row r="150" spans="1:14">
      <c r="A150" s="898"/>
      <c r="B150" s="898"/>
      <c r="C150" s="898"/>
      <c r="D150" s="898"/>
      <c r="E150" s="1019"/>
      <c r="F150" s="1019"/>
      <c r="G150" s="1019"/>
      <c r="H150" s="1019"/>
      <c r="I150" s="1020"/>
      <c r="J150" s="1020"/>
      <c r="K150" s="1020"/>
      <c r="L150" s="1020"/>
      <c r="M150" s="898"/>
      <c r="N150" s="898"/>
    </row>
    <row r="151" spans="1:14">
      <c r="A151" s="898"/>
      <c r="B151" s="898"/>
      <c r="C151" s="898"/>
      <c r="D151" s="898"/>
      <c r="E151" s="1019"/>
      <c r="F151" s="1019"/>
      <c r="G151" s="1019"/>
      <c r="H151" s="1019"/>
      <c r="I151" s="1020"/>
      <c r="J151" s="1020"/>
      <c r="K151" s="1020"/>
      <c r="L151" s="1020"/>
      <c r="M151" s="898"/>
      <c r="N151" s="898"/>
    </row>
    <row r="152" spans="1:14">
      <c r="A152" s="898"/>
      <c r="B152" s="898"/>
      <c r="C152" s="898"/>
      <c r="D152" s="898"/>
      <c r="E152" s="1019"/>
      <c r="F152" s="1019"/>
      <c r="G152" s="1019"/>
      <c r="H152" s="1019"/>
      <c r="I152" s="1020"/>
      <c r="J152" s="1020"/>
      <c r="K152" s="1020"/>
      <c r="L152" s="1020"/>
      <c r="M152" s="898"/>
      <c r="N152" s="898"/>
    </row>
    <row r="153" spans="1:14">
      <c r="A153" s="898"/>
      <c r="B153" s="898"/>
      <c r="C153" s="898"/>
      <c r="D153" s="898"/>
      <c r="E153" s="1019"/>
      <c r="F153" s="1019"/>
      <c r="G153" s="1019"/>
      <c r="H153" s="1019"/>
      <c r="I153" s="1020"/>
      <c r="J153" s="1020"/>
      <c r="K153" s="1020"/>
      <c r="L153" s="1020"/>
      <c r="M153" s="898"/>
      <c r="N153" s="898"/>
    </row>
    <row r="154" spans="1:14">
      <c r="A154" s="898"/>
      <c r="B154" s="898"/>
      <c r="C154" s="898"/>
      <c r="D154" s="898"/>
      <c r="E154" s="1019"/>
      <c r="F154" s="1019"/>
      <c r="G154" s="1019"/>
      <c r="H154" s="1019"/>
      <c r="I154" s="1020"/>
      <c r="J154" s="1020"/>
      <c r="K154" s="1020"/>
      <c r="L154" s="1020"/>
      <c r="M154" s="898"/>
      <c r="N154" s="898"/>
    </row>
    <row r="155" spans="1:14">
      <c r="A155" s="898"/>
      <c r="B155" s="898"/>
      <c r="C155" s="898"/>
      <c r="D155" s="898"/>
      <c r="E155" s="1019"/>
      <c r="F155" s="1019"/>
      <c r="G155" s="1019"/>
      <c r="H155" s="1019"/>
      <c r="I155" s="1020"/>
      <c r="J155" s="1020"/>
      <c r="K155" s="1020"/>
      <c r="L155" s="1020"/>
      <c r="M155" s="898"/>
      <c r="N155" s="898"/>
    </row>
    <row r="156" spans="1:14">
      <c r="A156" s="898"/>
      <c r="B156" s="898"/>
      <c r="C156" s="898"/>
      <c r="D156" s="898"/>
      <c r="E156" s="1019"/>
      <c r="F156" s="1019"/>
      <c r="G156" s="1019"/>
      <c r="H156" s="1019"/>
      <c r="I156" s="1020"/>
      <c r="J156" s="1020"/>
      <c r="K156" s="1020"/>
      <c r="L156" s="1020"/>
      <c r="M156" s="898"/>
      <c r="N156" s="898"/>
    </row>
    <row r="157" spans="1:14">
      <c r="A157" s="898"/>
      <c r="B157" s="898"/>
      <c r="C157" s="898"/>
      <c r="D157" s="898"/>
      <c r="E157" s="1019"/>
      <c r="F157" s="1019"/>
      <c r="G157" s="1019"/>
      <c r="H157" s="1019"/>
      <c r="I157" s="1020"/>
      <c r="J157" s="1020"/>
      <c r="K157" s="1020"/>
      <c r="L157" s="1020"/>
      <c r="M157" s="898"/>
      <c r="N157" s="898"/>
    </row>
    <row r="158" spans="1:14">
      <c r="A158" s="898"/>
      <c r="B158" s="898"/>
      <c r="C158" s="898"/>
      <c r="D158" s="898"/>
      <c r="E158" s="1019"/>
      <c r="F158" s="1019"/>
      <c r="G158" s="1019"/>
      <c r="H158" s="1019"/>
      <c r="I158" s="1020"/>
      <c r="J158" s="1020"/>
      <c r="K158" s="1020"/>
      <c r="L158" s="1020"/>
      <c r="M158" s="898"/>
      <c r="N158" s="898"/>
    </row>
    <row r="159" spans="1:14">
      <c r="A159" s="898"/>
      <c r="B159" s="898"/>
      <c r="C159" s="898"/>
      <c r="D159" s="898"/>
      <c r="E159" s="1019"/>
      <c r="F159" s="1019"/>
      <c r="G159" s="1019"/>
      <c r="H159" s="1019"/>
      <c r="I159" s="1020"/>
      <c r="J159" s="1020"/>
      <c r="K159" s="1020"/>
      <c r="L159" s="1020"/>
      <c r="M159" s="898"/>
      <c r="N159" s="898"/>
    </row>
    <row r="160" spans="1:14">
      <c r="A160" s="898"/>
      <c r="B160" s="898"/>
      <c r="C160" s="898"/>
      <c r="D160" s="898"/>
      <c r="E160" s="1019"/>
      <c r="F160" s="1019"/>
      <c r="G160" s="1019"/>
      <c r="H160" s="1019"/>
      <c r="I160" s="1020"/>
      <c r="J160" s="1020"/>
      <c r="K160" s="1020"/>
      <c r="L160" s="1020"/>
      <c r="M160" s="898"/>
      <c r="N160" s="898"/>
    </row>
    <row r="161" spans="1:14">
      <c r="A161" s="898"/>
      <c r="B161" s="898"/>
      <c r="C161" s="898"/>
      <c r="D161" s="898"/>
      <c r="E161" s="1019"/>
      <c r="F161" s="1019"/>
      <c r="G161" s="1019"/>
      <c r="H161" s="1019"/>
      <c r="I161" s="1020"/>
      <c r="J161" s="1020"/>
      <c r="K161" s="1020"/>
      <c r="L161" s="1020"/>
      <c r="M161" s="898"/>
      <c r="N161" s="898"/>
    </row>
    <row r="162" spans="1:14">
      <c r="A162" s="898"/>
      <c r="B162" s="898"/>
      <c r="C162" s="898"/>
      <c r="D162" s="898"/>
      <c r="E162" s="1019"/>
      <c r="F162" s="1019"/>
      <c r="G162" s="1019"/>
      <c r="H162" s="1019"/>
      <c r="I162" s="1020"/>
      <c r="J162" s="1020"/>
      <c r="K162" s="1020"/>
      <c r="L162" s="1020"/>
      <c r="M162" s="898"/>
      <c r="N162" s="898"/>
    </row>
    <row r="163" spans="1:14">
      <c r="A163" s="898"/>
      <c r="B163" s="898"/>
      <c r="C163" s="898"/>
      <c r="D163" s="898"/>
      <c r="E163" s="1019"/>
      <c r="F163" s="1019"/>
      <c r="G163" s="1019"/>
      <c r="H163" s="1019"/>
      <c r="I163" s="1020"/>
      <c r="J163" s="1020"/>
      <c r="K163" s="1020"/>
      <c r="L163" s="1020"/>
      <c r="M163" s="898"/>
      <c r="N163" s="898"/>
    </row>
    <row r="164" spans="1:14">
      <c r="A164" s="898"/>
      <c r="B164" s="898"/>
      <c r="C164" s="898"/>
      <c r="D164" s="898"/>
      <c r="E164" s="1019"/>
      <c r="F164" s="1019"/>
      <c r="G164" s="1019"/>
      <c r="H164" s="1019"/>
      <c r="I164" s="1020"/>
      <c r="J164" s="1020"/>
      <c r="K164" s="1020"/>
      <c r="L164" s="1020"/>
      <c r="M164" s="898"/>
      <c r="N164" s="898"/>
    </row>
    <row r="165" spans="1:14">
      <c r="A165" s="898"/>
      <c r="B165" s="898"/>
      <c r="C165" s="898"/>
      <c r="D165" s="898"/>
      <c r="E165" s="1019"/>
      <c r="F165" s="1019"/>
      <c r="G165" s="1019"/>
      <c r="H165" s="1019"/>
      <c r="I165" s="1020"/>
      <c r="J165" s="1020"/>
      <c r="K165" s="1020"/>
      <c r="L165" s="1020"/>
      <c r="M165" s="898"/>
      <c r="N165" s="898"/>
    </row>
    <row r="166" spans="1:14">
      <c r="A166" s="898"/>
      <c r="B166" s="898"/>
      <c r="C166" s="898"/>
      <c r="D166" s="898"/>
      <c r="E166" s="1019"/>
      <c r="F166" s="1019"/>
      <c r="G166" s="1019"/>
      <c r="H166" s="1019"/>
      <c r="I166" s="1020"/>
      <c r="J166" s="1020"/>
      <c r="K166" s="1020"/>
      <c r="L166" s="1020"/>
      <c r="M166" s="898"/>
      <c r="N166" s="898"/>
    </row>
    <row r="167" spans="1:14">
      <c r="A167" s="898"/>
      <c r="B167" s="898"/>
      <c r="C167" s="898"/>
      <c r="D167" s="898"/>
      <c r="E167" s="1019"/>
      <c r="F167" s="1019"/>
      <c r="G167" s="1019"/>
      <c r="H167" s="1019"/>
      <c r="I167" s="1020"/>
      <c r="J167" s="1020"/>
      <c r="K167" s="1020"/>
      <c r="L167" s="1020"/>
      <c r="M167" s="898"/>
      <c r="N167" s="898"/>
    </row>
    <row r="168" spans="1:14">
      <c r="A168" s="898"/>
      <c r="B168" s="898"/>
      <c r="C168" s="898"/>
      <c r="D168" s="898"/>
      <c r="E168" s="1019"/>
      <c r="F168" s="1019"/>
      <c r="G168" s="1019"/>
      <c r="H168" s="1019"/>
      <c r="I168" s="1020"/>
      <c r="J168" s="1020"/>
      <c r="K168" s="1020"/>
      <c r="L168" s="1020"/>
      <c r="M168" s="898"/>
      <c r="N168" s="898"/>
    </row>
    <row r="169" spans="1:14">
      <c r="A169" s="898"/>
      <c r="B169" s="898"/>
      <c r="C169" s="898"/>
      <c r="D169" s="898"/>
      <c r="E169" s="1019"/>
      <c r="F169" s="1019"/>
      <c r="G169" s="1019"/>
      <c r="H169" s="1019"/>
      <c r="I169" s="1020"/>
      <c r="J169" s="1020"/>
      <c r="K169" s="1020"/>
      <c r="L169" s="1020"/>
      <c r="M169" s="898"/>
      <c r="N169" s="898"/>
    </row>
    <row r="170" spans="1:14">
      <c r="A170" s="898"/>
      <c r="B170" s="898"/>
      <c r="C170" s="898"/>
      <c r="D170" s="898"/>
      <c r="E170" s="1019"/>
      <c r="F170" s="1019"/>
      <c r="G170" s="1019"/>
      <c r="H170" s="1019"/>
      <c r="I170" s="1020"/>
      <c r="J170" s="1020"/>
      <c r="K170" s="1020"/>
      <c r="L170" s="1020"/>
      <c r="M170" s="898"/>
      <c r="N170" s="898"/>
    </row>
    <row r="171" spans="1:14">
      <c r="A171" s="898"/>
      <c r="B171" s="898"/>
      <c r="C171" s="898"/>
      <c r="D171" s="898"/>
      <c r="E171" s="1019"/>
      <c r="F171" s="1019"/>
      <c r="G171" s="1019"/>
      <c r="H171" s="1019"/>
      <c r="I171" s="1020"/>
      <c r="J171" s="1020"/>
      <c r="K171" s="1020"/>
      <c r="L171" s="1020"/>
      <c r="M171" s="898"/>
      <c r="N171" s="898"/>
    </row>
    <row r="172" spans="1:14">
      <c r="A172" s="898"/>
      <c r="B172" s="898"/>
      <c r="C172" s="898"/>
      <c r="D172" s="898"/>
      <c r="E172" s="1019"/>
      <c r="F172" s="1019"/>
      <c r="G172" s="1019"/>
      <c r="H172" s="1019"/>
      <c r="I172" s="1020"/>
      <c r="J172" s="1020"/>
      <c r="K172" s="1020"/>
      <c r="L172" s="1020"/>
      <c r="M172" s="898"/>
      <c r="N172" s="898"/>
    </row>
    <row r="173" spans="1:14">
      <c r="A173" s="898"/>
      <c r="B173" s="898"/>
      <c r="C173" s="898"/>
      <c r="D173" s="898"/>
      <c r="E173" s="1019"/>
      <c r="F173" s="1019"/>
      <c r="G173" s="1019"/>
      <c r="H173" s="1019"/>
      <c r="I173" s="1020"/>
      <c r="J173" s="1020"/>
      <c r="K173" s="1020"/>
      <c r="L173" s="1020"/>
      <c r="M173" s="898"/>
      <c r="N173" s="898"/>
    </row>
    <row r="174" spans="1:14">
      <c r="A174" s="898"/>
      <c r="B174" s="898"/>
      <c r="C174" s="898"/>
      <c r="D174" s="898"/>
      <c r="E174" s="1019"/>
      <c r="F174" s="1019"/>
      <c r="G174" s="1019"/>
      <c r="H174" s="1019"/>
      <c r="I174" s="1020"/>
      <c r="J174" s="1020"/>
      <c r="K174" s="1020"/>
      <c r="L174" s="1020"/>
      <c r="M174" s="898"/>
      <c r="N174" s="898"/>
    </row>
    <row r="175" spans="1:14">
      <c r="A175" s="898"/>
      <c r="B175" s="898"/>
      <c r="C175" s="898"/>
      <c r="D175" s="898"/>
      <c r="E175" s="1019"/>
      <c r="F175" s="1019"/>
      <c r="G175" s="1019"/>
      <c r="H175" s="1019"/>
      <c r="I175" s="1020"/>
      <c r="J175" s="1020"/>
      <c r="K175" s="1020"/>
      <c r="L175" s="1020"/>
      <c r="M175" s="898"/>
      <c r="N175" s="898"/>
    </row>
    <row r="176" spans="1:14">
      <c r="A176" s="898"/>
      <c r="B176" s="898"/>
      <c r="C176" s="898"/>
      <c r="D176" s="898"/>
      <c r="E176" s="1019"/>
      <c r="F176" s="1019"/>
      <c r="G176" s="1019"/>
      <c r="H176" s="1019"/>
      <c r="I176" s="1020"/>
      <c r="J176" s="1020"/>
      <c r="K176" s="1020"/>
      <c r="L176" s="1020"/>
      <c r="M176" s="898"/>
      <c r="N176" s="898"/>
    </row>
    <row r="177" spans="1:14">
      <c r="A177" s="898"/>
      <c r="B177" s="898"/>
      <c r="C177" s="898"/>
      <c r="D177" s="898"/>
      <c r="E177" s="1019"/>
      <c r="F177" s="1019"/>
      <c r="G177" s="1019"/>
      <c r="H177" s="1019"/>
      <c r="I177" s="1020"/>
      <c r="J177" s="1020"/>
      <c r="K177" s="1020"/>
      <c r="L177" s="1020"/>
      <c r="M177" s="898"/>
      <c r="N177" s="898"/>
    </row>
    <row r="178" spans="1:14">
      <c r="A178" s="898"/>
      <c r="B178" s="898"/>
      <c r="C178" s="898"/>
      <c r="D178" s="898"/>
      <c r="E178" s="1019"/>
      <c r="F178" s="1019"/>
      <c r="G178" s="1019"/>
      <c r="H178" s="1019"/>
      <c r="I178" s="1020"/>
      <c r="J178" s="1020"/>
      <c r="K178" s="1020"/>
      <c r="L178" s="1020"/>
      <c r="M178" s="898"/>
      <c r="N178" s="898"/>
    </row>
    <row r="179" spans="1:14">
      <c r="A179" s="898"/>
      <c r="B179" s="898"/>
      <c r="C179" s="898"/>
      <c r="D179" s="898"/>
      <c r="E179" s="1019"/>
      <c r="F179" s="1019"/>
      <c r="G179" s="1019"/>
      <c r="H179" s="1019"/>
      <c r="I179" s="1020"/>
      <c r="J179" s="1020"/>
      <c r="K179" s="1020"/>
      <c r="L179" s="1020"/>
      <c r="M179" s="898"/>
      <c r="N179" s="898"/>
    </row>
    <row r="180" spans="1:14">
      <c r="A180" s="898"/>
      <c r="B180" s="898"/>
      <c r="C180" s="898"/>
      <c r="D180" s="898"/>
      <c r="E180" s="1019"/>
      <c r="F180" s="1019"/>
      <c r="G180" s="1019"/>
      <c r="H180" s="1019"/>
      <c r="I180" s="1020"/>
      <c r="J180" s="1020"/>
      <c r="K180" s="1020"/>
      <c r="L180" s="1020"/>
      <c r="M180" s="898"/>
      <c r="N180" s="898"/>
    </row>
    <row r="181" spans="1:14">
      <c r="A181" s="898"/>
      <c r="B181" s="898"/>
      <c r="C181" s="898"/>
      <c r="D181" s="898"/>
      <c r="E181" s="1019"/>
      <c r="F181" s="1019"/>
      <c r="G181" s="1019"/>
      <c r="H181" s="1019"/>
      <c r="I181" s="1020"/>
      <c r="J181" s="1020"/>
      <c r="K181" s="1020"/>
      <c r="L181" s="1020"/>
      <c r="M181" s="898"/>
      <c r="N181" s="898"/>
    </row>
    <row r="182" spans="1:14">
      <c r="A182" s="898"/>
      <c r="B182" s="898"/>
      <c r="C182" s="898"/>
      <c r="D182" s="898"/>
      <c r="E182" s="1019"/>
      <c r="F182" s="1019"/>
      <c r="G182" s="1019"/>
      <c r="H182" s="1019"/>
      <c r="I182" s="1020"/>
      <c r="J182" s="1020"/>
      <c r="K182" s="1020"/>
      <c r="L182" s="1020"/>
      <c r="M182" s="898"/>
      <c r="N182" s="898"/>
    </row>
    <row r="183" spans="1:14">
      <c r="A183" s="898"/>
      <c r="B183" s="898"/>
      <c r="C183" s="898"/>
      <c r="D183" s="898"/>
      <c r="E183" s="1019"/>
      <c r="F183" s="1019"/>
      <c r="G183" s="1019"/>
      <c r="H183" s="1019"/>
      <c r="I183" s="1020"/>
      <c r="J183" s="1020"/>
      <c r="K183" s="1020"/>
      <c r="L183" s="1020"/>
      <c r="M183" s="898"/>
      <c r="N183" s="898"/>
    </row>
    <row r="184" spans="1:14">
      <c r="A184" s="898"/>
      <c r="B184" s="898"/>
      <c r="C184" s="898"/>
      <c r="D184" s="898"/>
      <c r="E184" s="1019"/>
      <c r="F184" s="1019"/>
      <c r="G184" s="1019"/>
      <c r="H184" s="1019"/>
      <c r="I184" s="1020"/>
      <c r="J184" s="1020"/>
      <c r="K184" s="1020"/>
      <c r="L184" s="1020"/>
      <c r="M184" s="898"/>
      <c r="N184" s="898"/>
    </row>
    <row r="185" spans="1:14">
      <c r="A185" s="898"/>
      <c r="B185" s="898"/>
      <c r="C185" s="898"/>
      <c r="D185" s="898"/>
      <c r="E185" s="1019"/>
      <c r="F185" s="1019"/>
      <c r="G185" s="1019"/>
      <c r="H185" s="1019"/>
      <c r="I185" s="1020"/>
      <c r="J185" s="1020"/>
      <c r="K185" s="1020"/>
      <c r="L185" s="1020"/>
      <c r="M185" s="898"/>
      <c r="N185" s="898"/>
    </row>
    <row r="186" spans="1:14">
      <c r="A186" s="898"/>
      <c r="B186" s="898"/>
      <c r="C186" s="898"/>
      <c r="D186" s="898"/>
      <c r="E186" s="1019"/>
      <c r="F186" s="1019"/>
      <c r="G186" s="1019"/>
      <c r="H186" s="1019"/>
      <c r="I186" s="1020"/>
      <c r="J186" s="1020"/>
      <c r="K186" s="1020"/>
      <c r="L186" s="1020"/>
      <c r="M186" s="898"/>
      <c r="N186" s="898"/>
    </row>
    <row r="187" spans="1:14">
      <c r="A187" s="898"/>
      <c r="B187" s="898"/>
      <c r="C187" s="898"/>
      <c r="D187" s="898"/>
      <c r="E187" s="1019"/>
      <c r="F187" s="1019"/>
      <c r="G187" s="1019"/>
      <c r="H187" s="1019"/>
      <c r="I187" s="1020"/>
      <c r="J187" s="1020"/>
      <c r="K187" s="1020"/>
      <c r="L187" s="1020"/>
      <c r="M187" s="898"/>
      <c r="N187" s="898"/>
    </row>
    <row r="188" spans="1:14">
      <c r="A188" s="898"/>
      <c r="B188" s="898"/>
      <c r="C188" s="898"/>
      <c r="D188" s="898"/>
      <c r="E188" s="1019"/>
      <c r="F188" s="1019"/>
      <c r="G188" s="1019"/>
      <c r="H188" s="1019"/>
      <c r="I188" s="1020"/>
      <c r="J188" s="1020"/>
      <c r="K188" s="1020"/>
      <c r="L188" s="1020"/>
      <c r="M188" s="898"/>
      <c r="N188" s="898"/>
    </row>
    <row r="189" spans="1:14">
      <c r="A189" s="898"/>
      <c r="B189" s="898"/>
      <c r="C189" s="898"/>
      <c r="D189" s="898"/>
      <c r="E189" s="1019"/>
      <c r="F189" s="1019"/>
      <c r="G189" s="1019"/>
      <c r="H189" s="1019"/>
      <c r="I189" s="1020"/>
      <c r="J189" s="1020"/>
      <c r="K189" s="1020"/>
      <c r="L189" s="1020"/>
      <c r="M189" s="898"/>
      <c r="N189" s="898"/>
    </row>
    <row r="190" spans="1:14">
      <c r="A190" s="898"/>
      <c r="B190" s="898"/>
      <c r="C190" s="898"/>
      <c r="D190" s="898"/>
      <c r="E190" s="1019"/>
      <c r="F190" s="1019"/>
      <c r="G190" s="1019"/>
      <c r="H190" s="1019"/>
      <c r="I190" s="1020"/>
      <c r="J190" s="1020"/>
      <c r="K190" s="1020"/>
      <c r="L190" s="1020"/>
      <c r="M190" s="898"/>
      <c r="N190" s="898"/>
    </row>
    <row r="191" spans="1:14">
      <c r="A191" s="898"/>
      <c r="B191" s="898"/>
      <c r="C191" s="898"/>
      <c r="D191" s="898"/>
      <c r="E191" s="1019"/>
      <c r="F191" s="1019"/>
      <c r="G191" s="1019"/>
      <c r="H191" s="1019"/>
      <c r="I191" s="1020"/>
      <c r="J191" s="1020"/>
      <c r="K191" s="1020"/>
      <c r="L191" s="1020"/>
      <c r="M191" s="898"/>
      <c r="N191" s="898"/>
    </row>
    <row r="192" spans="1:14">
      <c r="A192" s="898"/>
      <c r="B192" s="898"/>
      <c r="C192" s="898"/>
      <c r="D192" s="898"/>
      <c r="E192" s="1019"/>
      <c r="F192" s="1019"/>
      <c r="G192" s="1019"/>
      <c r="H192" s="1019"/>
      <c r="I192" s="1020"/>
      <c r="J192" s="1020"/>
      <c r="K192" s="1020"/>
      <c r="L192" s="1020"/>
      <c r="M192" s="898"/>
      <c r="N192" s="898"/>
    </row>
    <row r="193" spans="1:14">
      <c r="A193" s="898"/>
      <c r="B193" s="898"/>
      <c r="C193" s="898"/>
      <c r="D193" s="898"/>
      <c r="E193" s="1019"/>
      <c r="F193" s="1019"/>
      <c r="G193" s="1019"/>
      <c r="H193" s="1019"/>
      <c r="I193" s="1020"/>
      <c r="J193" s="1020"/>
      <c r="K193" s="1020"/>
      <c r="L193" s="1020"/>
      <c r="M193" s="898"/>
      <c r="N193" s="898"/>
    </row>
    <row r="194" spans="1:14">
      <c r="A194" s="898"/>
      <c r="B194" s="898"/>
      <c r="C194" s="898"/>
      <c r="D194" s="898"/>
      <c r="E194" s="1019"/>
      <c r="F194" s="1019"/>
      <c r="G194" s="1019"/>
      <c r="H194" s="1019"/>
      <c r="I194" s="1020"/>
      <c r="J194" s="1020"/>
      <c r="K194" s="1020"/>
      <c r="L194" s="1020"/>
      <c r="M194" s="898"/>
      <c r="N194" s="898"/>
    </row>
    <row r="195" spans="1:14">
      <c r="A195" s="898"/>
      <c r="B195" s="898"/>
      <c r="C195" s="898"/>
      <c r="D195" s="898"/>
      <c r="E195" s="1019"/>
      <c r="F195" s="1019"/>
      <c r="G195" s="1019"/>
      <c r="H195" s="1019"/>
      <c r="I195" s="1020"/>
      <c r="J195" s="1020"/>
      <c r="K195" s="1020"/>
      <c r="L195" s="1020"/>
      <c r="M195" s="898"/>
      <c r="N195" s="898"/>
    </row>
    <row r="196" spans="1:14">
      <c r="A196" s="898"/>
      <c r="B196" s="898"/>
      <c r="C196" s="898"/>
      <c r="D196" s="898"/>
      <c r="E196" s="1019"/>
      <c r="F196" s="1019"/>
      <c r="G196" s="1019"/>
      <c r="H196" s="1019"/>
      <c r="I196" s="1020"/>
      <c r="J196" s="1020"/>
      <c r="K196" s="1020"/>
      <c r="L196" s="1020"/>
      <c r="M196" s="898"/>
      <c r="N196" s="898"/>
    </row>
    <row r="197" spans="1:14">
      <c r="A197" s="898"/>
      <c r="B197" s="898"/>
      <c r="C197" s="898"/>
      <c r="D197" s="898"/>
      <c r="E197" s="1019"/>
      <c r="F197" s="1019"/>
      <c r="G197" s="1019"/>
      <c r="H197" s="1019"/>
      <c r="I197" s="1020"/>
      <c r="J197" s="1020"/>
      <c r="K197" s="1020"/>
      <c r="L197" s="1020"/>
      <c r="M197" s="898"/>
      <c r="N197" s="898"/>
    </row>
    <row r="198" spans="1:14">
      <c r="A198" s="898"/>
      <c r="B198" s="898"/>
      <c r="C198" s="898"/>
      <c r="D198" s="898"/>
      <c r="E198" s="1019"/>
      <c r="F198" s="1019"/>
      <c r="G198" s="1019"/>
      <c r="H198" s="1019"/>
      <c r="I198" s="1020"/>
      <c r="J198" s="1020"/>
      <c r="K198" s="1020"/>
      <c r="L198" s="1020"/>
      <c r="M198" s="898"/>
      <c r="N198" s="898"/>
    </row>
    <row r="199" spans="1:14">
      <c r="A199" s="898"/>
      <c r="B199" s="898"/>
      <c r="C199" s="898"/>
      <c r="D199" s="898"/>
      <c r="E199" s="1019"/>
      <c r="F199" s="1019"/>
      <c r="G199" s="1019"/>
      <c r="H199" s="1019"/>
      <c r="I199" s="1020"/>
      <c r="J199" s="1020"/>
      <c r="K199" s="1020"/>
      <c r="L199" s="1020"/>
      <c r="M199" s="898"/>
      <c r="N199" s="898"/>
    </row>
    <row r="200" spans="1:14">
      <c r="A200" s="898"/>
      <c r="B200" s="898"/>
      <c r="C200" s="898"/>
      <c r="D200" s="898"/>
      <c r="E200" s="1019"/>
      <c r="F200" s="1019"/>
      <c r="G200" s="1019"/>
      <c r="H200" s="1019"/>
      <c r="I200" s="1020"/>
      <c r="J200" s="1020"/>
      <c r="K200" s="1020"/>
      <c r="L200" s="1020"/>
      <c r="M200" s="898"/>
      <c r="N200" s="898"/>
    </row>
    <row r="201" spans="1:14">
      <c r="A201" s="898"/>
      <c r="B201" s="898"/>
      <c r="C201" s="898"/>
      <c r="D201" s="898"/>
      <c r="E201" s="1019"/>
      <c r="F201" s="1019"/>
      <c r="G201" s="1019"/>
      <c r="H201" s="1019"/>
      <c r="I201" s="1020"/>
      <c r="J201" s="1020"/>
      <c r="K201" s="1020"/>
      <c r="L201" s="1020"/>
      <c r="M201" s="898"/>
      <c r="N201" s="898"/>
    </row>
    <row r="202" spans="1:14">
      <c r="A202" s="898"/>
      <c r="B202" s="898"/>
      <c r="C202" s="898"/>
      <c r="D202" s="898"/>
      <c r="E202" s="1019"/>
      <c r="F202" s="1019"/>
      <c r="G202" s="1019"/>
      <c r="H202" s="1019"/>
      <c r="I202" s="1020"/>
      <c r="J202" s="1020"/>
      <c r="K202" s="1020"/>
      <c r="L202" s="1020"/>
      <c r="M202" s="898"/>
      <c r="N202" s="898"/>
    </row>
    <row r="203" spans="1:14">
      <c r="A203" s="898"/>
      <c r="B203" s="898"/>
      <c r="C203" s="898"/>
      <c r="D203" s="898"/>
      <c r="E203" s="1019"/>
      <c r="F203" s="1019"/>
      <c r="G203" s="1019"/>
      <c r="H203" s="1019"/>
      <c r="I203" s="1020"/>
      <c r="J203" s="1020"/>
      <c r="K203" s="1020"/>
      <c r="L203" s="1020"/>
      <c r="M203" s="898"/>
      <c r="N203" s="898"/>
    </row>
    <row r="204" spans="1:14">
      <c r="A204" s="898"/>
      <c r="B204" s="898"/>
      <c r="C204" s="898"/>
      <c r="D204" s="898"/>
      <c r="E204" s="1019"/>
      <c r="F204" s="1019"/>
      <c r="G204" s="1019"/>
      <c r="H204" s="1019"/>
      <c r="I204" s="1020"/>
      <c r="J204" s="1020"/>
      <c r="K204" s="1020"/>
      <c r="L204" s="1020"/>
      <c r="M204" s="898"/>
      <c r="N204" s="898"/>
    </row>
    <row r="205" spans="1:14">
      <c r="B205" s="898"/>
      <c r="C205" s="898"/>
      <c r="D205" s="898"/>
      <c r="E205" s="1019"/>
      <c r="F205" s="1019"/>
      <c r="G205" s="1019"/>
      <c r="H205" s="1019"/>
      <c r="I205" s="1020"/>
      <c r="J205" s="1020"/>
      <c r="K205" s="1020"/>
      <c r="L205" s="1020"/>
      <c r="M205" s="898"/>
      <c r="N205" s="898"/>
    </row>
    <row r="206" spans="1:14">
      <c r="B206" s="898"/>
      <c r="C206" s="898"/>
      <c r="D206" s="898"/>
      <c r="E206" s="1019"/>
      <c r="F206" s="1019"/>
      <c r="G206" s="1019"/>
      <c r="H206" s="1019"/>
      <c r="I206" s="1020"/>
      <c r="J206" s="1020"/>
      <c r="K206" s="1020"/>
      <c r="L206" s="1020"/>
      <c r="M206" s="898"/>
      <c r="N206" s="898"/>
    </row>
    <row r="207" spans="1:14">
      <c r="B207" s="898"/>
      <c r="C207" s="898"/>
      <c r="D207" s="898"/>
      <c r="E207" s="1019"/>
      <c r="F207" s="1019"/>
      <c r="G207" s="1019"/>
      <c r="H207" s="1019"/>
      <c r="I207" s="1020"/>
      <c r="J207" s="1020"/>
      <c r="K207" s="1020"/>
      <c r="L207" s="1020"/>
      <c r="M207" s="898"/>
      <c r="N207" s="898"/>
    </row>
    <row r="208" spans="1:14">
      <c r="B208" s="898"/>
      <c r="C208" s="898"/>
      <c r="D208" s="898"/>
      <c r="E208" s="1019"/>
      <c r="F208" s="1019"/>
      <c r="G208" s="1019"/>
      <c r="H208" s="1019"/>
      <c r="I208" s="1020"/>
      <c r="J208" s="1020"/>
      <c r="K208" s="1020"/>
      <c r="L208" s="1020"/>
      <c r="M208" s="898"/>
      <c r="N208" s="898"/>
    </row>
    <row r="209" spans="2:14">
      <c r="B209" s="898"/>
      <c r="C209" s="898"/>
      <c r="D209" s="898"/>
      <c r="E209" s="1019"/>
      <c r="F209" s="1019"/>
      <c r="G209" s="1019"/>
      <c r="H209" s="1019"/>
      <c r="I209" s="1020"/>
      <c r="J209" s="1020"/>
      <c r="K209" s="1020"/>
      <c r="L209" s="1020"/>
      <c r="M209" s="898"/>
      <c r="N209" s="898"/>
    </row>
    <row r="210" spans="2:14">
      <c r="B210" s="898"/>
      <c r="C210" s="898"/>
      <c r="D210" s="898"/>
      <c r="E210" s="1019"/>
      <c r="F210" s="1019"/>
      <c r="G210" s="1019"/>
      <c r="H210" s="1019"/>
      <c r="I210" s="1020"/>
      <c r="J210" s="1020"/>
      <c r="K210" s="1020"/>
      <c r="L210" s="1020"/>
      <c r="M210" s="898"/>
      <c r="N210" s="898"/>
    </row>
    <row r="211" spans="2:14">
      <c r="B211" s="898"/>
      <c r="C211" s="898"/>
      <c r="D211" s="898"/>
      <c r="E211" s="1019"/>
      <c r="F211" s="1019"/>
      <c r="G211" s="1019"/>
      <c r="H211" s="1019"/>
      <c r="I211" s="1020"/>
      <c r="J211" s="1020"/>
      <c r="K211" s="1020"/>
      <c r="L211" s="1020"/>
      <c r="M211" s="898"/>
      <c r="N211" s="898"/>
    </row>
    <row r="212" spans="2:14">
      <c r="B212" s="898"/>
      <c r="C212" s="898"/>
      <c r="D212" s="898"/>
      <c r="E212" s="1019"/>
      <c r="F212" s="1019"/>
      <c r="G212" s="1019"/>
      <c r="H212" s="1019"/>
      <c r="I212" s="1020"/>
      <c r="J212" s="1020"/>
      <c r="K212" s="1020"/>
      <c r="L212" s="1020"/>
      <c r="M212" s="898"/>
      <c r="N212" s="898"/>
    </row>
    <row r="213" spans="2:14">
      <c r="B213" s="898"/>
      <c r="C213" s="898"/>
      <c r="D213" s="898"/>
      <c r="E213" s="1019"/>
      <c r="F213" s="1019"/>
      <c r="G213" s="1019"/>
      <c r="H213" s="1019"/>
      <c r="I213" s="1020"/>
      <c r="J213" s="1020"/>
      <c r="K213" s="1020"/>
      <c r="L213" s="1020"/>
      <c r="M213" s="898"/>
      <c r="N213" s="898"/>
    </row>
    <row r="214" spans="2:14">
      <c r="B214" s="898"/>
      <c r="C214" s="898"/>
      <c r="D214" s="898"/>
      <c r="E214" s="1019"/>
      <c r="F214" s="1019"/>
      <c r="G214" s="1019"/>
      <c r="H214" s="1019"/>
      <c r="I214" s="1020"/>
      <c r="J214" s="1020"/>
      <c r="K214" s="1020"/>
      <c r="L214" s="1020"/>
      <c r="M214" s="898"/>
      <c r="N214" s="898"/>
    </row>
    <row r="215" spans="2:14">
      <c r="B215" s="898"/>
      <c r="C215" s="898"/>
      <c r="D215" s="898"/>
      <c r="E215" s="1019"/>
      <c r="F215" s="1019"/>
      <c r="G215" s="1019"/>
      <c r="H215" s="1019"/>
      <c r="I215" s="1020"/>
      <c r="J215" s="1020"/>
      <c r="K215" s="1020"/>
      <c r="L215" s="1020"/>
      <c r="M215" s="898"/>
      <c r="N215" s="898"/>
    </row>
    <row r="216" spans="2:14">
      <c r="B216" s="898"/>
      <c r="C216" s="898"/>
      <c r="D216" s="898"/>
      <c r="E216" s="1019"/>
      <c r="F216" s="1019"/>
      <c r="G216" s="1019"/>
      <c r="H216" s="1019"/>
      <c r="I216" s="1020"/>
      <c r="J216" s="1020"/>
      <c r="K216" s="1020"/>
      <c r="L216" s="1020"/>
      <c r="M216" s="898"/>
      <c r="N216" s="898"/>
    </row>
    <row r="217" spans="2:14">
      <c r="B217" s="898"/>
      <c r="C217" s="898"/>
      <c r="D217" s="898"/>
      <c r="E217" s="1019"/>
      <c r="F217" s="1019"/>
      <c r="G217" s="1019"/>
      <c r="H217" s="1019"/>
      <c r="I217" s="1020"/>
      <c r="J217" s="1020"/>
      <c r="K217" s="1020"/>
      <c r="L217" s="1020"/>
      <c r="M217" s="898"/>
      <c r="N217" s="898"/>
    </row>
    <row r="218" spans="2:14">
      <c r="B218" s="898"/>
      <c r="C218" s="898"/>
      <c r="D218" s="898"/>
      <c r="E218" s="1019"/>
      <c r="F218" s="1019"/>
      <c r="G218" s="1019"/>
      <c r="H218" s="1019"/>
      <c r="I218" s="1020"/>
      <c r="J218" s="1020"/>
      <c r="K218" s="1020"/>
      <c r="L218" s="1020"/>
      <c r="M218" s="898"/>
      <c r="N218" s="898"/>
    </row>
    <row r="219" spans="2:14">
      <c r="B219" s="898"/>
      <c r="C219" s="898"/>
      <c r="D219" s="898"/>
      <c r="E219" s="1019"/>
      <c r="F219" s="1019"/>
      <c r="G219" s="1019"/>
      <c r="H219" s="1019"/>
      <c r="I219" s="1020"/>
      <c r="J219" s="1020"/>
      <c r="K219" s="1020"/>
      <c r="L219" s="1020"/>
      <c r="M219" s="898"/>
      <c r="N219" s="898"/>
    </row>
    <row r="220" spans="2:14">
      <c r="B220" s="898"/>
      <c r="C220" s="898"/>
      <c r="D220" s="898"/>
      <c r="E220" s="1019"/>
      <c r="F220" s="1019"/>
      <c r="G220" s="1019"/>
      <c r="H220" s="1019"/>
      <c r="I220" s="1020"/>
      <c r="J220" s="1020"/>
      <c r="K220" s="1020"/>
      <c r="L220" s="1020"/>
      <c r="M220" s="898"/>
      <c r="N220" s="898"/>
    </row>
    <row r="221" spans="2:14">
      <c r="B221" s="898"/>
      <c r="C221" s="898"/>
      <c r="D221" s="898"/>
      <c r="E221" s="1019"/>
      <c r="F221" s="1019"/>
      <c r="G221" s="1019"/>
      <c r="H221" s="1019"/>
      <c r="I221" s="1020"/>
      <c r="J221" s="1020"/>
      <c r="K221" s="1020"/>
      <c r="L221" s="1020"/>
      <c r="M221" s="898"/>
      <c r="N221" s="898"/>
    </row>
    <row r="222" spans="2:14">
      <c r="B222" s="898"/>
      <c r="C222" s="898"/>
      <c r="D222" s="898"/>
      <c r="E222" s="1019"/>
      <c r="F222" s="1019"/>
      <c r="G222" s="1019"/>
      <c r="H222" s="1019"/>
      <c r="I222" s="1020"/>
      <c r="J222" s="1020"/>
      <c r="K222" s="1020"/>
      <c r="L222" s="1020"/>
      <c r="M222" s="898"/>
      <c r="N222" s="898"/>
    </row>
    <row r="223" spans="2:14">
      <c r="B223" s="898"/>
      <c r="C223" s="898"/>
      <c r="D223" s="898"/>
      <c r="E223" s="1019"/>
      <c r="F223" s="1019"/>
      <c r="G223" s="1019"/>
      <c r="H223" s="1019"/>
      <c r="I223" s="1020"/>
      <c r="J223" s="1020"/>
      <c r="K223" s="1020"/>
      <c r="L223" s="1020"/>
      <c r="M223" s="898"/>
      <c r="N223" s="898"/>
    </row>
    <row r="224" spans="2:14">
      <c r="B224" s="898"/>
      <c r="C224" s="898"/>
      <c r="D224" s="898"/>
      <c r="E224" s="1019"/>
      <c r="F224" s="1019"/>
      <c r="G224" s="1019"/>
      <c r="H224" s="1019"/>
      <c r="I224" s="1020"/>
      <c r="J224" s="1020"/>
      <c r="K224" s="1020"/>
      <c r="L224" s="1020"/>
      <c r="M224" s="898"/>
      <c r="N224" s="898"/>
    </row>
    <row r="225" spans="2:14">
      <c r="B225" s="898"/>
      <c r="C225" s="898"/>
      <c r="D225" s="898"/>
      <c r="E225" s="1019"/>
      <c r="F225" s="1019"/>
      <c r="G225" s="1019"/>
      <c r="H225" s="1019"/>
      <c r="I225" s="1020"/>
      <c r="J225" s="1020"/>
      <c r="K225" s="1020"/>
      <c r="L225" s="1020"/>
      <c r="M225" s="898"/>
      <c r="N225" s="898"/>
    </row>
    <row r="226" spans="2:14">
      <c r="B226" s="898"/>
      <c r="C226" s="898"/>
      <c r="D226" s="898"/>
      <c r="E226" s="1019"/>
      <c r="F226" s="1019"/>
      <c r="G226" s="1019"/>
      <c r="H226" s="1019"/>
      <c r="I226" s="1020"/>
      <c r="J226" s="1020"/>
      <c r="K226" s="1020"/>
      <c r="L226" s="1020"/>
      <c r="M226" s="898"/>
      <c r="N226" s="898"/>
    </row>
  </sheetData>
  <mergeCells count="10">
    <mergeCell ref="A1:B1"/>
    <mergeCell ref="B8:K8"/>
    <mergeCell ref="B9:K9"/>
    <mergeCell ref="B24:M24"/>
    <mergeCell ref="B2:E2"/>
    <mergeCell ref="G2:K4"/>
    <mergeCell ref="M2:N4"/>
    <mergeCell ref="A5:B6"/>
    <mergeCell ref="K5:M5"/>
    <mergeCell ref="M7:N7"/>
  </mergeCells>
  <pageMargins left="0.7" right="0.7" top="0.75" bottom="0.75" header="0.3" footer="0.3"/>
  <pageSetup scale="58" fitToHeight="35" orientation="landscape" r:id="rId1"/>
  <headerFooter>
    <oddFooter>&amp;C&amp;"-,Bold"ATT Proprietary - Not for use other than by GSA and their client users.</oddFooter>
  </headerFooter>
</worksheet>
</file>

<file path=xl/worksheets/sheet38.xml><?xml version="1.0" encoding="utf-8"?>
<worksheet xmlns="http://schemas.openxmlformats.org/spreadsheetml/2006/main" xmlns:r="http://schemas.openxmlformats.org/officeDocument/2006/relationships">
  <sheetPr>
    <tabColor rgb="FFFFC000"/>
    <pageSetUpPr fitToPage="1"/>
  </sheetPr>
  <dimension ref="A1:S392"/>
  <sheetViews>
    <sheetView zoomScaleNormal="100" workbookViewId="0">
      <selection activeCell="A2" sqref="A2"/>
    </sheetView>
  </sheetViews>
  <sheetFormatPr defaultRowHeight="12.75"/>
  <cols>
    <col min="1" max="1" width="23.1640625" style="966" customWidth="1"/>
    <col min="2" max="2" width="24" style="966" customWidth="1"/>
    <col min="3" max="4" width="13.6640625" style="966" customWidth="1"/>
    <col min="5" max="5" width="12.33203125" style="1020" hidden="1" customWidth="1"/>
    <col min="6" max="6" width="13.1640625" style="1020" hidden="1" customWidth="1"/>
    <col min="7" max="8" width="12.33203125" style="1050" customWidth="1"/>
    <col min="9" max="9" width="12" style="1015" customWidth="1"/>
    <col min="10" max="10" width="13.83203125" style="1015" customWidth="1"/>
    <col min="11" max="11" width="13.1640625" style="1015" hidden="1" customWidth="1"/>
    <col min="12" max="12" width="12.1640625" style="1015" hidden="1" customWidth="1"/>
    <col min="13" max="13" width="11.1640625" style="966" customWidth="1"/>
    <col min="14" max="14" width="50.33203125" style="966" customWidth="1"/>
    <col min="15" max="16384" width="9.33203125" style="966"/>
  </cols>
  <sheetData>
    <row r="1" spans="1:14">
      <c r="A1" s="896" t="s">
        <v>424</v>
      </c>
      <c r="B1" s="896"/>
      <c r="C1" s="896"/>
      <c r="D1" s="896"/>
      <c r="E1" s="1021"/>
      <c r="F1" s="1021"/>
      <c r="G1" s="897"/>
      <c r="H1" s="897"/>
      <c r="I1" s="897"/>
      <c r="J1" s="897"/>
      <c r="K1" s="897"/>
      <c r="L1" s="897"/>
      <c r="M1" s="896"/>
      <c r="N1" s="896"/>
    </row>
    <row r="2" spans="1:14" s="1022" customFormat="1">
      <c r="A2" s="899"/>
      <c r="B2" s="1487" t="s">
        <v>370</v>
      </c>
      <c r="C2" s="1487"/>
      <c r="D2" s="1487"/>
      <c r="E2" s="1487"/>
      <c r="F2" s="900"/>
      <c r="G2" s="1488" t="s">
        <v>622</v>
      </c>
      <c r="H2" s="1488"/>
      <c r="I2" s="1488"/>
      <c r="J2" s="1488"/>
      <c r="K2" s="1488"/>
      <c r="L2" s="901"/>
      <c r="M2" s="1489" t="s">
        <v>2801</v>
      </c>
      <c r="N2" s="1489"/>
    </row>
    <row r="3" spans="1:14" s="1022" customFormat="1">
      <c r="A3" s="903" t="s">
        <v>426</v>
      </c>
      <c r="B3" s="903"/>
      <c r="C3" s="903"/>
      <c r="D3" s="903"/>
      <c r="E3" s="901"/>
      <c r="F3" s="901"/>
      <c r="G3" s="1488"/>
      <c r="H3" s="1488"/>
      <c r="I3" s="1488"/>
      <c r="J3" s="1488"/>
      <c r="K3" s="1488"/>
      <c r="L3" s="901"/>
      <c r="M3" s="1489"/>
      <c r="N3" s="1489"/>
    </row>
    <row r="4" spans="1:14" s="1022" customFormat="1">
      <c r="A4" s="903"/>
      <c r="B4" s="903"/>
      <c r="C4" s="903"/>
      <c r="D4" s="903"/>
      <c r="E4" s="901"/>
      <c r="F4" s="901"/>
      <c r="G4" s="1488"/>
      <c r="H4" s="1488"/>
      <c r="I4" s="1488"/>
      <c r="J4" s="1488"/>
      <c r="K4" s="1488"/>
      <c r="L4" s="901"/>
      <c r="M4" s="1489"/>
      <c r="N4" s="1489"/>
    </row>
    <row r="5" spans="1:14" s="1022" customFormat="1" ht="38.25">
      <c r="A5" s="1497" t="s">
        <v>2802</v>
      </c>
      <c r="B5" s="1497"/>
      <c r="C5" s="905"/>
      <c r="D5" s="905"/>
      <c r="E5" s="901" t="s">
        <v>624</v>
      </c>
      <c r="F5" s="901"/>
      <c r="G5" s="1243"/>
      <c r="H5" s="1243"/>
      <c r="I5" s="1243"/>
      <c r="J5" s="1243"/>
      <c r="K5" s="1243"/>
      <c r="L5" s="1023"/>
      <c r="M5" s="1024"/>
      <c r="N5" s="1025"/>
    </row>
    <row r="6" spans="1:14">
      <c r="A6" s="1497"/>
      <c r="B6" s="1497"/>
      <c r="C6" s="1026"/>
      <c r="D6" s="1026"/>
      <c r="E6" s="976"/>
      <c r="F6" s="976"/>
      <c r="G6" s="976"/>
      <c r="H6" s="1563"/>
      <c r="I6" s="1564"/>
      <c r="J6" s="1565"/>
      <c r="K6" s="1565"/>
      <c r="L6" s="1027"/>
      <c r="M6" s="1500" t="s">
        <v>631</v>
      </c>
      <c r="N6" s="1501"/>
    </row>
    <row r="7" spans="1:14" s="898" customFormat="1" ht="51">
      <c r="A7" s="915" t="s">
        <v>653</v>
      </c>
      <c r="B7" s="916" t="s">
        <v>428</v>
      </c>
      <c r="C7" s="916" t="s">
        <v>429</v>
      </c>
      <c r="D7" s="916" t="s">
        <v>2804</v>
      </c>
      <c r="E7" s="917" t="s">
        <v>620</v>
      </c>
      <c r="F7" s="917" t="s">
        <v>2805</v>
      </c>
      <c r="G7" s="918" t="s">
        <v>2806</v>
      </c>
      <c r="H7" s="918" t="s">
        <v>2807</v>
      </c>
      <c r="I7" s="919" t="s">
        <v>2808</v>
      </c>
      <c r="J7" s="919" t="s">
        <v>2809</v>
      </c>
      <c r="K7" s="920" t="s">
        <v>621</v>
      </c>
      <c r="L7" s="920" t="s">
        <v>2810</v>
      </c>
      <c r="M7" s="1492" t="s">
        <v>431</v>
      </c>
      <c r="N7" s="1493"/>
    </row>
    <row r="8" spans="1:14" ht="15" customHeight="1">
      <c r="A8" s="921"/>
      <c r="B8" s="1494" t="s">
        <v>1238</v>
      </c>
      <c r="C8" s="1495"/>
      <c r="D8" s="1495"/>
      <c r="E8" s="1495"/>
      <c r="F8" s="1495"/>
      <c r="G8" s="1495"/>
      <c r="H8" s="1495"/>
      <c r="I8" s="1495"/>
      <c r="J8" s="1495"/>
      <c r="K8" s="1496"/>
      <c r="L8" s="1028"/>
      <c r="M8" s="923"/>
      <c r="N8" s="924"/>
    </row>
    <row r="9" spans="1:14" s="929" customFormat="1">
      <c r="A9" s="925"/>
      <c r="B9" s="986" t="s">
        <v>2829</v>
      </c>
      <c r="C9" s="1000"/>
      <c r="D9" s="1000"/>
      <c r="E9" s="987"/>
      <c r="F9" s="987"/>
      <c r="G9" s="987"/>
      <c r="H9" s="987"/>
      <c r="I9" s="988"/>
      <c r="J9" s="988"/>
      <c r="K9" s="988"/>
      <c r="L9" s="988"/>
      <c r="M9" s="927"/>
      <c r="N9" s="1029"/>
    </row>
    <row r="10" spans="1:14" s="898" customFormat="1" ht="76.5">
      <c r="A10" s="930"/>
      <c r="B10" s="923" t="s">
        <v>2812</v>
      </c>
      <c r="C10" s="931" t="s">
        <v>628</v>
      </c>
      <c r="D10" s="931">
        <v>1</v>
      </c>
      <c r="E10" s="932">
        <v>9.42</v>
      </c>
      <c r="F10" s="933">
        <f>+ROUND((E10*D10),2)</f>
        <v>9.42</v>
      </c>
      <c r="G10" s="933">
        <f>SUM(E10*1.1)</f>
        <v>10.362</v>
      </c>
      <c r="H10" s="933">
        <f>+ROUND((G10*D10),2)</f>
        <v>10.36</v>
      </c>
      <c r="I10" s="933">
        <v>26.26</v>
      </c>
      <c r="J10" s="933">
        <v>26.26</v>
      </c>
      <c r="K10" s="933">
        <v>23.87</v>
      </c>
      <c r="L10" s="933">
        <f>+ROUND((K10*D10),2)</f>
        <v>23.87</v>
      </c>
      <c r="M10" s="923"/>
      <c r="N10" s="934"/>
    </row>
    <row r="11" spans="1:14" s="940" customFormat="1" ht="38.25">
      <c r="A11" s="935"/>
      <c r="B11" s="939" t="s">
        <v>1245</v>
      </c>
      <c r="C11" s="1030" t="s">
        <v>628</v>
      </c>
      <c r="D11" s="931">
        <v>1</v>
      </c>
      <c r="E11" s="933">
        <v>4.5</v>
      </c>
      <c r="F11" s="933">
        <f t="shared" ref="F11:F24" si="0">+ROUND((E11*D11),2)</f>
        <v>4.5</v>
      </c>
      <c r="G11" s="933">
        <f t="shared" ref="G11" si="1">SUM(E11*1.1)</f>
        <v>4.95</v>
      </c>
      <c r="H11" s="933">
        <f t="shared" ref="H11:H24" si="2">+ROUND((G11*D11),2)</f>
        <v>4.95</v>
      </c>
      <c r="I11" s="933">
        <v>0</v>
      </c>
      <c r="J11" s="933">
        <f t="shared" ref="J11:J24" si="3">+ROUND((I11*D11),2)</f>
        <v>0</v>
      </c>
      <c r="K11" s="933">
        <v>0</v>
      </c>
      <c r="L11" s="933">
        <f t="shared" ref="L11:L24" si="4">+ROUND((K11*D11),2)</f>
        <v>0</v>
      </c>
      <c r="M11" s="938"/>
      <c r="N11" s="939"/>
    </row>
    <row r="12" spans="1:14" s="898" customFormat="1" ht="38.25">
      <c r="A12" s="939"/>
      <c r="B12" s="939" t="s">
        <v>613</v>
      </c>
      <c r="C12" s="937" t="s">
        <v>628</v>
      </c>
      <c r="D12" s="931">
        <v>1</v>
      </c>
      <c r="E12" s="933">
        <v>0</v>
      </c>
      <c r="F12" s="933">
        <f t="shared" si="0"/>
        <v>0</v>
      </c>
      <c r="G12" s="933">
        <v>0</v>
      </c>
      <c r="H12" s="933">
        <f t="shared" si="2"/>
        <v>0</v>
      </c>
      <c r="I12" s="933">
        <v>0</v>
      </c>
      <c r="J12" s="933">
        <f t="shared" si="3"/>
        <v>0</v>
      </c>
      <c r="K12" s="933">
        <v>0</v>
      </c>
      <c r="L12" s="933">
        <f t="shared" si="4"/>
        <v>0</v>
      </c>
      <c r="M12" s="938" t="s">
        <v>285</v>
      </c>
      <c r="N12" s="939" t="s">
        <v>614</v>
      </c>
    </row>
    <row r="13" spans="1:14" s="898" customFormat="1" ht="25.5">
      <c r="A13" s="942"/>
      <c r="B13" s="938" t="s">
        <v>287</v>
      </c>
      <c r="C13" s="931" t="s">
        <v>628</v>
      </c>
      <c r="D13" s="931">
        <v>1</v>
      </c>
      <c r="E13" s="933">
        <v>0</v>
      </c>
      <c r="F13" s="933">
        <f t="shared" si="0"/>
        <v>0</v>
      </c>
      <c r="G13" s="933">
        <v>0</v>
      </c>
      <c r="H13" s="933">
        <f t="shared" si="2"/>
        <v>0</v>
      </c>
      <c r="I13" s="933">
        <v>0</v>
      </c>
      <c r="J13" s="933">
        <f t="shared" si="3"/>
        <v>0</v>
      </c>
      <c r="K13" s="933">
        <v>0</v>
      </c>
      <c r="L13" s="933">
        <f t="shared" si="4"/>
        <v>0</v>
      </c>
      <c r="M13" s="938" t="s">
        <v>288</v>
      </c>
      <c r="N13" s="939" t="s">
        <v>378</v>
      </c>
    </row>
    <row r="14" spans="1:14" s="1031" customFormat="1" ht="25.5">
      <c r="A14" s="943"/>
      <c r="B14" s="943" t="s">
        <v>617</v>
      </c>
      <c r="C14" s="1030" t="s">
        <v>628</v>
      </c>
      <c r="D14" s="931">
        <v>1</v>
      </c>
      <c r="E14" s="933">
        <v>0</v>
      </c>
      <c r="F14" s="933">
        <f t="shared" si="0"/>
        <v>0</v>
      </c>
      <c r="G14" s="944">
        <v>0</v>
      </c>
      <c r="H14" s="933">
        <f t="shared" si="2"/>
        <v>0</v>
      </c>
      <c r="I14" s="944">
        <v>0</v>
      </c>
      <c r="J14" s="933">
        <f t="shared" si="3"/>
        <v>0</v>
      </c>
      <c r="K14" s="944">
        <v>0</v>
      </c>
      <c r="L14" s="933">
        <f t="shared" si="4"/>
        <v>0</v>
      </c>
      <c r="M14" s="945" t="s">
        <v>288</v>
      </c>
      <c r="N14" s="943" t="s">
        <v>426</v>
      </c>
    </row>
    <row r="15" spans="1:14" s="898" customFormat="1" ht="51">
      <c r="A15" s="942"/>
      <c r="B15" s="938" t="s">
        <v>795</v>
      </c>
      <c r="C15" s="937" t="s">
        <v>628</v>
      </c>
      <c r="D15" s="931">
        <v>1</v>
      </c>
      <c r="E15" s="933">
        <v>0</v>
      </c>
      <c r="F15" s="933">
        <f t="shared" si="0"/>
        <v>0</v>
      </c>
      <c r="G15" s="933">
        <v>0</v>
      </c>
      <c r="H15" s="933">
        <f t="shared" si="2"/>
        <v>0</v>
      </c>
      <c r="I15" s="933">
        <v>0</v>
      </c>
      <c r="J15" s="933">
        <f t="shared" si="3"/>
        <v>0</v>
      </c>
      <c r="K15" s="933">
        <v>0</v>
      </c>
      <c r="L15" s="933">
        <f t="shared" si="4"/>
        <v>0</v>
      </c>
      <c r="M15" s="938" t="s">
        <v>288</v>
      </c>
      <c r="N15" s="939" t="s">
        <v>422</v>
      </c>
    </row>
    <row r="16" spans="1:14" s="898" customFormat="1" ht="25.5">
      <c r="A16" s="942"/>
      <c r="B16" s="938" t="s">
        <v>367</v>
      </c>
      <c r="C16" s="937" t="s">
        <v>628</v>
      </c>
      <c r="D16" s="931">
        <v>1</v>
      </c>
      <c r="E16" s="933">
        <v>0</v>
      </c>
      <c r="F16" s="933">
        <f t="shared" si="0"/>
        <v>0</v>
      </c>
      <c r="G16" s="933">
        <v>0</v>
      </c>
      <c r="H16" s="933">
        <f t="shared" si="2"/>
        <v>0</v>
      </c>
      <c r="I16" s="933">
        <v>0</v>
      </c>
      <c r="J16" s="933">
        <f t="shared" si="3"/>
        <v>0</v>
      </c>
      <c r="K16" s="933">
        <v>0</v>
      </c>
      <c r="L16" s="933">
        <f t="shared" si="4"/>
        <v>0</v>
      </c>
      <c r="M16" s="938" t="s">
        <v>288</v>
      </c>
      <c r="N16" s="939" t="s">
        <v>423</v>
      </c>
    </row>
    <row r="17" spans="1:19" s="898" customFormat="1" ht="25.5">
      <c r="A17" s="942"/>
      <c r="B17" s="938" t="s">
        <v>304</v>
      </c>
      <c r="C17" s="937" t="s">
        <v>628</v>
      </c>
      <c r="D17" s="931">
        <v>1</v>
      </c>
      <c r="E17" s="933">
        <v>0</v>
      </c>
      <c r="F17" s="933">
        <f t="shared" si="0"/>
        <v>0</v>
      </c>
      <c r="G17" s="933">
        <v>0</v>
      </c>
      <c r="H17" s="933">
        <f t="shared" si="2"/>
        <v>0</v>
      </c>
      <c r="I17" s="933">
        <v>0</v>
      </c>
      <c r="J17" s="933">
        <f t="shared" si="3"/>
        <v>0</v>
      </c>
      <c r="K17" s="933">
        <v>0</v>
      </c>
      <c r="L17" s="933">
        <f t="shared" si="4"/>
        <v>0</v>
      </c>
      <c r="M17" s="938" t="s">
        <v>288</v>
      </c>
      <c r="N17" s="939" t="s">
        <v>391</v>
      </c>
    </row>
    <row r="18" spans="1:19" s="898" customFormat="1" ht="51">
      <c r="A18" s="942"/>
      <c r="B18" s="939" t="s">
        <v>708</v>
      </c>
      <c r="C18" s="937" t="s">
        <v>628</v>
      </c>
      <c r="D18" s="931">
        <v>1</v>
      </c>
      <c r="E18" s="933">
        <v>0</v>
      </c>
      <c r="F18" s="933">
        <f t="shared" si="0"/>
        <v>0</v>
      </c>
      <c r="G18" s="933">
        <v>0</v>
      </c>
      <c r="H18" s="933">
        <f t="shared" si="2"/>
        <v>0</v>
      </c>
      <c r="I18" s="933">
        <v>0</v>
      </c>
      <c r="J18" s="933">
        <f t="shared" si="3"/>
        <v>0</v>
      </c>
      <c r="K18" s="933">
        <v>0</v>
      </c>
      <c r="L18" s="933">
        <f t="shared" si="4"/>
        <v>0</v>
      </c>
      <c r="M18" s="939" t="s">
        <v>374</v>
      </c>
      <c r="N18" s="939" t="s">
        <v>389</v>
      </c>
    </row>
    <row r="19" spans="1:19" s="898" customFormat="1">
      <c r="A19" s="942"/>
      <c r="B19" s="939" t="s">
        <v>299</v>
      </c>
      <c r="C19" s="937" t="s">
        <v>628</v>
      </c>
      <c r="D19" s="931">
        <v>1</v>
      </c>
      <c r="E19" s="933">
        <v>0</v>
      </c>
      <c r="F19" s="933">
        <f t="shared" si="0"/>
        <v>0</v>
      </c>
      <c r="G19" s="933">
        <v>0</v>
      </c>
      <c r="H19" s="933">
        <f t="shared" si="2"/>
        <v>0</v>
      </c>
      <c r="I19" s="933">
        <v>0</v>
      </c>
      <c r="J19" s="933">
        <f t="shared" si="3"/>
        <v>0</v>
      </c>
      <c r="K19" s="933">
        <v>0</v>
      </c>
      <c r="L19" s="933">
        <f t="shared" si="4"/>
        <v>0</v>
      </c>
      <c r="M19" s="939"/>
      <c r="N19" s="939" t="s">
        <v>426</v>
      </c>
    </row>
    <row r="20" spans="1:19" s="898" customFormat="1" ht="38.25">
      <c r="A20" s="942"/>
      <c r="B20" s="938" t="s">
        <v>300</v>
      </c>
      <c r="C20" s="937" t="s">
        <v>628</v>
      </c>
      <c r="D20" s="931">
        <v>1</v>
      </c>
      <c r="E20" s="933">
        <v>0</v>
      </c>
      <c r="F20" s="933">
        <f t="shared" si="0"/>
        <v>0</v>
      </c>
      <c r="G20" s="933">
        <v>0</v>
      </c>
      <c r="H20" s="933">
        <f t="shared" si="2"/>
        <v>0</v>
      </c>
      <c r="I20" s="933">
        <v>0</v>
      </c>
      <c r="J20" s="933">
        <f t="shared" si="3"/>
        <v>0</v>
      </c>
      <c r="K20" s="933">
        <v>0</v>
      </c>
      <c r="L20" s="933">
        <f t="shared" si="4"/>
        <v>0</v>
      </c>
      <c r="M20" s="938" t="s">
        <v>288</v>
      </c>
      <c r="N20" s="939" t="s">
        <v>1253</v>
      </c>
    </row>
    <row r="21" spans="1:19" s="898" customFormat="1">
      <c r="A21" s="942"/>
      <c r="B21" s="938" t="s">
        <v>301</v>
      </c>
      <c r="C21" s="937" t="s">
        <v>628</v>
      </c>
      <c r="D21" s="931">
        <v>1</v>
      </c>
      <c r="E21" s="933">
        <v>0</v>
      </c>
      <c r="F21" s="933">
        <f t="shared" si="0"/>
        <v>0</v>
      </c>
      <c r="G21" s="933">
        <v>0</v>
      </c>
      <c r="H21" s="933">
        <f t="shared" si="2"/>
        <v>0</v>
      </c>
      <c r="I21" s="933">
        <v>0</v>
      </c>
      <c r="J21" s="933">
        <f t="shared" si="3"/>
        <v>0</v>
      </c>
      <c r="K21" s="933">
        <v>0</v>
      </c>
      <c r="L21" s="933">
        <f t="shared" si="4"/>
        <v>0</v>
      </c>
      <c r="M21" s="938" t="s">
        <v>288</v>
      </c>
      <c r="N21" s="939" t="s">
        <v>297</v>
      </c>
    </row>
    <row r="22" spans="1:19" s="898" customFormat="1" ht="63.75">
      <c r="A22" s="942"/>
      <c r="B22" s="939" t="s">
        <v>2814</v>
      </c>
      <c r="C22" s="937" t="s">
        <v>628</v>
      </c>
      <c r="D22" s="931">
        <v>1</v>
      </c>
      <c r="E22" s="933">
        <v>0.75</v>
      </c>
      <c r="F22" s="933">
        <f t="shared" si="0"/>
        <v>0.75</v>
      </c>
      <c r="G22" s="933">
        <f>SUM(E22*1.1)</f>
        <v>0.82500000000000007</v>
      </c>
      <c r="H22" s="933">
        <f t="shared" si="2"/>
        <v>0.83</v>
      </c>
      <c r="I22" s="933">
        <v>10.45</v>
      </c>
      <c r="J22" s="933">
        <v>10.45</v>
      </c>
      <c r="K22" s="933">
        <v>9.5</v>
      </c>
      <c r="L22" s="933">
        <f t="shared" si="4"/>
        <v>9.5</v>
      </c>
      <c r="M22" s="939" t="s">
        <v>365</v>
      </c>
      <c r="N22" s="939" t="s">
        <v>383</v>
      </c>
    </row>
    <row r="23" spans="1:19" s="898" customFormat="1" ht="89.25">
      <c r="A23" s="1032"/>
      <c r="B23" s="936" t="s">
        <v>893</v>
      </c>
      <c r="C23" s="948" t="s">
        <v>1483</v>
      </c>
      <c r="D23" s="931">
        <v>1</v>
      </c>
      <c r="E23" s="1033">
        <v>0</v>
      </c>
      <c r="F23" s="933">
        <f t="shared" si="0"/>
        <v>0</v>
      </c>
      <c r="G23" s="1034">
        <v>0</v>
      </c>
      <c r="H23" s="933">
        <f t="shared" si="2"/>
        <v>0</v>
      </c>
      <c r="I23" s="1034">
        <f t="shared" ref="I23" si="5">SUM(K23*1.1)</f>
        <v>50.061000000000007</v>
      </c>
      <c r="J23" s="933">
        <f t="shared" si="3"/>
        <v>50.06</v>
      </c>
      <c r="K23" s="977">
        <v>45.510000000000005</v>
      </c>
      <c r="L23" s="933">
        <f t="shared" si="4"/>
        <v>45.51</v>
      </c>
      <c r="M23" s="964"/>
      <c r="N23" s="936" t="s">
        <v>891</v>
      </c>
    </row>
    <row r="24" spans="1:19" s="898" customFormat="1" ht="25.5">
      <c r="A24" s="936"/>
      <c r="B24" s="961" t="s">
        <v>1544</v>
      </c>
      <c r="C24" s="948" t="s">
        <v>1483</v>
      </c>
      <c r="D24" s="931">
        <v>0.25</v>
      </c>
      <c r="E24" s="932">
        <v>0</v>
      </c>
      <c r="F24" s="933">
        <f t="shared" si="0"/>
        <v>0</v>
      </c>
      <c r="G24" s="932">
        <v>0</v>
      </c>
      <c r="H24" s="933">
        <f t="shared" si="2"/>
        <v>0</v>
      </c>
      <c r="I24" s="932">
        <f t="shared" ref="I24" si="6">SUM(1.1*K24)</f>
        <v>100.62800000000001</v>
      </c>
      <c r="J24" s="933">
        <f t="shared" si="3"/>
        <v>25.16</v>
      </c>
      <c r="K24" s="932">
        <v>91.48</v>
      </c>
      <c r="L24" s="933">
        <f t="shared" si="4"/>
        <v>22.87</v>
      </c>
      <c r="M24" s="923" t="s">
        <v>2818</v>
      </c>
      <c r="N24" s="965"/>
    </row>
    <row r="25" spans="1:19" s="955" customFormat="1">
      <c r="A25" s="954"/>
      <c r="B25" s="950" t="s">
        <v>2815</v>
      </c>
      <c r="C25" s="951"/>
      <c r="D25" s="951"/>
      <c r="E25" s="952"/>
      <c r="F25" s="952">
        <f>SUM(F11)</f>
        <v>4.5</v>
      </c>
      <c r="G25" s="952"/>
      <c r="H25" s="952">
        <f>H11</f>
        <v>4.95</v>
      </c>
      <c r="I25" s="952"/>
      <c r="J25" s="952">
        <v>101.74</v>
      </c>
      <c r="K25" s="952"/>
      <c r="L25" s="952">
        <f>SUM(L10+L23+L24)</f>
        <v>92.25</v>
      </c>
      <c r="M25" s="953"/>
      <c r="N25" s="954"/>
      <c r="P25" s="956"/>
      <c r="Q25" s="956"/>
      <c r="R25" s="956"/>
      <c r="S25" s="956"/>
    </row>
    <row r="26" spans="1:19" s="971" customFormat="1" ht="51">
      <c r="A26" s="957" t="s">
        <v>2853</v>
      </c>
      <c r="B26" s="958" t="s">
        <v>2829</v>
      </c>
      <c r="C26" s="1035"/>
      <c r="D26" s="1036"/>
      <c r="E26" s="1037"/>
      <c r="F26" s="1038">
        <f>SUM(F10:F24)-F25</f>
        <v>10.17</v>
      </c>
      <c r="G26" s="1037"/>
      <c r="H26" s="1038">
        <f>SUM(H10:H24)-H25</f>
        <v>11.189999999999998</v>
      </c>
      <c r="I26" s="1037"/>
      <c r="J26" s="1038">
        <v>10.19</v>
      </c>
      <c r="K26" s="1037"/>
      <c r="L26" s="1038">
        <f>SUM(L10:L24)-L25</f>
        <v>9.5</v>
      </c>
      <c r="M26" s="1039"/>
      <c r="N26" s="1040"/>
    </row>
    <row r="27" spans="1:19" s="898" customFormat="1">
      <c r="A27" s="939"/>
      <c r="B27" s="939"/>
      <c r="C27" s="937"/>
      <c r="D27" s="937"/>
      <c r="E27" s="962"/>
      <c r="F27" s="1041"/>
      <c r="G27" s="962"/>
      <c r="H27" s="962"/>
      <c r="I27" s="962"/>
      <c r="J27" s="962"/>
      <c r="K27" s="962"/>
      <c r="L27" s="1041"/>
      <c r="M27" s="946"/>
      <c r="N27" s="939"/>
      <c r="P27" s="940"/>
      <c r="Q27" s="940"/>
      <c r="R27" s="940"/>
      <c r="S27" s="940"/>
    </row>
    <row r="28" spans="1:19" s="929" customFormat="1">
      <c r="A28" s="925"/>
      <c r="B28" s="986" t="s">
        <v>2821</v>
      </c>
      <c r="C28" s="986"/>
      <c r="D28" s="986"/>
      <c r="E28" s="987"/>
      <c r="F28" s="987"/>
      <c r="G28" s="987"/>
      <c r="H28" s="987"/>
      <c r="I28" s="988"/>
      <c r="J28" s="988"/>
      <c r="K28" s="988"/>
      <c r="L28" s="988"/>
      <c r="M28" s="927"/>
      <c r="N28" s="928"/>
      <c r="P28" s="898"/>
      <c r="Q28" s="898"/>
      <c r="R28" s="898"/>
      <c r="S28" s="898"/>
    </row>
    <row r="29" spans="1:19" s="898" customFormat="1" ht="76.5">
      <c r="A29" s="930"/>
      <c r="B29" s="923" t="s">
        <v>2812</v>
      </c>
      <c r="C29" s="931" t="s">
        <v>628</v>
      </c>
      <c r="D29" s="931">
        <v>2</v>
      </c>
      <c r="E29" s="932">
        <v>9.42</v>
      </c>
      <c r="F29" s="933">
        <f t="shared" ref="F29:F43" si="7">+ROUND((E29*D29),2)</f>
        <v>18.84</v>
      </c>
      <c r="G29" s="933">
        <f>SUM(E29*1.1)</f>
        <v>10.362</v>
      </c>
      <c r="H29" s="933">
        <f t="shared" ref="H29:H43" si="8">+ROUND((G29*D29),2)</f>
        <v>20.72</v>
      </c>
      <c r="I29" s="933">
        <f t="shared" ref="I29" si="9">SUM(K29*1.1)</f>
        <v>62.161000000000001</v>
      </c>
      <c r="J29" s="933">
        <f t="shared" ref="J29:J43" si="10">+ROUND((I29*D29),2)</f>
        <v>124.32</v>
      </c>
      <c r="K29" s="933">
        <v>56.51</v>
      </c>
      <c r="L29" s="933">
        <f t="shared" ref="L29:L43" si="11">+ROUND((K29*D29),2)</f>
        <v>113.02</v>
      </c>
      <c r="M29" s="923"/>
      <c r="N29" s="934"/>
    </row>
    <row r="30" spans="1:19" s="940" customFormat="1" ht="38.25">
      <c r="A30" s="935"/>
      <c r="B30" s="939" t="s">
        <v>1245</v>
      </c>
      <c r="C30" s="1030" t="s">
        <v>628</v>
      </c>
      <c r="D30" s="931">
        <v>1</v>
      </c>
      <c r="E30" s="933">
        <v>4.5</v>
      </c>
      <c r="F30" s="933">
        <f t="shared" si="7"/>
        <v>4.5</v>
      </c>
      <c r="G30" s="933">
        <f t="shared" ref="G30" si="12">SUM(E30*1.1)</f>
        <v>4.95</v>
      </c>
      <c r="H30" s="933">
        <f t="shared" si="8"/>
        <v>4.95</v>
      </c>
      <c r="I30" s="933">
        <v>0</v>
      </c>
      <c r="J30" s="933">
        <f t="shared" si="10"/>
        <v>0</v>
      </c>
      <c r="K30" s="933">
        <v>0</v>
      </c>
      <c r="L30" s="933">
        <f t="shared" si="11"/>
        <v>0</v>
      </c>
      <c r="M30" s="938"/>
      <c r="N30" s="939"/>
    </row>
    <row r="31" spans="1:19" s="898" customFormat="1" ht="38.25">
      <c r="A31" s="939"/>
      <c r="B31" s="939" t="s">
        <v>613</v>
      </c>
      <c r="C31" s="937" t="s">
        <v>628</v>
      </c>
      <c r="D31" s="931">
        <v>2</v>
      </c>
      <c r="E31" s="933">
        <v>0</v>
      </c>
      <c r="F31" s="933">
        <f t="shared" si="7"/>
        <v>0</v>
      </c>
      <c r="G31" s="933">
        <v>0</v>
      </c>
      <c r="H31" s="933">
        <f t="shared" si="8"/>
        <v>0</v>
      </c>
      <c r="I31" s="933">
        <v>0</v>
      </c>
      <c r="J31" s="933">
        <f t="shared" si="10"/>
        <v>0</v>
      </c>
      <c r="K31" s="933">
        <v>0</v>
      </c>
      <c r="L31" s="933">
        <f t="shared" si="11"/>
        <v>0</v>
      </c>
      <c r="M31" s="938" t="s">
        <v>285</v>
      </c>
      <c r="N31" s="939" t="s">
        <v>614</v>
      </c>
    </row>
    <row r="32" spans="1:19" s="898" customFormat="1" ht="25.5">
      <c r="A32" s="942"/>
      <c r="B32" s="938" t="s">
        <v>287</v>
      </c>
      <c r="C32" s="931" t="s">
        <v>628</v>
      </c>
      <c r="D32" s="931">
        <v>2</v>
      </c>
      <c r="E32" s="933">
        <v>0</v>
      </c>
      <c r="F32" s="933">
        <f t="shared" si="7"/>
        <v>0</v>
      </c>
      <c r="G32" s="933">
        <v>0</v>
      </c>
      <c r="H32" s="933">
        <f t="shared" si="8"/>
        <v>0</v>
      </c>
      <c r="I32" s="933">
        <v>0</v>
      </c>
      <c r="J32" s="933">
        <f t="shared" si="10"/>
        <v>0</v>
      </c>
      <c r="K32" s="933">
        <v>0</v>
      </c>
      <c r="L32" s="933">
        <f t="shared" si="11"/>
        <v>0</v>
      </c>
      <c r="M32" s="938" t="s">
        <v>288</v>
      </c>
      <c r="N32" s="939" t="s">
        <v>378</v>
      </c>
    </row>
    <row r="33" spans="1:19" s="1031" customFormat="1" ht="25.5">
      <c r="A33" s="943"/>
      <c r="B33" s="943" t="s">
        <v>617</v>
      </c>
      <c r="C33" s="1030" t="s">
        <v>628</v>
      </c>
      <c r="D33" s="931">
        <v>2</v>
      </c>
      <c r="E33" s="933">
        <v>0</v>
      </c>
      <c r="F33" s="933">
        <f t="shared" si="7"/>
        <v>0</v>
      </c>
      <c r="G33" s="944">
        <v>0</v>
      </c>
      <c r="H33" s="933">
        <f t="shared" si="8"/>
        <v>0</v>
      </c>
      <c r="I33" s="944">
        <v>0</v>
      </c>
      <c r="J33" s="933">
        <f t="shared" si="10"/>
        <v>0</v>
      </c>
      <c r="K33" s="944">
        <v>0</v>
      </c>
      <c r="L33" s="933">
        <f t="shared" si="11"/>
        <v>0</v>
      </c>
      <c r="M33" s="945" t="s">
        <v>288</v>
      </c>
      <c r="N33" s="943" t="s">
        <v>426</v>
      </c>
    </row>
    <row r="34" spans="1:19" s="898" customFormat="1" ht="51">
      <c r="A34" s="942"/>
      <c r="B34" s="938" t="s">
        <v>795</v>
      </c>
      <c r="C34" s="937" t="s">
        <v>628</v>
      </c>
      <c r="D34" s="931">
        <v>2</v>
      </c>
      <c r="E34" s="933">
        <v>0</v>
      </c>
      <c r="F34" s="933">
        <f t="shared" si="7"/>
        <v>0</v>
      </c>
      <c r="G34" s="933">
        <v>0</v>
      </c>
      <c r="H34" s="933">
        <f t="shared" si="8"/>
        <v>0</v>
      </c>
      <c r="I34" s="933">
        <v>0</v>
      </c>
      <c r="J34" s="933">
        <f t="shared" si="10"/>
        <v>0</v>
      </c>
      <c r="K34" s="933">
        <v>0</v>
      </c>
      <c r="L34" s="933">
        <f t="shared" si="11"/>
        <v>0</v>
      </c>
      <c r="M34" s="938" t="s">
        <v>288</v>
      </c>
      <c r="N34" s="939" t="s">
        <v>422</v>
      </c>
    </row>
    <row r="35" spans="1:19" s="898" customFormat="1" ht="25.5">
      <c r="A35" s="942"/>
      <c r="B35" s="938" t="s">
        <v>367</v>
      </c>
      <c r="C35" s="937" t="s">
        <v>628</v>
      </c>
      <c r="D35" s="931">
        <v>2</v>
      </c>
      <c r="E35" s="933">
        <v>0</v>
      </c>
      <c r="F35" s="933">
        <f t="shared" si="7"/>
        <v>0</v>
      </c>
      <c r="G35" s="933">
        <v>0</v>
      </c>
      <c r="H35" s="933">
        <f t="shared" si="8"/>
        <v>0</v>
      </c>
      <c r="I35" s="933">
        <v>0</v>
      </c>
      <c r="J35" s="933">
        <f t="shared" si="10"/>
        <v>0</v>
      </c>
      <c r="K35" s="933">
        <v>0</v>
      </c>
      <c r="L35" s="933">
        <f t="shared" si="11"/>
        <v>0</v>
      </c>
      <c r="M35" s="938" t="s">
        <v>288</v>
      </c>
      <c r="N35" s="939" t="s">
        <v>423</v>
      </c>
    </row>
    <row r="36" spans="1:19" s="898" customFormat="1" ht="25.5">
      <c r="A36" s="942"/>
      <c r="B36" s="938" t="s">
        <v>304</v>
      </c>
      <c r="C36" s="937" t="s">
        <v>628</v>
      </c>
      <c r="D36" s="931">
        <v>2</v>
      </c>
      <c r="E36" s="933">
        <v>0</v>
      </c>
      <c r="F36" s="933">
        <f t="shared" si="7"/>
        <v>0</v>
      </c>
      <c r="G36" s="933">
        <v>0</v>
      </c>
      <c r="H36" s="933">
        <f t="shared" si="8"/>
        <v>0</v>
      </c>
      <c r="I36" s="933">
        <v>0</v>
      </c>
      <c r="J36" s="933">
        <f t="shared" si="10"/>
        <v>0</v>
      </c>
      <c r="K36" s="933">
        <v>0</v>
      </c>
      <c r="L36" s="933">
        <f t="shared" si="11"/>
        <v>0</v>
      </c>
      <c r="M36" s="938" t="s">
        <v>288</v>
      </c>
      <c r="N36" s="939" t="s">
        <v>391</v>
      </c>
    </row>
    <row r="37" spans="1:19" s="898" customFormat="1" ht="51">
      <c r="A37" s="942"/>
      <c r="B37" s="939" t="s">
        <v>708</v>
      </c>
      <c r="C37" s="937" t="s">
        <v>628</v>
      </c>
      <c r="D37" s="931">
        <v>2</v>
      </c>
      <c r="E37" s="933">
        <v>0</v>
      </c>
      <c r="F37" s="933">
        <f t="shared" si="7"/>
        <v>0</v>
      </c>
      <c r="G37" s="933">
        <v>0</v>
      </c>
      <c r="H37" s="933">
        <f t="shared" si="8"/>
        <v>0</v>
      </c>
      <c r="I37" s="933">
        <v>0</v>
      </c>
      <c r="J37" s="933">
        <f t="shared" si="10"/>
        <v>0</v>
      </c>
      <c r="K37" s="933">
        <v>0</v>
      </c>
      <c r="L37" s="933">
        <f t="shared" si="11"/>
        <v>0</v>
      </c>
      <c r="M37" s="939" t="s">
        <v>374</v>
      </c>
      <c r="N37" s="939" t="s">
        <v>389</v>
      </c>
    </row>
    <row r="38" spans="1:19" s="898" customFormat="1">
      <c r="A38" s="942"/>
      <c r="B38" s="939" t="s">
        <v>299</v>
      </c>
      <c r="C38" s="937" t="s">
        <v>628</v>
      </c>
      <c r="D38" s="931">
        <v>2</v>
      </c>
      <c r="E38" s="933">
        <v>0</v>
      </c>
      <c r="F38" s="933">
        <f t="shared" si="7"/>
        <v>0</v>
      </c>
      <c r="G38" s="933">
        <v>0</v>
      </c>
      <c r="H38" s="933">
        <f t="shared" si="8"/>
        <v>0</v>
      </c>
      <c r="I38" s="933">
        <v>0</v>
      </c>
      <c r="J38" s="933">
        <f t="shared" si="10"/>
        <v>0</v>
      </c>
      <c r="K38" s="933">
        <v>0</v>
      </c>
      <c r="L38" s="933">
        <f t="shared" si="11"/>
        <v>0</v>
      </c>
      <c r="M38" s="939"/>
      <c r="N38" s="939" t="s">
        <v>426</v>
      </c>
    </row>
    <row r="39" spans="1:19" s="898" customFormat="1" ht="38.25">
      <c r="A39" s="942"/>
      <c r="B39" s="938" t="s">
        <v>300</v>
      </c>
      <c r="C39" s="937" t="s">
        <v>628</v>
      </c>
      <c r="D39" s="931">
        <v>2</v>
      </c>
      <c r="E39" s="933">
        <v>0</v>
      </c>
      <c r="F39" s="933">
        <f t="shared" si="7"/>
        <v>0</v>
      </c>
      <c r="G39" s="933">
        <v>0</v>
      </c>
      <c r="H39" s="933">
        <f t="shared" si="8"/>
        <v>0</v>
      </c>
      <c r="I39" s="933">
        <v>0</v>
      </c>
      <c r="J39" s="933">
        <f t="shared" si="10"/>
        <v>0</v>
      </c>
      <c r="K39" s="933">
        <v>0</v>
      </c>
      <c r="L39" s="933">
        <f t="shared" si="11"/>
        <v>0</v>
      </c>
      <c r="M39" s="938" t="s">
        <v>288</v>
      </c>
      <c r="N39" s="939" t="s">
        <v>1253</v>
      </c>
    </row>
    <row r="40" spans="1:19" s="898" customFormat="1">
      <c r="A40" s="942"/>
      <c r="B40" s="938" t="s">
        <v>301</v>
      </c>
      <c r="C40" s="937" t="s">
        <v>628</v>
      </c>
      <c r="D40" s="931">
        <v>2</v>
      </c>
      <c r="E40" s="933">
        <v>0</v>
      </c>
      <c r="F40" s="933">
        <f t="shared" si="7"/>
        <v>0</v>
      </c>
      <c r="G40" s="933">
        <v>0</v>
      </c>
      <c r="H40" s="933">
        <f t="shared" si="8"/>
        <v>0</v>
      </c>
      <c r="I40" s="933">
        <v>0</v>
      </c>
      <c r="J40" s="933">
        <f t="shared" si="10"/>
        <v>0</v>
      </c>
      <c r="K40" s="933">
        <v>0</v>
      </c>
      <c r="L40" s="933">
        <f t="shared" si="11"/>
        <v>0</v>
      </c>
      <c r="M40" s="938" t="s">
        <v>288</v>
      </c>
      <c r="N40" s="939" t="s">
        <v>297</v>
      </c>
    </row>
    <row r="41" spans="1:19" s="898" customFormat="1" ht="63.75">
      <c r="A41" s="942"/>
      <c r="B41" s="939" t="s">
        <v>2814</v>
      </c>
      <c r="C41" s="937" t="s">
        <v>628</v>
      </c>
      <c r="D41" s="931">
        <v>1</v>
      </c>
      <c r="E41" s="933">
        <v>0.75</v>
      </c>
      <c r="F41" s="933">
        <f t="shared" si="7"/>
        <v>0.75</v>
      </c>
      <c r="G41" s="933">
        <f>SUM(E41*1.1)</f>
        <v>0.82500000000000007</v>
      </c>
      <c r="H41" s="933">
        <f t="shared" si="8"/>
        <v>0.83</v>
      </c>
      <c r="I41" s="933">
        <v>10.45</v>
      </c>
      <c r="J41" s="933">
        <v>10.45</v>
      </c>
      <c r="K41" s="933">
        <v>9.5</v>
      </c>
      <c r="L41" s="933">
        <f t="shared" si="11"/>
        <v>9.5</v>
      </c>
      <c r="M41" s="939" t="s">
        <v>365</v>
      </c>
      <c r="N41" s="939" t="s">
        <v>383</v>
      </c>
    </row>
    <row r="42" spans="1:19" s="898" customFormat="1" ht="89.25">
      <c r="A42" s="1032"/>
      <c r="B42" s="947" t="s">
        <v>894</v>
      </c>
      <c r="C42" s="948" t="s">
        <v>1483</v>
      </c>
      <c r="D42" s="948">
        <v>1</v>
      </c>
      <c r="E42" s="975">
        <v>0</v>
      </c>
      <c r="F42" s="933">
        <f t="shared" si="7"/>
        <v>0</v>
      </c>
      <c r="G42" s="976">
        <v>0</v>
      </c>
      <c r="H42" s="933">
        <f t="shared" si="8"/>
        <v>0</v>
      </c>
      <c r="I42" s="976">
        <f t="shared" ref="I42" si="13">SUM(K42*1.1)</f>
        <v>90.231900000000024</v>
      </c>
      <c r="J42" s="933">
        <f t="shared" si="10"/>
        <v>90.23</v>
      </c>
      <c r="K42" s="977">
        <v>82.029000000000011</v>
      </c>
      <c r="L42" s="933">
        <f t="shared" si="11"/>
        <v>82.03</v>
      </c>
      <c r="M42" s="978"/>
      <c r="N42" s="979" t="s">
        <v>891</v>
      </c>
      <c r="P42" s="929"/>
    </row>
    <row r="43" spans="1:19" s="898" customFormat="1" ht="25.5">
      <c r="A43" s="936"/>
      <c r="B43" s="961" t="s">
        <v>1544</v>
      </c>
      <c r="C43" s="948" t="s">
        <v>1483</v>
      </c>
      <c r="D43" s="931">
        <v>0.25</v>
      </c>
      <c r="E43" s="932">
        <v>0</v>
      </c>
      <c r="F43" s="933">
        <f t="shared" si="7"/>
        <v>0</v>
      </c>
      <c r="G43" s="932">
        <v>0</v>
      </c>
      <c r="H43" s="933">
        <f t="shared" si="8"/>
        <v>0</v>
      </c>
      <c r="I43" s="932">
        <f t="shared" ref="I43" si="14">SUM(1.1*K43)</f>
        <v>100.62800000000001</v>
      </c>
      <c r="J43" s="933">
        <f t="shared" si="10"/>
        <v>25.16</v>
      </c>
      <c r="K43" s="932">
        <v>91.48</v>
      </c>
      <c r="L43" s="933">
        <f t="shared" si="11"/>
        <v>22.87</v>
      </c>
      <c r="M43" s="923" t="s">
        <v>2818</v>
      </c>
      <c r="N43" s="965"/>
    </row>
    <row r="44" spans="1:19" s="955" customFormat="1">
      <c r="A44" s="954"/>
      <c r="B44" s="950" t="s">
        <v>2815</v>
      </c>
      <c r="C44" s="951"/>
      <c r="D44" s="951"/>
      <c r="E44" s="952"/>
      <c r="F44" s="952">
        <f>SUM(F30)</f>
        <v>4.5</v>
      </c>
      <c r="G44" s="952"/>
      <c r="H44" s="952">
        <f>H30</f>
        <v>4.95</v>
      </c>
      <c r="I44" s="952"/>
      <c r="J44" s="952">
        <f>SUM(J29+J42+J43)</f>
        <v>239.71</v>
      </c>
      <c r="K44" s="952"/>
      <c r="L44" s="952">
        <f>SUM(L29+L42+L43)</f>
        <v>217.92000000000002</v>
      </c>
      <c r="M44" s="953"/>
      <c r="N44" s="954"/>
      <c r="P44" s="956"/>
      <c r="Q44" s="956"/>
      <c r="R44" s="956"/>
      <c r="S44" s="956"/>
    </row>
    <row r="45" spans="1:19" s="902" customFormat="1" ht="51">
      <c r="A45" s="957" t="s">
        <v>2854</v>
      </c>
      <c r="B45" s="958" t="s">
        <v>2821</v>
      </c>
      <c r="C45" s="1035"/>
      <c r="D45" s="1042"/>
      <c r="E45" s="1043"/>
      <c r="F45" s="1038">
        <f>SUM(F29:F43)-F44</f>
        <v>19.59</v>
      </c>
      <c r="G45" s="1037"/>
      <c r="H45" s="1038">
        <f>SUM(H29:H43)-H44</f>
        <v>21.549999999999997</v>
      </c>
      <c r="I45" s="1037"/>
      <c r="J45" s="1038">
        <f>SUM(J29:J43)-J44</f>
        <v>10.449999999999989</v>
      </c>
      <c r="K45" s="1037"/>
      <c r="L45" s="1038">
        <f>SUM(L29:L43)-L44</f>
        <v>9.5</v>
      </c>
      <c r="M45" s="958"/>
      <c r="N45" s="1044"/>
    </row>
    <row r="46" spans="1:19">
      <c r="A46" s="984"/>
      <c r="B46" s="984"/>
      <c r="C46" s="984"/>
      <c r="D46" s="984"/>
      <c r="E46" s="1045"/>
      <c r="F46" s="1045"/>
      <c r="G46" s="1046"/>
      <c r="H46" s="1046"/>
      <c r="I46" s="1046"/>
      <c r="J46" s="1046"/>
      <c r="K46" s="1046"/>
      <c r="L46" s="1046"/>
      <c r="M46" s="984"/>
      <c r="N46" s="984"/>
      <c r="P46" s="898"/>
      <c r="Q46" s="940"/>
      <c r="R46" s="940"/>
      <c r="S46" s="940"/>
    </row>
    <row r="47" spans="1:19" s="929" customFormat="1">
      <c r="A47" s="925"/>
      <c r="B47" s="986" t="s">
        <v>2822</v>
      </c>
      <c r="C47" s="986"/>
      <c r="D47" s="986"/>
      <c r="E47" s="987"/>
      <c r="F47" s="987"/>
      <c r="G47" s="987"/>
      <c r="H47" s="987"/>
      <c r="I47" s="988"/>
      <c r="J47" s="988"/>
      <c r="K47" s="988"/>
      <c r="L47" s="988"/>
      <c r="M47" s="927"/>
      <c r="N47" s="928"/>
      <c r="P47" s="898"/>
      <c r="Q47" s="898"/>
      <c r="R47" s="898"/>
      <c r="S47" s="898"/>
    </row>
    <row r="48" spans="1:19" s="898" customFormat="1" ht="76.5">
      <c r="A48" s="930"/>
      <c r="B48" s="923" t="s">
        <v>2812</v>
      </c>
      <c r="C48" s="931" t="s">
        <v>628</v>
      </c>
      <c r="D48" s="931">
        <v>4</v>
      </c>
      <c r="E48" s="932">
        <v>9.42</v>
      </c>
      <c r="F48" s="933">
        <f t="shared" ref="F48:F62" si="15">+ROUND((E48*D48),2)</f>
        <v>37.68</v>
      </c>
      <c r="G48" s="933">
        <f>SUM(E48*1.1)</f>
        <v>10.362</v>
      </c>
      <c r="H48" s="933">
        <f t="shared" ref="H48:H62" si="16">+ROUND((G48*D48),2)</f>
        <v>41.45</v>
      </c>
      <c r="I48" s="933">
        <v>62.16</v>
      </c>
      <c r="J48" s="933">
        <f t="shared" ref="J48:J62" si="17">+ROUND((I48*D48),2)</f>
        <v>248.64</v>
      </c>
      <c r="K48" s="933">
        <v>56.51</v>
      </c>
      <c r="L48" s="933">
        <f t="shared" ref="L48:L62" si="18">+ROUND((K48*D48),2)</f>
        <v>226.04</v>
      </c>
      <c r="M48" s="923"/>
      <c r="N48" s="934"/>
    </row>
    <row r="49" spans="1:19" s="940" customFormat="1" ht="38.25">
      <c r="A49" s="935"/>
      <c r="B49" s="939" t="s">
        <v>1245</v>
      </c>
      <c r="C49" s="1030" t="s">
        <v>628</v>
      </c>
      <c r="D49" s="931">
        <v>1</v>
      </c>
      <c r="E49" s="933">
        <v>4.5</v>
      </c>
      <c r="F49" s="933">
        <f t="shared" si="15"/>
        <v>4.5</v>
      </c>
      <c r="G49" s="933">
        <f t="shared" ref="G49" si="19">SUM(E49*1.1)</f>
        <v>4.95</v>
      </c>
      <c r="H49" s="933">
        <f t="shared" si="16"/>
        <v>4.95</v>
      </c>
      <c r="I49" s="933">
        <v>0</v>
      </c>
      <c r="J49" s="933">
        <f t="shared" si="17"/>
        <v>0</v>
      </c>
      <c r="K49" s="933">
        <v>0</v>
      </c>
      <c r="L49" s="933">
        <f t="shared" si="18"/>
        <v>0</v>
      </c>
      <c r="M49" s="938"/>
      <c r="N49" s="939"/>
    </row>
    <row r="50" spans="1:19" s="898" customFormat="1" ht="38.25">
      <c r="A50" s="939"/>
      <c r="B50" s="939" t="s">
        <v>613</v>
      </c>
      <c r="C50" s="937" t="s">
        <v>628</v>
      </c>
      <c r="D50" s="931">
        <v>4</v>
      </c>
      <c r="E50" s="933">
        <v>0</v>
      </c>
      <c r="F50" s="933">
        <f t="shared" si="15"/>
        <v>0</v>
      </c>
      <c r="G50" s="933">
        <v>0</v>
      </c>
      <c r="H50" s="933">
        <f t="shared" si="16"/>
        <v>0</v>
      </c>
      <c r="I50" s="933">
        <v>0</v>
      </c>
      <c r="J50" s="933">
        <f t="shared" si="17"/>
        <v>0</v>
      </c>
      <c r="K50" s="933">
        <v>0</v>
      </c>
      <c r="L50" s="933">
        <f t="shared" si="18"/>
        <v>0</v>
      </c>
      <c r="M50" s="938" t="s">
        <v>285</v>
      </c>
      <c r="N50" s="939" t="s">
        <v>614</v>
      </c>
    </row>
    <row r="51" spans="1:19" s="898" customFormat="1" ht="25.5">
      <c r="A51" s="942"/>
      <c r="B51" s="938" t="s">
        <v>287</v>
      </c>
      <c r="C51" s="931" t="s">
        <v>628</v>
      </c>
      <c r="D51" s="931">
        <v>4</v>
      </c>
      <c r="E51" s="933">
        <v>0</v>
      </c>
      <c r="F51" s="933">
        <f t="shared" si="15"/>
        <v>0</v>
      </c>
      <c r="G51" s="933">
        <v>0</v>
      </c>
      <c r="H51" s="933">
        <f t="shared" si="16"/>
        <v>0</v>
      </c>
      <c r="I51" s="933">
        <v>0</v>
      </c>
      <c r="J51" s="933">
        <f t="shared" si="17"/>
        <v>0</v>
      </c>
      <c r="K51" s="933">
        <v>0</v>
      </c>
      <c r="L51" s="933">
        <f t="shared" si="18"/>
        <v>0</v>
      </c>
      <c r="M51" s="938" t="s">
        <v>288</v>
      </c>
      <c r="N51" s="939" t="s">
        <v>378</v>
      </c>
    </row>
    <row r="52" spans="1:19" s="1031" customFormat="1" ht="25.5">
      <c r="A52" s="943"/>
      <c r="B52" s="943" t="s">
        <v>617</v>
      </c>
      <c r="C52" s="1030" t="s">
        <v>628</v>
      </c>
      <c r="D52" s="931">
        <v>4</v>
      </c>
      <c r="E52" s="933">
        <v>0</v>
      </c>
      <c r="F52" s="933">
        <f t="shared" si="15"/>
        <v>0</v>
      </c>
      <c r="G52" s="944">
        <v>0</v>
      </c>
      <c r="H52" s="933">
        <f t="shared" si="16"/>
        <v>0</v>
      </c>
      <c r="I52" s="944">
        <v>0</v>
      </c>
      <c r="J52" s="933">
        <f t="shared" si="17"/>
        <v>0</v>
      </c>
      <c r="K52" s="944">
        <v>0</v>
      </c>
      <c r="L52" s="933">
        <f t="shared" si="18"/>
        <v>0</v>
      </c>
      <c r="M52" s="945" t="s">
        <v>288</v>
      </c>
      <c r="N52" s="943" t="s">
        <v>426</v>
      </c>
    </row>
    <row r="53" spans="1:19" s="898" customFormat="1" ht="51">
      <c r="A53" s="942"/>
      <c r="B53" s="938" t="s">
        <v>795</v>
      </c>
      <c r="C53" s="937" t="s">
        <v>628</v>
      </c>
      <c r="D53" s="931">
        <v>4</v>
      </c>
      <c r="E53" s="933">
        <v>0</v>
      </c>
      <c r="F53" s="933">
        <f t="shared" si="15"/>
        <v>0</v>
      </c>
      <c r="G53" s="933">
        <v>0</v>
      </c>
      <c r="H53" s="933">
        <f t="shared" si="16"/>
        <v>0</v>
      </c>
      <c r="I53" s="933">
        <v>0</v>
      </c>
      <c r="J53" s="933">
        <f t="shared" si="17"/>
        <v>0</v>
      </c>
      <c r="K53" s="933">
        <v>0</v>
      </c>
      <c r="L53" s="933">
        <f t="shared" si="18"/>
        <v>0</v>
      </c>
      <c r="M53" s="938" t="s">
        <v>288</v>
      </c>
      <c r="N53" s="939" t="s">
        <v>422</v>
      </c>
    </row>
    <row r="54" spans="1:19" s="898" customFormat="1" ht="25.5">
      <c r="A54" s="942"/>
      <c r="B54" s="938" t="s">
        <v>367</v>
      </c>
      <c r="C54" s="937" t="s">
        <v>628</v>
      </c>
      <c r="D54" s="931">
        <v>4</v>
      </c>
      <c r="E54" s="933">
        <v>0</v>
      </c>
      <c r="F54" s="933">
        <f t="shared" si="15"/>
        <v>0</v>
      </c>
      <c r="G54" s="933">
        <v>0</v>
      </c>
      <c r="H54" s="933">
        <f t="shared" si="16"/>
        <v>0</v>
      </c>
      <c r="I54" s="933">
        <v>0</v>
      </c>
      <c r="J54" s="933">
        <f t="shared" si="17"/>
        <v>0</v>
      </c>
      <c r="K54" s="933">
        <v>0</v>
      </c>
      <c r="L54" s="933">
        <f t="shared" si="18"/>
        <v>0</v>
      </c>
      <c r="M54" s="938" t="s">
        <v>288</v>
      </c>
      <c r="N54" s="939" t="s">
        <v>423</v>
      </c>
    </row>
    <row r="55" spans="1:19" s="898" customFormat="1" ht="25.5">
      <c r="A55" s="942"/>
      <c r="B55" s="938" t="s">
        <v>304</v>
      </c>
      <c r="C55" s="937" t="s">
        <v>628</v>
      </c>
      <c r="D55" s="931">
        <v>4</v>
      </c>
      <c r="E55" s="933">
        <v>0</v>
      </c>
      <c r="F55" s="933">
        <f t="shared" si="15"/>
        <v>0</v>
      </c>
      <c r="G55" s="933">
        <v>0</v>
      </c>
      <c r="H55" s="933">
        <f t="shared" si="16"/>
        <v>0</v>
      </c>
      <c r="I55" s="933">
        <v>0</v>
      </c>
      <c r="J55" s="933">
        <f t="shared" si="17"/>
        <v>0</v>
      </c>
      <c r="K55" s="933">
        <v>0</v>
      </c>
      <c r="L55" s="933">
        <f t="shared" si="18"/>
        <v>0</v>
      </c>
      <c r="M55" s="938" t="s">
        <v>288</v>
      </c>
      <c r="N55" s="939" t="s">
        <v>391</v>
      </c>
    </row>
    <row r="56" spans="1:19" s="898" customFormat="1" ht="51">
      <c r="A56" s="942"/>
      <c r="B56" s="939" t="s">
        <v>708</v>
      </c>
      <c r="C56" s="937" t="s">
        <v>628</v>
      </c>
      <c r="D56" s="931">
        <v>4</v>
      </c>
      <c r="E56" s="933">
        <v>0</v>
      </c>
      <c r="F56" s="933">
        <f t="shared" si="15"/>
        <v>0</v>
      </c>
      <c r="G56" s="933">
        <v>0</v>
      </c>
      <c r="H56" s="933">
        <f t="shared" si="16"/>
        <v>0</v>
      </c>
      <c r="I56" s="933">
        <v>0</v>
      </c>
      <c r="J56" s="933">
        <f t="shared" si="17"/>
        <v>0</v>
      </c>
      <c r="K56" s="933">
        <v>0</v>
      </c>
      <c r="L56" s="933">
        <f t="shared" si="18"/>
        <v>0</v>
      </c>
      <c r="M56" s="939" t="s">
        <v>374</v>
      </c>
      <c r="N56" s="939" t="s">
        <v>389</v>
      </c>
    </row>
    <row r="57" spans="1:19" s="898" customFormat="1">
      <c r="A57" s="942"/>
      <c r="B57" s="939" t="s">
        <v>299</v>
      </c>
      <c r="C57" s="937" t="s">
        <v>628</v>
      </c>
      <c r="D57" s="931">
        <v>4</v>
      </c>
      <c r="E57" s="933">
        <v>0</v>
      </c>
      <c r="F57" s="933">
        <f t="shared" si="15"/>
        <v>0</v>
      </c>
      <c r="G57" s="933">
        <v>0</v>
      </c>
      <c r="H57" s="933">
        <f t="shared" si="16"/>
        <v>0</v>
      </c>
      <c r="I57" s="933">
        <v>0</v>
      </c>
      <c r="J57" s="933">
        <f t="shared" si="17"/>
        <v>0</v>
      </c>
      <c r="K57" s="933">
        <v>0</v>
      </c>
      <c r="L57" s="933">
        <f t="shared" si="18"/>
        <v>0</v>
      </c>
      <c r="M57" s="939"/>
      <c r="N57" s="939" t="s">
        <v>426</v>
      </c>
    </row>
    <row r="58" spans="1:19" s="898" customFormat="1" ht="38.25">
      <c r="A58" s="942"/>
      <c r="B58" s="938" t="s">
        <v>300</v>
      </c>
      <c r="C58" s="937" t="s">
        <v>628</v>
      </c>
      <c r="D58" s="931">
        <v>4</v>
      </c>
      <c r="E58" s="933">
        <v>0</v>
      </c>
      <c r="F58" s="933">
        <f t="shared" si="15"/>
        <v>0</v>
      </c>
      <c r="G58" s="933">
        <v>0</v>
      </c>
      <c r="H58" s="933">
        <f t="shared" si="16"/>
        <v>0</v>
      </c>
      <c r="I58" s="933">
        <v>0</v>
      </c>
      <c r="J58" s="933">
        <f t="shared" si="17"/>
        <v>0</v>
      </c>
      <c r="K58" s="933">
        <v>0</v>
      </c>
      <c r="L58" s="933">
        <f t="shared" si="18"/>
        <v>0</v>
      </c>
      <c r="M58" s="938" t="s">
        <v>288</v>
      </c>
      <c r="N58" s="939" t="s">
        <v>1253</v>
      </c>
    </row>
    <row r="59" spans="1:19" s="898" customFormat="1">
      <c r="A59" s="942"/>
      <c r="B59" s="938" t="s">
        <v>301</v>
      </c>
      <c r="C59" s="937" t="s">
        <v>628</v>
      </c>
      <c r="D59" s="931">
        <v>4</v>
      </c>
      <c r="E59" s="933">
        <v>0</v>
      </c>
      <c r="F59" s="933">
        <f t="shared" si="15"/>
        <v>0</v>
      </c>
      <c r="G59" s="933">
        <v>0</v>
      </c>
      <c r="H59" s="933">
        <f t="shared" si="16"/>
        <v>0</v>
      </c>
      <c r="I59" s="933">
        <v>0</v>
      </c>
      <c r="J59" s="933">
        <f t="shared" si="17"/>
        <v>0</v>
      </c>
      <c r="K59" s="933">
        <v>0</v>
      </c>
      <c r="L59" s="933">
        <f t="shared" si="18"/>
        <v>0</v>
      </c>
      <c r="M59" s="938" t="s">
        <v>288</v>
      </c>
      <c r="N59" s="939" t="s">
        <v>297</v>
      </c>
    </row>
    <row r="60" spans="1:19" s="898" customFormat="1" ht="63.75">
      <c r="A60" s="942"/>
      <c r="B60" s="939" t="s">
        <v>2814</v>
      </c>
      <c r="C60" s="937" t="s">
        <v>628</v>
      </c>
      <c r="D60" s="931">
        <v>1</v>
      </c>
      <c r="E60" s="933">
        <v>0.75</v>
      </c>
      <c r="F60" s="933">
        <f t="shared" si="15"/>
        <v>0.75</v>
      </c>
      <c r="G60" s="933">
        <f>SUM(E60*1.1)</f>
        <v>0.82500000000000007</v>
      </c>
      <c r="H60" s="933">
        <f t="shared" si="16"/>
        <v>0.83</v>
      </c>
      <c r="I60" s="933">
        <v>10.45</v>
      </c>
      <c r="J60" s="933">
        <v>10.45</v>
      </c>
      <c r="K60" s="933">
        <v>9.5</v>
      </c>
      <c r="L60" s="933">
        <f t="shared" si="18"/>
        <v>9.5</v>
      </c>
      <c r="M60" s="939" t="s">
        <v>365</v>
      </c>
      <c r="N60" s="939" t="s">
        <v>383</v>
      </c>
    </row>
    <row r="61" spans="1:19" s="898" customFormat="1" ht="89.25">
      <c r="A61" s="1047"/>
      <c r="B61" s="989" t="s">
        <v>901</v>
      </c>
      <c r="C61" s="990" t="s">
        <v>1483</v>
      </c>
      <c r="D61" s="990">
        <v>1</v>
      </c>
      <c r="E61" s="963">
        <v>0</v>
      </c>
      <c r="F61" s="933">
        <f t="shared" si="15"/>
        <v>0</v>
      </c>
      <c r="G61" s="991">
        <v>0</v>
      </c>
      <c r="H61" s="933">
        <f t="shared" si="16"/>
        <v>0</v>
      </c>
      <c r="I61" s="991">
        <v>181.93</v>
      </c>
      <c r="J61" s="933">
        <f t="shared" si="17"/>
        <v>181.93</v>
      </c>
      <c r="K61" s="992">
        <v>165.39000000000001</v>
      </c>
      <c r="L61" s="933">
        <f t="shared" si="18"/>
        <v>165.39</v>
      </c>
      <c r="M61" s="1048"/>
      <c r="N61" s="1049" t="s">
        <v>891</v>
      </c>
      <c r="Q61" s="966"/>
      <c r="R61" s="966"/>
      <c r="S61" s="966"/>
    </row>
    <row r="62" spans="1:19" s="898" customFormat="1" ht="25.5">
      <c r="A62" s="936"/>
      <c r="B62" s="961" t="s">
        <v>1544</v>
      </c>
      <c r="C62" s="948" t="s">
        <v>1483</v>
      </c>
      <c r="D62" s="931">
        <v>0.25</v>
      </c>
      <c r="E62" s="932">
        <v>0</v>
      </c>
      <c r="F62" s="933">
        <f t="shared" si="15"/>
        <v>0</v>
      </c>
      <c r="G62" s="932">
        <v>0</v>
      </c>
      <c r="H62" s="933">
        <f t="shared" si="16"/>
        <v>0</v>
      </c>
      <c r="I62" s="932">
        <v>100.63</v>
      </c>
      <c r="J62" s="933">
        <f t="shared" si="17"/>
        <v>25.16</v>
      </c>
      <c r="K62" s="932">
        <v>91.48</v>
      </c>
      <c r="L62" s="933">
        <f t="shared" si="18"/>
        <v>22.87</v>
      </c>
      <c r="M62" s="923" t="s">
        <v>2818</v>
      </c>
      <c r="N62" s="965"/>
    </row>
    <row r="63" spans="1:19" s="955" customFormat="1">
      <c r="A63" s="954"/>
      <c r="B63" s="950" t="s">
        <v>2815</v>
      </c>
      <c r="C63" s="951"/>
      <c r="D63" s="951"/>
      <c r="E63" s="952"/>
      <c r="F63" s="952">
        <f>SUM(F49)</f>
        <v>4.5</v>
      </c>
      <c r="G63" s="952"/>
      <c r="H63" s="952">
        <f>H49</f>
        <v>4.95</v>
      </c>
      <c r="I63" s="952"/>
      <c r="J63" s="952">
        <f>SUM(J48+J61+J62)</f>
        <v>455.73</v>
      </c>
      <c r="K63" s="952"/>
      <c r="L63" s="952">
        <f>SUM(L48+L61+L62)</f>
        <v>414.29999999999995</v>
      </c>
      <c r="M63" s="953"/>
      <c r="N63" s="954"/>
      <c r="P63" s="956"/>
      <c r="Q63" s="956"/>
      <c r="R63" s="956"/>
      <c r="S63" s="956"/>
    </row>
    <row r="64" spans="1:19" s="898" customFormat="1" ht="51">
      <c r="A64" s="957" t="s">
        <v>2855</v>
      </c>
      <c r="B64" s="958" t="s">
        <v>2822</v>
      </c>
      <c r="C64" s="1035"/>
      <c r="D64" s="1036"/>
      <c r="E64" s="1037"/>
      <c r="F64" s="1038">
        <f>SUM(F48:F62)-F63</f>
        <v>38.43</v>
      </c>
      <c r="G64" s="1037"/>
      <c r="H64" s="1038">
        <f>SUM(H48:H62)-H63</f>
        <v>42.28</v>
      </c>
      <c r="I64" s="1037"/>
      <c r="J64" s="1038">
        <f>SUM(J48:J62)-J63</f>
        <v>10.449999999999989</v>
      </c>
      <c r="K64" s="1037"/>
      <c r="L64" s="1038">
        <f>SUM(L48:L62)-L63</f>
        <v>9.5</v>
      </c>
      <c r="M64" s="1039"/>
      <c r="N64" s="1040"/>
    </row>
    <row r="65" spans="1:14" s="898" customFormat="1">
      <c r="A65" s="984"/>
      <c r="B65" s="984"/>
      <c r="C65" s="984"/>
      <c r="D65" s="984"/>
      <c r="E65" s="1045"/>
      <c r="F65" s="1045"/>
      <c r="G65" s="1046"/>
      <c r="H65" s="1046"/>
      <c r="I65" s="1046"/>
      <c r="J65" s="1046"/>
      <c r="K65" s="1046"/>
      <c r="L65" s="1046"/>
      <c r="M65" s="984"/>
      <c r="N65" s="984"/>
    </row>
    <row r="66" spans="1:14" s="1004" customFormat="1">
      <c r="A66" s="999"/>
      <c r="B66" s="986" t="s">
        <v>2824</v>
      </c>
      <c r="C66" s="1000"/>
      <c r="D66" s="1000"/>
      <c r="E66" s="1001"/>
      <c r="F66" s="1001"/>
      <c r="G66" s="1001"/>
      <c r="H66" s="1001"/>
      <c r="I66" s="1002"/>
      <c r="J66" s="1002"/>
      <c r="K66" s="1002"/>
      <c r="L66" s="1002"/>
      <c r="M66" s="1003"/>
      <c r="N66" s="928"/>
    </row>
    <row r="67" spans="1:14" s="998" customFormat="1" ht="51">
      <c r="A67" s="930"/>
      <c r="B67" s="923" t="s">
        <v>1546</v>
      </c>
      <c r="C67" s="931" t="s">
        <v>628</v>
      </c>
      <c r="D67" s="931">
        <v>1</v>
      </c>
      <c r="E67" s="933">
        <v>9.42</v>
      </c>
      <c r="F67" s="933">
        <f t="shared" ref="F67:F68" si="20">+ROUND((E67*D67),2)</f>
        <v>9.42</v>
      </c>
      <c r="G67" s="933">
        <f>SUM(E67*1.1)</f>
        <v>10.362</v>
      </c>
      <c r="H67" s="933">
        <f t="shared" ref="H67:H68" si="21">+ROUND((G67*D67),2)</f>
        <v>10.36</v>
      </c>
      <c r="I67" s="933">
        <f t="shared" ref="I67:I68" si="22">SUM(K67*1.1)</f>
        <v>62.161000000000001</v>
      </c>
      <c r="J67" s="933">
        <f t="shared" ref="J67:J68" si="23">+ROUND((I67*D67),2)</f>
        <v>62.16</v>
      </c>
      <c r="K67" s="933">
        <v>56.51</v>
      </c>
      <c r="L67" s="933">
        <f t="shared" ref="L67:L68" si="24">+ROUND((K67*D67),2)</f>
        <v>56.51</v>
      </c>
      <c r="M67" s="931"/>
      <c r="N67" s="934"/>
    </row>
    <row r="68" spans="1:14" s="998" customFormat="1" ht="25.5">
      <c r="A68" s="936"/>
      <c r="B68" s="949" t="s">
        <v>2825</v>
      </c>
      <c r="C68" s="948" t="s">
        <v>1483</v>
      </c>
      <c r="D68" s="931">
        <v>0.25</v>
      </c>
      <c r="E68" s="933">
        <v>0</v>
      </c>
      <c r="F68" s="933">
        <f t="shared" si="20"/>
        <v>0</v>
      </c>
      <c r="G68" s="933">
        <v>0</v>
      </c>
      <c r="H68" s="933">
        <f t="shared" si="21"/>
        <v>0</v>
      </c>
      <c r="I68" s="933">
        <f t="shared" si="22"/>
        <v>100.62800000000001</v>
      </c>
      <c r="J68" s="933">
        <f t="shared" si="23"/>
        <v>25.16</v>
      </c>
      <c r="K68" s="933">
        <v>91.48</v>
      </c>
      <c r="L68" s="933">
        <f t="shared" si="24"/>
        <v>22.87</v>
      </c>
      <c r="M68" s="931"/>
      <c r="N68" s="965"/>
    </row>
    <row r="69" spans="1:14" s="1010" customFormat="1">
      <c r="A69" s="1005"/>
      <c r="B69" s="950" t="s">
        <v>2815</v>
      </c>
      <c r="C69" s="1006"/>
      <c r="D69" s="1007"/>
      <c r="E69" s="1008"/>
      <c r="F69" s="1008">
        <v>0</v>
      </c>
      <c r="G69" s="1008"/>
      <c r="H69" s="1008">
        <v>0</v>
      </c>
      <c r="I69" s="1008"/>
      <c r="J69" s="1008">
        <f>J67</f>
        <v>62.16</v>
      </c>
      <c r="K69" s="1008"/>
      <c r="L69" s="1008">
        <f>L67</f>
        <v>56.51</v>
      </c>
      <c r="M69" s="1007"/>
      <c r="N69" s="1009"/>
    </row>
    <row r="70" spans="1:14" s="898" customFormat="1" ht="25.5">
      <c r="A70" s="957" t="s">
        <v>2853</v>
      </c>
      <c r="B70" s="958" t="s">
        <v>2824</v>
      </c>
      <c r="C70" s="1035"/>
      <c r="D70" s="1036"/>
      <c r="E70" s="1037"/>
      <c r="F70" s="1038">
        <f>SUM(F67:F68)</f>
        <v>9.42</v>
      </c>
      <c r="G70" s="1037"/>
      <c r="H70" s="1038">
        <f>SUM(H67:H68)</f>
        <v>10.36</v>
      </c>
      <c r="I70" s="1037"/>
      <c r="J70" s="1038">
        <v>25.16</v>
      </c>
      <c r="K70" s="1037"/>
      <c r="L70" s="1038">
        <v>22.87</v>
      </c>
      <c r="M70" s="1039"/>
      <c r="N70" s="1040"/>
    </row>
    <row r="71" spans="1:14" s="898" customFormat="1">
      <c r="E71" s="1020"/>
      <c r="F71" s="1020"/>
      <c r="G71" s="1019"/>
      <c r="H71" s="1019"/>
      <c r="I71" s="1019"/>
      <c r="J71" s="1019"/>
      <c r="K71" s="1019"/>
      <c r="L71" s="1019"/>
    </row>
    <row r="72" spans="1:14" s="898" customFormat="1">
      <c r="E72" s="1020"/>
      <c r="F72" s="1020"/>
      <c r="G72" s="1019"/>
      <c r="H72" s="1019"/>
      <c r="I72" s="1019"/>
      <c r="J72" s="1019"/>
      <c r="K72" s="1019"/>
      <c r="L72" s="1019"/>
    </row>
    <row r="73" spans="1:14" s="898" customFormat="1">
      <c r="E73" s="1020"/>
      <c r="F73" s="1020"/>
      <c r="G73" s="1019"/>
      <c r="H73" s="1019"/>
      <c r="I73" s="1019"/>
      <c r="J73" s="1019"/>
      <c r="K73" s="1019"/>
      <c r="L73" s="1019"/>
    </row>
    <row r="74" spans="1:14" s="898" customFormat="1">
      <c r="E74" s="1020"/>
      <c r="F74" s="1020"/>
      <c r="G74" s="1019"/>
      <c r="H74" s="1019"/>
      <c r="I74" s="1019"/>
      <c r="J74" s="1019"/>
      <c r="K74" s="1019"/>
      <c r="L74" s="1019"/>
    </row>
    <row r="75" spans="1:14" s="898" customFormat="1">
      <c r="E75" s="1020"/>
      <c r="F75" s="1020"/>
      <c r="G75" s="1019"/>
      <c r="H75" s="1019"/>
      <c r="I75" s="1019"/>
      <c r="J75" s="1019"/>
      <c r="K75" s="1019"/>
      <c r="L75" s="1019"/>
    </row>
    <row r="76" spans="1:14" s="898" customFormat="1">
      <c r="E76" s="1020"/>
      <c r="F76" s="1020"/>
      <c r="G76" s="1019"/>
      <c r="H76" s="1019"/>
      <c r="I76" s="1019"/>
      <c r="J76" s="1019"/>
      <c r="K76" s="1019"/>
      <c r="L76" s="1019"/>
    </row>
    <row r="77" spans="1:14" s="898" customFormat="1">
      <c r="E77" s="1020"/>
      <c r="F77" s="1020"/>
      <c r="G77" s="1019"/>
      <c r="H77" s="1019"/>
      <c r="I77" s="1019"/>
      <c r="J77" s="1019"/>
      <c r="K77" s="1019"/>
      <c r="L77" s="1019"/>
    </row>
    <row r="78" spans="1:14" s="898" customFormat="1">
      <c r="E78" s="1020"/>
      <c r="F78" s="1020"/>
      <c r="G78" s="1019"/>
      <c r="H78" s="1019"/>
      <c r="I78" s="1019"/>
      <c r="J78" s="1019"/>
      <c r="K78" s="1019"/>
      <c r="L78" s="1019"/>
    </row>
    <row r="79" spans="1:14" s="898" customFormat="1">
      <c r="E79" s="1020"/>
      <c r="F79" s="1020"/>
      <c r="G79" s="1019"/>
      <c r="H79" s="1019"/>
      <c r="I79" s="1019"/>
      <c r="J79" s="1019"/>
      <c r="K79" s="1019"/>
      <c r="L79" s="1019"/>
    </row>
    <row r="80" spans="1:14" s="898" customFormat="1">
      <c r="E80" s="1020"/>
      <c r="F80" s="1020"/>
      <c r="G80" s="1019"/>
      <c r="H80" s="1019"/>
      <c r="I80" s="1019"/>
      <c r="J80" s="1019"/>
      <c r="K80" s="1019"/>
      <c r="L80" s="1019"/>
    </row>
    <row r="81" spans="5:12" s="898" customFormat="1">
      <c r="E81" s="1020"/>
      <c r="F81" s="1020"/>
      <c r="G81" s="1050"/>
      <c r="H81" s="1050"/>
      <c r="I81" s="1019"/>
      <c r="J81" s="1019"/>
      <c r="K81" s="1019"/>
      <c r="L81" s="1019"/>
    </row>
    <row r="82" spans="5:12" s="898" customFormat="1">
      <c r="E82" s="1020"/>
      <c r="F82" s="1020"/>
      <c r="G82" s="1050"/>
      <c r="H82" s="1050"/>
      <c r="I82" s="1019"/>
      <c r="J82" s="1019"/>
      <c r="K82" s="1019"/>
      <c r="L82" s="1019"/>
    </row>
    <row r="83" spans="5:12" s="898" customFormat="1">
      <c r="E83" s="1020"/>
      <c r="F83" s="1020"/>
      <c r="G83" s="1050"/>
      <c r="H83" s="1050"/>
      <c r="I83" s="1019"/>
      <c r="J83" s="1019"/>
      <c r="K83" s="1019"/>
      <c r="L83" s="1019"/>
    </row>
    <row r="84" spans="5:12" s="898" customFormat="1">
      <c r="E84" s="1020"/>
      <c r="F84" s="1020"/>
      <c r="G84" s="1050"/>
      <c r="H84" s="1050"/>
      <c r="I84" s="1019"/>
      <c r="J84" s="1019"/>
      <c r="K84" s="1019"/>
      <c r="L84" s="1019"/>
    </row>
    <row r="85" spans="5:12" s="898" customFormat="1">
      <c r="E85" s="1020"/>
      <c r="F85" s="1020"/>
      <c r="G85" s="1050"/>
      <c r="H85" s="1050"/>
      <c r="I85" s="1019"/>
      <c r="J85" s="1019"/>
      <c r="K85" s="1019"/>
      <c r="L85" s="1019"/>
    </row>
    <row r="86" spans="5:12" s="898" customFormat="1">
      <c r="E86" s="1020"/>
      <c r="F86" s="1020"/>
      <c r="G86" s="1050"/>
      <c r="H86" s="1050"/>
      <c r="I86" s="1019"/>
      <c r="J86" s="1019"/>
      <c r="K86" s="1019"/>
      <c r="L86" s="1019"/>
    </row>
    <row r="87" spans="5:12" s="898" customFormat="1">
      <c r="E87" s="1020"/>
      <c r="F87" s="1020"/>
      <c r="G87" s="1050"/>
      <c r="H87" s="1050"/>
      <c r="I87" s="1019"/>
      <c r="J87" s="1019"/>
      <c r="K87" s="1019"/>
      <c r="L87" s="1019"/>
    </row>
    <row r="88" spans="5:12" s="898" customFormat="1">
      <c r="E88" s="1020"/>
      <c r="F88" s="1020"/>
      <c r="G88" s="1050"/>
      <c r="H88" s="1050"/>
      <c r="I88" s="1019"/>
      <c r="J88" s="1019"/>
      <c r="K88" s="1019"/>
      <c r="L88" s="1019"/>
    </row>
    <row r="89" spans="5:12" s="898" customFormat="1">
      <c r="E89" s="1020"/>
      <c r="F89" s="1020"/>
      <c r="G89" s="1050"/>
      <c r="H89" s="1050"/>
      <c r="I89" s="1019"/>
      <c r="J89" s="1019"/>
      <c r="K89" s="1019"/>
      <c r="L89" s="1019"/>
    </row>
    <row r="90" spans="5:12" s="898" customFormat="1">
      <c r="E90" s="1020"/>
      <c r="F90" s="1020"/>
      <c r="G90" s="1050"/>
      <c r="H90" s="1050"/>
      <c r="I90" s="1019"/>
      <c r="J90" s="1019"/>
      <c r="K90" s="1019"/>
      <c r="L90" s="1019"/>
    </row>
    <row r="91" spans="5:12" s="898" customFormat="1">
      <c r="E91" s="1020"/>
      <c r="F91" s="1020"/>
      <c r="G91" s="1050"/>
      <c r="H91" s="1050"/>
      <c r="I91" s="1019"/>
      <c r="J91" s="1019"/>
      <c r="K91" s="1019"/>
      <c r="L91" s="1019"/>
    </row>
    <row r="92" spans="5:12" s="898" customFormat="1">
      <c r="E92" s="1020"/>
      <c r="F92" s="1020"/>
      <c r="G92" s="1050"/>
      <c r="H92" s="1050"/>
      <c r="I92" s="1019"/>
      <c r="J92" s="1019"/>
      <c r="K92" s="1019"/>
      <c r="L92" s="1019"/>
    </row>
    <row r="93" spans="5:12" s="898" customFormat="1">
      <c r="E93" s="1020"/>
      <c r="F93" s="1020"/>
      <c r="G93" s="1050"/>
      <c r="H93" s="1050"/>
      <c r="I93" s="1019"/>
      <c r="J93" s="1019"/>
      <c r="K93" s="1019"/>
      <c r="L93" s="1019"/>
    </row>
    <row r="94" spans="5:12" s="898" customFormat="1">
      <c r="E94" s="1020"/>
      <c r="F94" s="1020"/>
      <c r="G94" s="1050"/>
      <c r="H94" s="1050"/>
      <c r="I94" s="1019"/>
      <c r="J94" s="1019"/>
      <c r="K94" s="1019"/>
      <c r="L94" s="1019"/>
    </row>
    <row r="95" spans="5:12" s="898" customFormat="1">
      <c r="E95" s="1020"/>
      <c r="F95" s="1020"/>
      <c r="G95" s="1050"/>
      <c r="H95" s="1050"/>
      <c r="I95" s="1019"/>
      <c r="J95" s="1019"/>
      <c r="K95" s="1019"/>
      <c r="L95" s="1019"/>
    </row>
    <row r="96" spans="5:12" s="898" customFormat="1">
      <c r="E96" s="1020"/>
      <c r="F96" s="1020"/>
      <c r="G96" s="1050"/>
      <c r="H96" s="1050"/>
      <c r="I96" s="1019"/>
      <c r="J96" s="1019"/>
      <c r="K96" s="1019"/>
      <c r="L96" s="1019"/>
    </row>
    <row r="97" spans="5:12" s="898" customFormat="1">
      <c r="E97" s="1020"/>
      <c r="F97" s="1020"/>
      <c r="G97" s="1050"/>
      <c r="H97" s="1050"/>
      <c r="I97" s="1019"/>
      <c r="J97" s="1019"/>
      <c r="K97" s="1019"/>
      <c r="L97" s="1019"/>
    </row>
    <row r="98" spans="5:12" s="898" customFormat="1">
      <c r="E98" s="1020"/>
      <c r="F98" s="1020"/>
      <c r="G98" s="1050"/>
      <c r="H98" s="1050"/>
      <c r="I98" s="1019"/>
      <c r="J98" s="1019"/>
      <c r="K98" s="1019"/>
      <c r="L98" s="1019"/>
    </row>
    <row r="99" spans="5:12" s="898" customFormat="1">
      <c r="E99" s="1020"/>
      <c r="F99" s="1020"/>
      <c r="G99" s="1050"/>
      <c r="H99" s="1050"/>
      <c r="I99" s="1019"/>
      <c r="J99" s="1019"/>
      <c r="K99" s="1019"/>
      <c r="L99" s="1019"/>
    </row>
    <row r="100" spans="5:12" s="898" customFormat="1">
      <c r="E100" s="1020"/>
      <c r="F100" s="1020"/>
      <c r="G100" s="1050"/>
      <c r="H100" s="1050"/>
      <c r="I100" s="1019"/>
      <c r="J100" s="1019"/>
      <c r="K100" s="1019"/>
      <c r="L100" s="1019"/>
    </row>
    <row r="101" spans="5:12" s="898" customFormat="1">
      <c r="E101" s="1020"/>
      <c r="F101" s="1020"/>
      <c r="G101" s="1050"/>
      <c r="H101" s="1050"/>
      <c r="I101" s="1019"/>
      <c r="J101" s="1019"/>
      <c r="K101" s="1019"/>
      <c r="L101" s="1019"/>
    </row>
    <row r="102" spans="5:12" s="898" customFormat="1">
      <c r="E102" s="1020"/>
      <c r="F102" s="1020"/>
      <c r="G102" s="1050"/>
      <c r="H102" s="1050"/>
      <c r="I102" s="1019"/>
      <c r="J102" s="1019"/>
      <c r="K102" s="1019"/>
      <c r="L102" s="1019"/>
    </row>
    <row r="103" spans="5:12" s="898" customFormat="1">
      <c r="E103" s="1020"/>
      <c r="F103" s="1020"/>
      <c r="G103" s="1050"/>
      <c r="H103" s="1050"/>
      <c r="I103" s="1019"/>
      <c r="J103" s="1019"/>
      <c r="K103" s="1019"/>
      <c r="L103" s="1019"/>
    </row>
    <row r="104" spans="5:12" s="898" customFormat="1">
      <c r="E104" s="1020"/>
      <c r="F104" s="1020"/>
      <c r="G104" s="1050"/>
      <c r="H104" s="1050"/>
      <c r="I104" s="1019"/>
      <c r="J104" s="1019"/>
      <c r="K104" s="1019"/>
      <c r="L104" s="1019"/>
    </row>
    <row r="105" spans="5:12" s="898" customFormat="1">
      <c r="E105" s="1020"/>
      <c r="F105" s="1020"/>
      <c r="G105" s="1050"/>
      <c r="H105" s="1050"/>
      <c r="I105" s="1019"/>
      <c r="J105" s="1019"/>
      <c r="K105" s="1019"/>
      <c r="L105" s="1019"/>
    </row>
    <row r="106" spans="5:12" s="898" customFormat="1">
      <c r="E106" s="1020"/>
      <c r="F106" s="1020"/>
      <c r="G106" s="1050"/>
      <c r="H106" s="1050"/>
      <c r="I106" s="1019"/>
      <c r="J106" s="1019"/>
      <c r="K106" s="1019"/>
      <c r="L106" s="1019"/>
    </row>
    <row r="107" spans="5:12" s="898" customFormat="1">
      <c r="E107" s="1020"/>
      <c r="F107" s="1020"/>
      <c r="G107" s="1050"/>
      <c r="H107" s="1050"/>
      <c r="I107" s="1019"/>
      <c r="J107" s="1019"/>
      <c r="K107" s="1019"/>
      <c r="L107" s="1019"/>
    </row>
    <row r="108" spans="5:12" s="898" customFormat="1">
      <c r="E108" s="1020"/>
      <c r="F108" s="1020"/>
      <c r="G108" s="1050"/>
      <c r="H108" s="1050"/>
      <c r="I108" s="1019"/>
      <c r="J108" s="1019"/>
      <c r="K108" s="1019"/>
      <c r="L108" s="1019"/>
    </row>
    <row r="109" spans="5:12" s="898" customFormat="1">
      <c r="E109" s="1020"/>
      <c r="F109" s="1020"/>
      <c r="G109" s="1050"/>
      <c r="H109" s="1050"/>
      <c r="I109" s="1019"/>
      <c r="J109" s="1019"/>
      <c r="K109" s="1019"/>
      <c r="L109" s="1019"/>
    </row>
    <row r="110" spans="5:12" s="898" customFormat="1">
      <c r="E110" s="1020"/>
      <c r="F110" s="1020"/>
      <c r="G110" s="1050"/>
      <c r="H110" s="1050"/>
      <c r="I110" s="1019"/>
      <c r="J110" s="1019"/>
      <c r="K110" s="1019"/>
      <c r="L110" s="1019"/>
    </row>
    <row r="111" spans="5:12" s="898" customFormat="1">
      <c r="E111" s="1020"/>
      <c r="F111" s="1020"/>
      <c r="G111" s="1050"/>
      <c r="H111" s="1050"/>
      <c r="I111" s="1019"/>
      <c r="J111" s="1019"/>
      <c r="K111" s="1019"/>
      <c r="L111" s="1019"/>
    </row>
    <row r="112" spans="5:12" s="898" customFormat="1">
      <c r="E112" s="1020"/>
      <c r="F112" s="1020"/>
      <c r="G112" s="1050"/>
      <c r="H112" s="1050"/>
      <c r="I112" s="1019"/>
      <c r="J112" s="1019"/>
      <c r="K112" s="1019"/>
      <c r="L112" s="1019"/>
    </row>
    <row r="113" spans="5:12" s="898" customFormat="1">
      <c r="E113" s="1020"/>
      <c r="F113" s="1020"/>
      <c r="G113" s="1050"/>
      <c r="H113" s="1050"/>
      <c r="I113" s="1019"/>
      <c r="J113" s="1019"/>
      <c r="K113" s="1019"/>
      <c r="L113" s="1019"/>
    </row>
    <row r="114" spans="5:12" s="898" customFormat="1">
      <c r="E114" s="1020"/>
      <c r="F114" s="1020"/>
      <c r="G114" s="1050"/>
      <c r="H114" s="1050"/>
      <c r="I114" s="1019"/>
      <c r="J114" s="1019"/>
      <c r="K114" s="1019"/>
      <c r="L114" s="1019"/>
    </row>
    <row r="115" spans="5:12" s="898" customFormat="1">
      <c r="E115" s="1020"/>
      <c r="F115" s="1020"/>
      <c r="G115" s="1050"/>
      <c r="H115" s="1050"/>
      <c r="I115" s="1019"/>
      <c r="J115" s="1019"/>
      <c r="K115" s="1019"/>
      <c r="L115" s="1019"/>
    </row>
    <row r="116" spans="5:12" s="898" customFormat="1">
      <c r="E116" s="1020"/>
      <c r="F116" s="1020"/>
      <c r="G116" s="1050"/>
      <c r="H116" s="1050"/>
      <c r="I116" s="1019"/>
      <c r="J116" s="1019"/>
      <c r="K116" s="1019"/>
      <c r="L116" s="1019"/>
    </row>
    <row r="117" spans="5:12" s="898" customFormat="1">
      <c r="E117" s="1020"/>
      <c r="F117" s="1020"/>
      <c r="G117" s="1050"/>
      <c r="H117" s="1050"/>
      <c r="I117" s="1019"/>
      <c r="J117" s="1019"/>
      <c r="K117" s="1019"/>
      <c r="L117" s="1019"/>
    </row>
    <row r="118" spans="5:12" s="898" customFormat="1">
      <c r="E118" s="1020"/>
      <c r="F118" s="1020"/>
      <c r="G118" s="1050"/>
      <c r="H118" s="1050"/>
      <c r="I118" s="1019"/>
      <c r="J118" s="1019"/>
      <c r="K118" s="1019"/>
      <c r="L118" s="1019"/>
    </row>
    <row r="119" spans="5:12" s="898" customFormat="1">
      <c r="E119" s="1020"/>
      <c r="F119" s="1020"/>
      <c r="G119" s="1050"/>
      <c r="H119" s="1050"/>
      <c r="I119" s="1019"/>
      <c r="J119" s="1019"/>
      <c r="K119" s="1019"/>
      <c r="L119" s="1019"/>
    </row>
    <row r="120" spans="5:12" s="898" customFormat="1">
      <c r="E120" s="1020"/>
      <c r="F120" s="1020"/>
      <c r="G120" s="1050"/>
      <c r="H120" s="1050"/>
      <c r="I120" s="1019"/>
      <c r="J120" s="1019"/>
      <c r="K120" s="1019"/>
      <c r="L120" s="1019"/>
    </row>
    <row r="121" spans="5:12" s="898" customFormat="1">
      <c r="E121" s="1020"/>
      <c r="F121" s="1020"/>
      <c r="G121" s="1050"/>
      <c r="H121" s="1050"/>
      <c r="I121" s="1019"/>
      <c r="J121" s="1019"/>
      <c r="K121" s="1019"/>
      <c r="L121" s="1019"/>
    </row>
    <row r="122" spans="5:12" s="898" customFormat="1">
      <c r="E122" s="1020"/>
      <c r="F122" s="1020"/>
      <c r="G122" s="1050"/>
      <c r="H122" s="1050"/>
      <c r="I122" s="1019"/>
      <c r="J122" s="1019"/>
      <c r="K122" s="1019"/>
      <c r="L122" s="1019"/>
    </row>
    <row r="123" spans="5:12" s="898" customFormat="1">
      <c r="E123" s="1020"/>
      <c r="F123" s="1020"/>
      <c r="G123" s="1050"/>
      <c r="H123" s="1050"/>
      <c r="I123" s="1019"/>
      <c r="J123" s="1019"/>
      <c r="K123" s="1019"/>
      <c r="L123" s="1019"/>
    </row>
    <row r="124" spans="5:12" s="898" customFormat="1">
      <c r="E124" s="1020"/>
      <c r="F124" s="1020"/>
      <c r="G124" s="1050"/>
      <c r="H124" s="1050"/>
      <c r="I124" s="1019"/>
      <c r="J124" s="1019"/>
      <c r="K124" s="1019"/>
      <c r="L124" s="1019"/>
    </row>
    <row r="125" spans="5:12" s="898" customFormat="1">
      <c r="E125" s="1020"/>
      <c r="F125" s="1020"/>
      <c r="G125" s="1050"/>
      <c r="H125" s="1050"/>
      <c r="I125" s="1019"/>
      <c r="J125" s="1019"/>
      <c r="K125" s="1019"/>
      <c r="L125" s="1019"/>
    </row>
    <row r="126" spans="5:12" s="898" customFormat="1">
      <c r="E126" s="1020"/>
      <c r="F126" s="1020"/>
      <c r="G126" s="1050"/>
      <c r="H126" s="1050"/>
      <c r="I126" s="1019"/>
      <c r="J126" s="1019"/>
      <c r="K126" s="1019"/>
      <c r="L126" s="1019"/>
    </row>
    <row r="127" spans="5:12" s="898" customFormat="1">
      <c r="E127" s="1020"/>
      <c r="F127" s="1020"/>
      <c r="G127" s="1050"/>
      <c r="H127" s="1050"/>
      <c r="I127" s="1019"/>
      <c r="J127" s="1019"/>
      <c r="K127" s="1019"/>
      <c r="L127" s="1019"/>
    </row>
    <row r="128" spans="5:12" s="898" customFormat="1">
      <c r="E128" s="1020"/>
      <c r="F128" s="1020"/>
      <c r="G128" s="1050"/>
      <c r="H128" s="1050"/>
      <c r="I128" s="1019"/>
      <c r="J128" s="1019"/>
      <c r="K128" s="1019"/>
      <c r="L128" s="1019"/>
    </row>
    <row r="129" spans="5:12" s="898" customFormat="1">
      <c r="E129" s="1020"/>
      <c r="F129" s="1020"/>
      <c r="G129" s="1050"/>
      <c r="H129" s="1050"/>
      <c r="I129" s="1019"/>
      <c r="J129" s="1019"/>
      <c r="K129" s="1019"/>
      <c r="L129" s="1019"/>
    </row>
    <row r="130" spans="5:12" s="898" customFormat="1">
      <c r="E130" s="1020"/>
      <c r="F130" s="1020"/>
      <c r="G130" s="1050"/>
      <c r="H130" s="1050"/>
      <c r="I130" s="1019"/>
      <c r="J130" s="1019"/>
      <c r="K130" s="1019"/>
      <c r="L130" s="1019"/>
    </row>
    <row r="131" spans="5:12" s="898" customFormat="1">
      <c r="E131" s="1020"/>
      <c r="F131" s="1020"/>
      <c r="G131" s="1050"/>
      <c r="H131" s="1050"/>
      <c r="I131" s="1019"/>
      <c r="J131" s="1019"/>
      <c r="K131" s="1019"/>
      <c r="L131" s="1019"/>
    </row>
    <row r="132" spans="5:12" s="898" customFormat="1">
      <c r="E132" s="1020"/>
      <c r="F132" s="1020"/>
      <c r="G132" s="1050"/>
      <c r="H132" s="1050"/>
      <c r="I132" s="1019"/>
      <c r="J132" s="1019"/>
      <c r="K132" s="1019"/>
      <c r="L132" s="1019"/>
    </row>
    <row r="133" spans="5:12" s="898" customFormat="1">
      <c r="E133" s="1020"/>
      <c r="F133" s="1020"/>
      <c r="G133" s="1050"/>
      <c r="H133" s="1050"/>
      <c r="I133" s="1019"/>
      <c r="J133" s="1019"/>
      <c r="K133" s="1019"/>
      <c r="L133" s="1019"/>
    </row>
    <row r="134" spans="5:12" s="898" customFormat="1">
      <c r="E134" s="1020"/>
      <c r="F134" s="1020"/>
      <c r="G134" s="1050"/>
      <c r="H134" s="1050"/>
      <c r="I134" s="1019"/>
      <c r="J134" s="1019"/>
      <c r="K134" s="1019"/>
      <c r="L134" s="1019"/>
    </row>
    <row r="135" spans="5:12" s="898" customFormat="1">
      <c r="E135" s="1020"/>
      <c r="F135" s="1020"/>
      <c r="G135" s="1050"/>
      <c r="H135" s="1050"/>
      <c r="I135" s="1019"/>
      <c r="J135" s="1019"/>
      <c r="K135" s="1019"/>
      <c r="L135" s="1019"/>
    </row>
    <row r="136" spans="5:12" s="898" customFormat="1">
      <c r="E136" s="1020"/>
      <c r="F136" s="1020"/>
      <c r="G136" s="1050"/>
      <c r="H136" s="1050"/>
      <c r="I136" s="1019"/>
      <c r="J136" s="1019"/>
      <c r="K136" s="1019"/>
      <c r="L136" s="1019"/>
    </row>
    <row r="137" spans="5:12" s="898" customFormat="1">
      <c r="E137" s="1020"/>
      <c r="F137" s="1020"/>
      <c r="G137" s="1050"/>
      <c r="H137" s="1050"/>
      <c r="I137" s="1019"/>
      <c r="J137" s="1019"/>
      <c r="K137" s="1019"/>
      <c r="L137" s="1019"/>
    </row>
    <row r="138" spans="5:12" s="898" customFormat="1">
      <c r="E138" s="1020"/>
      <c r="F138" s="1020"/>
      <c r="G138" s="1050"/>
      <c r="H138" s="1050"/>
      <c r="I138" s="1019"/>
      <c r="J138" s="1019"/>
      <c r="K138" s="1019"/>
      <c r="L138" s="1019"/>
    </row>
    <row r="139" spans="5:12" s="898" customFormat="1">
      <c r="E139" s="1020"/>
      <c r="F139" s="1020"/>
      <c r="G139" s="1050"/>
      <c r="H139" s="1050"/>
      <c r="I139" s="1019"/>
      <c r="J139" s="1019"/>
      <c r="K139" s="1019"/>
      <c r="L139" s="1019"/>
    </row>
    <row r="140" spans="5:12" s="898" customFormat="1">
      <c r="E140" s="1020"/>
      <c r="F140" s="1020"/>
      <c r="G140" s="1050"/>
      <c r="H140" s="1050"/>
      <c r="I140" s="1019"/>
      <c r="J140" s="1019"/>
      <c r="K140" s="1019"/>
      <c r="L140" s="1019"/>
    </row>
    <row r="141" spans="5:12" s="898" customFormat="1">
      <c r="E141" s="1020"/>
      <c r="F141" s="1020"/>
      <c r="G141" s="1050"/>
      <c r="H141" s="1050"/>
      <c r="I141" s="1019"/>
      <c r="J141" s="1019"/>
      <c r="K141" s="1019"/>
      <c r="L141" s="1019"/>
    </row>
    <row r="142" spans="5:12" s="898" customFormat="1">
      <c r="E142" s="1020"/>
      <c r="F142" s="1020"/>
      <c r="G142" s="1050"/>
      <c r="H142" s="1050"/>
      <c r="I142" s="1019"/>
      <c r="J142" s="1019"/>
      <c r="K142" s="1019"/>
      <c r="L142" s="1019"/>
    </row>
    <row r="143" spans="5:12" s="898" customFormat="1">
      <c r="E143" s="1020"/>
      <c r="F143" s="1020"/>
      <c r="G143" s="1050"/>
      <c r="H143" s="1050"/>
      <c r="I143" s="1019"/>
      <c r="J143" s="1019"/>
      <c r="K143" s="1019"/>
      <c r="L143" s="1019"/>
    </row>
    <row r="144" spans="5:12" s="898" customFormat="1">
      <c r="E144" s="1020"/>
      <c r="F144" s="1020"/>
      <c r="G144" s="1050"/>
      <c r="H144" s="1050"/>
      <c r="I144" s="1019"/>
      <c r="J144" s="1019"/>
      <c r="K144" s="1019"/>
      <c r="L144" s="1019"/>
    </row>
    <row r="145" spans="5:12" s="898" customFormat="1">
      <c r="E145" s="1020"/>
      <c r="F145" s="1020"/>
      <c r="G145" s="1050"/>
      <c r="H145" s="1050"/>
      <c r="I145" s="1019"/>
      <c r="J145" s="1019"/>
      <c r="K145" s="1019"/>
      <c r="L145" s="1019"/>
    </row>
    <row r="146" spans="5:12" s="898" customFormat="1">
      <c r="E146" s="1020"/>
      <c r="F146" s="1020"/>
      <c r="G146" s="1050"/>
      <c r="H146" s="1050"/>
      <c r="I146" s="1019"/>
      <c r="J146" s="1019"/>
      <c r="K146" s="1019"/>
      <c r="L146" s="1019"/>
    </row>
    <row r="147" spans="5:12" s="898" customFormat="1">
      <c r="E147" s="1020"/>
      <c r="F147" s="1020"/>
      <c r="G147" s="1050"/>
      <c r="H147" s="1050"/>
      <c r="I147" s="1019"/>
      <c r="J147" s="1019"/>
      <c r="K147" s="1019"/>
      <c r="L147" s="1019"/>
    </row>
    <row r="148" spans="5:12" s="898" customFormat="1">
      <c r="E148" s="1020"/>
      <c r="F148" s="1020"/>
      <c r="G148" s="1050"/>
      <c r="H148" s="1050"/>
      <c r="I148" s="1019"/>
      <c r="J148" s="1019"/>
      <c r="K148" s="1019"/>
      <c r="L148" s="1019"/>
    </row>
    <row r="149" spans="5:12" s="898" customFormat="1">
      <c r="E149" s="1020"/>
      <c r="F149" s="1020"/>
      <c r="G149" s="1050"/>
      <c r="H149" s="1050"/>
      <c r="I149" s="1019"/>
      <c r="J149" s="1019"/>
      <c r="K149" s="1019"/>
      <c r="L149" s="1019"/>
    </row>
    <row r="150" spans="5:12" s="898" customFormat="1">
      <c r="E150" s="1020"/>
      <c r="F150" s="1020"/>
      <c r="G150" s="1050"/>
      <c r="H150" s="1050"/>
      <c r="I150" s="1019"/>
      <c r="J150" s="1019"/>
      <c r="K150" s="1019"/>
      <c r="L150" s="1019"/>
    </row>
    <row r="151" spans="5:12" s="898" customFormat="1">
      <c r="E151" s="1020"/>
      <c r="F151" s="1020"/>
      <c r="G151" s="1050"/>
      <c r="H151" s="1050"/>
      <c r="I151" s="1019"/>
      <c r="J151" s="1019"/>
      <c r="K151" s="1019"/>
      <c r="L151" s="1019"/>
    </row>
    <row r="152" spans="5:12" s="898" customFormat="1">
      <c r="E152" s="1020"/>
      <c r="F152" s="1020"/>
      <c r="G152" s="1050"/>
      <c r="H152" s="1050"/>
      <c r="I152" s="1019"/>
      <c r="J152" s="1019"/>
      <c r="K152" s="1019"/>
      <c r="L152" s="1019"/>
    </row>
    <row r="153" spans="5:12" s="898" customFormat="1">
      <c r="E153" s="1020"/>
      <c r="F153" s="1020"/>
      <c r="G153" s="1050"/>
      <c r="H153" s="1050"/>
      <c r="I153" s="1019"/>
      <c r="J153" s="1019"/>
      <c r="K153" s="1019"/>
      <c r="L153" s="1019"/>
    </row>
    <row r="154" spans="5:12" s="898" customFormat="1">
      <c r="E154" s="1020"/>
      <c r="F154" s="1020"/>
      <c r="G154" s="1050"/>
      <c r="H154" s="1050"/>
      <c r="I154" s="1019"/>
      <c r="J154" s="1019"/>
      <c r="K154" s="1019"/>
      <c r="L154" s="1019"/>
    </row>
    <row r="155" spans="5:12" s="898" customFormat="1">
      <c r="E155" s="1020"/>
      <c r="F155" s="1020"/>
      <c r="G155" s="1050"/>
      <c r="H155" s="1050"/>
      <c r="I155" s="1019"/>
      <c r="J155" s="1019"/>
      <c r="K155" s="1019"/>
      <c r="L155" s="1019"/>
    </row>
    <row r="156" spans="5:12" s="898" customFormat="1">
      <c r="E156" s="1020"/>
      <c r="F156" s="1020"/>
      <c r="G156" s="1050"/>
      <c r="H156" s="1050"/>
      <c r="I156" s="1019"/>
      <c r="J156" s="1019"/>
      <c r="K156" s="1019"/>
      <c r="L156" s="1019"/>
    </row>
    <row r="157" spans="5:12" s="898" customFormat="1">
      <c r="E157" s="1020"/>
      <c r="F157" s="1020"/>
      <c r="G157" s="1050"/>
      <c r="H157" s="1050"/>
      <c r="I157" s="1019"/>
      <c r="J157" s="1019"/>
      <c r="K157" s="1019"/>
      <c r="L157" s="1019"/>
    </row>
    <row r="158" spans="5:12" s="898" customFormat="1">
      <c r="E158" s="1020"/>
      <c r="F158" s="1020"/>
      <c r="G158" s="1050"/>
      <c r="H158" s="1050"/>
      <c r="I158" s="1019"/>
      <c r="J158" s="1019"/>
      <c r="K158" s="1019"/>
      <c r="L158" s="1019"/>
    </row>
    <row r="159" spans="5:12" s="898" customFormat="1">
      <c r="E159" s="1020"/>
      <c r="F159" s="1020"/>
      <c r="G159" s="1050"/>
      <c r="H159" s="1050"/>
      <c r="I159" s="1019"/>
      <c r="J159" s="1019"/>
      <c r="K159" s="1019"/>
      <c r="L159" s="1019"/>
    </row>
    <row r="160" spans="5:12" s="898" customFormat="1">
      <c r="E160" s="1020"/>
      <c r="F160" s="1020"/>
      <c r="G160" s="1050"/>
      <c r="H160" s="1050"/>
      <c r="I160" s="1019"/>
      <c r="J160" s="1019"/>
      <c r="K160" s="1019"/>
      <c r="L160" s="1019"/>
    </row>
    <row r="161" spans="5:12" s="898" customFormat="1">
      <c r="E161" s="1020"/>
      <c r="F161" s="1020"/>
      <c r="G161" s="1050"/>
      <c r="H161" s="1050"/>
      <c r="I161" s="1019"/>
      <c r="J161" s="1019"/>
      <c r="K161" s="1019"/>
      <c r="L161" s="1019"/>
    </row>
    <row r="162" spans="5:12" s="898" customFormat="1">
      <c r="E162" s="1020"/>
      <c r="F162" s="1020"/>
      <c r="G162" s="1050"/>
      <c r="H162" s="1050"/>
      <c r="I162" s="1019"/>
      <c r="J162" s="1019"/>
      <c r="K162" s="1019"/>
      <c r="L162" s="1019"/>
    </row>
    <row r="163" spans="5:12" s="898" customFormat="1">
      <c r="E163" s="1020"/>
      <c r="F163" s="1020"/>
      <c r="G163" s="1050"/>
      <c r="H163" s="1050"/>
      <c r="I163" s="1019"/>
      <c r="J163" s="1019"/>
      <c r="K163" s="1019"/>
      <c r="L163" s="1019"/>
    </row>
    <row r="164" spans="5:12" s="898" customFormat="1">
      <c r="E164" s="1020"/>
      <c r="F164" s="1020"/>
      <c r="G164" s="1050"/>
      <c r="H164" s="1050"/>
      <c r="I164" s="1019"/>
      <c r="J164" s="1019"/>
      <c r="K164" s="1019"/>
      <c r="L164" s="1019"/>
    </row>
    <row r="165" spans="5:12" s="898" customFormat="1">
      <c r="E165" s="1020"/>
      <c r="F165" s="1020"/>
      <c r="G165" s="1050"/>
      <c r="H165" s="1050"/>
      <c r="I165" s="1019"/>
      <c r="J165" s="1019"/>
      <c r="K165" s="1019"/>
      <c r="L165" s="1019"/>
    </row>
    <row r="166" spans="5:12" s="898" customFormat="1">
      <c r="E166" s="1020"/>
      <c r="F166" s="1020"/>
      <c r="G166" s="1050"/>
      <c r="H166" s="1050"/>
      <c r="I166" s="1019"/>
      <c r="J166" s="1019"/>
      <c r="K166" s="1019"/>
      <c r="L166" s="1019"/>
    </row>
    <row r="167" spans="5:12" s="898" customFormat="1">
      <c r="E167" s="1020"/>
      <c r="F167" s="1020"/>
      <c r="G167" s="1050"/>
      <c r="H167" s="1050"/>
      <c r="I167" s="1019"/>
      <c r="J167" s="1019"/>
      <c r="K167" s="1019"/>
      <c r="L167" s="1019"/>
    </row>
    <row r="168" spans="5:12" s="898" customFormat="1">
      <c r="E168" s="1020"/>
      <c r="F168" s="1020"/>
      <c r="G168" s="1050"/>
      <c r="H168" s="1050"/>
      <c r="I168" s="1019"/>
      <c r="J168" s="1019"/>
      <c r="K168" s="1019"/>
      <c r="L168" s="1019"/>
    </row>
    <row r="169" spans="5:12" s="898" customFormat="1">
      <c r="E169" s="1020"/>
      <c r="F169" s="1020"/>
      <c r="G169" s="1050"/>
      <c r="H169" s="1050"/>
      <c r="I169" s="1019"/>
      <c r="J169" s="1019"/>
      <c r="K169" s="1019"/>
      <c r="L169" s="1019"/>
    </row>
    <row r="170" spans="5:12" s="898" customFormat="1">
      <c r="E170" s="1020"/>
      <c r="F170" s="1020"/>
      <c r="G170" s="1050"/>
      <c r="H170" s="1050"/>
      <c r="I170" s="1019"/>
      <c r="J170" s="1019"/>
      <c r="K170" s="1019"/>
      <c r="L170" s="1019"/>
    </row>
    <row r="171" spans="5:12" s="898" customFormat="1">
      <c r="E171" s="1020"/>
      <c r="F171" s="1020"/>
      <c r="G171" s="1050"/>
      <c r="H171" s="1050"/>
      <c r="I171" s="1019"/>
      <c r="J171" s="1019"/>
      <c r="K171" s="1019"/>
      <c r="L171" s="1019"/>
    </row>
    <row r="172" spans="5:12" s="898" customFormat="1">
      <c r="E172" s="1020"/>
      <c r="F172" s="1020"/>
      <c r="G172" s="1050"/>
      <c r="H172" s="1050"/>
      <c r="I172" s="1019"/>
      <c r="J172" s="1019"/>
      <c r="K172" s="1019"/>
      <c r="L172" s="1019"/>
    </row>
    <row r="173" spans="5:12" s="898" customFormat="1">
      <c r="E173" s="1020"/>
      <c r="F173" s="1020"/>
      <c r="G173" s="1050"/>
      <c r="H173" s="1050"/>
      <c r="I173" s="1019"/>
      <c r="J173" s="1019"/>
      <c r="K173" s="1019"/>
      <c r="L173" s="1019"/>
    </row>
    <row r="174" spans="5:12" s="898" customFormat="1">
      <c r="E174" s="1020"/>
      <c r="F174" s="1020"/>
      <c r="G174" s="1050"/>
      <c r="H174" s="1050"/>
      <c r="I174" s="1019"/>
      <c r="J174" s="1019"/>
      <c r="K174" s="1019"/>
      <c r="L174" s="1019"/>
    </row>
    <row r="175" spans="5:12" s="898" customFormat="1">
      <c r="E175" s="1020"/>
      <c r="F175" s="1020"/>
      <c r="G175" s="1050"/>
      <c r="H175" s="1050"/>
      <c r="I175" s="1019"/>
      <c r="J175" s="1019"/>
      <c r="K175" s="1019"/>
      <c r="L175" s="1019"/>
    </row>
    <row r="176" spans="5:12" s="898" customFormat="1">
      <c r="E176" s="1020"/>
      <c r="F176" s="1020"/>
      <c r="G176" s="1050"/>
      <c r="H176" s="1050"/>
      <c r="I176" s="1019"/>
      <c r="J176" s="1019"/>
      <c r="K176" s="1019"/>
      <c r="L176" s="1019"/>
    </row>
    <row r="177" spans="5:12" s="898" customFormat="1">
      <c r="E177" s="1020"/>
      <c r="F177" s="1020"/>
      <c r="G177" s="1050"/>
      <c r="H177" s="1050"/>
      <c r="I177" s="1019"/>
      <c r="J177" s="1019"/>
      <c r="K177" s="1019"/>
      <c r="L177" s="1019"/>
    </row>
    <row r="178" spans="5:12" s="898" customFormat="1">
      <c r="E178" s="1020"/>
      <c r="F178" s="1020"/>
      <c r="G178" s="1050"/>
      <c r="H178" s="1050"/>
      <c r="I178" s="1019"/>
      <c r="J178" s="1019"/>
      <c r="K178" s="1019"/>
      <c r="L178" s="1019"/>
    </row>
    <row r="179" spans="5:12" s="898" customFormat="1">
      <c r="E179" s="1020"/>
      <c r="F179" s="1020"/>
      <c r="G179" s="1050"/>
      <c r="H179" s="1050"/>
      <c r="I179" s="1019"/>
      <c r="J179" s="1019"/>
      <c r="K179" s="1019"/>
      <c r="L179" s="1019"/>
    </row>
    <row r="180" spans="5:12" s="898" customFormat="1">
      <c r="E180" s="1020"/>
      <c r="F180" s="1020"/>
      <c r="G180" s="1050"/>
      <c r="H180" s="1050"/>
      <c r="I180" s="1019"/>
      <c r="J180" s="1019"/>
      <c r="K180" s="1019"/>
      <c r="L180" s="1019"/>
    </row>
    <row r="181" spans="5:12" s="898" customFormat="1">
      <c r="E181" s="1020"/>
      <c r="F181" s="1020"/>
      <c r="G181" s="1050"/>
      <c r="H181" s="1050"/>
      <c r="I181" s="1019"/>
      <c r="J181" s="1019"/>
      <c r="K181" s="1019"/>
      <c r="L181" s="1019"/>
    </row>
    <row r="182" spans="5:12" s="898" customFormat="1">
      <c r="E182" s="1020"/>
      <c r="F182" s="1020"/>
      <c r="G182" s="1050"/>
      <c r="H182" s="1050"/>
      <c r="I182" s="1019"/>
      <c r="J182" s="1019"/>
      <c r="K182" s="1019"/>
      <c r="L182" s="1019"/>
    </row>
    <row r="183" spans="5:12" s="898" customFormat="1">
      <c r="E183" s="1020"/>
      <c r="F183" s="1020"/>
      <c r="G183" s="1050"/>
      <c r="H183" s="1050"/>
      <c r="I183" s="1019"/>
      <c r="J183" s="1019"/>
      <c r="K183" s="1019"/>
      <c r="L183" s="1019"/>
    </row>
    <row r="184" spans="5:12" s="898" customFormat="1">
      <c r="E184" s="1020"/>
      <c r="F184" s="1020"/>
      <c r="G184" s="1050"/>
      <c r="H184" s="1050"/>
      <c r="I184" s="1019"/>
      <c r="J184" s="1019"/>
      <c r="K184" s="1019"/>
      <c r="L184" s="1019"/>
    </row>
    <row r="185" spans="5:12" s="898" customFormat="1">
      <c r="E185" s="1020"/>
      <c r="F185" s="1020"/>
      <c r="G185" s="1050"/>
      <c r="H185" s="1050"/>
      <c r="I185" s="1019"/>
      <c r="J185" s="1019"/>
      <c r="K185" s="1019"/>
      <c r="L185" s="1019"/>
    </row>
    <row r="186" spans="5:12" s="898" customFormat="1">
      <c r="E186" s="1020"/>
      <c r="F186" s="1020"/>
      <c r="G186" s="1050"/>
      <c r="H186" s="1050"/>
      <c r="I186" s="1019"/>
      <c r="J186" s="1019"/>
      <c r="K186" s="1019"/>
      <c r="L186" s="1019"/>
    </row>
    <row r="187" spans="5:12" s="898" customFormat="1">
      <c r="E187" s="1020"/>
      <c r="F187" s="1020"/>
      <c r="G187" s="1050"/>
      <c r="H187" s="1050"/>
      <c r="I187" s="1019"/>
      <c r="J187" s="1019"/>
      <c r="K187" s="1019"/>
      <c r="L187" s="1019"/>
    </row>
    <row r="188" spans="5:12" s="898" customFormat="1">
      <c r="E188" s="1020"/>
      <c r="F188" s="1020"/>
      <c r="G188" s="1050"/>
      <c r="H188" s="1050"/>
      <c r="I188" s="1019"/>
      <c r="J188" s="1019"/>
      <c r="K188" s="1019"/>
      <c r="L188" s="1019"/>
    </row>
    <row r="189" spans="5:12" s="898" customFormat="1">
      <c r="E189" s="1020"/>
      <c r="F189" s="1020"/>
      <c r="G189" s="1050"/>
      <c r="H189" s="1050"/>
      <c r="I189" s="1019"/>
      <c r="J189" s="1019"/>
      <c r="K189" s="1019"/>
      <c r="L189" s="1019"/>
    </row>
    <row r="190" spans="5:12" s="898" customFormat="1">
      <c r="E190" s="1020"/>
      <c r="F190" s="1020"/>
      <c r="G190" s="1050"/>
      <c r="H190" s="1050"/>
      <c r="I190" s="1019"/>
      <c r="J190" s="1019"/>
      <c r="K190" s="1019"/>
      <c r="L190" s="1019"/>
    </row>
    <row r="191" spans="5:12" s="898" customFormat="1">
      <c r="E191" s="1020"/>
      <c r="F191" s="1020"/>
      <c r="G191" s="1050"/>
      <c r="H191" s="1050"/>
      <c r="I191" s="1019"/>
      <c r="J191" s="1019"/>
      <c r="K191" s="1019"/>
      <c r="L191" s="1019"/>
    </row>
    <row r="192" spans="5:12" s="898" customFormat="1">
      <c r="E192" s="1020"/>
      <c r="F192" s="1020"/>
      <c r="G192" s="1050"/>
      <c r="H192" s="1050"/>
      <c r="I192" s="1019"/>
      <c r="J192" s="1019"/>
      <c r="K192" s="1019"/>
      <c r="L192" s="1019"/>
    </row>
    <row r="193" spans="5:12" s="898" customFormat="1">
      <c r="E193" s="1020"/>
      <c r="F193" s="1020"/>
      <c r="G193" s="1050"/>
      <c r="H193" s="1050"/>
      <c r="I193" s="1019"/>
      <c r="J193" s="1019"/>
      <c r="K193" s="1019"/>
      <c r="L193" s="1019"/>
    </row>
    <row r="194" spans="5:12" s="898" customFormat="1">
      <c r="E194" s="1020"/>
      <c r="F194" s="1020"/>
      <c r="G194" s="1050"/>
      <c r="H194" s="1050"/>
      <c r="I194" s="1019"/>
      <c r="J194" s="1019"/>
      <c r="K194" s="1019"/>
      <c r="L194" s="1019"/>
    </row>
    <row r="195" spans="5:12" s="898" customFormat="1">
      <c r="E195" s="1020"/>
      <c r="F195" s="1020"/>
      <c r="G195" s="1050"/>
      <c r="H195" s="1050"/>
      <c r="I195" s="1019"/>
      <c r="J195" s="1019"/>
      <c r="K195" s="1019"/>
      <c r="L195" s="1019"/>
    </row>
    <row r="196" spans="5:12" s="898" customFormat="1">
      <c r="E196" s="1020"/>
      <c r="F196" s="1020"/>
      <c r="G196" s="1050"/>
      <c r="H196" s="1050"/>
      <c r="I196" s="1019"/>
      <c r="J196" s="1019"/>
      <c r="K196" s="1019"/>
      <c r="L196" s="1019"/>
    </row>
    <row r="197" spans="5:12" s="898" customFormat="1">
      <c r="E197" s="1020"/>
      <c r="F197" s="1020"/>
      <c r="G197" s="1050"/>
      <c r="H197" s="1050"/>
      <c r="I197" s="1019"/>
      <c r="J197" s="1019"/>
      <c r="K197" s="1019"/>
      <c r="L197" s="1019"/>
    </row>
    <row r="198" spans="5:12" s="898" customFormat="1">
      <c r="E198" s="1020"/>
      <c r="F198" s="1020"/>
      <c r="G198" s="1050"/>
      <c r="H198" s="1050"/>
      <c r="I198" s="1019"/>
      <c r="J198" s="1019"/>
      <c r="K198" s="1019"/>
      <c r="L198" s="1019"/>
    </row>
    <row r="199" spans="5:12" s="898" customFormat="1">
      <c r="E199" s="1020"/>
      <c r="F199" s="1020"/>
      <c r="G199" s="1050"/>
      <c r="H199" s="1050"/>
      <c r="I199" s="1019"/>
      <c r="J199" s="1019"/>
      <c r="K199" s="1019"/>
      <c r="L199" s="1019"/>
    </row>
    <row r="200" spans="5:12" s="898" customFormat="1">
      <c r="E200" s="1020"/>
      <c r="F200" s="1020"/>
      <c r="G200" s="1050"/>
      <c r="H200" s="1050"/>
      <c r="I200" s="1019"/>
      <c r="J200" s="1019"/>
      <c r="K200" s="1019"/>
      <c r="L200" s="1019"/>
    </row>
    <row r="201" spans="5:12" s="898" customFormat="1">
      <c r="E201" s="1020"/>
      <c r="F201" s="1020"/>
      <c r="G201" s="1050"/>
      <c r="H201" s="1050"/>
      <c r="I201" s="1019"/>
      <c r="J201" s="1019"/>
      <c r="K201" s="1019"/>
      <c r="L201" s="1019"/>
    </row>
    <row r="202" spans="5:12" s="898" customFormat="1">
      <c r="E202" s="1020"/>
      <c r="F202" s="1020"/>
      <c r="G202" s="1050"/>
      <c r="H202" s="1050"/>
      <c r="I202" s="1019"/>
      <c r="J202" s="1019"/>
      <c r="K202" s="1019"/>
      <c r="L202" s="1019"/>
    </row>
    <row r="203" spans="5:12" s="898" customFormat="1">
      <c r="E203" s="1020"/>
      <c r="F203" s="1020"/>
      <c r="G203" s="1050"/>
      <c r="H203" s="1050"/>
      <c r="I203" s="1019"/>
      <c r="J203" s="1019"/>
      <c r="K203" s="1019"/>
      <c r="L203" s="1019"/>
    </row>
    <row r="204" spans="5:12" s="898" customFormat="1">
      <c r="E204" s="1020"/>
      <c r="F204" s="1020"/>
      <c r="G204" s="1050"/>
      <c r="H204" s="1050"/>
      <c r="I204" s="1019"/>
      <c r="J204" s="1019"/>
      <c r="K204" s="1019"/>
      <c r="L204" s="1019"/>
    </row>
    <row r="205" spans="5:12" s="898" customFormat="1">
      <c r="E205" s="1020"/>
      <c r="F205" s="1020"/>
      <c r="G205" s="1050"/>
      <c r="H205" s="1050"/>
      <c r="I205" s="1019"/>
      <c r="J205" s="1019"/>
      <c r="K205" s="1019"/>
      <c r="L205" s="1019"/>
    </row>
    <row r="206" spans="5:12" s="898" customFormat="1">
      <c r="E206" s="1020"/>
      <c r="F206" s="1020"/>
      <c r="G206" s="1050"/>
      <c r="H206" s="1050"/>
      <c r="I206" s="1019"/>
      <c r="J206" s="1019"/>
      <c r="K206" s="1019"/>
      <c r="L206" s="1019"/>
    </row>
    <row r="207" spans="5:12" s="898" customFormat="1">
      <c r="E207" s="1020"/>
      <c r="F207" s="1020"/>
      <c r="G207" s="1050"/>
      <c r="H207" s="1050"/>
      <c r="I207" s="1019"/>
      <c r="J207" s="1019"/>
      <c r="K207" s="1019"/>
      <c r="L207" s="1019"/>
    </row>
    <row r="208" spans="5:12" s="898" customFormat="1">
      <c r="E208" s="1020"/>
      <c r="F208" s="1020"/>
      <c r="G208" s="1050"/>
      <c r="H208" s="1050"/>
      <c r="I208" s="1019"/>
      <c r="J208" s="1019"/>
      <c r="K208" s="1019"/>
      <c r="L208" s="1019"/>
    </row>
    <row r="209" spans="5:12" s="898" customFormat="1">
      <c r="E209" s="1020"/>
      <c r="F209" s="1020"/>
      <c r="G209" s="1050"/>
      <c r="H209" s="1050"/>
      <c r="I209" s="1019"/>
      <c r="J209" s="1019"/>
      <c r="K209" s="1019"/>
      <c r="L209" s="1019"/>
    </row>
    <row r="210" spans="5:12" s="898" customFormat="1">
      <c r="E210" s="1020"/>
      <c r="F210" s="1020"/>
      <c r="G210" s="1050"/>
      <c r="H210" s="1050"/>
      <c r="I210" s="1019"/>
      <c r="J210" s="1019"/>
      <c r="K210" s="1019"/>
      <c r="L210" s="1019"/>
    </row>
    <row r="211" spans="5:12" s="898" customFormat="1">
      <c r="E211" s="1020"/>
      <c r="F211" s="1020"/>
      <c r="G211" s="1050"/>
      <c r="H211" s="1050"/>
      <c r="I211" s="1019"/>
      <c r="J211" s="1019"/>
      <c r="K211" s="1019"/>
      <c r="L211" s="1019"/>
    </row>
    <row r="212" spans="5:12" s="898" customFormat="1">
      <c r="E212" s="1020"/>
      <c r="F212" s="1020"/>
      <c r="G212" s="1050"/>
      <c r="H212" s="1050"/>
      <c r="I212" s="1019"/>
      <c r="J212" s="1019"/>
      <c r="K212" s="1019"/>
      <c r="L212" s="1019"/>
    </row>
    <row r="213" spans="5:12" s="898" customFormat="1">
      <c r="E213" s="1020"/>
      <c r="F213" s="1020"/>
      <c r="G213" s="1050"/>
      <c r="H213" s="1050"/>
      <c r="I213" s="1019"/>
      <c r="J213" s="1019"/>
      <c r="K213" s="1019"/>
      <c r="L213" s="1019"/>
    </row>
    <row r="214" spans="5:12" s="898" customFormat="1">
      <c r="E214" s="1020"/>
      <c r="F214" s="1020"/>
      <c r="G214" s="1050"/>
      <c r="H214" s="1050"/>
      <c r="I214" s="1019"/>
      <c r="J214" s="1019"/>
      <c r="K214" s="1019"/>
      <c r="L214" s="1019"/>
    </row>
    <row r="215" spans="5:12" s="898" customFormat="1">
      <c r="E215" s="1020"/>
      <c r="F215" s="1020"/>
      <c r="G215" s="1050"/>
      <c r="H215" s="1050"/>
      <c r="I215" s="1019"/>
      <c r="J215" s="1019"/>
      <c r="K215" s="1019"/>
      <c r="L215" s="1019"/>
    </row>
    <row r="216" spans="5:12" s="898" customFormat="1">
      <c r="E216" s="1020"/>
      <c r="F216" s="1020"/>
      <c r="G216" s="1050"/>
      <c r="H216" s="1050"/>
      <c r="I216" s="1019"/>
      <c r="J216" s="1019"/>
      <c r="K216" s="1019"/>
      <c r="L216" s="1019"/>
    </row>
    <row r="217" spans="5:12" s="898" customFormat="1">
      <c r="E217" s="1020"/>
      <c r="F217" s="1020"/>
      <c r="G217" s="1050"/>
      <c r="H217" s="1050"/>
      <c r="I217" s="1019"/>
      <c r="J217" s="1019"/>
      <c r="K217" s="1019"/>
      <c r="L217" s="1019"/>
    </row>
    <row r="218" spans="5:12" s="898" customFormat="1">
      <c r="E218" s="1020"/>
      <c r="F218" s="1020"/>
      <c r="G218" s="1050"/>
      <c r="H218" s="1050"/>
      <c r="I218" s="1019"/>
      <c r="J218" s="1019"/>
      <c r="K218" s="1019"/>
      <c r="L218" s="1019"/>
    </row>
    <row r="219" spans="5:12" s="898" customFormat="1">
      <c r="E219" s="1020"/>
      <c r="F219" s="1020"/>
      <c r="G219" s="1050"/>
      <c r="H219" s="1050"/>
      <c r="I219" s="1019"/>
      <c r="J219" s="1019"/>
      <c r="K219" s="1019"/>
      <c r="L219" s="1019"/>
    </row>
    <row r="220" spans="5:12" s="898" customFormat="1">
      <c r="E220" s="1020"/>
      <c r="F220" s="1020"/>
      <c r="G220" s="1050"/>
      <c r="H220" s="1050"/>
      <c r="I220" s="1019"/>
      <c r="J220" s="1019"/>
      <c r="K220" s="1019"/>
      <c r="L220" s="1019"/>
    </row>
    <row r="221" spans="5:12" s="898" customFormat="1">
      <c r="E221" s="1020"/>
      <c r="F221" s="1020"/>
      <c r="G221" s="1050"/>
      <c r="H221" s="1050"/>
      <c r="I221" s="1019"/>
      <c r="J221" s="1019"/>
      <c r="K221" s="1019"/>
      <c r="L221" s="1019"/>
    </row>
    <row r="222" spans="5:12" s="898" customFormat="1">
      <c r="E222" s="1020"/>
      <c r="F222" s="1020"/>
      <c r="G222" s="1050"/>
      <c r="H222" s="1050"/>
      <c r="I222" s="1019"/>
      <c r="J222" s="1019"/>
      <c r="K222" s="1019"/>
      <c r="L222" s="1019"/>
    </row>
    <row r="223" spans="5:12" s="898" customFormat="1">
      <c r="E223" s="1020"/>
      <c r="F223" s="1020"/>
      <c r="G223" s="1050"/>
      <c r="H223" s="1050"/>
      <c r="I223" s="1019"/>
      <c r="J223" s="1019"/>
      <c r="K223" s="1019"/>
      <c r="L223" s="1019"/>
    </row>
    <row r="224" spans="5:12" s="898" customFormat="1">
      <c r="E224" s="1020"/>
      <c r="F224" s="1020"/>
      <c r="G224" s="1050"/>
      <c r="H224" s="1050"/>
      <c r="I224" s="1019"/>
      <c r="J224" s="1019"/>
      <c r="K224" s="1019"/>
      <c r="L224" s="1019"/>
    </row>
    <row r="225" spans="5:12" s="898" customFormat="1">
      <c r="E225" s="1020"/>
      <c r="F225" s="1020"/>
      <c r="G225" s="1050"/>
      <c r="H225" s="1050"/>
      <c r="I225" s="1019"/>
      <c r="J225" s="1019"/>
      <c r="K225" s="1019"/>
      <c r="L225" s="1019"/>
    </row>
    <row r="226" spans="5:12" s="898" customFormat="1">
      <c r="E226" s="1020"/>
      <c r="F226" s="1020"/>
      <c r="G226" s="1050"/>
      <c r="H226" s="1050"/>
      <c r="I226" s="1019"/>
      <c r="J226" s="1019"/>
      <c r="K226" s="1019"/>
      <c r="L226" s="1019"/>
    </row>
    <row r="227" spans="5:12" s="898" customFormat="1">
      <c r="E227" s="1020"/>
      <c r="F227" s="1020"/>
      <c r="G227" s="1050"/>
      <c r="H227" s="1050"/>
      <c r="I227" s="1019"/>
      <c r="J227" s="1019"/>
      <c r="K227" s="1019"/>
      <c r="L227" s="1019"/>
    </row>
    <row r="228" spans="5:12" s="898" customFormat="1">
      <c r="E228" s="1020"/>
      <c r="F228" s="1020"/>
      <c r="G228" s="1050"/>
      <c r="H228" s="1050"/>
      <c r="I228" s="1019"/>
      <c r="J228" s="1019"/>
      <c r="K228" s="1019"/>
      <c r="L228" s="1019"/>
    </row>
    <row r="229" spans="5:12" s="898" customFormat="1">
      <c r="E229" s="1020"/>
      <c r="F229" s="1020"/>
      <c r="G229" s="1050"/>
      <c r="H229" s="1050"/>
      <c r="I229" s="1019"/>
      <c r="J229" s="1019"/>
      <c r="K229" s="1019"/>
      <c r="L229" s="1019"/>
    </row>
    <row r="230" spans="5:12" s="898" customFormat="1">
      <c r="E230" s="1020"/>
      <c r="F230" s="1020"/>
      <c r="G230" s="1050"/>
      <c r="H230" s="1050"/>
      <c r="I230" s="1019"/>
      <c r="J230" s="1019"/>
      <c r="K230" s="1019"/>
      <c r="L230" s="1019"/>
    </row>
    <row r="231" spans="5:12" s="898" customFormat="1">
      <c r="E231" s="1020"/>
      <c r="F231" s="1020"/>
      <c r="G231" s="1050"/>
      <c r="H231" s="1050"/>
      <c r="I231" s="1019"/>
      <c r="J231" s="1019"/>
      <c r="K231" s="1019"/>
      <c r="L231" s="1019"/>
    </row>
    <row r="232" spans="5:12" s="898" customFormat="1">
      <c r="E232" s="1020"/>
      <c r="F232" s="1020"/>
      <c r="G232" s="1050"/>
      <c r="H232" s="1050"/>
      <c r="I232" s="1019"/>
      <c r="J232" s="1019"/>
      <c r="K232" s="1019"/>
      <c r="L232" s="1019"/>
    </row>
    <row r="233" spans="5:12" s="898" customFormat="1">
      <c r="E233" s="1020"/>
      <c r="F233" s="1020"/>
      <c r="G233" s="1050"/>
      <c r="H233" s="1050"/>
      <c r="I233" s="1019"/>
      <c r="J233" s="1019"/>
      <c r="K233" s="1019"/>
      <c r="L233" s="1019"/>
    </row>
    <row r="234" spans="5:12" s="898" customFormat="1">
      <c r="E234" s="1020"/>
      <c r="F234" s="1020"/>
      <c r="G234" s="1050"/>
      <c r="H234" s="1050"/>
      <c r="I234" s="1019"/>
      <c r="J234" s="1019"/>
      <c r="K234" s="1019"/>
      <c r="L234" s="1019"/>
    </row>
    <row r="235" spans="5:12" s="898" customFormat="1">
      <c r="E235" s="1020"/>
      <c r="F235" s="1020"/>
      <c r="G235" s="1050"/>
      <c r="H235" s="1050"/>
      <c r="I235" s="1019"/>
      <c r="J235" s="1019"/>
      <c r="K235" s="1019"/>
      <c r="L235" s="1019"/>
    </row>
    <row r="236" spans="5:12" s="898" customFormat="1">
      <c r="E236" s="1020"/>
      <c r="F236" s="1020"/>
      <c r="G236" s="1050"/>
      <c r="H236" s="1050"/>
      <c r="I236" s="1019"/>
      <c r="J236" s="1019"/>
      <c r="K236" s="1019"/>
      <c r="L236" s="1019"/>
    </row>
    <row r="237" spans="5:12" s="898" customFormat="1">
      <c r="E237" s="1020"/>
      <c r="F237" s="1020"/>
      <c r="G237" s="1050"/>
      <c r="H237" s="1050"/>
      <c r="I237" s="1019"/>
      <c r="J237" s="1019"/>
      <c r="K237" s="1019"/>
      <c r="L237" s="1019"/>
    </row>
    <row r="238" spans="5:12" s="898" customFormat="1">
      <c r="E238" s="1020"/>
      <c r="F238" s="1020"/>
      <c r="G238" s="1050"/>
      <c r="H238" s="1050"/>
      <c r="I238" s="1019"/>
      <c r="J238" s="1019"/>
      <c r="K238" s="1019"/>
      <c r="L238" s="1019"/>
    </row>
    <row r="239" spans="5:12" s="898" customFormat="1">
      <c r="E239" s="1020"/>
      <c r="F239" s="1020"/>
      <c r="G239" s="1050"/>
      <c r="H239" s="1050"/>
      <c r="I239" s="1019"/>
      <c r="J239" s="1019"/>
      <c r="K239" s="1019"/>
      <c r="L239" s="1019"/>
    </row>
    <row r="240" spans="5:12" s="898" customFormat="1">
      <c r="E240" s="1020"/>
      <c r="F240" s="1020"/>
      <c r="G240" s="1050"/>
      <c r="H240" s="1050"/>
      <c r="I240" s="1019"/>
      <c r="J240" s="1019"/>
      <c r="K240" s="1019"/>
      <c r="L240" s="1019"/>
    </row>
    <row r="241" spans="5:12" s="898" customFormat="1">
      <c r="E241" s="1020"/>
      <c r="F241" s="1020"/>
      <c r="G241" s="1050"/>
      <c r="H241" s="1050"/>
      <c r="I241" s="1019"/>
      <c r="J241" s="1019"/>
      <c r="K241" s="1019"/>
      <c r="L241" s="1019"/>
    </row>
    <row r="242" spans="5:12" s="898" customFormat="1">
      <c r="E242" s="1020"/>
      <c r="F242" s="1020"/>
      <c r="G242" s="1050"/>
      <c r="H242" s="1050"/>
      <c r="I242" s="1019"/>
      <c r="J242" s="1019"/>
      <c r="K242" s="1019"/>
      <c r="L242" s="1019"/>
    </row>
    <row r="243" spans="5:12" s="898" customFormat="1">
      <c r="E243" s="1020"/>
      <c r="F243" s="1020"/>
      <c r="G243" s="1050"/>
      <c r="H243" s="1050"/>
      <c r="I243" s="1019"/>
      <c r="J243" s="1019"/>
      <c r="K243" s="1019"/>
      <c r="L243" s="1019"/>
    </row>
    <row r="244" spans="5:12" s="898" customFormat="1">
      <c r="E244" s="1020"/>
      <c r="F244" s="1020"/>
      <c r="G244" s="1050"/>
      <c r="H244" s="1050"/>
      <c r="I244" s="1019"/>
      <c r="J244" s="1019"/>
      <c r="K244" s="1019"/>
      <c r="L244" s="1019"/>
    </row>
    <row r="245" spans="5:12" s="898" customFormat="1">
      <c r="E245" s="1020"/>
      <c r="F245" s="1020"/>
      <c r="G245" s="1050"/>
      <c r="H245" s="1050"/>
      <c r="I245" s="1019"/>
      <c r="J245" s="1019"/>
      <c r="K245" s="1019"/>
      <c r="L245" s="1019"/>
    </row>
    <row r="246" spans="5:12" s="898" customFormat="1">
      <c r="E246" s="1020"/>
      <c r="F246" s="1020"/>
      <c r="G246" s="1050"/>
      <c r="H246" s="1050"/>
      <c r="I246" s="1019"/>
      <c r="J246" s="1019"/>
      <c r="K246" s="1019"/>
      <c r="L246" s="1019"/>
    </row>
    <row r="247" spans="5:12" s="898" customFormat="1">
      <c r="E247" s="1020"/>
      <c r="F247" s="1020"/>
      <c r="G247" s="1050"/>
      <c r="H247" s="1050"/>
      <c r="I247" s="1019"/>
      <c r="J247" s="1019"/>
      <c r="K247" s="1019"/>
      <c r="L247" s="1019"/>
    </row>
    <row r="248" spans="5:12" s="898" customFormat="1">
      <c r="E248" s="1020"/>
      <c r="F248" s="1020"/>
      <c r="G248" s="1050"/>
      <c r="H248" s="1050"/>
      <c r="I248" s="1019"/>
      <c r="J248" s="1019"/>
      <c r="K248" s="1019"/>
      <c r="L248" s="1019"/>
    </row>
    <row r="249" spans="5:12" s="898" customFormat="1">
      <c r="E249" s="1020"/>
      <c r="F249" s="1020"/>
      <c r="G249" s="1050"/>
      <c r="H249" s="1050"/>
      <c r="I249" s="1019"/>
      <c r="J249" s="1019"/>
      <c r="K249" s="1019"/>
      <c r="L249" s="1019"/>
    </row>
    <row r="250" spans="5:12" s="898" customFormat="1">
      <c r="E250" s="1020"/>
      <c r="F250" s="1020"/>
      <c r="G250" s="1050"/>
      <c r="H250" s="1050"/>
      <c r="I250" s="1019"/>
      <c r="J250" s="1019"/>
      <c r="K250" s="1019"/>
      <c r="L250" s="1019"/>
    </row>
    <row r="251" spans="5:12" s="898" customFormat="1">
      <c r="E251" s="1020"/>
      <c r="F251" s="1020"/>
      <c r="G251" s="1050"/>
      <c r="H251" s="1050"/>
      <c r="I251" s="1019"/>
      <c r="J251" s="1019"/>
      <c r="K251" s="1019"/>
      <c r="L251" s="1019"/>
    </row>
    <row r="252" spans="5:12" s="898" customFormat="1">
      <c r="E252" s="1020"/>
      <c r="F252" s="1020"/>
      <c r="G252" s="1050"/>
      <c r="H252" s="1050"/>
      <c r="I252" s="1019"/>
      <c r="J252" s="1019"/>
      <c r="K252" s="1019"/>
      <c r="L252" s="1019"/>
    </row>
    <row r="253" spans="5:12" s="898" customFormat="1">
      <c r="E253" s="1020"/>
      <c r="F253" s="1020"/>
      <c r="G253" s="1050"/>
      <c r="H253" s="1050"/>
      <c r="I253" s="1019"/>
      <c r="J253" s="1019"/>
      <c r="K253" s="1019"/>
      <c r="L253" s="1019"/>
    </row>
    <row r="254" spans="5:12" s="898" customFormat="1">
      <c r="E254" s="1020"/>
      <c r="F254" s="1020"/>
      <c r="G254" s="1050"/>
      <c r="H254" s="1050"/>
      <c r="I254" s="1019"/>
      <c r="J254" s="1019"/>
      <c r="K254" s="1019"/>
      <c r="L254" s="1019"/>
    </row>
    <row r="255" spans="5:12" s="898" customFormat="1">
      <c r="E255" s="1020"/>
      <c r="F255" s="1020"/>
      <c r="G255" s="1050"/>
      <c r="H255" s="1050"/>
      <c r="I255" s="1019"/>
      <c r="J255" s="1019"/>
      <c r="K255" s="1019"/>
      <c r="L255" s="1019"/>
    </row>
    <row r="256" spans="5:12" s="898" customFormat="1">
      <c r="E256" s="1020"/>
      <c r="F256" s="1020"/>
      <c r="G256" s="1050"/>
      <c r="H256" s="1050"/>
      <c r="I256" s="1019"/>
      <c r="J256" s="1019"/>
      <c r="K256" s="1019"/>
      <c r="L256" s="1019"/>
    </row>
    <row r="257" spans="5:12" s="898" customFormat="1">
      <c r="E257" s="1020"/>
      <c r="F257" s="1020"/>
      <c r="G257" s="1050"/>
      <c r="H257" s="1050"/>
      <c r="I257" s="1019"/>
      <c r="J257" s="1019"/>
      <c r="K257" s="1019"/>
      <c r="L257" s="1019"/>
    </row>
    <row r="258" spans="5:12" s="898" customFormat="1">
      <c r="E258" s="1020"/>
      <c r="F258" s="1020"/>
      <c r="G258" s="1050"/>
      <c r="H258" s="1050"/>
      <c r="I258" s="1019"/>
      <c r="J258" s="1019"/>
      <c r="K258" s="1019"/>
      <c r="L258" s="1019"/>
    </row>
    <row r="259" spans="5:12" s="898" customFormat="1">
      <c r="E259" s="1020"/>
      <c r="F259" s="1020"/>
      <c r="G259" s="1050"/>
      <c r="H259" s="1050"/>
      <c r="I259" s="1019"/>
      <c r="J259" s="1019"/>
      <c r="K259" s="1019"/>
      <c r="L259" s="1019"/>
    </row>
    <row r="260" spans="5:12" s="898" customFormat="1">
      <c r="E260" s="1020"/>
      <c r="F260" s="1020"/>
      <c r="G260" s="1050"/>
      <c r="H260" s="1050"/>
      <c r="I260" s="1019"/>
      <c r="J260" s="1019"/>
      <c r="K260" s="1019"/>
      <c r="L260" s="1019"/>
    </row>
    <row r="261" spans="5:12" s="898" customFormat="1">
      <c r="E261" s="1020"/>
      <c r="F261" s="1020"/>
      <c r="G261" s="1050"/>
      <c r="H261" s="1050"/>
      <c r="I261" s="1019"/>
      <c r="J261" s="1019"/>
      <c r="K261" s="1019"/>
      <c r="L261" s="1019"/>
    </row>
    <row r="262" spans="5:12" s="898" customFormat="1">
      <c r="E262" s="1020"/>
      <c r="F262" s="1020"/>
      <c r="G262" s="1050"/>
      <c r="H262" s="1050"/>
      <c r="I262" s="1019"/>
      <c r="J262" s="1019"/>
      <c r="K262" s="1019"/>
      <c r="L262" s="1019"/>
    </row>
    <row r="263" spans="5:12" s="898" customFormat="1">
      <c r="E263" s="1020"/>
      <c r="F263" s="1020"/>
      <c r="G263" s="1050"/>
      <c r="H263" s="1050"/>
      <c r="I263" s="1019"/>
      <c r="J263" s="1019"/>
      <c r="K263" s="1019"/>
      <c r="L263" s="1019"/>
    </row>
    <row r="264" spans="5:12" s="898" customFormat="1">
      <c r="E264" s="1020"/>
      <c r="F264" s="1020"/>
      <c r="G264" s="1050"/>
      <c r="H264" s="1050"/>
      <c r="I264" s="1019"/>
      <c r="J264" s="1019"/>
      <c r="K264" s="1019"/>
      <c r="L264" s="1019"/>
    </row>
    <row r="265" spans="5:12" s="898" customFormat="1">
      <c r="E265" s="1020"/>
      <c r="F265" s="1020"/>
      <c r="G265" s="1050"/>
      <c r="H265" s="1050"/>
      <c r="I265" s="1019"/>
      <c r="J265" s="1019"/>
      <c r="K265" s="1019"/>
      <c r="L265" s="1019"/>
    </row>
    <row r="266" spans="5:12" s="898" customFormat="1">
      <c r="E266" s="1020"/>
      <c r="F266" s="1020"/>
      <c r="G266" s="1050"/>
      <c r="H266" s="1050"/>
      <c r="I266" s="1019"/>
      <c r="J266" s="1019"/>
      <c r="K266" s="1019"/>
      <c r="L266" s="1019"/>
    </row>
    <row r="267" spans="5:12" s="898" customFormat="1">
      <c r="E267" s="1020"/>
      <c r="F267" s="1020"/>
      <c r="G267" s="1050"/>
      <c r="H267" s="1050"/>
      <c r="I267" s="1019"/>
      <c r="J267" s="1019"/>
      <c r="K267" s="1019"/>
      <c r="L267" s="1019"/>
    </row>
    <row r="268" spans="5:12" s="898" customFormat="1">
      <c r="E268" s="1020"/>
      <c r="F268" s="1020"/>
      <c r="G268" s="1050"/>
      <c r="H268" s="1050"/>
      <c r="I268" s="1019"/>
      <c r="J268" s="1019"/>
      <c r="K268" s="1019"/>
      <c r="L268" s="1019"/>
    </row>
    <row r="269" spans="5:12" s="898" customFormat="1">
      <c r="E269" s="1020"/>
      <c r="F269" s="1020"/>
      <c r="G269" s="1050"/>
      <c r="H269" s="1050"/>
      <c r="I269" s="1019"/>
      <c r="J269" s="1019"/>
      <c r="K269" s="1019"/>
      <c r="L269" s="1019"/>
    </row>
    <row r="270" spans="5:12" s="898" customFormat="1">
      <c r="E270" s="1020"/>
      <c r="F270" s="1020"/>
      <c r="G270" s="1050"/>
      <c r="H270" s="1050"/>
      <c r="I270" s="1019"/>
      <c r="J270" s="1019"/>
      <c r="K270" s="1019"/>
      <c r="L270" s="1019"/>
    </row>
    <row r="271" spans="5:12" s="898" customFormat="1">
      <c r="E271" s="1020"/>
      <c r="F271" s="1020"/>
      <c r="G271" s="1050"/>
      <c r="H271" s="1050"/>
      <c r="I271" s="1019"/>
      <c r="J271" s="1019"/>
      <c r="K271" s="1019"/>
      <c r="L271" s="1019"/>
    </row>
    <row r="272" spans="5:12" s="898" customFormat="1">
      <c r="E272" s="1020"/>
      <c r="F272" s="1020"/>
      <c r="G272" s="1050"/>
      <c r="H272" s="1050"/>
      <c r="I272" s="1019"/>
      <c r="J272" s="1019"/>
      <c r="K272" s="1019"/>
      <c r="L272" s="1019"/>
    </row>
    <row r="273" spans="5:12" s="898" customFormat="1">
      <c r="E273" s="1020"/>
      <c r="F273" s="1020"/>
      <c r="G273" s="1050"/>
      <c r="H273" s="1050"/>
      <c r="I273" s="1019"/>
      <c r="J273" s="1019"/>
      <c r="K273" s="1019"/>
      <c r="L273" s="1019"/>
    </row>
    <row r="274" spans="5:12" s="898" customFormat="1">
      <c r="E274" s="1020"/>
      <c r="F274" s="1020"/>
      <c r="G274" s="1050"/>
      <c r="H274" s="1050"/>
      <c r="I274" s="1019"/>
      <c r="J274" s="1019"/>
      <c r="K274" s="1019"/>
      <c r="L274" s="1019"/>
    </row>
    <row r="275" spans="5:12" s="898" customFormat="1">
      <c r="E275" s="1020"/>
      <c r="F275" s="1020"/>
      <c r="G275" s="1050"/>
      <c r="H275" s="1050"/>
      <c r="I275" s="1019"/>
      <c r="J275" s="1019"/>
      <c r="K275" s="1019"/>
      <c r="L275" s="1019"/>
    </row>
    <row r="276" spans="5:12" s="898" customFormat="1">
      <c r="E276" s="1020"/>
      <c r="F276" s="1020"/>
      <c r="G276" s="1050"/>
      <c r="H276" s="1050"/>
      <c r="I276" s="1019"/>
      <c r="J276" s="1019"/>
      <c r="K276" s="1019"/>
      <c r="L276" s="1019"/>
    </row>
    <row r="277" spans="5:12" s="898" customFormat="1">
      <c r="E277" s="1020"/>
      <c r="F277" s="1020"/>
      <c r="G277" s="1050"/>
      <c r="H277" s="1050"/>
      <c r="I277" s="1019"/>
      <c r="J277" s="1019"/>
      <c r="K277" s="1019"/>
      <c r="L277" s="1019"/>
    </row>
    <row r="278" spans="5:12" s="898" customFormat="1">
      <c r="E278" s="1020"/>
      <c r="F278" s="1020"/>
      <c r="G278" s="1050"/>
      <c r="H278" s="1050"/>
      <c r="I278" s="1019"/>
      <c r="J278" s="1019"/>
      <c r="K278" s="1019"/>
      <c r="L278" s="1019"/>
    </row>
    <row r="279" spans="5:12" s="898" customFormat="1">
      <c r="E279" s="1020"/>
      <c r="F279" s="1020"/>
      <c r="G279" s="1050"/>
      <c r="H279" s="1050"/>
      <c r="I279" s="1019"/>
      <c r="J279" s="1019"/>
      <c r="K279" s="1019"/>
      <c r="L279" s="1019"/>
    </row>
    <row r="280" spans="5:12" s="898" customFormat="1">
      <c r="E280" s="1020"/>
      <c r="F280" s="1020"/>
      <c r="G280" s="1050"/>
      <c r="H280" s="1050"/>
      <c r="I280" s="1019"/>
      <c r="J280" s="1019"/>
      <c r="K280" s="1019"/>
      <c r="L280" s="1019"/>
    </row>
    <row r="281" spans="5:12" s="898" customFormat="1">
      <c r="E281" s="1020"/>
      <c r="F281" s="1020"/>
      <c r="G281" s="1050"/>
      <c r="H281" s="1050"/>
      <c r="I281" s="1019"/>
      <c r="J281" s="1019"/>
      <c r="K281" s="1019"/>
      <c r="L281" s="1019"/>
    </row>
    <row r="282" spans="5:12" s="898" customFormat="1">
      <c r="E282" s="1020"/>
      <c r="F282" s="1020"/>
      <c r="G282" s="1050"/>
      <c r="H282" s="1050"/>
      <c r="I282" s="1019"/>
      <c r="J282" s="1019"/>
      <c r="K282" s="1019"/>
      <c r="L282" s="1019"/>
    </row>
    <row r="283" spans="5:12" s="898" customFormat="1">
      <c r="E283" s="1020"/>
      <c r="F283" s="1020"/>
      <c r="G283" s="1050"/>
      <c r="H283" s="1050"/>
      <c r="I283" s="1019"/>
      <c r="J283" s="1019"/>
      <c r="K283" s="1019"/>
      <c r="L283" s="1019"/>
    </row>
    <row r="284" spans="5:12" s="898" customFormat="1">
      <c r="E284" s="1020"/>
      <c r="F284" s="1020"/>
      <c r="G284" s="1050"/>
      <c r="H284" s="1050"/>
      <c r="I284" s="1019"/>
      <c r="J284" s="1019"/>
      <c r="K284" s="1019"/>
      <c r="L284" s="1019"/>
    </row>
    <row r="285" spans="5:12" s="898" customFormat="1">
      <c r="E285" s="1020"/>
      <c r="F285" s="1020"/>
      <c r="G285" s="1050"/>
      <c r="H285" s="1050"/>
      <c r="I285" s="1019"/>
      <c r="J285" s="1019"/>
      <c r="K285" s="1019"/>
      <c r="L285" s="1019"/>
    </row>
    <row r="286" spans="5:12" s="898" customFormat="1">
      <c r="E286" s="1020"/>
      <c r="F286" s="1020"/>
      <c r="G286" s="1050"/>
      <c r="H286" s="1050"/>
      <c r="I286" s="1019"/>
      <c r="J286" s="1019"/>
      <c r="K286" s="1019"/>
      <c r="L286" s="1019"/>
    </row>
    <row r="287" spans="5:12" s="898" customFormat="1">
      <c r="E287" s="1020"/>
      <c r="F287" s="1020"/>
      <c r="G287" s="1050"/>
      <c r="H287" s="1050"/>
      <c r="I287" s="1019"/>
      <c r="J287" s="1019"/>
      <c r="K287" s="1019"/>
      <c r="L287" s="1019"/>
    </row>
    <row r="288" spans="5:12" s="898" customFormat="1">
      <c r="E288" s="1020"/>
      <c r="F288" s="1020"/>
      <c r="G288" s="1050"/>
      <c r="H288" s="1050"/>
      <c r="I288" s="1019"/>
      <c r="J288" s="1019"/>
      <c r="K288" s="1019"/>
      <c r="L288" s="1019"/>
    </row>
    <row r="289" spans="5:12" s="898" customFormat="1">
      <c r="E289" s="1020"/>
      <c r="F289" s="1020"/>
      <c r="G289" s="1050"/>
      <c r="H289" s="1050"/>
      <c r="I289" s="1019"/>
      <c r="J289" s="1019"/>
      <c r="K289" s="1019"/>
      <c r="L289" s="1019"/>
    </row>
    <row r="290" spans="5:12" s="898" customFormat="1">
      <c r="E290" s="1020"/>
      <c r="F290" s="1020"/>
      <c r="G290" s="1050"/>
      <c r="H290" s="1050"/>
      <c r="I290" s="1019"/>
      <c r="J290" s="1019"/>
      <c r="K290" s="1019"/>
      <c r="L290" s="1019"/>
    </row>
    <row r="291" spans="5:12" s="898" customFormat="1">
      <c r="E291" s="1020"/>
      <c r="F291" s="1020"/>
      <c r="G291" s="1050"/>
      <c r="H291" s="1050"/>
      <c r="I291" s="1019"/>
      <c r="J291" s="1019"/>
      <c r="K291" s="1019"/>
      <c r="L291" s="1019"/>
    </row>
    <row r="292" spans="5:12" s="898" customFormat="1">
      <c r="E292" s="1020"/>
      <c r="F292" s="1020"/>
      <c r="G292" s="1050"/>
      <c r="H292" s="1050"/>
      <c r="I292" s="1019"/>
      <c r="J292" s="1019"/>
      <c r="K292" s="1019"/>
      <c r="L292" s="1019"/>
    </row>
    <row r="293" spans="5:12" s="898" customFormat="1">
      <c r="E293" s="1020"/>
      <c r="F293" s="1020"/>
      <c r="G293" s="1050"/>
      <c r="H293" s="1050"/>
      <c r="I293" s="1019"/>
      <c r="J293" s="1019"/>
      <c r="K293" s="1019"/>
      <c r="L293" s="1019"/>
    </row>
    <row r="294" spans="5:12" s="898" customFormat="1">
      <c r="E294" s="1020"/>
      <c r="F294" s="1020"/>
      <c r="G294" s="1050"/>
      <c r="H294" s="1050"/>
      <c r="I294" s="1019"/>
      <c r="J294" s="1019"/>
      <c r="K294" s="1019"/>
      <c r="L294" s="1019"/>
    </row>
    <row r="295" spans="5:12" s="898" customFormat="1">
      <c r="E295" s="1020"/>
      <c r="F295" s="1020"/>
      <c r="G295" s="1050"/>
      <c r="H295" s="1050"/>
      <c r="I295" s="1019"/>
      <c r="J295" s="1019"/>
      <c r="K295" s="1019"/>
      <c r="L295" s="1019"/>
    </row>
    <row r="296" spans="5:12" s="898" customFormat="1">
      <c r="E296" s="1020"/>
      <c r="F296" s="1020"/>
      <c r="G296" s="1050"/>
      <c r="H296" s="1050"/>
      <c r="I296" s="1019"/>
      <c r="J296" s="1019"/>
      <c r="K296" s="1019"/>
      <c r="L296" s="1019"/>
    </row>
    <row r="297" spans="5:12" s="898" customFormat="1">
      <c r="E297" s="1020"/>
      <c r="F297" s="1020"/>
      <c r="G297" s="1050"/>
      <c r="H297" s="1050"/>
      <c r="I297" s="1019"/>
      <c r="J297" s="1019"/>
      <c r="K297" s="1019"/>
      <c r="L297" s="1019"/>
    </row>
    <row r="298" spans="5:12" s="898" customFormat="1">
      <c r="E298" s="1020"/>
      <c r="F298" s="1020"/>
      <c r="G298" s="1050"/>
      <c r="H298" s="1050"/>
      <c r="I298" s="1019"/>
      <c r="J298" s="1019"/>
      <c r="K298" s="1019"/>
      <c r="L298" s="1019"/>
    </row>
    <row r="299" spans="5:12" s="898" customFormat="1">
      <c r="E299" s="1020"/>
      <c r="F299" s="1020"/>
      <c r="G299" s="1050"/>
      <c r="H299" s="1050"/>
      <c r="I299" s="1019"/>
      <c r="J299" s="1019"/>
      <c r="K299" s="1019"/>
      <c r="L299" s="1019"/>
    </row>
    <row r="300" spans="5:12" s="898" customFormat="1">
      <c r="E300" s="1020"/>
      <c r="F300" s="1020"/>
      <c r="G300" s="1050"/>
      <c r="H300" s="1050"/>
      <c r="I300" s="1019"/>
      <c r="J300" s="1019"/>
      <c r="K300" s="1019"/>
      <c r="L300" s="1019"/>
    </row>
    <row r="301" spans="5:12" s="898" customFormat="1">
      <c r="E301" s="1020"/>
      <c r="F301" s="1020"/>
      <c r="G301" s="1050"/>
      <c r="H301" s="1050"/>
      <c r="I301" s="1019"/>
      <c r="J301" s="1019"/>
      <c r="K301" s="1019"/>
      <c r="L301" s="1019"/>
    </row>
    <row r="302" spans="5:12" s="898" customFormat="1">
      <c r="E302" s="1020"/>
      <c r="F302" s="1020"/>
      <c r="G302" s="1050"/>
      <c r="H302" s="1050"/>
      <c r="I302" s="1019"/>
      <c r="J302" s="1019"/>
      <c r="K302" s="1019"/>
      <c r="L302" s="1019"/>
    </row>
    <row r="303" spans="5:12" s="898" customFormat="1">
      <c r="E303" s="1020"/>
      <c r="F303" s="1020"/>
      <c r="G303" s="1050"/>
      <c r="H303" s="1050"/>
      <c r="I303" s="1019"/>
      <c r="J303" s="1019"/>
      <c r="K303" s="1019"/>
      <c r="L303" s="1019"/>
    </row>
    <row r="304" spans="5:12" s="898" customFormat="1">
      <c r="E304" s="1020"/>
      <c r="F304" s="1020"/>
      <c r="G304" s="1050"/>
      <c r="H304" s="1050"/>
      <c r="I304" s="1019"/>
      <c r="J304" s="1019"/>
      <c r="K304" s="1019"/>
      <c r="L304" s="1019"/>
    </row>
    <row r="305" spans="5:12" s="898" customFormat="1">
      <c r="E305" s="1020"/>
      <c r="F305" s="1020"/>
      <c r="G305" s="1050"/>
      <c r="H305" s="1050"/>
      <c r="I305" s="1019"/>
      <c r="J305" s="1019"/>
      <c r="K305" s="1019"/>
      <c r="L305" s="1019"/>
    </row>
    <row r="306" spans="5:12" s="898" customFormat="1">
      <c r="E306" s="1020"/>
      <c r="F306" s="1020"/>
      <c r="G306" s="1050"/>
      <c r="H306" s="1050"/>
      <c r="I306" s="1019"/>
      <c r="J306" s="1019"/>
      <c r="K306" s="1019"/>
      <c r="L306" s="1019"/>
    </row>
    <row r="307" spans="5:12" s="898" customFormat="1">
      <c r="E307" s="1020"/>
      <c r="F307" s="1020"/>
      <c r="G307" s="1050"/>
      <c r="H307" s="1050"/>
      <c r="I307" s="1019"/>
      <c r="J307" s="1019"/>
      <c r="K307" s="1019"/>
      <c r="L307" s="1019"/>
    </row>
    <row r="308" spans="5:12" s="898" customFormat="1">
      <c r="E308" s="1020"/>
      <c r="F308" s="1020"/>
      <c r="G308" s="1050"/>
      <c r="H308" s="1050"/>
      <c r="I308" s="1019"/>
      <c r="J308" s="1019"/>
      <c r="K308" s="1019"/>
      <c r="L308" s="1019"/>
    </row>
    <row r="309" spans="5:12" s="898" customFormat="1">
      <c r="E309" s="1020"/>
      <c r="F309" s="1020"/>
      <c r="G309" s="1050"/>
      <c r="H309" s="1050"/>
      <c r="I309" s="1019"/>
      <c r="J309" s="1019"/>
      <c r="K309" s="1019"/>
      <c r="L309" s="1019"/>
    </row>
    <row r="310" spans="5:12" s="898" customFormat="1">
      <c r="E310" s="1020"/>
      <c r="F310" s="1020"/>
      <c r="G310" s="1050"/>
      <c r="H310" s="1050"/>
      <c r="I310" s="1019"/>
      <c r="J310" s="1019"/>
      <c r="K310" s="1019"/>
      <c r="L310" s="1019"/>
    </row>
    <row r="311" spans="5:12" s="898" customFormat="1">
      <c r="E311" s="1020"/>
      <c r="F311" s="1020"/>
      <c r="G311" s="1050"/>
      <c r="H311" s="1050"/>
      <c r="I311" s="1019"/>
      <c r="J311" s="1019"/>
      <c r="K311" s="1019"/>
      <c r="L311" s="1019"/>
    </row>
    <row r="312" spans="5:12" s="898" customFormat="1">
      <c r="E312" s="1020"/>
      <c r="F312" s="1020"/>
      <c r="G312" s="1050"/>
      <c r="H312" s="1050"/>
      <c r="I312" s="1019"/>
      <c r="J312" s="1019"/>
      <c r="K312" s="1019"/>
      <c r="L312" s="1019"/>
    </row>
    <row r="313" spans="5:12" s="898" customFormat="1">
      <c r="E313" s="1020"/>
      <c r="F313" s="1020"/>
      <c r="G313" s="1050"/>
      <c r="H313" s="1050"/>
      <c r="I313" s="1019"/>
      <c r="J313" s="1019"/>
      <c r="K313" s="1019"/>
      <c r="L313" s="1019"/>
    </row>
    <row r="314" spans="5:12" s="898" customFormat="1">
      <c r="E314" s="1020"/>
      <c r="F314" s="1020"/>
      <c r="G314" s="1050"/>
      <c r="H314" s="1050"/>
      <c r="I314" s="1019"/>
      <c r="J314" s="1019"/>
      <c r="K314" s="1019"/>
      <c r="L314" s="1019"/>
    </row>
    <row r="315" spans="5:12" s="898" customFormat="1">
      <c r="E315" s="1020"/>
      <c r="F315" s="1020"/>
      <c r="G315" s="1050"/>
      <c r="H315" s="1050"/>
      <c r="I315" s="1019"/>
      <c r="J315" s="1019"/>
      <c r="K315" s="1019"/>
      <c r="L315" s="1019"/>
    </row>
    <row r="316" spans="5:12" s="898" customFormat="1">
      <c r="E316" s="1020"/>
      <c r="F316" s="1020"/>
      <c r="G316" s="1050"/>
      <c r="H316" s="1050"/>
      <c r="I316" s="1019"/>
      <c r="J316" s="1019"/>
      <c r="K316" s="1019"/>
      <c r="L316" s="1019"/>
    </row>
    <row r="317" spans="5:12" s="898" customFormat="1">
      <c r="E317" s="1020"/>
      <c r="F317" s="1020"/>
      <c r="G317" s="1050"/>
      <c r="H317" s="1050"/>
      <c r="I317" s="1019"/>
      <c r="J317" s="1019"/>
      <c r="K317" s="1019"/>
      <c r="L317" s="1019"/>
    </row>
    <row r="318" spans="5:12" s="898" customFormat="1">
      <c r="E318" s="1020"/>
      <c r="F318" s="1020"/>
      <c r="G318" s="1050"/>
      <c r="H318" s="1050"/>
      <c r="I318" s="1019"/>
      <c r="J318" s="1019"/>
      <c r="K318" s="1019"/>
      <c r="L318" s="1019"/>
    </row>
    <row r="319" spans="5:12" s="898" customFormat="1">
      <c r="E319" s="1020"/>
      <c r="F319" s="1020"/>
      <c r="G319" s="1050"/>
      <c r="H319" s="1050"/>
      <c r="I319" s="1019"/>
      <c r="J319" s="1019"/>
      <c r="K319" s="1019"/>
      <c r="L319" s="1019"/>
    </row>
    <row r="320" spans="5:12" s="898" customFormat="1">
      <c r="E320" s="1020"/>
      <c r="F320" s="1020"/>
      <c r="G320" s="1050"/>
      <c r="H320" s="1050"/>
      <c r="I320" s="1019"/>
      <c r="J320" s="1019"/>
      <c r="K320" s="1019"/>
      <c r="L320" s="1019"/>
    </row>
    <row r="321" spans="5:12" s="898" customFormat="1">
      <c r="E321" s="1020"/>
      <c r="F321" s="1020"/>
      <c r="G321" s="1050"/>
      <c r="H321" s="1050"/>
      <c r="I321" s="1019"/>
      <c r="J321" s="1019"/>
      <c r="K321" s="1019"/>
      <c r="L321" s="1019"/>
    </row>
    <row r="322" spans="5:12" s="898" customFormat="1">
      <c r="E322" s="1020"/>
      <c r="F322" s="1020"/>
      <c r="G322" s="1050"/>
      <c r="H322" s="1050"/>
      <c r="I322" s="1019"/>
      <c r="J322" s="1019"/>
      <c r="K322" s="1019"/>
      <c r="L322" s="1019"/>
    </row>
    <row r="323" spans="5:12" s="898" customFormat="1">
      <c r="E323" s="1020"/>
      <c r="F323" s="1020"/>
      <c r="G323" s="1050"/>
      <c r="H323" s="1050"/>
      <c r="I323" s="1019"/>
      <c r="J323" s="1019"/>
      <c r="K323" s="1019"/>
      <c r="L323" s="1019"/>
    </row>
    <row r="324" spans="5:12" s="898" customFormat="1">
      <c r="E324" s="1020"/>
      <c r="F324" s="1020"/>
      <c r="G324" s="1050"/>
      <c r="H324" s="1050"/>
      <c r="I324" s="1019"/>
      <c r="J324" s="1019"/>
      <c r="K324" s="1019"/>
      <c r="L324" s="1019"/>
    </row>
    <row r="325" spans="5:12" s="898" customFormat="1">
      <c r="E325" s="1020"/>
      <c r="F325" s="1020"/>
      <c r="G325" s="1050"/>
      <c r="H325" s="1050"/>
      <c r="I325" s="1019"/>
      <c r="J325" s="1019"/>
      <c r="K325" s="1019"/>
      <c r="L325" s="1019"/>
    </row>
    <row r="326" spans="5:12" s="898" customFormat="1">
      <c r="E326" s="1020"/>
      <c r="F326" s="1020"/>
      <c r="G326" s="1050"/>
      <c r="H326" s="1050"/>
      <c r="I326" s="1019"/>
      <c r="J326" s="1019"/>
      <c r="K326" s="1019"/>
      <c r="L326" s="1019"/>
    </row>
    <row r="327" spans="5:12" s="898" customFormat="1">
      <c r="E327" s="1020"/>
      <c r="F327" s="1020"/>
      <c r="G327" s="1050"/>
      <c r="H327" s="1050"/>
      <c r="I327" s="1019"/>
      <c r="J327" s="1019"/>
      <c r="K327" s="1019"/>
      <c r="L327" s="1019"/>
    </row>
    <row r="328" spans="5:12" s="898" customFormat="1">
      <c r="E328" s="1020"/>
      <c r="F328" s="1020"/>
      <c r="G328" s="1050"/>
      <c r="H328" s="1050"/>
      <c r="I328" s="1019"/>
      <c r="J328" s="1019"/>
      <c r="K328" s="1019"/>
      <c r="L328" s="1019"/>
    </row>
    <row r="329" spans="5:12" s="898" customFormat="1">
      <c r="E329" s="1020"/>
      <c r="F329" s="1020"/>
      <c r="G329" s="1050"/>
      <c r="H329" s="1050"/>
      <c r="I329" s="1019"/>
      <c r="J329" s="1019"/>
      <c r="K329" s="1019"/>
      <c r="L329" s="1019"/>
    </row>
    <row r="330" spans="5:12" s="898" customFormat="1">
      <c r="E330" s="1020"/>
      <c r="F330" s="1020"/>
      <c r="G330" s="1050"/>
      <c r="H330" s="1050"/>
      <c r="I330" s="1019"/>
      <c r="J330" s="1019"/>
      <c r="K330" s="1019"/>
      <c r="L330" s="1019"/>
    </row>
    <row r="331" spans="5:12" s="898" customFormat="1">
      <c r="E331" s="1020"/>
      <c r="F331" s="1020"/>
      <c r="G331" s="1050"/>
      <c r="H331" s="1050"/>
      <c r="I331" s="1019"/>
      <c r="J331" s="1019"/>
      <c r="K331" s="1019"/>
      <c r="L331" s="1019"/>
    </row>
    <row r="332" spans="5:12" s="898" customFormat="1">
      <c r="E332" s="1020"/>
      <c r="F332" s="1020"/>
      <c r="G332" s="1050"/>
      <c r="H332" s="1050"/>
      <c r="I332" s="1019"/>
      <c r="J332" s="1019"/>
      <c r="K332" s="1019"/>
      <c r="L332" s="1019"/>
    </row>
    <row r="333" spans="5:12" s="898" customFormat="1">
      <c r="E333" s="1020"/>
      <c r="F333" s="1020"/>
      <c r="G333" s="1050"/>
      <c r="H333" s="1050"/>
      <c r="I333" s="1019"/>
      <c r="J333" s="1019"/>
      <c r="K333" s="1019"/>
      <c r="L333" s="1019"/>
    </row>
    <row r="334" spans="5:12" s="898" customFormat="1">
      <c r="E334" s="1020"/>
      <c r="F334" s="1020"/>
      <c r="G334" s="1050"/>
      <c r="H334" s="1050"/>
      <c r="I334" s="1019"/>
      <c r="J334" s="1019"/>
      <c r="K334" s="1019"/>
      <c r="L334" s="1019"/>
    </row>
    <row r="335" spans="5:12" s="898" customFormat="1">
      <c r="E335" s="1020"/>
      <c r="F335" s="1020"/>
      <c r="G335" s="1050"/>
      <c r="H335" s="1050"/>
      <c r="I335" s="1019"/>
      <c r="J335" s="1019"/>
      <c r="K335" s="1019"/>
      <c r="L335" s="1019"/>
    </row>
    <row r="336" spans="5:12" s="898" customFormat="1">
      <c r="E336" s="1020"/>
      <c r="F336" s="1020"/>
      <c r="G336" s="1050"/>
      <c r="H336" s="1050"/>
      <c r="I336" s="1019"/>
      <c r="J336" s="1019"/>
      <c r="K336" s="1019"/>
      <c r="L336" s="1019"/>
    </row>
    <row r="337" spans="5:12" s="898" customFormat="1">
      <c r="E337" s="1020"/>
      <c r="F337" s="1020"/>
      <c r="G337" s="1050"/>
      <c r="H337" s="1050"/>
      <c r="I337" s="1019"/>
      <c r="J337" s="1019"/>
      <c r="K337" s="1019"/>
      <c r="L337" s="1019"/>
    </row>
    <row r="338" spans="5:12" s="898" customFormat="1">
      <c r="E338" s="1020"/>
      <c r="F338" s="1020"/>
      <c r="G338" s="1050"/>
      <c r="H338" s="1050"/>
      <c r="I338" s="1019"/>
      <c r="J338" s="1019"/>
      <c r="K338" s="1019"/>
      <c r="L338" s="1019"/>
    </row>
    <row r="339" spans="5:12" s="898" customFormat="1">
      <c r="E339" s="1020"/>
      <c r="F339" s="1020"/>
      <c r="G339" s="1050"/>
      <c r="H339" s="1050"/>
      <c r="I339" s="1019"/>
      <c r="J339" s="1019"/>
      <c r="K339" s="1019"/>
      <c r="L339" s="1019"/>
    </row>
    <row r="340" spans="5:12" s="898" customFormat="1">
      <c r="E340" s="1020"/>
      <c r="F340" s="1020"/>
      <c r="G340" s="1050"/>
      <c r="H340" s="1050"/>
      <c r="I340" s="1019"/>
      <c r="J340" s="1019"/>
      <c r="K340" s="1019"/>
      <c r="L340" s="1019"/>
    </row>
    <row r="341" spans="5:12" s="898" customFormat="1">
      <c r="E341" s="1020"/>
      <c r="F341" s="1020"/>
      <c r="G341" s="1050"/>
      <c r="H341" s="1050"/>
      <c r="I341" s="1019"/>
      <c r="J341" s="1019"/>
      <c r="K341" s="1019"/>
      <c r="L341" s="1019"/>
    </row>
    <row r="342" spans="5:12" s="898" customFormat="1">
      <c r="E342" s="1020"/>
      <c r="F342" s="1020"/>
      <c r="G342" s="1050"/>
      <c r="H342" s="1050"/>
      <c r="I342" s="1019"/>
      <c r="J342" s="1019"/>
      <c r="K342" s="1019"/>
      <c r="L342" s="1019"/>
    </row>
    <row r="343" spans="5:12" s="898" customFormat="1">
      <c r="E343" s="1020"/>
      <c r="F343" s="1020"/>
      <c r="G343" s="1050"/>
      <c r="H343" s="1050"/>
      <c r="I343" s="1019"/>
      <c r="J343" s="1019"/>
      <c r="K343" s="1019"/>
      <c r="L343" s="1019"/>
    </row>
    <row r="344" spans="5:12" s="898" customFormat="1">
      <c r="E344" s="1020"/>
      <c r="F344" s="1020"/>
      <c r="G344" s="1050"/>
      <c r="H344" s="1050"/>
      <c r="I344" s="1019"/>
      <c r="J344" s="1019"/>
      <c r="K344" s="1019"/>
      <c r="L344" s="1019"/>
    </row>
    <row r="345" spans="5:12" s="898" customFormat="1">
      <c r="E345" s="1020"/>
      <c r="F345" s="1020"/>
      <c r="G345" s="1050"/>
      <c r="H345" s="1050"/>
      <c r="I345" s="1019"/>
      <c r="J345" s="1019"/>
      <c r="K345" s="1019"/>
      <c r="L345" s="1019"/>
    </row>
    <row r="346" spans="5:12" s="898" customFormat="1">
      <c r="E346" s="1020"/>
      <c r="F346" s="1020"/>
      <c r="G346" s="1050"/>
      <c r="H346" s="1050"/>
      <c r="I346" s="1019"/>
      <c r="J346" s="1019"/>
      <c r="K346" s="1019"/>
      <c r="L346" s="1019"/>
    </row>
    <row r="347" spans="5:12" s="898" customFormat="1">
      <c r="E347" s="1020"/>
      <c r="F347" s="1020"/>
      <c r="G347" s="1050"/>
      <c r="H347" s="1050"/>
      <c r="I347" s="1019"/>
      <c r="J347" s="1019"/>
      <c r="K347" s="1019"/>
      <c r="L347" s="1019"/>
    </row>
    <row r="348" spans="5:12" s="898" customFormat="1">
      <c r="E348" s="1020"/>
      <c r="F348" s="1020"/>
      <c r="G348" s="1050"/>
      <c r="H348" s="1050"/>
      <c r="I348" s="1019"/>
      <c r="J348" s="1019"/>
      <c r="K348" s="1019"/>
      <c r="L348" s="1019"/>
    </row>
    <row r="349" spans="5:12" s="898" customFormat="1">
      <c r="E349" s="1020"/>
      <c r="F349" s="1020"/>
      <c r="G349" s="1050"/>
      <c r="H349" s="1050"/>
      <c r="I349" s="1019"/>
      <c r="J349" s="1019"/>
      <c r="K349" s="1019"/>
      <c r="L349" s="1019"/>
    </row>
    <row r="350" spans="5:12" s="898" customFormat="1">
      <c r="E350" s="1020"/>
      <c r="F350" s="1020"/>
      <c r="G350" s="1050"/>
      <c r="H350" s="1050"/>
      <c r="I350" s="1019"/>
      <c r="J350" s="1019"/>
      <c r="K350" s="1019"/>
      <c r="L350" s="1019"/>
    </row>
    <row r="351" spans="5:12" s="898" customFormat="1">
      <c r="E351" s="1020"/>
      <c r="F351" s="1020"/>
      <c r="G351" s="1050"/>
      <c r="H351" s="1050"/>
      <c r="I351" s="1019"/>
      <c r="J351" s="1019"/>
      <c r="K351" s="1019"/>
      <c r="L351" s="1019"/>
    </row>
    <row r="352" spans="5:12" s="898" customFormat="1">
      <c r="E352" s="1020"/>
      <c r="F352" s="1020"/>
      <c r="G352" s="1050"/>
      <c r="H352" s="1050"/>
      <c r="I352" s="1019"/>
      <c r="J352" s="1019"/>
      <c r="K352" s="1019"/>
      <c r="L352" s="1019"/>
    </row>
    <row r="353" spans="5:12" s="898" customFormat="1">
      <c r="E353" s="1020"/>
      <c r="F353" s="1020"/>
      <c r="G353" s="1050"/>
      <c r="H353" s="1050"/>
      <c r="I353" s="1019"/>
      <c r="J353" s="1019"/>
      <c r="K353" s="1019"/>
      <c r="L353" s="1019"/>
    </row>
    <row r="354" spans="5:12" s="898" customFormat="1">
      <c r="E354" s="1020"/>
      <c r="F354" s="1020"/>
      <c r="G354" s="1050"/>
      <c r="H354" s="1050"/>
      <c r="I354" s="1019"/>
      <c r="J354" s="1019"/>
      <c r="K354" s="1019"/>
      <c r="L354" s="1019"/>
    </row>
    <row r="355" spans="5:12" s="898" customFormat="1">
      <c r="E355" s="1020"/>
      <c r="F355" s="1020"/>
      <c r="G355" s="1050"/>
      <c r="H355" s="1050"/>
      <c r="I355" s="1019"/>
      <c r="J355" s="1019"/>
      <c r="K355" s="1019"/>
      <c r="L355" s="1019"/>
    </row>
    <row r="356" spans="5:12" s="898" customFormat="1">
      <c r="E356" s="1020"/>
      <c r="F356" s="1020"/>
      <c r="G356" s="1050"/>
      <c r="H356" s="1050"/>
      <c r="I356" s="1019"/>
      <c r="J356" s="1019"/>
      <c r="K356" s="1019"/>
      <c r="L356" s="1019"/>
    </row>
    <row r="357" spans="5:12" s="898" customFormat="1">
      <c r="E357" s="1020"/>
      <c r="F357" s="1020"/>
      <c r="G357" s="1050"/>
      <c r="H357" s="1050"/>
      <c r="I357" s="1019"/>
      <c r="J357" s="1019"/>
      <c r="K357" s="1019"/>
      <c r="L357" s="1019"/>
    </row>
    <row r="358" spans="5:12" s="898" customFormat="1">
      <c r="E358" s="1020"/>
      <c r="F358" s="1020"/>
      <c r="G358" s="1050"/>
      <c r="H358" s="1050"/>
      <c r="I358" s="1019"/>
      <c r="J358" s="1019"/>
      <c r="K358" s="1019"/>
      <c r="L358" s="1019"/>
    </row>
    <row r="359" spans="5:12" s="898" customFormat="1">
      <c r="E359" s="1020"/>
      <c r="F359" s="1020"/>
      <c r="G359" s="1050"/>
      <c r="H359" s="1050"/>
      <c r="I359" s="1019"/>
      <c r="J359" s="1019"/>
      <c r="K359" s="1019"/>
      <c r="L359" s="1019"/>
    </row>
    <row r="360" spans="5:12" s="898" customFormat="1">
      <c r="E360" s="1020"/>
      <c r="F360" s="1020"/>
      <c r="G360" s="1050"/>
      <c r="H360" s="1050"/>
      <c r="I360" s="1019"/>
      <c r="J360" s="1019"/>
      <c r="K360" s="1019"/>
      <c r="L360" s="1019"/>
    </row>
    <row r="361" spans="5:12" s="898" customFormat="1">
      <c r="E361" s="1020"/>
      <c r="F361" s="1020"/>
      <c r="G361" s="1050"/>
      <c r="H361" s="1050"/>
      <c r="I361" s="1019"/>
      <c r="J361" s="1019"/>
      <c r="K361" s="1019"/>
      <c r="L361" s="1019"/>
    </row>
    <row r="362" spans="5:12" s="898" customFormat="1">
      <c r="E362" s="1020"/>
      <c r="F362" s="1020"/>
      <c r="G362" s="1050"/>
      <c r="H362" s="1050"/>
      <c r="I362" s="1019"/>
      <c r="J362" s="1019"/>
      <c r="K362" s="1019"/>
      <c r="L362" s="1019"/>
    </row>
    <row r="363" spans="5:12" s="898" customFormat="1">
      <c r="E363" s="1020"/>
      <c r="F363" s="1020"/>
      <c r="G363" s="1050"/>
      <c r="H363" s="1050"/>
      <c r="I363" s="1019"/>
      <c r="J363" s="1019"/>
      <c r="K363" s="1019"/>
      <c r="L363" s="1019"/>
    </row>
    <row r="364" spans="5:12" s="898" customFormat="1">
      <c r="E364" s="1020"/>
      <c r="F364" s="1020"/>
      <c r="G364" s="1050"/>
      <c r="H364" s="1050"/>
      <c r="I364" s="1019"/>
      <c r="J364" s="1019"/>
      <c r="K364" s="1019"/>
      <c r="L364" s="1019"/>
    </row>
    <row r="365" spans="5:12" s="898" customFormat="1">
      <c r="E365" s="1020"/>
      <c r="F365" s="1020"/>
      <c r="G365" s="1050"/>
      <c r="H365" s="1050"/>
      <c r="I365" s="1019"/>
      <c r="J365" s="1019"/>
      <c r="K365" s="1019"/>
      <c r="L365" s="1019"/>
    </row>
    <row r="366" spans="5:12" s="898" customFormat="1">
      <c r="E366" s="1020"/>
      <c r="F366" s="1020"/>
      <c r="G366" s="1050"/>
      <c r="H366" s="1050"/>
      <c r="I366" s="1019"/>
      <c r="J366" s="1019"/>
      <c r="K366" s="1019"/>
      <c r="L366" s="1019"/>
    </row>
    <row r="367" spans="5:12" s="898" customFormat="1">
      <c r="E367" s="1020"/>
      <c r="F367" s="1020"/>
      <c r="G367" s="1050"/>
      <c r="H367" s="1050"/>
      <c r="I367" s="1019"/>
      <c r="J367" s="1019"/>
      <c r="K367" s="1019"/>
      <c r="L367" s="1019"/>
    </row>
    <row r="368" spans="5:12" s="898" customFormat="1">
      <c r="E368" s="1020"/>
      <c r="F368" s="1020"/>
      <c r="G368" s="1050"/>
      <c r="H368" s="1050"/>
      <c r="I368" s="1019"/>
      <c r="J368" s="1019"/>
      <c r="K368" s="1019"/>
      <c r="L368" s="1019"/>
    </row>
    <row r="369" spans="5:16" s="898" customFormat="1">
      <c r="E369" s="1020"/>
      <c r="F369" s="1020"/>
      <c r="G369" s="1050"/>
      <c r="H369" s="1050"/>
      <c r="I369" s="1019"/>
      <c r="J369" s="1019"/>
      <c r="K369" s="1019"/>
      <c r="L369" s="1019"/>
    </row>
    <row r="370" spans="5:16" s="898" customFormat="1">
      <c r="E370" s="1020"/>
      <c r="F370" s="1020"/>
      <c r="G370" s="1050"/>
      <c r="H370" s="1050"/>
      <c r="I370" s="1019"/>
      <c r="J370" s="1019"/>
      <c r="K370" s="1019"/>
      <c r="L370" s="1019"/>
    </row>
    <row r="371" spans="5:16" s="898" customFormat="1">
      <c r="E371" s="1020"/>
      <c r="F371" s="1020"/>
      <c r="G371" s="1050"/>
      <c r="H371" s="1050"/>
      <c r="I371" s="1019"/>
      <c r="J371" s="1019"/>
      <c r="K371" s="1019"/>
      <c r="L371" s="1019"/>
    </row>
    <row r="372" spans="5:16" s="898" customFormat="1">
      <c r="E372" s="1020"/>
      <c r="F372" s="1020"/>
      <c r="G372" s="1050"/>
      <c r="H372" s="1050"/>
      <c r="I372" s="1019"/>
      <c r="J372" s="1019"/>
      <c r="K372" s="1019"/>
      <c r="L372" s="1019"/>
    </row>
    <row r="373" spans="5:16" s="898" customFormat="1">
      <c r="E373" s="1020"/>
      <c r="F373" s="1020"/>
      <c r="G373" s="1050"/>
      <c r="H373" s="1050"/>
      <c r="I373" s="1019"/>
      <c r="J373" s="1019"/>
      <c r="K373" s="1019"/>
      <c r="L373" s="1019"/>
    </row>
    <row r="374" spans="5:16" s="898" customFormat="1">
      <c r="E374" s="1020"/>
      <c r="F374" s="1020"/>
      <c r="G374" s="1050"/>
      <c r="H374" s="1050"/>
      <c r="I374" s="1019"/>
      <c r="J374" s="1019"/>
      <c r="K374" s="1019"/>
      <c r="L374" s="1019"/>
    </row>
    <row r="375" spans="5:16" s="898" customFormat="1">
      <c r="E375" s="1020"/>
      <c r="F375" s="1020"/>
      <c r="G375" s="1050"/>
      <c r="H375" s="1050"/>
      <c r="I375" s="1019"/>
      <c r="J375" s="1019"/>
      <c r="K375" s="1019"/>
      <c r="L375" s="1019"/>
    </row>
    <row r="376" spans="5:16" s="898" customFormat="1">
      <c r="E376" s="1020"/>
      <c r="F376" s="1020"/>
      <c r="G376" s="1050"/>
      <c r="H376" s="1050"/>
      <c r="I376" s="1019"/>
      <c r="J376" s="1019"/>
      <c r="K376" s="1019"/>
      <c r="L376" s="1019"/>
    </row>
    <row r="377" spans="5:16" s="898" customFormat="1">
      <c r="E377" s="1020"/>
      <c r="F377" s="1020"/>
      <c r="G377" s="1050"/>
      <c r="H377" s="1050"/>
      <c r="I377" s="1019"/>
      <c r="J377" s="1019"/>
      <c r="K377" s="1019"/>
      <c r="L377" s="1019"/>
    </row>
    <row r="378" spans="5:16" s="898" customFormat="1">
      <c r="E378" s="1020"/>
      <c r="F378" s="1020"/>
      <c r="G378" s="1050"/>
      <c r="H378" s="1050"/>
      <c r="I378" s="1019"/>
      <c r="J378" s="1019"/>
      <c r="K378" s="1019"/>
      <c r="L378" s="1019"/>
    </row>
    <row r="379" spans="5:16" s="898" customFormat="1">
      <c r="E379" s="1020"/>
      <c r="F379" s="1020"/>
      <c r="G379" s="1050"/>
      <c r="H379" s="1050"/>
      <c r="I379" s="1019"/>
      <c r="J379" s="1019"/>
      <c r="K379" s="1019"/>
      <c r="L379" s="1019"/>
    </row>
    <row r="380" spans="5:16" s="898" customFormat="1">
      <c r="E380" s="1020"/>
      <c r="F380" s="1020"/>
      <c r="G380" s="1050"/>
      <c r="H380" s="1050"/>
      <c r="I380" s="1019"/>
      <c r="J380" s="1019"/>
      <c r="K380" s="1019"/>
      <c r="L380" s="1019"/>
    </row>
    <row r="381" spans="5:16" s="898" customFormat="1">
      <c r="E381" s="1020"/>
      <c r="F381" s="1020"/>
      <c r="G381" s="1050"/>
      <c r="H381" s="1050"/>
      <c r="I381" s="1019"/>
      <c r="J381" s="1019"/>
      <c r="K381" s="1019"/>
      <c r="L381" s="1019"/>
    </row>
    <row r="382" spans="5:16" s="898" customFormat="1">
      <c r="E382" s="1020"/>
      <c r="F382" s="1020"/>
      <c r="G382" s="1050"/>
      <c r="H382" s="1050"/>
      <c r="I382" s="1019"/>
      <c r="J382" s="1019"/>
      <c r="K382" s="1019"/>
      <c r="L382" s="1019"/>
      <c r="P382" s="966"/>
    </row>
    <row r="383" spans="5:16" s="898" customFormat="1">
      <c r="E383" s="1020"/>
      <c r="F383" s="1020"/>
      <c r="G383" s="1050"/>
      <c r="H383" s="1050"/>
      <c r="I383" s="1019"/>
      <c r="J383" s="1019"/>
      <c r="K383" s="1019"/>
      <c r="L383" s="1019"/>
      <c r="P383" s="966"/>
    </row>
    <row r="384" spans="5:16" s="898" customFormat="1">
      <c r="E384" s="1020"/>
      <c r="F384" s="1020"/>
      <c r="G384" s="1050"/>
      <c r="H384" s="1050"/>
      <c r="I384" s="1019"/>
      <c r="J384" s="1019"/>
      <c r="K384" s="1019"/>
      <c r="L384" s="1019"/>
      <c r="P384" s="966"/>
    </row>
    <row r="385" spans="1:19" s="898" customFormat="1">
      <c r="E385" s="1020"/>
      <c r="F385" s="1020"/>
      <c r="G385" s="1050"/>
      <c r="H385" s="1050"/>
      <c r="I385" s="1019"/>
      <c r="J385" s="1019"/>
      <c r="K385" s="1019"/>
      <c r="L385" s="1019"/>
      <c r="P385" s="966"/>
    </row>
    <row r="386" spans="1:19" s="898" customFormat="1">
      <c r="E386" s="1020"/>
      <c r="F386" s="1020"/>
      <c r="G386" s="1050"/>
      <c r="H386" s="1050"/>
      <c r="I386" s="1019"/>
      <c r="J386" s="1019"/>
      <c r="K386" s="1019"/>
      <c r="L386" s="1019"/>
      <c r="P386" s="966"/>
    </row>
    <row r="387" spans="1:19" s="898" customFormat="1">
      <c r="E387" s="1020"/>
      <c r="F387" s="1020"/>
      <c r="G387" s="1050"/>
      <c r="H387" s="1050"/>
      <c r="I387" s="1019"/>
      <c r="J387" s="1019"/>
      <c r="K387" s="1019"/>
      <c r="L387" s="1019"/>
      <c r="P387" s="966"/>
    </row>
    <row r="388" spans="1:19" s="898" customFormat="1">
      <c r="E388" s="1020"/>
      <c r="F388" s="1020"/>
      <c r="G388" s="1050"/>
      <c r="H388" s="1050"/>
      <c r="I388" s="1019"/>
      <c r="J388" s="1019"/>
      <c r="K388" s="1019"/>
      <c r="L388" s="1019"/>
      <c r="P388" s="966"/>
    </row>
    <row r="389" spans="1:19" s="898" customFormat="1">
      <c r="E389" s="1020"/>
      <c r="F389" s="1020"/>
      <c r="G389" s="1050"/>
      <c r="H389" s="1050"/>
      <c r="I389" s="1019"/>
      <c r="J389" s="1019"/>
      <c r="K389" s="1019"/>
      <c r="L389" s="1019"/>
      <c r="P389" s="966"/>
      <c r="Q389" s="966"/>
      <c r="R389" s="966"/>
      <c r="S389" s="966"/>
    </row>
    <row r="390" spans="1:19" s="898" customFormat="1">
      <c r="E390" s="1020"/>
      <c r="F390" s="1020"/>
      <c r="G390" s="1050"/>
      <c r="H390" s="1050"/>
      <c r="I390" s="1019"/>
      <c r="J390" s="1019"/>
      <c r="K390" s="1019"/>
      <c r="L390" s="1019"/>
      <c r="P390" s="966"/>
      <c r="Q390" s="966"/>
      <c r="R390" s="966"/>
      <c r="S390" s="966"/>
    </row>
    <row r="391" spans="1:19" s="898" customFormat="1">
      <c r="E391" s="1020"/>
      <c r="F391" s="1020"/>
      <c r="G391" s="1050"/>
      <c r="H391" s="1050"/>
      <c r="I391" s="1019"/>
      <c r="J391" s="1019"/>
      <c r="K391" s="1019"/>
      <c r="L391" s="1019"/>
      <c r="P391" s="966"/>
      <c r="Q391" s="966"/>
      <c r="R391" s="966"/>
      <c r="S391" s="966"/>
    </row>
    <row r="392" spans="1:19">
      <c r="A392" s="898"/>
    </row>
  </sheetData>
  <mergeCells count="8">
    <mergeCell ref="M7:N7"/>
    <mergeCell ref="B8:K8"/>
    <mergeCell ref="B2:E2"/>
    <mergeCell ref="G2:K4"/>
    <mergeCell ref="M2:N4"/>
    <mergeCell ref="A5:B6"/>
    <mergeCell ref="I6:K6"/>
    <mergeCell ref="M6:N6"/>
  </mergeCells>
  <pageMargins left="0" right="0.7" top="0.75" bottom="0.75" header="0.3" footer="0.3"/>
  <pageSetup scale="10" fitToHeight="40" orientation="landscape" r:id="rId1"/>
  <headerFooter>
    <oddFooter>&amp;C&amp;"-,Bold"ATT Proprietary - Not for use other than by GSA and their client users.</oddFooter>
  </headerFooter>
</worksheet>
</file>

<file path=xl/worksheets/sheet39.xml><?xml version="1.0" encoding="utf-8"?>
<worksheet xmlns="http://schemas.openxmlformats.org/spreadsheetml/2006/main" xmlns:r="http://schemas.openxmlformats.org/officeDocument/2006/relationships">
  <sheetPr>
    <pageSetUpPr fitToPage="1"/>
  </sheetPr>
  <dimension ref="A1:N142"/>
  <sheetViews>
    <sheetView showWhiteSpace="0" zoomScaleNormal="100" workbookViewId="0">
      <selection activeCell="G11" sqref="G11"/>
    </sheetView>
  </sheetViews>
  <sheetFormatPr defaultRowHeight="12.75"/>
  <cols>
    <col min="1" max="1" width="23.6640625" style="966" customWidth="1"/>
    <col min="2" max="2" width="30.5" style="966" customWidth="1"/>
    <col min="3" max="3" width="14.83203125" style="966" customWidth="1"/>
    <col min="4" max="4" width="12.5" style="966" customWidth="1"/>
    <col min="5" max="6" width="10.83203125" style="1015" hidden="1" customWidth="1"/>
    <col min="7" max="7" width="9.33203125" style="1015"/>
    <col min="8" max="8" width="10.5" style="1015" bestFit="1" customWidth="1"/>
    <col min="9" max="9" width="12.5" style="912" bestFit="1" customWidth="1"/>
    <col min="10" max="10" width="13" style="912" customWidth="1"/>
    <col min="11" max="11" width="14.6640625" style="912" hidden="1" customWidth="1"/>
    <col min="12" max="12" width="12.5" style="912" hidden="1" customWidth="1"/>
    <col min="13" max="13" width="11.83203125" style="966" customWidth="1"/>
    <col min="14" max="14" width="70.6640625" style="966" customWidth="1"/>
    <col min="15" max="258" width="9.33203125" style="898"/>
    <col min="259" max="259" width="18.1640625" style="898" customWidth="1"/>
    <col min="260" max="260" width="23.1640625" style="898" customWidth="1"/>
    <col min="261" max="261" width="12.5" style="898" customWidth="1"/>
    <col min="262" max="262" width="10.83203125" style="898" customWidth="1"/>
    <col min="263" max="263" width="9.33203125" style="898"/>
    <col min="264" max="264" width="12.1640625" style="898" customWidth="1"/>
    <col min="265" max="265" width="11.1640625" style="898" customWidth="1"/>
    <col min="266" max="266" width="13.1640625" style="898" customWidth="1"/>
    <col min="267" max="267" width="11" style="898" customWidth="1"/>
    <col min="268" max="268" width="7.5" style="898" customWidth="1"/>
    <col min="269" max="269" width="18.5" style="898" customWidth="1"/>
    <col min="270" max="270" width="23.6640625" style="898" customWidth="1"/>
    <col min="271" max="514" width="9.33203125" style="898"/>
    <col min="515" max="515" width="18.1640625" style="898" customWidth="1"/>
    <col min="516" max="516" width="23.1640625" style="898" customWidth="1"/>
    <col min="517" max="517" width="12.5" style="898" customWidth="1"/>
    <col min="518" max="518" width="10.83203125" style="898" customWidth="1"/>
    <col min="519" max="519" width="9.33203125" style="898"/>
    <col min="520" max="520" width="12.1640625" style="898" customWidth="1"/>
    <col min="521" max="521" width="11.1640625" style="898" customWidth="1"/>
    <col min="522" max="522" width="13.1640625" style="898" customWidth="1"/>
    <col min="523" max="523" width="11" style="898" customWidth="1"/>
    <col min="524" max="524" width="7.5" style="898" customWidth="1"/>
    <col min="525" max="525" width="18.5" style="898" customWidth="1"/>
    <col min="526" max="526" width="23.6640625" style="898" customWidth="1"/>
    <col min="527" max="770" width="9.33203125" style="898"/>
    <col min="771" max="771" width="18.1640625" style="898" customWidth="1"/>
    <col min="772" max="772" width="23.1640625" style="898" customWidth="1"/>
    <col min="773" max="773" width="12.5" style="898" customWidth="1"/>
    <col min="774" max="774" width="10.83203125" style="898" customWidth="1"/>
    <col min="775" max="775" width="9.33203125" style="898"/>
    <col min="776" max="776" width="12.1640625" style="898" customWidth="1"/>
    <col min="777" max="777" width="11.1640625" style="898" customWidth="1"/>
    <col min="778" max="778" width="13.1640625" style="898" customWidth="1"/>
    <col min="779" max="779" width="11" style="898" customWidth="1"/>
    <col min="780" max="780" width="7.5" style="898" customWidth="1"/>
    <col min="781" max="781" width="18.5" style="898" customWidth="1"/>
    <col min="782" max="782" width="23.6640625" style="898" customWidth="1"/>
    <col min="783" max="1026" width="9.33203125" style="898"/>
    <col min="1027" max="1027" width="18.1640625" style="898" customWidth="1"/>
    <col min="1028" max="1028" width="23.1640625" style="898" customWidth="1"/>
    <col min="1029" max="1029" width="12.5" style="898" customWidth="1"/>
    <col min="1030" max="1030" width="10.83203125" style="898" customWidth="1"/>
    <col min="1031" max="1031" width="9.33203125" style="898"/>
    <col min="1032" max="1032" width="12.1640625" style="898" customWidth="1"/>
    <col min="1033" max="1033" width="11.1640625" style="898" customWidth="1"/>
    <col min="1034" max="1034" width="13.1640625" style="898" customWidth="1"/>
    <col min="1035" max="1035" width="11" style="898" customWidth="1"/>
    <col min="1036" max="1036" width="7.5" style="898" customWidth="1"/>
    <col min="1037" max="1037" width="18.5" style="898" customWidth="1"/>
    <col min="1038" max="1038" width="23.6640625" style="898" customWidth="1"/>
    <col min="1039" max="1282" width="9.33203125" style="898"/>
    <col min="1283" max="1283" width="18.1640625" style="898" customWidth="1"/>
    <col min="1284" max="1284" width="23.1640625" style="898" customWidth="1"/>
    <col min="1285" max="1285" width="12.5" style="898" customWidth="1"/>
    <col min="1286" max="1286" width="10.83203125" style="898" customWidth="1"/>
    <col min="1287" max="1287" width="9.33203125" style="898"/>
    <col min="1288" max="1288" width="12.1640625" style="898" customWidth="1"/>
    <col min="1289" max="1289" width="11.1640625" style="898" customWidth="1"/>
    <col min="1290" max="1290" width="13.1640625" style="898" customWidth="1"/>
    <col min="1291" max="1291" width="11" style="898" customWidth="1"/>
    <col min="1292" max="1292" width="7.5" style="898" customWidth="1"/>
    <col min="1293" max="1293" width="18.5" style="898" customWidth="1"/>
    <col min="1294" max="1294" width="23.6640625" style="898" customWidth="1"/>
    <col min="1295" max="1538" width="9.33203125" style="898"/>
    <col min="1539" max="1539" width="18.1640625" style="898" customWidth="1"/>
    <col min="1540" max="1540" width="23.1640625" style="898" customWidth="1"/>
    <col min="1541" max="1541" width="12.5" style="898" customWidth="1"/>
    <col min="1542" max="1542" width="10.83203125" style="898" customWidth="1"/>
    <col min="1543" max="1543" width="9.33203125" style="898"/>
    <col min="1544" max="1544" width="12.1640625" style="898" customWidth="1"/>
    <col min="1545" max="1545" width="11.1640625" style="898" customWidth="1"/>
    <col min="1546" max="1546" width="13.1640625" style="898" customWidth="1"/>
    <col min="1547" max="1547" width="11" style="898" customWidth="1"/>
    <col min="1548" max="1548" width="7.5" style="898" customWidth="1"/>
    <col min="1549" max="1549" width="18.5" style="898" customWidth="1"/>
    <col min="1550" max="1550" width="23.6640625" style="898" customWidth="1"/>
    <col min="1551" max="1794" width="9.33203125" style="898"/>
    <col min="1795" max="1795" width="18.1640625" style="898" customWidth="1"/>
    <col min="1796" max="1796" width="23.1640625" style="898" customWidth="1"/>
    <col min="1797" max="1797" width="12.5" style="898" customWidth="1"/>
    <col min="1798" max="1798" width="10.83203125" style="898" customWidth="1"/>
    <col min="1799" max="1799" width="9.33203125" style="898"/>
    <col min="1800" max="1800" width="12.1640625" style="898" customWidth="1"/>
    <col min="1801" max="1801" width="11.1640625" style="898" customWidth="1"/>
    <col min="1802" max="1802" width="13.1640625" style="898" customWidth="1"/>
    <col min="1803" max="1803" width="11" style="898" customWidth="1"/>
    <col min="1804" max="1804" width="7.5" style="898" customWidth="1"/>
    <col min="1805" max="1805" width="18.5" style="898" customWidth="1"/>
    <col min="1806" max="1806" width="23.6640625" style="898" customWidth="1"/>
    <col min="1807" max="2050" width="9.33203125" style="898"/>
    <col min="2051" max="2051" width="18.1640625" style="898" customWidth="1"/>
    <col min="2052" max="2052" width="23.1640625" style="898" customWidth="1"/>
    <col min="2053" max="2053" width="12.5" style="898" customWidth="1"/>
    <col min="2054" max="2054" width="10.83203125" style="898" customWidth="1"/>
    <col min="2055" max="2055" width="9.33203125" style="898"/>
    <col min="2056" max="2056" width="12.1640625" style="898" customWidth="1"/>
    <col min="2057" max="2057" width="11.1640625" style="898" customWidth="1"/>
    <col min="2058" max="2058" width="13.1640625" style="898" customWidth="1"/>
    <col min="2059" max="2059" width="11" style="898" customWidth="1"/>
    <col min="2060" max="2060" width="7.5" style="898" customWidth="1"/>
    <col min="2061" max="2061" width="18.5" style="898" customWidth="1"/>
    <col min="2062" max="2062" width="23.6640625" style="898" customWidth="1"/>
    <col min="2063" max="2306" width="9.33203125" style="898"/>
    <col min="2307" max="2307" width="18.1640625" style="898" customWidth="1"/>
    <col min="2308" max="2308" width="23.1640625" style="898" customWidth="1"/>
    <col min="2309" max="2309" width="12.5" style="898" customWidth="1"/>
    <col min="2310" max="2310" width="10.83203125" style="898" customWidth="1"/>
    <col min="2311" max="2311" width="9.33203125" style="898"/>
    <col min="2312" max="2312" width="12.1640625" style="898" customWidth="1"/>
    <col min="2313" max="2313" width="11.1640625" style="898" customWidth="1"/>
    <col min="2314" max="2314" width="13.1640625" style="898" customWidth="1"/>
    <col min="2315" max="2315" width="11" style="898" customWidth="1"/>
    <col min="2316" max="2316" width="7.5" style="898" customWidth="1"/>
    <col min="2317" max="2317" width="18.5" style="898" customWidth="1"/>
    <col min="2318" max="2318" width="23.6640625" style="898" customWidth="1"/>
    <col min="2319" max="2562" width="9.33203125" style="898"/>
    <col min="2563" max="2563" width="18.1640625" style="898" customWidth="1"/>
    <col min="2564" max="2564" width="23.1640625" style="898" customWidth="1"/>
    <col min="2565" max="2565" width="12.5" style="898" customWidth="1"/>
    <col min="2566" max="2566" width="10.83203125" style="898" customWidth="1"/>
    <col min="2567" max="2567" width="9.33203125" style="898"/>
    <col min="2568" max="2568" width="12.1640625" style="898" customWidth="1"/>
    <col min="2569" max="2569" width="11.1640625" style="898" customWidth="1"/>
    <col min="2570" max="2570" width="13.1640625" style="898" customWidth="1"/>
    <col min="2571" max="2571" width="11" style="898" customWidth="1"/>
    <col min="2572" max="2572" width="7.5" style="898" customWidth="1"/>
    <col min="2573" max="2573" width="18.5" style="898" customWidth="1"/>
    <col min="2574" max="2574" width="23.6640625" style="898" customWidth="1"/>
    <col min="2575" max="2818" width="9.33203125" style="898"/>
    <col min="2819" max="2819" width="18.1640625" style="898" customWidth="1"/>
    <col min="2820" max="2820" width="23.1640625" style="898" customWidth="1"/>
    <col min="2821" max="2821" width="12.5" style="898" customWidth="1"/>
    <col min="2822" max="2822" width="10.83203125" style="898" customWidth="1"/>
    <col min="2823" max="2823" width="9.33203125" style="898"/>
    <col min="2824" max="2824" width="12.1640625" style="898" customWidth="1"/>
    <col min="2825" max="2825" width="11.1640625" style="898" customWidth="1"/>
    <col min="2826" max="2826" width="13.1640625" style="898" customWidth="1"/>
    <col min="2827" max="2827" width="11" style="898" customWidth="1"/>
    <col min="2828" max="2828" width="7.5" style="898" customWidth="1"/>
    <col min="2829" max="2829" width="18.5" style="898" customWidth="1"/>
    <col min="2830" max="2830" width="23.6640625" style="898" customWidth="1"/>
    <col min="2831" max="3074" width="9.33203125" style="898"/>
    <col min="3075" max="3075" width="18.1640625" style="898" customWidth="1"/>
    <col min="3076" max="3076" width="23.1640625" style="898" customWidth="1"/>
    <col min="3077" max="3077" width="12.5" style="898" customWidth="1"/>
    <col min="3078" max="3078" width="10.83203125" style="898" customWidth="1"/>
    <col min="3079" max="3079" width="9.33203125" style="898"/>
    <col min="3080" max="3080" width="12.1640625" style="898" customWidth="1"/>
    <col min="3081" max="3081" width="11.1640625" style="898" customWidth="1"/>
    <col min="3082" max="3082" width="13.1640625" style="898" customWidth="1"/>
    <col min="3083" max="3083" width="11" style="898" customWidth="1"/>
    <col min="3084" max="3084" width="7.5" style="898" customWidth="1"/>
    <col min="3085" max="3085" width="18.5" style="898" customWidth="1"/>
    <col min="3086" max="3086" width="23.6640625" style="898" customWidth="1"/>
    <col min="3087" max="3330" width="9.33203125" style="898"/>
    <col min="3331" max="3331" width="18.1640625" style="898" customWidth="1"/>
    <col min="3332" max="3332" width="23.1640625" style="898" customWidth="1"/>
    <col min="3333" max="3333" width="12.5" style="898" customWidth="1"/>
    <col min="3334" max="3334" width="10.83203125" style="898" customWidth="1"/>
    <col min="3335" max="3335" width="9.33203125" style="898"/>
    <col min="3336" max="3336" width="12.1640625" style="898" customWidth="1"/>
    <col min="3337" max="3337" width="11.1640625" style="898" customWidth="1"/>
    <col min="3338" max="3338" width="13.1640625" style="898" customWidth="1"/>
    <col min="3339" max="3339" width="11" style="898" customWidth="1"/>
    <col min="3340" max="3340" width="7.5" style="898" customWidth="1"/>
    <col min="3341" max="3341" width="18.5" style="898" customWidth="1"/>
    <col min="3342" max="3342" width="23.6640625" style="898" customWidth="1"/>
    <col min="3343" max="3586" width="9.33203125" style="898"/>
    <col min="3587" max="3587" width="18.1640625" style="898" customWidth="1"/>
    <col min="3588" max="3588" width="23.1640625" style="898" customWidth="1"/>
    <col min="3589" max="3589" width="12.5" style="898" customWidth="1"/>
    <col min="3590" max="3590" width="10.83203125" style="898" customWidth="1"/>
    <col min="3591" max="3591" width="9.33203125" style="898"/>
    <col min="3592" max="3592" width="12.1640625" style="898" customWidth="1"/>
    <col min="3593" max="3593" width="11.1640625" style="898" customWidth="1"/>
    <col min="3594" max="3594" width="13.1640625" style="898" customWidth="1"/>
    <col min="3595" max="3595" width="11" style="898" customWidth="1"/>
    <col min="3596" max="3596" width="7.5" style="898" customWidth="1"/>
    <col min="3597" max="3597" width="18.5" style="898" customWidth="1"/>
    <col min="3598" max="3598" width="23.6640625" style="898" customWidth="1"/>
    <col min="3599" max="3842" width="9.33203125" style="898"/>
    <col min="3843" max="3843" width="18.1640625" style="898" customWidth="1"/>
    <col min="3844" max="3844" width="23.1640625" style="898" customWidth="1"/>
    <col min="3845" max="3845" width="12.5" style="898" customWidth="1"/>
    <col min="3846" max="3846" width="10.83203125" style="898" customWidth="1"/>
    <col min="3847" max="3847" width="9.33203125" style="898"/>
    <col min="3848" max="3848" width="12.1640625" style="898" customWidth="1"/>
    <col min="3849" max="3849" width="11.1640625" style="898" customWidth="1"/>
    <col min="3850" max="3850" width="13.1640625" style="898" customWidth="1"/>
    <col min="3851" max="3851" width="11" style="898" customWidth="1"/>
    <col min="3852" max="3852" width="7.5" style="898" customWidth="1"/>
    <col min="3853" max="3853" width="18.5" style="898" customWidth="1"/>
    <col min="3854" max="3854" width="23.6640625" style="898" customWidth="1"/>
    <col min="3855" max="4098" width="9.33203125" style="898"/>
    <col min="4099" max="4099" width="18.1640625" style="898" customWidth="1"/>
    <col min="4100" max="4100" width="23.1640625" style="898" customWidth="1"/>
    <col min="4101" max="4101" width="12.5" style="898" customWidth="1"/>
    <col min="4102" max="4102" width="10.83203125" style="898" customWidth="1"/>
    <col min="4103" max="4103" width="9.33203125" style="898"/>
    <col min="4104" max="4104" width="12.1640625" style="898" customWidth="1"/>
    <col min="4105" max="4105" width="11.1640625" style="898" customWidth="1"/>
    <col min="4106" max="4106" width="13.1640625" style="898" customWidth="1"/>
    <col min="4107" max="4107" width="11" style="898" customWidth="1"/>
    <col min="4108" max="4108" width="7.5" style="898" customWidth="1"/>
    <col min="4109" max="4109" width="18.5" style="898" customWidth="1"/>
    <col min="4110" max="4110" width="23.6640625" style="898" customWidth="1"/>
    <col min="4111" max="4354" width="9.33203125" style="898"/>
    <col min="4355" max="4355" width="18.1640625" style="898" customWidth="1"/>
    <col min="4356" max="4356" width="23.1640625" style="898" customWidth="1"/>
    <col min="4357" max="4357" width="12.5" style="898" customWidth="1"/>
    <col min="4358" max="4358" width="10.83203125" style="898" customWidth="1"/>
    <col min="4359" max="4359" width="9.33203125" style="898"/>
    <col min="4360" max="4360" width="12.1640625" style="898" customWidth="1"/>
    <col min="4361" max="4361" width="11.1640625" style="898" customWidth="1"/>
    <col min="4362" max="4362" width="13.1640625" style="898" customWidth="1"/>
    <col min="4363" max="4363" width="11" style="898" customWidth="1"/>
    <col min="4364" max="4364" width="7.5" style="898" customWidth="1"/>
    <col min="4365" max="4365" width="18.5" style="898" customWidth="1"/>
    <col min="4366" max="4366" width="23.6640625" style="898" customWidth="1"/>
    <col min="4367" max="4610" width="9.33203125" style="898"/>
    <col min="4611" max="4611" width="18.1640625" style="898" customWidth="1"/>
    <col min="4612" max="4612" width="23.1640625" style="898" customWidth="1"/>
    <col min="4613" max="4613" width="12.5" style="898" customWidth="1"/>
    <col min="4614" max="4614" width="10.83203125" style="898" customWidth="1"/>
    <col min="4615" max="4615" width="9.33203125" style="898"/>
    <col min="4616" max="4616" width="12.1640625" style="898" customWidth="1"/>
    <col min="4617" max="4617" width="11.1640625" style="898" customWidth="1"/>
    <col min="4618" max="4618" width="13.1640625" style="898" customWidth="1"/>
    <col min="4619" max="4619" width="11" style="898" customWidth="1"/>
    <col min="4620" max="4620" width="7.5" style="898" customWidth="1"/>
    <col min="4621" max="4621" width="18.5" style="898" customWidth="1"/>
    <col min="4622" max="4622" width="23.6640625" style="898" customWidth="1"/>
    <col min="4623" max="4866" width="9.33203125" style="898"/>
    <col min="4867" max="4867" width="18.1640625" style="898" customWidth="1"/>
    <col min="4868" max="4868" width="23.1640625" style="898" customWidth="1"/>
    <col min="4869" max="4869" width="12.5" style="898" customWidth="1"/>
    <col min="4870" max="4870" width="10.83203125" style="898" customWidth="1"/>
    <col min="4871" max="4871" width="9.33203125" style="898"/>
    <col min="4872" max="4872" width="12.1640625" style="898" customWidth="1"/>
    <col min="4873" max="4873" width="11.1640625" style="898" customWidth="1"/>
    <col min="4874" max="4874" width="13.1640625" style="898" customWidth="1"/>
    <col min="4875" max="4875" width="11" style="898" customWidth="1"/>
    <col min="4876" max="4876" width="7.5" style="898" customWidth="1"/>
    <col min="4877" max="4877" width="18.5" style="898" customWidth="1"/>
    <col min="4878" max="4878" width="23.6640625" style="898" customWidth="1"/>
    <col min="4879" max="5122" width="9.33203125" style="898"/>
    <col min="5123" max="5123" width="18.1640625" style="898" customWidth="1"/>
    <col min="5124" max="5124" width="23.1640625" style="898" customWidth="1"/>
    <col min="5125" max="5125" width="12.5" style="898" customWidth="1"/>
    <col min="5126" max="5126" width="10.83203125" style="898" customWidth="1"/>
    <col min="5127" max="5127" width="9.33203125" style="898"/>
    <col min="5128" max="5128" width="12.1640625" style="898" customWidth="1"/>
    <col min="5129" max="5129" width="11.1640625" style="898" customWidth="1"/>
    <col min="5130" max="5130" width="13.1640625" style="898" customWidth="1"/>
    <col min="5131" max="5131" width="11" style="898" customWidth="1"/>
    <col min="5132" max="5132" width="7.5" style="898" customWidth="1"/>
    <col min="5133" max="5133" width="18.5" style="898" customWidth="1"/>
    <col min="5134" max="5134" width="23.6640625" style="898" customWidth="1"/>
    <col min="5135" max="5378" width="9.33203125" style="898"/>
    <col min="5379" max="5379" width="18.1640625" style="898" customWidth="1"/>
    <col min="5380" max="5380" width="23.1640625" style="898" customWidth="1"/>
    <col min="5381" max="5381" width="12.5" style="898" customWidth="1"/>
    <col min="5382" max="5382" width="10.83203125" style="898" customWidth="1"/>
    <col min="5383" max="5383" width="9.33203125" style="898"/>
    <col min="5384" max="5384" width="12.1640625" style="898" customWidth="1"/>
    <col min="5385" max="5385" width="11.1640625" style="898" customWidth="1"/>
    <col min="5386" max="5386" width="13.1640625" style="898" customWidth="1"/>
    <col min="5387" max="5387" width="11" style="898" customWidth="1"/>
    <col min="5388" max="5388" width="7.5" style="898" customWidth="1"/>
    <col min="5389" max="5389" width="18.5" style="898" customWidth="1"/>
    <col min="5390" max="5390" width="23.6640625" style="898" customWidth="1"/>
    <col min="5391" max="5634" width="9.33203125" style="898"/>
    <col min="5635" max="5635" width="18.1640625" style="898" customWidth="1"/>
    <col min="5636" max="5636" width="23.1640625" style="898" customWidth="1"/>
    <col min="5637" max="5637" width="12.5" style="898" customWidth="1"/>
    <col min="5638" max="5638" width="10.83203125" style="898" customWidth="1"/>
    <col min="5639" max="5639" width="9.33203125" style="898"/>
    <col min="5640" max="5640" width="12.1640625" style="898" customWidth="1"/>
    <col min="5641" max="5641" width="11.1640625" style="898" customWidth="1"/>
    <col min="5642" max="5642" width="13.1640625" style="898" customWidth="1"/>
    <col min="5643" max="5643" width="11" style="898" customWidth="1"/>
    <col min="5644" max="5644" width="7.5" style="898" customWidth="1"/>
    <col min="5645" max="5645" width="18.5" style="898" customWidth="1"/>
    <col min="5646" max="5646" width="23.6640625" style="898" customWidth="1"/>
    <col min="5647" max="5890" width="9.33203125" style="898"/>
    <col min="5891" max="5891" width="18.1640625" style="898" customWidth="1"/>
    <col min="5892" max="5892" width="23.1640625" style="898" customWidth="1"/>
    <col min="5893" max="5893" width="12.5" style="898" customWidth="1"/>
    <col min="5894" max="5894" width="10.83203125" style="898" customWidth="1"/>
    <col min="5895" max="5895" width="9.33203125" style="898"/>
    <col min="5896" max="5896" width="12.1640625" style="898" customWidth="1"/>
    <col min="5897" max="5897" width="11.1640625" style="898" customWidth="1"/>
    <col min="5898" max="5898" width="13.1640625" style="898" customWidth="1"/>
    <col min="5899" max="5899" width="11" style="898" customWidth="1"/>
    <col min="5900" max="5900" width="7.5" style="898" customWidth="1"/>
    <col min="5901" max="5901" width="18.5" style="898" customWidth="1"/>
    <col min="5902" max="5902" width="23.6640625" style="898" customWidth="1"/>
    <col min="5903" max="6146" width="9.33203125" style="898"/>
    <col min="6147" max="6147" width="18.1640625" style="898" customWidth="1"/>
    <col min="6148" max="6148" width="23.1640625" style="898" customWidth="1"/>
    <col min="6149" max="6149" width="12.5" style="898" customWidth="1"/>
    <col min="6150" max="6150" width="10.83203125" style="898" customWidth="1"/>
    <col min="6151" max="6151" width="9.33203125" style="898"/>
    <col min="6152" max="6152" width="12.1640625" style="898" customWidth="1"/>
    <col min="6153" max="6153" width="11.1640625" style="898" customWidth="1"/>
    <col min="6154" max="6154" width="13.1640625" style="898" customWidth="1"/>
    <col min="6155" max="6155" width="11" style="898" customWidth="1"/>
    <col min="6156" max="6156" width="7.5" style="898" customWidth="1"/>
    <col min="6157" max="6157" width="18.5" style="898" customWidth="1"/>
    <col min="6158" max="6158" width="23.6640625" style="898" customWidth="1"/>
    <col min="6159" max="6402" width="9.33203125" style="898"/>
    <col min="6403" max="6403" width="18.1640625" style="898" customWidth="1"/>
    <col min="6404" max="6404" width="23.1640625" style="898" customWidth="1"/>
    <col min="6405" max="6405" width="12.5" style="898" customWidth="1"/>
    <col min="6406" max="6406" width="10.83203125" style="898" customWidth="1"/>
    <col min="6407" max="6407" width="9.33203125" style="898"/>
    <col min="6408" max="6408" width="12.1640625" style="898" customWidth="1"/>
    <col min="6409" max="6409" width="11.1640625" style="898" customWidth="1"/>
    <col min="6410" max="6410" width="13.1640625" style="898" customWidth="1"/>
    <col min="6411" max="6411" width="11" style="898" customWidth="1"/>
    <col min="6412" max="6412" width="7.5" style="898" customWidth="1"/>
    <col min="6413" max="6413" width="18.5" style="898" customWidth="1"/>
    <col min="6414" max="6414" width="23.6640625" style="898" customWidth="1"/>
    <col min="6415" max="6658" width="9.33203125" style="898"/>
    <col min="6659" max="6659" width="18.1640625" style="898" customWidth="1"/>
    <col min="6660" max="6660" width="23.1640625" style="898" customWidth="1"/>
    <col min="6661" max="6661" width="12.5" style="898" customWidth="1"/>
    <col min="6662" max="6662" width="10.83203125" style="898" customWidth="1"/>
    <col min="6663" max="6663" width="9.33203125" style="898"/>
    <col min="6664" max="6664" width="12.1640625" style="898" customWidth="1"/>
    <col min="6665" max="6665" width="11.1640625" style="898" customWidth="1"/>
    <col min="6666" max="6666" width="13.1640625" style="898" customWidth="1"/>
    <col min="6667" max="6667" width="11" style="898" customWidth="1"/>
    <col min="6668" max="6668" width="7.5" style="898" customWidth="1"/>
    <col min="6669" max="6669" width="18.5" style="898" customWidth="1"/>
    <col min="6670" max="6670" width="23.6640625" style="898" customWidth="1"/>
    <col min="6671" max="6914" width="9.33203125" style="898"/>
    <col min="6915" max="6915" width="18.1640625" style="898" customWidth="1"/>
    <col min="6916" max="6916" width="23.1640625" style="898" customWidth="1"/>
    <col min="6917" max="6917" width="12.5" style="898" customWidth="1"/>
    <col min="6918" max="6918" width="10.83203125" style="898" customWidth="1"/>
    <col min="6919" max="6919" width="9.33203125" style="898"/>
    <col min="6920" max="6920" width="12.1640625" style="898" customWidth="1"/>
    <col min="6921" max="6921" width="11.1640625" style="898" customWidth="1"/>
    <col min="6922" max="6922" width="13.1640625" style="898" customWidth="1"/>
    <col min="6923" max="6923" width="11" style="898" customWidth="1"/>
    <col min="6924" max="6924" width="7.5" style="898" customWidth="1"/>
    <col min="6925" max="6925" width="18.5" style="898" customWidth="1"/>
    <col min="6926" max="6926" width="23.6640625" style="898" customWidth="1"/>
    <col min="6927" max="7170" width="9.33203125" style="898"/>
    <col min="7171" max="7171" width="18.1640625" style="898" customWidth="1"/>
    <col min="7172" max="7172" width="23.1640625" style="898" customWidth="1"/>
    <col min="7173" max="7173" width="12.5" style="898" customWidth="1"/>
    <col min="7174" max="7174" width="10.83203125" style="898" customWidth="1"/>
    <col min="7175" max="7175" width="9.33203125" style="898"/>
    <col min="7176" max="7176" width="12.1640625" style="898" customWidth="1"/>
    <col min="7177" max="7177" width="11.1640625" style="898" customWidth="1"/>
    <col min="7178" max="7178" width="13.1640625" style="898" customWidth="1"/>
    <col min="7179" max="7179" width="11" style="898" customWidth="1"/>
    <col min="7180" max="7180" width="7.5" style="898" customWidth="1"/>
    <col min="7181" max="7181" width="18.5" style="898" customWidth="1"/>
    <col min="7182" max="7182" width="23.6640625" style="898" customWidth="1"/>
    <col min="7183" max="7426" width="9.33203125" style="898"/>
    <col min="7427" max="7427" width="18.1640625" style="898" customWidth="1"/>
    <col min="7428" max="7428" width="23.1640625" style="898" customWidth="1"/>
    <col min="7429" max="7429" width="12.5" style="898" customWidth="1"/>
    <col min="7430" max="7430" width="10.83203125" style="898" customWidth="1"/>
    <col min="7431" max="7431" width="9.33203125" style="898"/>
    <col min="7432" max="7432" width="12.1640625" style="898" customWidth="1"/>
    <col min="7433" max="7433" width="11.1640625" style="898" customWidth="1"/>
    <col min="7434" max="7434" width="13.1640625" style="898" customWidth="1"/>
    <col min="7435" max="7435" width="11" style="898" customWidth="1"/>
    <col min="7436" max="7436" width="7.5" style="898" customWidth="1"/>
    <col min="7437" max="7437" width="18.5" style="898" customWidth="1"/>
    <col min="7438" max="7438" width="23.6640625" style="898" customWidth="1"/>
    <col min="7439" max="7682" width="9.33203125" style="898"/>
    <col min="7683" max="7683" width="18.1640625" style="898" customWidth="1"/>
    <col min="7684" max="7684" width="23.1640625" style="898" customWidth="1"/>
    <col min="7685" max="7685" width="12.5" style="898" customWidth="1"/>
    <col min="7686" max="7686" width="10.83203125" style="898" customWidth="1"/>
    <col min="7687" max="7687" width="9.33203125" style="898"/>
    <col min="7688" max="7688" width="12.1640625" style="898" customWidth="1"/>
    <col min="7689" max="7689" width="11.1640625" style="898" customWidth="1"/>
    <col min="7690" max="7690" width="13.1640625" style="898" customWidth="1"/>
    <col min="7691" max="7691" width="11" style="898" customWidth="1"/>
    <col min="7692" max="7692" width="7.5" style="898" customWidth="1"/>
    <col min="7693" max="7693" width="18.5" style="898" customWidth="1"/>
    <col min="7694" max="7694" width="23.6640625" style="898" customWidth="1"/>
    <col min="7695" max="7938" width="9.33203125" style="898"/>
    <col min="7939" max="7939" width="18.1640625" style="898" customWidth="1"/>
    <col min="7940" max="7940" width="23.1640625" style="898" customWidth="1"/>
    <col min="7941" max="7941" width="12.5" style="898" customWidth="1"/>
    <col min="7942" max="7942" width="10.83203125" style="898" customWidth="1"/>
    <col min="7943" max="7943" width="9.33203125" style="898"/>
    <col min="7944" max="7944" width="12.1640625" style="898" customWidth="1"/>
    <col min="7945" max="7945" width="11.1640625" style="898" customWidth="1"/>
    <col min="7946" max="7946" width="13.1640625" style="898" customWidth="1"/>
    <col min="7947" max="7947" width="11" style="898" customWidth="1"/>
    <col min="7948" max="7948" width="7.5" style="898" customWidth="1"/>
    <col min="7949" max="7949" width="18.5" style="898" customWidth="1"/>
    <col min="7950" max="7950" width="23.6640625" style="898" customWidth="1"/>
    <col min="7951" max="8194" width="9.33203125" style="898"/>
    <col min="8195" max="8195" width="18.1640625" style="898" customWidth="1"/>
    <col min="8196" max="8196" width="23.1640625" style="898" customWidth="1"/>
    <col min="8197" max="8197" width="12.5" style="898" customWidth="1"/>
    <col min="8198" max="8198" width="10.83203125" style="898" customWidth="1"/>
    <col min="8199" max="8199" width="9.33203125" style="898"/>
    <col min="8200" max="8200" width="12.1640625" style="898" customWidth="1"/>
    <col min="8201" max="8201" width="11.1640625" style="898" customWidth="1"/>
    <col min="8202" max="8202" width="13.1640625" style="898" customWidth="1"/>
    <col min="8203" max="8203" width="11" style="898" customWidth="1"/>
    <col min="8204" max="8204" width="7.5" style="898" customWidth="1"/>
    <col min="8205" max="8205" width="18.5" style="898" customWidth="1"/>
    <col min="8206" max="8206" width="23.6640625" style="898" customWidth="1"/>
    <col min="8207" max="8450" width="9.33203125" style="898"/>
    <col min="8451" max="8451" width="18.1640625" style="898" customWidth="1"/>
    <col min="8452" max="8452" width="23.1640625" style="898" customWidth="1"/>
    <col min="8453" max="8453" width="12.5" style="898" customWidth="1"/>
    <col min="8454" max="8454" width="10.83203125" style="898" customWidth="1"/>
    <col min="8455" max="8455" width="9.33203125" style="898"/>
    <col min="8456" max="8456" width="12.1640625" style="898" customWidth="1"/>
    <col min="8457" max="8457" width="11.1640625" style="898" customWidth="1"/>
    <col min="8458" max="8458" width="13.1640625" style="898" customWidth="1"/>
    <col min="8459" max="8459" width="11" style="898" customWidth="1"/>
    <col min="8460" max="8460" width="7.5" style="898" customWidth="1"/>
    <col min="8461" max="8461" width="18.5" style="898" customWidth="1"/>
    <col min="8462" max="8462" width="23.6640625" style="898" customWidth="1"/>
    <col min="8463" max="8706" width="9.33203125" style="898"/>
    <col min="8707" max="8707" width="18.1640625" style="898" customWidth="1"/>
    <col min="8708" max="8708" width="23.1640625" style="898" customWidth="1"/>
    <col min="8709" max="8709" width="12.5" style="898" customWidth="1"/>
    <col min="8710" max="8710" width="10.83203125" style="898" customWidth="1"/>
    <col min="8711" max="8711" width="9.33203125" style="898"/>
    <col min="8712" max="8712" width="12.1640625" style="898" customWidth="1"/>
    <col min="8713" max="8713" width="11.1640625" style="898" customWidth="1"/>
    <col min="8714" max="8714" width="13.1640625" style="898" customWidth="1"/>
    <col min="8715" max="8715" width="11" style="898" customWidth="1"/>
    <col min="8716" max="8716" width="7.5" style="898" customWidth="1"/>
    <col min="8717" max="8717" width="18.5" style="898" customWidth="1"/>
    <col min="8718" max="8718" width="23.6640625" style="898" customWidth="1"/>
    <col min="8719" max="8962" width="9.33203125" style="898"/>
    <col min="8963" max="8963" width="18.1640625" style="898" customWidth="1"/>
    <col min="8964" max="8964" width="23.1640625" style="898" customWidth="1"/>
    <col min="8965" max="8965" width="12.5" style="898" customWidth="1"/>
    <col min="8966" max="8966" width="10.83203125" style="898" customWidth="1"/>
    <col min="8967" max="8967" width="9.33203125" style="898"/>
    <col min="8968" max="8968" width="12.1640625" style="898" customWidth="1"/>
    <col min="8969" max="8969" width="11.1640625" style="898" customWidth="1"/>
    <col min="8970" max="8970" width="13.1640625" style="898" customWidth="1"/>
    <col min="8971" max="8971" width="11" style="898" customWidth="1"/>
    <col min="8972" max="8972" width="7.5" style="898" customWidth="1"/>
    <col min="8973" max="8973" width="18.5" style="898" customWidth="1"/>
    <col min="8974" max="8974" width="23.6640625" style="898" customWidth="1"/>
    <col min="8975" max="9218" width="9.33203125" style="898"/>
    <col min="9219" max="9219" width="18.1640625" style="898" customWidth="1"/>
    <col min="9220" max="9220" width="23.1640625" style="898" customWidth="1"/>
    <col min="9221" max="9221" width="12.5" style="898" customWidth="1"/>
    <col min="9222" max="9222" width="10.83203125" style="898" customWidth="1"/>
    <col min="9223" max="9223" width="9.33203125" style="898"/>
    <col min="9224" max="9224" width="12.1640625" style="898" customWidth="1"/>
    <col min="9225" max="9225" width="11.1640625" style="898" customWidth="1"/>
    <col min="9226" max="9226" width="13.1640625" style="898" customWidth="1"/>
    <col min="9227" max="9227" width="11" style="898" customWidth="1"/>
    <col min="9228" max="9228" width="7.5" style="898" customWidth="1"/>
    <col min="9229" max="9229" width="18.5" style="898" customWidth="1"/>
    <col min="9230" max="9230" width="23.6640625" style="898" customWidth="1"/>
    <col min="9231" max="9474" width="9.33203125" style="898"/>
    <col min="9475" max="9475" width="18.1640625" style="898" customWidth="1"/>
    <col min="9476" max="9476" width="23.1640625" style="898" customWidth="1"/>
    <col min="9477" max="9477" width="12.5" style="898" customWidth="1"/>
    <col min="9478" max="9478" width="10.83203125" style="898" customWidth="1"/>
    <col min="9479" max="9479" width="9.33203125" style="898"/>
    <col min="9480" max="9480" width="12.1640625" style="898" customWidth="1"/>
    <col min="9481" max="9481" width="11.1640625" style="898" customWidth="1"/>
    <col min="9482" max="9482" width="13.1640625" style="898" customWidth="1"/>
    <col min="9483" max="9483" width="11" style="898" customWidth="1"/>
    <col min="9484" max="9484" width="7.5" style="898" customWidth="1"/>
    <col min="9485" max="9485" width="18.5" style="898" customWidth="1"/>
    <col min="9486" max="9486" width="23.6640625" style="898" customWidth="1"/>
    <col min="9487" max="9730" width="9.33203125" style="898"/>
    <col min="9731" max="9731" width="18.1640625" style="898" customWidth="1"/>
    <col min="9732" max="9732" width="23.1640625" style="898" customWidth="1"/>
    <col min="9733" max="9733" width="12.5" style="898" customWidth="1"/>
    <col min="9734" max="9734" width="10.83203125" style="898" customWidth="1"/>
    <col min="9735" max="9735" width="9.33203125" style="898"/>
    <col min="9736" max="9736" width="12.1640625" style="898" customWidth="1"/>
    <col min="9737" max="9737" width="11.1640625" style="898" customWidth="1"/>
    <col min="9738" max="9738" width="13.1640625" style="898" customWidth="1"/>
    <col min="9739" max="9739" width="11" style="898" customWidth="1"/>
    <col min="9740" max="9740" width="7.5" style="898" customWidth="1"/>
    <col min="9741" max="9741" width="18.5" style="898" customWidth="1"/>
    <col min="9742" max="9742" width="23.6640625" style="898" customWidth="1"/>
    <col min="9743" max="9986" width="9.33203125" style="898"/>
    <col min="9987" max="9987" width="18.1640625" style="898" customWidth="1"/>
    <col min="9988" max="9988" width="23.1640625" style="898" customWidth="1"/>
    <col min="9989" max="9989" width="12.5" style="898" customWidth="1"/>
    <col min="9990" max="9990" width="10.83203125" style="898" customWidth="1"/>
    <col min="9991" max="9991" width="9.33203125" style="898"/>
    <col min="9992" max="9992" width="12.1640625" style="898" customWidth="1"/>
    <col min="9993" max="9993" width="11.1640625" style="898" customWidth="1"/>
    <col min="9994" max="9994" width="13.1640625" style="898" customWidth="1"/>
    <col min="9995" max="9995" width="11" style="898" customWidth="1"/>
    <col min="9996" max="9996" width="7.5" style="898" customWidth="1"/>
    <col min="9997" max="9997" width="18.5" style="898" customWidth="1"/>
    <col min="9998" max="9998" width="23.6640625" style="898" customWidth="1"/>
    <col min="9999" max="10242" width="9.33203125" style="898"/>
    <col min="10243" max="10243" width="18.1640625" style="898" customWidth="1"/>
    <col min="10244" max="10244" width="23.1640625" style="898" customWidth="1"/>
    <col min="10245" max="10245" width="12.5" style="898" customWidth="1"/>
    <col min="10246" max="10246" width="10.83203125" style="898" customWidth="1"/>
    <col min="10247" max="10247" width="9.33203125" style="898"/>
    <col min="10248" max="10248" width="12.1640625" style="898" customWidth="1"/>
    <col min="10249" max="10249" width="11.1640625" style="898" customWidth="1"/>
    <col min="10250" max="10250" width="13.1640625" style="898" customWidth="1"/>
    <col min="10251" max="10251" width="11" style="898" customWidth="1"/>
    <col min="10252" max="10252" width="7.5" style="898" customWidth="1"/>
    <col min="10253" max="10253" width="18.5" style="898" customWidth="1"/>
    <col min="10254" max="10254" width="23.6640625" style="898" customWidth="1"/>
    <col min="10255" max="10498" width="9.33203125" style="898"/>
    <col min="10499" max="10499" width="18.1640625" style="898" customWidth="1"/>
    <col min="10500" max="10500" width="23.1640625" style="898" customWidth="1"/>
    <col min="10501" max="10501" width="12.5" style="898" customWidth="1"/>
    <col min="10502" max="10502" width="10.83203125" style="898" customWidth="1"/>
    <col min="10503" max="10503" width="9.33203125" style="898"/>
    <col min="10504" max="10504" width="12.1640625" style="898" customWidth="1"/>
    <col min="10505" max="10505" width="11.1640625" style="898" customWidth="1"/>
    <col min="10506" max="10506" width="13.1640625" style="898" customWidth="1"/>
    <col min="10507" max="10507" width="11" style="898" customWidth="1"/>
    <col min="10508" max="10508" width="7.5" style="898" customWidth="1"/>
    <col min="10509" max="10509" width="18.5" style="898" customWidth="1"/>
    <col min="10510" max="10510" width="23.6640625" style="898" customWidth="1"/>
    <col min="10511" max="10754" width="9.33203125" style="898"/>
    <col min="10755" max="10755" width="18.1640625" style="898" customWidth="1"/>
    <col min="10756" max="10756" width="23.1640625" style="898" customWidth="1"/>
    <col min="10757" max="10757" width="12.5" style="898" customWidth="1"/>
    <col min="10758" max="10758" width="10.83203125" style="898" customWidth="1"/>
    <col min="10759" max="10759" width="9.33203125" style="898"/>
    <col min="10760" max="10760" width="12.1640625" style="898" customWidth="1"/>
    <col min="10761" max="10761" width="11.1640625" style="898" customWidth="1"/>
    <col min="10762" max="10762" width="13.1640625" style="898" customWidth="1"/>
    <col min="10763" max="10763" width="11" style="898" customWidth="1"/>
    <col min="10764" max="10764" width="7.5" style="898" customWidth="1"/>
    <col min="10765" max="10765" width="18.5" style="898" customWidth="1"/>
    <col min="10766" max="10766" width="23.6640625" style="898" customWidth="1"/>
    <col min="10767" max="11010" width="9.33203125" style="898"/>
    <col min="11011" max="11011" width="18.1640625" style="898" customWidth="1"/>
    <col min="11012" max="11012" width="23.1640625" style="898" customWidth="1"/>
    <col min="11013" max="11013" width="12.5" style="898" customWidth="1"/>
    <col min="11014" max="11014" width="10.83203125" style="898" customWidth="1"/>
    <col min="11015" max="11015" width="9.33203125" style="898"/>
    <col min="11016" max="11016" width="12.1640625" style="898" customWidth="1"/>
    <col min="11017" max="11017" width="11.1640625" style="898" customWidth="1"/>
    <col min="11018" max="11018" width="13.1640625" style="898" customWidth="1"/>
    <col min="11019" max="11019" width="11" style="898" customWidth="1"/>
    <col min="11020" max="11020" width="7.5" style="898" customWidth="1"/>
    <col min="11021" max="11021" width="18.5" style="898" customWidth="1"/>
    <col min="11022" max="11022" width="23.6640625" style="898" customWidth="1"/>
    <col min="11023" max="11266" width="9.33203125" style="898"/>
    <col min="11267" max="11267" width="18.1640625" style="898" customWidth="1"/>
    <col min="11268" max="11268" width="23.1640625" style="898" customWidth="1"/>
    <col min="11269" max="11269" width="12.5" style="898" customWidth="1"/>
    <col min="11270" max="11270" width="10.83203125" style="898" customWidth="1"/>
    <col min="11271" max="11271" width="9.33203125" style="898"/>
    <col min="11272" max="11272" width="12.1640625" style="898" customWidth="1"/>
    <col min="11273" max="11273" width="11.1640625" style="898" customWidth="1"/>
    <col min="11274" max="11274" width="13.1640625" style="898" customWidth="1"/>
    <col min="11275" max="11275" width="11" style="898" customWidth="1"/>
    <col min="11276" max="11276" width="7.5" style="898" customWidth="1"/>
    <col min="11277" max="11277" width="18.5" style="898" customWidth="1"/>
    <col min="11278" max="11278" width="23.6640625" style="898" customWidth="1"/>
    <col min="11279" max="11522" width="9.33203125" style="898"/>
    <col min="11523" max="11523" width="18.1640625" style="898" customWidth="1"/>
    <col min="11524" max="11524" width="23.1640625" style="898" customWidth="1"/>
    <col min="11525" max="11525" width="12.5" style="898" customWidth="1"/>
    <col min="11526" max="11526" width="10.83203125" style="898" customWidth="1"/>
    <col min="11527" max="11527" width="9.33203125" style="898"/>
    <col min="11528" max="11528" width="12.1640625" style="898" customWidth="1"/>
    <col min="11529" max="11529" width="11.1640625" style="898" customWidth="1"/>
    <col min="11530" max="11530" width="13.1640625" style="898" customWidth="1"/>
    <col min="11531" max="11531" width="11" style="898" customWidth="1"/>
    <col min="11532" max="11532" width="7.5" style="898" customWidth="1"/>
    <col min="11533" max="11533" width="18.5" style="898" customWidth="1"/>
    <col min="11534" max="11534" width="23.6640625" style="898" customWidth="1"/>
    <col min="11535" max="11778" width="9.33203125" style="898"/>
    <col min="11779" max="11779" width="18.1640625" style="898" customWidth="1"/>
    <col min="11780" max="11780" width="23.1640625" style="898" customWidth="1"/>
    <col min="11781" max="11781" width="12.5" style="898" customWidth="1"/>
    <col min="11782" max="11782" width="10.83203125" style="898" customWidth="1"/>
    <col min="11783" max="11783" width="9.33203125" style="898"/>
    <col min="11784" max="11784" width="12.1640625" style="898" customWidth="1"/>
    <col min="11785" max="11785" width="11.1640625" style="898" customWidth="1"/>
    <col min="11786" max="11786" width="13.1640625" style="898" customWidth="1"/>
    <col min="11787" max="11787" width="11" style="898" customWidth="1"/>
    <col min="11788" max="11788" width="7.5" style="898" customWidth="1"/>
    <col min="11789" max="11789" width="18.5" style="898" customWidth="1"/>
    <col min="11790" max="11790" width="23.6640625" style="898" customWidth="1"/>
    <col min="11791" max="12034" width="9.33203125" style="898"/>
    <col min="12035" max="12035" width="18.1640625" style="898" customWidth="1"/>
    <col min="12036" max="12036" width="23.1640625" style="898" customWidth="1"/>
    <col min="12037" max="12037" width="12.5" style="898" customWidth="1"/>
    <col min="12038" max="12038" width="10.83203125" style="898" customWidth="1"/>
    <col min="12039" max="12039" width="9.33203125" style="898"/>
    <col min="12040" max="12040" width="12.1640625" style="898" customWidth="1"/>
    <col min="12041" max="12041" width="11.1640625" style="898" customWidth="1"/>
    <col min="12042" max="12042" width="13.1640625" style="898" customWidth="1"/>
    <col min="12043" max="12043" width="11" style="898" customWidth="1"/>
    <col min="12044" max="12044" width="7.5" style="898" customWidth="1"/>
    <col min="12045" max="12045" width="18.5" style="898" customWidth="1"/>
    <col min="12046" max="12046" width="23.6640625" style="898" customWidth="1"/>
    <col min="12047" max="12290" width="9.33203125" style="898"/>
    <col min="12291" max="12291" width="18.1640625" style="898" customWidth="1"/>
    <col min="12292" max="12292" width="23.1640625" style="898" customWidth="1"/>
    <col min="12293" max="12293" width="12.5" style="898" customWidth="1"/>
    <col min="12294" max="12294" width="10.83203125" style="898" customWidth="1"/>
    <col min="12295" max="12295" width="9.33203125" style="898"/>
    <col min="12296" max="12296" width="12.1640625" style="898" customWidth="1"/>
    <col min="12297" max="12297" width="11.1640625" style="898" customWidth="1"/>
    <col min="12298" max="12298" width="13.1640625" style="898" customWidth="1"/>
    <col min="12299" max="12299" width="11" style="898" customWidth="1"/>
    <col min="12300" max="12300" width="7.5" style="898" customWidth="1"/>
    <col min="12301" max="12301" width="18.5" style="898" customWidth="1"/>
    <col min="12302" max="12302" width="23.6640625" style="898" customWidth="1"/>
    <col min="12303" max="12546" width="9.33203125" style="898"/>
    <col min="12547" max="12547" width="18.1640625" style="898" customWidth="1"/>
    <col min="12548" max="12548" width="23.1640625" style="898" customWidth="1"/>
    <col min="12549" max="12549" width="12.5" style="898" customWidth="1"/>
    <col min="12550" max="12550" width="10.83203125" style="898" customWidth="1"/>
    <col min="12551" max="12551" width="9.33203125" style="898"/>
    <col min="12552" max="12552" width="12.1640625" style="898" customWidth="1"/>
    <col min="12553" max="12553" width="11.1640625" style="898" customWidth="1"/>
    <col min="12554" max="12554" width="13.1640625" style="898" customWidth="1"/>
    <col min="12555" max="12555" width="11" style="898" customWidth="1"/>
    <col min="12556" max="12556" width="7.5" style="898" customWidth="1"/>
    <col min="12557" max="12557" width="18.5" style="898" customWidth="1"/>
    <col min="12558" max="12558" width="23.6640625" style="898" customWidth="1"/>
    <col min="12559" max="12802" width="9.33203125" style="898"/>
    <col min="12803" max="12803" width="18.1640625" style="898" customWidth="1"/>
    <col min="12804" max="12804" width="23.1640625" style="898" customWidth="1"/>
    <col min="12805" max="12805" width="12.5" style="898" customWidth="1"/>
    <col min="12806" max="12806" width="10.83203125" style="898" customWidth="1"/>
    <col min="12807" max="12807" width="9.33203125" style="898"/>
    <col min="12808" max="12808" width="12.1640625" style="898" customWidth="1"/>
    <col min="12809" max="12809" width="11.1640625" style="898" customWidth="1"/>
    <col min="12810" max="12810" width="13.1640625" style="898" customWidth="1"/>
    <col min="12811" max="12811" width="11" style="898" customWidth="1"/>
    <col min="12812" max="12812" width="7.5" style="898" customWidth="1"/>
    <col min="12813" max="12813" width="18.5" style="898" customWidth="1"/>
    <col min="12814" max="12814" width="23.6640625" style="898" customWidth="1"/>
    <col min="12815" max="13058" width="9.33203125" style="898"/>
    <col min="13059" max="13059" width="18.1640625" style="898" customWidth="1"/>
    <col min="13060" max="13060" width="23.1640625" style="898" customWidth="1"/>
    <col min="13061" max="13061" width="12.5" style="898" customWidth="1"/>
    <col min="13062" max="13062" width="10.83203125" style="898" customWidth="1"/>
    <col min="13063" max="13063" width="9.33203125" style="898"/>
    <col min="13064" max="13064" width="12.1640625" style="898" customWidth="1"/>
    <col min="13065" max="13065" width="11.1640625" style="898" customWidth="1"/>
    <col min="13066" max="13066" width="13.1640625" style="898" customWidth="1"/>
    <col min="13067" max="13067" width="11" style="898" customWidth="1"/>
    <col min="13068" max="13068" width="7.5" style="898" customWidth="1"/>
    <col min="13069" max="13069" width="18.5" style="898" customWidth="1"/>
    <col min="13070" max="13070" width="23.6640625" style="898" customWidth="1"/>
    <col min="13071" max="13314" width="9.33203125" style="898"/>
    <col min="13315" max="13315" width="18.1640625" style="898" customWidth="1"/>
    <col min="13316" max="13316" width="23.1640625" style="898" customWidth="1"/>
    <col min="13317" max="13317" width="12.5" style="898" customWidth="1"/>
    <col min="13318" max="13318" width="10.83203125" style="898" customWidth="1"/>
    <col min="13319" max="13319" width="9.33203125" style="898"/>
    <col min="13320" max="13320" width="12.1640625" style="898" customWidth="1"/>
    <col min="13321" max="13321" width="11.1640625" style="898" customWidth="1"/>
    <col min="13322" max="13322" width="13.1640625" style="898" customWidth="1"/>
    <col min="13323" max="13323" width="11" style="898" customWidth="1"/>
    <col min="13324" max="13324" width="7.5" style="898" customWidth="1"/>
    <col min="13325" max="13325" width="18.5" style="898" customWidth="1"/>
    <col min="13326" max="13326" width="23.6640625" style="898" customWidth="1"/>
    <col min="13327" max="13570" width="9.33203125" style="898"/>
    <col min="13571" max="13571" width="18.1640625" style="898" customWidth="1"/>
    <col min="13572" max="13572" width="23.1640625" style="898" customWidth="1"/>
    <col min="13573" max="13573" width="12.5" style="898" customWidth="1"/>
    <col min="13574" max="13574" width="10.83203125" style="898" customWidth="1"/>
    <col min="13575" max="13575" width="9.33203125" style="898"/>
    <col min="13576" max="13576" width="12.1640625" style="898" customWidth="1"/>
    <col min="13577" max="13577" width="11.1640625" style="898" customWidth="1"/>
    <col min="13578" max="13578" width="13.1640625" style="898" customWidth="1"/>
    <col min="13579" max="13579" width="11" style="898" customWidth="1"/>
    <col min="13580" max="13580" width="7.5" style="898" customWidth="1"/>
    <col min="13581" max="13581" width="18.5" style="898" customWidth="1"/>
    <col min="13582" max="13582" width="23.6640625" style="898" customWidth="1"/>
    <col min="13583" max="13826" width="9.33203125" style="898"/>
    <col min="13827" max="13827" width="18.1640625" style="898" customWidth="1"/>
    <col min="13828" max="13828" width="23.1640625" style="898" customWidth="1"/>
    <col min="13829" max="13829" width="12.5" style="898" customWidth="1"/>
    <col min="13830" max="13830" width="10.83203125" style="898" customWidth="1"/>
    <col min="13831" max="13831" width="9.33203125" style="898"/>
    <col min="13832" max="13832" width="12.1640625" style="898" customWidth="1"/>
    <col min="13833" max="13833" width="11.1640625" style="898" customWidth="1"/>
    <col min="13834" max="13834" width="13.1640625" style="898" customWidth="1"/>
    <col min="13835" max="13835" width="11" style="898" customWidth="1"/>
    <col min="13836" max="13836" width="7.5" style="898" customWidth="1"/>
    <col min="13837" max="13837" width="18.5" style="898" customWidth="1"/>
    <col min="13838" max="13838" width="23.6640625" style="898" customWidth="1"/>
    <col min="13839" max="14082" width="9.33203125" style="898"/>
    <col min="14083" max="14083" width="18.1640625" style="898" customWidth="1"/>
    <col min="14084" max="14084" width="23.1640625" style="898" customWidth="1"/>
    <col min="14085" max="14085" width="12.5" style="898" customWidth="1"/>
    <col min="14086" max="14086" width="10.83203125" style="898" customWidth="1"/>
    <col min="14087" max="14087" width="9.33203125" style="898"/>
    <col min="14088" max="14088" width="12.1640625" style="898" customWidth="1"/>
    <col min="14089" max="14089" width="11.1640625" style="898" customWidth="1"/>
    <col min="14090" max="14090" width="13.1640625" style="898" customWidth="1"/>
    <col min="14091" max="14091" width="11" style="898" customWidth="1"/>
    <col min="14092" max="14092" width="7.5" style="898" customWidth="1"/>
    <col min="14093" max="14093" width="18.5" style="898" customWidth="1"/>
    <col min="14094" max="14094" width="23.6640625" style="898" customWidth="1"/>
    <col min="14095" max="14338" width="9.33203125" style="898"/>
    <col min="14339" max="14339" width="18.1640625" style="898" customWidth="1"/>
    <col min="14340" max="14340" width="23.1640625" style="898" customWidth="1"/>
    <col min="14341" max="14341" width="12.5" style="898" customWidth="1"/>
    <col min="14342" max="14342" width="10.83203125" style="898" customWidth="1"/>
    <col min="14343" max="14343" width="9.33203125" style="898"/>
    <col min="14344" max="14344" width="12.1640625" style="898" customWidth="1"/>
    <col min="14345" max="14345" width="11.1640625" style="898" customWidth="1"/>
    <col min="14346" max="14346" width="13.1640625" style="898" customWidth="1"/>
    <col min="14347" max="14347" width="11" style="898" customWidth="1"/>
    <col min="14348" max="14348" width="7.5" style="898" customWidth="1"/>
    <col min="14349" max="14349" width="18.5" style="898" customWidth="1"/>
    <col min="14350" max="14350" width="23.6640625" style="898" customWidth="1"/>
    <col min="14351" max="14594" width="9.33203125" style="898"/>
    <col min="14595" max="14595" width="18.1640625" style="898" customWidth="1"/>
    <col min="14596" max="14596" width="23.1640625" style="898" customWidth="1"/>
    <col min="14597" max="14597" width="12.5" style="898" customWidth="1"/>
    <col min="14598" max="14598" width="10.83203125" style="898" customWidth="1"/>
    <col min="14599" max="14599" width="9.33203125" style="898"/>
    <col min="14600" max="14600" width="12.1640625" style="898" customWidth="1"/>
    <col min="14601" max="14601" width="11.1640625" style="898" customWidth="1"/>
    <col min="14602" max="14602" width="13.1640625" style="898" customWidth="1"/>
    <col min="14603" max="14603" width="11" style="898" customWidth="1"/>
    <col min="14604" max="14604" width="7.5" style="898" customWidth="1"/>
    <col min="14605" max="14605" width="18.5" style="898" customWidth="1"/>
    <col min="14606" max="14606" width="23.6640625" style="898" customWidth="1"/>
    <col min="14607" max="14850" width="9.33203125" style="898"/>
    <col min="14851" max="14851" width="18.1640625" style="898" customWidth="1"/>
    <col min="14852" max="14852" width="23.1640625" style="898" customWidth="1"/>
    <col min="14853" max="14853" width="12.5" style="898" customWidth="1"/>
    <col min="14854" max="14854" width="10.83203125" style="898" customWidth="1"/>
    <col min="14855" max="14855" width="9.33203125" style="898"/>
    <col min="14856" max="14856" width="12.1640625" style="898" customWidth="1"/>
    <col min="14857" max="14857" width="11.1640625" style="898" customWidth="1"/>
    <col min="14858" max="14858" width="13.1640625" style="898" customWidth="1"/>
    <col min="14859" max="14859" width="11" style="898" customWidth="1"/>
    <col min="14860" max="14860" width="7.5" style="898" customWidth="1"/>
    <col min="14861" max="14861" width="18.5" style="898" customWidth="1"/>
    <col min="14862" max="14862" width="23.6640625" style="898" customWidth="1"/>
    <col min="14863" max="15106" width="9.33203125" style="898"/>
    <col min="15107" max="15107" width="18.1640625" style="898" customWidth="1"/>
    <col min="15108" max="15108" width="23.1640625" style="898" customWidth="1"/>
    <col min="15109" max="15109" width="12.5" style="898" customWidth="1"/>
    <col min="15110" max="15110" width="10.83203125" style="898" customWidth="1"/>
    <col min="15111" max="15111" width="9.33203125" style="898"/>
    <col min="15112" max="15112" width="12.1640625" style="898" customWidth="1"/>
    <col min="15113" max="15113" width="11.1640625" style="898" customWidth="1"/>
    <col min="15114" max="15114" width="13.1640625" style="898" customWidth="1"/>
    <col min="15115" max="15115" width="11" style="898" customWidth="1"/>
    <col min="15116" max="15116" width="7.5" style="898" customWidth="1"/>
    <col min="15117" max="15117" width="18.5" style="898" customWidth="1"/>
    <col min="15118" max="15118" width="23.6640625" style="898" customWidth="1"/>
    <col min="15119" max="15362" width="9.33203125" style="898"/>
    <col min="15363" max="15363" width="18.1640625" style="898" customWidth="1"/>
    <col min="15364" max="15364" width="23.1640625" style="898" customWidth="1"/>
    <col min="15365" max="15365" width="12.5" style="898" customWidth="1"/>
    <col min="15366" max="15366" width="10.83203125" style="898" customWidth="1"/>
    <col min="15367" max="15367" width="9.33203125" style="898"/>
    <col min="15368" max="15368" width="12.1640625" style="898" customWidth="1"/>
    <col min="15369" max="15369" width="11.1640625" style="898" customWidth="1"/>
    <col min="15370" max="15370" width="13.1640625" style="898" customWidth="1"/>
    <col min="15371" max="15371" width="11" style="898" customWidth="1"/>
    <col min="15372" max="15372" width="7.5" style="898" customWidth="1"/>
    <col min="15373" max="15373" width="18.5" style="898" customWidth="1"/>
    <col min="15374" max="15374" width="23.6640625" style="898" customWidth="1"/>
    <col min="15375" max="15618" width="9.33203125" style="898"/>
    <col min="15619" max="15619" width="18.1640625" style="898" customWidth="1"/>
    <col min="15620" max="15620" width="23.1640625" style="898" customWidth="1"/>
    <col min="15621" max="15621" width="12.5" style="898" customWidth="1"/>
    <col min="15622" max="15622" width="10.83203125" style="898" customWidth="1"/>
    <col min="15623" max="15623" width="9.33203125" style="898"/>
    <col min="15624" max="15624" width="12.1640625" style="898" customWidth="1"/>
    <col min="15625" max="15625" width="11.1640625" style="898" customWidth="1"/>
    <col min="15626" max="15626" width="13.1640625" style="898" customWidth="1"/>
    <col min="15627" max="15627" width="11" style="898" customWidth="1"/>
    <col min="15628" max="15628" width="7.5" style="898" customWidth="1"/>
    <col min="15629" max="15629" width="18.5" style="898" customWidth="1"/>
    <col min="15630" max="15630" width="23.6640625" style="898" customWidth="1"/>
    <col min="15631" max="15874" width="9.33203125" style="898"/>
    <col min="15875" max="15875" width="18.1640625" style="898" customWidth="1"/>
    <col min="15876" max="15876" width="23.1640625" style="898" customWidth="1"/>
    <col min="15877" max="15877" width="12.5" style="898" customWidth="1"/>
    <col min="15878" max="15878" width="10.83203125" style="898" customWidth="1"/>
    <col min="15879" max="15879" width="9.33203125" style="898"/>
    <col min="15880" max="15880" width="12.1640625" style="898" customWidth="1"/>
    <col min="15881" max="15881" width="11.1640625" style="898" customWidth="1"/>
    <col min="15882" max="15882" width="13.1640625" style="898" customWidth="1"/>
    <col min="15883" max="15883" width="11" style="898" customWidth="1"/>
    <col min="15884" max="15884" width="7.5" style="898" customWidth="1"/>
    <col min="15885" max="15885" width="18.5" style="898" customWidth="1"/>
    <col min="15886" max="15886" width="23.6640625" style="898" customWidth="1"/>
    <col min="15887" max="16130" width="9.33203125" style="898"/>
    <col min="16131" max="16131" width="18.1640625" style="898" customWidth="1"/>
    <col min="16132" max="16132" width="23.1640625" style="898" customWidth="1"/>
    <col min="16133" max="16133" width="12.5" style="898" customWidth="1"/>
    <col min="16134" max="16134" width="10.83203125" style="898" customWidth="1"/>
    <col min="16135" max="16135" width="9.33203125" style="898"/>
    <col min="16136" max="16136" width="12.1640625" style="898" customWidth="1"/>
    <col min="16137" max="16137" width="11.1640625" style="898" customWidth="1"/>
    <col min="16138" max="16138" width="13.1640625" style="898" customWidth="1"/>
    <col min="16139" max="16139" width="11" style="898" customWidth="1"/>
    <col min="16140" max="16140" width="7.5" style="898" customWidth="1"/>
    <col min="16141" max="16141" width="18.5" style="898" customWidth="1"/>
    <col min="16142" max="16142" width="23.6640625" style="898" customWidth="1"/>
    <col min="16143" max="16384" width="9.33203125" style="898"/>
  </cols>
  <sheetData>
    <row r="1" spans="1:14">
      <c r="A1" s="896" t="s">
        <v>424</v>
      </c>
      <c r="B1" s="896"/>
      <c r="C1" s="896"/>
      <c r="D1" s="896"/>
      <c r="E1" s="897"/>
      <c r="F1" s="897"/>
      <c r="G1" s="897"/>
      <c r="H1" s="897"/>
      <c r="I1" s="897"/>
      <c r="J1" s="897"/>
      <c r="K1" s="897"/>
      <c r="L1" s="897"/>
      <c r="M1" s="896"/>
      <c r="N1" s="896"/>
    </row>
    <row r="2" spans="1:14" s="902" customFormat="1">
      <c r="A2" s="899"/>
      <c r="B2" s="1487" t="s">
        <v>370</v>
      </c>
      <c r="C2" s="1487"/>
      <c r="D2" s="1487"/>
      <c r="E2" s="1487"/>
      <c r="F2" s="900"/>
      <c r="G2" s="1488" t="s">
        <v>622</v>
      </c>
      <c r="H2" s="1488"/>
      <c r="I2" s="1488"/>
      <c r="J2" s="1488"/>
      <c r="K2" s="1488"/>
      <c r="L2" s="901"/>
      <c r="M2" s="1489" t="s">
        <v>2801</v>
      </c>
      <c r="N2" s="1489"/>
    </row>
    <row r="3" spans="1:14" s="902" customFormat="1">
      <c r="A3" s="903" t="s">
        <v>426</v>
      </c>
      <c r="B3" s="903"/>
      <c r="C3" s="903"/>
      <c r="D3" s="903"/>
      <c r="E3" s="904"/>
      <c r="F3" s="904"/>
      <c r="G3" s="1488"/>
      <c r="H3" s="1488"/>
      <c r="I3" s="1488"/>
      <c r="J3" s="1488"/>
      <c r="K3" s="1488"/>
      <c r="L3" s="901"/>
      <c r="M3" s="1489"/>
      <c r="N3" s="1489"/>
    </row>
    <row r="4" spans="1:14" s="902" customFormat="1">
      <c r="A4" s="903"/>
      <c r="B4" s="903"/>
      <c r="C4" s="903"/>
      <c r="D4" s="903"/>
      <c r="E4" s="904"/>
      <c r="F4" s="904"/>
      <c r="G4" s="1488"/>
      <c r="H4" s="1488"/>
      <c r="I4" s="1488"/>
      <c r="J4" s="1488"/>
      <c r="K4" s="1488"/>
      <c r="L4" s="901"/>
      <c r="M4" s="1489"/>
      <c r="N4" s="1489"/>
    </row>
    <row r="5" spans="1:14" s="902" customFormat="1" ht="38.25">
      <c r="A5" s="1490" t="s">
        <v>2802</v>
      </c>
      <c r="B5" s="1490"/>
      <c r="C5" s="905"/>
      <c r="D5" s="905"/>
      <c r="E5" s="906" t="s">
        <v>624</v>
      </c>
      <c r="F5" s="906"/>
      <c r="G5" s="1243"/>
      <c r="H5" s="1243"/>
      <c r="I5" s="1243"/>
      <c r="J5" s="1243"/>
      <c r="K5" s="1243"/>
      <c r="L5" s="1023"/>
      <c r="M5" s="1051"/>
      <c r="N5" s="1052"/>
    </row>
    <row r="6" spans="1:14">
      <c r="A6" s="1490"/>
      <c r="B6" s="1490"/>
      <c r="C6" s="909"/>
      <c r="D6" s="909"/>
      <c r="E6" s="910"/>
      <c r="F6" s="910"/>
      <c r="G6" s="962"/>
      <c r="H6" s="1566"/>
      <c r="I6" s="1564"/>
      <c r="J6" s="1565"/>
      <c r="K6" s="1565"/>
      <c r="L6" s="1027"/>
      <c r="M6" s="1500" t="s">
        <v>631</v>
      </c>
      <c r="N6" s="1501"/>
    </row>
    <row r="7" spans="1:14" ht="51">
      <c r="A7" s="915" t="s">
        <v>653</v>
      </c>
      <c r="B7" s="916" t="s">
        <v>428</v>
      </c>
      <c r="C7" s="916" t="s">
        <v>429</v>
      </c>
      <c r="D7" s="916" t="s">
        <v>2804</v>
      </c>
      <c r="E7" s="917" t="s">
        <v>620</v>
      </c>
      <c r="F7" s="917" t="s">
        <v>2805</v>
      </c>
      <c r="G7" s="918" t="s">
        <v>2806</v>
      </c>
      <c r="H7" s="918" t="s">
        <v>2807</v>
      </c>
      <c r="I7" s="919" t="s">
        <v>2808</v>
      </c>
      <c r="J7" s="919" t="s">
        <v>2809</v>
      </c>
      <c r="K7" s="920" t="s">
        <v>621</v>
      </c>
      <c r="L7" s="920" t="s">
        <v>2810</v>
      </c>
      <c r="M7" s="1491" t="s">
        <v>431</v>
      </c>
      <c r="N7" s="1491"/>
    </row>
    <row r="8" spans="1:14">
      <c r="A8" s="921"/>
      <c r="B8" s="1479" t="s">
        <v>1238</v>
      </c>
      <c r="C8" s="1480"/>
      <c r="D8" s="1480"/>
      <c r="E8" s="1480"/>
      <c r="F8" s="1480"/>
      <c r="G8" s="1480"/>
      <c r="H8" s="1480"/>
      <c r="I8" s="1480"/>
      <c r="J8" s="1480"/>
      <c r="K8" s="1480"/>
      <c r="L8" s="922"/>
      <c r="M8" s="923"/>
      <c r="N8" s="924"/>
    </row>
    <row r="9" spans="1:14" s="985" customFormat="1">
      <c r="A9" s="1054"/>
      <c r="B9" s="1484" t="s">
        <v>2830</v>
      </c>
      <c r="C9" s="1485"/>
      <c r="D9" s="1485"/>
      <c r="E9" s="1485"/>
      <c r="F9" s="1485"/>
      <c r="G9" s="1485"/>
      <c r="H9" s="1485"/>
      <c r="I9" s="1485"/>
      <c r="J9" s="1485"/>
      <c r="K9" s="1485"/>
      <c r="L9" s="1485"/>
      <c r="M9" s="1486"/>
      <c r="N9" s="928"/>
    </row>
    <row r="10" spans="1:14" ht="63.75">
      <c r="A10" s="1055"/>
      <c r="B10" s="939" t="s">
        <v>2831</v>
      </c>
      <c r="C10" s="931" t="s">
        <v>630</v>
      </c>
      <c r="D10" s="937">
        <v>1</v>
      </c>
      <c r="E10" s="933">
        <v>7.57</v>
      </c>
      <c r="F10" s="933">
        <f>+ROUND((E10*D10),2)</f>
        <v>7.57</v>
      </c>
      <c r="G10" s="933">
        <f>SUM(E10*1.1)</f>
        <v>8.3270000000000017</v>
      </c>
      <c r="H10" s="933">
        <f>+ROUND((G10*D10),2)</f>
        <v>8.33</v>
      </c>
      <c r="I10" s="933">
        <f t="shared" ref="I10" si="0">SUM(K10*1.1)</f>
        <v>62.161000000000001</v>
      </c>
      <c r="J10" s="933">
        <f>+ROUND((I10*D10),2)</f>
        <v>62.16</v>
      </c>
      <c r="K10" s="933">
        <v>56.51</v>
      </c>
      <c r="L10" s="933">
        <f>+ROUND((K10*D10),2)</f>
        <v>56.51</v>
      </c>
      <c r="M10" s="937"/>
      <c r="N10" s="924"/>
    </row>
    <row r="11" spans="1:14" ht="38.25">
      <c r="A11" s="1056"/>
      <c r="B11" s="939" t="s">
        <v>2832</v>
      </c>
      <c r="C11" s="931" t="s">
        <v>630</v>
      </c>
      <c r="D11" s="937">
        <v>1</v>
      </c>
      <c r="E11" s="933">
        <v>1.75</v>
      </c>
      <c r="F11" s="933">
        <f t="shared" ref="F11:F24" si="1">+ROUND((E11*D11),2)</f>
        <v>1.75</v>
      </c>
      <c r="G11" s="933">
        <f t="shared" ref="G11:G12" si="2">SUM(E11*1.1)</f>
        <v>1.9250000000000003</v>
      </c>
      <c r="H11" s="933">
        <f t="shared" ref="H11:H24" si="3">+ROUND((G11*D11),2)</f>
        <v>1.93</v>
      </c>
      <c r="I11" s="933">
        <v>0</v>
      </c>
      <c r="J11" s="933">
        <f t="shared" ref="J11:J24" si="4">+ROUND((I11*D11),2)</f>
        <v>0</v>
      </c>
      <c r="K11" s="933">
        <v>0</v>
      </c>
      <c r="L11" s="933">
        <f t="shared" ref="L11:L24" si="5">+ROUND((K11*D11),2)</f>
        <v>0</v>
      </c>
      <c r="M11" s="937"/>
      <c r="N11" s="924"/>
    </row>
    <row r="12" spans="1:14" ht="38.25">
      <c r="A12" s="935"/>
      <c r="B12" s="939" t="s">
        <v>1245</v>
      </c>
      <c r="C12" s="931" t="s">
        <v>630</v>
      </c>
      <c r="D12" s="1030">
        <v>1</v>
      </c>
      <c r="E12" s="933">
        <v>4.5</v>
      </c>
      <c r="F12" s="933">
        <f t="shared" si="1"/>
        <v>4.5</v>
      </c>
      <c r="G12" s="933">
        <f t="shared" si="2"/>
        <v>4.95</v>
      </c>
      <c r="H12" s="933">
        <f t="shared" si="3"/>
        <v>4.95</v>
      </c>
      <c r="I12" s="933">
        <v>0</v>
      </c>
      <c r="J12" s="933">
        <f t="shared" si="4"/>
        <v>0</v>
      </c>
      <c r="K12" s="933">
        <v>0</v>
      </c>
      <c r="L12" s="933">
        <f t="shared" si="5"/>
        <v>0</v>
      </c>
      <c r="M12" s="1057"/>
      <c r="N12" s="937"/>
    </row>
    <row r="13" spans="1:14" ht="25.5">
      <c r="A13" s="939"/>
      <c r="B13" s="939" t="s">
        <v>613</v>
      </c>
      <c r="C13" s="931" t="s">
        <v>630</v>
      </c>
      <c r="D13" s="937">
        <v>1</v>
      </c>
      <c r="E13" s="933">
        <v>0</v>
      </c>
      <c r="F13" s="933">
        <f t="shared" si="1"/>
        <v>0</v>
      </c>
      <c r="G13" s="933">
        <v>0</v>
      </c>
      <c r="H13" s="933">
        <f t="shared" si="3"/>
        <v>0</v>
      </c>
      <c r="I13" s="933">
        <v>0</v>
      </c>
      <c r="J13" s="933">
        <f t="shared" si="4"/>
        <v>0</v>
      </c>
      <c r="K13" s="933">
        <v>0</v>
      </c>
      <c r="L13" s="933">
        <f t="shared" si="5"/>
        <v>0</v>
      </c>
      <c r="M13" s="1057" t="s">
        <v>285</v>
      </c>
      <c r="N13" s="939" t="s">
        <v>614</v>
      </c>
    </row>
    <row r="14" spans="1:14" ht="38.25">
      <c r="A14" s="942"/>
      <c r="B14" s="939" t="s">
        <v>1327</v>
      </c>
      <c r="C14" s="931" t="s">
        <v>630</v>
      </c>
      <c r="D14" s="937">
        <v>1</v>
      </c>
      <c r="E14" s="933">
        <v>0</v>
      </c>
      <c r="F14" s="933">
        <f t="shared" si="1"/>
        <v>0</v>
      </c>
      <c r="G14" s="933">
        <v>0</v>
      </c>
      <c r="H14" s="933">
        <f t="shared" si="3"/>
        <v>0</v>
      </c>
      <c r="I14" s="933">
        <v>0</v>
      </c>
      <c r="J14" s="933">
        <f t="shared" si="4"/>
        <v>0</v>
      </c>
      <c r="K14" s="933">
        <v>0</v>
      </c>
      <c r="L14" s="933">
        <f t="shared" si="5"/>
        <v>0</v>
      </c>
      <c r="M14" s="937" t="s">
        <v>288</v>
      </c>
      <c r="N14" s="939" t="s">
        <v>385</v>
      </c>
    </row>
    <row r="15" spans="1:14">
      <c r="A15" s="1058"/>
      <c r="B15" s="939" t="s">
        <v>615</v>
      </c>
      <c r="C15" s="931" t="s">
        <v>630</v>
      </c>
      <c r="D15" s="937">
        <v>1</v>
      </c>
      <c r="E15" s="933">
        <v>0</v>
      </c>
      <c r="F15" s="933">
        <f t="shared" si="1"/>
        <v>0</v>
      </c>
      <c r="G15" s="933">
        <v>0</v>
      </c>
      <c r="H15" s="933">
        <f t="shared" si="3"/>
        <v>0</v>
      </c>
      <c r="I15" s="933">
        <v>0</v>
      </c>
      <c r="J15" s="933">
        <f t="shared" si="4"/>
        <v>0</v>
      </c>
      <c r="K15" s="933">
        <v>0</v>
      </c>
      <c r="L15" s="933">
        <f t="shared" si="5"/>
        <v>0</v>
      </c>
      <c r="M15" s="937" t="s">
        <v>365</v>
      </c>
      <c r="N15" s="939"/>
    </row>
    <row r="16" spans="1:14" ht="25.5">
      <c r="A16" s="942"/>
      <c r="B16" s="939" t="s">
        <v>792</v>
      </c>
      <c r="C16" s="931" t="s">
        <v>630</v>
      </c>
      <c r="D16" s="937">
        <v>1</v>
      </c>
      <c r="E16" s="933">
        <v>0</v>
      </c>
      <c r="F16" s="933">
        <f t="shared" si="1"/>
        <v>0</v>
      </c>
      <c r="G16" s="933">
        <v>0</v>
      </c>
      <c r="H16" s="933">
        <f t="shared" si="3"/>
        <v>0</v>
      </c>
      <c r="I16" s="933">
        <v>0</v>
      </c>
      <c r="J16" s="933">
        <f t="shared" si="4"/>
        <v>0</v>
      </c>
      <c r="K16" s="933">
        <v>0</v>
      </c>
      <c r="L16" s="933">
        <f t="shared" si="5"/>
        <v>0</v>
      </c>
      <c r="M16" s="937" t="s">
        <v>289</v>
      </c>
      <c r="N16" s="939" t="s">
        <v>385</v>
      </c>
    </row>
    <row r="17" spans="1:14" ht="25.5">
      <c r="A17" s="942"/>
      <c r="B17" s="939" t="s">
        <v>296</v>
      </c>
      <c r="C17" s="931" t="s">
        <v>630</v>
      </c>
      <c r="D17" s="937">
        <v>1</v>
      </c>
      <c r="E17" s="933">
        <v>0</v>
      </c>
      <c r="F17" s="933">
        <f t="shared" si="1"/>
        <v>0</v>
      </c>
      <c r="G17" s="933">
        <v>0</v>
      </c>
      <c r="H17" s="933">
        <f t="shared" si="3"/>
        <v>0</v>
      </c>
      <c r="I17" s="933">
        <v>0</v>
      </c>
      <c r="J17" s="933">
        <f t="shared" si="4"/>
        <v>0</v>
      </c>
      <c r="K17" s="933">
        <v>0</v>
      </c>
      <c r="L17" s="933">
        <f t="shared" si="5"/>
        <v>0</v>
      </c>
      <c r="M17" s="937" t="s">
        <v>288</v>
      </c>
      <c r="N17" s="939" t="s">
        <v>387</v>
      </c>
    </row>
    <row r="18" spans="1:14" ht="25.5">
      <c r="A18" s="1058"/>
      <c r="B18" s="943" t="s">
        <v>617</v>
      </c>
      <c r="C18" s="931" t="s">
        <v>630</v>
      </c>
      <c r="D18" s="937">
        <v>1</v>
      </c>
      <c r="E18" s="933">
        <v>0</v>
      </c>
      <c r="F18" s="933">
        <f t="shared" si="1"/>
        <v>0</v>
      </c>
      <c r="G18" s="933">
        <v>0</v>
      </c>
      <c r="H18" s="933">
        <f t="shared" si="3"/>
        <v>0</v>
      </c>
      <c r="I18" s="933">
        <v>0</v>
      </c>
      <c r="J18" s="933">
        <f t="shared" si="4"/>
        <v>0</v>
      </c>
      <c r="K18" s="933">
        <v>0</v>
      </c>
      <c r="L18" s="933">
        <f t="shared" si="5"/>
        <v>0</v>
      </c>
      <c r="M18" s="1059" t="s">
        <v>288</v>
      </c>
      <c r="N18" s="943" t="s">
        <v>426</v>
      </c>
    </row>
    <row r="19" spans="1:14" ht="38.25">
      <c r="A19" s="942"/>
      <c r="B19" s="938" t="s">
        <v>795</v>
      </c>
      <c r="C19" s="931" t="s">
        <v>630</v>
      </c>
      <c r="D19" s="937">
        <v>1</v>
      </c>
      <c r="E19" s="933">
        <v>0</v>
      </c>
      <c r="F19" s="933">
        <f t="shared" si="1"/>
        <v>0</v>
      </c>
      <c r="G19" s="933">
        <v>0</v>
      </c>
      <c r="H19" s="933">
        <f t="shared" si="3"/>
        <v>0</v>
      </c>
      <c r="I19" s="933">
        <v>0</v>
      </c>
      <c r="J19" s="933">
        <f t="shared" si="4"/>
        <v>0</v>
      </c>
      <c r="K19" s="933">
        <v>0</v>
      </c>
      <c r="L19" s="933">
        <f t="shared" si="5"/>
        <v>0</v>
      </c>
      <c r="M19" s="1057" t="s">
        <v>288</v>
      </c>
      <c r="N19" s="939" t="s">
        <v>422</v>
      </c>
    </row>
    <row r="20" spans="1:14" ht="25.5">
      <c r="A20" s="942"/>
      <c r="B20" s="938" t="s">
        <v>367</v>
      </c>
      <c r="C20" s="931" t="s">
        <v>630</v>
      </c>
      <c r="D20" s="937">
        <v>1</v>
      </c>
      <c r="E20" s="933">
        <v>0</v>
      </c>
      <c r="F20" s="933">
        <f t="shared" si="1"/>
        <v>0</v>
      </c>
      <c r="G20" s="933">
        <v>0</v>
      </c>
      <c r="H20" s="933">
        <f t="shared" si="3"/>
        <v>0</v>
      </c>
      <c r="I20" s="933">
        <v>0</v>
      </c>
      <c r="J20" s="933">
        <f t="shared" si="4"/>
        <v>0</v>
      </c>
      <c r="K20" s="933">
        <v>0</v>
      </c>
      <c r="L20" s="933">
        <f t="shared" si="5"/>
        <v>0</v>
      </c>
      <c r="M20" s="1057" t="s">
        <v>288</v>
      </c>
      <c r="N20" s="939" t="s">
        <v>423</v>
      </c>
    </row>
    <row r="21" spans="1:14" ht="38.25">
      <c r="A21" s="942"/>
      <c r="B21" s="939" t="s">
        <v>2833</v>
      </c>
      <c r="C21" s="931" t="s">
        <v>630</v>
      </c>
      <c r="D21" s="937">
        <v>1</v>
      </c>
      <c r="E21" s="933">
        <v>0.75</v>
      </c>
      <c r="F21" s="933">
        <f t="shared" si="1"/>
        <v>0.75</v>
      </c>
      <c r="G21" s="933">
        <f>SUM(E21*1.1)</f>
        <v>0.82500000000000007</v>
      </c>
      <c r="H21" s="933">
        <f t="shared" si="3"/>
        <v>0.83</v>
      </c>
      <c r="I21" s="933">
        <v>5.45</v>
      </c>
      <c r="J21" s="933">
        <f t="shared" si="4"/>
        <v>5.45</v>
      </c>
      <c r="K21" s="933">
        <v>4.95</v>
      </c>
      <c r="L21" s="933">
        <f t="shared" si="5"/>
        <v>4.95</v>
      </c>
      <c r="M21" s="937" t="s">
        <v>365</v>
      </c>
      <c r="N21" s="939" t="s">
        <v>383</v>
      </c>
    </row>
    <row r="22" spans="1:14" ht="63.75">
      <c r="A22" s="1060"/>
      <c r="B22" s="939" t="s">
        <v>878</v>
      </c>
      <c r="C22" s="1014" t="s">
        <v>1483</v>
      </c>
      <c r="D22" s="1014">
        <v>1</v>
      </c>
      <c r="E22" s="933">
        <v>0</v>
      </c>
      <c r="F22" s="933">
        <f t="shared" si="1"/>
        <v>0</v>
      </c>
      <c r="G22" s="933">
        <v>0</v>
      </c>
      <c r="H22" s="933">
        <f t="shared" si="3"/>
        <v>0</v>
      </c>
      <c r="I22" s="933">
        <f>SUM(K22*1.1)</f>
        <v>320.14400000000006</v>
      </c>
      <c r="J22" s="933">
        <f t="shared" si="4"/>
        <v>320.14</v>
      </c>
      <c r="K22" s="933">
        <v>291.04000000000002</v>
      </c>
      <c r="L22" s="933">
        <f t="shared" si="5"/>
        <v>291.04000000000002</v>
      </c>
      <c r="M22" s="1061"/>
      <c r="N22" s="939" t="s">
        <v>877</v>
      </c>
    </row>
    <row r="23" spans="1:14" ht="76.5">
      <c r="A23" s="936"/>
      <c r="B23" s="939" t="s">
        <v>882</v>
      </c>
      <c r="C23" s="1014" t="s">
        <v>1483</v>
      </c>
      <c r="D23" s="1014">
        <v>1</v>
      </c>
      <c r="E23" s="933">
        <v>0</v>
      </c>
      <c r="F23" s="933">
        <f t="shared" si="1"/>
        <v>0</v>
      </c>
      <c r="G23" s="933">
        <v>0</v>
      </c>
      <c r="H23" s="933">
        <f t="shared" si="3"/>
        <v>0</v>
      </c>
      <c r="I23" s="933">
        <f>SUM(K23*1.1)</f>
        <v>26.664000000000001</v>
      </c>
      <c r="J23" s="933">
        <f t="shared" si="4"/>
        <v>26.66</v>
      </c>
      <c r="K23" s="933">
        <v>24.24</v>
      </c>
      <c r="L23" s="933">
        <f t="shared" si="5"/>
        <v>24.24</v>
      </c>
      <c r="M23" s="1061"/>
      <c r="N23" s="939" t="s">
        <v>877</v>
      </c>
    </row>
    <row r="24" spans="1:14">
      <c r="A24" s="936"/>
      <c r="B24" s="949" t="s">
        <v>1544</v>
      </c>
      <c r="C24" s="948" t="s">
        <v>1483</v>
      </c>
      <c r="D24" s="931">
        <f>D10*0.25</f>
        <v>0.25</v>
      </c>
      <c r="E24" s="933">
        <v>0</v>
      </c>
      <c r="F24" s="933">
        <f t="shared" si="1"/>
        <v>0</v>
      </c>
      <c r="G24" s="933">
        <v>0</v>
      </c>
      <c r="H24" s="933">
        <f t="shared" si="3"/>
        <v>0</v>
      </c>
      <c r="I24" s="933">
        <f t="shared" ref="I24" si="6">SUM(1.1*K24)</f>
        <v>100.62800000000001</v>
      </c>
      <c r="J24" s="933">
        <f t="shared" si="4"/>
        <v>25.16</v>
      </c>
      <c r="K24" s="933">
        <v>91.48</v>
      </c>
      <c r="L24" s="933">
        <f t="shared" si="5"/>
        <v>22.87</v>
      </c>
      <c r="M24" s="931" t="s">
        <v>2818</v>
      </c>
      <c r="N24" s="965"/>
    </row>
    <row r="25" spans="1:14" s="1068" customFormat="1">
      <c r="A25" s="1062"/>
      <c r="B25" s="1063" t="s">
        <v>2815</v>
      </c>
      <c r="C25" s="1064"/>
      <c r="D25" s="1065"/>
      <c r="E25" s="1008"/>
      <c r="F25" s="1008">
        <f>SUM(F12)</f>
        <v>4.5</v>
      </c>
      <c r="G25" s="1008"/>
      <c r="H25" s="1008">
        <f>SUM(H12)</f>
        <v>4.95</v>
      </c>
      <c r="I25" s="1008"/>
      <c r="J25" s="1008">
        <f>SUM(J10+J22+J23+J24)</f>
        <v>434.12</v>
      </c>
      <c r="K25" s="1008"/>
      <c r="L25" s="1008">
        <f>SUM(L10+L22+L23+L24)</f>
        <v>394.66</v>
      </c>
      <c r="M25" s="1066"/>
      <c r="N25" s="1067"/>
    </row>
    <row r="26" spans="1:14" ht="63.75">
      <c r="A26" s="957" t="s">
        <v>2856</v>
      </c>
      <c r="B26" s="1069" t="s">
        <v>2830</v>
      </c>
      <c r="C26" s="1070"/>
      <c r="D26" s="1070"/>
      <c r="E26" s="1070"/>
      <c r="F26" s="1071">
        <f>SUM(F10:F24)-F25</f>
        <v>10.07</v>
      </c>
      <c r="G26" s="1070"/>
      <c r="H26" s="1071">
        <f>SUM(H10:H24)-H25</f>
        <v>11.09</v>
      </c>
      <c r="I26" s="1070"/>
      <c r="J26" s="1071">
        <f>SUM(J10:J24)-J25</f>
        <v>5.4500000000000455</v>
      </c>
      <c r="K26" s="1070"/>
      <c r="L26" s="1071">
        <f>SUM(L10:L24)-L25</f>
        <v>4.9499999999999886</v>
      </c>
      <c r="M26" s="1070"/>
      <c r="N26" s="1072"/>
    </row>
    <row r="27" spans="1:14">
      <c r="A27" s="936"/>
      <c r="B27" s="1074"/>
      <c r="C27" s="1075"/>
      <c r="D27" s="1076"/>
      <c r="E27" s="1077"/>
      <c r="F27" s="1077"/>
      <c r="G27" s="1077"/>
      <c r="H27" s="1077"/>
      <c r="I27" s="1077"/>
      <c r="J27" s="1077"/>
      <c r="K27" s="1077"/>
      <c r="L27" s="1077"/>
      <c r="M27" s="1078"/>
      <c r="N27" s="965"/>
    </row>
    <row r="28" spans="1:14" s="985" customFormat="1">
      <c r="A28" s="1054"/>
      <c r="B28" s="1484" t="s">
        <v>2836</v>
      </c>
      <c r="C28" s="1485"/>
      <c r="D28" s="1485"/>
      <c r="E28" s="1485"/>
      <c r="F28" s="1485"/>
      <c r="G28" s="1485"/>
      <c r="H28" s="1485"/>
      <c r="I28" s="1485"/>
      <c r="J28" s="1485"/>
      <c r="K28" s="1485"/>
      <c r="L28" s="1485"/>
      <c r="M28" s="1486"/>
      <c r="N28" s="928"/>
    </row>
    <row r="29" spans="1:14" ht="51">
      <c r="A29" s="1055"/>
      <c r="B29" s="923" t="s">
        <v>1547</v>
      </c>
      <c r="C29" s="931" t="s">
        <v>630</v>
      </c>
      <c r="D29" s="931">
        <v>0</v>
      </c>
      <c r="E29" s="932">
        <v>7.57</v>
      </c>
      <c r="F29" s="933">
        <f t="shared" ref="F29:F43" si="7">+ROUND((E29*D29),2)</f>
        <v>0</v>
      </c>
      <c r="G29" s="962">
        <f>SUM(E29*1.1)</f>
        <v>8.3270000000000017</v>
      </c>
      <c r="H29" s="933">
        <f t="shared" ref="H29:H43" si="8">+ROUND((G29*D29),2)</f>
        <v>0</v>
      </c>
      <c r="I29" s="962">
        <f>SUM(K29*1.1)</f>
        <v>62.161000000000001</v>
      </c>
      <c r="J29" s="933">
        <f>+ROUND((I29*D29),2)</f>
        <v>0</v>
      </c>
      <c r="K29" s="974">
        <v>56.51</v>
      </c>
      <c r="L29" s="933">
        <f t="shared" ref="L29:L43" si="9">+ROUND((K29*D29),2)</f>
        <v>0</v>
      </c>
      <c r="M29" s="923"/>
      <c r="N29" s="965" t="s">
        <v>2837</v>
      </c>
    </row>
    <row r="30" spans="1:14" ht="38.25">
      <c r="A30" s="1056"/>
      <c r="B30" s="941" t="s">
        <v>1477</v>
      </c>
      <c r="C30" s="937" t="s">
        <v>630</v>
      </c>
      <c r="D30" s="937">
        <v>1</v>
      </c>
      <c r="E30" s="962">
        <v>1.75</v>
      </c>
      <c r="F30" s="933">
        <f t="shared" si="7"/>
        <v>1.75</v>
      </c>
      <c r="G30" s="962">
        <v>1.93</v>
      </c>
      <c r="H30" s="933">
        <f t="shared" si="8"/>
        <v>1.93</v>
      </c>
      <c r="I30" s="1017">
        <v>0</v>
      </c>
      <c r="J30" s="933">
        <f t="shared" ref="J30:J43" si="10">+ROUND((I30*D30),2)</f>
        <v>0</v>
      </c>
      <c r="K30" s="1017">
        <v>0</v>
      </c>
      <c r="L30" s="933">
        <f t="shared" si="9"/>
        <v>0</v>
      </c>
      <c r="M30" s="939"/>
      <c r="N30" s="1056" t="s">
        <v>2838</v>
      </c>
    </row>
    <row r="31" spans="1:14" s="940" customFormat="1" ht="38.25">
      <c r="A31" s="935"/>
      <c r="B31" s="936" t="s">
        <v>1245</v>
      </c>
      <c r="C31" s="937" t="s">
        <v>630</v>
      </c>
      <c r="D31" s="937">
        <v>1</v>
      </c>
      <c r="E31" s="962">
        <v>4.5</v>
      </c>
      <c r="F31" s="933">
        <f t="shared" si="7"/>
        <v>4.5</v>
      </c>
      <c r="G31" s="962">
        <v>4.95</v>
      </c>
      <c r="H31" s="933">
        <f t="shared" si="8"/>
        <v>4.95</v>
      </c>
      <c r="I31" s="962">
        <v>0</v>
      </c>
      <c r="J31" s="933">
        <f t="shared" si="10"/>
        <v>0</v>
      </c>
      <c r="K31" s="962">
        <v>0</v>
      </c>
      <c r="L31" s="933">
        <f t="shared" si="9"/>
        <v>0</v>
      </c>
      <c r="M31" s="946"/>
      <c r="N31" s="941"/>
    </row>
    <row r="32" spans="1:14" ht="38.25">
      <c r="A32" s="942"/>
      <c r="B32" s="941" t="s">
        <v>615</v>
      </c>
      <c r="C32" s="931" t="s">
        <v>630</v>
      </c>
      <c r="D32" s="931">
        <v>1</v>
      </c>
      <c r="E32" s="1017">
        <v>0</v>
      </c>
      <c r="F32" s="933">
        <f t="shared" si="7"/>
        <v>0</v>
      </c>
      <c r="G32" s="1017">
        <v>0</v>
      </c>
      <c r="H32" s="933">
        <f t="shared" si="8"/>
        <v>0</v>
      </c>
      <c r="I32" s="1017">
        <v>0</v>
      </c>
      <c r="J32" s="933">
        <f t="shared" si="10"/>
        <v>0</v>
      </c>
      <c r="K32" s="1017">
        <v>0</v>
      </c>
      <c r="L32" s="933">
        <f t="shared" si="9"/>
        <v>0</v>
      </c>
      <c r="M32" s="941" t="s">
        <v>864</v>
      </c>
      <c r="N32" s="941"/>
    </row>
    <row r="33" spans="1:14" ht="25.5">
      <c r="A33" s="942"/>
      <c r="B33" s="941" t="s">
        <v>2782</v>
      </c>
      <c r="C33" s="931" t="s">
        <v>630</v>
      </c>
      <c r="D33" s="931">
        <v>1</v>
      </c>
      <c r="E33" s="1017">
        <v>0</v>
      </c>
      <c r="F33" s="933">
        <f t="shared" si="7"/>
        <v>0</v>
      </c>
      <c r="G33" s="1017">
        <v>0</v>
      </c>
      <c r="H33" s="933">
        <f t="shared" si="8"/>
        <v>0</v>
      </c>
      <c r="I33" s="1017">
        <v>0</v>
      </c>
      <c r="J33" s="933">
        <f t="shared" si="10"/>
        <v>0</v>
      </c>
      <c r="K33" s="1017">
        <v>0</v>
      </c>
      <c r="L33" s="933">
        <f t="shared" si="9"/>
        <v>0</v>
      </c>
      <c r="M33" s="941" t="s">
        <v>289</v>
      </c>
      <c r="N33" s="941" t="s">
        <v>385</v>
      </c>
    </row>
    <row r="34" spans="1:14" ht="25.5">
      <c r="A34" s="942"/>
      <c r="B34" s="941" t="s">
        <v>296</v>
      </c>
      <c r="C34" s="931" t="s">
        <v>630</v>
      </c>
      <c r="D34" s="931">
        <v>1</v>
      </c>
      <c r="E34" s="1017">
        <v>0</v>
      </c>
      <c r="F34" s="933">
        <f t="shared" si="7"/>
        <v>0</v>
      </c>
      <c r="G34" s="1017">
        <v>0</v>
      </c>
      <c r="H34" s="933">
        <f t="shared" si="8"/>
        <v>0</v>
      </c>
      <c r="I34" s="1017">
        <v>0</v>
      </c>
      <c r="J34" s="933">
        <f t="shared" si="10"/>
        <v>0</v>
      </c>
      <c r="K34" s="1017">
        <v>0</v>
      </c>
      <c r="L34" s="933">
        <f t="shared" si="9"/>
        <v>0</v>
      </c>
      <c r="M34" s="941" t="s">
        <v>288</v>
      </c>
      <c r="N34" s="941" t="s">
        <v>387</v>
      </c>
    </row>
    <row r="35" spans="1:14" ht="38.25">
      <c r="A35" s="1058"/>
      <c r="B35" s="941" t="s">
        <v>815</v>
      </c>
      <c r="C35" s="931" t="s">
        <v>630</v>
      </c>
      <c r="D35" s="931">
        <v>1</v>
      </c>
      <c r="E35" s="1017">
        <v>0</v>
      </c>
      <c r="F35" s="933">
        <f t="shared" si="7"/>
        <v>0</v>
      </c>
      <c r="G35" s="1017">
        <v>0</v>
      </c>
      <c r="H35" s="933">
        <f t="shared" si="8"/>
        <v>0</v>
      </c>
      <c r="I35" s="1017">
        <v>0</v>
      </c>
      <c r="J35" s="933">
        <f t="shared" si="10"/>
        <v>0</v>
      </c>
      <c r="K35" s="1017">
        <v>0</v>
      </c>
      <c r="L35" s="933">
        <f t="shared" si="9"/>
        <v>0</v>
      </c>
      <c r="M35" s="941" t="s">
        <v>374</v>
      </c>
      <c r="N35" s="941" t="s">
        <v>389</v>
      </c>
    </row>
    <row r="36" spans="1:14" ht="25.5">
      <c r="A36" s="939"/>
      <c r="B36" s="939" t="s">
        <v>613</v>
      </c>
      <c r="C36" s="931" t="s">
        <v>630</v>
      </c>
      <c r="D36" s="931">
        <v>1</v>
      </c>
      <c r="E36" s="1017">
        <v>0</v>
      </c>
      <c r="F36" s="933">
        <f t="shared" si="7"/>
        <v>0</v>
      </c>
      <c r="G36" s="1017">
        <v>0</v>
      </c>
      <c r="H36" s="933">
        <f t="shared" si="8"/>
        <v>0</v>
      </c>
      <c r="I36" s="1017">
        <v>0</v>
      </c>
      <c r="J36" s="933">
        <f t="shared" si="10"/>
        <v>0</v>
      </c>
      <c r="K36" s="1017">
        <v>0</v>
      </c>
      <c r="L36" s="933">
        <f t="shared" si="9"/>
        <v>0</v>
      </c>
      <c r="M36" s="946" t="s">
        <v>285</v>
      </c>
      <c r="N36" s="939" t="s">
        <v>614</v>
      </c>
    </row>
    <row r="37" spans="1:14" ht="25.5">
      <c r="A37" s="939"/>
      <c r="B37" s="939" t="s">
        <v>617</v>
      </c>
      <c r="C37" s="931" t="s">
        <v>630</v>
      </c>
      <c r="D37" s="931">
        <v>1</v>
      </c>
      <c r="E37" s="1017">
        <v>0</v>
      </c>
      <c r="F37" s="933">
        <f t="shared" si="7"/>
        <v>0</v>
      </c>
      <c r="G37" s="1017">
        <v>0</v>
      </c>
      <c r="H37" s="933">
        <f t="shared" si="8"/>
        <v>0</v>
      </c>
      <c r="I37" s="1017">
        <v>0</v>
      </c>
      <c r="J37" s="933">
        <f t="shared" si="10"/>
        <v>0</v>
      </c>
      <c r="K37" s="1017">
        <v>0</v>
      </c>
      <c r="L37" s="933">
        <f t="shared" si="9"/>
        <v>0</v>
      </c>
      <c r="M37" s="946" t="s">
        <v>288</v>
      </c>
      <c r="N37" s="939" t="s">
        <v>0</v>
      </c>
    </row>
    <row r="38" spans="1:14" ht="38.25">
      <c r="A38" s="1058"/>
      <c r="B38" s="946" t="s">
        <v>2813</v>
      </c>
      <c r="C38" s="931" t="s">
        <v>630</v>
      </c>
      <c r="D38" s="931">
        <v>1</v>
      </c>
      <c r="E38" s="1017">
        <v>0</v>
      </c>
      <c r="F38" s="933">
        <f t="shared" si="7"/>
        <v>0</v>
      </c>
      <c r="G38" s="1017">
        <v>0</v>
      </c>
      <c r="H38" s="933">
        <f t="shared" si="8"/>
        <v>0</v>
      </c>
      <c r="I38" s="1017">
        <v>0</v>
      </c>
      <c r="J38" s="933">
        <f t="shared" si="10"/>
        <v>0</v>
      </c>
      <c r="K38" s="1017">
        <v>0</v>
      </c>
      <c r="L38" s="933">
        <f t="shared" si="9"/>
        <v>0</v>
      </c>
      <c r="M38" s="946" t="s">
        <v>288</v>
      </c>
      <c r="N38" s="941" t="s">
        <v>1286</v>
      </c>
    </row>
    <row r="39" spans="1:14" ht="25.5">
      <c r="A39" s="1058"/>
      <c r="B39" s="946" t="s">
        <v>367</v>
      </c>
      <c r="C39" s="931" t="s">
        <v>630</v>
      </c>
      <c r="D39" s="931">
        <v>1</v>
      </c>
      <c r="E39" s="1017">
        <v>0</v>
      </c>
      <c r="F39" s="933">
        <f t="shared" si="7"/>
        <v>0</v>
      </c>
      <c r="G39" s="1017">
        <v>0</v>
      </c>
      <c r="H39" s="933">
        <f t="shared" si="8"/>
        <v>0</v>
      </c>
      <c r="I39" s="1017">
        <v>0</v>
      </c>
      <c r="J39" s="933">
        <f t="shared" si="10"/>
        <v>0</v>
      </c>
      <c r="K39" s="1017">
        <v>0</v>
      </c>
      <c r="L39" s="933">
        <f t="shared" si="9"/>
        <v>0</v>
      </c>
      <c r="M39" s="946" t="s">
        <v>288</v>
      </c>
      <c r="N39" s="941" t="s">
        <v>423</v>
      </c>
    </row>
    <row r="40" spans="1:14" ht="38.25">
      <c r="A40" s="942"/>
      <c r="B40" s="941" t="s">
        <v>2839</v>
      </c>
      <c r="C40" s="931" t="s">
        <v>630</v>
      </c>
      <c r="D40" s="931">
        <v>1</v>
      </c>
      <c r="E40" s="1017">
        <v>0.75</v>
      </c>
      <c r="F40" s="933">
        <f t="shared" si="7"/>
        <v>0.75</v>
      </c>
      <c r="G40" s="962">
        <f t="shared" ref="G40" si="11">SUM(E40*1.1)</f>
        <v>0.82500000000000007</v>
      </c>
      <c r="H40" s="933">
        <f t="shared" si="8"/>
        <v>0.83</v>
      </c>
      <c r="I40" s="962">
        <f t="shared" ref="I40" si="12">SUM(K40*1.1)</f>
        <v>5.4450000000000003</v>
      </c>
      <c r="J40" s="933">
        <f t="shared" si="10"/>
        <v>5.45</v>
      </c>
      <c r="K40" s="962">
        <v>4.95</v>
      </c>
      <c r="L40" s="933">
        <f t="shared" si="9"/>
        <v>4.95</v>
      </c>
      <c r="M40" s="941" t="s">
        <v>864</v>
      </c>
      <c r="N40" s="941" t="s">
        <v>383</v>
      </c>
    </row>
    <row r="41" spans="1:14" ht="63.75">
      <c r="A41" s="935"/>
      <c r="B41" s="941" t="s">
        <v>878</v>
      </c>
      <c r="C41" s="1014" t="s">
        <v>1483</v>
      </c>
      <c r="D41" s="1014">
        <v>1</v>
      </c>
      <c r="E41" s="1017">
        <v>0</v>
      </c>
      <c r="F41" s="933">
        <f t="shared" si="7"/>
        <v>0</v>
      </c>
      <c r="G41" s="962">
        <v>0</v>
      </c>
      <c r="H41" s="933">
        <f t="shared" si="8"/>
        <v>0</v>
      </c>
      <c r="I41" s="962">
        <f>SUM(K41*1.1)</f>
        <v>320.14400000000006</v>
      </c>
      <c r="J41" s="933">
        <f t="shared" si="10"/>
        <v>320.14</v>
      </c>
      <c r="K41" s="962">
        <v>291.04000000000002</v>
      </c>
      <c r="L41" s="933">
        <f t="shared" si="9"/>
        <v>291.04000000000002</v>
      </c>
      <c r="M41" s="1061"/>
      <c r="N41" s="1079" t="s">
        <v>877</v>
      </c>
    </row>
    <row r="42" spans="1:14" ht="76.5">
      <c r="A42" s="984"/>
      <c r="B42" s="941" t="s">
        <v>882</v>
      </c>
      <c r="C42" s="1014" t="s">
        <v>1483</v>
      </c>
      <c r="D42" s="1014">
        <v>1</v>
      </c>
      <c r="E42" s="1017">
        <v>0</v>
      </c>
      <c r="F42" s="933">
        <f t="shared" si="7"/>
        <v>0</v>
      </c>
      <c r="G42" s="962">
        <v>0</v>
      </c>
      <c r="H42" s="933">
        <f t="shared" si="8"/>
        <v>0</v>
      </c>
      <c r="I42" s="962">
        <f>SUM(K42*1.1)</f>
        <v>26.664000000000001</v>
      </c>
      <c r="J42" s="933">
        <f t="shared" si="10"/>
        <v>26.66</v>
      </c>
      <c r="K42" s="962">
        <v>24.24</v>
      </c>
      <c r="L42" s="933">
        <f t="shared" si="9"/>
        <v>24.24</v>
      </c>
      <c r="M42" s="1061"/>
      <c r="N42" s="1079" t="s">
        <v>877</v>
      </c>
    </row>
    <row r="43" spans="1:14">
      <c r="A43" s="936"/>
      <c r="B43" s="949" t="s">
        <v>1544</v>
      </c>
      <c r="C43" s="948" t="s">
        <v>1483</v>
      </c>
      <c r="D43" s="931">
        <v>0.25</v>
      </c>
      <c r="E43" s="1017">
        <v>0</v>
      </c>
      <c r="F43" s="933">
        <f t="shared" si="7"/>
        <v>0</v>
      </c>
      <c r="G43" s="1017">
        <v>0</v>
      </c>
      <c r="H43" s="933">
        <f t="shared" si="8"/>
        <v>0</v>
      </c>
      <c r="I43" s="1017">
        <f t="shared" ref="I43" si="13">SUM(1.1*K43)</f>
        <v>100.62800000000001</v>
      </c>
      <c r="J43" s="933">
        <f t="shared" si="10"/>
        <v>25.16</v>
      </c>
      <c r="K43" s="1017">
        <v>91.48</v>
      </c>
      <c r="L43" s="933">
        <f t="shared" si="9"/>
        <v>22.87</v>
      </c>
      <c r="M43" s="931" t="s">
        <v>2818</v>
      </c>
      <c r="N43" s="965"/>
    </row>
    <row r="44" spans="1:14" s="1068" customFormat="1">
      <c r="A44" s="1062"/>
      <c r="B44" s="1063" t="s">
        <v>2815</v>
      </c>
      <c r="C44" s="1064"/>
      <c r="D44" s="1065"/>
      <c r="E44" s="1008"/>
      <c r="F44" s="1008">
        <f>SUM(F31)</f>
        <v>4.5</v>
      </c>
      <c r="G44" s="1008"/>
      <c r="H44" s="1008">
        <f>SUM(H31)</f>
        <v>4.95</v>
      </c>
      <c r="I44" s="1008"/>
      <c r="J44" s="1008">
        <v>20</v>
      </c>
      <c r="K44" s="1017"/>
      <c r="L44" s="1008">
        <v>20</v>
      </c>
      <c r="M44" s="1066"/>
      <c r="N44" s="1067"/>
    </row>
    <row r="45" spans="1:14" ht="51" customHeight="1">
      <c r="A45" s="957" t="s">
        <v>2857</v>
      </c>
      <c r="B45" s="981" t="s">
        <v>2836</v>
      </c>
      <c r="C45" s="981"/>
      <c r="D45" s="981"/>
      <c r="E45" s="981"/>
      <c r="F45" s="1071">
        <f>SUM(F29:F43)-F44</f>
        <v>2.5</v>
      </c>
      <c r="G45" s="1070"/>
      <c r="H45" s="1071">
        <f>SUM(H29:H43)-H44</f>
        <v>2.76</v>
      </c>
      <c r="I45" s="1070"/>
      <c r="J45" s="1071">
        <f>SUM(J29:J43)-J44</f>
        <v>357.41</v>
      </c>
      <c r="K45" s="1070"/>
      <c r="L45" s="1071">
        <f>SUM(L29:L43)-L44</f>
        <v>323.10000000000002</v>
      </c>
      <c r="M45" s="981"/>
      <c r="N45" s="1072"/>
    </row>
    <row r="46" spans="1:14">
      <c r="A46" s="1055"/>
      <c r="B46" s="923"/>
      <c r="C46" s="931"/>
      <c r="D46" s="931"/>
      <c r="E46" s="932"/>
      <c r="F46" s="1080"/>
      <c r="G46" s="962"/>
      <c r="H46" s="962"/>
      <c r="I46" s="962"/>
      <c r="J46" s="962"/>
      <c r="K46" s="974"/>
      <c r="L46" s="1081"/>
      <c r="M46" s="923"/>
      <c r="N46" s="965"/>
    </row>
    <row r="47" spans="1:14" s="985" customFormat="1">
      <c r="A47" s="1054"/>
      <c r="B47" s="1484" t="s">
        <v>2841</v>
      </c>
      <c r="C47" s="1485"/>
      <c r="D47" s="1485"/>
      <c r="E47" s="1485"/>
      <c r="F47" s="1485"/>
      <c r="G47" s="1485"/>
      <c r="H47" s="1485"/>
      <c r="I47" s="1485"/>
      <c r="J47" s="1485"/>
      <c r="K47" s="1485"/>
      <c r="L47" s="1485"/>
      <c r="M47" s="1486"/>
      <c r="N47" s="928"/>
    </row>
    <row r="48" spans="1:14" ht="63.75">
      <c r="A48" s="1055"/>
      <c r="B48" s="939" t="s">
        <v>2831</v>
      </c>
      <c r="C48" s="931" t="s">
        <v>630</v>
      </c>
      <c r="D48" s="937">
        <v>1</v>
      </c>
      <c r="E48" s="933">
        <v>7.57</v>
      </c>
      <c r="F48" s="933">
        <f t="shared" ref="F48:F62" si="14">+ROUND((E48*D48),2)</f>
        <v>7.57</v>
      </c>
      <c r="G48" s="933">
        <f>SUM(E48*1.1)</f>
        <v>8.3270000000000017</v>
      </c>
      <c r="H48" s="933">
        <f t="shared" ref="H48:H62" si="15">+ROUND((G48*D48),2)</f>
        <v>8.33</v>
      </c>
      <c r="I48" s="933">
        <f t="shared" ref="I48" si="16">SUM(K48*1.1)</f>
        <v>62.161000000000001</v>
      </c>
      <c r="J48" s="933">
        <f t="shared" ref="J48:J62" si="17">+ROUND((I48*D48),2)</f>
        <v>62.16</v>
      </c>
      <c r="K48" s="933">
        <v>56.51</v>
      </c>
      <c r="L48" s="933">
        <f t="shared" ref="L48:L62" si="18">+ROUND((K48*D48),2)</f>
        <v>56.51</v>
      </c>
      <c r="M48" s="937"/>
      <c r="N48" s="924"/>
    </row>
    <row r="49" spans="1:14" ht="38.25">
      <c r="A49" s="1056"/>
      <c r="B49" s="939" t="s">
        <v>2832</v>
      </c>
      <c r="C49" s="931" t="s">
        <v>630</v>
      </c>
      <c r="D49" s="937">
        <v>1</v>
      </c>
      <c r="E49" s="933">
        <v>1.75</v>
      </c>
      <c r="F49" s="933">
        <f t="shared" si="14"/>
        <v>1.75</v>
      </c>
      <c r="G49" s="933">
        <f t="shared" ref="G49:G50" si="19">SUM(E49*1.1)</f>
        <v>1.9250000000000003</v>
      </c>
      <c r="H49" s="933">
        <f t="shared" si="15"/>
        <v>1.93</v>
      </c>
      <c r="I49" s="933">
        <v>0</v>
      </c>
      <c r="J49" s="933">
        <f t="shared" si="17"/>
        <v>0</v>
      </c>
      <c r="K49" s="933">
        <v>0</v>
      </c>
      <c r="L49" s="933">
        <f t="shared" si="18"/>
        <v>0</v>
      </c>
      <c r="M49" s="937"/>
      <c r="N49" s="924"/>
    </row>
    <row r="50" spans="1:14" ht="38.25">
      <c r="A50" s="935"/>
      <c r="B50" s="939" t="s">
        <v>1245</v>
      </c>
      <c r="C50" s="931" t="s">
        <v>630</v>
      </c>
      <c r="D50" s="1030">
        <v>1</v>
      </c>
      <c r="E50" s="933">
        <v>4.5</v>
      </c>
      <c r="F50" s="933">
        <f t="shared" si="14"/>
        <v>4.5</v>
      </c>
      <c r="G50" s="933">
        <f t="shared" si="19"/>
        <v>4.95</v>
      </c>
      <c r="H50" s="933">
        <f t="shared" si="15"/>
        <v>4.95</v>
      </c>
      <c r="I50" s="933">
        <v>0</v>
      </c>
      <c r="J50" s="933">
        <f t="shared" si="17"/>
        <v>0</v>
      </c>
      <c r="K50" s="933">
        <v>0</v>
      </c>
      <c r="L50" s="933">
        <f t="shared" si="18"/>
        <v>0</v>
      </c>
      <c r="M50" s="1057"/>
      <c r="N50" s="937"/>
    </row>
    <row r="51" spans="1:14" ht="25.5">
      <c r="A51" s="939"/>
      <c r="B51" s="939" t="s">
        <v>613</v>
      </c>
      <c r="C51" s="931" t="s">
        <v>630</v>
      </c>
      <c r="D51" s="937">
        <v>1</v>
      </c>
      <c r="E51" s="933">
        <v>0</v>
      </c>
      <c r="F51" s="933">
        <f t="shared" si="14"/>
        <v>0</v>
      </c>
      <c r="G51" s="933">
        <v>0</v>
      </c>
      <c r="H51" s="933">
        <f t="shared" si="15"/>
        <v>0</v>
      </c>
      <c r="I51" s="933">
        <v>0</v>
      </c>
      <c r="J51" s="933">
        <f t="shared" si="17"/>
        <v>0</v>
      </c>
      <c r="K51" s="933">
        <v>0</v>
      </c>
      <c r="L51" s="933">
        <f t="shared" si="18"/>
        <v>0</v>
      </c>
      <c r="M51" s="1057" t="s">
        <v>285</v>
      </c>
      <c r="N51" s="939" t="s">
        <v>614</v>
      </c>
    </row>
    <row r="52" spans="1:14" ht="38.25">
      <c r="A52" s="942"/>
      <c r="B52" s="939" t="s">
        <v>1327</v>
      </c>
      <c r="C52" s="931" t="s">
        <v>630</v>
      </c>
      <c r="D52" s="937">
        <v>1</v>
      </c>
      <c r="E52" s="933">
        <v>0</v>
      </c>
      <c r="F52" s="933">
        <f t="shared" si="14"/>
        <v>0</v>
      </c>
      <c r="G52" s="933">
        <v>0</v>
      </c>
      <c r="H52" s="933">
        <f t="shared" si="15"/>
        <v>0</v>
      </c>
      <c r="I52" s="933">
        <v>0</v>
      </c>
      <c r="J52" s="933">
        <f t="shared" si="17"/>
        <v>0</v>
      </c>
      <c r="K52" s="933">
        <v>0</v>
      </c>
      <c r="L52" s="933">
        <f t="shared" si="18"/>
        <v>0</v>
      </c>
      <c r="M52" s="937" t="s">
        <v>288</v>
      </c>
      <c r="N52" s="939" t="s">
        <v>385</v>
      </c>
    </row>
    <row r="53" spans="1:14">
      <c r="A53" s="1058"/>
      <c r="B53" s="939" t="s">
        <v>615</v>
      </c>
      <c r="C53" s="931" t="s">
        <v>630</v>
      </c>
      <c r="D53" s="937">
        <v>1</v>
      </c>
      <c r="E53" s="933">
        <v>0</v>
      </c>
      <c r="F53" s="933">
        <f t="shared" si="14"/>
        <v>0</v>
      </c>
      <c r="G53" s="933">
        <v>0</v>
      </c>
      <c r="H53" s="933">
        <f t="shared" si="15"/>
        <v>0</v>
      </c>
      <c r="I53" s="933">
        <v>0</v>
      </c>
      <c r="J53" s="933">
        <f t="shared" si="17"/>
        <v>0</v>
      </c>
      <c r="K53" s="933">
        <v>0</v>
      </c>
      <c r="L53" s="933">
        <f t="shared" si="18"/>
        <v>0</v>
      </c>
      <c r="M53" s="937" t="s">
        <v>365</v>
      </c>
      <c r="N53" s="939"/>
    </row>
    <row r="54" spans="1:14" ht="25.5">
      <c r="A54" s="942"/>
      <c r="B54" s="939" t="s">
        <v>792</v>
      </c>
      <c r="C54" s="931" t="s">
        <v>630</v>
      </c>
      <c r="D54" s="937">
        <v>1</v>
      </c>
      <c r="E54" s="933">
        <v>0</v>
      </c>
      <c r="F54" s="933">
        <f t="shared" si="14"/>
        <v>0</v>
      </c>
      <c r="G54" s="933">
        <v>0</v>
      </c>
      <c r="H54" s="933">
        <f t="shared" si="15"/>
        <v>0</v>
      </c>
      <c r="I54" s="933">
        <v>0</v>
      </c>
      <c r="J54" s="933">
        <f t="shared" si="17"/>
        <v>0</v>
      </c>
      <c r="K54" s="933">
        <v>0</v>
      </c>
      <c r="L54" s="933">
        <f t="shared" si="18"/>
        <v>0</v>
      </c>
      <c r="M54" s="937" t="s">
        <v>289</v>
      </c>
      <c r="N54" s="939" t="s">
        <v>385</v>
      </c>
    </row>
    <row r="55" spans="1:14" ht="25.5">
      <c r="A55" s="942"/>
      <c r="B55" s="939" t="s">
        <v>296</v>
      </c>
      <c r="C55" s="931" t="s">
        <v>630</v>
      </c>
      <c r="D55" s="937">
        <v>1</v>
      </c>
      <c r="E55" s="933">
        <v>0</v>
      </c>
      <c r="F55" s="933">
        <f t="shared" si="14"/>
        <v>0</v>
      </c>
      <c r="G55" s="933">
        <v>0</v>
      </c>
      <c r="H55" s="933">
        <f t="shared" si="15"/>
        <v>0</v>
      </c>
      <c r="I55" s="933">
        <v>0</v>
      </c>
      <c r="J55" s="933">
        <f t="shared" si="17"/>
        <v>0</v>
      </c>
      <c r="K55" s="933">
        <v>0</v>
      </c>
      <c r="L55" s="933">
        <f t="shared" si="18"/>
        <v>0</v>
      </c>
      <c r="M55" s="937" t="s">
        <v>288</v>
      </c>
      <c r="N55" s="939" t="s">
        <v>387</v>
      </c>
    </row>
    <row r="56" spans="1:14" ht="25.5">
      <c r="A56" s="1058"/>
      <c r="B56" s="943" t="s">
        <v>617</v>
      </c>
      <c r="C56" s="931" t="s">
        <v>630</v>
      </c>
      <c r="D56" s="937">
        <v>1</v>
      </c>
      <c r="E56" s="933">
        <v>0</v>
      </c>
      <c r="F56" s="933">
        <f t="shared" si="14"/>
        <v>0</v>
      </c>
      <c r="G56" s="933">
        <v>0</v>
      </c>
      <c r="H56" s="933">
        <f t="shared" si="15"/>
        <v>0</v>
      </c>
      <c r="I56" s="933">
        <v>0</v>
      </c>
      <c r="J56" s="933">
        <f t="shared" si="17"/>
        <v>0</v>
      </c>
      <c r="K56" s="933">
        <v>0</v>
      </c>
      <c r="L56" s="933">
        <f t="shared" si="18"/>
        <v>0</v>
      </c>
      <c r="M56" s="1059" t="s">
        <v>288</v>
      </c>
      <c r="N56" s="943" t="s">
        <v>426</v>
      </c>
    </row>
    <row r="57" spans="1:14" ht="38.25">
      <c r="A57" s="942"/>
      <c r="B57" s="938" t="s">
        <v>795</v>
      </c>
      <c r="C57" s="931" t="s">
        <v>630</v>
      </c>
      <c r="D57" s="937">
        <v>1</v>
      </c>
      <c r="E57" s="933">
        <v>0</v>
      </c>
      <c r="F57" s="933">
        <f t="shared" si="14"/>
        <v>0</v>
      </c>
      <c r="G57" s="933">
        <v>0</v>
      </c>
      <c r="H57" s="933">
        <f t="shared" si="15"/>
        <v>0</v>
      </c>
      <c r="I57" s="933">
        <v>0</v>
      </c>
      <c r="J57" s="933">
        <f t="shared" si="17"/>
        <v>0</v>
      </c>
      <c r="K57" s="933">
        <v>0</v>
      </c>
      <c r="L57" s="933">
        <f t="shared" si="18"/>
        <v>0</v>
      </c>
      <c r="M57" s="1057" t="s">
        <v>288</v>
      </c>
      <c r="N57" s="939" t="s">
        <v>422</v>
      </c>
    </row>
    <row r="58" spans="1:14" ht="25.5">
      <c r="A58" s="942"/>
      <c r="B58" s="938" t="s">
        <v>367</v>
      </c>
      <c r="C58" s="931" t="s">
        <v>630</v>
      </c>
      <c r="D58" s="937">
        <v>1</v>
      </c>
      <c r="E58" s="933">
        <v>0</v>
      </c>
      <c r="F58" s="933">
        <f t="shared" si="14"/>
        <v>0</v>
      </c>
      <c r="G58" s="933">
        <v>0</v>
      </c>
      <c r="H58" s="933">
        <f t="shared" si="15"/>
        <v>0</v>
      </c>
      <c r="I58" s="933">
        <v>0</v>
      </c>
      <c r="J58" s="933">
        <f t="shared" si="17"/>
        <v>0</v>
      </c>
      <c r="K58" s="933">
        <v>0</v>
      </c>
      <c r="L58" s="933">
        <f t="shared" si="18"/>
        <v>0</v>
      </c>
      <c r="M58" s="1057" t="s">
        <v>288</v>
      </c>
      <c r="N58" s="939" t="s">
        <v>423</v>
      </c>
    </row>
    <row r="59" spans="1:14" ht="38.25">
      <c r="A59" s="942"/>
      <c r="B59" s="939" t="s">
        <v>2833</v>
      </c>
      <c r="C59" s="931" t="s">
        <v>630</v>
      </c>
      <c r="D59" s="937">
        <v>1</v>
      </c>
      <c r="E59" s="933">
        <v>0.75</v>
      </c>
      <c r="F59" s="933">
        <f t="shared" si="14"/>
        <v>0.75</v>
      </c>
      <c r="G59" s="933">
        <f>SUM(E59*1.1)</f>
        <v>0.82500000000000007</v>
      </c>
      <c r="H59" s="933">
        <f t="shared" si="15"/>
        <v>0.83</v>
      </c>
      <c r="I59" s="933">
        <v>5.45</v>
      </c>
      <c r="J59" s="933">
        <f t="shared" si="17"/>
        <v>5.45</v>
      </c>
      <c r="K59" s="933">
        <v>4.95</v>
      </c>
      <c r="L59" s="933">
        <f t="shared" si="18"/>
        <v>4.95</v>
      </c>
      <c r="M59" s="937" t="s">
        <v>365</v>
      </c>
      <c r="N59" s="939" t="s">
        <v>383</v>
      </c>
    </row>
    <row r="60" spans="1:14" ht="63.75">
      <c r="A60" s="984"/>
      <c r="B60" s="941" t="s">
        <v>880</v>
      </c>
      <c r="C60" s="1014" t="s">
        <v>1483</v>
      </c>
      <c r="D60" s="1014">
        <v>1</v>
      </c>
      <c r="E60" s="1017">
        <v>0</v>
      </c>
      <c r="F60" s="933">
        <f t="shared" si="14"/>
        <v>0</v>
      </c>
      <c r="G60" s="962">
        <v>0</v>
      </c>
      <c r="H60" s="933">
        <f t="shared" si="15"/>
        <v>0</v>
      </c>
      <c r="I60" s="962">
        <f t="shared" ref="I60:I61" si="20">SUM(K60*1.1)</f>
        <v>375.82600000000008</v>
      </c>
      <c r="J60" s="933">
        <f t="shared" si="17"/>
        <v>375.83</v>
      </c>
      <c r="K60" s="962">
        <v>341.66</v>
      </c>
      <c r="L60" s="933">
        <f t="shared" si="18"/>
        <v>341.66</v>
      </c>
      <c r="M60" s="1061"/>
      <c r="N60" s="1079" t="s">
        <v>877</v>
      </c>
    </row>
    <row r="61" spans="1:14" ht="76.5">
      <c r="A61" s="984"/>
      <c r="B61" s="941" t="s">
        <v>882</v>
      </c>
      <c r="C61" s="1014" t="s">
        <v>1483</v>
      </c>
      <c r="D61" s="1014">
        <v>1</v>
      </c>
      <c r="E61" s="1017">
        <v>0</v>
      </c>
      <c r="F61" s="933">
        <f t="shared" si="14"/>
        <v>0</v>
      </c>
      <c r="G61" s="962">
        <v>0</v>
      </c>
      <c r="H61" s="933">
        <f t="shared" si="15"/>
        <v>0</v>
      </c>
      <c r="I61" s="962">
        <f t="shared" si="20"/>
        <v>26.664000000000001</v>
      </c>
      <c r="J61" s="933">
        <f t="shared" si="17"/>
        <v>26.66</v>
      </c>
      <c r="K61" s="962">
        <v>24.24</v>
      </c>
      <c r="L61" s="933">
        <f t="shared" si="18"/>
        <v>24.24</v>
      </c>
      <c r="M61" s="1061"/>
      <c r="N61" s="1079" t="s">
        <v>877</v>
      </c>
    </row>
    <row r="62" spans="1:14">
      <c r="A62" s="936"/>
      <c r="B62" s="949" t="s">
        <v>1544</v>
      </c>
      <c r="C62" s="948" t="s">
        <v>1483</v>
      </c>
      <c r="D62" s="931">
        <v>0.25</v>
      </c>
      <c r="E62" s="1017">
        <v>0</v>
      </c>
      <c r="F62" s="933">
        <f t="shared" si="14"/>
        <v>0</v>
      </c>
      <c r="G62" s="1017">
        <v>0</v>
      </c>
      <c r="H62" s="933">
        <f t="shared" si="15"/>
        <v>0</v>
      </c>
      <c r="I62" s="1017">
        <f t="shared" ref="I62" si="21">SUM(1.1*K62)</f>
        <v>100.62800000000001</v>
      </c>
      <c r="J62" s="933">
        <f t="shared" si="17"/>
        <v>25.16</v>
      </c>
      <c r="K62" s="1017">
        <v>91.48</v>
      </c>
      <c r="L62" s="933">
        <f t="shared" si="18"/>
        <v>22.87</v>
      </c>
      <c r="M62" s="931" t="s">
        <v>2818</v>
      </c>
      <c r="N62" s="965"/>
    </row>
    <row r="63" spans="1:14" s="1068" customFormat="1" ht="12" customHeight="1">
      <c r="A63" s="1062"/>
      <c r="B63" s="1063" t="s">
        <v>2815</v>
      </c>
      <c r="C63" s="1064"/>
      <c r="D63" s="1065"/>
      <c r="E63" s="1008"/>
      <c r="F63" s="1008">
        <f>SUM(F50)</f>
        <v>4.5</v>
      </c>
      <c r="G63" s="1008"/>
      <c r="H63" s="1008">
        <f>SUM(H50)</f>
        <v>4.95</v>
      </c>
      <c r="I63" s="1008"/>
      <c r="J63" s="1008">
        <v>20</v>
      </c>
      <c r="K63" s="1017"/>
      <c r="L63" s="1008">
        <v>20</v>
      </c>
      <c r="M63" s="1066"/>
      <c r="N63" s="1067"/>
    </row>
    <row r="64" spans="1:14" ht="56.25" customHeight="1">
      <c r="A64" s="957" t="s">
        <v>2858</v>
      </c>
      <c r="B64" s="1069" t="s">
        <v>2841</v>
      </c>
      <c r="C64" s="1070"/>
      <c r="D64" s="1070"/>
      <c r="E64" s="1070"/>
      <c r="F64" s="1071">
        <f>SUM(F48:F62)-F63</f>
        <v>10.07</v>
      </c>
      <c r="G64" s="1070"/>
      <c r="H64" s="1071">
        <f>SUM(H48:H62)-H63</f>
        <v>11.09</v>
      </c>
      <c r="I64" s="1070"/>
      <c r="J64" s="1071">
        <f>SUM(J48:J62)-J63</f>
        <v>475.26000000000005</v>
      </c>
      <c r="K64" s="1070"/>
      <c r="L64" s="1071">
        <f>SUM(L48:L62)-L63</f>
        <v>430.23</v>
      </c>
      <c r="M64" s="981"/>
      <c r="N64" s="1072"/>
    </row>
    <row r="65" spans="1:14">
      <c r="A65" s="1055"/>
      <c r="B65" s="923"/>
      <c r="C65" s="931"/>
      <c r="D65" s="931"/>
      <c r="E65" s="932"/>
      <c r="F65" s="932"/>
      <c r="G65" s="962"/>
      <c r="H65" s="962"/>
      <c r="I65" s="962"/>
      <c r="J65" s="962"/>
      <c r="K65" s="974"/>
      <c r="L65" s="974"/>
      <c r="M65" s="923"/>
      <c r="N65" s="965"/>
    </row>
    <row r="66" spans="1:14" s="985" customFormat="1">
      <c r="A66" s="1054"/>
      <c r="B66" s="1484" t="s">
        <v>2842</v>
      </c>
      <c r="C66" s="1485"/>
      <c r="D66" s="1485"/>
      <c r="E66" s="1485"/>
      <c r="F66" s="1485"/>
      <c r="G66" s="1485"/>
      <c r="H66" s="1485"/>
      <c r="I66" s="1485"/>
      <c r="J66" s="1485"/>
      <c r="K66" s="1485"/>
      <c r="L66" s="1485"/>
      <c r="M66" s="1486"/>
      <c r="N66" s="928"/>
    </row>
    <row r="67" spans="1:14" ht="51">
      <c r="A67" s="1055"/>
      <c r="B67" s="923" t="s">
        <v>1547</v>
      </c>
      <c r="C67" s="931" t="s">
        <v>630</v>
      </c>
      <c r="D67" s="931">
        <v>0</v>
      </c>
      <c r="E67" s="932">
        <v>7.57</v>
      </c>
      <c r="F67" s="933">
        <f t="shared" ref="F67:F81" si="22">+ROUND((E67*D67),2)</f>
        <v>0</v>
      </c>
      <c r="G67" s="962">
        <f>SUM(E67*1.1)</f>
        <v>8.3270000000000017</v>
      </c>
      <c r="H67" s="962">
        <f>SUM(D67*G67)</f>
        <v>0</v>
      </c>
      <c r="I67" s="962">
        <f>SUM(K67*1.1)</f>
        <v>62.161000000000001</v>
      </c>
      <c r="J67" s="933">
        <f t="shared" ref="J67:J81" si="23">+ROUND((I67*D67),2)</f>
        <v>0</v>
      </c>
      <c r="K67" s="974">
        <v>56.51</v>
      </c>
      <c r="L67" s="933">
        <f t="shared" ref="L67:L81" si="24">+ROUND((K67*D67),2)</f>
        <v>0</v>
      </c>
      <c r="M67" s="923"/>
      <c r="N67" s="965"/>
    </row>
    <row r="68" spans="1:14" ht="38.25">
      <c r="A68" s="1056"/>
      <c r="B68" s="941" t="s">
        <v>1477</v>
      </c>
      <c r="C68" s="937" t="s">
        <v>630</v>
      </c>
      <c r="D68" s="937">
        <v>1</v>
      </c>
      <c r="E68" s="962">
        <v>1.75</v>
      </c>
      <c r="F68" s="933">
        <f t="shared" si="22"/>
        <v>1.75</v>
      </c>
      <c r="G68" s="962">
        <v>1.93</v>
      </c>
      <c r="H68" s="962">
        <f t="shared" ref="H68:H78" si="25">SUM(D68*G68)</f>
        <v>1.93</v>
      </c>
      <c r="I68" s="1017">
        <v>0</v>
      </c>
      <c r="J68" s="933">
        <f t="shared" si="23"/>
        <v>0</v>
      </c>
      <c r="K68" s="1017">
        <v>0</v>
      </c>
      <c r="L68" s="933">
        <f t="shared" si="24"/>
        <v>0</v>
      </c>
      <c r="M68" s="939"/>
      <c r="N68" s="924"/>
    </row>
    <row r="69" spans="1:14" s="940" customFormat="1" ht="38.25">
      <c r="A69" s="935"/>
      <c r="B69" s="936" t="s">
        <v>1245</v>
      </c>
      <c r="C69" s="937" t="s">
        <v>630</v>
      </c>
      <c r="D69" s="937">
        <v>1</v>
      </c>
      <c r="E69" s="962">
        <v>4.5</v>
      </c>
      <c r="F69" s="933">
        <f t="shared" si="22"/>
        <v>4.5</v>
      </c>
      <c r="G69" s="962">
        <v>4.95</v>
      </c>
      <c r="H69" s="962">
        <v>4.95</v>
      </c>
      <c r="I69" s="962">
        <v>0</v>
      </c>
      <c r="J69" s="933">
        <f t="shared" si="23"/>
        <v>0</v>
      </c>
      <c r="K69" s="962">
        <v>0</v>
      </c>
      <c r="L69" s="933">
        <f t="shared" si="24"/>
        <v>0</v>
      </c>
      <c r="M69" s="946"/>
      <c r="N69" s="941"/>
    </row>
    <row r="70" spans="1:14" ht="38.25">
      <c r="A70" s="942"/>
      <c r="B70" s="941" t="s">
        <v>615</v>
      </c>
      <c r="C70" s="931" t="s">
        <v>630</v>
      </c>
      <c r="D70" s="931">
        <v>1</v>
      </c>
      <c r="E70" s="1017">
        <v>0</v>
      </c>
      <c r="F70" s="933">
        <f t="shared" si="22"/>
        <v>0</v>
      </c>
      <c r="G70" s="1017">
        <v>0</v>
      </c>
      <c r="H70" s="962">
        <v>0</v>
      </c>
      <c r="I70" s="1017">
        <v>0</v>
      </c>
      <c r="J70" s="933">
        <f t="shared" si="23"/>
        <v>0</v>
      </c>
      <c r="K70" s="1017">
        <v>0</v>
      </c>
      <c r="L70" s="933">
        <f t="shared" si="24"/>
        <v>0</v>
      </c>
      <c r="M70" s="941" t="s">
        <v>864</v>
      </c>
      <c r="N70" s="941"/>
    </row>
    <row r="71" spans="1:14" ht="25.5">
      <c r="A71" s="942"/>
      <c r="B71" s="941" t="s">
        <v>2782</v>
      </c>
      <c r="C71" s="931" t="s">
        <v>630</v>
      </c>
      <c r="D71" s="931">
        <v>1</v>
      </c>
      <c r="E71" s="1017">
        <v>0</v>
      </c>
      <c r="F71" s="933">
        <f t="shared" si="22"/>
        <v>0</v>
      </c>
      <c r="G71" s="1017">
        <v>0</v>
      </c>
      <c r="H71" s="962">
        <v>0</v>
      </c>
      <c r="I71" s="1017">
        <v>0</v>
      </c>
      <c r="J71" s="933">
        <f t="shared" si="23"/>
        <v>0</v>
      </c>
      <c r="K71" s="1017">
        <v>0</v>
      </c>
      <c r="L71" s="933">
        <f t="shared" si="24"/>
        <v>0</v>
      </c>
      <c r="M71" s="941" t="s">
        <v>289</v>
      </c>
      <c r="N71" s="941" t="s">
        <v>385</v>
      </c>
    </row>
    <row r="72" spans="1:14" ht="25.5">
      <c r="A72" s="942"/>
      <c r="B72" s="941" t="s">
        <v>296</v>
      </c>
      <c r="C72" s="931" t="s">
        <v>630</v>
      </c>
      <c r="D72" s="931">
        <v>1</v>
      </c>
      <c r="E72" s="1017">
        <v>0</v>
      </c>
      <c r="F72" s="933">
        <f t="shared" si="22"/>
        <v>0</v>
      </c>
      <c r="G72" s="1017">
        <v>0</v>
      </c>
      <c r="H72" s="962">
        <v>0</v>
      </c>
      <c r="I72" s="1017">
        <v>0</v>
      </c>
      <c r="J72" s="933">
        <f t="shared" si="23"/>
        <v>0</v>
      </c>
      <c r="K72" s="1017">
        <v>0</v>
      </c>
      <c r="L72" s="933">
        <f t="shared" si="24"/>
        <v>0</v>
      </c>
      <c r="M72" s="941" t="s">
        <v>288</v>
      </c>
      <c r="N72" s="941" t="s">
        <v>387</v>
      </c>
    </row>
    <row r="73" spans="1:14" ht="38.25">
      <c r="A73" s="1058"/>
      <c r="B73" s="941" t="s">
        <v>815</v>
      </c>
      <c r="C73" s="931" t="s">
        <v>630</v>
      </c>
      <c r="D73" s="931">
        <v>1</v>
      </c>
      <c r="E73" s="1017">
        <v>0</v>
      </c>
      <c r="F73" s="933">
        <f t="shared" si="22"/>
        <v>0</v>
      </c>
      <c r="G73" s="1017">
        <v>0</v>
      </c>
      <c r="H73" s="962">
        <v>0</v>
      </c>
      <c r="I73" s="1017">
        <v>0</v>
      </c>
      <c r="J73" s="933">
        <f t="shared" si="23"/>
        <v>0</v>
      </c>
      <c r="K73" s="1017">
        <v>0</v>
      </c>
      <c r="L73" s="933">
        <f t="shared" si="24"/>
        <v>0</v>
      </c>
      <c r="M73" s="941" t="s">
        <v>374</v>
      </c>
      <c r="N73" s="941" t="s">
        <v>389</v>
      </c>
    </row>
    <row r="74" spans="1:14" ht="25.5">
      <c r="A74" s="939"/>
      <c r="B74" s="939" t="s">
        <v>613</v>
      </c>
      <c r="C74" s="931" t="s">
        <v>630</v>
      </c>
      <c r="D74" s="931">
        <v>1</v>
      </c>
      <c r="E74" s="1017">
        <v>0</v>
      </c>
      <c r="F74" s="933">
        <f t="shared" si="22"/>
        <v>0</v>
      </c>
      <c r="G74" s="1017">
        <v>0</v>
      </c>
      <c r="H74" s="962">
        <v>0</v>
      </c>
      <c r="I74" s="1017">
        <v>0</v>
      </c>
      <c r="J74" s="933">
        <f t="shared" si="23"/>
        <v>0</v>
      </c>
      <c r="K74" s="1017">
        <v>0</v>
      </c>
      <c r="L74" s="933">
        <f t="shared" si="24"/>
        <v>0</v>
      </c>
      <c r="M74" s="946" t="s">
        <v>285</v>
      </c>
      <c r="N74" s="939" t="s">
        <v>614</v>
      </c>
    </row>
    <row r="75" spans="1:14" ht="25.5">
      <c r="A75" s="939"/>
      <c r="B75" s="939" t="s">
        <v>617</v>
      </c>
      <c r="C75" s="931" t="s">
        <v>630</v>
      </c>
      <c r="D75" s="931">
        <v>1</v>
      </c>
      <c r="E75" s="1017">
        <v>0</v>
      </c>
      <c r="F75" s="933">
        <f t="shared" si="22"/>
        <v>0</v>
      </c>
      <c r="G75" s="1017">
        <v>0</v>
      </c>
      <c r="H75" s="962">
        <v>0</v>
      </c>
      <c r="I75" s="1017">
        <v>0</v>
      </c>
      <c r="J75" s="933">
        <f t="shared" si="23"/>
        <v>0</v>
      </c>
      <c r="K75" s="1017">
        <v>0</v>
      </c>
      <c r="L75" s="933">
        <f t="shared" si="24"/>
        <v>0</v>
      </c>
      <c r="M75" s="946" t="s">
        <v>288</v>
      </c>
      <c r="N75" s="939" t="s">
        <v>0</v>
      </c>
    </row>
    <row r="76" spans="1:14" ht="38.25">
      <c r="A76" s="1058"/>
      <c r="B76" s="946" t="s">
        <v>2813</v>
      </c>
      <c r="C76" s="931" t="s">
        <v>630</v>
      </c>
      <c r="D76" s="931">
        <v>1</v>
      </c>
      <c r="E76" s="1017">
        <v>0</v>
      </c>
      <c r="F76" s="933">
        <f t="shared" si="22"/>
        <v>0</v>
      </c>
      <c r="G76" s="1017">
        <v>0</v>
      </c>
      <c r="H76" s="962">
        <v>0</v>
      </c>
      <c r="I76" s="1017">
        <v>0</v>
      </c>
      <c r="J76" s="933">
        <f t="shared" si="23"/>
        <v>0</v>
      </c>
      <c r="K76" s="1017">
        <v>0</v>
      </c>
      <c r="L76" s="933">
        <f t="shared" si="24"/>
        <v>0</v>
      </c>
      <c r="M76" s="946" t="s">
        <v>288</v>
      </c>
      <c r="N76" s="941" t="s">
        <v>1286</v>
      </c>
    </row>
    <row r="77" spans="1:14" ht="25.5">
      <c r="A77" s="1058"/>
      <c r="B77" s="946" t="s">
        <v>367</v>
      </c>
      <c r="C77" s="931" t="s">
        <v>630</v>
      </c>
      <c r="D77" s="931">
        <v>1</v>
      </c>
      <c r="E77" s="1017">
        <v>0</v>
      </c>
      <c r="F77" s="933">
        <f t="shared" si="22"/>
        <v>0</v>
      </c>
      <c r="G77" s="1017">
        <v>0</v>
      </c>
      <c r="H77" s="962">
        <v>0</v>
      </c>
      <c r="I77" s="1017">
        <v>0</v>
      </c>
      <c r="J77" s="933">
        <f t="shared" si="23"/>
        <v>0</v>
      </c>
      <c r="K77" s="1017">
        <v>0</v>
      </c>
      <c r="L77" s="933">
        <f t="shared" si="24"/>
        <v>0</v>
      </c>
      <c r="M77" s="946" t="s">
        <v>288</v>
      </c>
      <c r="N77" s="941" t="s">
        <v>423</v>
      </c>
    </row>
    <row r="78" spans="1:14" ht="38.25">
      <c r="A78" s="942"/>
      <c r="B78" s="941" t="s">
        <v>2839</v>
      </c>
      <c r="C78" s="931" t="s">
        <v>630</v>
      </c>
      <c r="D78" s="931">
        <v>1</v>
      </c>
      <c r="E78" s="1017">
        <v>0.75</v>
      </c>
      <c r="F78" s="933">
        <f t="shared" si="22"/>
        <v>0.75</v>
      </c>
      <c r="G78" s="962">
        <f t="shared" ref="G78" si="26">SUM(E78*1.1)</f>
        <v>0.82500000000000007</v>
      </c>
      <c r="H78" s="962">
        <f t="shared" si="25"/>
        <v>0.82500000000000007</v>
      </c>
      <c r="I78" s="962">
        <f t="shared" ref="I78:I80" si="27">SUM(K78*1.1)</f>
        <v>5.4450000000000003</v>
      </c>
      <c r="J78" s="933">
        <f t="shared" si="23"/>
        <v>5.45</v>
      </c>
      <c r="K78" s="962">
        <v>4.95</v>
      </c>
      <c r="L78" s="933">
        <f t="shared" si="24"/>
        <v>4.95</v>
      </c>
      <c r="M78" s="941" t="s">
        <v>864</v>
      </c>
      <c r="N78" s="941" t="s">
        <v>383</v>
      </c>
    </row>
    <row r="79" spans="1:14" ht="63.75">
      <c r="A79" s="984"/>
      <c r="B79" s="941" t="s">
        <v>880</v>
      </c>
      <c r="C79" s="1014" t="s">
        <v>1483</v>
      </c>
      <c r="D79" s="1014">
        <v>1</v>
      </c>
      <c r="E79" s="1017">
        <v>0</v>
      </c>
      <c r="F79" s="933">
        <f t="shared" si="22"/>
        <v>0</v>
      </c>
      <c r="G79" s="962" t="s">
        <v>277</v>
      </c>
      <c r="H79" s="962">
        <v>0</v>
      </c>
      <c r="I79" s="962">
        <f t="shared" si="27"/>
        <v>375.82600000000008</v>
      </c>
      <c r="J79" s="933">
        <f t="shared" si="23"/>
        <v>375.83</v>
      </c>
      <c r="K79" s="962">
        <v>341.66</v>
      </c>
      <c r="L79" s="933">
        <f t="shared" si="24"/>
        <v>341.66</v>
      </c>
      <c r="M79" s="1061"/>
      <c r="N79" s="1079" t="s">
        <v>877</v>
      </c>
    </row>
    <row r="80" spans="1:14" ht="76.5">
      <c r="A80" s="984"/>
      <c r="B80" s="941" t="s">
        <v>882</v>
      </c>
      <c r="C80" s="1014" t="s">
        <v>1483</v>
      </c>
      <c r="D80" s="1014">
        <v>1</v>
      </c>
      <c r="E80" s="1017">
        <v>0</v>
      </c>
      <c r="F80" s="933">
        <f t="shared" si="22"/>
        <v>0</v>
      </c>
      <c r="G80" s="962" t="s">
        <v>277</v>
      </c>
      <c r="H80" s="962">
        <v>0</v>
      </c>
      <c r="I80" s="962">
        <f t="shared" si="27"/>
        <v>26.664000000000001</v>
      </c>
      <c r="J80" s="933">
        <f t="shared" si="23"/>
        <v>26.66</v>
      </c>
      <c r="K80" s="962">
        <v>24.24</v>
      </c>
      <c r="L80" s="933">
        <f t="shared" si="24"/>
        <v>24.24</v>
      </c>
      <c r="M80" s="1061"/>
      <c r="N80" s="1082" t="s">
        <v>877</v>
      </c>
    </row>
    <row r="81" spans="1:14">
      <c r="A81" s="936"/>
      <c r="B81" s="949" t="s">
        <v>1544</v>
      </c>
      <c r="C81" s="948" t="s">
        <v>1483</v>
      </c>
      <c r="D81" s="931">
        <v>0.25</v>
      </c>
      <c r="E81" s="1017">
        <v>0</v>
      </c>
      <c r="F81" s="933">
        <f t="shared" si="22"/>
        <v>0</v>
      </c>
      <c r="G81" s="1017" t="s">
        <v>277</v>
      </c>
      <c r="H81" s="962">
        <v>0</v>
      </c>
      <c r="I81" s="1017">
        <f t="shared" ref="I81" si="28">SUM(1.1*K81)</f>
        <v>100.62800000000001</v>
      </c>
      <c r="J81" s="933">
        <f t="shared" si="23"/>
        <v>25.16</v>
      </c>
      <c r="K81" s="1017">
        <v>91.48</v>
      </c>
      <c r="L81" s="933">
        <f t="shared" si="24"/>
        <v>22.87</v>
      </c>
      <c r="M81" s="931" t="s">
        <v>2818</v>
      </c>
      <c r="N81" s="965"/>
    </row>
    <row r="82" spans="1:14" s="1068" customFormat="1">
      <c r="A82" s="1062"/>
      <c r="B82" s="1063" t="s">
        <v>2815</v>
      </c>
      <c r="C82" s="1064"/>
      <c r="D82" s="1065"/>
      <c r="E82" s="1008"/>
      <c r="F82" s="1008">
        <f>SUM(F69)</f>
        <v>4.5</v>
      </c>
      <c r="G82" s="1008"/>
      <c r="H82" s="1008">
        <f>SUM(H69)</f>
        <v>4.95</v>
      </c>
      <c r="I82" s="1008"/>
      <c r="J82" s="1008">
        <v>20</v>
      </c>
      <c r="K82" s="1017"/>
      <c r="L82" s="1008">
        <v>20</v>
      </c>
      <c r="M82" s="1066"/>
      <c r="N82" s="1067"/>
    </row>
    <row r="83" spans="1:14" ht="51" customHeight="1">
      <c r="A83" s="957" t="s">
        <v>2859</v>
      </c>
      <c r="B83" s="981" t="s">
        <v>2842</v>
      </c>
      <c r="C83" s="981"/>
      <c r="D83" s="981"/>
      <c r="E83" s="981"/>
      <c r="F83" s="1071">
        <f>SUM(F67:F81)-F82</f>
        <v>2.5</v>
      </c>
      <c r="G83" s="1070"/>
      <c r="H83" s="1071">
        <f>SUM(H67:H81)-H82</f>
        <v>2.7549999999999999</v>
      </c>
      <c r="I83" s="1070"/>
      <c r="J83" s="1071">
        <f>SUM(J67:J81)-J82</f>
        <v>413.1</v>
      </c>
      <c r="K83" s="1070"/>
      <c r="L83" s="1071">
        <f>SUM(L67:L81)-L82</f>
        <v>373.72</v>
      </c>
      <c r="M83" s="981"/>
      <c r="N83" s="1072"/>
    </row>
    <row r="84" spans="1:14">
      <c r="A84" s="898"/>
      <c r="B84" s="898"/>
      <c r="C84" s="898"/>
      <c r="D84" s="971"/>
      <c r="E84" s="1083"/>
      <c r="F84" s="1083"/>
      <c r="G84" s="1083"/>
      <c r="H84" s="1083"/>
      <c r="I84" s="1084"/>
      <c r="J84" s="1085"/>
      <c r="K84" s="1085"/>
      <c r="L84" s="1085"/>
      <c r="M84" s="971"/>
      <c r="N84" s="898"/>
    </row>
    <row r="85" spans="1:14">
      <c r="A85" s="898"/>
      <c r="B85" s="898"/>
      <c r="C85" s="898"/>
      <c r="D85" s="898"/>
      <c r="E85" s="1019"/>
      <c r="F85" s="1019"/>
      <c r="G85" s="1019"/>
      <c r="H85" s="1019"/>
      <c r="I85" s="1020"/>
      <c r="J85" s="1020"/>
      <c r="K85" s="1020"/>
      <c r="L85" s="1020"/>
      <c r="M85" s="898"/>
      <c r="N85" s="898"/>
    </row>
    <row r="86" spans="1:14">
      <c r="A86" s="898"/>
      <c r="B86" s="898"/>
      <c r="C86" s="898"/>
      <c r="D86" s="898"/>
      <c r="E86" s="1019"/>
      <c r="F86" s="1019"/>
      <c r="G86" s="1019"/>
      <c r="H86" s="1019"/>
      <c r="I86" s="1020"/>
      <c r="J86" s="1020"/>
      <c r="K86" s="1020"/>
      <c r="L86" s="1020"/>
      <c r="M86" s="898"/>
      <c r="N86" s="898"/>
    </row>
    <row r="87" spans="1:14">
      <c r="A87" s="898"/>
      <c r="B87" s="898"/>
      <c r="C87" s="898"/>
      <c r="D87" s="898"/>
      <c r="E87" s="1019"/>
      <c r="F87" s="1019"/>
      <c r="G87" s="1019"/>
      <c r="H87" s="1019"/>
      <c r="I87" s="1020"/>
      <c r="J87" s="1020"/>
      <c r="K87" s="1020"/>
      <c r="L87" s="1020"/>
      <c r="M87" s="898"/>
      <c r="N87" s="898"/>
    </row>
    <row r="88" spans="1:14">
      <c r="A88" s="898"/>
      <c r="B88" s="898"/>
      <c r="C88" s="898"/>
      <c r="D88" s="898"/>
      <c r="E88" s="1019"/>
      <c r="F88" s="1019"/>
      <c r="G88" s="1019"/>
      <c r="H88" s="1019"/>
      <c r="I88" s="1020"/>
      <c r="J88" s="1020"/>
      <c r="K88" s="1020"/>
      <c r="L88" s="1020"/>
      <c r="M88" s="898"/>
      <c r="N88" s="898"/>
    </row>
    <row r="89" spans="1:14">
      <c r="A89" s="898"/>
      <c r="B89" s="898"/>
      <c r="C89" s="898"/>
      <c r="D89" s="898"/>
      <c r="E89" s="1019"/>
      <c r="F89" s="1019"/>
      <c r="G89" s="1019"/>
      <c r="H89" s="1019"/>
      <c r="I89" s="1020"/>
      <c r="J89" s="1020"/>
      <c r="K89" s="1020"/>
      <c r="L89" s="1020"/>
      <c r="M89" s="898"/>
      <c r="N89" s="898"/>
    </row>
    <row r="90" spans="1:14">
      <c r="A90" s="898"/>
      <c r="B90" s="898"/>
      <c r="C90" s="898"/>
      <c r="D90" s="898"/>
      <c r="E90" s="1019"/>
      <c r="F90" s="1019"/>
      <c r="G90" s="1019"/>
      <c r="H90" s="1019"/>
      <c r="I90" s="1020"/>
      <c r="J90" s="1020"/>
      <c r="K90" s="1020"/>
      <c r="L90" s="1020"/>
      <c r="M90" s="898"/>
      <c r="N90" s="898"/>
    </row>
    <row r="91" spans="1:14">
      <c r="A91" s="898"/>
      <c r="B91" s="898"/>
      <c r="C91" s="898"/>
      <c r="D91" s="898"/>
      <c r="E91" s="1019"/>
      <c r="F91" s="1019"/>
      <c r="G91" s="1019"/>
      <c r="H91" s="1019"/>
      <c r="I91" s="1020"/>
      <c r="J91" s="1020"/>
      <c r="K91" s="1020"/>
      <c r="L91" s="1020"/>
      <c r="M91" s="898"/>
      <c r="N91" s="898"/>
    </row>
    <row r="92" spans="1:14">
      <c r="A92" s="898"/>
      <c r="B92" s="898"/>
      <c r="C92" s="898"/>
      <c r="D92" s="898"/>
      <c r="E92" s="1019"/>
      <c r="F92" s="1019"/>
      <c r="G92" s="1019"/>
      <c r="H92" s="1019"/>
      <c r="I92" s="1020"/>
      <c r="J92" s="1020"/>
      <c r="K92" s="1020"/>
      <c r="L92" s="1020"/>
      <c r="M92" s="898"/>
      <c r="N92" s="898"/>
    </row>
    <row r="93" spans="1:14">
      <c r="A93" s="898"/>
      <c r="B93" s="898"/>
      <c r="C93" s="898"/>
      <c r="D93" s="898"/>
      <c r="E93" s="1019"/>
      <c r="F93" s="1019"/>
      <c r="G93" s="1019"/>
      <c r="H93" s="1019"/>
      <c r="I93" s="1020"/>
      <c r="J93" s="1020"/>
      <c r="K93" s="1020"/>
      <c r="L93" s="1020"/>
      <c r="M93" s="898"/>
      <c r="N93" s="898"/>
    </row>
    <row r="94" spans="1:14">
      <c r="A94" s="898"/>
      <c r="B94" s="898"/>
      <c r="C94" s="898"/>
      <c r="D94" s="898"/>
      <c r="E94" s="1019"/>
      <c r="F94" s="1019"/>
      <c r="G94" s="1019"/>
      <c r="H94" s="1019"/>
      <c r="I94" s="1020"/>
      <c r="J94" s="1020"/>
      <c r="K94" s="1020"/>
      <c r="L94" s="1020"/>
      <c r="M94" s="898"/>
      <c r="N94" s="898"/>
    </row>
    <row r="95" spans="1:14">
      <c r="A95" s="898"/>
      <c r="B95" s="898"/>
      <c r="C95" s="898"/>
      <c r="D95" s="898"/>
      <c r="E95" s="1019"/>
      <c r="F95" s="1019"/>
      <c r="G95" s="1019"/>
      <c r="H95" s="1019"/>
      <c r="I95" s="1020"/>
      <c r="J95" s="1020"/>
      <c r="K95" s="1020"/>
      <c r="L95" s="1020"/>
      <c r="M95" s="898"/>
      <c r="N95" s="898"/>
    </row>
    <row r="96" spans="1:14">
      <c r="A96" s="898"/>
      <c r="B96" s="898"/>
      <c r="C96" s="898"/>
      <c r="D96" s="898"/>
      <c r="E96" s="1019"/>
      <c r="F96" s="1019"/>
      <c r="G96" s="1019"/>
      <c r="H96" s="1019"/>
      <c r="I96" s="1020"/>
      <c r="J96" s="1020"/>
      <c r="K96" s="1020"/>
      <c r="L96" s="1020"/>
      <c r="M96" s="898"/>
      <c r="N96" s="898"/>
    </row>
    <row r="97" spans="1:14">
      <c r="A97" s="898"/>
      <c r="B97" s="898"/>
      <c r="C97" s="898"/>
      <c r="D97" s="898"/>
      <c r="E97" s="1019"/>
      <c r="F97" s="1019"/>
      <c r="G97" s="1019"/>
      <c r="H97" s="1019"/>
      <c r="I97" s="1020"/>
      <c r="J97" s="1020"/>
      <c r="K97" s="1020"/>
      <c r="L97" s="1020"/>
      <c r="M97" s="898"/>
      <c r="N97" s="898"/>
    </row>
    <row r="98" spans="1:14">
      <c r="A98" s="898"/>
      <c r="B98" s="898"/>
      <c r="C98" s="898"/>
      <c r="D98" s="898"/>
      <c r="E98" s="1019"/>
      <c r="F98" s="1019"/>
      <c r="G98" s="1019"/>
      <c r="H98" s="1019"/>
      <c r="I98" s="1020"/>
      <c r="J98" s="1020"/>
      <c r="K98" s="1020"/>
      <c r="L98" s="1020"/>
      <c r="M98" s="898"/>
      <c r="N98" s="898"/>
    </row>
    <row r="99" spans="1:14">
      <c r="A99" s="898"/>
      <c r="B99" s="898"/>
      <c r="C99" s="898"/>
      <c r="D99" s="898"/>
      <c r="E99" s="1019"/>
      <c r="F99" s="1019"/>
      <c r="G99" s="1019"/>
      <c r="H99" s="1019"/>
      <c r="I99" s="1020"/>
      <c r="J99" s="1020"/>
      <c r="K99" s="1020"/>
      <c r="L99" s="1020"/>
      <c r="M99" s="898"/>
      <c r="N99" s="898"/>
    </row>
    <row r="100" spans="1:14">
      <c r="A100" s="898"/>
      <c r="B100" s="898"/>
      <c r="C100" s="898"/>
      <c r="D100" s="898"/>
      <c r="E100" s="1019"/>
      <c r="F100" s="1019"/>
      <c r="G100" s="1019"/>
      <c r="H100" s="1019"/>
      <c r="I100" s="1020"/>
      <c r="J100" s="1020"/>
      <c r="K100" s="1020"/>
      <c r="L100" s="1020"/>
      <c r="M100" s="898"/>
      <c r="N100" s="898"/>
    </row>
    <row r="101" spans="1:14">
      <c r="A101" s="898"/>
      <c r="B101" s="898"/>
      <c r="C101" s="898"/>
      <c r="D101" s="898"/>
      <c r="E101" s="1019"/>
      <c r="F101" s="1019"/>
      <c r="G101" s="1019"/>
      <c r="H101" s="1019"/>
      <c r="I101" s="1020"/>
      <c r="J101" s="1020"/>
      <c r="K101" s="1020"/>
      <c r="L101" s="1020"/>
      <c r="M101" s="898"/>
      <c r="N101" s="898"/>
    </row>
    <row r="102" spans="1:14">
      <c r="A102" s="898"/>
      <c r="B102" s="898"/>
      <c r="C102" s="898"/>
      <c r="D102" s="898"/>
      <c r="E102" s="1019"/>
      <c r="F102" s="1019"/>
      <c r="G102" s="1019"/>
      <c r="H102" s="1019"/>
      <c r="I102" s="1020"/>
      <c r="J102" s="1020"/>
      <c r="K102" s="1020"/>
      <c r="L102" s="1020"/>
      <c r="M102" s="898"/>
      <c r="N102" s="898"/>
    </row>
    <row r="103" spans="1:14">
      <c r="A103" s="898"/>
      <c r="B103" s="898"/>
      <c r="C103" s="898"/>
      <c r="D103" s="898"/>
      <c r="E103" s="1019"/>
      <c r="F103" s="1019"/>
      <c r="G103" s="1019"/>
      <c r="H103" s="1019"/>
      <c r="I103" s="1020"/>
      <c r="J103" s="1020"/>
      <c r="K103" s="1020"/>
      <c r="L103" s="1020"/>
      <c r="M103" s="898"/>
      <c r="N103" s="898"/>
    </row>
    <row r="104" spans="1:14">
      <c r="A104" s="898"/>
      <c r="B104" s="898"/>
      <c r="C104" s="898"/>
      <c r="D104" s="898"/>
      <c r="E104" s="1019"/>
      <c r="F104" s="1019"/>
      <c r="G104" s="1019"/>
      <c r="H104" s="1019"/>
      <c r="I104" s="1020"/>
      <c r="J104" s="1020"/>
      <c r="K104" s="1020"/>
      <c r="L104" s="1020"/>
      <c r="M104" s="898"/>
      <c r="N104" s="898"/>
    </row>
    <row r="105" spans="1:14">
      <c r="A105" s="898"/>
      <c r="B105" s="898"/>
      <c r="C105" s="898"/>
      <c r="D105" s="898"/>
      <c r="E105" s="1019"/>
      <c r="F105" s="1019"/>
      <c r="G105" s="1019"/>
      <c r="H105" s="1019"/>
      <c r="I105" s="1020"/>
      <c r="J105" s="1020"/>
      <c r="K105" s="1020"/>
      <c r="L105" s="1020"/>
      <c r="M105" s="898"/>
      <c r="N105" s="898"/>
    </row>
    <row r="106" spans="1:14">
      <c r="A106" s="898"/>
      <c r="B106" s="898"/>
      <c r="C106" s="898"/>
      <c r="D106" s="898"/>
      <c r="E106" s="1019"/>
      <c r="F106" s="1019"/>
      <c r="G106" s="1019"/>
      <c r="H106" s="1019"/>
      <c r="I106" s="1020"/>
      <c r="J106" s="1020"/>
      <c r="K106" s="1020"/>
      <c r="L106" s="1020"/>
      <c r="M106" s="898"/>
      <c r="N106" s="898"/>
    </row>
    <row r="107" spans="1:14">
      <c r="A107" s="898"/>
      <c r="B107" s="898"/>
      <c r="C107" s="898"/>
      <c r="D107" s="898"/>
      <c r="E107" s="1019"/>
      <c r="F107" s="1019"/>
      <c r="G107" s="1019"/>
      <c r="H107" s="1019"/>
      <c r="I107" s="1020"/>
      <c r="J107" s="1020"/>
      <c r="K107" s="1020"/>
      <c r="L107" s="1020"/>
      <c r="M107" s="898"/>
      <c r="N107" s="898"/>
    </row>
    <row r="108" spans="1:14">
      <c r="A108" s="898"/>
      <c r="B108" s="898"/>
      <c r="C108" s="898"/>
      <c r="D108" s="898"/>
      <c r="E108" s="1019"/>
      <c r="F108" s="1019"/>
      <c r="G108" s="1019"/>
      <c r="H108" s="1019"/>
      <c r="I108" s="1020"/>
      <c r="J108" s="1020"/>
      <c r="K108" s="1020"/>
      <c r="L108" s="1020"/>
      <c r="M108" s="898"/>
      <c r="N108" s="898"/>
    </row>
    <row r="109" spans="1:14">
      <c r="A109" s="898"/>
      <c r="B109" s="898"/>
      <c r="C109" s="898"/>
      <c r="D109" s="898"/>
      <c r="E109" s="1019"/>
      <c r="F109" s="1019"/>
      <c r="G109" s="1019"/>
      <c r="H109" s="1019"/>
      <c r="I109" s="1020"/>
      <c r="J109" s="1020"/>
      <c r="K109" s="1020"/>
      <c r="L109" s="1020"/>
      <c r="M109" s="898"/>
      <c r="N109" s="898"/>
    </row>
    <row r="110" spans="1:14">
      <c r="A110" s="898"/>
      <c r="B110" s="898"/>
      <c r="C110" s="898"/>
      <c r="D110" s="898"/>
      <c r="E110" s="1019"/>
      <c r="F110" s="1019"/>
      <c r="G110" s="1019"/>
      <c r="H110" s="1019"/>
      <c r="I110" s="1020"/>
      <c r="J110" s="1020"/>
      <c r="K110" s="1020"/>
      <c r="L110" s="1020"/>
      <c r="M110" s="898"/>
      <c r="N110" s="898"/>
    </row>
    <row r="111" spans="1:14">
      <c r="A111" s="898"/>
      <c r="B111" s="898"/>
      <c r="C111" s="898"/>
      <c r="D111" s="898"/>
      <c r="E111" s="1019"/>
      <c r="F111" s="1019"/>
      <c r="G111" s="1019"/>
      <c r="H111" s="1019"/>
      <c r="I111" s="1020"/>
      <c r="J111" s="1020"/>
      <c r="K111" s="1020"/>
      <c r="L111" s="1020"/>
      <c r="M111" s="898"/>
      <c r="N111" s="898"/>
    </row>
    <row r="112" spans="1:14">
      <c r="A112" s="898"/>
      <c r="B112" s="898"/>
      <c r="C112" s="898"/>
      <c r="D112" s="898"/>
      <c r="E112" s="1019"/>
      <c r="F112" s="1019"/>
      <c r="G112" s="1019"/>
      <c r="H112" s="1019"/>
      <c r="I112" s="1020"/>
      <c r="J112" s="1020"/>
      <c r="K112" s="1020"/>
      <c r="L112" s="1020"/>
      <c r="M112" s="898"/>
      <c r="N112" s="898"/>
    </row>
    <row r="113" spans="1:14">
      <c r="A113" s="898"/>
      <c r="B113" s="898"/>
      <c r="C113" s="898"/>
      <c r="D113" s="898"/>
      <c r="E113" s="1019"/>
      <c r="F113" s="1019"/>
      <c r="G113" s="1019"/>
      <c r="H113" s="1019"/>
      <c r="I113" s="1020"/>
      <c r="J113" s="1020"/>
      <c r="K113" s="1020"/>
      <c r="L113" s="1020"/>
      <c r="M113" s="898"/>
      <c r="N113" s="898"/>
    </row>
    <row r="114" spans="1:14">
      <c r="A114" s="898"/>
      <c r="B114" s="898"/>
      <c r="C114" s="898"/>
      <c r="D114" s="898"/>
      <c r="E114" s="1019"/>
      <c r="F114" s="1019"/>
      <c r="G114" s="1019"/>
      <c r="H114" s="1019"/>
      <c r="I114" s="1020"/>
      <c r="J114" s="1020"/>
      <c r="K114" s="1020"/>
      <c r="L114" s="1020"/>
      <c r="M114" s="898"/>
      <c r="N114" s="898"/>
    </row>
    <row r="115" spans="1:14">
      <c r="A115" s="898"/>
      <c r="B115" s="898"/>
      <c r="C115" s="898"/>
      <c r="D115" s="898"/>
      <c r="E115" s="1019"/>
      <c r="F115" s="1019"/>
      <c r="G115" s="1019"/>
      <c r="H115" s="1019"/>
      <c r="I115" s="1020"/>
      <c r="J115" s="1020"/>
      <c r="K115" s="1020"/>
      <c r="L115" s="1020"/>
      <c r="M115" s="898"/>
      <c r="N115" s="898"/>
    </row>
    <row r="116" spans="1:14">
      <c r="A116" s="898"/>
      <c r="B116" s="898"/>
      <c r="C116" s="898"/>
      <c r="D116" s="898"/>
      <c r="E116" s="1019"/>
      <c r="F116" s="1019"/>
      <c r="G116" s="1019"/>
      <c r="H116" s="1019"/>
      <c r="I116" s="1020"/>
      <c r="J116" s="1020"/>
      <c r="K116" s="1020"/>
      <c r="L116" s="1020"/>
      <c r="M116" s="898"/>
      <c r="N116" s="898"/>
    </row>
    <row r="117" spans="1:14">
      <c r="A117" s="898"/>
      <c r="B117" s="898"/>
      <c r="C117" s="898"/>
      <c r="D117" s="898"/>
      <c r="E117" s="1019"/>
      <c r="F117" s="1019"/>
      <c r="G117" s="1019"/>
      <c r="H117" s="1019"/>
      <c r="I117" s="1020"/>
      <c r="J117" s="1020"/>
      <c r="K117" s="1020"/>
      <c r="L117" s="1020"/>
      <c r="M117" s="898"/>
      <c r="N117" s="898"/>
    </row>
    <row r="118" spans="1:14">
      <c r="A118" s="898"/>
      <c r="B118" s="898"/>
      <c r="C118" s="898"/>
      <c r="D118" s="898"/>
      <c r="E118" s="1019"/>
      <c r="F118" s="1019"/>
      <c r="G118" s="1019"/>
      <c r="H118" s="1019"/>
      <c r="I118" s="1020"/>
      <c r="J118" s="1020"/>
      <c r="K118" s="1020"/>
      <c r="L118" s="1020"/>
      <c r="M118" s="898"/>
      <c r="N118" s="898"/>
    </row>
    <row r="119" spans="1:14">
      <c r="A119" s="898"/>
      <c r="B119" s="898"/>
      <c r="C119" s="898"/>
      <c r="D119" s="898"/>
      <c r="E119" s="1019"/>
      <c r="F119" s="1019"/>
      <c r="G119" s="1019"/>
      <c r="H119" s="1019"/>
      <c r="I119" s="1020"/>
      <c r="J119" s="1020"/>
      <c r="K119" s="1020"/>
      <c r="L119" s="1020"/>
      <c r="M119" s="898"/>
      <c r="N119" s="898"/>
    </row>
    <row r="120" spans="1:14">
      <c r="A120" s="898"/>
      <c r="B120" s="898"/>
      <c r="C120" s="898"/>
      <c r="D120" s="898"/>
      <c r="E120" s="1019"/>
      <c r="F120" s="1019"/>
      <c r="G120" s="1019"/>
      <c r="H120" s="1019"/>
      <c r="I120" s="1020"/>
      <c r="J120" s="1020"/>
      <c r="K120" s="1020"/>
      <c r="L120" s="1020"/>
      <c r="M120" s="898"/>
      <c r="N120" s="898"/>
    </row>
    <row r="121" spans="1:14">
      <c r="A121" s="898"/>
      <c r="B121" s="898"/>
      <c r="C121" s="898"/>
      <c r="D121" s="898"/>
      <c r="E121" s="1019"/>
      <c r="F121" s="1019"/>
      <c r="G121" s="1019"/>
      <c r="H121" s="1019"/>
      <c r="I121" s="1020"/>
      <c r="J121" s="1020"/>
      <c r="K121" s="1020"/>
      <c r="L121" s="1020"/>
      <c r="M121" s="898"/>
      <c r="N121" s="898"/>
    </row>
    <row r="122" spans="1:14">
      <c r="A122" s="898"/>
      <c r="B122" s="898"/>
      <c r="C122" s="898"/>
      <c r="D122" s="898"/>
      <c r="E122" s="1019"/>
      <c r="F122" s="1019"/>
      <c r="G122" s="1019"/>
      <c r="H122" s="1019"/>
      <c r="I122" s="1020"/>
      <c r="J122" s="1020"/>
      <c r="K122" s="1020"/>
      <c r="L122" s="1020"/>
      <c r="M122" s="898"/>
      <c r="N122" s="898"/>
    </row>
    <row r="123" spans="1:14">
      <c r="A123" s="898"/>
      <c r="B123" s="898"/>
      <c r="C123" s="898"/>
      <c r="D123" s="898"/>
      <c r="E123" s="1019"/>
      <c r="F123" s="1019"/>
      <c r="G123" s="1019"/>
      <c r="H123" s="1019"/>
      <c r="I123" s="1020"/>
      <c r="J123" s="1020"/>
      <c r="K123" s="1020"/>
      <c r="L123" s="1020"/>
      <c r="M123" s="898"/>
      <c r="N123" s="898"/>
    </row>
    <row r="124" spans="1:14">
      <c r="A124" s="898"/>
      <c r="B124" s="898"/>
      <c r="C124" s="898"/>
      <c r="D124" s="898"/>
      <c r="E124" s="1019"/>
      <c r="F124" s="1019"/>
      <c r="G124" s="1019"/>
      <c r="H124" s="1019"/>
      <c r="I124" s="1020"/>
      <c r="J124" s="1020"/>
      <c r="K124" s="1020"/>
      <c r="L124" s="1020"/>
      <c r="M124" s="898"/>
      <c r="N124" s="898"/>
    </row>
    <row r="125" spans="1:14">
      <c r="A125" s="898"/>
      <c r="B125" s="898"/>
      <c r="C125" s="898"/>
      <c r="D125" s="898"/>
      <c r="E125" s="1019"/>
      <c r="F125" s="1019"/>
      <c r="G125" s="1019"/>
      <c r="H125" s="1019"/>
      <c r="I125" s="1020"/>
      <c r="J125" s="1020"/>
      <c r="K125" s="1020"/>
      <c r="L125" s="1020"/>
      <c r="M125" s="898"/>
      <c r="N125" s="898"/>
    </row>
    <row r="126" spans="1:14">
      <c r="A126" s="898"/>
      <c r="B126" s="898"/>
      <c r="C126" s="898"/>
      <c r="D126" s="898"/>
      <c r="E126" s="1019"/>
      <c r="F126" s="1019"/>
      <c r="G126" s="1019"/>
      <c r="H126" s="1019"/>
      <c r="I126" s="1020"/>
      <c r="J126" s="1020"/>
      <c r="K126" s="1020"/>
      <c r="L126" s="1020"/>
      <c r="M126" s="898"/>
      <c r="N126" s="898"/>
    </row>
    <row r="127" spans="1:14">
      <c r="A127" s="898"/>
      <c r="B127" s="898"/>
      <c r="C127" s="898"/>
      <c r="D127" s="898"/>
      <c r="E127" s="1019"/>
      <c r="F127" s="1019"/>
      <c r="G127" s="1019"/>
      <c r="H127" s="1019"/>
      <c r="I127" s="1020"/>
      <c r="J127" s="1020"/>
      <c r="K127" s="1020"/>
      <c r="L127" s="1020"/>
      <c r="M127" s="898"/>
      <c r="N127" s="898"/>
    </row>
    <row r="128" spans="1:14">
      <c r="A128" s="898"/>
      <c r="B128" s="898"/>
      <c r="C128" s="898"/>
      <c r="D128" s="898"/>
      <c r="E128" s="1019"/>
      <c r="F128" s="1019"/>
      <c r="G128" s="1019"/>
      <c r="H128" s="1019"/>
      <c r="I128" s="1020"/>
      <c r="J128" s="1020"/>
      <c r="K128" s="1020"/>
      <c r="L128" s="1020"/>
      <c r="M128" s="898"/>
      <c r="N128" s="898"/>
    </row>
    <row r="129" spans="1:14">
      <c r="A129" s="898"/>
      <c r="B129" s="898"/>
      <c r="C129" s="898"/>
      <c r="D129" s="898"/>
      <c r="E129" s="1019"/>
      <c r="F129" s="1019"/>
      <c r="G129" s="1019"/>
      <c r="H129" s="1019"/>
      <c r="I129" s="1020"/>
      <c r="J129" s="1020"/>
      <c r="K129" s="1020"/>
      <c r="L129" s="1020"/>
      <c r="M129" s="898"/>
      <c r="N129" s="898"/>
    </row>
    <row r="130" spans="1:14">
      <c r="A130" s="898"/>
      <c r="B130" s="898"/>
      <c r="C130" s="898"/>
      <c r="D130" s="898"/>
      <c r="E130" s="1019"/>
      <c r="F130" s="1019"/>
      <c r="G130" s="1019"/>
      <c r="H130" s="1019"/>
      <c r="I130" s="1020"/>
      <c r="J130" s="1020"/>
      <c r="K130" s="1020"/>
      <c r="L130" s="1020"/>
      <c r="M130" s="898"/>
      <c r="N130" s="898"/>
    </row>
    <row r="131" spans="1:14">
      <c r="A131" s="898"/>
      <c r="B131" s="898"/>
      <c r="C131" s="898"/>
      <c r="D131" s="898"/>
      <c r="E131" s="1019"/>
      <c r="F131" s="1019"/>
      <c r="G131" s="1019"/>
      <c r="H131" s="1019"/>
      <c r="I131" s="1020"/>
      <c r="J131" s="1020"/>
      <c r="K131" s="1020"/>
      <c r="L131" s="1020"/>
      <c r="M131" s="898"/>
      <c r="N131" s="898"/>
    </row>
    <row r="132" spans="1:14">
      <c r="A132" s="898"/>
      <c r="B132" s="898"/>
      <c r="C132" s="898"/>
      <c r="D132" s="898"/>
      <c r="E132" s="1019"/>
      <c r="F132" s="1019"/>
      <c r="G132" s="1019"/>
      <c r="H132" s="1019"/>
      <c r="I132" s="1020"/>
      <c r="J132" s="1020"/>
      <c r="K132" s="1020"/>
      <c r="L132" s="1020"/>
      <c r="M132" s="898"/>
      <c r="N132" s="898"/>
    </row>
    <row r="133" spans="1:14">
      <c r="A133" s="898"/>
      <c r="B133" s="898"/>
      <c r="C133" s="898"/>
      <c r="D133" s="898"/>
      <c r="E133" s="1019"/>
      <c r="F133" s="1019"/>
      <c r="G133" s="1019"/>
      <c r="H133" s="1019"/>
      <c r="I133" s="1020"/>
      <c r="J133" s="1020"/>
      <c r="K133" s="1020"/>
      <c r="L133" s="1020"/>
      <c r="M133" s="898"/>
      <c r="N133" s="898"/>
    </row>
    <row r="134" spans="1:14">
      <c r="A134" s="898"/>
      <c r="B134" s="898"/>
      <c r="C134" s="898"/>
      <c r="D134" s="898"/>
      <c r="E134" s="1019"/>
      <c r="F134" s="1019"/>
      <c r="G134" s="1019"/>
      <c r="H134" s="1019"/>
      <c r="I134" s="1020"/>
      <c r="J134" s="1020"/>
      <c r="K134" s="1020"/>
      <c r="L134" s="1020"/>
      <c r="M134" s="898"/>
      <c r="N134" s="898"/>
    </row>
    <row r="135" spans="1:14">
      <c r="A135" s="898"/>
      <c r="B135" s="898"/>
      <c r="C135" s="898"/>
      <c r="D135" s="898"/>
      <c r="E135" s="1019"/>
      <c r="F135" s="1019"/>
      <c r="G135" s="1019"/>
      <c r="H135" s="1019"/>
      <c r="I135" s="1020"/>
      <c r="J135" s="1020"/>
      <c r="K135" s="1020"/>
      <c r="L135" s="1020"/>
      <c r="M135" s="898"/>
      <c r="N135" s="898"/>
    </row>
    <row r="136" spans="1:14">
      <c r="A136" s="898"/>
      <c r="B136" s="898"/>
      <c r="C136" s="898"/>
      <c r="D136" s="898"/>
      <c r="E136" s="1019"/>
      <c r="F136" s="1019"/>
      <c r="G136" s="1019"/>
      <c r="H136" s="1019"/>
      <c r="I136" s="1020"/>
      <c r="J136" s="1020"/>
      <c r="K136" s="1020"/>
      <c r="L136" s="1020"/>
      <c r="M136" s="898"/>
      <c r="N136" s="898"/>
    </row>
    <row r="137" spans="1:14">
      <c r="A137" s="898"/>
      <c r="B137" s="898"/>
      <c r="C137" s="898"/>
      <c r="D137" s="898"/>
      <c r="E137" s="1019"/>
      <c r="F137" s="1019"/>
      <c r="G137" s="1019"/>
      <c r="H137" s="1019"/>
      <c r="I137" s="1020"/>
      <c r="J137" s="1020"/>
      <c r="K137" s="1020"/>
      <c r="L137" s="1020"/>
      <c r="M137" s="898"/>
      <c r="N137" s="898"/>
    </row>
    <row r="138" spans="1:14">
      <c r="A138" s="898"/>
      <c r="B138" s="898"/>
      <c r="C138" s="898"/>
      <c r="D138" s="898"/>
      <c r="E138" s="1019"/>
      <c r="F138" s="1019"/>
      <c r="G138" s="1019"/>
      <c r="H138" s="1019"/>
      <c r="I138" s="1020"/>
      <c r="J138" s="1020"/>
      <c r="K138" s="1020"/>
      <c r="L138" s="1020"/>
      <c r="M138" s="898"/>
      <c r="N138" s="898"/>
    </row>
    <row r="139" spans="1:14">
      <c r="A139" s="898"/>
      <c r="B139" s="898"/>
      <c r="C139" s="898"/>
      <c r="D139" s="898"/>
      <c r="E139" s="1019"/>
      <c r="F139" s="1019"/>
      <c r="G139" s="1019"/>
      <c r="H139" s="1019"/>
      <c r="I139" s="1020"/>
      <c r="J139" s="1020"/>
      <c r="K139" s="1020"/>
      <c r="L139" s="1020"/>
      <c r="M139" s="898"/>
      <c r="N139" s="898"/>
    </row>
    <row r="140" spans="1:14">
      <c r="A140" s="898"/>
      <c r="B140" s="898"/>
      <c r="C140" s="898"/>
      <c r="D140" s="898"/>
      <c r="E140" s="1019"/>
      <c r="F140" s="1019"/>
      <c r="G140" s="1019"/>
      <c r="H140" s="1019"/>
      <c r="I140" s="1020"/>
      <c r="J140" s="1020"/>
      <c r="K140" s="1020"/>
      <c r="L140" s="1020"/>
      <c r="M140" s="898"/>
      <c r="N140" s="898"/>
    </row>
    <row r="141" spans="1:14">
      <c r="A141" s="898"/>
      <c r="B141" s="898"/>
      <c r="C141" s="898"/>
      <c r="D141" s="898"/>
      <c r="E141" s="1019"/>
      <c r="F141" s="1019"/>
      <c r="G141" s="1019"/>
      <c r="H141" s="1019"/>
      <c r="I141" s="1020"/>
      <c r="J141" s="1020"/>
      <c r="K141" s="1020"/>
      <c r="L141" s="1020"/>
      <c r="M141" s="898"/>
      <c r="N141" s="898"/>
    </row>
    <row r="142" spans="1:14">
      <c r="A142" s="898"/>
      <c r="B142" s="898"/>
      <c r="C142" s="898"/>
      <c r="D142" s="898"/>
      <c r="E142" s="1019"/>
      <c r="F142" s="1019"/>
      <c r="G142" s="1019"/>
      <c r="H142" s="1019"/>
      <c r="I142" s="1020"/>
      <c r="J142" s="1020"/>
      <c r="K142" s="1020"/>
      <c r="L142" s="1020"/>
      <c r="M142" s="898"/>
      <c r="N142" s="898"/>
    </row>
  </sheetData>
  <mergeCells count="12">
    <mergeCell ref="B66:M66"/>
    <mergeCell ref="B2:E2"/>
    <mergeCell ref="G2:K4"/>
    <mergeCell ref="M2:N4"/>
    <mergeCell ref="A5:B6"/>
    <mergeCell ref="I6:K6"/>
    <mergeCell ref="M6:N6"/>
    <mergeCell ref="M7:N7"/>
    <mergeCell ref="B8:K8"/>
    <mergeCell ref="B9:M9"/>
    <mergeCell ref="B28:M28"/>
    <mergeCell ref="B47:M47"/>
  </mergeCells>
  <pageMargins left="0.7" right="0.7" top="0.75" bottom="0.75" header="0.3" footer="0.3"/>
  <pageSetup scale="56" fitToHeight="39" orientation="landscape" r:id="rId1"/>
  <headerFooter>
    <oddFooter>&amp;C&amp;"-,Bold"ATT Proprietary - Not for use other than by GSA and their client users.</oddFooter>
  </headerFooter>
</worksheet>
</file>

<file path=xl/worksheets/sheet40.xml><?xml version="1.0" encoding="utf-8"?>
<worksheet xmlns="http://schemas.openxmlformats.org/spreadsheetml/2006/main" xmlns:r="http://schemas.openxmlformats.org/officeDocument/2006/relationships">
  <sheetPr>
    <pageSetUpPr fitToPage="1"/>
  </sheetPr>
  <dimension ref="A1:N192"/>
  <sheetViews>
    <sheetView zoomScale="90" zoomScaleNormal="90" workbookViewId="0">
      <selection activeCell="K14" sqref="K14"/>
    </sheetView>
  </sheetViews>
  <sheetFormatPr defaultRowHeight="12.75"/>
  <cols>
    <col min="1" max="1" width="25.5" style="966" customWidth="1"/>
    <col min="2" max="2" width="51.33203125" style="966" customWidth="1"/>
    <col min="3" max="3" width="14.6640625" style="966" customWidth="1"/>
    <col min="4" max="4" width="12.5" style="966" customWidth="1"/>
    <col min="5" max="5" width="10.83203125" style="1015" hidden="1" customWidth="1"/>
    <col min="6" max="6" width="13.5" style="1015" hidden="1" customWidth="1"/>
    <col min="7" max="7" width="9.33203125" style="1015"/>
    <col min="8" max="8" width="12" style="1015" customWidth="1"/>
    <col min="9" max="10" width="13" style="912" customWidth="1"/>
    <col min="11" max="11" width="11.1640625" style="912" hidden="1" customWidth="1"/>
    <col min="12" max="12" width="13.83203125" style="912" hidden="1" customWidth="1"/>
    <col min="13" max="13" width="11.83203125" style="966" customWidth="1"/>
    <col min="14" max="14" width="60.6640625" style="966" customWidth="1"/>
    <col min="15" max="258" width="9.33203125" style="898"/>
    <col min="259" max="259" width="18.1640625" style="898" customWidth="1"/>
    <col min="260" max="260" width="23.1640625" style="898" customWidth="1"/>
    <col min="261" max="261" width="12.5" style="898" customWidth="1"/>
    <col min="262" max="262" width="10.83203125" style="898" customWidth="1"/>
    <col min="263" max="263" width="9.33203125" style="898"/>
    <col min="264" max="264" width="12.1640625" style="898" customWidth="1"/>
    <col min="265" max="265" width="11.1640625" style="898" customWidth="1"/>
    <col min="266" max="266" width="13.1640625" style="898" customWidth="1"/>
    <col min="267" max="267" width="11" style="898" customWidth="1"/>
    <col min="268" max="268" width="7.5" style="898" customWidth="1"/>
    <col min="269" max="269" width="18.5" style="898" customWidth="1"/>
    <col min="270" max="270" width="23.6640625" style="898" customWidth="1"/>
    <col min="271" max="514" width="9.33203125" style="898"/>
    <col min="515" max="515" width="18.1640625" style="898" customWidth="1"/>
    <col min="516" max="516" width="23.1640625" style="898" customWidth="1"/>
    <col min="517" max="517" width="12.5" style="898" customWidth="1"/>
    <col min="518" max="518" width="10.83203125" style="898" customWidth="1"/>
    <col min="519" max="519" width="9.33203125" style="898"/>
    <col min="520" max="520" width="12.1640625" style="898" customWidth="1"/>
    <col min="521" max="521" width="11.1640625" style="898" customWidth="1"/>
    <col min="522" max="522" width="13.1640625" style="898" customWidth="1"/>
    <col min="523" max="523" width="11" style="898" customWidth="1"/>
    <col min="524" max="524" width="7.5" style="898" customWidth="1"/>
    <col min="525" max="525" width="18.5" style="898" customWidth="1"/>
    <col min="526" max="526" width="23.6640625" style="898" customWidth="1"/>
    <col min="527" max="770" width="9.33203125" style="898"/>
    <col min="771" max="771" width="18.1640625" style="898" customWidth="1"/>
    <col min="772" max="772" width="23.1640625" style="898" customWidth="1"/>
    <col min="773" max="773" width="12.5" style="898" customWidth="1"/>
    <col min="774" max="774" width="10.83203125" style="898" customWidth="1"/>
    <col min="775" max="775" width="9.33203125" style="898"/>
    <col min="776" max="776" width="12.1640625" style="898" customWidth="1"/>
    <col min="777" max="777" width="11.1640625" style="898" customWidth="1"/>
    <col min="778" max="778" width="13.1640625" style="898" customWidth="1"/>
    <col min="779" max="779" width="11" style="898" customWidth="1"/>
    <col min="780" max="780" width="7.5" style="898" customWidth="1"/>
    <col min="781" max="781" width="18.5" style="898" customWidth="1"/>
    <col min="782" max="782" width="23.6640625" style="898" customWidth="1"/>
    <col min="783" max="1026" width="9.33203125" style="898"/>
    <col min="1027" max="1027" width="18.1640625" style="898" customWidth="1"/>
    <col min="1028" max="1028" width="23.1640625" style="898" customWidth="1"/>
    <col min="1029" max="1029" width="12.5" style="898" customWidth="1"/>
    <col min="1030" max="1030" width="10.83203125" style="898" customWidth="1"/>
    <col min="1031" max="1031" width="9.33203125" style="898"/>
    <col min="1032" max="1032" width="12.1640625" style="898" customWidth="1"/>
    <col min="1033" max="1033" width="11.1640625" style="898" customWidth="1"/>
    <col min="1034" max="1034" width="13.1640625" style="898" customWidth="1"/>
    <col min="1035" max="1035" width="11" style="898" customWidth="1"/>
    <col min="1036" max="1036" width="7.5" style="898" customWidth="1"/>
    <col min="1037" max="1037" width="18.5" style="898" customWidth="1"/>
    <col min="1038" max="1038" width="23.6640625" style="898" customWidth="1"/>
    <col min="1039" max="1282" width="9.33203125" style="898"/>
    <col min="1283" max="1283" width="18.1640625" style="898" customWidth="1"/>
    <col min="1284" max="1284" width="23.1640625" style="898" customWidth="1"/>
    <col min="1285" max="1285" width="12.5" style="898" customWidth="1"/>
    <col min="1286" max="1286" width="10.83203125" style="898" customWidth="1"/>
    <col min="1287" max="1287" width="9.33203125" style="898"/>
    <col min="1288" max="1288" width="12.1640625" style="898" customWidth="1"/>
    <col min="1289" max="1289" width="11.1640625" style="898" customWidth="1"/>
    <col min="1290" max="1290" width="13.1640625" style="898" customWidth="1"/>
    <col min="1291" max="1291" width="11" style="898" customWidth="1"/>
    <col min="1292" max="1292" width="7.5" style="898" customWidth="1"/>
    <col min="1293" max="1293" width="18.5" style="898" customWidth="1"/>
    <col min="1294" max="1294" width="23.6640625" style="898" customWidth="1"/>
    <col min="1295" max="1538" width="9.33203125" style="898"/>
    <col min="1539" max="1539" width="18.1640625" style="898" customWidth="1"/>
    <col min="1540" max="1540" width="23.1640625" style="898" customWidth="1"/>
    <col min="1541" max="1541" width="12.5" style="898" customWidth="1"/>
    <col min="1542" max="1542" width="10.83203125" style="898" customWidth="1"/>
    <col min="1543" max="1543" width="9.33203125" style="898"/>
    <col min="1544" max="1544" width="12.1640625" style="898" customWidth="1"/>
    <col min="1545" max="1545" width="11.1640625" style="898" customWidth="1"/>
    <col min="1546" max="1546" width="13.1640625" style="898" customWidth="1"/>
    <col min="1547" max="1547" width="11" style="898" customWidth="1"/>
    <col min="1548" max="1548" width="7.5" style="898" customWidth="1"/>
    <col min="1549" max="1549" width="18.5" style="898" customWidth="1"/>
    <col min="1550" max="1550" width="23.6640625" style="898" customWidth="1"/>
    <col min="1551" max="1794" width="9.33203125" style="898"/>
    <col min="1795" max="1795" width="18.1640625" style="898" customWidth="1"/>
    <col min="1796" max="1796" width="23.1640625" style="898" customWidth="1"/>
    <col min="1797" max="1797" width="12.5" style="898" customWidth="1"/>
    <col min="1798" max="1798" width="10.83203125" style="898" customWidth="1"/>
    <col min="1799" max="1799" width="9.33203125" style="898"/>
    <col min="1800" max="1800" width="12.1640625" style="898" customWidth="1"/>
    <col min="1801" max="1801" width="11.1640625" style="898" customWidth="1"/>
    <col min="1802" max="1802" width="13.1640625" style="898" customWidth="1"/>
    <col min="1803" max="1803" width="11" style="898" customWidth="1"/>
    <col min="1804" max="1804" width="7.5" style="898" customWidth="1"/>
    <col min="1805" max="1805" width="18.5" style="898" customWidth="1"/>
    <col min="1806" max="1806" width="23.6640625" style="898" customWidth="1"/>
    <col min="1807" max="2050" width="9.33203125" style="898"/>
    <col min="2051" max="2051" width="18.1640625" style="898" customWidth="1"/>
    <col min="2052" max="2052" width="23.1640625" style="898" customWidth="1"/>
    <col min="2053" max="2053" width="12.5" style="898" customWidth="1"/>
    <col min="2054" max="2054" width="10.83203125" style="898" customWidth="1"/>
    <col min="2055" max="2055" width="9.33203125" style="898"/>
    <col min="2056" max="2056" width="12.1640625" style="898" customWidth="1"/>
    <col min="2057" max="2057" width="11.1640625" style="898" customWidth="1"/>
    <col min="2058" max="2058" width="13.1640625" style="898" customWidth="1"/>
    <col min="2059" max="2059" width="11" style="898" customWidth="1"/>
    <col min="2060" max="2060" width="7.5" style="898" customWidth="1"/>
    <col min="2061" max="2061" width="18.5" style="898" customWidth="1"/>
    <col min="2062" max="2062" width="23.6640625" style="898" customWidth="1"/>
    <col min="2063" max="2306" width="9.33203125" style="898"/>
    <col min="2307" max="2307" width="18.1640625" style="898" customWidth="1"/>
    <col min="2308" max="2308" width="23.1640625" style="898" customWidth="1"/>
    <col min="2309" max="2309" width="12.5" style="898" customWidth="1"/>
    <col min="2310" max="2310" width="10.83203125" style="898" customWidth="1"/>
    <col min="2311" max="2311" width="9.33203125" style="898"/>
    <col min="2312" max="2312" width="12.1640625" style="898" customWidth="1"/>
    <col min="2313" max="2313" width="11.1640625" style="898" customWidth="1"/>
    <col min="2314" max="2314" width="13.1640625" style="898" customWidth="1"/>
    <col min="2315" max="2315" width="11" style="898" customWidth="1"/>
    <col min="2316" max="2316" width="7.5" style="898" customWidth="1"/>
    <col min="2317" max="2317" width="18.5" style="898" customWidth="1"/>
    <col min="2318" max="2318" width="23.6640625" style="898" customWidth="1"/>
    <col min="2319" max="2562" width="9.33203125" style="898"/>
    <col min="2563" max="2563" width="18.1640625" style="898" customWidth="1"/>
    <col min="2564" max="2564" width="23.1640625" style="898" customWidth="1"/>
    <col min="2565" max="2565" width="12.5" style="898" customWidth="1"/>
    <col min="2566" max="2566" width="10.83203125" style="898" customWidth="1"/>
    <col min="2567" max="2567" width="9.33203125" style="898"/>
    <col min="2568" max="2568" width="12.1640625" style="898" customWidth="1"/>
    <col min="2569" max="2569" width="11.1640625" style="898" customWidth="1"/>
    <col min="2570" max="2570" width="13.1640625" style="898" customWidth="1"/>
    <col min="2571" max="2571" width="11" style="898" customWidth="1"/>
    <col min="2572" max="2572" width="7.5" style="898" customWidth="1"/>
    <col min="2573" max="2573" width="18.5" style="898" customWidth="1"/>
    <col min="2574" max="2574" width="23.6640625" style="898" customWidth="1"/>
    <col min="2575" max="2818" width="9.33203125" style="898"/>
    <col min="2819" max="2819" width="18.1640625" style="898" customWidth="1"/>
    <col min="2820" max="2820" width="23.1640625" style="898" customWidth="1"/>
    <col min="2821" max="2821" width="12.5" style="898" customWidth="1"/>
    <col min="2822" max="2822" width="10.83203125" style="898" customWidth="1"/>
    <col min="2823" max="2823" width="9.33203125" style="898"/>
    <col min="2824" max="2824" width="12.1640625" style="898" customWidth="1"/>
    <col min="2825" max="2825" width="11.1640625" style="898" customWidth="1"/>
    <col min="2826" max="2826" width="13.1640625" style="898" customWidth="1"/>
    <col min="2827" max="2827" width="11" style="898" customWidth="1"/>
    <col min="2828" max="2828" width="7.5" style="898" customWidth="1"/>
    <col min="2829" max="2829" width="18.5" style="898" customWidth="1"/>
    <col min="2830" max="2830" width="23.6640625" style="898" customWidth="1"/>
    <col min="2831" max="3074" width="9.33203125" style="898"/>
    <col min="3075" max="3075" width="18.1640625" style="898" customWidth="1"/>
    <col min="3076" max="3076" width="23.1640625" style="898" customWidth="1"/>
    <col min="3077" max="3077" width="12.5" style="898" customWidth="1"/>
    <col min="3078" max="3078" width="10.83203125" style="898" customWidth="1"/>
    <col min="3079" max="3079" width="9.33203125" style="898"/>
    <col min="3080" max="3080" width="12.1640625" style="898" customWidth="1"/>
    <col min="3081" max="3081" width="11.1640625" style="898" customWidth="1"/>
    <col min="3082" max="3082" width="13.1640625" style="898" customWidth="1"/>
    <col min="3083" max="3083" width="11" style="898" customWidth="1"/>
    <col min="3084" max="3084" width="7.5" style="898" customWidth="1"/>
    <col min="3085" max="3085" width="18.5" style="898" customWidth="1"/>
    <col min="3086" max="3086" width="23.6640625" style="898" customWidth="1"/>
    <col min="3087" max="3330" width="9.33203125" style="898"/>
    <col min="3331" max="3331" width="18.1640625" style="898" customWidth="1"/>
    <col min="3332" max="3332" width="23.1640625" style="898" customWidth="1"/>
    <col min="3333" max="3333" width="12.5" style="898" customWidth="1"/>
    <col min="3334" max="3334" width="10.83203125" style="898" customWidth="1"/>
    <col min="3335" max="3335" width="9.33203125" style="898"/>
    <col min="3336" max="3336" width="12.1640625" style="898" customWidth="1"/>
    <col min="3337" max="3337" width="11.1640625" style="898" customWidth="1"/>
    <col min="3338" max="3338" width="13.1640625" style="898" customWidth="1"/>
    <col min="3339" max="3339" width="11" style="898" customWidth="1"/>
    <col min="3340" max="3340" width="7.5" style="898" customWidth="1"/>
    <col min="3341" max="3341" width="18.5" style="898" customWidth="1"/>
    <col min="3342" max="3342" width="23.6640625" style="898" customWidth="1"/>
    <col min="3343" max="3586" width="9.33203125" style="898"/>
    <col min="3587" max="3587" width="18.1640625" style="898" customWidth="1"/>
    <col min="3588" max="3588" width="23.1640625" style="898" customWidth="1"/>
    <col min="3589" max="3589" width="12.5" style="898" customWidth="1"/>
    <col min="3590" max="3590" width="10.83203125" style="898" customWidth="1"/>
    <col min="3591" max="3591" width="9.33203125" style="898"/>
    <col min="3592" max="3592" width="12.1640625" style="898" customWidth="1"/>
    <col min="3593" max="3593" width="11.1640625" style="898" customWidth="1"/>
    <col min="3594" max="3594" width="13.1640625" style="898" customWidth="1"/>
    <col min="3595" max="3595" width="11" style="898" customWidth="1"/>
    <col min="3596" max="3596" width="7.5" style="898" customWidth="1"/>
    <col min="3597" max="3597" width="18.5" style="898" customWidth="1"/>
    <col min="3598" max="3598" width="23.6640625" style="898" customWidth="1"/>
    <col min="3599" max="3842" width="9.33203125" style="898"/>
    <col min="3843" max="3843" width="18.1640625" style="898" customWidth="1"/>
    <col min="3844" max="3844" width="23.1640625" style="898" customWidth="1"/>
    <col min="3845" max="3845" width="12.5" style="898" customWidth="1"/>
    <col min="3846" max="3846" width="10.83203125" style="898" customWidth="1"/>
    <col min="3847" max="3847" width="9.33203125" style="898"/>
    <col min="3848" max="3848" width="12.1640625" style="898" customWidth="1"/>
    <col min="3849" max="3849" width="11.1640625" style="898" customWidth="1"/>
    <col min="3850" max="3850" width="13.1640625" style="898" customWidth="1"/>
    <col min="3851" max="3851" width="11" style="898" customWidth="1"/>
    <col min="3852" max="3852" width="7.5" style="898" customWidth="1"/>
    <col min="3853" max="3853" width="18.5" style="898" customWidth="1"/>
    <col min="3854" max="3854" width="23.6640625" style="898" customWidth="1"/>
    <col min="3855" max="4098" width="9.33203125" style="898"/>
    <col min="4099" max="4099" width="18.1640625" style="898" customWidth="1"/>
    <col min="4100" max="4100" width="23.1640625" style="898" customWidth="1"/>
    <col min="4101" max="4101" width="12.5" style="898" customWidth="1"/>
    <col min="4102" max="4102" width="10.83203125" style="898" customWidth="1"/>
    <col min="4103" max="4103" width="9.33203125" style="898"/>
    <col min="4104" max="4104" width="12.1640625" style="898" customWidth="1"/>
    <col min="4105" max="4105" width="11.1640625" style="898" customWidth="1"/>
    <col min="4106" max="4106" width="13.1640625" style="898" customWidth="1"/>
    <col min="4107" max="4107" width="11" style="898" customWidth="1"/>
    <col min="4108" max="4108" width="7.5" style="898" customWidth="1"/>
    <col min="4109" max="4109" width="18.5" style="898" customWidth="1"/>
    <col min="4110" max="4110" width="23.6640625" style="898" customWidth="1"/>
    <col min="4111" max="4354" width="9.33203125" style="898"/>
    <col min="4355" max="4355" width="18.1640625" style="898" customWidth="1"/>
    <col min="4356" max="4356" width="23.1640625" style="898" customWidth="1"/>
    <col min="4357" max="4357" width="12.5" style="898" customWidth="1"/>
    <col min="4358" max="4358" width="10.83203125" style="898" customWidth="1"/>
    <col min="4359" max="4359" width="9.33203125" style="898"/>
    <col min="4360" max="4360" width="12.1640625" style="898" customWidth="1"/>
    <col min="4361" max="4361" width="11.1640625" style="898" customWidth="1"/>
    <col min="4362" max="4362" width="13.1640625" style="898" customWidth="1"/>
    <col min="4363" max="4363" width="11" style="898" customWidth="1"/>
    <col min="4364" max="4364" width="7.5" style="898" customWidth="1"/>
    <col min="4365" max="4365" width="18.5" style="898" customWidth="1"/>
    <col min="4366" max="4366" width="23.6640625" style="898" customWidth="1"/>
    <col min="4367" max="4610" width="9.33203125" style="898"/>
    <col min="4611" max="4611" width="18.1640625" style="898" customWidth="1"/>
    <col min="4612" max="4612" width="23.1640625" style="898" customWidth="1"/>
    <col min="4613" max="4613" width="12.5" style="898" customWidth="1"/>
    <col min="4614" max="4614" width="10.83203125" style="898" customWidth="1"/>
    <col min="4615" max="4615" width="9.33203125" style="898"/>
    <col min="4616" max="4616" width="12.1640625" style="898" customWidth="1"/>
    <col min="4617" max="4617" width="11.1640625" style="898" customWidth="1"/>
    <col min="4618" max="4618" width="13.1640625" style="898" customWidth="1"/>
    <col min="4619" max="4619" width="11" style="898" customWidth="1"/>
    <col min="4620" max="4620" width="7.5" style="898" customWidth="1"/>
    <col min="4621" max="4621" width="18.5" style="898" customWidth="1"/>
    <col min="4622" max="4622" width="23.6640625" style="898" customWidth="1"/>
    <col min="4623" max="4866" width="9.33203125" style="898"/>
    <col min="4867" max="4867" width="18.1640625" style="898" customWidth="1"/>
    <col min="4868" max="4868" width="23.1640625" style="898" customWidth="1"/>
    <col min="4869" max="4869" width="12.5" style="898" customWidth="1"/>
    <col min="4870" max="4870" width="10.83203125" style="898" customWidth="1"/>
    <col min="4871" max="4871" width="9.33203125" style="898"/>
    <col min="4872" max="4872" width="12.1640625" style="898" customWidth="1"/>
    <col min="4873" max="4873" width="11.1640625" style="898" customWidth="1"/>
    <col min="4874" max="4874" width="13.1640625" style="898" customWidth="1"/>
    <col min="4875" max="4875" width="11" style="898" customWidth="1"/>
    <col min="4876" max="4876" width="7.5" style="898" customWidth="1"/>
    <col min="4877" max="4877" width="18.5" style="898" customWidth="1"/>
    <col min="4878" max="4878" width="23.6640625" style="898" customWidth="1"/>
    <col min="4879" max="5122" width="9.33203125" style="898"/>
    <col min="5123" max="5123" width="18.1640625" style="898" customWidth="1"/>
    <col min="5124" max="5124" width="23.1640625" style="898" customWidth="1"/>
    <col min="5125" max="5125" width="12.5" style="898" customWidth="1"/>
    <col min="5126" max="5126" width="10.83203125" style="898" customWidth="1"/>
    <col min="5127" max="5127" width="9.33203125" style="898"/>
    <col min="5128" max="5128" width="12.1640625" style="898" customWidth="1"/>
    <col min="5129" max="5129" width="11.1640625" style="898" customWidth="1"/>
    <col min="5130" max="5130" width="13.1640625" style="898" customWidth="1"/>
    <col min="5131" max="5131" width="11" style="898" customWidth="1"/>
    <col min="5132" max="5132" width="7.5" style="898" customWidth="1"/>
    <col min="5133" max="5133" width="18.5" style="898" customWidth="1"/>
    <col min="5134" max="5134" width="23.6640625" style="898" customWidth="1"/>
    <col min="5135" max="5378" width="9.33203125" style="898"/>
    <col min="5379" max="5379" width="18.1640625" style="898" customWidth="1"/>
    <col min="5380" max="5380" width="23.1640625" style="898" customWidth="1"/>
    <col min="5381" max="5381" width="12.5" style="898" customWidth="1"/>
    <col min="5382" max="5382" width="10.83203125" style="898" customWidth="1"/>
    <col min="5383" max="5383" width="9.33203125" style="898"/>
    <col min="5384" max="5384" width="12.1640625" style="898" customWidth="1"/>
    <col min="5385" max="5385" width="11.1640625" style="898" customWidth="1"/>
    <col min="5386" max="5386" width="13.1640625" style="898" customWidth="1"/>
    <col min="5387" max="5387" width="11" style="898" customWidth="1"/>
    <col min="5388" max="5388" width="7.5" style="898" customWidth="1"/>
    <col min="5389" max="5389" width="18.5" style="898" customWidth="1"/>
    <col min="5390" max="5390" width="23.6640625" style="898" customWidth="1"/>
    <col min="5391" max="5634" width="9.33203125" style="898"/>
    <col min="5635" max="5635" width="18.1640625" style="898" customWidth="1"/>
    <col min="5636" max="5636" width="23.1640625" style="898" customWidth="1"/>
    <col min="5637" max="5637" width="12.5" style="898" customWidth="1"/>
    <col min="5638" max="5638" width="10.83203125" style="898" customWidth="1"/>
    <col min="5639" max="5639" width="9.33203125" style="898"/>
    <col min="5640" max="5640" width="12.1640625" style="898" customWidth="1"/>
    <col min="5641" max="5641" width="11.1640625" style="898" customWidth="1"/>
    <col min="5642" max="5642" width="13.1640625" style="898" customWidth="1"/>
    <col min="5643" max="5643" width="11" style="898" customWidth="1"/>
    <col min="5644" max="5644" width="7.5" style="898" customWidth="1"/>
    <col min="5645" max="5645" width="18.5" style="898" customWidth="1"/>
    <col min="5646" max="5646" width="23.6640625" style="898" customWidth="1"/>
    <col min="5647" max="5890" width="9.33203125" style="898"/>
    <col min="5891" max="5891" width="18.1640625" style="898" customWidth="1"/>
    <col min="5892" max="5892" width="23.1640625" style="898" customWidth="1"/>
    <col min="5893" max="5893" width="12.5" style="898" customWidth="1"/>
    <col min="5894" max="5894" width="10.83203125" style="898" customWidth="1"/>
    <col min="5895" max="5895" width="9.33203125" style="898"/>
    <col min="5896" max="5896" width="12.1640625" style="898" customWidth="1"/>
    <col min="5897" max="5897" width="11.1640625" style="898" customWidth="1"/>
    <col min="5898" max="5898" width="13.1640625" style="898" customWidth="1"/>
    <col min="5899" max="5899" width="11" style="898" customWidth="1"/>
    <col min="5900" max="5900" width="7.5" style="898" customWidth="1"/>
    <col min="5901" max="5901" width="18.5" style="898" customWidth="1"/>
    <col min="5902" max="5902" width="23.6640625" style="898" customWidth="1"/>
    <col min="5903" max="6146" width="9.33203125" style="898"/>
    <col min="6147" max="6147" width="18.1640625" style="898" customWidth="1"/>
    <col min="6148" max="6148" width="23.1640625" style="898" customWidth="1"/>
    <col min="6149" max="6149" width="12.5" style="898" customWidth="1"/>
    <col min="6150" max="6150" width="10.83203125" style="898" customWidth="1"/>
    <col min="6151" max="6151" width="9.33203125" style="898"/>
    <col min="6152" max="6152" width="12.1640625" style="898" customWidth="1"/>
    <col min="6153" max="6153" width="11.1640625" style="898" customWidth="1"/>
    <col min="6154" max="6154" width="13.1640625" style="898" customWidth="1"/>
    <col min="6155" max="6155" width="11" style="898" customWidth="1"/>
    <col min="6156" max="6156" width="7.5" style="898" customWidth="1"/>
    <col min="6157" max="6157" width="18.5" style="898" customWidth="1"/>
    <col min="6158" max="6158" width="23.6640625" style="898" customWidth="1"/>
    <col min="6159" max="6402" width="9.33203125" style="898"/>
    <col min="6403" max="6403" width="18.1640625" style="898" customWidth="1"/>
    <col min="6404" max="6404" width="23.1640625" style="898" customWidth="1"/>
    <col min="6405" max="6405" width="12.5" style="898" customWidth="1"/>
    <col min="6406" max="6406" width="10.83203125" style="898" customWidth="1"/>
    <col min="6407" max="6407" width="9.33203125" style="898"/>
    <col min="6408" max="6408" width="12.1640625" style="898" customWidth="1"/>
    <col min="6409" max="6409" width="11.1640625" style="898" customWidth="1"/>
    <col min="6410" max="6410" width="13.1640625" style="898" customWidth="1"/>
    <col min="6411" max="6411" width="11" style="898" customWidth="1"/>
    <col min="6412" max="6412" width="7.5" style="898" customWidth="1"/>
    <col min="6413" max="6413" width="18.5" style="898" customWidth="1"/>
    <col min="6414" max="6414" width="23.6640625" style="898" customWidth="1"/>
    <col min="6415" max="6658" width="9.33203125" style="898"/>
    <col min="6659" max="6659" width="18.1640625" style="898" customWidth="1"/>
    <col min="6660" max="6660" width="23.1640625" style="898" customWidth="1"/>
    <col min="6661" max="6661" width="12.5" style="898" customWidth="1"/>
    <col min="6662" max="6662" width="10.83203125" style="898" customWidth="1"/>
    <col min="6663" max="6663" width="9.33203125" style="898"/>
    <col min="6664" max="6664" width="12.1640625" style="898" customWidth="1"/>
    <col min="6665" max="6665" width="11.1640625" style="898" customWidth="1"/>
    <col min="6666" max="6666" width="13.1640625" style="898" customWidth="1"/>
    <col min="6667" max="6667" width="11" style="898" customWidth="1"/>
    <col min="6668" max="6668" width="7.5" style="898" customWidth="1"/>
    <col min="6669" max="6669" width="18.5" style="898" customWidth="1"/>
    <col min="6670" max="6670" width="23.6640625" style="898" customWidth="1"/>
    <col min="6671" max="6914" width="9.33203125" style="898"/>
    <col min="6915" max="6915" width="18.1640625" style="898" customWidth="1"/>
    <col min="6916" max="6916" width="23.1640625" style="898" customWidth="1"/>
    <col min="6917" max="6917" width="12.5" style="898" customWidth="1"/>
    <col min="6918" max="6918" width="10.83203125" style="898" customWidth="1"/>
    <col min="6919" max="6919" width="9.33203125" style="898"/>
    <col min="6920" max="6920" width="12.1640625" style="898" customWidth="1"/>
    <col min="6921" max="6921" width="11.1640625" style="898" customWidth="1"/>
    <col min="6922" max="6922" width="13.1640625" style="898" customWidth="1"/>
    <col min="6923" max="6923" width="11" style="898" customWidth="1"/>
    <col min="6924" max="6924" width="7.5" style="898" customWidth="1"/>
    <col min="6925" max="6925" width="18.5" style="898" customWidth="1"/>
    <col min="6926" max="6926" width="23.6640625" style="898" customWidth="1"/>
    <col min="6927" max="7170" width="9.33203125" style="898"/>
    <col min="7171" max="7171" width="18.1640625" style="898" customWidth="1"/>
    <col min="7172" max="7172" width="23.1640625" style="898" customWidth="1"/>
    <col min="7173" max="7173" width="12.5" style="898" customWidth="1"/>
    <col min="7174" max="7174" width="10.83203125" style="898" customWidth="1"/>
    <col min="7175" max="7175" width="9.33203125" style="898"/>
    <col min="7176" max="7176" width="12.1640625" style="898" customWidth="1"/>
    <col min="7177" max="7177" width="11.1640625" style="898" customWidth="1"/>
    <col min="7178" max="7178" width="13.1640625" style="898" customWidth="1"/>
    <col min="7179" max="7179" width="11" style="898" customWidth="1"/>
    <col min="7180" max="7180" width="7.5" style="898" customWidth="1"/>
    <col min="7181" max="7181" width="18.5" style="898" customWidth="1"/>
    <col min="7182" max="7182" width="23.6640625" style="898" customWidth="1"/>
    <col min="7183" max="7426" width="9.33203125" style="898"/>
    <col min="7427" max="7427" width="18.1640625" style="898" customWidth="1"/>
    <col min="7428" max="7428" width="23.1640625" style="898" customWidth="1"/>
    <col min="7429" max="7429" width="12.5" style="898" customWidth="1"/>
    <col min="7430" max="7430" width="10.83203125" style="898" customWidth="1"/>
    <col min="7431" max="7431" width="9.33203125" style="898"/>
    <col min="7432" max="7432" width="12.1640625" style="898" customWidth="1"/>
    <col min="7433" max="7433" width="11.1640625" style="898" customWidth="1"/>
    <col min="7434" max="7434" width="13.1640625" style="898" customWidth="1"/>
    <col min="7435" max="7435" width="11" style="898" customWidth="1"/>
    <col min="7436" max="7436" width="7.5" style="898" customWidth="1"/>
    <col min="7437" max="7437" width="18.5" style="898" customWidth="1"/>
    <col min="7438" max="7438" width="23.6640625" style="898" customWidth="1"/>
    <col min="7439" max="7682" width="9.33203125" style="898"/>
    <col min="7683" max="7683" width="18.1640625" style="898" customWidth="1"/>
    <col min="7684" max="7684" width="23.1640625" style="898" customWidth="1"/>
    <col min="7685" max="7685" width="12.5" style="898" customWidth="1"/>
    <col min="7686" max="7686" width="10.83203125" style="898" customWidth="1"/>
    <col min="7687" max="7687" width="9.33203125" style="898"/>
    <col min="7688" max="7688" width="12.1640625" style="898" customWidth="1"/>
    <col min="7689" max="7689" width="11.1640625" style="898" customWidth="1"/>
    <col min="7690" max="7690" width="13.1640625" style="898" customWidth="1"/>
    <col min="7691" max="7691" width="11" style="898" customWidth="1"/>
    <col min="7692" max="7692" width="7.5" style="898" customWidth="1"/>
    <col min="7693" max="7693" width="18.5" style="898" customWidth="1"/>
    <col min="7694" max="7694" width="23.6640625" style="898" customWidth="1"/>
    <col min="7695" max="7938" width="9.33203125" style="898"/>
    <col min="7939" max="7939" width="18.1640625" style="898" customWidth="1"/>
    <col min="7940" max="7940" width="23.1640625" style="898" customWidth="1"/>
    <col min="7941" max="7941" width="12.5" style="898" customWidth="1"/>
    <col min="7942" max="7942" width="10.83203125" style="898" customWidth="1"/>
    <col min="7943" max="7943" width="9.33203125" style="898"/>
    <col min="7944" max="7944" width="12.1640625" style="898" customWidth="1"/>
    <col min="7945" max="7945" width="11.1640625" style="898" customWidth="1"/>
    <col min="7946" max="7946" width="13.1640625" style="898" customWidth="1"/>
    <col min="7947" max="7947" width="11" style="898" customWidth="1"/>
    <col min="7948" max="7948" width="7.5" style="898" customWidth="1"/>
    <col min="7949" max="7949" width="18.5" style="898" customWidth="1"/>
    <col min="7950" max="7950" width="23.6640625" style="898" customWidth="1"/>
    <col min="7951" max="8194" width="9.33203125" style="898"/>
    <col min="8195" max="8195" width="18.1640625" style="898" customWidth="1"/>
    <col min="8196" max="8196" width="23.1640625" style="898" customWidth="1"/>
    <col min="8197" max="8197" width="12.5" style="898" customWidth="1"/>
    <col min="8198" max="8198" width="10.83203125" style="898" customWidth="1"/>
    <col min="8199" max="8199" width="9.33203125" style="898"/>
    <col min="8200" max="8200" width="12.1640625" style="898" customWidth="1"/>
    <col min="8201" max="8201" width="11.1640625" style="898" customWidth="1"/>
    <col min="8202" max="8202" width="13.1640625" style="898" customWidth="1"/>
    <col min="8203" max="8203" width="11" style="898" customWidth="1"/>
    <col min="8204" max="8204" width="7.5" style="898" customWidth="1"/>
    <col min="8205" max="8205" width="18.5" style="898" customWidth="1"/>
    <col min="8206" max="8206" width="23.6640625" style="898" customWidth="1"/>
    <col min="8207" max="8450" width="9.33203125" style="898"/>
    <col min="8451" max="8451" width="18.1640625" style="898" customWidth="1"/>
    <col min="8452" max="8452" width="23.1640625" style="898" customWidth="1"/>
    <col min="8453" max="8453" width="12.5" style="898" customWidth="1"/>
    <col min="8454" max="8454" width="10.83203125" style="898" customWidth="1"/>
    <col min="8455" max="8455" width="9.33203125" style="898"/>
    <col min="8456" max="8456" width="12.1640625" style="898" customWidth="1"/>
    <col min="8457" max="8457" width="11.1640625" style="898" customWidth="1"/>
    <col min="8458" max="8458" width="13.1640625" style="898" customWidth="1"/>
    <col min="8459" max="8459" width="11" style="898" customWidth="1"/>
    <col min="8460" max="8460" width="7.5" style="898" customWidth="1"/>
    <col min="8461" max="8461" width="18.5" style="898" customWidth="1"/>
    <col min="8462" max="8462" width="23.6640625" style="898" customWidth="1"/>
    <col min="8463" max="8706" width="9.33203125" style="898"/>
    <col min="8707" max="8707" width="18.1640625" style="898" customWidth="1"/>
    <col min="8708" max="8708" width="23.1640625" style="898" customWidth="1"/>
    <col min="8709" max="8709" width="12.5" style="898" customWidth="1"/>
    <col min="8710" max="8710" width="10.83203125" style="898" customWidth="1"/>
    <col min="8711" max="8711" width="9.33203125" style="898"/>
    <col min="8712" max="8712" width="12.1640625" style="898" customWidth="1"/>
    <col min="8713" max="8713" width="11.1640625" style="898" customWidth="1"/>
    <col min="8714" max="8714" width="13.1640625" style="898" customWidth="1"/>
    <col min="8715" max="8715" width="11" style="898" customWidth="1"/>
    <col min="8716" max="8716" width="7.5" style="898" customWidth="1"/>
    <col min="8717" max="8717" width="18.5" style="898" customWidth="1"/>
    <col min="8718" max="8718" width="23.6640625" style="898" customWidth="1"/>
    <col min="8719" max="8962" width="9.33203125" style="898"/>
    <col min="8963" max="8963" width="18.1640625" style="898" customWidth="1"/>
    <col min="8964" max="8964" width="23.1640625" style="898" customWidth="1"/>
    <col min="8965" max="8965" width="12.5" style="898" customWidth="1"/>
    <col min="8966" max="8966" width="10.83203125" style="898" customWidth="1"/>
    <col min="8967" max="8967" width="9.33203125" style="898"/>
    <col min="8968" max="8968" width="12.1640625" style="898" customWidth="1"/>
    <col min="8969" max="8969" width="11.1640625" style="898" customWidth="1"/>
    <col min="8970" max="8970" width="13.1640625" style="898" customWidth="1"/>
    <col min="8971" max="8971" width="11" style="898" customWidth="1"/>
    <col min="8972" max="8972" width="7.5" style="898" customWidth="1"/>
    <col min="8973" max="8973" width="18.5" style="898" customWidth="1"/>
    <col min="8974" max="8974" width="23.6640625" style="898" customWidth="1"/>
    <col min="8975" max="9218" width="9.33203125" style="898"/>
    <col min="9219" max="9219" width="18.1640625" style="898" customWidth="1"/>
    <col min="9220" max="9220" width="23.1640625" style="898" customWidth="1"/>
    <col min="9221" max="9221" width="12.5" style="898" customWidth="1"/>
    <col min="9222" max="9222" width="10.83203125" style="898" customWidth="1"/>
    <col min="9223" max="9223" width="9.33203125" style="898"/>
    <col min="9224" max="9224" width="12.1640625" style="898" customWidth="1"/>
    <col min="9225" max="9225" width="11.1640625" style="898" customWidth="1"/>
    <col min="9226" max="9226" width="13.1640625" style="898" customWidth="1"/>
    <col min="9227" max="9227" width="11" style="898" customWidth="1"/>
    <col min="9228" max="9228" width="7.5" style="898" customWidth="1"/>
    <col min="9229" max="9229" width="18.5" style="898" customWidth="1"/>
    <col min="9230" max="9230" width="23.6640625" style="898" customWidth="1"/>
    <col min="9231" max="9474" width="9.33203125" style="898"/>
    <col min="9475" max="9475" width="18.1640625" style="898" customWidth="1"/>
    <col min="9476" max="9476" width="23.1640625" style="898" customWidth="1"/>
    <col min="9477" max="9477" width="12.5" style="898" customWidth="1"/>
    <col min="9478" max="9478" width="10.83203125" style="898" customWidth="1"/>
    <col min="9479" max="9479" width="9.33203125" style="898"/>
    <col min="9480" max="9480" width="12.1640625" style="898" customWidth="1"/>
    <col min="9481" max="9481" width="11.1640625" style="898" customWidth="1"/>
    <col min="9482" max="9482" width="13.1640625" style="898" customWidth="1"/>
    <col min="9483" max="9483" width="11" style="898" customWidth="1"/>
    <col min="9484" max="9484" width="7.5" style="898" customWidth="1"/>
    <col min="9485" max="9485" width="18.5" style="898" customWidth="1"/>
    <col min="9486" max="9486" width="23.6640625" style="898" customWidth="1"/>
    <col min="9487" max="9730" width="9.33203125" style="898"/>
    <col min="9731" max="9731" width="18.1640625" style="898" customWidth="1"/>
    <col min="9732" max="9732" width="23.1640625" style="898" customWidth="1"/>
    <col min="9733" max="9733" width="12.5" style="898" customWidth="1"/>
    <col min="9734" max="9734" width="10.83203125" style="898" customWidth="1"/>
    <col min="9735" max="9735" width="9.33203125" style="898"/>
    <col min="9736" max="9736" width="12.1640625" style="898" customWidth="1"/>
    <col min="9737" max="9737" width="11.1640625" style="898" customWidth="1"/>
    <col min="9738" max="9738" width="13.1640625" style="898" customWidth="1"/>
    <col min="9739" max="9739" width="11" style="898" customWidth="1"/>
    <col min="9740" max="9740" width="7.5" style="898" customWidth="1"/>
    <col min="9741" max="9741" width="18.5" style="898" customWidth="1"/>
    <col min="9742" max="9742" width="23.6640625" style="898" customWidth="1"/>
    <col min="9743" max="9986" width="9.33203125" style="898"/>
    <col min="9987" max="9987" width="18.1640625" style="898" customWidth="1"/>
    <col min="9988" max="9988" width="23.1640625" style="898" customWidth="1"/>
    <col min="9989" max="9989" width="12.5" style="898" customWidth="1"/>
    <col min="9990" max="9990" width="10.83203125" style="898" customWidth="1"/>
    <col min="9991" max="9991" width="9.33203125" style="898"/>
    <col min="9992" max="9992" width="12.1640625" style="898" customWidth="1"/>
    <col min="9993" max="9993" width="11.1640625" style="898" customWidth="1"/>
    <col min="9994" max="9994" width="13.1640625" style="898" customWidth="1"/>
    <col min="9995" max="9995" width="11" style="898" customWidth="1"/>
    <col min="9996" max="9996" width="7.5" style="898" customWidth="1"/>
    <col min="9997" max="9997" width="18.5" style="898" customWidth="1"/>
    <col min="9998" max="9998" width="23.6640625" style="898" customWidth="1"/>
    <col min="9999" max="10242" width="9.33203125" style="898"/>
    <col min="10243" max="10243" width="18.1640625" style="898" customWidth="1"/>
    <col min="10244" max="10244" width="23.1640625" style="898" customWidth="1"/>
    <col min="10245" max="10245" width="12.5" style="898" customWidth="1"/>
    <col min="10246" max="10246" width="10.83203125" style="898" customWidth="1"/>
    <col min="10247" max="10247" width="9.33203125" style="898"/>
    <col min="10248" max="10248" width="12.1640625" style="898" customWidth="1"/>
    <col min="10249" max="10249" width="11.1640625" style="898" customWidth="1"/>
    <col min="10250" max="10250" width="13.1640625" style="898" customWidth="1"/>
    <col min="10251" max="10251" width="11" style="898" customWidth="1"/>
    <col min="10252" max="10252" width="7.5" style="898" customWidth="1"/>
    <col min="10253" max="10253" width="18.5" style="898" customWidth="1"/>
    <col min="10254" max="10254" width="23.6640625" style="898" customWidth="1"/>
    <col min="10255" max="10498" width="9.33203125" style="898"/>
    <col min="10499" max="10499" width="18.1640625" style="898" customWidth="1"/>
    <col min="10500" max="10500" width="23.1640625" style="898" customWidth="1"/>
    <col min="10501" max="10501" width="12.5" style="898" customWidth="1"/>
    <col min="10502" max="10502" width="10.83203125" style="898" customWidth="1"/>
    <col min="10503" max="10503" width="9.33203125" style="898"/>
    <col min="10504" max="10504" width="12.1640625" style="898" customWidth="1"/>
    <col min="10505" max="10505" width="11.1640625" style="898" customWidth="1"/>
    <col min="10506" max="10506" width="13.1640625" style="898" customWidth="1"/>
    <col min="10507" max="10507" width="11" style="898" customWidth="1"/>
    <col min="10508" max="10508" width="7.5" style="898" customWidth="1"/>
    <col min="10509" max="10509" width="18.5" style="898" customWidth="1"/>
    <col min="10510" max="10510" width="23.6640625" style="898" customWidth="1"/>
    <col min="10511" max="10754" width="9.33203125" style="898"/>
    <col min="10755" max="10755" width="18.1640625" style="898" customWidth="1"/>
    <col min="10756" max="10756" width="23.1640625" style="898" customWidth="1"/>
    <col min="10757" max="10757" width="12.5" style="898" customWidth="1"/>
    <col min="10758" max="10758" width="10.83203125" style="898" customWidth="1"/>
    <col min="10759" max="10759" width="9.33203125" style="898"/>
    <col min="10760" max="10760" width="12.1640625" style="898" customWidth="1"/>
    <col min="10761" max="10761" width="11.1640625" style="898" customWidth="1"/>
    <col min="10762" max="10762" width="13.1640625" style="898" customWidth="1"/>
    <col min="10763" max="10763" width="11" style="898" customWidth="1"/>
    <col min="10764" max="10764" width="7.5" style="898" customWidth="1"/>
    <col min="10765" max="10765" width="18.5" style="898" customWidth="1"/>
    <col min="10766" max="10766" width="23.6640625" style="898" customWidth="1"/>
    <col min="10767" max="11010" width="9.33203125" style="898"/>
    <col min="11011" max="11011" width="18.1640625" style="898" customWidth="1"/>
    <col min="11012" max="11012" width="23.1640625" style="898" customWidth="1"/>
    <col min="11013" max="11013" width="12.5" style="898" customWidth="1"/>
    <col min="11014" max="11014" width="10.83203125" style="898" customWidth="1"/>
    <col min="11015" max="11015" width="9.33203125" style="898"/>
    <col min="11016" max="11016" width="12.1640625" style="898" customWidth="1"/>
    <col min="11017" max="11017" width="11.1640625" style="898" customWidth="1"/>
    <col min="11018" max="11018" width="13.1640625" style="898" customWidth="1"/>
    <col min="11019" max="11019" width="11" style="898" customWidth="1"/>
    <col min="11020" max="11020" width="7.5" style="898" customWidth="1"/>
    <col min="11021" max="11021" width="18.5" style="898" customWidth="1"/>
    <col min="11022" max="11022" width="23.6640625" style="898" customWidth="1"/>
    <col min="11023" max="11266" width="9.33203125" style="898"/>
    <col min="11267" max="11267" width="18.1640625" style="898" customWidth="1"/>
    <col min="11268" max="11268" width="23.1640625" style="898" customWidth="1"/>
    <col min="11269" max="11269" width="12.5" style="898" customWidth="1"/>
    <col min="11270" max="11270" width="10.83203125" style="898" customWidth="1"/>
    <col min="11271" max="11271" width="9.33203125" style="898"/>
    <col min="11272" max="11272" width="12.1640625" style="898" customWidth="1"/>
    <col min="11273" max="11273" width="11.1640625" style="898" customWidth="1"/>
    <col min="11274" max="11274" width="13.1640625" style="898" customWidth="1"/>
    <col min="11275" max="11275" width="11" style="898" customWidth="1"/>
    <col min="11276" max="11276" width="7.5" style="898" customWidth="1"/>
    <col min="11277" max="11277" width="18.5" style="898" customWidth="1"/>
    <col min="11278" max="11278" width="23.6640625" style="898" customWidth="1"/>
    <col min="11279" max="11522" width="9.33203125" style="898"/>
    <col min="11523" max="11523" width="18.1640625" style="898" customWidth="1"/>
    <col min="11524" max="11524" width="23.1640625" style="898" customWidth="1"/>
    <col min="11525" max="11525" width="12.5" style="898" customWidth="1"/>
    <col min="11526" max="11526" width="10.83203125" style="898" customWidth="1"/>
    <col min="11527" max="11527" width="9.33203125" style="898"/>
    <col min="11528" max="11528" width="12.1640625" style="898" customWidth="1"/>
    <col min="11529" max="11529" width="11.1640625" style="898" customWidth="1"/>
    <col min="11530" max="11530" width="13.1640625" style="898" customWidth="1"/>
    <col min="11531" max="11531" width="11" style="898" customWidth="1"/>
    <col min="11532" max="11532" width="7.5" style="898" customWidth="1"/>
    <col min="11533" max="11533" width="18.5" style="898" customWidth="1"/>
    <col min="11534" max="11534" width="23.6640625" style="898" customWidth="1"/>
    <col min="11535" max="11778" width="9.33203125" style="898"/>
    <col min="11779" max="11779" width="18.1640625" style="898" customWidth="1"/>
    <col min="11780" max="11780" width="23.1640625" style="898" customWidth="1"/>
    <col min="11781" max="11781" width="12.5" style="898" customWidth="1"/>
    <col min="11782" max="11782" width="10.83203125" style="898" customWidth="1"/>
    <col min="11783" max="11783" width="9.33203125" style="898"/>
    <col min="11784" max="11784" width="12.1640625" style="898" customWidth="1"/>
    <col min="11785" max="11785" width="11.1640625" style="898" customWidth="1"/>
    <col min="11786" max="11786" width="13.1640625" style="898" customWidth="1"/>
    <col min="11787" max="11787" width="11" style="898" customWidth="1"/>
    <col min="11788" max="11788" width="7.5" style="898" customWidth="1"/>
    <col min="11789" max="11789" width="18.5" style="898" customWidth="1"/>
    <col min="11790" max="11790" width="23.6640625" style="898" customWidth="1"/>
    <col min="11791" max="12034" width="9.33203125" style="898"/>
    <col min="12035" max="12035" width="18.1640625" style="898" customWidth="1"/>
    <col min="12036" max="12036" width="23.1640625" style="898" customWidth="1"/>
    <col min="12037" max="12037" width="12.5" style="898" customWidth="1"/>
    <col min="12038" max="12038" width="10.83203125" style="898" customWidth="1"/>
    <col min="12039" max="12039" width="9.33203125" style="898"/>
    <col min="12040" max="12040" width="12.1640625" style="898" customWidth="1"/>
    <col min="12041" max="12041" width="11.1640625" style="898" customWidth="1"/>
    <col min="12042" max="12042" width="13.1640625" style="898" customWidth="1"/>
    <col min="12043" max="12043" width="11" style="898" customWidth="1"/>
    <col min="12044" max="12044" width="7.5" style="898" customWidth="1"/>
    <col min="12045" max="12045" width="18.5" style="898" customWidth="1"/>
    <col min="12046" max="12046" width="23.6640625" style="898" customWidth="1"/>
    <col min="12047" max="12290" width="9.33203125" style="898"/>
    <col min="12291" max="12291" width="18.1640625" style="898" customWidth="1"/>
    <col min="12292" max="12292" width="23.1640625" style="898" customWidth="1"/>
    <col min="12293" max="12293" width="12.5" style="898" customWidth="1"/>
    <col min="12294" max="12294" width="10.83203125" style="898" customWidth="1"/>
    <col min="12295" max="12295" width="9.33203125" style="898"/>
    <col min="12296" max="12296" width="12.1640625" style="898" customWidth="1"/>
    <col min="12297" max="12297" width="11.1640625" style="898" customWidth="1"/>
    <col min="12298" max="12298" width="13.1640625" style="898" customWidth="1"/>
    <col min="12299" max="12299" width="11" style="898" customWidth="1"/>
    <col min="12300" max="12300" width="7.5" style="898" customWidth="1"/>
    <col min="12301" max="12301" width="18.5" style="898" customWidth="1"/>
    <col min="12302" max="12302" width="23.6640625" style="898" customWidth="1"/>
    <col min="12303" max="12546" width="9.33203125" style="898"/>
    <col min="12547" max="12547" width="18.1640625" style="898" customWidth="1"/>
    <col min="12548" max="12548" width="23.1640625" style="898" customWidth="1"/>
    <col min="12549" max="12549" width="12.5" style="898" customWidth="1"/>
    <col min="12550" max="12550" width="10.83203125" style="898" customWidth="1"/>
    <col min="12551" max="12551" width="9.33203125" style="898"/>
    <col min="12552" max="12552" width="12.1640625" style="898" customWidth="1"/>
    <col min="12553" max="12553" width="11.1640625" style="898" customWidth="1"/>
    <col min="12554" max="12554" width="13.1640625" style="898" customWidth="1"/>
    <col min="12555" max="12555" width="11" style="898" customWidth="1"/>
    <col min="12556" max="12556" width="7.5" style="898" customWidth="1"/>
    <col min="12557" max="12557" width="18.5" style="898" customWidth="1"/>
    <col min="12558" max="12558" width="23.6640625" style="898" customWidth="1"/>
    <col min="12559" max="12802" width="9.33203125" style="898"/>
    <col min="12803" max="12803" width="18.1640625" style="898" customWidth="1"/>
    <col min="12804" max="12804" width="23.1640625" style="898" customWidth="1"/>
    <col min="12805" max="12805" width="12.5" style="898" customWidth="1"/>
    <col min="12806" max="12806" width="10.83203125" style="898" customWidth="1"/>
    <col min="12807" max="12807" width="9.33203125" style="898"/>
    <col min="12808" max="12808" width="12.1640625" style="898" customWidth="1"/>
    <col min="12809" max="12809" width="11.1640625" style="898" customWidth="1"/>
    <col min="12810" max="12810" width="13.1640625" style="898" customWidth="1"/>
    <col min="12811" max="12811" width="11" style="898" customWidth="1"/>
    <col min="12812" max="12812" width="7.5" style="898" customWidth="1"/>
    <col min="12813" max="12813" width="18.5" style="898" customWidth="1"/>
    <col min="12814" max="12814" width="23.6640625" style="898" customWidth="1"/>
    <col min="12815" max="13058" width="9.33203125" style="898"/>
    <col min="13059" max="13059" width="18.1640625" style="898" customWidth="1"/>
    <col min="13060" max="13060" width="23.1640625" style="898" customWidth="1"/>
    <col min="13061" max="13061" width="12.5" style="898" customWidth="1"/>
    <col min="13062" max="13062" width="10.83203125" style="898" customWidth="1"/>
    <col min="13063" max="13063" width="9.33203125" style="898"/>
    <col min="13064" max="13064" width="12.1640625" style="898" customWidth="1"/>
    <col min="13065" max="13065" width="11.1640625" style="898" customWidth="1"/>
    <col min="13066" max="13066" width="13.1640625" style="898" customWidth="1"/>
    <col min="13067" max="13067" width="11" style="898" customWidth="1"/>
    <col min="13068" max="13068" width="7.5" style="898" customWidth="1"/>
    <col min="13069" max="13069" width="18.5" style="898" customWidth="1"/>
    <col min="13070" max="13070" width="23.6640625" style="898" customWidth="1"/>
    <col min="13071" max="13314" width="9.33203125" style="898"/>
    <col min="13315" max="13315" width="18.1640625" style="898" customWidth="1"/>
    <col min="13316" max="13316" width="23.1640625" style="898" customWidth="1"/>
    <col min="13317" max="13317" width="12.5" style="898" customWidth="1"/>
    <col min="13318" max="13318" width="10.83203125" style="898" customWidth="1"/>
    <col min="13319" max="13319" width="9.33203125" style="898"/>
    <col min="13320" max="13320" width="12.1640625" style="898" customWidth="1"/>
    <col min="13321" max="13321" width="11.1640625" style="898" customWidth="1"/>
    <col min="13322" max="13322" width="13.1640625" style="898" customWidth="1"/>
    <col min="13323" max="13323" width="11" style="898" customWidth="1"/>
    <col min="13324" max="13324" width="7.5" style="898" customWidth="1"/>
    <col min="13325" max="13325" width="18.5" style="898" customWidth="1"/>
    <col min="13326" max="13326" width="23.6640625" style="898" customWidth="1"/>
    <col min="13327" max="13570" width="9.33203125" style="898"/>
    <col min="13571" max="13571" width="18.1640625" style="898" customWidth="1"/>
    <col min="13572" max="13572" width="23.1640625" style="898" customWidth="1"/>
    <col min="13573" max="13573" width="12.5" style="898" customWidth="1"/>
    <col min="13574" max="13574" width="10.83203125" style="898" customWidth="1"/>
    <col min="13575" max="13575" width="9.33203125" style="898"/>
    <col min="13576" max="13576" width="12.1640625" style="898" customWidth="1"/>
    <col min="13577" max="13577" width="11.1640625" style="898" customWidth="1"/>
    <col min="13578" max="13578" width="13.1640625" style="898" customWidth="1"/>
    <col min="13579" max="13579" width="11" style="898" customWidth="1"/>
    <col min="13580" max="13580" width="7.5" style="898" customWidth="1"/>
    <col min="13581" max="13581" width="18.5" style="898" customWidth="1"/>
    <col min="13582" max="13582" width="23.6640625" style="898" customWidth="1"/>
    <col min="13583" max="13826" width="9.33203125" style="898"/>
    <col min="13827" max="13827" width="18.1640625" style="898" customWidth="1"/>
    <col min="13828" max="13828" width="23.1640625" style="898" customWidth="1"/>
    <col min="13829" max="13829" width="12.5" style="898" customWidth="1"/>
    <col min="13830" max="13830" width="10.83203125" style="898" customWidth="1"/>
    <col min="13831" max="13831" width="9.33203125" style="898"/>
    <col min="13832" max="13832" width="12.1640625" style="898" customWidth="1"/>
    <col min="13833" max="13833" width="11.1640625" style="898" customWidth="1"/>
    <col min="13834" max="13834" width="13.1640625" style="898" customWidth="1"/>
    <col min="13835" max="13835" width="11" style="898" customWidth="1"/>
    <col min="13836" max="13836" width="7.5" style="898" customWidth="1"/>
    <col min="13837" max="13837" width="18.5" style="898" customWidth="1"/>
    <col min="13838" max="13838" width="23.6640625" style="898" customWidth="1"/>
    <col min="13839" max="14082" width="9.33203125" style="898"/>
    <col min="14083" max="14083" width="18.1640625" style="898" customWidth="1"/>
    <col min="14084" max="14084" width="23.1640625" style="898" customWidth="1"/>
    <col min="14085" max="14085" width="12.5" style="898" customWidth="1"/>
    <col min="14086" max="14086" width="10.83203125" style="898" customWidth="1"/>
    <col min="14087" max="14087" width="9.33203125" style="898"/>
    <col min="14088" max="14088" width="12.1640625" style="898" customWidth="1"/>
    <col min="14089" max="14089" width="11.1640625" style="898" customWidth="1"/>
    <col min="14090" max="14090" width="13.1640625" style="898" customWidth="1"/>
    <col min="14091" max="14091" width="11" style="898" customWidth="1"/>
    <col min="14092" max="14092" width="7.5" style="898" customWidth="1"/>
    <col min="14093" max="14093" width="18.5" style="898" customWidth="1"/>
    <col min="14094" max="14094" width="23.6640625" style="898" customWidth="1"/>
    <col min="14095" max="14338" width="9.33203125" style="898"/>
    <col min="14339" max="14339" width="18.1640625" style="898" customWidth="1"/>
    <col min="14340" max="14340" width="23.1640625" style="898" customWidth="1"/>
    <col min="14341" max="14341" width="12.5" style="898" customWidth="1"/>
    <col min="14342" max="14342" width="10.83203125" style="898" customWidth="1"/>
    <col min="14343" max="14343" width="9.33203125" style="898"/>
    <col min="14344" max="14344" width="12.1640625" style="898" customWidth="1"/>
    <col min="14345" max="14345" width="11.1640625" style="898" customWidth="1"/>
    <col min="14346" max="14346" width="13.1640625" style="898" customWidth="1"/>
    <col min="14347" max="14347" width="11" style="898" customWidth="1"/>
    <col min="14348" max="14348" width="7.5" style="898" customWidth="1"/>
    <col min="14349" max="14349" width="18.5" style="898" customWidth="1"/>
    <col min="14350" max="14350" width="23.6640625" style="898" customWidth="1"/>
    <col min="14351" max="14594" width="9.33203125" style="898"/>
    <col min="14595" max="14595" width="18.1640625" style="898" customWidth="1"/>
    <col min="14596" max="14596" width="23.1640625" style="898" customWidth="1"/>
    <col min="14597" max="14597" width="12.5" style="898" customWidth="1"/>
    <col min="14598" max="14598" width="10.83203125" style="898" customWidth="1"/>
    <col min="14599" max="14599" width="9.33203125" style="898"/>
    <col min="14600" max="14600" width="12.1640625" style="898" customWidth="1"/>
    <col min="14601" max="14601" width="11.1640625" style="898" customWidth="1"/>
    <col min="14602" max="14602" width="13.1640625" style="898" customWidth="1"/>
    <col min="14603" max="14603" width="11" style="898" customWidth="1"/>
    <col min="14604" max="14604" width="7.5" style="898" customWidth="1"/>
    <col min="14605" max="14605" width="18.5" style="898" customWidth="1"/>
    <col min="14606" max="14606" width="23.6640625" style="898" customWidth="1"/>
    <col min="14607" max="14850" width="9.33203125" style="898"/>
    <col min="14851" max="14851" width="18.1640625" style="898" customWidth="1"/>
    <col min="14852" max="14852" width="23.1640625" style="898" customWidth="1"/>
    <col min="14853" max="14853" width="12.5" style="898" customWidth="1"/>
    <col min="14854" max="14854" width="10.83203125" style="898" customWidth="1"/>
    <col min="14855" max="14855" width="9.33203125" style="898"/>
    <col min="14856" max="14856" width="12.1640625" style="898" customWidth="1"/>
    <col min="14857" max="14857" width="11.1640625" style="898" customWidth="1"/>
    <col min="14858" max="14858" width="13.1640625" style="898" customWidth="1"/>
    <col min="14859" max="14859" width="11" style="898" customWidth="1"/>
    <col min="14860" max="14860" width="7.5" style="898" customWidth="1"/>
    <col min="14861" max="14861" width="18.5" style="898" customWidth="1"/>
    <col min="14862" max="14862" width="23.6640625" style="898" customWidth="1"/>
    <col min="14863" max="15106" width="9.33203125" style="898"/>
    <col min="15107" max="15107" width="18.1640625" style="898" customWidth="1"/>
    <col min="15108" max="15108" width="23.1640625" style="898" customWidth="1"/>
    <col min="15109" max="15109" width="12.5" style="898" customWidth="1"/>
    <col min="15110" max="15110" width="10.83203125" style="898" customWidth="1"/>
    <col min="15111" max="15111" width="9.33203125" style="898"/>
    <col min="15112" max="15112" width="12.1640625" style="898" customWidth="1"/>
    <col min="15113" max="15113" width="11.1640625" style="898" customWidth="1"/>
    <col min="15114" max="15114" width="13.1640625" style="898" customWidth="1"/>
    <col min="15115" max="15115" width="11" style="898" customWidth="1"/>
    <col min="15116" max="15116" width="7.5" style="898" customWidth="1"/>
    <col min="15117" max="15117" width="18.5" style="898" customWidth="1"/>
    <col min="15118" max="15118" width="23.6640625" style="898" customWidth="1"/>
    <col min="15119" max="15362" width="9.33203125" style="898"/>
    <col min="15363" max="15363" width="18.1640625" style="898" customWidth="1"/>
    <col min="15364" max="15364" width="23.1640625" style="898" customWidth="1"/>
    <col min="15365" max="15365" width="12.5" style="898" customWidth="1"/>
    <col min="15366" max="15366" width="10.83203125" style="898" customWidth="1"/>
    <col min="15367" max="15367" width="9.33203125" style="898"/>
    <col min="15368" max="15368" width="12.1640625" style="898" customWidth="1"/>
    <col min="15369" max="15369" width="11.1640625" style="898" customWidth="1"/>
    <col min="15370" max="15370" width="13.1640625" style="898" customWidth="1"/>
    <col min="15371" max="15371" width="11" style="898" customWidth="1"/>
    <col min="15372" max="15372" width="7.5" style="898" customWidth="1"/>
    <col min="15373" max="15373" width="18.5" style="898" customWidth="1"/>
    <col min="15374" max="15374" width="23.6640625" style="898" customWidth="1"/>
    <col min="15375" max="15618" width="9.33203125" style="898"/>
    <col min="15619" max="15619" width="18.1640625" style="898" customWidth="1"/>
    <col min="15620" max="15620" width="23.1640625" style="898" customWidth="1"/>
    <col min="15621" max="15621" width="12.5" style="898" customWidth="1"/>
    <col min="15622" max="15622" width="10.83203125" style="898" customWidth="1"/>
    <col min="15623" max="15623" width="9.33203125" style="898"/>
    <col min="15624" max="15624" width="12.1640625" style="898" customWidth="1"/>
    <col min="15625" max="15625" width="11.1640625" style="898" customWidth="1"/>
    <col min="15626" max="15626" width="13.1640625" style="898" customWidth="1"/>
    <col min="15627" max="15627" width="11" style="898" customWidth="1"/>
    <col min="15628" max="15628" width="7.5" style="898" customWidth="1"/>
    <col min="15629" max="15629" width="18.5" style="898" customWidth="1"/>
    <col min="15630" max="15630" width="23.6640625" style="898" customWidth="1"/>
    <col min="15631" max="15874" width="9.33203125" style="898"/>
    <col min="15875" max="15875" width="18.1640625" style="898" customWidth="1"/>
    <col min="15876" max="15876" width="23.1640625" style="898" customWidth="1"/>
    <col min="15877" max="15877" width="12.5" style="898" customWidth="1"/>
    <col min="15878" max="15878" width="10.83203125" style="898" customWidth="1"/>
    <col min="15879" max="15879" width="9.33203125" style="898"/>
    <col min="15880" max="15880" width="12.1640625" style="898" customWidth="1"/>
    <col min="15881" max="15881" width="11.1640625" style="898" customWidth="1"/>
    <col min="15882" max="15882" width="13.1640625" style="898" customWidth="1"/>
    <col min="15883" max="15883" width="11" style="898" customWidth="1"/>
    <col min="15884" max="15884" width="7.5" style="898" customWidth="1"/>
    <col min="15885" max="15885" width="18.5" style="898" customWidth="1"/>
    <col min="15886" max="15886" width="23.6640625" style="898" customWidth="1"/>
    <col min="15887" max="16130" width="9.33203125" style="898"/>
    <col min="16131" max="16131" width="18.1640625" style="898" customWidth="1"/>
    <col min="16132" max="16132" width="23.1640625" style="898" customWidth="1"/>
    <col min="16133" max="16133" width="12.5" style="898" customWidth="1"/>
    <col min="16134" max="16134" width="10.83203125" style="898" customWidth="1"/>
    <col min="16135" max="16135" width="9.33203125" style="898"/>
    <col min="16136" max="16136" width="12.1640625" style="898" customWidth="1"/>
    <col min="16137" max="16137" width="11.1640625" style="898" customWidth="1"/>
    <col min="16138" max="16138" width="13.1640625" style="898" customWidth="1"/>
    <col min="16139" max="16139" width="11" style="898" customWidth="1"/>
    <col min="16140" max="16140" width="7.5" style="898" customWidth="1"/>
    <col min="16141" max="16141" width="18.5" style="898" customWidth="1"/>
    <col min="16142" max="16142" width="23.6640625" style="898" customWidth="1"/>
    <col min="16143" max="16384" width="9.33203125" style="898"/>
  </cols>
  <sheetData>
    <row r="1" spans="1:14">
      <c r="A1" s="896" t="s">
        <v>424</v>
      </c>
      <c r="B1" s="896"/>
      <c r="C1" s="896"/>
      <c r="D1" s="896"/>
      <c r="E1" s="897"/>
      <c r="F1" s="897"/>
      <c r="G1" s="897"/>
      <c r="H1" s="897"/>
      <c r="I1" s="897"/>
      <c r="J1" s="897"/>
      <c r="K1" s="897"/>
      <c r="L1" s="897"/>
      <c r="M1" s="896"/>
      <c r="N1" s="896"/>
    </row>
    <row r="2" spans="1:14" s="902" customFormat="1">
      <c r="A2" s="899"/>
      <c r="B2" s="1487" t="s">
        <v>370</v>
      </c>
      <c r="C2" s="1487"/>
      <c r="D2" s="1487"/>
      <c r="E2" s="1487"/>
      <c r="F2" s="900"/>
      <c r="G2" s="1488" t="s">
        <v>622</v>
      </c>
      <c r="H2" s="1488"/>
      <c r="I2" s="1488"/>
      <c r="J2" s="1488"/>
      <c r="K2" s="1488"/>
      <c r="L2" s="901"/>
      <c r="M2" s="1489" t="s">
        <v>2801</v>
      </c>
      <c r="N2" s="1489"/>
    </row>
    <row r="3" spans="1:14" s="902" customFormat="1">
      <c r="A3" s="903" t="s">
        <v>426</v>
      </c>
      <c r="B3" s="903"/>
      <c r="C3" s="903"/>
      <c r="D3" s="903"/>
      <c r="E3" s="904"/>
      <c r="F3" s="904"/>
      <c r="G3" s="1488"/>
      <c r="H3" s="1488"/>
      <c r="I3" s="1488"/>
      <c r="J3" s="1488"/>
      <c r="K3" s="1488"/>
      <c r="L3" s="901"/>
      <c r="M3" s="1489"/>
      <c r="N3" s="1489"/>
    </row>
    <row r="4" spans="1:14" s="902" customFormat="1">
      <c r="A4" s="903"/>
      <c r="B4" s="903"/>
      <c r="C4" s="903"/>
      <c r="D4" s="903"/>
      <c r="E4" s="904"/>
      <c r="F4" s="904"/>
      <c r="G4" s="1488"/>
      <c r="H4" s="1488"/>
      <c r="I4" s="1488"/>
      <c r="J4" s="1488"/>
      <c r="K4" s="1488"/>
      <c r="L4" s="901"/>
      <c r="M4" s="1489"/>
      <c r="N4" s="1489"/>
    </row>
    <row r="5" spans="1:14" s="902" customFormat="1" ht="38.25">
      <c r="A5" s="1490" t="s">
        <v>2802</v>
      </c>
      <c r="B5" s="1490"/>
      <c r="C5" s="905"/>
      <c r="D5" s="905"/>
      <c r="E5" s="906" t="s">
        <v>624</v>
      </c>
      <c r="F5" s="906"/>
      <c r="G5" s="906" t="s">
        <v>277</v>
      </c>
      <c r="H5" s="906"/>
      <c r="I5" s="907" t="s">
        <v>427</v>
      </c>
      <c r="J5" s="907"/>
      <c r="K5" s="907"/>
      <c r="L5" s="1023"/>
      <c r="M5" s="1051"/>
      <c r="N5" s="1052"/>
    </row>
    <row r="6" spans="1:14">
      <c r="A6" s="1490"/>
      <c r="B6" s="1490"/>
      <c r="C6" s="909"/>
      <c r="D6" s="909"/>
      <c r="E6" s="910"/>
      <c r="F6" s="910"/>
      <c r="G6" s="910"/>
      <c r="H6" s="1053"/>
      <c r="I6" s="1498">
        <v>41163</v>
      </c>
      <c r="J6" s="1499"/>
      <c r="K6" s="1499"/>
      <c r="L6" s="1027"/>
      <c r="M6" s="1500" t="s">
        <v>631</v>
      </c>
      <c r="N6" s="1501"/>
    </row>
    <row r="7" spans="1:14" ht="63.75">
      <c r="A7" s="915" t="s">
        <v>653</v>
      </c>
      <c r="B7" s="916" t="s">
        <v>428</v>
      </c>
      <c r="C7" s="916" t="s">
        <v>429</v>
      </c>
      <c r="D7" s="916" t="s">
        <v>2843</v>
      </c>
      <c r="E7" s="917" t="s">
        <v>620</v>
      </c>
      <c r="F7" s="917" t="s">
        <v>2805</v>
      </c>
      <c r="G7" s="918" t="s">
        <v>2806</v>
      </c>
      <c r="H7" s="918" t="s">
        <v>2807</v>
      </c>
      <c r="I7" s="919" t="s">
        <v>2808</v>
      </c>
      <c r="J7" s="919" t="s">
        <v>2809</v>
      </c>
      <c r="K7" s="920" t="s">
        <v>621</v>
      </c>
      <c r="L7" s="920" t="s">
        <v>2810</v>
      </c>
      <c r="M7" s="1491" t="s">
        <v>431</v>
      </c>
      <c r="N7" s="1491"/>
    </row>
    <row r="8" spans="1:14">
      <c r="A8" s="921"/>
      <c r="B8" s="1479" t="s">
        <v>1238</v>
      </c>
      <c r="C8" s="1480"/>
      <c r="D8" s="1480"/>
      <c r="E8" s="1480"/>
      <c r="F8" s="1480"/>
      <c r="G8" s="1480"/>
      <c r="H8" s="1480"/>
      <c r="I8" s="1480"/>
      <c r="J8" s="1480"/>
      <c r="K8" s="1480"/>
      <c r="L8" s="922"/>
      <c r="M8" s="923"/>
      <c r="N8" s="924"/>
    </row>
    <row r="9" spans="1:14" s="1091" customFormat="1">
      <c r="A9" s="1054"/>
      <c r="B9" s="1086" t="s">
        <v>2844</v>
      </c>
      <c r="C9" s="1087"/>
      <c r="D9" s="1087"/>
      <c r="E9" s="1088"/>
      <c r="F9" s="1088"/>
      <c r="G9" s="1089"/>
      <c r="H9" s="1089"/>
      <c r="I9" s="1090"/>
      <c r="J9" s="1090"/>
      <c r="K9" s="1002"/>
      <c r="L9" s="1002"/>
      <c r="M9" s="1003"/>
      <c r="N9" s="928"/>
    </row>
    <row r="10" spans="1:14" s="998" customFormat="1" ht="38.25">
      <c r="A10" s="1055"/>
      <c r="B10" s="939" t="s">
        <v>2845</v>
      </c>
      <c r="C10" s="937" t="s">
        <v>628</v>
      </c>
      <c r="D10" s="937">
        <v>1</v>
      </c>
      <c r="E10" s="933">
        <v>8.65</v>
      </c>
      <c r="F10" s="933">
        <f>+ROUND((E10*D10),2)</f>
        <v>8.65</v>
      </c>
      <c r="G10" s="933">
        <f>SUM(E10*1.1)</f>
        <v>9.5150000000000006</v>
      </c>
      <c r="H10" s="933">
        <f>+ROUND((G10*D10),2)</f>
        <v>9.52</v>
      </c>
      <c r="I10" s="933">
        <v>9.59</v>
      </c>
      <c r="J10" s="933">
        <v>9.59</v>
      </c>
      <c r="K10" s="933">
        <v>8.7200000000000006</v>
      </c>
      <c r="L10" s="933">
        <f>+ROUND((K10*D10),2)</f>
        <v>8.7200000000000006</v>
      </c>
      <c r="M10" s="937"/>
      <c r="N10" s="924"/>
    </row>
    <row r="11" spans="1:14" s="998" customFormat="1" ht="25.5">
      <c r="A11" s="1056"/>
      <c r="B11" s="939" t="s">
        <v>2832</v>
      </c>
      <c r="C11" s="937" t="s">
        <v>628</v>
      </c>
      <c r="D11" s="937">
        <v>1</v>
      </c>
      <c r="E11" s="933">
        <v>1.38</v>
      </c>
      <c r="F11" s="933">
        <f t="shared" ref="F11:F30" si="0">+ROUND((E11*D11),2)</f>
        <v>1.38</v>
      </c>
      <c r="G11" s="933">
        <f t="shared" ref="G11:G12" si="1">SUM(E11*1.1)</f>
        <v>1.518</v>
      </c>
      <c r="H11" s="933">
        <f t="shared" ref="H11:H30" si="2">+ROUND((G11*D11),2)</f>
        <v>1.52</v>
      </c>
      <c r="I11" s="933">
        <v>10.199999999999999</v>
      </c>
      <c r="J11" s="933">
        <f>-L11-L11-M11</f>
        <v>0</v>
      </c>
      <c r="K11" s="933">
        <v>9.18</v>
      </c>
      <c r="L11" s="933">
        <f>-M11</f>
        <v>0</v>
      </c>
      <c r="M11" s="937"/>
      <c r="N11" s="924"/>
    </row>
    <row r="12" spans="1:14" s="1092" customFormat="1" ht="25.5">
      <c r="A12" s="935"/>
      <c r="B12" s="939" t="s">
        <v>1245</v>
      </c>
      <c r="C12" s="1030" t="s">
        <v>628</v>
      </c>
      <c r="D12" s="1030">
        <v>1</v>
      </c>
      <c r="E12" s="933">
        <v>4.5</v>
      </c>
      <c r="F12" s="933">
        <f t="shared" si="0"/>
        <v>4.5</v>
      </c>
      <c r="G12" s="933">
        <f t="shared" si="1"/>
        <v>4.95</v>
      </c>
      <c r="H12" s="933">
        <f t="shared" si="2"/>
        <v>4.95</v>
      </c>
      <c r="I12" s="933">
        <v>0</v>
      </c>
      <c r="J12" s="933">
        <f t="shared" ref="J12:J30" si="3">+ROUND((I12*D12),2)</f>
        <v>0</v>
      </c>
      <c r="K12" s="933">
        <v>0</v>
      </c>
      <c r="L12" s="933">
        <f t="shared" ref="L12:L30" si="4">+ROUND((K12*D12),2)</f>
        <v>0</v>
      </c>
      <c r="M12" s="1057"/>
      <c r="N12" s="937"/>
    </row>
    <row r="13" spans="1:14" s="998" customFormat="1" ht="25.5">
      <c r="A13" s="939"/>
      <c r="B13" s="939" t="s">
        <v>613</v>
      </c>
      <c r="C13" s="937" t="s">
        <v>628</v>
      </c>
      <c r="D13" s="937">
        <v>1</v>
      </c>
      <c r="E13" s="933">
        <v>0</v>
      </c>
      <c r="F13" s="933">
        <f t="shared" si="0"/>
        <v>0</v>
      </c>
      <c r="G13" s="933">
        <v>0</v>
      </c>
      <c r="H13" s="933">
        <f t="shared" si="2"/>
        <v>0</v>
      </c>
      <c r="I13" s="933">
        <v>0</v>
      </c>
      <c r="J13" s="933">
        <f t="shared" si="3"/>
        <v>0</v>
      </c>
      <c r="K13" s="933">
        <v>0</v>
      </c>
      <c r="L13" s="933">
        <f t="shared" si="4"/>
        <v>0</v>
      </c>
      <c r="M13" s="1057" t="s">
        <v>285</v>
      </c>
      <c r="N13" s="939" t="s">
        <v>614</v>
      </c>
    </row>
    <row r="14" spans="1:14" s="998" customFormat="1" ht="25.5">
      <c r="A14" s="942"/>
      <c r="B14" s="939" t="s">
        <v>1327</v>
      </c>
      <c r="C14" s="937" t="s">
        <v>628</v>
      </c>
      <c r="D14" s="937">
        <v>1</v>
      </c>
      <c r="E14" s="933">
        <v>0</v>
      </c>
      <c r="F14" s="933">
        <f t="shared" si="0"/>
        <v>0</v>
      </c>
      <c r="G14" s="933">
        <v>0</v>
      </c>
      <c r="H14" s="933">
        <f t="shared" si="2"/>
        <v>0</v>
      </c>
      <c r="I14" s="933">
        <v>0</v>
      </c>
      <c r="J14" s="933">
        <f t="shared" si="3"/>
        <v>0</v>
      </c>
      <c r="K14" s="933">
        <v>0</v>
      </c>
      <c r="L14" s="933">
        <f t="shared" si="4"/>
        <v>0</v>
      </c>
      <c r="M14" s="937" t="s">
        <v>288</v>
      </c>
      <c r="N14" s="939" t="s">
        <v>385</v>
      </c>
    </row>
    <row r="15" spans="1:14" s="998" customFormat="1">
      <c r="A15" s="1058"/>
      <c r="B15" s="939" t="s">
        <v>615</v>
      </c>
      <c r="C15" s="937" t="s">
        <v>628</v>
      </c>
      <c r="D15" s="937">
        <v>1</v>
      </c>
      <c r="E15" s="933">
        <v>0</v>
      </c>
      <c r="F15" s="933">
        <f t="shared" si="0"/>
        <v>0</v>
      </c>
      <c r="G15" s="933">
        <v>0</v>
      </c>
      <c r="H15" s="933">
        <f t="shared" si="2"/>
        <v>0</v>
      </c>
      <c r="I15" s="933">
        <v>0</v>
      </c>
      <c r="J15" s="933">
        <f t="shared" si="3"/>
        <v>0</v>
      </c>
      <c r="K15" s="933">
        <v>0</v>
      </c>
      <c r="L15" s="933">
        <f t="shared" si="4"/>
        <v>0</v>
      </c>
      <c r="M15" s="937" t="s">
        <v>365</v>
      </c>
      <c r="N15" s="939"/>
    </row>
    <row r="16" spans="1:14" s="998" customFormat="1" ht="25.5">
      <c r="A16" s="942"/>
      <c r="B16" s="939" t="s">
        <v>792</v>
      </c>
      <c r="C16" s="937" t="s">
        <v>628</v>
      </c>
      <c r="D16" s="937">
        <v>1</v>
      </c>
      <c r="E16" s="933">
        <v>0</v>
      </c>
      <c r="F16" s="933">
        <f t="shared" si="0"/>
        <v>0</v>
      </c>
      <c r="G16" s="933">
        <v>0</v>
      </c>
      <c r="H16" s="933">
        <f t="shared" si="2"/>
        <v>0</v>
      </c>
      <c r="I16" s="933">
        <v>0</v>
      </c>
      <c r="J16" s="933">
        <f t="shared" si="3"/>
        <v>0</v>
      </c>
      <c r="K16" s="933">
        <v>0</v>
      </c>
      <c r="L16" s="933">
        <f t="shared" si="4"/>
        <v>0</v>
      </c>
      <c r="M16" s="937" t="s">
        <v>289</v>
      </c>
      <c r="N16" s="939" t="s">
        <v>385</v>
      </c>
    </row>
    <row r="17" spans="1:14" s="998" customFormat="1" ht="25.5">
      <c r="A17" s="942"/>
      <c r="B17" s="939" t="s">
        <v>296</v>
      </c>
      <c r="C17" s="937" t="s">
        <v>628</v>
      </c>
      <c r="D17" s="937">
        <v>1</v>
      </c>
      <c r="E17" s="933">
        <v>0</v>
      </c>
      <c r="F17" s="933">
        <f t="shared" si="0"/>
        <v>0</v>
      </c>
      <c r="G17" s="933">
        <v>0</v>
      </c>
      <c r="H17" s="933">
        <f t="shared" si="2"/>
        <v>0</v>
      </c>
      <c r="I17" s="933">
        <v>0</v>
      </c>
      <c r="J17" s="933">
        <f t="shared" si="3"/>
        <v>0</v>
      </c>
      <c r="K17" s="933">
        <v>0</v>
      </c>
      <c r="L17" s="933">
        <f t="shared" si="4"/>
        <v>0</v>
      </c>
      <c r="M17" s="937" t="s">
        <v>288</v>
      </c>
      <c r="N17" s="939" t="s">
        <v>387</v>
      </c>
    </row>
    <row r="18" spans="1:14" s="998" customFormat="1" ht="25.5">
      <c r="A18" s="1058"/>
      <c r="B18" s="938" t="s">
        <v>287</v>
      </c>
      <c r="C18" s="931" t="s">
        <v>628</v>
      </c>
      <c r="D18" s="937">
        <v>1</v>
      </c>
      <c r="E18" s="933">
        <v>0</v>
      </c>
      <c r="F18" s="933">
        <f t="shared" si="0"/>
        <v>0</v>
      </c>
      <c r="G18" s="933">
        <v>0</v>
      </c>
      <c r="H18" s="933">
        <f t="shared" si="2"/>
        <v>0</v>
      </c>
      <c r="I18" s="933">
        <v>0</v>
      </c>
      <c r="J18" s="933">
        <f t="shared" si="3"/>
        <v>0</v>
      </c>
      <c r="K18" s="933">
        <v>0</v>
      </c>
      <c r="L18" s="933">
        <f t="shared" si="4"/>
        <v>0</v>
      </c>
      <c r="M18" s="1057" t="s">
        <v>288</v>
      </c>
      <c r="N18" s="939" t="s">
        <v>378</v>
      </c>
    </row>
    <row r="19" spans="1:14" s="1093" customFormat="1">
      <c r="A19" s="942"/>
      <c r="B19" s="943" t="s">
        <v>617</v>
      </c>
      <c r="C19" s="1030" t="s">
        <v>628</v>
      </c>
      <c r="D19" s="937">
        <v>1</v>
      </c>
      <c r="E19" s="933">
        <v>0</v>
      </c>
      <c r="F19" s="933">
        <f t="shared" si="0"/>
        <v>0</v>
      </c>
      <c r="G19" s="933">
        <v>0</v>
      </c>
      <c r="H19" s="933">
        <f t="shared" si="2"/>
        <v>0</v>
      </c>
      <c r="I19" s="933">
        <v>0</v>
      </c>
      <c r="J19" s="933">
        <f t="shared" si="3"/>
        <v>0</v>
      </c>
      <c r="K19" s="933">
        <v>0</v>
      </c>
      <c r="L19" s="933">
        <f t="shared" si="4"/>
        <v>0</v>
      </c>
      <c r="M19" s="1059" t="s">
        <v>288</v>
      </c>
      <c r="N19" s="943" t="s">
        <v>426</v>
      </c>
    </row>
    <row r="20" spans="1:14" s="998" customFormat="1" ht="38.25">
      <c r="A20" s="942"/>
      <c r="B20" s="938" t="s">
        <v>795</v>
      </c>
      <c r="C20" s="937" t="s">
        <v>628</v>
      </c>
      <c r="D20" s="937">
        <v>1</v>
      </c>
      <c r="E20" s="933">
        <v>0</v>
      </c>
      <c r="F20" s="933">
        <f t="shared" si="0"/>
        <v>0</v>
      </c>
      <c r="G20" s="933">
        <v>0</v>
      </c>
      <c r="H20" s="933">
        <f t="shared" si="2"/>
        <v>0</v>
      </c>
      <c r="I20" s="933">
        <v>0</v>
      </c>
      <c r="J20" s="933">
        <f t="shared" si="3"/>
        <v>0</v>
      </c>
      <c r="K20" s="933">
        <v>0</v>
      </c>
      <c r="L20" s="933">
        <f t="shared" si="4"/>
        <v>0</v>
      </c>
      <c r="M20" s="1057" t="s">
        <v>288</v>
      </c>
      <c r="N20" s="939" t="s">
        <v>422</v>
      </c>
    </row>
    <row r="21" spans="1:14" s="998" customFormat="1">
      <c r="A21" s="942"/>
      <c r="B21" s="938" t="s">
        <v>367</v>
      </c>
      <c r="C21" s="937" t="s">
        <v>628</v>
      </c>
      <c r="D21" s="937">
        <v>1</v>
      </c>
      <c r="E21" s="933">
        <v>0</v>
      </c>
      <c r="F21" s="933">
        <f t="shared" si="0"/>
        <v>0</v>
      </c>
      <c r="G21" s="933">
        <v>0</v>
      </c>
      <c r="H21" s="933">
        <f t="shared" si="2"/>
        <v>0</v>
      </c>
      <c r="I21" s="933">
        <v>0</v>
      </c>
      <c r="J21" s="933">
        <f t="shared" si="3"/>
        <v>0</v>
      </c>
      <c r="K21" s="933">
        <v>0</v>
      </c>
      <c r="L21" s="933">
        <f t="shared" si="4"/>
        <v>0</v>
      </c>
      <c r="M21" s="1057" t="s">
        <v>288</v>
      </c>
      <c r="N21" s="939" t="s">
        <v>423</v>
      </c>
    </row>
    <row r="22" spans="1:14" s="998" customFormat="1">
      <c r="A22" s="1060"/>
      <c r="B22" s="938" t="s">
        <v>304</v>
      </c>
      <c r="C22" s="937" t="s">
        <v>628</v>
      </c>
      <c r="D22" s="937">
        <v>1</v>
      </c>
      <c r="E22" s="933">
        <v>0</v>
      </c>
      <c r="F22" s="933">
        <f t="shared" si="0"/>
        <v>0</v>
      </c>
      <c r="G22" s="933">
        <v>0</v>
      </c>
      <c r="H22" s="933">
        <f t="shared" si="2"/>
        <v>0</v>
      </c>
      <c r="I22" s="933">
        <v>0</v>
      </c>
      <c r="J22" s="933">
        <f t="shared" si="3"/>
        <v>0</v>
      </c>
      <c r="K22" s="933">
        <v>0</v>
      </c>
      <c r="L22" s="933">
        <f t="shared" si="4"/>
        <v>0</v>
      </c>
      <c r="M22" s="1057" t="s">
        <v>288</v>
      </c>
      <c r="N22" s="939" t="s">
        <v>391</v>
      </c>
    </row>
    <row r="23" spans="1:14" s="998" customFormat="1" ht="38.25">
      <c r="A23" s="936"/>
      <c r="B23" s="939" t="s">
        <v>708</v>
      </c>
      <c r="C23" s="937" t="s">
        <v>628</v>
      </c>
      <c r="D23" s="937">
        <v>1</v>
      </c>
      <c r="E23" s="933">
        <v>0</v>
      </c>
      <c r="F23" s="933">
        <f t="shared" si="0"/>
        <v>0</v>
      </c>
      <c r="G23" s="933">
        <v>0</v>
      </c>
      <c r="H23" s="933">
        <f t="shared" si="2"/>
        <v>0</v>
      </c>
      <c r="I23" s="933">
        <v>0</v>
      </c>
      <c r="J23" s="933">
        <f t="shared" si="3"/>
        <v>0</v>
      </c>
      <c r="K23" s="933">
        <v>0</v>
      </c>
      <c r="L23" s="933">
        <f t="shared" si="4"/>
        <v>0</v>
      </c>
      <c r="M23" s="937" t="s">
        <v>374</v>
      </c>
      <c r="N23" s="939" t="s">
        <v>389</v>
      </c>
    </row>
    <row r="24" spans="1:14" s="998" customFormat="1">
      <c r="A24" s="936"/>
      <c r="B24" s="939" t="s">
        <v>299</v>
      </c>
      <c r="C24" s="937" t="s">
        <v>628</v>
      </c>
      <c r="D24" s="937">
        <v>1</v>
      </c>
      <c r="E24" s="933">
        <v>0</v>
      </c>
      <c r="F24" s="933">
        <f t="shared" si="0"/>
        <v>0</v>
      </c>
      <c r="G24" s="933">
        <v>0</v>
      </c>
      <c r="H24" s="933">
        <f t="shared" si="2"/>
        <v>0</v>
      </c>
      <c r="I24" s="933">
        <v>0</v>
      </c>
      <c r="J24" s="933">
        <f t="shared" si="3"/>
        <v>0</v>
      </c>
      <c r="K24" s="933">
        <v>0</v>
      </c>
      <c r="L24" s="933">
        <f t="shared" si="4"/>
        <v>0</v>
      </c>
      <c r="M24" s="937"/>
      <c r="N24" s="939" t="s">
        <v>426</v>
      </c>
    </row>
    <row r="25" spans="1:14" s="998" customFormat="1" ht="25.5">
      <c r="A25" s="1062"/>
      <c r="B25" s="938" t="s">
        <v>300</v>
      </c>
      <c r="C25" s="937" t="s">
        <v>628</v>
      </c>
      <c r="D25" s="937">
        <v>1</v>
      </c>
      <c r="E25" s="933">
        <v>0</v>
      </c>
      <c r="F25" s="933">
        <f t="shared" si="0"/>
        <v>0</v>
      </c>
      <c r="G25" s="933">
        <v>0</v>
      </c>
      <c r="H25" s="933">
        <f t="shared" si="2"/>
        <v>0</v>
      </c>
      <c r="I25" s="933">
        <v>0</v>
      </c>
      <c r="J25" s="933">
        <f t="shared" si="3"/>
        <v>0</v>
      </c>
      <c r="K25" s="933">
        <v>0</v>
      </c>
      <c r="L25" s="933">
        <f t="shared" si="4"/>
        <v>0</v>
      </c>
      <c r="M25" s="1057" t="s">
        <v>288</v>
      </c>
      <c r="N25" s="939" t="s">
        <v>1253</v>
      </c>
    </row>
    <row r="26" spans="1:14" s="998" customFormat="1">
      <c r="B26" s="938" t="s">
        <v>301</v>
      </c>
      <c r="C26" s="937" t="s">
        <v>628</v>
      </c>
      <c r="D26" s="937">
        <v>1</v>
      </c>
      <c r="E26" s="933">
        <v>0</v>
      </c>
      <c r="F26" s="933">
        <f t="shared" si="0"/>
        <v>0</v>
      </c>
      <c r="G26" s="933">
        <v>0</v>
      </c>
      <c r="H26" s="933">
        <f t="shared" si="2"/>
        <v>0</v>
      </c>
      <c r="I26" s="933">
        <v>0</v>
      </c>
      <c r="J26" s="933">
        <f t="shared" si="3"/>
        <v>0</v>
      </c>
      <c r="K26" s="933">
        <v>0</v>
      </c>
      <c r="L26" s="933">
        <f t="shared" si="4"/>
        <v>0</v>
      </c>
      <c r="M26" s="1057" t="s">
        <v>288</v>
      </c>
      <c r="N26" s="939" t="s">
        <v>297</v>
      </c>
    </row>
    <row r="27" spans="1:14" s="998" customFormat="1" ht="25.5">
      <c r="A27" s="936"/>
      <c r="B27" s="939" t="s">
        <v>2833</v>
      </c>
      <c r="C27" s="937" t="s">
        <v>628</v>
      </c>
      <c r="D27" s="937">
        <v>1</v>
      </c>
      <c r="E27" s="933">
        <v>0.75</v>
      </c>
      <c r="F27" s="933">
        <f t="shared" si="0"/>
        <v>0.75</v>
      </c>
      <c r="G27" s="933">
        <f>SUM(E27*1.1)</f>
        <v>0.82500000000000007</v>
      </c>
      <c r="H27" s="933">
        <f t="shared" si="2"/>
        <v>0.83</v>
      </c>
      <c r="I27" s="933">
        <v>10.45</v>
      </c>
      <c r="J27" s="933">
        <v>10.45</v>
      </c>
      <c r="K27" s="933">
        <v>9.5</v>
      </c>
      <c r="L27" s="933">
        <f t="shared" si="4"/>
        <v>9.5</v>
      </c>
      <c r="M27" s="937" t="s">
        <v>365</v>
      </c>
      <c r="N27" s="939" t="s">
        <v>383</v>
      </c>
    </row>
    <row r="28" spans="1:14" s="998" customFormat="1" ht="76.5">
      <c r="A28" s="936"/>
      <c r="B28" s="939" t="s">
        <v>878</v>
      </c>
      <c r="C28" s="1014" t="s">
        <v>1483</v>
      </c>
      <c r="D28" s="1014">
        <v>1</v>
      </c>
      <c r="E28" s="933">
        <v>0</v>
      </c>
      <c r="F28" s="933">
        <f t="shared" si="0"/>
        <v>0</v>
      </c>
      <c r="G28" s="933">
        <v>0</v>
      </c>
      <c r="H28" s="933">
        <f t="shared" si="2"/>
        <v>0</v>
      </c>
      <c r="I28" s="933">
        <f>SUM(K28*1.1)</f>
        <v>320.14400000000006</v>
      </c>
      <c r="J28" s="933">
        <f t="shared" si="3"/>
        <v>320.14</v>
      </c>
      <c r="K28" s="933">
        <v>291.04000000000002</v>
      </c>
      <c r="L28" s="933">
        <f t="shared" si="4"/>
        <v>291.04000000000002</v>
      </c>
      <c r="M28" s="1061"/>
      <c r="N28" s="939" t="s">
        <v>877</v>
      </c>
    </row>
    <row r="29" spans="1:14" s="998" customFormat="1" ht="76.5">
      <c r="A29" s="936"/>
      <c r="B29" s="939" t="s">
        <v>882</v>
      </c>
      <c r="C29" s="1014" t="s">
        <v>1483</v>
      </c>
      <c r="D29" s="1014">
        <v>1</v>
      </c>
      <c r="E29" s="933">
        <v>0</v>
      </c>
      <c r="F29" s="933">
        <f t="shared" si="0"/>
        <v>0</v>
      </c>
      <c r="G29" s="933">
        <v>0</v>
      </c>
      <c r="H29" s="933">
        <f t="shared" si="2"/>
        <v>0</v>
      </c>
      <c r="I29" s="933">
        <f>SUM(K29*1.1)</f>
        <v>26.664000000000001</v>
      </c>
      <c r="J29" s="933">
        <f t="shared" si="3"/>
        <v>26.66</v>
      </c>
      <c r="K29" s="933">
        <v>24.24</v>
      </c>
      <c r="L29" s="933">
        <f t="shared" si="4"/>
        <v>24.24</v>
      </c>
      <c r="M29" s="1061"/>
      <c r="N29" s="939" t="s">
        <v>877</v>
      </c>
    </row>
    <row r="30" spans="1:14" s="998" customFormat="1">
      <c r="A30" s="936"/>
      <c r="B30" s="949" t="s">
        <v>1544</v>
      </c>
      <c r="C30" s="948" t="s">
        <v>1483</v>
      </c>
      <c r="D30" s="931">
        <f>D10*0.25</f>
        <v>0.25</v>
      </c>
      <c r="E30" s="933">
        <v>0</v>
      </c>
      <c r="F30" s="933">
        <f t="shared" si="0"/>
        <v>0</v>
      </c>
      <c r="G30" s="933">
        <v>0</v>
      </c>
      <c r="H30" s="933">
        <f t="shared" si="2"/>
        <v>0</v>
      </c>
      <c r="I30" s="933">
        <f t="shared" ref="I30" si="5">SUM(1.1*K30)</f>
        <v>100.62800000000001</v>
      </c>
      <c r="J30" s="933">
        <f t="shared" si="3"/>
        <v>25.16</v>
      </c>
      <c r="K30" s="933">
        <v>91.48</v>
      </c>
      <c r="L30" s="933">
        <f t="shared" si="4"/>
        <v>22.87</v>
      </c>
      <c r="M30" s="931" t="s">
        <v>2818</v>
      </c>
      <c r="N30" s="965"/>
    </row>
    <row r="31" spans="1:14" s="1068" customFormat="1">
      <c r="A31" s="1073"/>
      <c r="B31" s="1063" t="s">
        <v>2815</v>
      </c>
      <c r="C31" s="1064"/>
      <c r="D31" s="1065"/>
      <c r="E31" s="1008"/>
      <c r="F31" s="1008">
        <f>SUM(F12)</f>
        <v>4.5</v>
      </c>
      <c r="G31" s="1008"/>
      <c r="H31" s="1008">
        <f>SUM(H12)</f>
        <v>4.95</v>
      </c>
      <c r="I31" s="1008"/>
      <c r="J31" s="1008">
        <v>391.85</v>
      </c>
      <c r="K31" s="1008"/>
      <c r="L31" s="1008">
        <v>356.05</v>
      </c>
      <c r="M31" s="1066"/>
      <c r="N31" s="1067"/>
    </row>
    <row r="32" spans="1:14" s="998" customFormat="1" ht="38.25">
      <c r="A32" s="957" t="s">
        <v>2860</v>
      </c>
      <c r="B32" s="1069" t="s">
        <v>2830</v>
      </c>
      <c r="C32" s="1070"/>
      <c r="D32" s="1070"/>
      <c r="E32" s="1070"/>
      <c r="F32" s="1071">
        <f>SUM(F10:F30)-F31</f>
        <v>10.780000000000001</v>
      </c>
      <c r="G32" s="1070"/>
      <c r="H32" s="1071">
        <f>SUM(H10:H30)-H31</f>
        <v>11.869999999999997</v>
      </c>
      <c r="I32" s="1070"/>
      <c r="J32" s="1071">
        <f>SUM(J10:J30)-J31</f>
        <v>0.15000000000003411</v>
      </c>
      <c r="K32" s="1070"/>
      <c r="L32" s="1071">
        <f>SUM(L10:L30)-L31</f>
        <v>0.31999999999999318</v>
      </c>
      <c r="M32" s="1070"/>
      <c r="N32" s="1072"/>
    </row>
    <row r="33" spans="1:14" s="998" customFormat="1">
      <c r="A33" s="1056"/>
      <c r="B33" s="931"/>
      <c r="C33" s="931"/>
      <c r="D33" s="931"/>
      <c r="E33" s="1017"/>
      <c r="F33" s="1017"/>
      <c r="G33" s="962"/>
      <c r="H33" s="962"/>
      <c r="I33" s="962"/>
      <c r="J33" s="962"/>
      <c r="K33" s="974"/>
      <c r="L33" s="974"/>
      <c r="M33" s="931"/>
      <c r="N33" s="1018"/>
    </row>
    <row r="34" spans="1:14" s="1091" customFormat="1">
      <c r="A34" s="1054"/>
      <c r="B34" s="1086" t="s">
        <v>2846</v>
      </c>
      <c r="C34" s="1087"/>
      <c r="D34" s="1087"/>
      <c r="E34" s="1088"/>
      <c r="F34" s="1088"/>
      <c r="G34" s="1089"/>
      <c r="H34" s="1089"/>
      <c r="I34" s="1090"/>
      <c r="J34" s="1090"/>
      <c r="K34" s="1002"/>
      <c r="L34" s="1002"/>
      <c r="M34" s="1003"/>
      <c r="N34" s="928"/>
    </row>
    <row r="35" spans="1:14" s="998" customFormat="1" ht="38.25">
      <c r="A35" s="942"/>
      <c r="B35" s="939" t="s">
        <v>2831</v>
      </c>
      <c r="C35" s="937" t="s">
        <v>628</v>
      </c>
      <c r="D35" s="937">
        <v>0</v>
      </c>
      <c r="E35" s="933">
        <v>8.65</v>
      </c>
      <c r="F35" s="933">
        <f t="shared" ref="F35:F55" si="6">+ROUND((E35*D35),2)</f>
        <v>0</v>
      </c>
      <c r="G35" s="933">
        <f>SUM(E35*1.1)</f>
        <v>9.5150000000000006</v>
      </c>
      <c r="H35" s="933">
        <f>+ROUND((G35*D35),2)</f>
        <v>0</v>
      </c>
      <c r="I35" s="933">
        <v>9.69</v>
      </c>
      <c r="J35" s="933">
        <f>+ROUND((I35*D35),2)</f>
        <v>0</v>
      </c>
      <c r="K35" s="933">
        <v>8.7200000000000006</v>
      </c>
      <c r="L35" s="933">
        <f>+ROUND((K35*D35),2)</f>
        <v>0</v>
      </c>
      <c r="M35" s="937"/>
      <c r="N35" s="924"/>
    </row>
    <row r="36" spans="1:14" s="998" customFormat="1" ht="25.5">
      <c r="A36" s="942"/>
      <c r="B36" s="939" t="s">
        <v>2832</v>
      </c>
      <c r="C36" s="937" t="s">
        <v>628</v>
      </c>
      <c r="D36" s="937">
        <v>1</v>
      </c>
      <c r="E36" s="933">
        <v>1.38</v>
      </c>
      <c r="F36" s="933">
        <f t="shared" si="6"/>
        <v>1.38</v>
      </c>
      <c r="G36" s="933">
        <f t="shared" ref="G36:G37" si="7">SUM(E36*1.1)</f>
        <v>1.518</v>
      </c>
      <c r="H36" s="933">
        <f t="shared" ref="H36:H55" si="8">+ROUND((G36*D36),2)</f>
        <v>1.52</v>
      </c>
      <c r="I36" s="933">
        <v>0</v>
      </c>
      <c r="J36" s="933">
        <f t="shared" ref="J36:J55" si="9">+ROUND((I36*D36),2)</f>
        <v>0</v>
      </c>
      <c r="K36" s="933">
        <v>9.18</v>
      </c>
      <c r="L36" s="933">
        <v>0</v>
      </c>
      <c r="M36" s="937"/>
      <c r="N36" s="924"/>
    </row>
    <row r="37" spans="1:14" s="1092" customFormat="1" ht="25.5">
      <c r="A37" s="942"/>
      <c r="B37" s="939" t="s">
        <v>1245</v>
      </c>
      <c r="C37" s="1030" t="s">
        <v>628</v>
      </c>
      <c r="D37" s="1030">
        <v>0</v>
      </c>
      <c r="E37" s="933">
        <v>4.5</v>
      </c>
      <c r="F37" s="933">
        <f t="shared" si="6"/>
        <v>0</v>
      </c>
      <c r="G37" s="933">
        <f t="shared" si="7"/>
        <v>4.95</v>
      </c>
      <c r="H37" s="933">
        <f t="shared" si="8"/>
        <v>0</v>
      </c>
      <c r="I37" s="933">
        <v>0</v>
      </c>
      <c r="J37" s="933">
        <f t="shared" si="9"/>
        <v>0</v>
      </c>
      <c r="K37" s="933">
        <v>0</v>
      </c>
      <c r="L37" s="933">
        <f t="shared" ref="L37:L55" si="10">+ROUND((K37*D37),2)</f>
        <v>0</v>
      </c>
      <c r="M37" s="1057"/>
      <c r="N37" s="937"/>
    </row>
    <row r="38" spans="1:14" s="998" customFormat="1" ht="25.5">
      <c r="A38" s="1058"/>
      <c r="B38" s="939" t="s">
        <v>613</v>
      </c>
      <c r="C38" s="937" t="s">
        <v>628</v>
      </c>
      <c r="D38" s="937">
        <v>1</v>
      </c>
      <c r="E38" s="933">
        <v>0</v>
      </c>
      <c r="F38" s="933">
        <f t="shared" si="6"/>
        <v>0</v>
      </c>
      <c r="G38" s="933">
        <v>0</v>
      </c>
      <c r="H38" s="933">
        <f t="shared" si="8"/>
        <v>0</v>
      </c>
      <c r="I38" s="933">
        <v>0</v>
      </c>
      <c r="J38" s="933">
        <f t="shared" si="9"/>
        <v>0</v>
      </c>
      <c r="K38" s="933">
        <v>0</v>
      </c>
      <c r="L38" s="933">
        <f t="shared" si="10"/>
        <v>0</v>
      </c>
      <c r="M38" s="1057" t="s">
        <v>285</v>
      </c>
      <c r="N38" s="939" t="s">
        <v>614</v>
      </c>
    </row>
    <row r="39" spans="1:14" s="998" customFormat="1" ht="25.5">
      <c r="A39" s="939"/>
      <c r="B39" s="939" t="s">
        <v>1327</v>
      </c>
      <c r="C39" s="937" t="s">
        <v>628</v>
      </c>
      <c r="D39" s="937">
        <v>1</v>
      </c>
      <c r="E39" s="933">
        <v>0</v>
      </c>
      <c r="F39" s="933">
        <f t="shared" si="6"/>
        <v>0</v>
      </c>
      <c r="G39" s="933">
        <v>0</v>
      </c>
      <c r="H39" s="933">
        <f t="shared" si="8"/>
        <v>0</v>
      </c>
      <c r="I39" s="933">
        <v>0</v>
      </c>
      <c r="J39" s="933">
        <f t="shared" si="9"/>
        <v>0</v>
      </c>
      <c r="K39" s="933">
        <v>0</v>
      </c>
      <c r="L39" s="933">
        <f t="shared" si="10"/>
        <v>0</v>
      </c>
      <c r="M39" s="937" t="s">
        <v>288</v>
      </c>
      <c r="N39" s="939" t="s">
        <v>385</v>
      </c>
    </row>
    <row r="40" spans="1:14" s="998" customFormat="1">
      <c r="A40" s="939"/>
      <c r="B40" s="939" t="s">
        <v>615</v>
      </c>
      <c r="C40" s="937" t="s">
        <v>628</v>
      </c>
      <c r="D40" s="937">
        <v>1</v>
      </c>
      <c r="E40" s="933">
        <v>0</v>
      </c>
      <c r="F40" s="933">
        <f t="shared" si="6"/>
        <v>0</v>
      </c>
      <c r="G40" s="933">
        <v>0</v>
      </c>
      <c r="H40" s="933">
        <f t="shared" si="8"/>
        <v>0</v>
      </c>
      <c r="I40" s="933">
        <v>0</v>
      </c>
      <c r="J40" s="933">
        <f t="shared" si="9"/>
        <v>0</v>
      </c>
      <c r="K40" s="933">
        <v>0</v>
      </c>
      <c r="L40" s="933">
        <f t="shared" si="10"/>
        <v>0</v>
      </c>
      <c r="M40" s="937" t="s">
        <v>365</v>
      </c>
      <c r="N40" s="939"/>
    </row>
    <row r="41" spans="1:14" s="998" customFormat="1" ht="25.5">
      <c r="A41" s="1058"/>
      <c r="B41" s="939" t="s">
        <v>792</v>
      </c>
      <c r="C41" s="937" t="s">
        <v>628</v>
      </c>
      <c r="D41" s="937">
        <v>1</v>
      </c>
      <c r="E41" s="933">
        <v>0</v>
      </c>
      <c r="F41" s="933">
        <f t="shared" si="6"/>
        <v>0</v>
      </c>
      <c r="G41" s="933">
        <v>0</v>
      </c>
      <c r="H41" s="933">
        <f t="shared" si="8"/>
        <v>0</v>
      </c>
      <c r="I41" s="933">
        <v>0</v>
      </c>
      <c r="J41" s="933">
        <f t="shared" si="9"/>
        <v>0</v>
      </c>
      <c r="K41" s="933">
        <v>0</v>
      </c>
      <c r="L41" s="933">
        <f t="shared" si="10"/>
        <v>0</v>
      </c>
      <c r="M41" s="937" t="s">
        <v>289</v>
      </c>
      <c r="N41" s="939" t="s">
        <v>385</v>
      </c>
    </row>
    <row r="42" spans="1:14" s="998" customFormat="1" ht="25.5">
      <c r="A42" s="1058"/>
      <c r="B42" s="939" t="s">
        <v>296</v>
      </c>
      <c r="C42" s="937" t="s">
        <v>628</v>
      </c>
      <c r="D42" s="937">
        <v>1</v>
      </c>
      <c r="E42" s="933">
        <v>0</v>
      </c>
      <c r="F42" s="933">
        <f t="shared" si="6"/>
        <v>0</v>
      </c>
      <c r="G42" s="933">
        <v>0</v>
      </c>
      <c r="H42" s="933">
        <f t="shared" si="8"/>
        <v>0</v>
      </c>
      <c r="I42" s="933">
        <v>0</v>
      </c>
      <c r="J42" s="933">
        <f t="shared" si="9"/>
        <v>0</v>
      </c>
      <c r="K42" s="933">
        <v>0</v>
      </c>
      <c r="L42" s="933">
        <f t="shared" si="10"/>
        <v>0</v>
      </c>
      <c r="M42" s="937" t="s">
        <v>288</v>
      </c>
      <c r="N42" s="939" t="s">
        <v>387</v>
      </c>
    </row>
    <row r="43" spans="1:14" s="998" customFormat="1" ht="25.5">
      <c r="A43" s="942"/>
      <c r="B43" s="938" t="s">
        <v>287</v>
      </c>
      <c r="C43" s="931" t="s">
        <v>628</v>
      </c>
      <c r="D43" s="937">
        <v>1</v>
      </c>
      <c r="E43" s="933">
        <v>0</v>
      </c>
      <c r="F43" s="933">
        <f t="shared" si="6"/>
        <v>0</v>
      </c>
      <c r="G43" s="933">
        <v>0</v>
      </c>
      <c r="H43" s="933">
        <f t="shared" si="8"/>
        <v>0</v>
      </c>
      <c r="I43" s="933">
        <v>0</v>
      </c>
      <c r="J43" s="933">
        <f t="shared" si="9"/>
        <v>0</v>
      </c>
      <c r="K43" s="933">
        <v>0</v>
      </c>
      <c r="L43" s="933">
        <f t="shared" si="10"/>
        <v>0</v>
      </c>
      <c r="M43" s="1057" t="s">
        <v>288</v>
      </c>
      <c r="N43" s="939" t="s">
        <v>378</v>
      </c>
    </row>
    <row r="44" spans="1:14" s="1093" customFormat="1">
      <c r="A44" s="935"/>
      <c r="B44" s="943" t="s">
        <v>617</v>
      </c>
      <c r="C44" s="1030" t="s">
        <v>628</v>
      </c>
      <c r="D44" s="937">
        <v>1</v>
      </c>
      <c r="E44" s="933">
        <v>0</v>
      </c>
      <c r="F44" s="933">
        <f t="shared" si="6"/>
        <v>0</v>
      </c>
      <c r="G44" s="933">
        <v>0</v>
      </c>
      <c r="H44" s="933">
        <f t="shared" si="8"/>
        <v>0</v>
      </c>
      <c r="I44" s="933">
        <v>0</v>
      </c>
      <c r="J44" s="933">
        <f t="shared" si="9"/>
        <v>0</v>
      </c>
      <c r="K44" s="933">
        <v>0</v>
      </c>
      <c r="L44" s="933">
        <f t="shared" si="10"/>
        <v>0</v>
      </c>
      <c r="M44" s="1059" t="s">
        <v>288</v>
      </c>
      <c r="N44" s="943" t="s">
        <v>426</v>
      </c>
    </row>
    <row r="45" spans="1:14" s="998" customFormat="1" ht="38.25">
      <c r="A45" s="984"/>
      <c r="B45" s="938" t="s">
        <v>795</v>
      </c>
      <c r="C45" s="937" t="s">
        <v>628</v>
      </c>
      <c r="D45" s="937">
        <v>1</v>
      </c>
      <c r="E45" s="933">
        <v>0</v>
      </c>
      <c r="F45" s="933">
        <f t="shared" si="6"/>
        <v>0</v>
      </c>
      <c r="G45" s="933">
        <v>0</v>
      </c>
      <c r="H45" s="933">
        <f t="shared" si="8"/>
        <v>0</v>
      </c>
      <c r="I45" s="933">
        <v>0</v>
      </c>
      <c r="J45" s="933">
        <f t="shared" si="9"/>
        <v>0</v>
      </c>
      <c r="K45" s="933">
        <v>0</v>
      </c>
      <c r="L45" s="933">
        <f t="shared" si="10"/>
        <v>0</v>
      </c>
      <c r="M45" s="1057" t="s">
        <v>288</v>
      </c>
      <c r="N45" s="939" t="s">
        <v>422</v>
      </c>
    </row>
    <row r="46" spans="1:14" s="998" customFormat="1">
      <c r="A46" s="936"/>
      <c r="B46" s="938" t="s">
        <v>367</v>
      </c>
      <c r="C46" s="937" t="s">
        <v>628</v>
      </c>
      <c r="D46" s="937">
        <v>1</v>
      </c>
      <c r="E46" s="933">
        <v>0</v>
      </c>
      <c r="F46" s="933">
        <f t="shared" si="6"/>
        <v>0</v>
      </c>
      <c r="G46" s="933">
        <v>0</v>
      </c>
      <c r="H46" s="933">
        <f t="shared" si="8"/>
        <v>0</v>
      </c>
      <c r="I46" s="933">
        <v>0</v>
      </c>
      <c r="J46" s="933">
        <f t="shared" si="9"/>
        <v>0</v>
      </c>
      <c r="K46" s="933">
        <v>0</v>
      </c>
      <c r="L46" s="933">
        <f t="shared" si="10"/>
        <v>0</v>
      </c>
      <c r="M46" s="1057" t="s">
        <v>288</v>
      </c>
      <c r="N46" s="939" t="s">
        <v>423</v>
      </c>
    </row>
    <row r="47" spans="1:14" s="998" customFormat="1">
      <c r="A47" s="1062"/>
      <c r="B47" s="938" t="s">
        <v>304</v>
      </c>
      <c r="C47" s="937" t="s">
        <v>628</v>
      </c>
      <c r="D47" s="937">
        <v>1</v>
      </c>
      <c r="E47" s="933">
        <v>0</v>
      </c>
      <c r="F47" s="933">
        <f t="shared" si="6"/>
        <v>0</v>
      </c>
      <c r="G47" s="933">
        <v>0</v>
      </c>
      <c r="H47" s="933">
        <f t="shared" si="8"/>
        <v>0</v>
      </c>
      <c r="I47" s="933">
        <v>0</v>
      </c>
      <c r="J47" s="933">
        <f t="shared" si="9"/>
        <v>0</v>
      </c>
      <c r="K47" s="933">
        <v>0</v>
      </c>
      <c r="L47" s="933">
        <f t="shared" si="10"/>
        <v>0</v>
      </c>
      <c r="M47" s="1057" t="s">
        <v>288</v>
      </c>
      <c r="N47" s="939" t="s">
        <v>391</v>
      </c>
    </row>
    <row r="48" spans="1:14" s="998" customFormat="1" ht="38.25">
      <c r="B48" s="939" t="s">
        <v>708</v>
      </c>
      <c r="C48" s="937" t="s">
        <v>628</v>
      </c>
      <c r="D48" s="937">
        <v>1</v>
      </c>
      <c r="E48" s="933">
        <v>0</v>
      </c>
      <c r="F48" s="933">
        <f t="shared" si="6"/>
        <v>0</v>
      </c>
      <c r="G48" s="933">
        <v>0</v>
      </c>
      <c r="H48" s="933">
        <f t="shared" si="8"/>
        <v>0</v>
      </c>
      <c r="I48" s="933">
        <v>0</v>
      </c>
      <c r="J48" s="933">
        <f t="shared" si="9"/>
        <v>0</v>
      </c>
      <c r="K48" s="933">
        <v>0</v>
      </c>
      <c r="L48" s="933">
        <f t="shared" si="10"/>
        <v>0</v>
      </c>
      <c r="M48" s="937" t="s">
        <v>374</v>
      </c>
      <c r="N48" s="939" t="s">
        <v>389</v>
      </c>
    </row>
    <row r="49" spans="1:14" s="998" customFormat="1">
      <c r="A49" s="936"/>
      <c r="B49" s="939" t="s">
        <v>299</v>
      </c>
      <c r="C49" s="937" t="s">
        <v>628</v>
      </c>
      <c r="D49" s="937">
        <v>1</v>
      </c>
      <c r="E49" s="933">
        <v>0</v>
      </c>
      <c r="F49" s="933">
        <f t="shared" si="6"/>
        <v>0</v>
      </c>
      <c r="G49" s="933">
        <v>0</v>
      </c>
      <c r="H49" s="933">
        <f t="shared" si="8"/>
        <v>0</v>
      </c>
      <c r="I49" s="933">
        <v>0</v>
      </c>
      <c r="J49" s="933">
        <f t="shared" si="9"/>
        <v>0</v>
      </c>
      <c r="K49" s="933">
        <v>0</v>
      </c>
      <c r="L49" s="933">
        <f t="shared" si="10"/>
        <v>0</v>
      </c>
      <c r="M49" s="937"/>
      <c r="N49" s="939" t="s">
        <v>426</v>
      </c>
    </row>
    <row r="50" spans="1:14" s="998" customFormat="1" ht="25.5">
      <c r="A50" s="936"/>
      <c r="B50" s="938" t="s">
        <v>300</v>
      </c>
      <c r="C50" s="937" t="s">
        <v>628</v>
      </c>
      <c r="D50" s="937">
        <v>1</v>
      </c>
      <c r="E50" s="933">
        <v>0</v>
      </c>
      <c r="F50" s="933">
        <f t="shared" si="6"/>
        <v>0</v>
      </c>
      <c r="G50" s="933">
        <v>0</v>
      </c>
      <c r="H50" s="933">
        <f t="shared" si="8"/>
        <v>0</v>
      </c>
      <c r="I50" s="933">
        <v>0</v>
      </c>
      <c r="J50" s="933">
        <f t="shared" si="9"/>
        <v>0</v>
      </c>
      <c r="K50" s="933">
        <v>0</v>
      </c>
      <c r="L50" s="933">
        <f t="shared" si="10"/>
        <v>0</v>
      </c>
      <c r="M50" s="1057" t="s">
        <v>288</v>
      </c>
      <c r="N50" s="939" t="s">
        <v>1253</v>
      </c>
    </row>
    <row r="51" spans="1:14" s="998" customFormat="1">
      <c r="A51" s="936"/>
      <c r="B51" s="938" t="s">
        <v>301</v>
      </c>
      <c r="C51" s="937" t="s">
        <v>628</v>
      </c>
      <c r="D51" s="937">
        <v>1</v>
      </c>
      <c r="E51" s="933">
        <v>0</v>
      </c>
      <c r="F51" s="933">
        <f t="shared" si="6"/>
        <v>0</v>
      </c>
      <c r="G51" s="933">
        <v>0</v>
      </c>
      <c r="H51" s="933">
        <f t="shared" si="8"/>
        <v>0</v>
      </c>
      <c r="I51" s="933">
        <v>0</v>
      </c>
      <c r="J51" s="933">
        <f t="shared" si="9"/>
        <v>0</v>
      </c>
      <c r="K51" s="933">
        <v>0</v>
      </c>
      <c r="L51" s="933">
        <f t="shared" si="10"/>
        <v>0</v>
      </c>
      <c r="M51" s="1057" t="s">
        <v>288</v>
      </c>
      <c r="N51" s="939" t="s">
        <v>297</v>
      </c>
    </row>
    <row r="52" spans="1:14" s="998" customFormat="1" ht="25.5">
      <c r="A52" s="936"/>
      <c r="B52" s="939" t="s">
        <v>2833</v>
      </c>
      <c r="C52" s="937" t="s">
        <v>628</v>
      </c>
      <c r="D52" s="937">
        <v>0</v>
      </c>
      <c r="E52" s="933">
        <v>0.75</v>
      </c>
      <c r="F52" s="933">
        <f t="shared" si="6"/>
        <v>0</v>
      </c>
      <c r="G52" s="933">
        <f>SUM(E52*1.1)</f>
        <v>0.82500000000000007</v>
      </c>
      <c r="H52" s="933">
        <f t="shared" si="8"/>
        <v>0</v>
      </c>
      <c r="I52" s="933">
        <v>10.56</v>
      </c>
      <c r="J52" s="933">
        <f t="shared" si="9"/>
        <v>0</v>
      </c>
      <c r="K52" s="933">
        <v>9.5</v>
      </c>
      <c r="L52" s="933">
        <f t="shared" si="10"/>
        <v>0</v>
      </c>
      <c r="M52" s="937" t="s">
        <v>365</v>
      </c>
      <c r="N52" s="939" t="s">
        <v>383</v>
      </c>
    </row>
    <row r="53" spans="1:14" s="998" customFormat="1" ht="76.5">
      <c r="A53" s="936"/>
      <c r="B53" s="939" t="s">
        <v>878</v>
      </c>
      <c r="C53" s="1014" t="s">
        <v>1483</v>
      </c>
      <c r="D53" s="1014">
        <v>1</v>
      </c>
      <c r="E53" s="933">
        <v>0</v>
      </c>
      <c r="F53" s="933">
        <f t="shared" si="6"/>
        <v>0</v>
      </c>
      <c r="G53" s="933">
        <v>0</v>
      </c>
      <c r="H53" s="933">
        <f t="shared" si="8"/>
        <v>0</v>
      </c>
      <c r="I53" s="933">
        <f>SUM(K53*1.1)</f>
        <v>320.14400000000006</v>
      </c>
      <c r="J53" s="933">
        <f t="shared" si="9"/>
        <v>320.14</v>
      </c>
      <c r="K53" s="933">
        <v>291.04000000000002</v>
      </c>
      <c r="L53" s="933">
        <f t="shared" si="10"/>
        <v>291.04000000000002</v>
      </c>
      <c r="M53" s="1061"/>
      <c r="N53" s="937" t="s">
        <v>877</v>
      </c>
    </row>
    <row r="54" spans="1:14" s="998" customFormat="1" ht="76.5">
      <c r="A54" s="936"/>
      <c r="B54" s="939" t="s">
        <v>882</v>
      </c>
      <c r="C54" s="1014" t="s">
        <v>1483</v>
      </c>
      <c r="D54" s="1014">
        <v>1</v>
      </c>
      <c r="E54" s="933">
        <v>0</v>
      </c>
      <c r="F54" s="933">
        <f t="shared" si="6"/>
        <v>0</v>
      </c>
      <c r="G54" s="933">
        <v>0</v>
      </c>
      <c r="H54" s="933">
        <f t="shared" si="8"/>
        <v>0</v>
      </c>
      <c r="I54" s="933">
        <f>SUM(K54*1.1)</f>
        <v>26.664000000000001</v>
      </c>
      <c r="J54" s="933">
        <f t="shared" si="9"/>
        <v>26.66</v>
      </c>
      <c r="K54" s="933">
        <v>24.24</v>
      </c>
      <c r="L54" s="933">
        <f t="shared" si="10"/>
        <v>24.24</v>
      </c>
      <c r="M54" s="1061"/>
      <c r="N54" s="937" t="s">
        <v>877</v>
      </c>
    </row>
    <row r="55" spans="1:14" s="998" customFormat="1">
      <c r="A55" s="1013"/>
      <c r="B55" s="949" t="s">
        <v>1544</v>
      </c>
      <c r="C55" s="948" t="s">
        <v>1483</v>
      </c>
      <c r="D55" s="931">
        <v>0.25</v>
      </c>
      <c r="E55" s="933">
        <v>0</v>
      </c>
      <c r="F55" s="933">
        <f t="shared" si="6"/>
        <v>0</v>
      </c>
      <c r="G55" s="933">
        <v>0</v>
      </c>
      <c r="H55" s="933">
        <f t="shared" si="8"/>
        <v>0</v>
      </c>
      <c r="I55" s="933">
        <f t="shared" ref="I55" si="11">SUM(1.1*K55)</f>
        <v>100.62800000000001</v>
      </c>
      <c r="J55" s="933">
        <f t="shared" si="9"/>
        <v>25.16</v>
      </c>
      <c r="K55" s="933">
        <v>91.48</v>
      </c>
      <c r="L55" s="933">
        <f t="shared" si="10"/>
        <v>22.87</v>
      </c>
      <c r="M55" s="931" t="s">
        <v>2818</v>
      </c>
      <c r="N55" s="1018"/>
    </row>
    <row r="56" spans="1:14" s="1099" customFormat="1">
      <c r="A56" s="1058"/>
      <c r="B56" s="1094" t="s">
        <v>2815</v>
      </c>
      <c r="C56" s="1095"/>
      <c r="D56" s="1096"/>
      <c r="E56" s="967"/>
      <c r="F56" s="1008">
        <f>SUM(F37)</f>
        <v>0</v>
      </c>
      <c r="G56" s="1008"/>
      <c r="H56" s="1008">
        <f>SUM(H37)</f>
        <v>0</v>
      </c>
      <c r="I56" s="1008"/>
      <c r="J56" s="1008">
        <v>20</v>
      </c>
      <c r="K56" s="1008"/>
      <c r="L56" s="1008">
        <v>20</v>
      </c>
      <c r="M56" s="1097"/>
      <c r="N56" s="1098"/>
    </row>
    <row r="57" spans="1:14" s="998" customFormat="1" ht="38.25">
      <c r="A57" s="957" t="s">
        <v>2861</v>
      </c>
      <c r="B57" s="1100" t="s">
        <v>2846</v>
      </c>
      <c r="C57" s="993"/>
      <c r="D57" s="994"/>
      <c r="E57" s="1011"/>
      <c r="F57" s="1101">
        <f>SUM(F35:F55)-F56</f>
        <v>1.38</v>
      </c>
      <c r="G57" s="1070"/>
      <c r="H57" s="1101">
        <f>SUM(H35:H55)-H56</f>
        <v>1.52</v>
      </c>
      <c r="I57" s="1070"/>
      <c r="J57" s="1101">
        <f>SUM(J35:J55)-J56</f>
        <v>351.96000000000004</v>
      </c>
      <c r="K57" s="1070"/>
      <c r="L57" s="1101">
        <f>SUM(L35:L55)-L56</f>
        <v>318.15000000000003</v>
      </c>
      <c r="M57" s="1102"/>
      <c r="N57" s="1103"/>
    </row>
    <row r="58" spans="1:14" s="940" customFormat="1">
      <c r="A58" s="1058"/>
      <c r="B58" s="923"/>
      <c r="C58" s="931"/>
      <c r="D58" s="931"/>
      <c r="E58" s="932"/>
      <c r="F58" s="932"/>
      <c r="G58" s="962"/>
      <c r="H58" s="962"/>
      <c r="I58" s="962"/>
      <c r="J58" s="969"/>
      <c r="K58" s="970"/>
      <c r="L58" s="1104"/>
      <c r="M58" s="923"/>
      <c r="N58" s="1105"/>
    </row>
    <row r="59" spans="1:14" s="1107" customFormat="1">
      <c r="A59" s="1054"/>
      <c r="B59" s="1502" t="s">
        <v>2847</v>
      </c>
      <c r="C59" s="1502"/>
      <c r="D59" s="1502"/>
      <c r="E59" s="1502"/>
      <c r="F59" s="1502"/>
      <c r="G59" s="1502"/>
      <c r="H59" s="1502"/>
      <c r="I59" s="1502"/>
      <c r="J59" s="1502"/>
      <c r="K59" s="1502"/>
      <c r="L59" s="1502"/>
      <c r="M59" s="1502"/>
      <c r="N59" s="1106"/>
    </row>
    <row r="60" spans="1:14" s="998" customFormat="1" ht="38.25">
      <c r="A60" s="942"/>
      <c r="B60" s="939" t="s">
        <v>2831</v>
      </c>
      <c r="C60" s="937" t="s">
        <v>628</v>
      </c>
      <c r="D60" s="937">
        <v>1</v>
      </c>
      <c r="E60" s="933">
        <v>8.65</v>
      </c>
      <c r="F60" s="933">
        <f t="shared" ref="F60:F80" si="12">+ROUND((E60*D60),2)</f>
        <v>8.65</v>
      </c>
      <c r="G60" s="933">
        <f>SUM(E60*1.1)</f>
        <v>9.5150000000000006</v>
      </c>
      <c r="H60" s="933">
        <f t="shared" ref="H60:H80" si="13">+ROUND((G60*D60),2)</f>
        <v>9.52</v>
      </c>
      <c r="I60" s="933">
        <v>9.59</v>
      </c>
      <c r="J60" s="933">
        <v>9.59</v>
      </c>
      <c r="K60" s="933">
        <v>8.7200000000000006</v>
      </c>
      <c r="L60" s="933">
        <f>+ROUND((K60*D60),2)</f>
        <v>8.7200000000000006</v>
      </c>
      <c r="M60" s="933"/>
      <c r="N60" s="924"/>
    </row>
    <row r="61" spans="1:14" s="998" customFormat="1" ht="25.5">
      <c r="A61" s="942"/>
      <c r="B61" s="939" t="s">
        <v>2832</v>
      </c>
      <c r="C61" s="937" t="s">
        <v>628</v>
      </c>
      <c r="D61" s="937">
        <v>1</v>
      </c>
      <c r="E61" s="933">
        <v>1.38</v>
      </c>
      <c r="F61" s="933">
        <f t="shared" si="12"/>
        <v>1.38</v>
      </c>
      <c r="G61" s="933">
        <f t="shared" ref="G61:G62" si="14">SUM(E61*1.1)</f>
        <v>1.518</v>
      </c>
      <c r="H61" s="933">
        <f t="shared" si="13"/>
        <v>1.52</v>
      </c>
      <c r="I61" s="933">
        <v>10.199999999999999</v>
      </c>
      <c r="J61" s="933">
        <f>J62</f>
        <v>0</v>
      </c>
      <c r="K61" s="933">
        <v>9.18</v>
      </c>
      <c r="L61" s="933">
        <v>0</v>
      </c>
      <c r="M61" s="933"/>
      <c r="N61" s="924"/>
    </row>
    <row r="62" spans="1:14" s="1092" customFormat="1" ht="25.5">
      <c r="A62" s="984"/>
      <c r="B62" s="939" t="s">
        <v>1245</v>
      </c>
      <c r="C62" s="1030" t="s">
        <v>628</v>
      </c>
      <c r="D62" s="1030">
        <v>1</v>
      </c>
      <c r="E62" s="933">
        <v>4.5</v>
      </c>
      <c r="F62" s="933">
        <f t="shared" si="12"/>
        <v>4.5</v>
      </c>
      <c r="G62" s="933">
        <f t="shared" si="14"/>
        <v>4.95</v>
      </c>
      <c r="H62" s="933">
        <f t="shared" si="13"/>
        <v>4.95</v>
      </c>
      <c r="I62" s="933">
        <v>0</v>
      </c>
      <c r="J62" s="933">
        <f t="shared" ref="J62:J80" si="15">+ROUND((I62*D62),2)</f>
        <v>0</v>
      </c>
      <c r="K62" s="933">
        <v>0</v>
      </c>
      <c r="L62" s="933">
        <f t="shared" ref="L62:L80" si="16">+ROUND((K62*D62),2)</f>
        <v>0</v>
      </c>
      <c r="M62" s="1057"/>
      <c r="N62" s="937"/>
    </row>
    <row r="63" spans="1:14" s="998" customFormat="1" ht="25.5">
      <c r="A63" s="984"/>
      <c r="B63" s="939" t="s">
        <v>613</v>
      </c>
      <c r="C63" s="937" t="s">
        <v>628</v>
      </c>
      <c r="D63" s="937">
        <v>1</v>
      </c>
      <c r="E63" s="933">
        <v>0</v>
      </c>
      <c r="F63" s="933">
        <f t="shared" si="12"/>
        <v>0</v>
      </c>
      <c r="G63" s="933">
        <v>0</v>
      </c>
      <c r="H63" s="933">
        <f t="shared" si="13"/>
        <v>0</v>
      </c>
      <c r="I63" s="933">
        <v>0</v>
      </c>
      <c r="J63" s="933">
        <f t="shared" si="15"/>
        <v>0</v>
      </c>
      <c r="K63" s="933">
        <v>0</v>
      </c>
      <c r="L63" s="933">
        <f t="shared" si="16"/>
        <v>0</v>
      </c>
      <c r="M63" s="1057" t="s">
        <v>285</v>
      </c>
      <c r="N63" s="939" t="s">
        <v>614</v>
      </c>
    </row>
    <row r="64" spans="1:14" s="998" customFormat="1" ht="25.5">
      <c r="A64" s="936"/>
      <c r="B64" s="939" t="s">
        <v>1327</v>
      </c>
      <c r="C64" s="937" t="s">
        <v>628</v>
      </c>
      <c r="D64" s="937">
        <v>1</v>
      </c>
      <c r="E64" s="933">
        <v>0</v>
      </c>
      <c r="F64" s="933">
        <f t="shared" si="12"/>
        <v>0</v>
      </c>
      <c r="G64" s="933">
        <v>0</v>
      </c>
      <c r="H64" s="933">
        <f t="shared" si="13"/>
        <v>0</v>
      </c>
      <c r="I64" s="933">
        <v>0</v>
      </c>
      <c r="J64" s="933">
        <f t="shared" si="15"/>
        <v>0</v>
      </c>
      <c r="K64" s="933">
        <v>0</v>
      </c>
      <c r="L64" s="933">
        <f t="shared" si="16"/>
        <v>0</v>
      </c>
      <c r="M64" s="937" t="s">
        <v>288</v>
      </c>
      <c r="N64" s="939" t="s">
        <v>385</v>
      </c>
    </row>
    <row r="65" spans="1:14" s="998" customFormat="1">
      <c r="A65" s="1062"/>
      <c r="B65" s="939" t="s">
        <v>615</v>
      </c>
      <c r="C65" s="937" t="s">
        <v>628</v>
      </c>
      <c r="D65" s="937">
        <v>1</v>
      </c>
      <c r="E65" s="933">
        <v>0</v>
      </c>
      <c r="F65" s="933">
        <f t="shared" si="12"/>
        <v>0</v>
      </c>
      <c r="G65" s="933">
        <v>0</v>
      </c>
      <c r="H65" s="933">
        <f t="shared" si="13"/>
        <v>0</v>
      </c>
      <c r="I65" s="933">
        <v>0</v>
      </c>
      <c r="J65" s="933">
        <f t="shared" si="15"/>
        <v>0</v>
      </c>
      <c r="K65" s="933">
        <v>0</v>
      </c>
      <c r="L65" s="933">
        <f t="shared" si="16"/>
        <v>0</v>
      </c>
      <c r="M65" s="937" t="s">
        <v>365</v>
      </c>
      <c r="N65" s="939"/>
    </row>
    <row r="66" spans="1:14" s="998" customFormat="1" ht="25.5">
      <c r="B66" s="939" t="s">
        <v>792</v>
      </c>
      <c r="C66" s="937" t="s">
        <v>628</v>
      </c>
      <c r="D66" s="937">
        <v>1</v>
      </c>
      <c r="E66" s="933">
        <v>0</v>
      </c>
      <c r="F66" s="933">
        <f t="shared" si="12"/>
        <v>0</v>
      </c>
      <c r="G66" s="933">
        <v>0</v>
      </c>
      <c r="H66" s="933">
        <f t="shared" si="13"/>
        <v>0</v>
      </c>
      <c r="I66" s="933">
        <v>0</v>
      </c>
      <c r="J66" s="933">
        <f t="shared" si="15"/>
        <v>0</v>
      </c>
      <c r="K66" s="933">
        <v>0</v>
      </c>
      <c r="L66" s="933">
        <f t="shared" si="16"/>
        <v>0</v>
      </c>
      <c r="M66" s="937" t="s">
        <v>289</v>
      </c>
      <c r="N66" s="939" t="s">
        <v>385</v>
      </c>
    </row>
    <row r="67" spans="1:14" s="998" customFormat="1" ht="25.5">
      <c r="A67" s="936"/>
      <c r="B67" s="939" t="s">
        <v>296</v>
      </c>
      <c r="C67" s="937" t="s">
        <v>628</v>
      </c>
      <c r="D67" s="937">
        <v>1</v>
      </c>
      <c r="E67" s="933">
        <v>0</v>
      </c>
      <c r="F67" s="933">
        <f t="shared" si="12"/>
        <v>0</v>
      </c>
      <c r="G67" s="933">
        <v>0</v>
      </c>
      <c r="H67" s="933">
        <f t="shared" si="13"/>
        <v>0</v>
      </c>
      <c r="I67" s="933">
        <v>0</v>
      </c>
      <c r="J67" s="933">
        <f t="shared" si="15"/>
        <v>0</v>
      </c>
      <c r="K67" s="933">
        <v>0</v>
      </c>
      <c r="L67" s="933">
        <f t="shared" si="16"/>
        <v>0</v>
      </c>
      <c r="M67" s="937" t="s">
        <v>288</v>
      </c>
      <c r="N67" s="939" t="s">
        <v>387</v>
      </c>
    </row>
    <row r="68" spans="1:14" s="998" customFormat="1" ht="25.5">
      <c r="A68" s="936"/>
      <c r="B68" s="938" t="s">
        <v>287</v>
      </c>
      <c r="C68" s="931" t="s">
        <v>628</v>
      </c>
      <c r="D68" s="937">
        <v>1</v>
      </c>
      <c r="E68" s="933">
        <v>0</v>
      </c>
      <c r="F68" s="933">
        <f t="shared" si="12"/>
        <v>0</v>
      </c>
      <c r="G68" s="933">
        <v>0</v>
      </c>
      <c r="H68" s="933">
        <f t="shared" si="13"/>
        <v>0</v>
      </c>
      <c r="I68" s="933">
        <v>0</v>
      </c>
      <c r="J68" s="933">
        <f t="shared" si="15"/>
        <v>0</v>
      </c>
      <c r="K68" s="933">
        <v>0</v>
      </c>
      <c r="L68" s="933">
        <f t="shared" si="16"/>
        <v>0</v>
      </c>
      <c r="M68" s="1057" t="s">
        <v>288</v>
      </c>
      <c r="N68" s="939" t="s">
        <v>378</v>
      </c>
    </row>
    <row r="69" spans="1:14" s="1093" customFormat="1">
      <c r="A69" s="936"/>
      <c r="B69" s="943" t="s">
        <v>617</v>
      </c>
      <c r="C69" s="1030" t="s">
        <v>628</v>
      </c>
      <c r="D69" s="937">
        <v>1</v>
      </c>
      <c r="E69" s="933">
        <v>0</v>
      </c>
      <c r="F69" s="933">
        <f t="shared" si="12"/>
        <v>0</v>
      </c>
      <c r="G69" s="933">
        <v>0</v>
      </c>
      <c r="H69" s="933">
        <f t="shared" si="13"/>
        <v>0</v>
      </c>
      <c r="I69" s="933">
        <v>0</v>
      </c>
      <c r="J69" s="933">
        <f t="shared" si="15"/>
        <v>0</v>
      </c>
      <c r="K69" s="933">
        <v>0</v>
      </c>
      <c r="L69" s="933">
        <f t="shared" si="16"/>
        <v>0</v>
      </c>
      <c r="M69" s="1059" t="s">
        <v>288</v>
      </c>
      <c r="N69" s="943" t="s">
        <v>426</v>
      </c>
    </row>
    <row r="70" spans="1:14" s="998" customFormat="1" ht="38.25">
      <c r="A70" s="936"/>
      <c r="B70" s="938" t="s">
        <v>795</v>
      </c>
      <c r="C70" s="937" t="s">
        <v>628</v>
      </c>
      <c r="D70" s="937">
        <v>1</v>
      </c>
      <c r="E70" s="933">
        <v>0</v>
      </c>
      <c r="F70" s="933">
        <f t="shared" si="12"/>
        <v>0</v>
      </c>
      <c r="G70" s="933">
        <v>0</v>
      </c>
      <c r="H70" s="933">
        <f t="shared" si="13"/>
        <v>0</v>
      </c>
      <c r="I70" s="933">
        <v>0</v>
      </c>
      <c r="J70" s="933">
        <f t="shared" si="15"/>
        <v>0</v>
      </c>
      <c r="K70" s="933">
        <v>0</v>
      </c>
      <c r="L70" s="933">
        <f t="shared" si="16"/>
        <v>0</v>
      </c>
      <c r="M70" s="1057" t="s">
        <v>288</v>
      </c>
      <c r="N70" s="939" t="s">
        <v>422</v>
      </c>
    </row>
    <row r="71" spans="1:14" s="998" customFormat="1">
      <c r="A71" s="936"/>
      <c r="B71" s="938" t="s">
        <v>367</v>
      </c>
      <c r="C71" s="937" t="s">
        <v>628</v>
      </c>
      <c r="D71" s="937">
        <v>1</v>
      </c>
      <c r="E71" s="933">
        <v>0</v>
      </c>
      <c r="F71" s="933">
        <f t="shared" si="12"/>
        <v>0</v>
      </c>
      <c r="G71" s="933">
        <v>0</v>
      </c>
      <c r="H71" s="933">
        <f t="shared" si="13"/>
        <v>0</v>
      </c>
      <c r="I71" s="933">
        <v>0</v>
      </c>
      <c r="J71" s="933">
        <f t="shared" si="15"/>
        <v>0</v>
      </c>
      <c r="K71" s="933">
        <v>0</v>
      </c>
      <c r="L71" s="933">
        <f t="shared" si="16"/>
        <v>0</v>
      </c>
      <c r="M71" s="1057" t="s">
        <v>288</v>
      </c>
      <c r="N71" s="939" t="s">
        <v>423</v>
      </c>
    </row>
    <row r="72" spans="1:14" s="998" customFormat="1">
      <c r="A72" s="936"/>
      <c r="B72" s="938" t="s">
        <v>304</v>
      </c>
      <c r="C72" s="937" t="s">
        <v>628</v>
      </c>
      <c r="D72" s="937">
        <v>1</v>
      </c>
      <c r="E72" s="933">
        <v>0</v>
      </c>
      <c r="F72" s="933">
        <f t="shared" si="12"/>
        <v>0</v>
      </c>
      <c r="G72" s="933">
        <v>0</v>
      </c>
      <c r="H72" s="933">
        <f t="shared" si="13"/>
        <v>0</v>
      </c>
      <c r="I72" s="933">
        <v>0</v>
      </c>
      <c r="J72" s="933">
        <f t="shared" si="15"/>
        <v>0</v>
      </c>
      <c r="K72" s="933">
        <v>0</v>
      </c>
      <c r="L72" s="933">
        <f t="shared" si="16"/>
        <v>0</v>
      </c>
      <c r="M72" s="1057" t="s">
        <v>288</v>
      </c>
      <c r="N72" s="939" t="s">
        <v>391</v>
      </c>
    </row>
    <row r="73" spans="1:14" s="998" customFormat="1" ht="38.25">
      <c r="A73" s="936"/>
      <c r="B73" s="939" t="s">
        <v>708</v>
      </c>
      <c r="C73" s="937" t="s">
        <v>628</v>
      </c>
      <c r="D73" s="937">
        <v>1</v>
      </c>
      <c r="E73" s="933">
        <v>0</v>
      </c>
      <c r="F73" s="933">
        <f t="shared" si="12"/>
        <v>0</v>
      </c>
      <c r="G73" s="933">
        <v>0</v>
      </c>
      <c r="H73" s="933">
        <f t="shared" si="13"/>
        <v>0</v>
      </c>
      <c r="I73" s="933">
        <v>0</v>
      </c>
      <c r="J73" s="933">
        <f t="shared" si="15"/>
        <v>0</v>
      </c>
      <c r="K73" s="933">
        <v>0</v>
      </c>
      <c r="L73" s="933">
        <f t="shared" si="16"/>
        <v>0</v>
      </c>
      <c r="M73" s="937" t="s">
        <v>374</v>
      </c>
      <c r="N73" s="939" t="s">
        <v>389</v>
      </c>
    </row>
    <row r="74" spans="1:14" s="998" customFormat="1">
      <c r="A74" s="1013"/>
      <c r="B74" s="939" t="s">
        <v>299</v>
      </c>
      <c r="C74" s="937" t="s">
        <v>628</v>
      </c>
      <c r="D74" s="937">
        <v>1</v>
      </c>
      <c r="E74" s="933">
        <v>0</v>
      </c>
      <c r="F74" s="933">
        <f t="shared" si="12"/>
        <v>0</v>
      </c>
      <c r="G74" s="933">
        <v>0</v>
      </c>
      <c r="H74" s="933">
        <f t="shared" si="13"/>
        <v>0</v>
      </c>
      <c r="I74" s="933">
        <v>0</v>
      </c>
      <c r="J74" s="933">
        <f t="shared" si="15"/>
        <v>0</v>
      </c>
      <c r="K74" s="933">
        <v>0</v>
      </c>
      <c r="L74" s="933">
        <f t="shared" si="16"/>
        <v>0</v>
      </c>
      <c r="M74" s="937"/>
      <c r="N74" s="939" t="s">
        <v>426</v>
      </c>
    </row>
    <row r="75" spans="1:14" s="998" customFormat="1" ht="25.5">
      <c r="A75" s="966"/>
      <c r="B75" s="938" t="s">
        <v>300</v>
      </c>
      <c r="C75" s="937" t="s">
        <v>628</v>
      </c>
      <c r="D75" s="937">
        <v>1</v>
      </c>
      <c r="E75" s="933">
        <v>0</v>
      </c>
      <c r="F75" s="933">
        <f t="shared" si="12"/>
        <v>0</v>
      </c>
      <c r="G75" s="933">
        <v>0</v>
      </c>
      <c r="H75" s="933">
        <f t="shared" si="13"/>
        <v>0</v>
      </c>
      <c r="I75" s="933">
        <v>0</v>
      </c>
      <c r="J75" s="933">
        <f t="shared" si="15"/>
        <v>0</v>
      </c>
      <c r="K75" s="933">
        <v>0</v>
      </c>
      <c r="L75" s="933">
        <f t="shared" si="16"/>
        <v>0</v>
      </c>
      <c r="M75" s="1057" t="s">
        <v>288</v>
      </c>
      <c r="N75" s="939" t="s">
        <v>1253</v>
      </c>
    </row>
    <row r="76" spans="1:14" s="998" customFormat="1">
      <c r="A76" s="1016"/>
      <c r="B76" s="938" t="s">
        <v>301</v>
      </c>
      <c r="C76" s="937" t="s">
        <v>628</v>
      </c>
      <c r="D76" s="937">
        <v>1</v>
      </c>
      <c r="E76" s="933">
        <v>0</v>
      </c>
      <c r="F76" s="933">
        <f t="shared" si="12"/>
        <v>0</v>
      </c>
      <c r="G76" s="933">
        <v>0</v>
      </c>
      <c r="H76" s="933">
        <f t="shared" si="13"/>
        <v>0</v>
      </c>
      <c r="I76" s="933">
        <v>0</v>
      </c>
      <c r="J76" s="933">
        <f t="shared" si="15"/>
        <v>0</v>
      </c>
      <c r="K76" s="933">
        <v>0</v>
      </c>
      <c r="L76" s="933">
        <f t="shared" si="16"/>
        <v>0</v>
      </c>
      <c r="M76" s="1057" t="s">
        <v>288</v>
      </c>
      <c r="N76" s="939" t="s">
        <v>297</v>
      </c>
    </row>
    <row r="77" spans="1:14" s="998" customFormat="1" ht="25.5">
      <c r="A77" s="1055"/>
      <c r="B77" s="939" t="s">
        <v>2833</v>
      </c>
      <c r="C77" s="937" t="s">
        <v>628</v>
      </c>
      <c r="D77" s="937">
        <v>1</v>
      </c>
      <c r="E77" s="933">
        <v>0.75</v>
      </c>
      <c r="F77" s="933">
        <f t="shared" si="12"/>
        <v>0.75</v>
      </c>
      <c r="G77" s="933">
        <f>SUM(E77*1.1)</f>
        <v>0.82500000000000007</v>
      </c>
      <c r="H77" s="933">
        <f t="shared" si="13"/>
        <v>0.83</v>
      </c>
      <c r="I77" s="933">
        <v>10.45</v>
      </c>
      <c r="J77" s="933">
        <v>10.45</v>
      </c>
      <c r="K77" s="933">
        <v>9.5</v>
      </c>
      <c r="L77" s="933">
        <f t="shared" si="16"/>
        <v>9.5</v>
      </c>
      <c r="M77" s="937" t="s">
        <v>365</v>
      </c>
      <c r="N77" s="939" t="s">
        <v>383</v>
      </c>
    </row>
    <row r="78" spans="1:14" s="998" customFormat="1" ht="76.5">
      <c r="A78" s="1055"/>
      <c r="B78" s="939" t="s">
        <v>878</v>
      </c>
      <c r="C78" s="1014" t="s">
        <v>1483</v>
      </c>
      <c r="D78" s="1014">
        <v>1</v>
      </c>
      <c r="E78" s="933">
        <v>0</v>
      </c>
      <c r="F78" s="933">
        <f t="shared" si="12"/>
        <v>0</v>
      </c>
      <c r="G78" s="933">
        <v>0</v>
      </c>
      <c r="H78" s="933">
        <f t="shared" si="13"/>
        <v>0</v>
      </c>
      <c r="I78" s="933">
        <f>SUM(K78*1.1)</f>
        <v>320.14400000000006</v>
      </c>
      <c r="J78" s="933">
        <f t="shared" si="15"/>
        <v>320.14</v>
      </c>
      <c r="K78" s="933">
        <v>291.04000000000002</v>
      </c>
      <c r="L78" s="933">
        <f t="shared" si="16"/>
        <v>291.04000000000002</v>
      </c>
      <c r="M78" s="1061"/>
      <c r="N78" s="937" t="s">
        <v>877</v>
      </c>
    </row>
    <row r="79" spans="1:14" s="998" customFormat="1" ht="76.5">
      <c r="A79" s="1055"/>
      <c r="B79" s="939" t="s">
        <v>882</v>
      </c>
      <c r="C79" s="1014" t="s">
        <v>1483</v>
      </c>
      <c r="D79" s="1014">
        <v>1</v>
      </c>
      <c r="E79" s="933">
        <v>0</v>
      </c>
      <c r="F79" s="933">
        <f t="shared" si="12"/>
        <v>0</v>
      </c>
      <c r="G79" s="933">
        <v>0</v>
      </c>
      <c r="H79" s="933">
        <f t="shared" si="13"/>
        <v>0</v>
      </c>
      <c r="I79" s="933">
        <f>SUM(K79*1.1)</f>
        <v>26.664000000000001</v>
      </c>
      <c r="J79" s="933">
        <f t="shared" si="15"/>
        <v>26.66</v>
      </c>
      <c r="K79" s="933">
        <v>24.24</v>
      </c>
      <c r="L79" s="933">
        <f t="shared" si="16"/>
        <v>24.24</v>
      </c>
      <c r="M79" s="1061"/>
      <c r="N79" s="937" t="s">
        <v>877</v>
      </c>
    </row>
    <row r="80" spans="1:14" s="998" customFormat="1">
      <c r="A80" s="1055"/>
      <c r="B80" s="949" t="s">
        <v>1544</v>
      </c>
      <c r="C80" s="948" t="s">
        <v>1483</v>
      </c>
      <c r="D80" s="931">
        <v>0.25</v>
      </c>
      <c r="E80" s="933">
        <v>0</v>
      </c>
      <c r="F80" s="933">
        <f t="shared" si="12"/>
        <v>0</v>
      </c>
      <c r="G80" s="933">
        <v>0</v>
      </c>
      <c r="H80" s="933">
        <f t="shared" si="13"/>
        <v>0</v>
      </c>
      <c r="I80" s="933">
        <f t="shared" ref="I80" si="17">SUM(1.1*K80)</f>
        <v>100.62800000000001</v>
      </c>
      <c r="J80" s="933">
        <f t="shared" si="15"/>
        <v>25.16</v>
      </c>
      <c r="K80" s="933">
        <v>91.48</v>
      </c>
      <c r="L80" s="933">
        <f t="shared" si="16"/>
        <v>22.87</v>
      </c>
      <c r="M80" s="931" t="s">
        <v>2818</v>
      </c>
      <c r="N80" s="1018"/>
    </row>
    <row r="81" spans="1:14" s="1099" customFormat="1">
      <c r="A81" s="939"/>
      <c r="B81" s="1094" t="s">
        <v>2815</v>
      </c>
      <c r="C81" s="1095"/>
      <c r="D81" s="1096"/>
      <c r="E81" s="967"/>
      <c r="F81" s="1008">
        <f>SUM(F62)</f>
        <v>4.5</v>
      </c>
      <c r="G81" s="1008"/>
      <c r="H81" s="1008">
        <f>SUM(H62)</f>
        <v>4.95</v>
      </c>
      <c r="I81" s="1008"/>
      <c r="J81" s="1008">
        <v>20</v>
      </c>
      <c r="K81" s="1008"/>
      <c r="L81" s="1008">
        <v>20</v>
      </c>
      <c r="M81" s="1066"/>
      <c r="N81" s="1098"/>
    </row>
    <row r="82" spans="1:14" s="998" customFormat="1" ht="38.25">
      <c r="A82" s="957" t="s">
        <v>2862</v>
      </c>
      <c r="B82" s="981" t="s">
        <v>2847</v>
      </c>
      <c r="C82" s="982"/>
      <c r="D82" s="982"/>
      <c r="E82" s="982"/>
      <c r="F82" s="1101">
        <f>SUM(F60:F80)-F81</f>
        <v>10.780000000000001</v>
      </c>
      <c r="G82" s="1070"/>
      <c r="H82" s="1101">
        <f>SUM(H60:H80)-H81</f>
        <v>11.869999999999997</v>
      </c>
      <c r="I82" s="1070"/>
      <c r="J82" s="1101">
        <f>SUM(J60:J80)-J81</f>
        <v>372.00000000000006</v>
      </c>
      <c r="K82" s="1070"/>
      <c r="L82" s="1101">
        <f>SUM(L60:L80)-L81</f>
        <v>336.37</v>
      </c>
      <c r="M82" s="982"/>
      <c r="N82" s="1103"/>
    </row>
    <row r="83" spans="1:14">
      <c r="A83" s="898"/>
      <c r="B83" s="1108"/>
      <c r="C83" s="1076"/>
      <c r="D83" s="1076"/>
      <c r="E83" s="1109"/>
      <c r="F83" s="1109"/>
      <c r="G83" s="1110"/>
      <c r="H83" s="1110"/>
      <c r="I83" s="962"/>
      <c r="J83" s="962"/>
      <c r="K83" s="974"/>
      <c r="L83" s="974"/>
      <c r="M83" s="923"/>
      <c r="N83" s="965"/>
    </row>
    <row r="84" spans="1:14">
      <c r="A84" s="1054"/>
      <c r="B84" s="1484" t="s">
        <v>2848</v>
      </c>
      <c r="C84" s="1485"/>
      <c r="D84" s="1485"/>
      <c r="E84" s="1485"/>
      <c r="F84" s="1485"/>
      <c r="G84" s="1485"/>
      <c r="H84" s="1485"/>
      <c r="I84" s="1485"/>
      <c r="J84" s="1485"/>
      <c r="K84" s="1485"/>
      <c r="L84" s="1485"/>
      <c r="M84" s="1486"/>
      <c r="N84" s="928"/>
    </row>
    <row r="85" spans="1:14" s="998" customFormat="1" ht="38.25">
      <c r="A85" s="936"/>
      <c r="B85" s="939" t="s">
        <v>2831</v>
      </c>
      <c r="C85" s="937" t="s">
        <v>628</v>
      </c>
      <c r="D85" s="937">
        <v>0</v>
      </c>
      <c r="E85" s="933">
        <v>8.65</v>
      </c>
      <c r="F85" s="933">
        <f t="shared" ref="F85:F105" si="18">+ROUND((E85*D85),2)</f>
        <v>0</v>
      </c>
      <c r="G85" s="933">
        <f>SUM(E85*1.1)</f>
        <v>9.5150000000000006</v>
      </c>
      <c r="H85" s="933">
        <f t="shared" ref="H85:H105" si="19">+ROUND((G85*D85),2)</f>
        <v>0</v>
      </c>
      <c r="I85" s="933">
        <v>9.69</v>
      </c>
      <c r="J85" s="933">
        <f>+ROUND((I85*D85),2)</f>
        <v>0</v>
      </c>
      <c r="K85" s="933">
        <v>8.7200000000000006</v>
      </c>
      <c r="L85" s="933">
        <f>+ROUND((K85*D85),2)</f>
        <v>0</v>
      </c>
      <c r="M85" s="933"/>
      <c r="N85" s="924"/>
    </row>
    <row r="86" spans="1:14" s="998" customFormat="1" ht="25.5">
      <c r="A86" s="936"/>
      <c r="B86" s="939" t="s">
        <v>2832</v>
      </c>
      <c r="C86" s="937" t="s">
        <v>628</v>
      </c>
      <c r="D86" s="937">
        <v>1</v>
      </c>
      <c r="E86" s="933">
        <v>1.38</v>
      </c>
      <c r="F86" s="933">
        <f t="shared" si="18"/>
        <v>1.38</v>
      </c>
      <c r="G86" s="933">
        <f t="shared" ref="G86:G87" si="20">SUM(E86*1.1)</f>
        <v>1.518</v>
      </c>
      <c r="H86" s="933">
        <f t="shared" si="19"/>
        <v>1.52</v>
      </c>
      <c r="I86" s="933">
        <v>10.199999999999999</v>
      </c>
      <c r="J86" s="933">
        <v>0</v>
      </c>
      <c r="K86" s="933">
        <v>9.18</v>
      </c>
      <c r="L86" s="933">
        <v>0</v>
      </c>
      <c r="M86" s="933"/>
      <c r="N86" s="924"/>
    </row>
    <row r="87" spans="1:14" s="1092" customFormat="1" ht="25.5">
      <c r="A87" s="936"/>
      <c r="B87" s="939" t="s">
        <v>1245</v>
      </c>
      <c r="C87" s="1030" t="s">
        <v>628</v>
      </c>
      <c r="D87" s="1030">
        <v>0</v>
      </c>
      <c r="E87" s="933">
        <v>4.5</v>
      </c>
      <c r="F87" s="933">
        <f t="shared" si="18"/>
        <v>0</v>
      </c>
      <c r="G87" s="933">
        <f t="shared" si="20"/>
        <v>4.95</v>
      </c>
      <c r="H87" s="933">
        <f t="shared" si="19"/>
        <v>0</v>
      </c>
      <c r="I87" s="933">
        <v>0</v>
      </c>
      <c r="J87" s="933">
        <f t="shared" ref="J87:J105" si="21">+ROUND((I87*D87),2)</f>
        <v>0</v>
      </c>
      <c r="K87" s="933">
        <v>0</v>
      </c>
      <c r="L87" s="933">
        <f t="shared" ref="L87:L105" si="22">+ROUND((K87*D87),2)</f>
        <v>0</v>
      </c>
      <c r="M87" s="1057"/>
      <c r="N87" s="937"/>
    </row>
    <row r="88" spans="1:14" s="998" customFormat="1" ht="25.5">
      <c r="A88" s="936"/>
      <c r="B88" s="939" t="s">
        <v>613</v>
      </c>
      <c r="C88" s="937" t="s">
        <v>628</v>
      </c>
      <c r="D88" s="937">
        <v>1</v>
      </c>
      <c r="E88" s="933">
        <v>0</v>
      </c>
      <c r="F88" s="933">
        <f t="shared" si="18"/>
        <v>0</v>
      </c>
      <c r="G88" s="933">
        <v>0</v>
      </c>
      <c r="H88" s="933">
        <f t="shared" si="19"/>
        <v>0</v>
      </c>
      <c r="I88" s="933">
        <v>0</v>
      </c>
      <c r="J88" s="933">
        <f t="shared" si="21"/>
        <v>0</v>
      </c>
      <c r="K88" s="933">
        <v>0</v>
      </c>
      <c r="L88" s="933">
        <f t="shared" si="22"/>
        <v>0</v>
      </c>
      <c r="M88" s="1057" t="s">
        <v>285</v>
      </c>
      <c r="N88" s="939" t="s">
        <v>614</v>
      </c>
    </row>
    <row r="89" spans="1:14" s="998" customFormat="1" ht="25.5">
      <c r="A89" s="936"/>
      <c r="B89" s="939" t="s">
        <v>1327</v>
      </c>
      <c r="C89" s="937" t="s">
        <v>628</v>
      </c>
      <c r="D89" s="937">
        <v>1</v>
      </c>
      <c r="E89" s="933">
        <v>0</v>
      </c>
      <c r="F89" s="933">
        <f t="shared" si="18"/>
        <v>0</v>
      </c>
      <c r="G89" s="933">
        <v>0</v>
      </c>
      <c r="H89" s="933">
        <f t="shared" si="19"/>
        <v>0</v>
      </c>
      <c r="I89" s="933">
        <v>0</v>
      </c>
      <c r="J89" s="933">
        <f t="shared" si="21"/>
        <v>0</v>
      </c>
      <c r="K89" s="933">
        <v>0</v>
      </c>
      <c r="L89" s="933">
        <f t="shared" si="22"/>
        <v>0</v>
      </c>
      <c r="M89" s="937" t="s">
        <v>288</v>
      </c>
      <c r="N89" s="939" t="s">
        <v>385</v>
      </c>
    </row>
    <row r="90" spans="1:14" s="998" customFormat="1">
      <c r="A90" s="1013"/>
      <c r="B90" s="939" t="s">
        <v>615</v>
      </c>
      <c r="C90" s="937" t="s">
        <v>628</v>
      </c>
      <c r="D90" s="937">
        <v>1</v>
      </c>
      <c r="E90" s="933">
        <v>0</v>
      </c>
      <c r="F90" s="933">
        <f t="shared" si="18"/>
        <v>0</v>
      </c>
      <c r="G90" s="933">
        <v>0</v>
      </c>
      <c r="H90" s="933">
        <f t="shared" si="19"/>
        <v>0</v>
      </c>
      <c r="I90" s="933">
        <v>0</v>
      </c>
      <c r="J90" s="933">
        <f t="shared" si="21"/>
        <v>0</v>
      </c>
      <c r="K90" s="933">
        <v>0</v>
      </c>
      <c r="L90" s="933">
        <f t="shared" si="22"/>
        <v>0</v>
      </c>
      <c r="M90" s="937" t="s">
        <v>365</v>
      </c>
      <c r="N90" s="939"/>
    </row>
    <row r="91" spans="1:14" s="998" customFormat="1" ht="25.5">
      <c r="A91" s="1013"/>
      <c r="B91" s="939" t="s">
        <v>792</v>
      </c>
      <c r="C91" s="937" t="s">
        <v>628</v>
      </c>
      <c r="D91" s="937">
        <v>1</v>
      </c>
      <c r="E91" s="933">
        <v>0</v>
      </c>
      <c r="F91" s="933">
        <f t="shared" si="18"/>
        <v>0</v>
      </c>
      <c r="G91" s="933">
        <v>0</v>
      </c>
      <c r="H91" s="933">
        <f t="shared" si="19"/>
        <v>0</v>
      </c>
      <c r="I91" s="933">
        <v>0</v>
      </c>
      <c r="J91" s="933">
        <f t="shared" si="21"/>
        <v>0</v>
      </c>
      <c r="K91" s="933">
        <v>0</v>
      </c>
      <c r="L91" s="933">
        <f t="shared" si="22"/>
        <v>0</v>
      </c>
      <c r="M91" s="937" t="s">
        <v>289</v>
      </c>
      <c r="N91" s="939" t="s">
        <v>385</v>
      </c>
    </row>
    <row r="92" spans="1:14" s="998" customFormat="1" ht="25.5">
      <c r="A92" s="1016"/>
      <c r="B92" s="939" t="s">
        <v>296</v>
      </c>
      <c r="C92" s="937" t="s">
        <v>628</v>
      </c>
      <c r="D92" s="937">
        <v>1</v>
      </c>
      <c r="E92" s="933">
        <v>0</v>
      </c>
      <c r="F92" s="933">
        <f t="shared" si="18"/>
        <v>0</v>
      </c>
      <c r="G92" s="933">
        <v>0</v>
      </c>
      <c r="H92" s="933">
        <f t="shared" si="19"/>
        <v>0</v>
      </c>
      <c r="I92" s="933">
        <v>0</v>
      </c>
      <c r="J92" s="933">
        <f t="shared" si="21"/>
        <v>0</v>
      </c>
      <c r="K92" s="933">
        <v>0</v>
      </c>
      <c r="L92" s="933">
        <f t="shared" si="22"/>
        <v>0</v>
      </c>
      <c r="M92" s="937" t="s">
        <v>288</v>
      </c>
      <c r="N92" s="939" t="s">
        <v>387</v>
      </c>
    </row>
    <row r="93" spans="1:14" s="998" customFormat="1" ht="25.5">
      <c r="A93" s="898"/>
      <c r="B93" s="938" t="s">
        <v>287</v>
      </c>
      <c r="C93" s="931" t="s">
        <v>628</v>
      </c>
      <c r="D93" s="937">
        <v>1</v>
      </c>
      <c r="E93" s="933">
        <v>0</v>
      </c>
      <c r="F93" s="933">
        <f t="shared" si="18"/>
        <v>0</v>
      </c>
      <c r="G93" s="933">
        <v>0</v>
      </c>
      <c r="H93" s="933">
        <f t="shared" si="19"/>
        <v>0</v>
      </c>
      <c r="I93" s="933">
        <v>0</v>
      </c>
      <c r="J93" s="933">
        <f t="shared" si="21"/>
        <v>0</v>
      </c>
      <c r="K93" s="933">
        <v>0</v>
      </c>
      <c r="L93" s="933">
        <f t="shared" si="22"/>
        <v>0</v>
      </c>
      <c r="M93" s="1057" t="s">
        <v>288</v>
      </c>
      <c r="N93" s="939" t="s">
        <v>378</v>
      </c>
    </row>
    <row r="94" spans="1:14" s="1093" customFormat="1">
      <c r="A94" s="898"/>
      <c r="B94" s="943" t="s">
        <v>617</v>
      </c>
      <c r="C94" s="1030" t="s">
        <v>628</v>
      </c>
      <c r="D94" s="937">
        <v>1</v>
      </c>
      <c r="E94" s="933">
        <v>0</v>
      </c>
      <c r="F94" s="933">
        <f t="shared" si="18"/>
        <v>0</v>
      </c>
      <c r="G94" s="933">
        <v>0</v>
      </c>
      <c r="H94" s="933">
        <f t="shared" si="19"/>
        <v>0</v>
      </c>
      <c r="I94" s="933">
        <v>0</v>
      </c>
      <c r="J94" s="933">
        <f t="shared" si="21"/>
        <v>0</v>
      </c>
      <c r="K94" s="933">
        <v>0</v>
      </c>
      <c r="L94" s="933">
        <f t="shared" si="22"/>
        <v>0</v>
      </c>
      <c r="M94" s="1059" t="s">
        <v>288</v>
      </c>
      <c r="N94" s="943" t="s">
        <v>426</v>
      </c>
    </row>
    <row r="95" spans="1:14" s="998" customFormat="1" ht="38.25">
      <c r="A95" s="898"/>
      <c r="B95" s="938" t="s">
        <v>795</v>
      </c>
      <c r="C95" s="937" t="s">
        <v>628</v>
      </c>
      <c r="D95" s="937">
        <v>1</v>
      </c>
      <c r="E95" s="933">
        <v>0</v>
      </c>
      <c r="F95" s="933">
        <f t="shared" si="18"/>
        <v>0</v>
      </c>
      <c r="G95" s="933">
        <v>0</v>
      </c>
      <c r="H95" s="933">
        <f t="shared" si="19"/>
        <v>0</v>
      </c>
      <c r="I95" s="933">
        <v>0</v>
      </c>
      <c r="J95" s="933">
        <f t="shared" si="21"/>
        <v>0</v>
      </c>
      <c r="K95" s="933">
        <v>0</v>
      </c>
      <c r="L95" s="933">
        <f t="shared" si="22"/>
        <v>0</v>
      </c>
      <c r="M95" s="1057" t="s">
        <v>288</v>
      </c>
      <c r="N95" s="939" t="s">
        <v>422</v>
      </c>
    </row>
    <row r="96" spans="1:14" s="998" customFormat="1">
      <c r="A96" s="898"/>
      <c r="B96" s="938" t="s">
        <v>367</v>
      </c>
      <c r="C96" s="937" t="s">
        <v>628</v>
      </c>
      <c r="D96" s="937">
        <v>1</v>
      </c>
      <c r="E96" s="933">
        <v>0</v>
      </c>
      <c r="F96" s="933">
        <f t="shared" si="18"/>
        <v>0</v>
      </c>
      <c r="G96" s="933">
        <v>0</v>
      </c>
      <c r="H96" s="933">
        <f t="shared" si="19"/>
        <v>0</v>
      </c>
      <c r="I96" s="933">
        <v>0</v>
      </c>
      <c r="J96" s="933">
        <f t="shared" si="21"/>
        <v>0</v>
      </c>
      <c r="K96" s="933">
        <v>0</v>
      </c>
      <c r="L96" s="933">
        <f t="shared" si="22"/>
        <v>0</v>
      </c>
      <c r="M96" s="1057" t="s">
        <v>288</v>
      </c>
      <c r="N96" s="939" t="s">
        <v>423</v>
      </c>
    </row>
    <row r="97" spans="1:14" s="998" customFormat="1">
      <c r="A97" s="898"/>
      <c r="B97" s="938" t="s">
        <v>304</v>
      </c>
      <c r="C97" s="937" t="s">
        <v>628</v>
      </c>
      <c r="D97" s="937">
        <v>1</v>
      </c>
      <c r="E97" s="933">
        <v>0</v>
      </c>
      <c r="F97" s="933">
        <f t="shared" si="18"/>
        <v>0</v>
      </c>
      <c r="G97" s="933">
        <v>0</v>
      </c>
      <c r="H97" s="933">
        <f t="shared" si="19"/>
        <v>0</v>
      </c>
      <c r="I97" s="933">
        <v>0</v>
      </c>
      <c r="J97" s="933">
        <f t="shared" si="21"/>
        <v>0</v>
      </c>
      <c r="K97" s="933">
        <v>0</v>
      </c>
      <c r="L97" s="933">
        <f t="shared" si="22"/>
        <v>0</v>
      </c>
      <c r="M97" s="1057" t="s">
        <v>288</v>
      </c>
      <c r="N97" s="939" t="s">
        <v>391</v>
      </c>
    </row>
    <row r="98" spans="1:14" s="998" customFormat="1" ht="38.25">
      <c r="A98" s="898"/>
      <c r="B98" s="939" t="s">
        <v>708</v>
      </c>
      <c r="C98" s="937" t="s">
        <v>628</v>
      </c>
      <c r="D98" s="937">
        <v>1</v>
      </c>
      <c r="E98" s="933">
        <v>0</v>
      </c>
      <c r="F98" s="933">
        <f t="shared" si="18"/>
        <v>0</v>
      </c>
      <c r="G98" s="933">
        <v>0</v>
      </c>
      <c r="H98" s="933">
        <f t="shared" si="19"/>
        <v>0</v>
      </c>
      <c r="I98" s="933">
        <v>0</v>
      </c>
      <c r="J98" s="933">
        <f t="shared" si="21"/>
        <v>0</v>
      </c>
      <c r="K98" s="933">
        <v>0</v>
      </c>
      <c r="L98" s="933">
        <f t="shared" si="22"/>
        <v>0</v>
      </c>
      <c r="M98" s="937" t="s">
        <v>374</v>
      </c>
      <c r="N98" s="939" t="s">
        <v>389</v>
      </c>
    </row>
    <row r="99" spans="1:14" s="998" customFormat="1">
      <c r="A99" s="898"/>
      <c r="B99" s="939" t="s">
        <v>299</v>
      </c>
      <c r="C99" s="937" t="s">
        <v>628</v>
      </c>
      <c r="D99" s="937">
        <v>1</v>
      </c>
      <c r="E99" s="933">
        <v>0</v>
      </c>
      <c r="F99" s="933">
        <f t="shared" si="18"/>
        <v>0</v>
      </c>
      <c r="G99" s="933">
        <v>0</v>
      </c>
      <c r="H99" s="933">
        <f t="shared" si="19"/>
        <v>0</v>
      </c>
      <c r="I99" s="933">
        <v>0</v>
      </c>
      <c r="J99" s="933">
        <f t="shared" si="21"/>
        <v>0</v>
      </c>
      <c r="K99" s="933">
        <v>0</v>
      </c>
      <c r="L99" s="933">
        <f t="shared" si="22"/>
        <v>0</v>
      </c>
      <c r="M99" s="937"/>
      <c r="N99" s="939" t="s">
        <v>426</v>
      </c>
    </row>
    <row r="100" spans="1:14" s="998" customFormat="1" ht="25.5">
      <c r="A100" s="898"/>
      <c r="B100" s="938" t="s">
        <v>300</v>
      </c>
      <c r="C100" s="937" t="s">
        <v>628</v>
      </c>
      <c r="D100" s="937">
        <v>1</v>
      </c>
      <c r="E100" s="933">
        <v>0</v>
      </c>
      <c r="F100" s="933">
        <f t="shared" si="18"/>
        <v>0</v>
      </c>
      <c r="G100" s="933">
        <v>0</v>
      </c>
      <c r="H100" s="933">
        <f t="shared" si="19"/>
        <v>0</v>
      </c>
      <c r="I100" s="933">
        <v>0</v>
      </c>
      <c r="J100" s="933">
        <f t="shared" si="21"/>
        <v>0</v>
      </c>
      <c r="K100" s="933">
        <v>0</v>
      </c>
      <c r="L100" s="933">
        <f t="shared" si="22"/>
        <v>0</v>
      </c>
      <c r="M100" s="1057" t="s">
        <v>288</v>
      </c>
      <c r="N100" s="939" t="s">
        <v>1253</v>
      </c>
    </row>
    <row r="101" spans="1:14" s="998" customFormat="1">
      <c r="A101" s="898"/>
      <c r="B101" s="938" t="s">
        <v>301</v>
      </c>
      <c r="C101" s="937" t="s">
        <v>628</v>
      </c>
      <c r="D101" s="937">
        <v>1</v>
      </c>
      <c r="E101" s="933">
        <v>0</v>
      </c>
      <c r="F101" s="933">
        <f t="shared" si="18"/>
        <v>0</v>
      </c>
      <c r="G101" s="933">
        <v>0</v>
      </c>
      <c r="H101" s="933">
        <f t="shared" si="19"/>
        <v>0</v>
      </c>
      <c r="I101" s="933">
        <v>0</v>
      </c>
      <c r="J101" s="933">
        <f t="shared" si="21"/>
        <v>0</v>
      </c>
      <c r="K101" s="933">
        <v>0</v>
      </c>
      <c r="L101" s="933">
        <f t="shared" si="22"/>
        <v>0</v>
      </c>
      <c r="M101" s="1057" t="s">
        <v>288</v>
      </c>
      <c r="N101" s="939" t="s">
        <v>297</v>
      </c>
    </row>
    <row r="102" spans="1:14" s="998" customFormat="1" ht="25.5">
      <c r="A102" s="898"/>
      <c r="B102" s="939" t="s">
        <v>2833</v>
      </c>
      <c r="C102" s="937" t="s">
        <v>628</v>
      </c>
      <c r="D102" s="937">
        <v>0</v>
      </c>
      <c r="E102" s="933">
        <v>0.75</v>
      </c>
      <c r="F102" s="933">
        <f t="shared" si="18"/>
        <v>0</v>
      </c>
      <c r="G102" s="933">
        <f>SUM(E102*1.1)</f>
        <v>0.82500000000000007</v>
      </c>
      <c r="H102" s="933">
        <f t="shared" si="19"/>
        <v>0</v>
      </c>
      <c r="I102" s="933">
        <v>10.45</v>
      </c>
      <c r="J102" s="933">
        <f t="shared" si="21"/>
        <v>0</v>
      </c>
      <c r="K102" s="933">
        <v>9.5</v>
      </c>
      <c r="L102" s="933">
        <f t="shared" si="22"/>
        <v>0</v>
      </c>
      <c r="M102" s="937" t="s">
        <v>365</v>
      </c>
      <c r="N102" s="939" t="s">
        <v>383</v>
      </c>
    </row>
    <row r="103" spans="1:14" ht="76.5">
      <c r="A103" s="898"/>
      <c r="B103" s="941" t="s">
        <v>880</v>
      </c>
      <c r="C103" s="1014" t="s">
        <v>1483</v>
      </c>
      <c r="D103" s="1014">
        <v>1</v>
      </c>
      <c r="E103" s="1017">
        <v>0</v>
      </c>
      <c r="F103" s="933">
        <f t="shared" si="18"/>
        <v>0</v>
      </c>
      <c r="G103" s="962">
        <v>0</v>
      </c>
      <c r="H103" s="933">
        <f t="shared" si="19"/>
        <v>0</v>
      </c>
      <c r="I103" s="962">
        <f t="shared" ref="I103:I104" si="23">SUM(K103*1.1)</f>
        <v>375.82600000000008</v>
      </c>
      <c r="J103" s="933">
        <f t="shared" si="21"/>
        <v>375.83</v>
      </c>
      <c r="K103" s="962">
        <v>341.66</v>
      </c>
      <c r="L103" s="933">
        <f t="shared" si="22"/>
        <v>341.66</v>
      </c>
      <c r="M103" s="1061">
        <v>615.6</v>
      </c>
      <c r="N103" s="1082" t="s">
        <v>877</v>
      </c>
    </row>
    <row r="104" spans="1:14" ht="76.5">
      <c r="A104" s="898"/>
      <c r="B104" s="941" t="s">
        <v>882</v>
      </c>
      <c r="C104" s="1014" t="s">
        <v>1483</v>
      </c>
      <c r="D104" s="1014">
        <v>1</v>
      </c>
      <c r="E104" s="1017">
        <v>0</v>
      </c>
      <c r="F104" s="933">
        <f t="shared" si="18"/>
        <v>0</v>
      </c>
      <c r="G104" s="962">
        <v>0</v>
      </c>
      <c r="H104" s="933">
        <f t="shared" si="19"/>
        <v>0</v>
      </c>
      <c r="I104" s="962">
        <f t="shared" si="23"/>
        <v>26.664000000000001</v>
      </c>
      <c r="J104" s="933">
        <f t="shared" si="21"/>
        <v>26.66</v>
      </c>
      <c r="K104" s="962">
        <v>24.24</v>
      </c>
      <c r="L104" s="933">
        <f t="shared" si="22"/>
        <v>24.24</v>
      </c>
      <c r="M104" s="1061">
        <v>43.68</v>
      </c>
      <c r="N104" s="1079" t="s">
        <v>877</v>
      </c>
    </row>
    <row r="105" spans="1:14" s="998" customFormat="1">
      <c r="A105" s="898"/>
      <c r="B105" s="1111" t="s">
        <v>1544</v>
      </c>
      <c r="C105" s="1112" t="s">
        <v>1483</v>
      </c>
      <c r="D105" s="1113">
        <v>0.25</v>
      </c>
      <c r="E105" s="1114">
        <v>0</v>
      </c>
      <c r="F105" s="1114">
        <f t="shared" si="18"/>
        <v>0</v>
      </c>
      <c r="G105" s="1114">
        <v>0</v>
      </c>
      <c r="H105" s="1114">
        <f t="shared" si="19"/>
        <v>0</v>
      </c>
      <c r="I105" s="1114">
        <f t="shared" ref="I105" si="24">SUM(1.1*K105)</f>
        <v>100.62800000000001</v>
      </c>
      <c r="J105" s="1114">
        <f t="shared" si="21"/>
        <v>25.16</v>
      </c>
      <c r="K105" s="1114">
        <v>91.48</v>
      </c>
      <c r="L105" s="1114">
        <f t="shared" si="22"/>
        <v>22.87</v>
      </c>
      <c r="M105" s="1113" t="s">
        <v>2818</v>
      </c>
      <c r="N105" s="1115"/>
    </row>
    <row r="106" spans="1:14" s="1099" customFormat="1">
      <c r="A106" s="984"/>
      <c r="B106" s="1094" t="s">
        <v>2815</v>
      </c>
      <c r="C106" s="1095"/>
      <c r="D106" s="1096"/>
      <c r="E106" s="967"/>
      <c r="F106" s="1008">
        <f>SUM(F87)</f>
        <v>0</v>
      </c>
      <c r="G106" s="1008"/>
      <c r="H106" s="1008">
        <f>SUM(H87)</f>
        <v>0</v>
      </c>
      <c r="I106" s="1008"/>
      <c r="J106" s="1008">
        <v>20</v>
      </c>
      <c r="K106" s="1008"/>
      <c r="L106" s="1008">
        <v>20</v>
      </c>
      <c r="M106" s="1097"/>
      <c r="N106" s="1098"/>
    </row>
    <row r="107" spans="1:14" s="998" customFormat="1" ht="39" customHeight="1">
      <c r="A107" s="957" t="s">
        <v>2863</v>
      </c>
      <c r="B107" s="1069" t="s">
        <v>2848</v>
      </c>
      <c r="C107" s="1069"/>
      <c r="D107" s="1069"/>
      <c r="E107" s="1069"/>
      <c r="F107" s="1101">
        <f>SUM(F85:F105)-F106</f>
        <v>1.38</v>
      </c>
      <c r="G107" s="1070"/>
      <c r="H107" s="1101">
        <f>SUM(H85:H105)-H106</f>
        <v>1.52</v>
      </c>
      <c r="I107" s="1070"/>
      <c r="J107" s="1101">
        <f>SUM(J85:J105)-J106</f>
        <v>407.65000000000003</v>
      </c>
      <c r="K107" s="1070"/>
      <c r="L107" s="1101">
        <f>SUM(L85:L105)-L106</f>
        <v>368.77000000000004</v>
      </c>
      <c r="M107" s="1102"/>
      <c r="N107" s="1103"/>
    </row>
    <row r="108" spans="1:14">
      <c r="A108" s="898"/>
      <c r="B108" s="898"/>
      <c r="C108" s="898"/>
      <c r="D108" s="898"/>
      <c r="E108" s="1019"/>
      <c r="F108" s="1019"/>
      <c r="G108" s="1019"/>
      <c r="H108" s="1019"/>
      <c r="I108" s="1020"/>
      <c r="J108" s="1020"/>
      <c r="K108" s="1020"/>
      <c r="L108" s="1020"/>
      <c r="M108" s="898"/>
      <c r="N108" s="898"/>
    </row>
    <row r="109" spans="1:14">
      <c r="A109" s="898"/>
      <c r="B109" s="898"/>
      <c r="C109" s="898"/>
      <c r="D109" s="898"/>
      <c r="E109" s="1019"/>
      <c r="F109" s="1019"/>
      <c r="G109" s="1019"/>
      <c r="H109" s="1019"/>
      <c r="I109" s="1020"/>
      <c r="J109" s="1020"/>
      <c r="K109" s="1020"/>
      <c r="L109" s="1020"/>
      <c r="M109" s="898"/>
      <c r="N109" s="898"/>
    </row>
    <row r="110" spans="1:14">
      <c r="A110" s="898"/>
      <c r="B110" s="898"/>
      <c r="C110" s="898"/>
      <c r="D110" s="898"/>
      <c r="E110" s="1019"/>
      <c r="F110" s="1019"/>
      <c r="G110" s="1019"/>
      <c r="H110" s="1019"/>
      <c r="I110" s="1020"/>
      <c r="J110" s="1020"/>
      <c r="K110" s="1020"/>
      <c r="L110" s="1020"/>
      <c r="M110" s="898"/>
      <c r="N110" s="898"/>
    </row>
    <row r="111" spans="1:14">
      <c r="A111" s="898"/>
      <c r="B111" s="898"/>
      <c r="C111" s="898"/>
      <c r="D111" s="898"/>
      <c r="E111" s="1019"/>
      <c r="F111" s="1019"/>
      <c r="G111" s="1019"/>
      <c r="H111" s="1019"/>
      <c r="I111" s="1020"/>
      <c r="J111" s="1020"/>
      <c r="K111" s="1020"/>
      <c r="L111" s="1020"/>
      <c r="M111" s="898"/>
      <c r="N111" s="898"/>
    </row>
    <row r="112" spans="1:14">
      <c r="A112" s="898"/>
      <c r="B112" s="898"/>
      <c r="C112" s="898"/>
      <c r="D112" s="898"/>
      <c r="E112" s="1019"/>
      <c r="F112" s="1019"/>
      <c r="G112" s="1019"/>
      <c r="H112" s="1019"/>
      <c r="I112" s="1020"/>
      <c r="J112" s="1020"/>
      <c r="K112" s="1020"/>
      <c r="L112" s="1020"/>
      <c r="M112" s="898"/>
      <c r="N112" s="898"/>
    </row>
    <row r="113" spans="1:14">
      <c r="A113" s="898"/>
      <c r="B113" s="898"/>
      <c r="C113" s="898"/>
      <c r="D113" s="898"/>
      <c r="E113" s="1019"/>
      <c r="F113" s="1019"/>
      <c r="G113" s="1019"/>
      <c r="H113" s="1019"/>
      <c r="I113" s="1020"/>
      <c r="J113" s="1020"/>
      <c r="K113" s="1020"/>
      <c r="L113" s="1020"/>
      <c r="M113" s="898"/>
      <c r="N113" s="898"/>
    </row>
    <row r="114" spans="1:14">
      <c r="A114" s="898"/>
      <c r="B114" s="898"/>
      <c r="C114" s="898"/>
      <c r="D114" s="898"/>
      <c r="E114" s="1019"/>
      <c r="F114" s="1019"/>
      <c r="G114" s="1019"/>
      <c r="H114" s="1019"/>
      <c r="I114" s="1020"/>
      <c r="J114" s="1020"/>
      <c r="K114" s="1020"/>
      <c r="L114" s="1020"/>
      <c r="M114" s="898"/>
      <c r="N114" s="898"/>
    </row>
    <row r="115" spans="1:14">
      <c r="A115" s="898"/>
      <c r="B115" s="898"/>
      <c r="C115" s="898"/>
      <c r="D115" s="898"/>
      <c r="E115" s="1019"/>
      <c r="F115" s="1019"/>
      <c r="G115" s="1019"/>
      <c r="H115" s="1019"/>
      <c r="I115" s="1020"/>
      <c r="J115" s="1020"/>
      <c r="K115" s="1020"/>
      <c r="L115" s="1020"/>
      <c r="M115" s="898"/>
      <c r="N115" s="898"/>
    </row>
    <row r="116" spans="1:14">
      <c r="A116" s="898"/>
      <c r="B116" s="898"/>
      <c r="C116" s="898"/>
      <c r="D116" s="898"/>
      <c r="E116" s="1019"/>
      <c r="F116" s="1019"/>
      <c r="G116" s="1019"/>
      <c r="H116" s="1019"/>
      <c r="I116" s="1020"/>
      <c r="J116" s="1020"/>
      <c r="K116" s="1020"/>
      <c r="L116" s="1020"/>
      <c r="M116" s="898"/>
      <c r="N116" s="898"/>
    </row>
    <row r="117" spans="1:14">
      <c r="A117" s="898"/>
      <c r="B117" s="898"/>
      <c r="C117" s="898"/>
      <c r="D117" s="898"/>
      <c r="E117" s="1019"/>
      <c r="F117" s="1019"/>
      <c r="G117" s="1019"/>
      <c r="H117" s="1019"/>
      <c r="I117" s="1020"/>
      <c r="J117" s="1020"/>
      <c r="K117" s="1020"/>
      <c r="L117" s="1020"/>
      <c r="M117" s="898"/>
      <c r="N117" s="898"/>
    </row>
    <row r="118" spans="1:14">
      <c r="A118" s="898"/>
      <c r="B118" s="898"/>
      <c r="C118" s="898"/>
      <c r="D118" s="898"/>
      <c r="E118" s="1019"/>
      <c r="F118" s="1019"/>
      <c r="G118" s="1019"/>
      <c r="H118" s="1019"/>
      <c r="I118" s="1020"/>
      <c r="J118" s="1020"/>
      <c r="K118" s="1020"/>
      <c r="L118" s="1020"/>
      <c r="M118" s="898"/>
      <c r="N118" s="898"/>
    </row>
    <row r="119" spans="1:14">
      <c r="A119" s="898"/>
      <c r="B119" s="898"/>
      <c r="C119" s="898"/>
      <c r="D119" s="898"/>
      <c r="E119" s="1019"/>
      <c r="F119" s="1019"/>
      <c r="G119" s="1019"/>
      <c r="H119" s="1019"/>
      <c r="I119" s="1020"/>
      <c r="J119" s="1020"/>
      <c r="K119" s="1020"/>
      <c r="L119" s="1020"/>
      <c r="M119" s="898"/>
      <c r="N119" s="898"/>
    </row>
    <row r="120" spans="1:14">
      <c r="A120" s="898"/>
      <c r="B120" s="898"/>
      <c r="C120" s="898"/>
      <c r="D120" s="898"/>
      <c r="E120" s="1019"/>
      <c r="F120" s="1019"/>
      <c r="G120" s="1019"/>
      <c r="H120" s="1019"/>
      <c r="I120" s="1020"/>
      <c r="J120" s="1020"/>
      <c r="K120" s="1020"/>
      <c r="L120" s="1020"/>
      <c r="M120" s="898"/>
      <c r="N120" s="898"/>
    </row>
    <row r="121" spans="1:14">
      <c r="A121" s="898"/>
      <c r="B121" s="898"/>
      <c r="C121" s="898"/>
      <c r="D121" s="898"/>
      <c r="E121" s="1019"/>
      <c r="F121" s="1019"/>
      <c r="G121" s="1019"/>
      <c r="H121" s="1019"/>
      <c r="I121" s="1020"/>
      <c r="J121" s="1020"/>
      <c r="K121" s="1020"/>
      <c r="L121" s="1020"/>
      <c r="M121" s="898"/>
      <c r="N121" s="898"/>
    </row>
    <row r="122" spans="1:14">
      <c r="A122" s="898"/>
      <c r="B122" s="898"/>
      <c r="C122" s="898"/>
      <c r="D122" s="898"/>
      <c r="E122" s="1019"/>
      <c r="F122" s="1019"/>
      <c r="G122" s="1019"/>
      <c r="H122" s="1019"/>
      <c r="I122" s="1020"/>
      <c r="J122" s="1020"/>
      <c r="K122" s="1020"/>
      <c r="L122" s="1020"/>
      <c r="M122" s="898"/>
      <c r="N122" s="898"/>
    </row>
    <row r="123" spans="1:14">
      <c r="A123" s="898"/>
      <c r="B123" s="898"/>
      <c r="C123" s="898"/>
      <c r="D123" s="898"/>
      <c r="E123" s="1019"/>
      <c r="F123" s="1019"/>
      <c r="G123" s="1019"/>
      <c r="H123" s="1019"/>
      <c r="I123" s="1020"/>
      <c r="J123" s="1020"/>
      <c r="K123" s="1020"/>
      <c r="L123" s="1020"/>
      <c r="M123" s="898"/>
      <c r="N123" s="898"/>
    </row>
    <row r="124" spans="1:14">
      <c r="A124" s="898"/>
      <c r="B124" s="898"/>
      <c r="C124" s="898"/>
      <c r="D124" s="898"/>
      <c r="E124" s="1019"/>
      <c r="F124" s="1019"/>
      <c r="G124" s="1019"/>
      <c r="H124" s="1019"/>
      <c r="I124" s="1020"/>
      <c r="J124" s="1020"/>
      <c r="K124" s="1020"/>
      <c r="L124" s="1020"/>
      <c r="M124" s="898"/>
      <c r="N124" s="898"/>
    </row>
    <row r="125" spans="1:14">
      <c r="A125" s="898"/>
      <c r="B125" s="898"/>
      <c r="C125" s="898"/>
      <c r="D125" s="898"/>
      <c r="E125" s="1019"/>
      <c r="F125" s="1019"/>
      <c r="G125" s="1019"/>
      <c r="H125" s="1019"/>
      <c r="I125" s="1020"/>
      <c r="J125" s="1020"/>
      <c r="K125" s="1020"/>
      <c r="L125" s="1020"/>
      <c r="M125" s="898"/>
      <c r="N125" s="898"/>
    </row>
    <row r="126" spans="1:14">
      <c r="A126" s="898"/>
      <c r="B126" s="898"/>
      <c r="C126" s="898"/>
      <c r="D126" s="898"/>
      <c r="E126" s="1019"/>
      <c r="F126" s="1019"/>
      <c r="G126" s="1019"/>
      <c r="H126" s="1019"/>
      <c r="I126" s="1020"/>
      <c r="J126" s="1020"/>
      <c r="K126" s="1020"/>
      <c r="L126" s="1020"/>
      <c r="M126" s="898"/>
      <c r="N126" s="898"/>
    </row>
    <row r="127" spans="1:14">
      <c r="A127" s="898"/>
      <c r="B127" s="898"/>
      <c r="C127" s="898"/>
      <c r="D127" s="898"/>
      <c r="E127" s="1019"/>
      <c r="F127" s="1019"/>
      <c r="G127" s="1019"/>
      <c r="H127" s="1019"/>
      <c r="I127" s="1020"/>
      <c r="J127" s="1020"/>
      <c r="K127" s="1020"/>
      <c r="L127" s="1020"/>
      <c r="M127" s="898"/>
      <c r="N127" s="898"/>
    </row>
    <row r="128" spans="1:14">
      <c r="A128" s="898"/>
      <c r="B128" s="898"/>
      <c r="C128" s="898"/>
      <c r="D128" s="898"/>
      <c r="E128" s="1019"/>
      <c r="F128" s="1019"/>
      <c r="G128" s="1019"/>
      <c r="H128" s="1019"/>
      <c r="I128" s="1020"/>
      <c r="J128" s="1020"/>
      <c r="K128" s="1020"/>
      <c r="L128" s="1020"/>
      <c r="M128" s="898"/>
      <c r="N128" s="898"/>
    </row>
    <row r="129" spans="1:14">
      <c r="A129" s="898"/>
      <c r="B129" s="898"/>
      <c r="C129" s="898"/>
      <c r="D129" s="898"/>
      <c r="E129" s="1019"/>
      <c r="F129" s="1019"/>
      <c r="G129" s="1019"/>
      <c r="H129" s="1019"/>
      <c r="I129" s="1020"/>
      <c r="J129" s="1020"/>
      <c r="K129" s="1020"/>
      <c r="L129" s="1020"/>
      <c r="M129" s="898"/>
      <c r="N129" s="898"/>
    </row>
    <row r="130" spans="1:14">
      <c r="A130" s="898"/>
      <c r="B130" s="898"/>
      <c r="C130" s="898"/>
      <c r="D130" s="898"/>
      <c r="E130" s="1019"/>
      <c r="F130" s="1019"/>
      <c r="G130" s="1019"/>
      <c r="H130" s="1019"/>
      <c r="I130" s="1020"/>
      <c r="J130" s="1020"/>
      <c r="K130" s="1020"/>
      <c r="L130" s="1020"/>
      <c r="M130" s="898"/>
      <c r="N130" s="898"/>
    </row>
    <row r="131" spans="1:14">
      <c r="A131" s="898"/>
      <c r="B131" s="898"/>
      <c r="C131" s="898"/>
      <c r="D131" s="898"/>
      <c r="E131" s="1019"/>
      <c r="F131" s="1019"/>
      <c r="G131" s="1019"/>
      <c r="H131" s="1019"/>
      <c r="I131" s="1020"/>
      <c r="J131" s="1020"/>
      <c r="K131" s="1020"/>
      <c r="L131" s="1020"/>
      <c r="M131" s="898"/>
      <c r="N131" s="898"/>
    </row>
    <row r="132" spans="1:14">
      <c r="A132" s="898"/>
      <c r="B132" s="898"/>
      <c r="C132" s="898"/>
      <c r="D132" s="898"/>
      <c r="E132" s="1019"/>
      <c r="F132" s="1019"/>
      <c r="G132" s="1019"/>
      <c r="H132" s="1019"/>
      <c r="I132" s="1020"/>
      <c r="J132" s="1020"/>
      <c r="K132" s="1020"/>
      <c r="L132" s="1020"/>
      <c r="M132" s="898"/>
      <c r="N132" s="898"/>
    </row>
    <row r="133" spans="1:14">
      <c r="A133" s="898"/>
      <c r="B133" s="898"/>
      <c r="C133" s="898"/>
      <c r="D133" s="898"/>
      <c r="E133" s="1019"/>
      <c r="F133" s="1019"/>
      <c r="G133" s="1019"/>
      <c r="H133" s="1019"/>
      <c r="I133" s="1020"/>
      <c r="J133" s="1020"/>
      <c r="K133" s="1020"/>
      <c r="L133" s="1020"/>
      <c r="M133" s="898"/>
      <c r="N133" s="898"/>
    </row>
    <row r="134" spans="1:14">
      <c r="A134" s="898"/>
      <c r="B134" s="898"/>
      <c r="C134" s="898"/>
      <c r="D134" s="898"/>
      <c r="E134" s="1019"/>
      <c r="F134" s="1019"/>
      <c r="G134" s="1019"/>
      <c r="H134" s="1019"/>
      <c r="I134" s="1020"/>
      <c r="J134" s="1020"/>
      <c r="K134" s="1020"/>
      <c r="L134" s="1020"/>
      <c r="M134" s="898"/>
      <c r="N134" s="898"/>
    </row>
    <row r="135" spans="1:14">
      <c r="A135" s="898"/>
      <c r="B135" s="898"/>
      <c r="C135" s="898"/>
      <c r="D135" s="898"/>
      <c r="E135" s="1019"/>
      <c r="F135" s="1019"/>
      <c r="G135" s="1019"/>
      <c r="H135" s="1019"/>
      <c r="I135" s="1020"/>
      <c r="J135" s="1020"/>
      <c r="K135" s="1020"/>
      <c r="L135" s="1020"/>
      <c r="M135" s="898"/>
      <c r="N135" s="898"/>
    </row>
    <row r="136" spans="1:14">
      <c r="A136" s="898"/>
      <c r="B136" s="898"/>
      <c r="C136" s="898"/>
      <c r="D136" s="898"/>
      <c r="E136" s="1019"/>
      <c r="F136" s="1019"/>
      <c r="G136" s="1019"/>
      <c r="H136" s="1019"/>
      <c r="I136" s="1020"/>
      <c r="J136" s="1020"/>
      <c r="K136" s="1020"/>
      <c r="L136" s="1020"/>
      <c r="M136" s="898"/>
      <c r="N136" s="898"/>
    </row>
    <row r="137" spans="1:14">
      <c r="A137" s="898"/>
      <c r="B137" s="898"/>
      <c r="C137" s="898"/>
      <c r="D137" s="898"/>
      <c r="E137" s="1019"/>
      <c r="F137" s="1019"/>
      <c r="G137" s="1019"/>
      <c r="H137" s="1019"/>
      <c r="I137" s="1020"/>
      <c r="J137" s="1020"/>
      <c r="K137" s="1020"/>
      <c r="L137" s="1020"/>
      <c r="M137" s="898"/>
      <c r="N137" s="898"/>
    </row>
    <row r="138" spans="1:14">
      <c r="A138" s="898"/>
      <c r="B138" s="898"/>
      <c r="C138" s="898"/>
      <c r="D138" s="898"/>
      <c r="E138" s="1019"/>
      <c r="F138" s="1019"/>
      <c r="G138" s="1019"/>
      <c r="H138" s="1019"/>
      <c r="I138" s="1020"/>
      <c r="J138" s="1020"/>
      <c r="K138" s="1020"/>
      <c r="L138" s="1020"/>
      <c r="M138" s="898"/>
      <c r="N138" s="898"/>
    </row>
    <row r="139" spans="1:14">
      <c r="A139" s="898"/>
      <c r="B139" s="898"/>
      <c r="C139" s="898"/>
      <c r="D139" s="898"/>
      <c r="E139" s="1019"/>
      <c r="F139" s="1019"/>
      <c r="G139" s="1019"/>
      <c r="H139" s="1019"/>
      <c r="I139" s="1020"/>
      <c r="J139" s="1020"/>
      <c r="K139" s="1020"/>
      <c r="L139" s="1020"/>
      <c r="M139" s="898"/>
      <c r="N139" s="898"/>
    </row>
    <row r="140" spans="1:14">
      <c r="A140" s="898"/>
      <c r="B140" s="898"/>
      <c r="C140" s="898"/>
      <c r="D140" s="898"/>
      <c r="E140" s="1019"/>
      <c r="F140" s="1019"/>
      <c r="G140" s="1019"/>
      <c r="H140" s="1019"/>
      <c r="I140" s="1020"/>
      <c r="J140" s="1020"/>
      <c r="K140" s="1020"/>
      <c r="L140" s="1020"/>
      <c r="M140" s="898"/>
      <c r="N140" s="898"/>
    </row>
    <row r="141" spans="1:14">
      <c r="A141" s="898"/>
      <c r="B141" s="898"/>
      <c r="C141" s="898"/>
      <c r="D141" s="898"/>
      <c r="E141" s="1019"/>
      <c r="F141" s="1019"/>
      <c r="G141" s="1019"/>
      <c r="H141" s="1019"/>
      <c r="I141" s="1020"/>
      <c r="J141" s="1020"/>
      <c r="K141" s="1020"/>
      <c r="L141" s="1020"/>
      <c r="M141" s="898"/>
      <c r="N141" s="898"/>
    </row>
    <row r="142" spans="1:14">
      <c r="A142" s="898"/>
      <c r="B142" s="898"/>
      <c r="C142" s="898"/>
      <c r="D142" s="898"/>
      <c r="E142" s="1019"/>
      <c r="F142" s="1019"/>
      <c r="G142" s="1019"/>
      <c r="H142" s="1019"/>
      <c r="I142" s="1020"/>
      <c r="J142" s="1020"/>
      <c r="K142" s="1020"/>
      <c r="L142" s="1020"/>
      <c r="M142" s="898"/>
      <c r="N142" s="898"/>
    </row>
    <row r="143" spans="1:14">
      <c r="A143" s="898"/>
      <c r="B143" s="898"/>
      <c r="C143" s="898"/>
      <c r="D143" s="898"/>
      <c r="E143" s="1019"/>
      <c r="F143" s="1019"/>
      <c r="G143" s="1019"/>
      <c r="H143" s="1019"/>
      <c r="I143" s="1020"/>
      <c r="J143" s="1020"/>
      <c r="K143" s="1020"/>
      <c r="L143" s="1020"/>
      <c r="M143" s="898"/>
      <c r="N143" s="898"/>
    </row>
    <row r="144" spans="1:14">
      <c r="A144" s="898"/>
      <c r="B144" s="898"/>
      <c r="C144" s="898"/>
      <c r="D144" s="898"/>
      <c r="E144" s="1019"/>
      <c r="F144" s="1019"/>
      <c r="G144" s="1019"/>
      <c r="H144" s="1019"/>
      <c r="I144" s="1020"/>
      <c r="J144" s="1020"/>
      <c r="K144" s="1020"/>
      <c r="L144" s="1020"/>
      <c r="M144" s="898"/>
      <c r="N144" s="898"/>
    </row>
    <row r="145" spans="1:14">
      <c r="A145" s="898"/>
      <c r="B145" s="898"/>
      <c r="C145" s="898"/>
      <c r="D145" s="898"/>
      <c r="E145" s="1019"/>
      <c r="F145" s="1019"/>
      <c r="G145" s="1019"/>
      <c r="H145" s="1019"/>
      <c r="I145" s="1020"/>
      <c r="J145" s="1020"/>
      <c r="K145" s="1020"/>
      <c r="L145" s="1020"/>
      <c r="M145" s="898"/>
      <c r="N145" s="898"/>
    </row>
    <row r="146" spans="1:14">
      <c r="A146" s="898"/>
      <c r="B146" s="898"/>
      <c r="C146" s="898"/>
      <c r="D146" s="898"/>
      <c r="E146" s="1019"/>
      <c r="F146" s="1019"/>
      <c r="G146" s="1019"/>
      <c r="H146" s="1019"/>
      <c r="I146" s="1020"/>
      <c r="J146" s="1020"/>
      <c r="K146" s="1020"/>
      <c r="L146" s="1020"/>
      <c r="M146" s="898"/>
      <c r="N146" s="898"/>
    </row>
    <row r="147" spans="1:14">
      <c r="A147" s="898"/>
      <c r="B147" s="898"/>
      <c r="C147" s="898"/>
      <c r="D147" s="898"/>
      <c r="E147" s="1019"/>
      <c r="F147" s="1019"/>
      <c r="G147" s="1019"/>
      <c r="H147" s="1019"/>
      <c r="I147" s="1020"/>
      <c r="J147" s="1020"/>
      <c r="K147" s="1020"/>
      <c r="L147" s="1020"/>
      <c r="M147" s="898"/>
      <c r="N147" s="898"/>
    </row>
    <row r="148" spans="1:14">
      <c r="A148" s="898"/>
      <c r="B148" s="898"/>
      <c r="C148" s="898"/>
      <c r="D148" s="898"/>
      <c r="E148" s="1019"/>
      <c r="F148" s="1019"/>
      <c r="G148" s="1019"/>
      <c r="H148" s="1019"/>
      <c r="I148" s="1020"/>
      <c r="J148" s="1020"/>
      <c r="K148" s="1020"/>
      <c r="L148" s="1020"/>
      <c r="M148" s="898"/>
      <c r="N148" s="898"/>
    </row>
    <row r="149" spans="1:14">
      <c r="A149" s="898"/>
      <c r="B149" s="898"/>
      <c r="C149" s="898"/>
      <c r="D149" s="898"/>
      <c r="E149" s="1019"/>
      <c r="F149" s="1019"/>
      <c r="G149" s="1019"/>
      <c r="H149" s="1019"/>
      <c r="I149" s="1020"/>
      <c r="J149" s="1020"/>
      <c r="K149" s="1020"/>
      <c r="L149" s="1020"/>
      <c r="M149" s="898"/>
      <c r="N149" s="898"/>
    </row>
    <row r="150" spans="1:14">
      <c r="A150" s="898"/>
      <c r="B150" s="898"/>
      <c r="C150" s="898"/>
      <c r="D150" s="898"/>
      <c r="E150" s="1019"/>
      <c r="F150" s="1019"/>
      <c r="G150" s="1019"/>
      <c r="H150" s="1019"/>
      <c r="I150" s="1020"/>
      <c r="J150" s="1020"/>
      <c r="K150" s="1020"/>
      <c r="L150" s="1020"/>
      <c r="M150" s="898"/>
      <c r="N150" s="898"/>
    </row>
    <row r="151" spans="1:14">
      <c r="A151" s="898"/>
      <c r="B151" s="898"/>
      <c r="C151" s="898"/>
      <c r="D151" s="898"/>
      <c r="E151" s="1019"/>
      <c r="F151" s="1019"/>
      <c r="G151" s="1019"/>
      <c r="H151" s="1019"/>
      <c r="I151" s="1020"/>
      <c r="J151" s="1020"/>
      <c r="K151" s="1020"/>
      <c r="L151" s="1020"/>
      <c r="M151" s="898"/>
      <c r="N151" s="898"/>
    </row>
    <row r="152" spans="1:14">
      <c r="A152" s="898"/>
      <c r="B152" s="898"/>
      <c r="C152" s="898"/>
      <c r="D152" s="898"/>
      <c r="E152" s="1019"/>
      <c r="F152" s="1019"/>
      <c r="G152" s="1019"/>
      <c r="H152" s="1019"/>
      <c r="I152" s="1020"/>
      <c r="J152" s="1020"/>
      <c r="K152" s="1020"/>
      <c r="L152" s="1020"/>
      <c r="M152" s="898"/>
      <c r="N152" s="898"/>
    </row>
    <row r="153" spans="1:14">
      <c r="A153" s="898"/>
      <c r="B153" s="898"/>
      <c r="C153" s="898"/>
      <c r="D153" s="898"/>
      <c r="E153" s="1019"/>
      <c r="F153" s="1019"/>
      <c r="G153" s="1019"/>
      <c r="H153" s="1019"/>
      <c r="I153" s="1020"/>
      <c r="J153" s="1020"/>
      <c r="K153" s="1020"/>
      <c r="L153" s="1020"/>
      <c r="M153" s="898"/>
      <c r="N153" s="898"/>
    </row>
    <row r="154" spans="1:14">
      <c r="A154" s="898"/>
      <c r="B154" s="898"/>
      <c r="C154" s="898"/>
      <c r="D154" s="898"/>
      <c r="E154" s="1019"/>
      <c r="F154" s="1019"/>
      <c r="G154" s="1019"/>
      <c r="H154" s="1019"/>
      <c r="I154" s="1020"/>
      <c r="J154" s="1020"/>
      <c r="K154" s="1020"/>
      <c r="L154" s="1020"/>
      <c r="M154" s="898"/>
      <c r="N154" s="898"/>
    </row>
    <row r="155" spans="1:14">
      <c r="A155" s="898"/>
      <c r="B155" s="898"/>
      <c r="C155" s="898"/>
      <c r="D155" s="898"/>
      <c r="E155" s="1019"/>
      <c r="F155" s="1019"/>
      <c r="G155" s="1019"/>
      <c r="H155" s="1019"/>
      <c r="I155" s="1020"/>
      <c r="J155" s="1020"/>
      <c r="K155" s="1020"/>
      <c r="L155" s="1020"/>
      <c r="M155" s="898"/>
      <c r="N155" s="898"/>
    </row>
    <row r="156" spans="1:14">
      <c r="A156" s="898"/>
      <c r="B156" s="898"/>
      <c r="C156" s="898"/>
      <c r="D156" s="898"/>
      <c r="E156" s="1019"/>
      <c r="F156" s="1019"/>
      <c r="G156" s="1019"/>
      <c r="H156" s="1019"/>
      <c r="I156" s="1020"/>
      <c r="J156" s="1020"/>
      <c r="K156" s="1020"/>
      <c r="L156" s="1020"/>
      <c r="M156" s="898"/>
      <c r="N156" s="898"/>
    </row>
    <row r="157" spans="1:14">
      <c r="A157" s="898"/>
      <c r="B157" s="898"/>
      <c r="C157" s="898"/>
      <c r="D157" s="898"/>
      <c r="E157" s="1019"/>
      <c r="F157" s="1019"/>
      <c r="G157" s="1019"/>
      <c r="H157" s="1019"/>
      <c r="I157" s="1020"/>
      <c r="J157" s="1020"/>
      <c r="K157" s="1020"/>
      <c r="L157" s="1020"/>
      <c r="M157" s="898"/>
      <c r="N157" s="898"/>
    </row>
    <row r="158" spans="1:14">
      <c r="A158" s="898"/>
      <c r="B158" s="898"/>
      <c r="C158" s="898"/>
      <c r="D158" s="898"/>
      <c r="E158" s="1019"/>
      <c r="F158" s="1019"/>
      <c r="G158" s="1019"/>
      <c r="H158" s="1019"/>
      <c r="I158" s="1020"/>
      <c r="J158" s="1020"/>
      <c r="K158" s="1020"/>
      <c r="L158" s="1020"/>
      <c r="M158" s="898"/>
      <c r="N158" s="898"/>
    </row>
    <row r="159" spans="1:14">
      <c r="A159" s="898"/>
      <c r="B159" s="898"/>
      <c r="C159" s="898"/>
      <c r="D159" s="898"/>
      <c r="E159" s="1019"/>
      <c r="F159" s="1019"/>
      <c r="G159" s="1019"/>
      <c r="H159" s="1019"/>
      <c r="I159" s="1020"/>
      <c r="J159" s="1020"/>
      <c r="K159" s="1020"/>
      <c r="L159" s="1020"/>
      <c r="M159" s="898"/>
      <c r="N159" s="898"/>
    </row>
    <row r="160" spans="1:14">
      <c r="A160" s="898"/>
      <c r="B160" s="898"/>
      <c r="C160" s="898"/>
      <c r="D160" s="898"/>
      <c r="E160" s="1019"/>
      <c r="F160" s="1019"/>
      <c r="G160" s="1019"/>
      <c r="H160" s="1019"/>
      <c r="I160" s="1020"/>
      <c r="J160" s="1020"/>
      <c r="K160" s="1020"/>
      <c r="L160" s="1020"/>
      <c r="M160" s="898"/>
      <c r="N160" s="898"/>
    </row>
    <row r="161" spans="1:14">
      <c r="A161" s="898"/>
      <c r="B161" s="898"/>
      <c r="C161" s="898"/>
      <c r="D161" s="898"/>
      <c r="E161" s="1019"/>
      <c r="F161" s="1019"/>
      <c r="G161" s="1019"/>
      <c r="H161" s="1019"/>
      <c r="I161" s="1020"/>
      <c r="J161" s="1020"/>
      <c r="K161" s="1020"/>
      <c r="L161" s="1020"/>
      <c r="M161" s="898"/>
      <c r="N161" s="898"/>
    </row>
    <row r="162" spans="1:14">
      <c r="A162" s="898"/>
      <c r="B162" s="898"/>
      <c r="C162" s="898"/>
      <c r="D162" s="898"/>
      <c r="E162" s="1019"/>
      <c r="F162" s="1019"/>
      <c r="G162" s="1019"/>
      <c r="H162" s="1019"/>
      <c r="I162" s="1020"/>
      <c r="J162" s="1020"/>
      <c r="K162" s="1020"/>
      <c r="L162" s="1020"/>
      <c r="M162" s="898"/>
      <c r="N162" s="898"/>
    </row>
    <row r="163" spans="1:14">
      <c r="A163" s="898"/>
      <c r="B163" s="898"/>
      <c r="C163" s="898"/>
      <c r="D163" s="898"/>
      <c r="E163" s="1019"/>
      <c r="F163" s="1019"/>
      <c r="G163" s="1019"/>
      <c r="H163" s="1019"/>
      <c r="I163" s="1020"/>
      <c r="J163" s="1020"/>
      <c r="K163" s="1020"/>
      <c r="L163" s="1020"/>
      <c r="M163" s="898"/>
      <c r="N163" s="898"/>
    </row>
    <row r="164" spans="1:14">
      <c r="A164" s="898"/>
      <c r="B164" s="898"/>
      <c r="C164" s="898"/>
      <c r="D164" s="898"/>
      <c r="E164" s="1019"/>
      <c r="F164" s="1019"/>
      <c r="G164" s="1019"/>
      <c r="H164" s="1019"/>
      <c r="I164" s="1020"/>
      <c r="J164" s="1020"/>
      <c r="K164" s="1020"/>
      <c r="L164" s="1020"/>
      <c r="M164" s="898"/>
      <c r="N164" s="898"/>
    </row>
    <row r="165" spans="1:14">
      <c r="A165" s="898"/>
      <c r="B165" s="898"/>
      <c r="C165" s="898"/>
      <c r="D165" s="898"/>
      <c r="E165" s="1019"/>
      <c r="F165" s="1019"/>
      <c r="G165" s="1019"/>
      <c r="H165" s="1019"/>
      <c r="I165" s="1020"/>
      <c r="J165" s="1020"/>
      <c r="K165" s="1020"/>
      <c r="L165" s="1020"/>
      <c r="M165" s="898"/>
      <c r="N165" s="898"/>
    </row>
    <row r="166" spans="1:14">
      <c r="A166" s="898"/>
      <c r="B166" s="898"/>
      <c r="C166" s="898"/>
      <c r="D166" s="898"/>
      <c r="E166" s="1019"/>
      <c r="F166" s="1019"/>
      <c r="G166" s="1019"/>
      <c r="H166" s="1019"/>
      <c r="I166" s="1020"/>
      <c r="J166" s="1020"/>
      <c r="K166" s="1020"/>
      <c r="L166" s="1020"/>
      <c r="M166" s="898"/>
      <c r="N166" s="898"/>
    </row>
    <row r="167" spans="1:14">
      <c r="A167" s="898"/>
      <c r="B167" s="898"/>
      <c r="C167" s="898"/>
      <c r="D167" s="898"/>
      <c r="E167" s="1019"/>
      <c r="F167" s="1019"/>
      <c r="G167" s="1019"/>
      <c r="H167" s="1019"/>
      <c r="I167" s="1020"/>
      <c r="J167" s="1020"/>
      <c r="K167" s="1020"/>
      <c r="L167" s="1020"/>
      <c r="M167" s="898"/>
      <c r="N167" s="898"/>
    </row>
    <row r="168" spans="1:14">
      <c r="A168" s="898"/>
      <c r="B168" s="898"/>
      <c r="C168" s="898"/>
      <c r="D168" s="898"/>
      <c r="E168" s="1019"/>
      <c r="F168" s="1019"/>
      <c r="G168" s="1019"/>
      <c r="H168" s="1019"/>
      <c r="I168" s="1020"/>
      <c r="J168" s="1020"/>
      <c r="K168" s="1020"/>
      <c r="L168" s="1020"/>
      <c r="M168" s="898"/>
      <c r="N168" s="898"/>
    </row>
    <row r="169" spans="1:14">
      <c r="A169" s="898"/>
      <c r="B169" s="898"/>
      <c r="C169" s="898"/>
      <c r="D169" s="898"/>
      <c r="E169" s="1019"/>
      <c r="F169" s="1019"/>
      <c r="G169" s="1019"/>
      <c r="H169" s="1019"/>
      <c r="I169" s="1020"/>
      <c r="J169" s="1020"/>
      <c r="K169" s="1020"/>
      <c r="L169" s="1020"/>
      <c r="M169" s="898"/>
      <c r="N169" s="898"/>
    </row>
    <row r="170" spans="1:14">
      <c r="A170" s="898"/>
      <c r="B170" s="898"/>
      <c r="C170" s="898"/>
      <c r="D170" s="898"/>
      <c r="E170" s="1019"/>
      <c r="F170" s="1019"/>
      <c r="G170" s="1019"/>
      <c r="H170" s="1019"/>
      <c r="I170" s="1020"/>
      <c r="J170" s="1020"/>
      <c r="K170" s="1020"/>
      <c r="L170" s="1020"/>
      <c r="M170" s="898"/>
      <c r="N170" s="898"/>
    </row>
    <row r="171" spans="1:14">
      <c r="A171" s="898"/>
      <c r="B171" s="898"/>
      <c r="C171" s="898"/>
      <c r="D171" s="898"/>
      <c r="E171" s="1019"/>
      <c r="F171" s="1019"/>
      <c r="G171" s="1019"/>
      <c r="H171" s="1019"/>
      <c r="I171" s="1020"/>
      <c r="J171" s="1020"/>
      <c r="K171" s="1020"/>
      <c r="L171" s="1020"/>
      <c r="M171" s="898"/>
      <c r="N171" s="898"/>
    </row>
    <row r="172" spans="1:14">
      <c r="A172" s="898"/>
      <c r="B172" s="898"/>
      <c r="C172" s="898"/>
      <c r="D172" s="898"/>
      <c r="E172" s="1019"/>
      <c r="F172" s="1019"/>
      <c r="G172" s="1019"/>
      <c r="H172" s="1019"/>
      <c r="I172" s="1020"/>
      <c r="J172" s="1020"/>
      <c r="K172" s="1020"/>
      <c r="L172" s="1020"/>
      <c r="M172" s="898"/>
      <c r="N172" s="898"/>
    </row>
    <row r="173" spans="1:14">
      <c r="A173" s="898"/>
      <c r="B173" s="898"/>
      <c r="C173" s="898"/>
      <c r="D173" s="898"/>
      <c r="E173" s="1019"/>
      <c r="F173" s="1019"/>
      <c r="G173" s="1019"/>
      <c r="H173" s="1019"/>
      <c r="I173" s="1020"/>
      <c r="J173" s="1020"/>
      <c r="K173" s="1020"/>
      <c r="L173" s="1020"/>
      <c r="M173" s="898"/>
      <c r="N173" s="898"/>
    </row>
    <row r="174" spans="1:14">
      <c r="A174" s="898"/>
      <c r="B174" s="898"/>
      <c r="C174" s="898"/>
      <c r="D174" s="898"/>
      <c r="E174" s="1019"/>
      <c r="F174" s="1019"/>
      <c r="G174" s="1019"/>
      <c r="H174" s="1019"/>
      <c r="I174" s="1020"/>
      <c r="J174" s="1020"/>
      <c r="K174" s="1020"/>
      <c r="L174" s="1020"/>
      <c r="M174" s="898"/>
      <c r="N174" s="898"/>
    </row>
    <row r="175" spans="1:14">
      <c r="A175" s="898"/>
      <c r="B175" s="898"/>
      <c r="C175" s="898"/>
      <c r="D175" s="898"/>
      <c r="E175" s="1019"/>
      <c r="F175" s="1019"/>
      <c r="G175" s="1019"/>
      <c r="H175" s="1019"/>
      <c r="I175" s="1020"/>
      <c r="J175" s="1020"/>
      <c r="K175" s="1020"/>
      <c r="L175" s="1020"/>
      <c r="M175" s="898"/>
      <c r="N175" s="898"/>
    </row>
    <row r="176" spans="1:14">
      <c r="A176" s="898"/>
      <c r="B176" s="898"/>
      <c r="C176" s="898"/>
      <c r="D176" s="898"/>
      <c r="E176" s="1019"/>
      <c r="F176" s="1019"/>
      <c r="G176" s="1019"/>
      <c r="H176" s="1019"/>
      <c r="I176" s="1020"/>
      <c r="J176" s="1020"/>
      <c r="K176" s="1020"/>
      <c r="L176" s="1020"/>
      <c r="M176" s="898"/>
      <c r="N176" s="898"/>
    </row>
    <row r="177" spans="1:14">
      <c r="A177" s="898"/>
      <c r="B177" s="898"/>
      <c r="C177" s="898"/>
      <c r="D177" s="898"/>
      <c r="E177" s="1019"/>
      <c r="F177" s="1019"/>
      <c r="G177" s="1019"/>
      <c r="H177" s="1019"/>
      <c r="I177" s="1020"/>
      <c r="J177" s="1020"/>
      <c r="K177" s="1020"/>
      <c r="L177" s="1020"/>
      <c r="M177" s="898"/>
      <c r="N177" s="898"/>
    </row>
    <row r="178" spans="1:14">
      <c r="A178" s="898"/>
      <c r="B178" s="898"/>
      <c r="C178" s="898"/>
      <c r="D178" s="898"/>
      <c r="E178" s="1019"/>
      <c r="F178" s="1019"/>
      <c r="G178" s="1019"/>
      <c r="H178" s="1019"/>
      <c r="I178" s="1020"/>
      <c r="J178" s="1020"/>
      <c r="K178" s="1020"/>
      <c r="L178" s="1020"/>
      <c r="M178" s="898"/>
      <c r="N178" s="898"/>
    </row>
    <row r="179" spans="1:14">
      <c r="A179" s="898"/>
      <c r="B179" s="898"/>
      <c r="C179" s="898"/>
      <c r="D179" s="898"/>
      <c r="E179" s="1019"/>
      <c r="F179" s="1019"/>
      <c r="G179" s="1019"/>
      <c r="H179" s="1019"/>
      <c r="I179" s="1020"/>
      <c r="J179" s="1020"/>
      <c r="K179" s="1020"/>
      <c r="L179" s="1020"/>
      <c r="M179" s="898"/>
      <c r="N179" s="898"/>
    </row>
    <row r="180" spans="1:14">
      <c r="A180" s="898"/>
      <c r="B180" s="898"/>
      <c r="C180" s="898"/>
      <c r="D180" s="898"/>
      <c r="E180" s="1019"/>
      <c r="F180" s="1019"/>
      <c r="G180" s="1019"/>
      <c r="H180" s="1019"/>
      <c r="I180" s="1020"/>
      <c r="J180" s="1020"/>
      <c r="K180" s="1020"/>
      <c r="L180" s="1020"/>
      <c r="M180" s="898"/>
      <c r="N180" s="898"/>
    </row>
    <row r="181" spans="1:14">
      <c r="A181" s="898"/>
      <c r="B181" s="898"/>
      <c r="C181" s="898"/>
      <c r="D181" s="898"/>
      <c r="E181" s="1019"/>
      <c r="F181" s="1019"/>
      <c r="G181" s="1019"/>
      <c r="H181" s="1019"/>
      <c r="I181" s="1020"/>
      <c r="J181" s="1020"/>
      <c r="K181" s="1020"/>
      <c r="L181" s="1020"/>
      <c r="M181" s="898"/>
      <c r="N181" s="898"/>
    </row>
    <row r="182" spans="1:14">
      <c r="A182" s="898"/>
      <c r="B182" s="898"/>
      <c r="C182" s="898"/>
      <c r="D182" s="898"/>
      <c r="E182" s="1019"/>
      <c r="F182" s="1019"/>
      <c r="G182" s="1019"/>
      <c r="H182" s="1019"/>
      <c r="I182" s="1020"/>
      <c r="J182" s="1020"/>
      <c r="K182" s="1020"/>
      <c r="L182" s="1020"/>
      <c r="M182" s="898"/>
      <c r="N182" s="898"/>
    </row>
    <row r="183" spans="1:14">
      <c r="A183" s="898"/>
      <c r="B183" s="898"/>
      <c r="C183" s="898"/>
      <c r="D183" s="898"/>
      <c r="E183" s="1019"/>
      <c r="F183" s="1019"/>
      <c r="G183" s="1019"/>
      <c r="H183" s="1019"/>
      <c r="I183" s="1020"/>
      <c r="J183" s="1020"/>
      <c r="K183" s="1020"/>
      <c r="L183" s="1020"/>
      <c r="M183" s="898"/>
      <c r="N183" s="898"/>
    </row>
    <row r="184" spans="1:14">
      <c r="A184" s="898"/>
      <c r="B184" s="898"/>
      <c r="C184" s="898"/>
      <c r="D184" s="898"/>
      <c r="E184" s="1019"/>
      <c r="F184" s="1019"/>
      <c r="G184" s="1019"/>
      <c r="H184" s="1019"/>
      <c r="I184" s="1020"/>
      <c r="J184" s="1020"/>
      <c r="K184" s="1020"/>
      <c r="L184" s="1020"/>
      <c r="M184" s="898"/>
      <c r="N184" s="898"/>
    </row>
    <row r="185" spans="1:14">
      <c r="A185" s="898"/>
      <c r="B185" s="898"/>
      <c r="C185" s="898"/>
      <c r="D185" s="898"/>
      <c r="E185" s="1019"/>
      <c r="F185" s="1019"/>
      <c r="G185" s="1019"/>
      <c r="H185" s="1019"/>
      <c r="I185" s="1020"/>
      <c r="J185" s="1020"/>
      <c r="K185" s="1020"/>
      <c r="L185" s="1020"/>
      <c r="M185" s="898"/>
      <c r="N185" s="898"/>
    </row>
    <row r="186" spans="1:14">
      <c r="A186" s="898"/>
      <c r="B186" s="898"/>
      <c r="C186" s="898"/>
      <c r="D186" s="898"/>
      <c r="E186" s="1019"/>
      <c r="F186" s="1019"/>
      <c r="G186" s="1019"/>
      <c r="H186" s="1019"/>
      <c r="I186" s="1020"/>
      <c r="J186" s="1020"/>
      <c r="K186" s="1020"/>
      <c r="L186" s="1020"/>
      <c r="M186" s="898"/>
      <c r="N186" s="898"/>
    </row>
    <row r="187" spans="1:14">
      <c r="A187" s="898"/>
      <c r="B187" s="898"/>
      <c r="C187" s="898"/>
      <c r="D187" s="898"/>
      <c r="E187" s="1019"/>
      <c r="F187" s="1019"/>
      <c r="G187" s="1019"/>
      <c r="H187" s="1019"/>
      <c r="I187" s="1020"/>
      <c r="J187" s="1020"/>
      <c r="K187" s="1020"/>
      <c r="L187" s="1020"/>
      <c r="M187" s="898"/>
      <c r="N187" s="898"/>
    </row>
    <row r="188" spans="1:14">
      <c r="A188" s="898"/>
      <c r="B188" s="898"/>
      <c r="C188" s="898"/>
      <c r="D188" s="898"/>
      <c r="E188" s="1019"/>
      <c r="F188" s="1019"/>
      <c r="G188" s="1019"/>
      <c r="H188" s="1019"/>
      <c r="I188" s="1020"/>
      <c r="J188" s="1020"/>
      <c r="K188" s="1020"/>
      <c r="L188" s="1020"/>
      <c r="M188" s="898"/>
      <c r="N188" s="898"/>
    </row>
    <row r="189" spans="1:14">
      <c r="A189" s="898"/>
      <c r="B189" s="898"/>
      <c r="C189" s="898"/>
      <c r="D189" s="898"/>
      <c r="E189" s="1019"/>
      <c r="F189" s="1019"/>
      <c r="G189" s="1019"/>
      <c r="H189" s="1019"/>
      <c r="I189" s="1020"/>
      <c r="J189" s="1020"/>
      <c r="K189" s="1020"/>
      <c r="L189" s="1020"/>
      <c r="M189" s="898"/>
      <c r="N189" s="898"/>
    </row>
    <row r="190" spans="1:14">
      <c r="A190" s="898"/>
      <c r="B190" s="898"/>
      <c r="C190" s="898"/>
      <c r="D190" s="898"/>
      <c r="E190" s="1019"/>
      <c r="F190" s="1019"/>
      <c r="G190" s="1019"/>
      <c r="H190" s="1019"/>
      <c r="I190" s="1020"/>
      <c r="J190" s="1020"/>
      <c r="K190" s="1020"/>
      <c r="L190" s="1020"/>
      <c r="M190" s="898"/>
      <c r="N190" s="898"/>
    </row>
    <row r="191" spans="1:14">
      <c r="A191" s="898"/>
      <c r="B191" s="898"/>
      <c r="C191" s="898"/>
      <c r="D191" s="898"/>
      <c r="E191" s="1019"/>
      <c r="F191" s="1019"/>
      <c r="G191" s="1019"/>
      <c r="H191" s="1019"/>
      <c r="I191" s="1020"/>
      <c r="J191" s="1020"/>
      <c r="K191" s="1020"/>
      <c r="L191" s="1020"/>
      <c r="M191" s="898"/>
      <c r="N191" s="898"/>
    </row>
    <row r="192" spans="1:14">
      <c r="A192" s="898"/>
      <c r="B192" s="898"/>
      <c r="C192" s="898"/>
      <c r="D192" s="898"/>
      <c r="E192" s="1019"/>
      <c r="F192" s="1019"/>
      <c r="G192" s="1019"/>
      <c r="H192" s="1019"/>
      <c r="I192" s="1020"/>
      <c r="J192" s="1020"/>
      <c r="K192" s="1020"/>
      <c r="L192" s="1020"/>
      <c r="M192" s="898"/>
      <c r="N192" s="898"/>
    </row>
  </sheetData>
  <mergeCells count="10">
    <mergeCell ref="M7:N7"/>
    <mergeCell ref="B8:K8"/>
    <mergeCell ref="B59:M59"/>
    <mergeCell ref="B84:M84"/>
    <mergeCell ref="B2:E2"/>
    <mergeCell ref="G2:K4"/>
    <mergeCell ref="M2:N4"/>
    <mergeCell ref="A5:B6"/>
    <mergeCell ref="I6:K6"/>
    <mergeCell ref="M6:N6"/>
  </mergeCells>
  <pageMargins left="0.7" right="0.7" top="0.75" bottom="0.75" header="0.3" footer="0.3"/>
  <pageSetup scale="52" fitToHeight="30" orientation="landscape" r:id="rId1"/>
  <headerFooter>
    <oddFooter>&amp;C&amp;"-,Bold"ATT Proprietay - Not for use other than by GSA and their client users.</oddFooter>
  </headerFooter>
</worksheet>
</file>

<file path=xl/worksheets/sheet41.xml><?xml version="1.0" encoding="utf-8"?>
<worksheet xmlns="http://schemas.openxmlformats.org/spreadsheetml/2006/main" xmlns:r="http://schemas.openxmlformats.org/officeDocument/2006/relationships">
  <dimension ref="A1:R135"/>
  <sheetViews>
    <sheetView workbookViewId="0">
      <selection activeCell="C1" sqref="C1"/>
    </sheetView>
  </sheetViews>
  <sheetFormatPr defaultRowHeight="12.75"/>
  <cols>
    <col min="1" max="1" width="19" style="1153" customWidth="1"/>
    <col min="2" max="2" width="10.33203125" style="1153" customWidth="1"/>
    <col min="3" max="3" width="16" style="1153" customWidth="1"/>
    <col min="4" max="4" width="13" style="1153" customWidth="1"/>
    <col min="5" max="5" width="8.83203125" style="1153" customWidth="1"/>
    <col min="6" max="6" width="8.5" style="1153" customWidth="1"/>
    <col min="7" max="7" width="8.83203125" style="1153" customWidth="1"/>
    <col min="8" max="9" width="8.6640625" style="1153" customWidth="1"/>
    <col min="10" max="10" width="31.6640625" style="1153" customWidth="1"/>
    <col min="11" max="16384" width="9.33203125" style="1125"/>
  </cols>
  <sheetData>
    <row r="1" spans="1:18">
      <c r="A1" s="1122" t="s">
        <v>425</v>
      </c>
      <c r="B1" s="1123" t="s">
        <v>370</v>
      </c>
      <c r="C1" s="1124"/>
      <c r="D1" s="1515" t="s">
        <v>2866</v>
      </c>
      <c r="E1" s="1515"/>
      <c r="F1" s="1515"/>
      <c r="G1" s="1515"/>
      <c r="H1" s="1515"/>
      <c r="I1" s="1515"/>
      <c r="J1" s="1515" t="s">
        <v>2867</v>
      </c>
    </row>
    <row r="2" spans="1:18">
      <c r="A2" s="1516" t="s">
        <v>2868</v>
      </c>
      <c r="B2" s="1517"/>
      <c r="C2" s="1517"/>
      <c r="D2" s="1518"/>
      <c r="E2" s="1518"/>
      <c r="F2" s="1518"/>
      <c r="G2" s="1518"/>
      <c r="H2" s="1518"/>
      <c r="I2" s="1518"/>
      <c r="J2" s="1515"/>
    </row>
    <row r="3" spans="1:18">
      <c r="A3" s="1517"/>
      <c r="B3" s="1517"/>
      <c r="C3" s="1517"/>
      <c r="D3" s="1518"/>
      <c r="E3" s="1518"/>
      <c r="F3" s="1518"/>
      <c r="G3" s="1518"/>
      <c r="H3" s="1518"/>
      <c r="I3" s="1518"/>
      <c r="J3" s="1515"/>
    </row>
    <row r="4" spans="1:18">
      <c r="A4" s="1519" t="s">
        <v>2869</v>
      </c>
      <c r="B4" s="1519"/>
      <c r="C4" s="1520"/>
      <c r="D4" s="1520"/>
      <c r="E4" s="1520"/>
      <c r="F4" s="1520"/>
      <c r="G4" s="1520"/>
      <c r="H4" s="1520"/>
      <c r="I4" s="1520"/>
      <c r="J4" s="1515" t="s">
        <v>2870</v>
      </c>
    </row>
    <row r="5" spans="1:18">
      <c r="A5" s="1519"/>
      <c r="B5" s="1519"/>
      <c r="C5" s="1520"/>
      <c r="D5" s="1520"/>
      <c r="E5" s="1520"/>
      <c r="F5" s="1520"/>
      <c r="G5" s="1567"/>
      <c r="H5" s="1567"/>
      <c r="I5" s="1567"/>
      <c r="J5" s="1515"/>
    </row>
    <row r="6" spans="1:18" ht="60.75">
      <c r="A6" s="1126" t="s">
        <v>2871</v>
      </c>
      <c r="B6" s="1127" t="s">
        <v>2872</v>
      </c>
      <c r="C6" s="1127" t="s">
        <v>2873</v>
      </c>
      <c r="D6" s="1128" t="s">
        <v>2874</v>
      </c>
      <c r="E6" s="1129" t="s">
        <v>2875</v>
      </c>
      <c r="F6" s="1129" t="s">
        <v>2876</v>
      </c>
      <c r="G6" s="1129" t="s">
        <v>2877</v>
      </c>
      <c r="H6" s="1129" t="s">
        <v>2878</v>
      </c>
      <c r="I6" s="1129" t="s">
        <v>2879</v>
      </c>
      <c r="J6" s="1129" t="s">
        <v>2880</v>
      </c>
    </row>
    <row r="7" spans="1:18">
      <c r="A7" s="1514"/>
      <c r="B7" s="1514"/>
      <c r="C7" s="1514"/>
      <c r="D7" s="1514"/>
      <c r="E7" s="1514"/>
      <c r="F7" s="1514"/>
      <c r="G7" s="1514"/>
      <c r="H7" s="1514"/>
      <c r="I7" s="1514"/>
      <c r="J7" s="1514"/>
    </row>
    <row r="8" spans="1:18" ht="36" customHeight="1">
      <c r="A8" s="1130" t="s">
        <v>2881</v>
      </c>
      <c r="B8" s="1131" t="s">
        <v>2882</v>
      </c>
      <c r="C8" s="1131" t="s">
        <v>2883</v>
      </c>
      <c r="D8" s="1132"/>
      <c r="E8" s="1133"/>
      <c r="F8" s="1133"/>
      <c r="G8" s="1133"/>
      <c r="H8" s="1134"/>
      <c r="I8" s="1135"/>
      <c r="J8" s="1131"/>
    </row>
    <row r="9" spans="1:18" ht="45" customHeight="1">
      <c r="A9" s="1130"/>
      <c r="B9" s="1131" t="s">
        <v>2884</v>
      </c>
      <c r="C9" s="1131" t="s">
        <v>2885</v>
      </c>
      <c r="D9" s="1136" t="s">
        <v>426</v>
      </c>
      <c r="E9" s="1135">
        <v>5.3</v>
      </c>
      <c r="F9" s="1135"/>
      <c r="G9" s="1135"/>
      <c r="H9" s="1135"/>
      <c r="I9" s="1135"/>
      <c r="J9" s="1131" t="s">
        <v>2989</v>
      </c>
    </row>
    <row r="10" spans="1:18" ht="42.75">
      <c r="A10" s="1130"/>
      <c r="B10" s="1131" t="s">
        <v>2886</v>
      </c>
      <c r="C10" s="1131" t="s">
        <v>2887</v>
      </c>
      <c r="D10" s="1136" t="s">
        <v>426</v>
      </c>
      <c r="E10" s="1135"/>
      <c r="F10" s="1135">
        <v>1.91</v>
      </c>
      <c r="G10" s="1135"/>
      <c r="H10" s="1135"/>
      <c r="I10" s="1135"/>
      <c r="J10" s="1131" t="s">
        <v>2989</v>
      </c>
    </row>
    <row r="11" spans="1:18" ht="47.25" customHeight="1">
      <c r="A11" s="1130"/>
      <c r="B11" s="1131" t="s">
        <v>2888</v>
      </c>
      <c r="C11" s="1131" t="s">
        <v>2817</v>
      </c>
      <c r="D11" s="1136" t="s">
        <v>426</v>
      </c>
      <c r="E11" s="1135"/>
      <c r="F11" s="1135"/>
      <c r="G11" s="1137">
        <v>0.86</v>
      </c>
      <c r="H11" s="1135"/>
      <c r="I11" s="1135"/>
      <c r="J11" s="1131" t="s">
        <v>2989</v>
      </c>
      <c r="K11" s="1138"/>
      <c r="L11" s="1138"/>
      <c r="M11" s="1138"/>
      <c r="N11" s="1138"/>
      <c r="O11" s="1138"/>
      <c r="P11" s="1138"/>
      <c r="Q11" s="1138"/>
      <c r="R11" s="1138"/>
    </row>
    <row r="12" spans="1:18" ht="43.15" customHeight="1">
      <c r="A12" s="1130"/>
      <c r="B12" s="1131"/>
      <c r="C12" s="1131" t="s">
        <v>2889</v>
      </c>
      <c r="D12" s="1139" t="s">
        <v>426</v>
      </c>
      <c r="E12" s="1135"/>
      <c r="F12" s="1135"/>
      <c r="G12" s="1140"/>
      <c r="H12" s="1141" t="s">
        <v>2909</v>
      </c>
      <c r="I12" s="1142" t="s">
        <v>2731</v>
      </c>
      <c r="J12" s="1211" t="s">
        <v>2991</v>
      </c>
      <c r="K12" s="1143"/>
      <c r="L12" s="1143"/>
      <c r="M12" s="1143"/>
      <c r="N12" s="1143"/>
      <c r="O12" s="1143"/>
      <c r="P12" s="1143"/>
      <c r="Q12" s="1143"/>
      <c r="R12" s="1138"/>
    </row>
    <row r="13" spans="1:18" ht="32.25">
      <c r="A13" s="1130"/>
      <c r="B13" s="1131"/>
      <c r="C13" s="1131" t="s">
        <v>2879</v>
      </c>
      <c r="D13" s="1139"/>
      <c r="E13" s="1135"/>
      <c r="F13" s="1135"/>
      <c r="G13" s="1140"/>
      <c r="H13" s="1144"/>
      <c r="I13" s="1145" t="s">
        <v>2890</v>
      </c>
      <c r="J13" s="1176" t="s">
        <v>2990</v>
      </c>
      <c r="K13" s="1138"/>
      <c r="L13" s="1138"/>
      <c r="M13" s="1138"/>
      <c r="N13" s="1138"/>
      <c r="O13" s="1138"/>
      <c r="P13" s="1138"/>
      <c r="Q13" s="1138"/>
      <c r="R13" s="1138"/>
    </row>
    <row r="14" spans="1:18">
      <c r="A14" s="1514"/>
      <c r="B14" s="1514"/>
      <c r="C14" s="1514"/>
      <c r="D14" s="1514"/>
      <c r="E14" s="1514"/>
      <c r="F14" s="1514"/>
      <c r="G14" s="1514"/>
      <c r="H14" s="1514"/>
      <c r="I14" s="1514"/>
      <c r="J14" s="1514"/>
    </row>
    <row r="15" spans="1:18" ht="32.25">
      <c r="A15" s="1130" t="s">
        <v>1681</v>
      </c>
      <c r="B15" s="1131" t="s">
        <v>2891</v>
      </c>
      <c r="C15" s="1131" t="s">
        <v>2883</v>
      </c>
      <c r="D15" s="1146"/>
      <c r="E15" s="1133"/>
      <c r="F15" s="1133"/>
      <c r="G15" s="1133"/>
      <c r="H15" s="1147"/>
      <c r="I15" s="1142"/>
      <c r="J15" s="1131"/>
    </row>
    <row r="16" spans="1:18" ht="48" customHeight="1">
      <c r="A16" s="1130"/>
      <c r="B16" s="1131" t="s">
        <v>2892</v>
      </c>
      <c r="C16" s="1131" t="s">
        <v>2885</v>
      </c>
      <c r="D16" s="1136" t="s">
        <v>426</v>
      </c>
      <c r="E16" s="1135">
        <v>5.3</v>
      </c>
      <c r="F16" s="1135"/>
      <c r="G16" s="1135"/>
      <c r="H16" s="1142"/>
      <c r="I16" s="1142"/>
      <c r="J16" s="1131" t="s">
        <v>2989</v>
      </c>
    </row>
    <row r="17" spans="1:10" ht="42.75">
      <c r="A17" s="1130"/>
      <c r="B17" s="1131" t="s">
        <v>2886</v>
      </c>
      <c r="C17" s="1131" t="s">
        <v>2887</v>
      </c>
      <c r="D17" s="1136" t="s">
        <v>426</v>
      </c>
      <c r="E17" s="1135"/>
      <c r="F17" s="1135">
        <v>1.91</v>
      </c>
      <c r="G17" s="1135"/>
      <c r="H17" s="1142"/>
      <c r="I17" s="1142"/>
      <c r="J17" s="1131" t="s">
        <v>2989</v>
      </c>
    </row>
    <row r="18" spans="1:10" ht="42.75">
      <c r="A18" s="1130"/>
      <c r="B18" s="1131" t="s">
        <v>2893</v>
      </c>
      <c r="C18" s="1131" t="s">
        <v>2817</v>
      </c>
      <c r="D18" s="1136" t="s">
        <v>426</v>
      </c>
      <c r="E18" s="1135"/>
      <c r="F18" s="1135"/>
      <c r="G18" s="1137">
        <v>1</v>
      </c>
      <c r="H18" s="1142"/>
      <c r="I18" s="1142"/>
      <c r="J18" s="1131" t="s">
        <v>2989</v>
      </c>
    </row>
    <row r="19" spans="1:10" ht="32.25">
      <c r="A19" s="1130"/>
      <c r="B19" s="1131"/>
      <c r="C19" s="1131" t="s">
        <v>2889</v>
      </c>
      <c r="D19" s="1139" t="s">
        <v>426</v>
      </c>
      <c r="E19" s="1135"/>
      <c r="F19" s="1135"/>
      <c r="G19" s="1140"/>
      <c r="H19" s="1141" t="s">
        <v>2909</v>
      </c>
      <c r="I19" s="1142" t="s">
        <v>2731</v>
      </c>
      <c r="J19" s="1211" t="s">
        <v>2991</v>
      </c>
    </row>
    <row r="20" spans="1:10" ht="32.25">
      <c r="A20" s="1130"/>
      <c r="B20" s="1131"/>
      <c r="C20" s="1131" t="s">
        <v>2879</v>
      </c>
      <c r="D20" s="1139"/>
      <c r="E20" s="1135"/>
      <c r="F20" s="1135"/>
      <c r="G20" s="1140"/>
      <c r="H20" s="1144"/>
      <c r="I20" s="1145" t="s">
        <v>2890</v>
      </c>
      <c r="J20" s="1176" t="s">
        <v>2990</v>
      </c>
    </row>
    <row r="21" spans="1:10">
      <c r="A21" s="1514"/>
      <c r="B21" s="1514"/>
      <c r="C21" s="1514"/>
      <c r="D21" s="1514"/>
      <c r="E21" s="1514"/>
      <c r="F21" s="1514"/>
      <c r="G21" s="1514"/>
      <c r="H21" s="1514"/>
      <c r="I21" s="1514"/>
      <c r="J21" s="1514"/>
    </row>
    <row r="22" spans="1:10" ht="32.25">
      <c r="A22" s="1130" t="s">
        <v>2425</v>
      </c>
      <c r="B22" s="1131" t="s">
        <v>2894</v>
      </c>
      <c r="C22" s="1131" t="s">
        <v>2895</v>
      </c>
      <c r="D22" s="1146"/>
      <c r="E22" s="1135"/>
      <c r="F22" s="1135"/>
      <c r="G22" s="1135"/>
      <c r="H22" s="1135"/>
      <c r="I22" s="1142"/>
      <c r="J22" s="1131"/>
    </row>
    <row r="23" spans="1:10" ht="32.25">
      <c r="A23" s="1130"/>
      <c r="B23" s="1124" t="s">
        <v>2896</v>
      </c>
      <c r="C23" s="1131" t="s">
        <v>2840</v>
      </c>
      <c r="D23" s="1146">
        <v>1.59</v>
      </c>
      <c r="E23" s="1140"/>
      <c r="F23" s="1135"/>
      <c r="G23" s="1135"/>
      <c r="H23" s="1135"/>
      <c r="I23" s="1142"/>
      <c r="J23" s="1131" t="s">
        <v>2992</v>
      </c>
    </row>
    <row r="24" spans="1:10" ht="42.75">
      <c r="A24" s="1130"/>
      <c r="B24" s="1131" t="s">
        <v>2897</v>
      </c>
      <c r="C24" s="1131" t="s">
        <v>2816</v>
      </c>
      <c r="D24" s="1148" t="s">
        <v>426</v>
      </c>
      <c r="E24" s="1135">
        <v>5.3</v>
      </c>
      <c r="F24" s="1135"/>
      <c r="G24" s="1135"/>
      <c r="H24" s="1135"/>
      <c r="I24" s="1142"/>
      <c r="J24" s="1131" t="s">
        <v>2993</v>
      </c>
    </row>
    <row r="25" spans="1:10" ht="42.75">
      <c r="A25" s="1130"/>
      <c r="B25" s="1131" t="s">
        <v>2886</v>
      </c>
      <c r="C25" s="1131" t="s">
        <v>2898</v>
      </c>
      <c r="D25" s="1148"/>
      <c r="E25" s="1135"/>
      <c r="F25" s="1135">
        <v>1.91</v>
      </c>
      <c r="G25" s="1135"/>
      <c r="H25" s="1135"/>
      <c r="I25" s="1142"/>
      <c r="J25" s="1131" t="s">
        <v>2993</v>
      </c>
    </row>
    <row r="26" spans="1:10" ht="32.25">
      <c r="A26" s="1130"/>
      <c r="B26" s="1131"/>
      <c r="C26" s="1131" t="s">
        <v>2889</v>
      </c>
      <c r="D26" s="1139" t="s">
        <v>426</v>
      </c>
      <c r="E26" s="1135"/>
      <c r="F26" s="1135"/>
      <c r="G26" s="1137"/>
      <c r="H26" s="1213" t="s">
        <v>2909</v>
      </c>
      <c r="I26" s="1142" t="s">
        <v>2731</v>
      </c>
      <c r="J26" s="1211" t="s">
        <v>2991</v>
      </c>
    </row>
    <row r="27" spans="1:10" ht="42.75">
      <c r="A27" s="1130"/>
      <c r="B27" s="1131" t="s">
        <v>2899</v>
      </c>
      <c r="C27" s="1131" t="s">
        <v>2817</v>
      </c>
      <c r="D27" s="1136" t="s">
        <v>426</v>
      </c>
      <c r="E27" s="1135"/>
      <c r="F27" s="1135"/>
      <c r="G27" s="1212">
        <v>1.1000000000000001</v>
      </c>
      <c r="H27" s="1141"/>
      <c r="I27" s="1142"/>
      <c r="J27" s="1131" t="s">
        <v>2992</v>
      </c>
    </row>
    <row r="28" spans="1:10" ht="32.25">
      <c r="A28" s="1130"/>
      <c r="B28" s="1131"/>
      <c r="C28" s="1131" t="s">
        <v>2820</v>
      </c>
      <c r="D28" s="1136"/>
      <c r="E28" s="1142"/>
      <c r="F28" s="1142"/>
      <c r="G28" s="1142"/>
      <c r="H28" s="1149"/>
      <c r="I28" s="1150" t="s">
        <v>2890</v>
      </c>
      <c r="J28" s="1176" t="s">
        <v>2990</v>
      </c>
    </row>
    <row r="29" spans="1:10">
      <c r="A29" s="1514"/>
      <c r="B29" s="1514"/>
      <c r="C29" s="1514"/>
      <c r="D29" s="1514"/>
      <c r="E29" s="1514"/>
      <c r="F29" s="1514"/>
      <c r="G29" s="1514"/>
      <c r="H29" s="1514"/>
      <c r="I29" s="1514"/>
      <c r="J29" s="1514"/>
    </row>
    <row r="30" spans="1:10" ht="42">
      <c r="A30" s="1130" t="s">
        <v>2994</v>
      </c>
      <c r="B30" s="1131" t="s">
        <v>2900</v>
      </c>
      <c r="C30" s="1151" t="s">
        <v>2901</v>
      </c>
      <c r="D30" s="1146"/>
      <c r="E30" s="1135"/>
      <c r="F30" s="1135"/>
      <c r="G30" s="1142"/>
      <c r="H30" s="1142"/>
      <c r="I30" s="1142"/>
      <c r="J30" s="1152"/>
    </row>
    <row r="31" spans="1:10" ht="42.75">
      <c r="A31" s="1130"/>
      <c r="B31" s="1131" t="s">
        <v>2892</v>
      </c>
      <c r="C31" s="1131" t="s">
        <v>2816</v>
      </c>
      <c r="D31" s="1148"/>
      <c r="E31" s="1135">
        <v>5.3</v>
      </c>
      <c r="F31" s="1135"/>
      <c r="G31" s="1135"/>
      <c r="H31" s="1135"/>
      <c r="I31" s="1142" t="s">
        <v>2902</v>
      </c>
      <c r="J31" s="1131" t="s">
        <v>365</v>
      </c>
    </row>
    <row r="32" spans="1:10" ht="42.75">
      <c r="A32" s="1130"/>
      <c r="B32" s="1131" t="s">
        <v>2903</v>
      </c>
      <c r="C32" s="1131" t="s">
        <v>2898</v>
      </c>
      <c r="D32" s="1148"/>
      <c r="E32" s="1135"/>
      <c r="F32" s="1135">
        <v>1.91</v>
      </c>
      <c r="G32" s="1135"/>
      <c r="H32" s="1135"/>
      <c r="I32" s="1142"/>
      <c r="J32" s="1131" t="s">
        <v>365</v>
      </c>
    </row>
    <row r="33" spans="1:10" ht="42.75">
      <c r="A33" s="1130"/>
      <c r="B33" s="1131" t="s">
        <v>2904</v>
      </c>
      <c r="C33" s="1131" t="s">
        <v>2817</v>
      </c>
      <c r="D33" s="1136"/>
      <c r="E33" s="1135"/>
      <c r="F33" s="1135"/>
      <c r="G33" s="1137">
        <v>0.12</v>
      </c>
      <c r="H33" s="1135"/>
      <c r="I33" s="1142"/>
      <c r="J33" s="1131" t="s">
        <v>365</v>
      </c>
    </row>
    <row r="34" spans="1:10" ht="32.25">
      <c r="A34" s="1130"/>
      <c r="B34" s="1131"/>
      <c r="C34" s="1131" t="s">
        <v>2905</v>
      </c>
      <c r="D34" s="1136"/>
      <c r="E34" s="1135"/>
      <c r="F34" s="1135"/>
      <c r="G34" s="1140"/>
      <c r="H34" s="1141" t="s">
        <v>2909</v>
      </c>
      <c r="I34" s="1142" t="s">
        <v>2731</v>
      </c>
      <c r="J34" s="1211" t="s">
        <v>2991</v>
      </c>
    </row>
    <row r="35" spans="1:10" ht="32.25">
      <c r="A35" s="1130"/>
      <c r="B35" s="1131"/>
      <c r="C35" s="1131" t="s">
        <v>2820</v>
      </c>
      <c r="D35" s="1136"/>
      <c r="E35" s="1142"/>
      <c r="F35" s="1142"/>
      <c r="G35" s="1142"/>
      <c r="H35" s="1145"/>
      <c r="I35" s="1142" t="s">
        <v>2890</v>
      </c>
      <c r="J35" s="1176" t="s">
        <v>2990</v>
      </c>
    </row>
    <row r="36" spans="1:10">
      <c r="A36" s="1514"/>
      <c r="B36" s="1514"/>
      <c r="C36" s="1514"/>
      <c r="D36" s="1514"/>
      <c r="E36" s="1514"/>
      <c r="F36" s="1514"/>
      <c r="G36" s="1514"/>
      <c r="H36" s="1514"/>
      <c r="I36" s="1514"/>
      <c r="J36" s="1514"/>
    </row>
    <row r="37" spans="1:10" ht="73.5">
      <c r="A37" s="1130" t="s">
        <v>2995</v>
      </c>
      <c r="B37" s="1131" t="s">
        <v>2906</v>
      </c>
      <c r="C37" s="1151" t="s">
        <v>2907</v>
      </c>
      <c r="D37" s="1146"/>
      <c r="E37" s="1135"/>
      <c r="F37" s="1135"/>
      <c r="G37" s="1135"/>
      <c r="H37" s="1135"/>
      <c r="I37" s="1142"/>
      <c r="J37" s="1152"/>
    </row>
    <row r="38" spans="1:10" ht="32.25">
      <c r="A38" s="1130"/>
      <c r="B38" s="1124" t="s">
        <v>2896</v>
      </c>
      <c r="C38" s="1131" t="s">
        <v>2840</v>
      </c>
      <c r="D38" s="1135">
        <v>1.59</v>
      </c>
      <c r="F38" s="1135"/>
      <c r="G38" s="1135"/>
      <c r="H38" s="1135"/>
      <c r="I38" s="1142"/>
      <c r="J38" s="1131" t="s">
        <v>2834</v>
      </c>
    </row>
    <row r="39" spans="1:10" ht="108.75">
      <c r="A39" s="1130"/>
      <c r="B39" s="1124" t="s">
        <v>2908</v>
      </c>
      <c r="C39" s="1131" t="s">
        <v>2816</v>
      </c>
      <c r="D39" s="1146"/>
      <c r="E39" s="1135">
        <v>5.3</v>
      </c>
      <c r="F39" s="1135"/>
      <c r="G39" s="1135"/>
      <c r="H39" s="1135"/>
      <c r="I39" s="1142" t="s">
        <v>2902</v>
      </c>
      <c r="J39" s="1154" t="s">
        <v>2996</v>
      </c>
    </row>
    <row r="40" spans="1:10" ht="42.75">
      <c r="A40" s="1130"/>
      <c r="B40" s="1131" t="s">
        <v>2897</v>
      </c>
      <c r="C40" s="1131" t="s">
        <v>2816</v>
      </c>
      <c r="D40" s="1148"/>
      <c r="E40" s="1135">
        <v>5.3</v>
      </c>
      <c r="F40" s="1135"/>
      <c r="G40" s="1135"/>
      <c r="H40" s="1135"/>
      <c r="I40" s="1142"/>
      <c r="J40" s="1131" t="s">
        <v>2834</v>
      </c>
    </row>
    <row r="41" spans="1:10" ht="42.75">
      <c r="A41" s="1130"/>
      <c r="B41" s="1131" t="s">
        <v>2903</v>
      </c>
      <c r="C41" s="1131" t="s">
        <v>2898</v>
      </c>
      <c r="D41" s="1148"/>
      <c r="E41" s="1135"/>
      <c r="F41" s="1135">
        <v>1.91</v>
      </c>
      <c r="G41" s="1135"/>
      <c r="H41" s="1135"/>
      <c r="I41" s="1142"/>
      <c r="J41" s="1131" t="s">
        <v>2993</v>
      </c>
    </row>
    <row r="42" spans="1:10" ht="42.75">
      <c r="A42" s="1130"/>
      <c r="B42" s="1131" t="s">
        <v>2899</v>
      </c>
      <c r="C42" s="1131" t="s">
        <v>2817</v>
      </c>
      <c r="D42" s="1136"/>
      <c r="E42" s="1135"/>
      <c r="F42" s="1135"/>
      <c r="G42" s="1137">
        <v>1.1000000000000001</v>
      </c>
      <c r="H42" s="1135"/>
      <c r="I42" s="1142"/>
      <c r="J42" s="1131" t="s">
        <v>2834</v>
      </c>
    </row>
    <row r="43" spans="1:10" ht="42.75">
      <c r="A43" s="1130"/>
      <c r="B43" s="1131" t="s">
        <v>2904</v>
      </c>
      <c r="C43" s="1131" t="s">
        <v>2817</v>
      </c>
      <c r="D43" s="1136"/>
      <c r="E43" s="1135"/>
      <c r="F43" s="1135"/>
      <c r="G43" s="1212">
        <v>0.12</v>
      </c>
      <c r="H43" s="1141"/>
      <c r="I43" s="1142"/>
      <c r="J43" s="1131" t="s">
        <v>2993</v>
      </c>
    </row>
    <row r="44" spans="1:10" ht="42.75">
      <c r="A44" s="1130"/>
      <c r="B44" s="1131"/>
      <c r="C44" s="1131" t="s">
        <v>2835</v>
      </c>
      <c r="D44" s="1136"/>
      <c r="E44" s="1135"/>
      <c r="F44" s="1135"/>
      <c r="G44" s="1135"/>
      <c r="H44" s="1141" t="s">
        <v>2909</v>
      </c>
      <c r="I44" s="1142" t="s">
        <v>2731</v>
      </c>
      <c r="J44" s="1211" t="s">
        <v>2991</v>
      </c>
    </row>
    <row r="45" spans="1:10" ht="32.25">
      <c r="A45" s="1130" t="s">
        <v>2910</v>
      </c>
      <c r="B45" s="1131"/>
      <c r="C45" s="1131" t="s">
        <v>2820</v>
      </c>
      <c r="D45" s="1136"/>
      <c r="E45" s="1142"/>
      <c r="F45" s="1142"/>
      <c r="G45" s="1142"/>
      <c r="H45" s="1145"/>
      <c r="I45" s="1142" t="s">
        <v>2890</v>
      </c>
      <c r="J45" s="1176" t="s">
        <v>2990</v>
      </c>
    </row>
    <row r="46" spans="1:10">
      <c r="A46" s="1514"/>
      <c r="B46" s="1514"/>
      <c r="C46" s="1514"/>
      <c r="D46" s="1514"/>
      <c r="E46" s="1514"/>
      <c r="F46" s="1514"/>
      <c r="G46" s="1514"/>
      <c r="H46" s="1514"/>
      <c r="I46" s="1514"/>
      <c r="J46" s="1514"/>
    </row>
    <row r="47" spans="1:10" ht="53.25">
      <c r="A47" s="1130" t="s">
        <v>2997</v>
      </c>
      <c r="B47" s="1131" t="s">
        <v>2911</v>
      </c>
      <c r="C47" s="1131" t="s">
        <v>2912</v>
      </c>
      <c r="D47" s="1146"/>
      <c r="E47" s="1133"/>
      <c r="F47" s="1133"/>
      <c r="G47" s="1133"/>
      <c r="H47" s="1134"/>
      <c r="I47" s="1135"/>
      <c r="J47" s="1131"/>
    </row>
    <row r="48" spans="1:10" ht="42.75">
      <c r="A48" s="1130"/>
      <c r="B48" s="1131" t="s">
        <v>2892</v>
      </c>
      <c r="C48" s="1131" t="s">
        <v>2816</v>
      </c>
      <c r="D48" s="1136" t="s">
        <v>426</v>
      </c>
      <c r="E48" s="1135">
        <v>5.3</v>
      </c>
      <c r="F48" s="1135"/>
      <c r="G48" s="1135"/>
      <c r="H48" s="1135"/>
      <c r="I48" s="1135"/>
      <c r="J48" s="1131" t="s">
        <v>2819</v>
      </c>
    </row>
    <row r="49" spans="1:10" ht="42.75">
      <c r="A49" s="1130"/>
      <c r="B49" s="1131" t="s">
        <v>2886</v>
      </c>
      <c r="C49" s="1131" t="s">
        <v>2887</v>
      </c>
      <c r="D49" s="1136"/>
      <c r="E49" s="1135"/>
      <c r="F49" s="1135">
        <v>1.91</v>
      </c>
      <c r="G49" s="1135"/>
      <c r="H49" s="1135"/>
      <c r="I49" s="1135"/>
      <c r="J49" s="1131" t="s">
        <v>2819</v>
      </c>
    </row>
    <row r="50" spans="1:10" ht="42.75">
      <c r="A50" s="1130"/>
      <c r="B50" s="1131" t="s">
        <v>2913</v>
      </c>
      <c r="C50" s="1131" t="s">
        <v>2817</v>
      </c>
      <c r="D50" s="1136" t="s">
        <v>426</v>
      </c>
      <c r="E50" s="1135"/>
      <c r="F50" s="1135"/>
      <c r="G50" s="1137">
        <v>1</v>
      </c>
      <c r="H50" s="1135"/>
      <c r="I50" s="1135"/>
      <c r="J50" s="1131" t="s">
        <v>2819</v>
      </c>
    </row>
    <row r="51" spans="1:10" ht="32.25">
      <c r="A51" s="1130"/>
      <c r="B51" s="1131"/>
      <c r="C51" s="1131" t="s">
        <v>2905</v>
      </c>
      <c r="D51" s="1146"/>
      <c r="E51" s="1135"/>
      <c r="F51" s="1135"/>
      <c r="G51" s="1140"/>
      <c r="H51" s="1141" t="s">
        <v>2909</v>
      </c>
      <c r="I51" s="1142" t="s">
        <v>2731</v>
      </c>
      <c r="J51" s="1211" t="s">
        <v>2991</v>
      </c>
    </row>
    <row r="52" spans="1:10" ht="32.25">
      <c r="A52" s="1130"/>
      <c r="B52" s="1131"/>
      <c r="C52" s="1131" t="s">
        <v>2820</v>
      </c>
      <c r="D52" s="1146"/>
      <c r="E52" s="1135"/>
      <c r="F52" s="1135"/>
      <c r="G52" s="1140"/>
      <c r="H52" s="1144"/>
      <c r="I52" s="1135" t="s">
        <v>2890</v>
      </c>
      <c r="J52" s="1176" t="s">
        <v>2990</v>
      </c>
    </row>
    <row r="53" spans="1:10">
      <c r="A53" s="1514"/>
      <c r="B53" s="1514"/>
      <c r="C53" s="1514"/>
      <c r="D53" s="1514"/>
      <c r="E53" s="1514"/>
      <c r="F53" s="1514"/>
      <c r="G53" s="1514"/>
      <c r="H53" s="1514"/>
      <c r="I53" s="1514"/>
      <c r="J53" s="1514"/>
    </row>
    <row r="54" spans="1:10" ht="32.25">
      <c r="A54" s="1130" t="s">
        <v>2998</v>
      </c>
      <c r="B54" s="1131" t="s">
        <v>2914</v>
      </c>
      <c r="C54" s="1131" t="s">
        <v>2915</v>
      </c>
      <c r="D54" s="1155"/>
      <c r="E54" s="1142"/>
      <c r="F54" s="1142"/>
      <c r="G54" s="1142"/>
      <c r="H54" s="1142"/>
      <c r="I54" s="1142"/>
      <c r="J54" s="1152"/>
    </row>
    <row r="55" spans="1:10" ht="32.25">
      <c r="A55" s="1130"/>
      <c r="B55" s="1131" t="s">
        <v>2916</v>
      </c>
      <c r="C55" s="1131" t="s">
        <v>2840</v>
      </c>
      <c r="D55" s="1156">
        <v>49.01</v>
      </c>
      <c r="E55" s="1142"/>
      <c r="F55" s="1142"/>
      <c r="G55" s="1142"/>
      <c r="H55" s="1142"/>
      <c r="I55" s="1142"/>
      <c r="J55" s="1131" t="s">
        <v>2999</v>
      </c>
    </row>
    <row r="56" spans="1:10" ht="42.75">
      <c r="A56" s="1130"/>
      <c r="B56" s="1131" t="s">
        <v>2917</v>
      </c>
      <c r="C56" s="1131" t="s">
        <v>2816</v>
      </c>
      <c r="D56" s="1148" t="s">
        <v>426</v>
      </c>
      <c r="E56" s="1135">
        <v>26.5</v>
      </c>
      <c r="F56" s="1135"/>
      <c r="G56" s="1135"/>
      <c r="H56" s="1135"/>
      <c r="I56" s="1142"/>
      <c r="J56" s="1131" t="s">
        <v>2999</v>
      </c>
    </row>
    <row r="57" spans="1:10" ht="42.75">
      <c r="A57" s="1130"/>
      <c r="B57" s="1131" t="s">
        <v>2886</v>
      </c>
      <c r="C57" s="1131" t="s">
        <v>2898</v>
      </c>
      <c r="D57" s="1136"/>
      <c r="E57" s="1135"/>
      <c r="F57" s="1135">
        <v>1.91</v>
      </c>
      <c r="G57" s="1135"/>
      <c r="H57" s="1135"/>
      <c r="I57" s="1142"/>
      <c r="J57" s="1131" t="s">
        <v>2993</v>
      </c>
    </row>
    <row r="58" spans="1:10" ht="42.75">
      <c r="A58" s="1130"/>
      <c r="B58" s="1131" t="s">
        <v>2918</v>
      </c>
      <c r="C58" s="1131" t="s">
        <v>2817</v>
      </c>
      <c r="D58" s="1146" t="s">
        <v>426</v>
      </c>
      <c r="E58" s="1135"/>
      <c r="F58" s="1135"/>
      <c r="G58" s="1137">
        <v>12.69</v>
      </c>
      <c r="H58" s="1135"/>
      <c r="I58" s="1142"/>
      <c r="J58" s="1131" t="s">
        <v>2999</v>
      </c>
    </row>
    <row r="59" spans="1:10" ht="32.25">
      <c r="A59" s="1130"/>
      <c r="B59" s="1131"/>
      <c r="C59" s="1131" t="s">
        <v>2905</v>
      </c>
      <c r="D59" s="1146"/>
      <c r="E59" s="1135"/>
      <c r="F59" s="1135"/>
      <c r="G59" s="1140"/>
      <c r="H59" s="1141" t="s">
        <v>2909</v>
      </c>
      <c r="I59" s="1142" t="s">
        <v>2731</v>
      </c>
      <c r="J59" s="1211" t="s">
        <v>2991</v>
      </c>
    </row>
    <row r="60" spans="1:10" ht="32.25">
      <c r="A60" s="1130"/>
      <c r="B60" s="1131"/>
      <c r="C60" s="1131" t="s">
        <v>2820</v>
      </c>
      <c r="D60" s="1157"/>
      <c r="E60" s="1142"/>
      <c r="F60" s="1142"/>
      <c r="G60" s="1142"/>
      <c r="H60" s="1149"/>
      <c r="I60" s="1142" t="s">
        <v>2890</v>
      </c>
      <c r="J60" s="1176" t="s">
        <v>2990</v>
      </c>
    </row>
    <row r="61" spans="1:10">
      <c r="A61" s="1514"/>
      <c r="B61" s="1514"/>
      <c r="C61" s="1514"/>
      <c r="D61" s="1514"/>
      <c r="E61" s="1514"/>
      <c r="F61" s="1514"/>
      <c r="G61" s="1514"/>
      <c r="H61" s="1514"/>
      <c r="I61" s="1514"/>
      <c r="J61" s="1514"/>
    </row>
    <row r="62" spans="1:10" ht="32.25">
      <c r="A62" s="1130" t="s">
        <v>3000</v>
      </c>
      <c r="B62" s="1131" t="s">
        <v>2919</v>
      </c>
      <c r="C62" s="1131" t="s">
        <v>2920</v>
      </c>
      <c r="D62" s="1146"/>
      <c r="E62" s="1135"/>
      <c r="F62" s="1135"/>
      <c r="G62" s="1135"/>
      <c r="H62" s="1135"/>
      <c r="I62" s="1142"/>
      <c r="J62" s="1131"/>
    </row>
    <row r="63" spans="1:10" ht="42.75">
      <c r="A63" s="1130"/>
      <c r="B63" s="1131" t="s">
        <v>2892</v>
      </c>
      <c r="C63" s="1131" t="s">
        <v>2816</v>
      </c>
      <c r="D63" s="1146"/>
      <c r="E63" s="1135">
        <v>5.3</v>
      </c>
      <c r="F63" s="1135"/>
      <c r="G63" s="1135"/>
      <c r="H63" s="1135"/>
      <c r="I63" s="1142"/>
      <c r="J63" s="1131" t="s">
        <v>2819</v>
      </c>
    </row>
    <row r="64" spans="1:10" ht="42.75">
      <c r="A64" s="1130"/>
      <c r="B64" s="1131" t="s">
        <v>2886</v>
      </c>
      <c r="C64" s="1131" t="s">
        <v>2898</v>
      </c>
      <c r="D64" s="1136"/>
      <c r="E64" s="1135"/>
      <c r="F64" s="1135">
        <v>1.91</v>
      </c>
      <c r="G64" s="1135"/>
      <c r="H64" s="1135"/>
      <c r="I64" s="1142"/>
      <c r="J64" s="1131" t="s">
        <v>2819</v>
      </c>
    </row>
    <row r="65" spans="1:10" ht="42.75">
      <c r="A65" s="1130"/>
      <c r="B65" s="1131" t="s">
        <v>2913</v>
      </c>
      <c r="C65" s="1131" t="s">
        <v>2817</v>
      </c>
      <c r="D65" s="1148"/>
      <c r="E65" s="1135"/>
      <c r="F65" s="1135"/>
      <c r="G65" s="1137">
        <v>1</v>
      </c>
      <c r="H65" s="1135"/>
      <c r="I65" s="1158"/>
      <c r="J65" s="1131" t="s">
        <v>2819</v>
      </c>
    </row>
    <row r="66" spans="1:10" ht="32.25">
      <c r="A66" s="1130"/>
      <c r="B66" s="1131"/>
      <c r="C66" s="1131" t="s">
        <v>2905</v>
      </c>
      <c r="D66" s="1148"/>
      <c r="E66" s="1135"/>
      <c r="F66" s="1135"/>
      <c r="G66" s="1140"/>
      <c r="H66" s="1141" t="s">
        <v>2909</v>
      </c>
      <c r="I66" s="1142" t="s">
        <v>2731</v>
      </c>
      <c r="J66" s="1211" t="s">
        <v>2991</v>
      </c>
    </row>
    <row r="67" spans="1:10" ht="32.25">
      <c r="A67" s="1130"/>
      <c r="B67" s="1131"/>
      <c r="C67" s="1131" t="s">
        <v>2820</v>
      </c>
      <c r="D67" s="1136"/>
      <c r="E67" s="1142"/>
      <c r="F67" s="1142"/>
      <c r="G67" s="1142"/>
      <c r="H67" s="1149"/>
      <c r="I67" s="1142" t="s">
        <v>2890</v>
      </c>
      <c r="J67" s="1176" t="s">
        <v>2990</v>
      </c>
    </row>
    <row r="68" spans="1:10" s="1159" customFormat="1">
      <c r="A68" s="1514"/>
      <c r="B68" s="1514"/>
      <c r="C68" s="1514"/>
      <c r="D68" s="1514"/>
      <c r="E68" s="1514"/>
      <c r="F68" s="1514"/>
      <c r="G68" s="1514"/>
      <c r="H68" s="1514"/>
      <c r="I68" s="1514"/>
      <c r="J68" s="1514"/>
    </row>
    <row r="69" spans="1:10" ht="31.5">
      <c r="A69" s="1160" t="s">
        <v>3001</v>
      </c>
      <c r="B69" s="1131" t="s">
        <v>2921</v>
      </c>
      <c r="C69" s="1161" t="s">
        <v>2922</v>
      </c>
      <c r="D69" s="1132"/>
      <c r="E69" s="1135"/>
      <c r="F69" s="1135"/>
      <c r="G69" s="1140"/>
      <c r="H69" s="1135"/>
      <c r="I69" s="1135"/>
      <c r="J69" s="1131" t="s">
        <v>2923</v>
      </c>
    </row>
    <row r="70" spans="1:10" ht="32.25">
      <c r="A70" s="1162"/>
      <c r="B70" s="1163"/>
      <c r="C70" s="1131" t="s">
        <v>2879</v>
      </c>
      <c r="D70" s="1164"/>
      <c r="E70" s="1135"/>
      <c r="F70" s="1135"/>
      <c r="G70" s="1165"/>
      <c r="H70" s="1144"/>
      <c r="I70" s="1145" t="s">
        <v>2890</v>
      </c>
      <c r="J70" s="1176" t="s">
        <v>2990</v>
      </c>
    </row>
    <row r="71" spans="1:10">
      <c r="A71" s="1514"/>
      <c r="B71" s="1514"/>
      <c r="C71" s="1514"/>
      <c r="D71" s="1514"/>
      <c r="E71" s="1514"/>
      <c r="F71" s="1514"/>
      <c r="G71" s="1514"/>
      <c r="H71" s="1514"/>
      <c r="I71" s="1514"/>
      <c r="J71" s="1514"/>
    </row>
    <row r="72" spans="1:10" ht="42">
      <c r="A72" s="1160" t="s">
        <v>3002</v>
      </c>
      <c r="B72" s="1131" t="s">
        <v>2924</v>
      </c>
      <c r="C72" s="1161" t="s">
        <v>2925</v>
      </c>
      <c r="D72" s="1132"/>
      <c r="E72" s="1135"/>
      <c r="F72" s="1135"/>
      <c r="G72" s="1165"/>
      <c r="H72" s="1135"/>
      <c r="I72" s="1135"/>
      <c r="J72" s="1131"/>
    </row>
    <row r="73" spans="1:10" ht="32.25">
      <c r="A73" s="1162"/>
      <c r="B73" s="1163"/>
      <c r="C73" s="1131" t="s">
        <v>2879</v>
      </c>
      <c r="D73" s="1164"/>
      <c r="E73" s="1135"/>
      <c r="F73" s="1135"/>
      <c r="G73" s="1165"/>
      <c r="H73" s="1144"/>
      <c r="I73" s="1145" t="s">
        <v>2890</v>
      </c>
      <c r="J73" s="1176" t="s">
        <v>2990</v>
      </c>
    </row>
    <row r="74" spans="1:10">
      <c r="A74" s="1514"/>
      <c r="B74" s="1514"/>
      <c r="C74" s="1514"/>
      <c r="D74" s="1514"/>
      <c r="E74" s="1514"/>
      <c r="F74" s="1514"/>
      <c r="G74" s="1514"/>
      <c r="H74" s="1514"/>
      <c r="I74" s="1514"/>
      <c r="J74" s="1514"/>
    </row>
    <row r="75" spans="1:10" ht="63.75">
      <c r="A75" s="1160" t="s">
        <v>1935</v>
      </c>
      <c r="B75" s="1131" t="s">
        <v>2926</v>
      </c>
      <c r="C75" s="1161" t="s">
        <v>332</v>
      </c>
      <c r="D75" s="1132"/>
      <c r="E75" s="1135"/>
      <c r="F75" s="1135"/>
      <c r="G75" s="1140"/>
      <c r="H75" s="1135"/>
      <c r="I75" s="1135"/>
      <c r="J75" s="1152"/>
    </row>
    <row r="76" spans="1:10" ht="32.25">
      <c r="A76" s="1162"/>
      <c r="B76" s="1163"/>
      <c r="C76" s="1131" t="s">
        <v>2879</v>
      </c>
      <c r="D76" s="1164"/>
      <c r="E76" s="1135"/>
      <c r="F76" s="1135"/>
      <c r="G76" s="1165"/>
      <c r="H76" s="1144"/>
      <c r="I76" s="1145" t="s">
        <v>2890</v>
      </c>
      <c r="J76" s="1176" t="s">
        <v>2990</v>
      </c>
    </row>
    <row r="77" spans="1:10">
      <c r="A77" s="1514"/>
      <c r="B77" s="1514"/>
      <c r="C77" s="1514"/>
      <c r="D77" s="1514"/>
      <c r="E77" s="1514"/>
      <c r="F77" s="1514"/>
      <c r="G77" s="1514"/>
      <c r="H77" s="1514"/>
      <c r="I77" s="1514"/>
      <c r="J77" s="1514"/>
    </row>
    <row r="78" spans="1:10" ht="63.75">
      <c r="A78" s="1130" t="s">
        <v>3003</v>
      </c>
      <c r="B78" s="1131" t="s">
        <v>2927</v>
      </c>
      <c r="C78" s="1131" t="s">
        <v>2928</v>
      </c>
      <c r="D78" s="1166"/>
      <c r="E78" s="1135"/>
      <c r="F78" s="1135"/>
      <c r="G78" s="1140"/>
      <c r="H78" s="1135"/>
      <c r="I78" s="1135"/>
      <c r="J78" s="1152"/>
    </row>
    <row r="79" spans="1:10" ht="63.75">
      <c r="A79" s="1130" t="s">
        <v>3003</v>
      </c>
      <c r="B79" s="1131" t="s">
        <v>2927</v>
      </c>
      <c r="C79" s="1131" t="s">
        <v>2929</v>
      </c>
      <c r="D79" s="1166"/>
      <c r="E79" s="1135"/>
      <c r="F79" s="1135"/>
      <c r="G79" s="1140"/>
      <c r="H79" s="1135"/>
      <c r="I79" s="1135"/>
      <c r="J79" s="1152"/>
    </row>
    <row r="80" spans="1:10" ht="32.25">
      <c r="A80" s="1167"/>
      <c r="B80" s="1163"/>
      <c r="C80" s="1131" t="s">
        <v>2879</v>
      </c>
      <c r="D80" s="1164"/>
      <c r="E80" s="1135"/>
      <c r="F80" s="1135"/>
      <c r="G80" s="1165"/>
      <c r="H80" s="1144"/>
      <c r="I80" s="1145" t="s">
        <v>2890</v>
      </c>
      <c r="J80" s="1176" t="s">
        <v>2990</v>
      </c>
    </row>
    <row r="81" spans="1:10">
      <c r="A81" s="1514"/>
      <c r="B81" s="1514"/>
      <c r="C81" s="1514"/>
      <c r="D81" s="1514"/>
      <c r="E81" s="1514"/>
      <c r="F81" s="1514"/>
      <c r="G81" s="1514"/>
      <c r="H81" s="1514"/>
      <c r="I81" s="1514"/>
      <c r="J81" s="1514"/>
    </row>
    <row r="82" spans="1:10" ht="63.75">
      <c r="A82" s="1130" t="s">
        <v>3004</v>
      </c>
      <c r="B82" s="1131" t="s">
        <v>2930</v>
      </c>
      <c r="C82" s="1131" t="s">
        <v>2931</v>
      </c>
      <c r="D82" s="1146"/>
      <c r="E82" s="1135"/>
      <c r="F82" s="1135"/>
      <c r="G82" s="1140"/>
      <c r="H82" s="1135"/>
      <c r="I82" s="1142"/>
      <c r="J82" s="1152"/>
    </row>
    <row r="83" spans="1:10" ht="32.25">
      <c r="A83" s="1162"/>
      <c r="B83" s="1163"/>
      <c r="C83" s="1131" t="s">
        <v>2879</v>
      </c>
      <c r="D83" s="1164"/>
      <c r="E83" s="1135"/>
      <c r="F83" s="1135"/>
      <c r="G83" s="1165"/>
      <c r="H83" s="1144"/>
      <c r="I83" s="1145" t="s">
        <v>2890</v>
      </c>
      <c r="J83" s="1176" t="s">
        <v>2990</v>
      </c>
    </row>
    <row r="84" spans="1:10">
      <c r="A84" s="1514"/>
      <c r="B84" s="1514"/>
      <c r="C84" s="1514"/>
      <c r="D84" s="1514"/>
      <c r="E84" s="1514"/>
      <c r="F84" s="1514"/>
      <c r="G84" s="1514"/>
      <c r="H84" s="1514"/>
      <c r="I84" s="1514"/>
      <c r="J84" s="1514"/>
    </row>
    <row r="85" spans="1:10" ht="42.75">
      <c r="A85" s="1130" t="s">
        <v>3005</v>
      </c>
      <c r="B85" s="1131" t="s">
        <v>2932</v>
      </c>
      <c r="C85" s="1131" t="s">
        <v>2933</v>
      </c>
      <c r="D85" s="1146"/>
      <c r="E85" s="1135"/>
      <c r="F85" s="1135"/>
      <c r="G85" s="1135"/>
      <c r="H85" s="1135"/>
      <c r="I85" s="1135"/>
      <c r="J85" s="1152"/>
    </row>
    <row r="86" spans="1:10" ht="32.25">
      <c r="A86" s="1167"/>
      <c r="B86" s="1163"/>
      <c r="C86" s="1131" t="s">
        <v>2879</v>
      </c>
      <c r="D86" s="1164"/>
      <c r="E86" s="1135"/>
      <c r="F86" s="1135"/>
      <c r="G86" s="1165"/>
      <c r="H86" s="1144"/>
      <c r="I86" s="1145" t="s">
        <v>2890</v>
      </c>
      <c r="J86" s="1176" t="s">
        <v>2990</v>
      </c>
    </row>
    <row r="87" spans="1:10">
      <c r="A87" s="1514"/>
      <c r="B87" s="1514"/>
      <c r="C87" s="1514"/>
      <c r="D87" s="1514"/>
      <c r="E87" s="1514"/>
      <c r="F87" s="1514"/>
      <c r="G87" s="1514"/>
      <c r="H87" s="1514"/>
      <c r="I87" s="1514"/>
      <c r="J87" s="1514"/>
    </row>
    <row r="88" spans="1:10" ht="63.75">
      <c r="A88" s="1130" t="s">
        <v>3006</v>
      </c>
      <c r="B88" s="1131" t="s">
        <v>2934</v>
      </c>
      <c r="C88" s="1131" t="s">
        <v>2935</v>
      </c>
      <c r="D88" s="1166"/>
      <c r="E88" s="1135"/>
      <c r="F88" s="1135"/>
      <c r="G88" s="1140"/>
      <c r="H88" s="1135"/>
      <c r="I88" s="1135"/>
      <c r="J88" s="1152"/>
    </row>
    <row r="89" spans="1:10" ht="32.25">
      <c r="A89" s="1167"/>
      <c r="B89" s="1163"/>
      <c r="C89" s="1131" t="s">
        <v>2879</v>
      </c>
      <c r="D89" s="1164"/>
      <c r="E89" s="1135"/>
      <c r="F89" s="1135"/>
      <c r="G89" s="1165"/>
      <c r="H89" s="1144"/>
      <c r="I89" s="1145" t="s">
        <v>2890</v>
      </c>
      <c r="J89" s="1176" t="s">
        <v>2990</v>
      </c>
    </row>
    <row r="90" spans="1:10">
      <c r="A90" s="1514"/>
      <c r="B90" s="1514"/>
      <c r="C90" s="1514"/>
      <c r="D90" s="1514"/>
      <c r="E90" s="1514"/>
      <c r="F90" s="1514"/>
      <c r="G90" s="1514"/>
      <c r="H90" s="1514"/>
      <c r="I90" s="1514"/>
      <c r="J90" s="1514"/>
    </row>
    <row r="91" spans="1:10" ht="42.75">
      <c r="A91" s="1130" t="s">
        <v>2936</v>
      </c>
      <c r="B91" s="1131" t="s">
        <v>2937</v>
      </c>
      <c r="C91" s="1131" t="s">
        <v>2933</v>
      </c>
      <c r="D91" s="1146"/>
      <c r="E91" s="1135"/>
      <c r="F91" s="1135"/>
      <c r="G91" s="1135"/>
      <c r="H91" s="1135"/>
      <c r="I91" s="1135"/>
      <c r="J91" s="1152"/>
    </row>
    <row r="92" spans="1:10" ht="32.25">
      <c r="A92" s="1167" t="s">
        <v>426</v>
      </c>
      <c r="B92" s="1163"/>
      <c r="C92" s="1131" t="s">
        <v>2879</v>
      </c>
      <c r="D92" s="1164"/>
      <c r="E92" s="1135"/>
      <c r="F92" s="1135"/>
      <c r="G92" s="1165"/>
      <c r="H92" s="1144"/>
      <c r="I92" s="1145" t="s">
        <v>2890</v>
      </c>
      <c r="J92" s="1176" t="s">
        <v>2990</v>
      </c>
    </row>
    <row r="93" spans="1:10">
      <c r="A93" s="1514"/>
      <c r="B93" s="1514"/>
      <c r="C93" s="1514"/>
      <c r="D93" s="1514"/>
      <c r="E93" s="1514"/>
      <c r="F93" s="1514"/>
      <c r="G93" s="1514"/>
      <c r="H93" s="1514"/>
      <c r="I93" s="1514"/>
      <c r="J93" s="1514"/>
    </row>
    <row r="94" spans="1:10" ht="53.25">
      <c r="A94" s="1168" t="s">
        <v>3007</v>
      </c>
      <c r="B94" s="1131" t="s">
        <v>2938</v>
      </c>
      <c r="C94" s="1131" t="s">
        <v>2939</v>
      </c>
      <c r="D94" s="1146"/>
      <c r="E94" s="1135"/>
      <c r="F94" s="1135"/>
      <c r="G94" s="1135"/>
      <c r="H94" s="1135"/>
      <c r="I94" s="1135"/>
      <c r="J94" s="1152"/>
    </row>
    <row r="95" spans="1:10" ht="32.25">
      <c r="A95" s="1167"/>
      <c r="B95" s="1163"/>
      <c r="C95" s="1131" t="s">
        <v>2879</v>
      </c>
      <c r="D95" s="1164"/>
      <c r="E95" s="1135"/>
      <c r="F95" s="1135"/>
      <c r="G95" s="1165"/>
      <c r="H95" s="1144"/>
      <c r="I95" s="1145" t="s">
        <v>2890</v>
      </c>
      <c r="J95" s="1176" t="s">
        <v>2990</v>
      </c>
    </row>
    <row r="96" spans="1:10">
      <c r="A96" s="1514"/>
      <c r="B96" s="1514"/>
      <c r="C96" s="1514"/>
      <c r="D96" s="1514"/>
      <c r="E96" s="1514"/>
      <c r="F96" s="1514"/>
      <c r="G96" s="1514"/>
      <c r="H96" s="1514"/>
      <c r="I96" s="1514"/>
      <c r="J96" s="1514"/>
    </row>
    <row r="97" spans="1:10" ht="53.25">
      <c r="A97" s="1130" t="s">
        <v>3008</v>
      </c>
      <c r="B97" s="1131" t="s">
        <v>2940</v>
      </c>
      <c r="C97" s="1131" t="s">
        <v>2939</v>
      </c>
      <c r="D97" s="1146"/>
      <c r="E97" s="1135"/>
      <c r="F97" s="1135"/>
      <c r="G97" s="1135"/>
      <c r="H97" s="1135"/>
      <c r="I97" s="1135"/>
      <c r="J97" s="1131"/>
    </row>
    <row r="98" spans="1:10" ht="32.25">
      <c r="A98" s="1167"/>
      <c r="B98" s="1163"/>
      <c r="C98" s="1131" t="s">
        <v>2879</v>
      </c>
      <c r="D98" s="1164"/>
      <c r="E98" s="1135"/>
      <c r="F98" s="1135"/>
      <c r="G98" s="1165"/>
      <c r="H98" s="1144"/>
      <c r="I98" s="1145" t="s">
        <v>2890</v>
      </c>
      <c r="J98" s="1176" t="s">
        <v>2990</v>
      </c>
    </row>
    <row r="99" spans="1:10">
      <c r="A99" s="1514"/>
      <c r="B99" s="1514"/>
      <c r="C99" s="1514"/>
      <c r="D99" s="1514"/>
      <c r="E99" s="1514"/>
      <c r="F99" s="1514"/>
      <c r="G99" s="1514"/>
      <c r="H99" s="1514"/>
      <c r="I99" s="1514"/>
      <c r="J99" s="1514"/>
    </row>
    <row r="100" spans="1:10" ht="42.75">
      <c r="A100" s="1168" t="s">
        <v>3009</v>
      </c>
      <c r="B100" s="1131" t="s">
        <v>2941</v>
      </c>
      <c r="C100" s="1131" t="s">
        <v>2942</v>
      </c>
      <c r="D100" s="1146"/>
      <c r="E100" s="1135"/>
      <c r="F100" s="1135"/>
      <c r="G100" s="1135"/>
      <c r="H100" s="1135"/>
      <c r="I100" s="1135"/>
      <c r="J100" s="1152"/>
    </row>
    <row r="101" spans="1:10" ht="32.25">
      <c r="A101" s="1167"/>
      <c r="B101" s="1163"/>
      <c r="C101" s="1131" t="s">
        <v>2879</v>
      </c>
      <c r="D101" s="1164"/>
      <c r="E101" s="1135"/>
      <c r="F101" s="1135"/>
      <c r="G101" s="1165"/>
      <c r="H101" s="1144"/>
      <c r="I101" s="1145" t="s">
        <v>2890</v>
      </c>
      <c r="J101" s="1176" t="s">
        <v>2990</v>
      </c>
    </row>
    <row r="102" spans="1:10">
      <c r="A102" s="1514"/>
      <c r="B102" s="1514"/>
      <c r="C102" s="1514"/>
      <c r="D102" s="1514"/>
      <c r="E102" s="1514"/>
      <c r="F102" s="1514"/>
      <c r="G102" s="1514"/>
      <c r="H102" s="1514"/>
      <c r="I102" s="1514"/>
      <c r="J102" s="1514"/>
    </row>
    <row r="103" spans="1:10" ht="42.75">
      <c r="A103" s="1168" t="s">
        <v>3010</v>
      </c>
      <c r="B103" s="1131" t="s">
        <v>2943</v>
      </c>
      <c r="C103" s="1131" t="s">
        <v>2944</v>
      </c>
      <c r="D103" s="1146"/>
      <c r="E103" s="1135"/>
      <c r="F103" s="1135"/>
      <c r="G103" s="1135"/>
      <c r="H103" s="1135"/>
      <c r="I103" s="1135"/>
      <c r="J103" s="1131"/>
    </row>
    <row r="104" spans="1:10" ht="32.25">
      <c r="A104" s="1162"/>
      <c r="B104" s="1163"/>
      <c r="C104" s="1131" t="s">
        <v>2879</v>
      </c>
      <c r="D104" s="1164"/>
      <c r="E104" s="1135"/>
      <c r="F104" s="1135"/>
      <c r="G104" s="1165"/>
      <c r="H104" s="1144"/>
      <c r="I104" s="1145" t="s">
        <v>2890</v>
      </c>
      <c r="J104" s="1176" t="s">
        <v>2990</v>
      </c>
    </row>
    <row r="105" spans="1:10">
      <c r="A105" s="1514"/>
      <c r="B105" s="1514"/>
      <c r="C105" s="1514"/>
      <c r="D105" s="1514"/>
      <c r="E105" s="1514"/>
      <c r="F105" s="1514"/>
      <c r="G105" s="1514"/>
      <c r="H105" s="1514"/>
      <c r="I105" s="1514"/>
      <c r="J105" s="1514"/>
    </row>
    <row r="106" spans="1:10" ht="42.75">
      <c r="A106" s="1168" t="s">
        <v>2978</v>
      </c>
      <c r="B106" s="1131" t="s">
        <v>2945</v>
      </c>
      <c r="C106" s="1131" t="s">
        <v>2946</v>
      </c>
      <c r="D106" s="1146"/>
      <c r="E106" s="1135"/>
      <c r="F106" s="1135"/>
      <c r="G106" s="1135"/>
      <c r="H106" s="1135"/>
      <c r="I106" s="1135"/>
      <c r="J106" s="1152"/>
    </row>
    <row r="107" spans="1:10" ht="32.25">
      <c r="A107" s="1162"/>
      <c r="B107" s="1163"/>
      <c r="C107" s="1131" t="s">
        <v>2879</v>
      </c>
      <c r="D107" s="1164"/>
      <c r="E107" s="1135"/>
      <c r="F107" s="1135"/>
      <c r="G107" s="1165"/>
      <c r="H107" s="1144"/>
      <c r="I107" s="1145" t="s">
        <v>2890</v>
      </c>
      <c r="J107" s="1176" t="s">
        <v>2990</v>
      </c>
    </row>
    <row r="108" spans="1:10">
      <c r="A108" s="1514"/>
      <c r="B108" s="1514"/>
      <c r="C108" s="1514"/>
      <c r="D108" s="1514"/>
      <c r="E108" s="1514"/>
      <c r="F108" s="1514"/>
      <c r="G108" s="1514"/>
      <c r="H108" s="1514"/>
      <c r="I108" s="1514"/>
      <c r="J108" s="1514"/>
    </row>
    <row r="109" spans="1:10" ht="53.25">
      <c r="A109" s="1168" t="s">
        <v>3011</v>
      </c>
      <c r="B109" s="1131" t="s">
        <v>2947</v>
      </c>
      <c r="C109" s="1131" t="s">
        <v>2948</v>
      </c>
      <c r="D109" s="1146"/>
      <c r="E109" s="1135"/>
      <c r="F109" s="1135"/>
      <c r="G109" s="1135"/>
      <c r="H109" s="1135"/>
      <c r="I109" s="1135"/>
      <c r="J109" s="1152"/>
    </row>
    <row r="110" spans="1:10" ht="32.25">
      <c r="A110" s="1162"/>
      <c r="B110" s="1163"/>
      <c r="C110" s="1131" t="s">
        <v>2879</v>
      </c>
      <c r="D110" s="1164"/>
      <c r="E110" s="1135"/>
      <c r="F110" s="1135"/>
      <c r="G110" s="1165"/>
      <c r="H110" s="1144"/>
      <c r="I110" s="1145" t="s">
        <v>2890</v>
      </c>
      <c r="J110" s="1176" t="s">
        <v>2990</v>
      </c>
    </row>
    <row r="111" spans="1:10">
      <c r="A111" s="1514"/>
      <c r="B111" s="1514"/>
      <c r="C111" s="1514"/>
      <c r="D111" s="1514"/>
      <c r="E111" s="1514"/>
      <c r="F111" s="1514"/>
      <c r="G111" s="1514"/>
      <c r="H111" s="1514"/>
      <c r="I111" s="1514"/>
      <c r="J111" s="1514"/>
    </row>
    <row r="112" spans="1:10" ht="53.25">
      <c r="A112" s="1168" t="s">
        <v>2980</v>
      </c>
      <c r="B112" s="1131" t="s">
        <v>2949</v>
      </c>
      <c r="C112" s="1131" t="s">
        <v>2950</v>
      </c>
      <c r="D112" s="1169"/>
      <c r="E112" s="1142"/>
      <c r="F112" s="1142"/>
      <c r="G112" s="1142"/>
      <c r="H112" s="1142"/>
      <c r="I112" s="1142"/>
      <c r="J112" s="1152"/>
    </row>
    <row r="113" spans="1:10" ht="32.25">
      <c r="A113" s="1162"/>
      <c r="B113" s="1163"/>
      <c r="C113" s="1131" t="s">
        <v>2879</v>
      </c>
      <c r="D113" s="1164"/>
      <c r="E113" s="1135"/>
      <c r="F113" s="1135"/>
      <c r="G113" s="1165"/>
      <c r="H113" s="1144"/>
      <c r="I113" s="1145" t="s">
        <v>2890</v>
      </c>
      <c r="J113" s="1176" t="s">
        <v>2990</v>
      </c>
    </row>
    <row r="114" spans="1:10">
      <c r="A114" s="1514"/>
      <c r="B114" s="1514"/>
      <c r="C114" s="1514"/>
      <c r="D114" s="1514"/>
      <c r="E114" s="1514"/>
      <c r="F114" s="1514"/>
      <c r="G114" s="1514"/>
      <c r="H114" s="1514"/>
      <c r="I114" s="1514"/>
      <c r="J114" s="1514"/>
    </row>
    <row r="115" spans="1:10" ht="53.25">
      <c r="A115" s="1168" t="s">
        <v>3012</v>
      </c>
      <c r="B115" s="1131" t="s">
        <v>2951</v>
      </c>
      <c r="C115" s="1131" t="s">
        <v>2952</v>
      </c>
      <c r="D115" s="1170"/>
      <c r="E115" s="1135"/>
      <c r="F115" s="1135"/>
      <c r="G115" s="1135"/>
      <c r="H115" s="1135"/>
      <c r="I115" s="1135"/>
      <c r="J115" s="1131" t="s">
        <v>2953</v>
      </c>
    </row>
    <row r="116" spans="1:10" ht="32.25">
      <c r="A116" s="1162"/>
      <c r="B116" s="1163"/>
      <c r="C116" s="1131" t="s">
        <v>2879</v>
      </c>
      <c r="D116" s="1164"/>
      <c r="E116" s="1135"/>
      <c r="F116" s="1135"/>
      <c r="G116" s="1165"/>
      <c r="H116" s="1144"/>
      <c r="I116" s="1145" t="s">
        <v>2890</v>
      </c>
      <c r="J116" s="1176" t="s">
        <v>2990</v>
      </c>
    </row>
    <row r="117" spans="1:10">
      <c r="A117" s="1514"/>
      <c r="B117" s="1514"/>
      <c r="C117" s="1514"/>
      <c r="D117" s="1514"/>
      <c r="E117" s="1514"/>
      <c r="F117" s="1514"/>
      <c r="G117" s="1514"/>
      <c r="H117" s="1514"/>
      <c r="I117" s="1514"/>
      <c r="J117" s="1514"/>
    </row>
    <row r="118" spans="1:10" ht="42.75">
      <c r="A118" s="1168" t="s">
        <v>3013</v>
      </c>
      <c r="B118" s="1131" t="s">
        <v>2954</v>
      </c>
      <c r="C118" s="1131" t="s">
        <v>2955</v>
      </c>
      <c r="D118" s="1146"/>
      <c r="E118" s="1135"/>
      <c r="F118" s="1135"/>
      <c r="G118" s="1135"/>
      <c r="H118" s="1135"/>
      <c r="I118" s="1135"/>
      <c r="J118" s="1152"/>
    </row>
    <row r="119" spans="1:10" ht="32.25">
      <c r="A119" s="1162"/>
      <c r="B119" s="1163"/>
      <c r="C119" s="1131" t="s">
        <v>2879</v>
      </c>
      <c r="D119" s="1164"/>
      <c r="E119" s="1135"/>
      <c r="F119" s="1135"/>
      <c r="G119" s="1165"/>
      <c r="H119" s="1144"/>
      <c r="I119" s="1145" t="s">
        <v>2890</v>
      </c>
      <c r="J119" s="1176" t="s">
        <v>2990</v>
      </c>
    </row>
    <row r="120" spans="1:10">
      <c r="A120" s="1514"/>
      <c r="B120" s="1514"/>
      <c r="C120" s="1514"/>
      <c r="D120" s="1514"/>
      <c r="E120" s="1514"/>
      <c r="F120" s="1514"/>
      <c r="G120" s="1514"/>
      <c r="H120" s="1514"/>
      <c r="I120" s="1514"/>
      <c r="J120" s="1514"/>
    </row>
    <row r="121" spans="1:10" ht="74.25">
      <c r="A121" s="1168" t="s">
        <v>3014</v>
      </c>
      <c r="B121" s="1131" t="s">
        <v>2956</v>
      </c>
      <c r="C121" s="1131" t="s">
        <v>2957</v>
      </c>
      <c r="D121" s="1146"/>
      <c r="E121" s="1135"/>
      <c r="F121" s="1135"/>
      <c r="G121" s="1135"/>
      <c r="H121" s="1135"/>
      <c r="I121" s="1135"/>
      <c r="J121" s="1152"/>
    </row>
    <row r="122" spans="1:10" ht="32.25">
      <c r="A122" s="1162"/>
      <c r="B122" s="1163"/>
      <c r="C122" s="1131" t="s">
        <v>2879</v>
      </c>
      <c r="D122" s="1164"/>
      <c r="E122" s="1135"/>
      <c r="F122" s="1135"/>
      <c r="G122" s="1165"/>
      <c r="H122" s="1144"/>
      <c r="I122" s="1145" t="s">
        <v>2890</v>
      </c>
      <c r="J122" s="1176" t="s">
        <v>2990</v>
      </c>
    </row>
    <row r="123" spans="1:10">
      <c r="A123" s="1514"/>
      <c r="B123" s="1514"/>
      <c r="C123" s="1514"/>
      <c r="D123" s="1514"/>
      <c r="E123" s="1514"/>
      <c r="F123" s="1514"/>
      <c r="G123" s="1514"/>
      <c r="H123" s="1514"/>
      <c r="I123" s="1514"/>
      <c r="J123" s="1514"/>
    </row>
    <row r="124" spans="1:10" ht="74.25">
      <c r="A124" s="1130" t="s">
        <v>3015</v>
      </c>
      <c r="B124" s="1131" t="s">
        <v>2958</v>
      </c>
      <c r="C124" s="1131" t="s">
        <v>2957</v>
      </c>
      <c r="D124" s="1157"/>
      <c r="E124" s="1135"/>
      <c r="F124" s="1135"/>
      <c r="G124" s="1135"/>
      <c r="H124" s="1135"/>
      <c r="I124" s="1135"/>
      <c r="J124" s="1152"/>
    </row>
    <row r="125" spans="1:10" ht="32.25">
      <c r="A125" s="1162"/>
      <c r="B125" s="1163"/>
      <c r="C125" s="1131" t="s">
        <v>2879</v>
      </c>
      <c r="D125" s="1164"/>
      <c r="E125" s="1135"/>
      <c r="F125" s="1135"/>
      <c r="G125" s="1165"/>
      <c r="H125" s="1144"/>
      <c r="I125" s="1145" t="s">
        <v>2890</v>
      </c>
      <c r="J125" s="1176" t="s">
        <v>2990</v>
      </c>
    </row>
    <row r="126" spans="1:10">
      <c r="A126" s="1514"/>
      <c r="B126" s="1514"/>
      <c r="C126" s="1514"/>
      <c r="D126" s="1514"/>
      <c r="E126" s="1514"/>
      <c r="F126" s="1514"/>
      <c r="G126" s="1514"/>
      <c r="H126" s="1514"/>
      <c r="I126" s="1514"/>
      <c r="J126" s="1514"/>
    </row>
    <row r="127" spans="1:10" ht="74.25">
      <c r="A127" s="1130" t="s">
        <v>3016</v>
      </c>
      <c r="B127" s="1131" t="s">
        <v>2959</v>
      </c>
      <c r="C127" s="1131" t="s">
        <v>2957</v>
      </c>
      <c r="D127" s="1157"/>
      <c r="E127" s="1135"/>
      <c r="F127" s="1135"/>
      <c r="G127" s="1135"/>
      <c r="H127" s="1135"/>
      <c r="I127" s="1135"/>
      <c r="J127" s="1152"/>
    </row>
    <row r="128" spans="1:10" ht="32.25">
      <c r="A128" s="1162"/>
      <c r="B128" s="1163"/>
      <c r="C128" s="1131" t="s">
        <v>2879</v>
      </c>
      <c r="D128" s="1164"/>
      <c r="E128" s="1135"/>
      <c r="F128" s="1135"/>
      <c r="G128" s="1165"/>
      <c r="H128" s="1144"/>
      <c r="I128" s="1145" t="s">
        <v>2890</v>
      </c>
      <c r="J128" s="1176" t="s">
        <v>2990</v>
      </c>
    </row>
    <row r="129" spans="1:10">
      <c r="A129" s="1514"/>
      <c r="B129" s="1514"/>
      <c r="C129" s="1514"/>
      <c r="D129" s="1514"/>
      <c r="E129" s="1514"/>
      <c r="F129" s="1514"/>
      <c r="G129" s="1514"/>
      <c r="H129" s="1514"/>
      <c r="I129" s="1514"/>
      <c r="J129" s="1514"/>
    </row>
    <row r="130" spans="1:10">
      <c r="A130" s="1171"/>
      <c r="B130" s="1509" t="s">
        <v>2960</v>
      </c>
      <c r="C130" s="1510"/>
      <c r="D130" s="1510"/>
      <c r="E130" s="1510"/>
      <c r="F130" s="1510"/>
      <c r="G130" s="1511"/>
      <c r="H130" s="1127"/>
      <c r="I130" s="1127"/>
      <c r="J130" s="1152"/>
    </row>
    <row r="131" spans="1:10" ht="23.25" customHeight="1">
      <c r="A131" s="1171" t="s">
        <v>2961</v>
      </c>
      <c r="B131" s="1503" t="s">
        <v>2962</v>
      </c>
      <c r="C131" s="1504"/>
      <c r="D131" s="1504"/>
      <c r="E131" s="1504"/>
      <c r="F131" s="1504"/>
      <c r="G131" s="1504"/>
      <c r="H131" s="1504"/>
      <c r="I131" s="1504"/>
      <c r="J131" s="1505"/>
    </row>
    <row r="132" spans="1:10">
      <c r="A132" s="1168" t="s">
        <v>2963</v>
      </c>
      <c r="B132" s="1506" t="s">
        <v>3017</v>
      </c>
      <c r="C132" s="1507"/>
      <c r="D132" s="1507"/>
      <c r="E132" s="1507"/>
      <c r="F132" s="1507"/>
      <c r="G132" s="1507"/>
      <c r="H132" s="1507"/>
      <c r="I132" s="1508"/>
      <c r="J132" s="1152"/>
    </row>
    <row r="133" spans="1:10" ht="34.5" customHeight="1">
      <c r="A133" s="1171" t="s">
        <v>2964</v>
      </c>
      <c r="B133" s="1509" t="s">
        <v>2965</v>
      </c>
      <c r="C133" s="1510"/>
      <c r="D133" s="1510"/>
      <c r="E133" s="1510"/>
      <c r="F133" s="1510"/>
      <c r="G133" s="1510"/>
      <c r="H133" s="1510"/>
      <c r="I133" s="1510"/>
      <c r="J133" s="1511"/>
    </row>
    <row r="134" spans="1:10" ht="31.5" customHeight="1">
      <c r="A134" s="1172" t="s">
        <v>2966</v>
      </c>
      <c r="B134" s="1512" t="s">
        <v>2967</v>
      </c>
      <c r="C134" s="1512"/>
      <c r="D134" s="1512"/>
      <c r="E134" s="1512"/>
      <c r="F134" s="1512"/>
      <c r="G134" s="1512"/>
      <c r="H134" s="1512"/>
      <c r="I134" s="1512"/>
      <c r="J134" s="1512"/>
    </row>
    <row r="135" spans="1:10">
      <c r="A135" s="1172"/>
      <c r="B135" s="1513"/>
      <c r="C135" s="1513"/>
      <c r="D135" s="1513"/>
      <c r="E135" s="1513"/>
      <c r="F135" s="1513"/>
      <c r="G135" s="1513"/>
      <c r="H135" s="1513"/>
      <c r="I135" s="1513"/>
      <c r="J135" s="1513"/>
    </row>
  </sheetData>
  <mergeCells count="44">
    <mergeCell ref="D1:I1"/>
    <mergeCell ref="J1:J3"/>
    <mergeCell ref="A2:C3"/>
    <mergeCell ref="D2:I3"/>
    <mergeCell ref="A4:B5"/>
    <mergeCell ref="C4:F4"/>
    <mergeCell ref="G4:I4"/>
    <mergeCell ref="J4:J5"/>
    <mergeCell ref="C5:F5"/>
    <mergeCell ref="G5:I5"/>
    <mergeCell ref="A77:J77"/>
    <mergeCell ref="A7:J7"/>
    <mergeCell ref="A14:J14"/>
    <mergeCell ref="A21:J21"/>
    <mergeCell ref="A29:J29"/>
    <mergeCell ref="A36:J36"/>
    <mergeCell ref="A46:J46"/>
    <mergeCell ref="A53:J53"/>
    <mergeCell ref="A61:J61"/>
    <mergeCell ref="A68:J68"/>
    <mergeCell ref="A71:J71"/>
    <mergeCell ref="A74:J74"/>
    <mergeCell ref="A114:J114"/>
    <mergeCell ref="A81:J81"/>
    <mergeCell ref="A84:J84"/>
    <mergeCell ref="A87:J87"/>
    <mergeCell ref="A90:J90"/>
    <mergeCell ref="A93:J93"/>
    <mergeCell ref="A96:J96"/>
    <mergeCell ref="A99:J99"/>
    <mergeCell ref="A102:J102"/>
    <mergeCell ref="A105:J105"/>
    <mergeCell ref="A108:J108"/>
    <mergeCell ref="A111:J111"/>
    <mergeCell ref="B131:J131"/>
    <mergeCell ref="B132:I132"/>
    <mergeCell ref="B133:J133"/>
    <mergeCell ref="B134:J135"/>
    <mergeCell ref="A117:J117"/>
    <mergeCell ref="A120:J120"/>
    <mergeCell ref="A123:J123"/>
    <mergeCell ref="A126:J126"/>
    <mergeCell ref="A129:J129"/>
    <mergeCell ref="B130:G130"/>
  </mergeCells>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J210"/>
  <sheetViews>
    <sheetView workbookViewId="0">
      <selection activeCell="A6" sqref="A6"/>
    </sheetView>
  </sheetViews>
  <sheetFormatPr defaultRowHeight="12.75"/>
  <cols>
    <col min="1" max="1" width="18.33203125" style="1210" customWidth="1"/>
    <col min="2" max="2" width="10.33203125" style="1200" customWidth="1"/>
    <col min="3" max="3" width="16.5" style="1200" customWidth="1"/>
    <col min="4" max="4" width="9.1640625" style="1208" bestFit="1" customWidth="1"/>
    <col min="5" max="5" width="9.5" style="1180" bestFit="1" customWidth="1"/>
    <col min="6" max="6" width="9" style="1180" bestFit="1" customWidth="1"/>
    <col min="7" max="7" width="9.83203125" style="1180" bestFit="1" customWidth="1"/>
    <col min="8" max="8" width="11.6640625" style="1180" customWidth="1"/>
    <col min="9" max="9" width="10.1640625" style="1180" customWidth="1"/>
    <col min="10" max="10" width="26.1640625" style="1209" customWidth="1"/>
    <col min="11" max="16384" width="9.33203125" style="1125"/>
  </cols>
  <sheetData>
    <row r="1" spans="1:10">
      <c r="A1" s="1173" t="s">
        <v>425</v>
      </c>
      <c r="B1" s="1123" t="s">
        <v>370</v>
      </c>
      <c r="C1" s="1124"/>
      <c r="D1" s="1515" t="s">
        <v>2866</v>
      </c>
      <c r="E1" s="1515"/>
      <c r="F1" s="1515"/>
      <c r="G1" s="1515"/>
      <c r="H1" s="1515"/>
      <c r="I1" s="1515"/>
      <c r="J1" s="1515" t="s">
        <v>2867</v>
      </c>
    </row>
    <row r="2" spans="1:10">
      <c r="A2" s="1525" t="s">
        <v>2968</v>
      </c>
      <c r="B2" s="1525"/>
      <c r="C2" s="1525"/>
      <c r="D2" s="1520"/>
      <c r="E2" s="1520"/>
      <c r="F2" s="1520"/>
      <c r="G2" s="1520"/>
      <c r="H2" s="1520"/>
      <c r="I2" s="1520"/>
      <c r="J2" s="1515"/>
    </row>
    <row r="3" spans="1:10">
      <c r="A3" s="1525"/>
      <c r="B3" s="1525"/>
      <c r="C3" s="1525"/>
      <c r="D3" s="1520"/>
      <c r="E3" s="1520"/>
      <c r="F3" s="1520"/>
      <c r="G3" s="1520"/>
      <c r="H3" s="1520"/>
      <c r="I3" s="1520"/>
      <c r="J3" s="1515"/>
    </row>
    <row r="4" spans="1:10">
      <c r="A4" s="1519" t="s">
        <v>3073</v>
      </c>
      <c r="B4" s="1519"/>
      <c r="C4" s="1568"/>
      <c r="D4" s="1568"/>
      <c r="E4" s="1568"/>
      <c r="F4" s="1568"/>
      <c r="G4" s="1568"/>
      <c r="H4" s="1568"/>
      <c r="I4" s="1568"/>
      <c r="J4" s="1515" t="s">
        <v>2870</v>
      </c>
    </row>
    <row r="5" spans="1:10" ht="25.5" customHeight="1">
      <c r="A5" s="1519"/>
      <c r="B5" s="1519"/>
      <c r="C5" s="1568"/>
      <c r="D5" s="1568"/>
      <c r="E5" s="1568"/>
      <c r="F5" s="1568"/>
      <c r="G5" s="1567"/>
      <c r="H5" s="1567"/>
      <c r="I5" s="1567"/>
      <c r="J5" s="1515"/>
    </row>
    <row r="6" spans="1:10" ht="68.25">
      <c r="A6" s="1174" t="s">
        <v>2871</v>
      </c>
      <c r="B6" s="1127" t="s">
        <v>2872</v>
      </c>
      <c r="C6" s="1127" t="s">
        <v>2873</v>
      </c>
      <c r="D6" s="1175" t="s">
        <v>2969</v>
      </c>
      <c r="E6" s="1129" t="s">
        <v>2875</v>
      </c>
      <c r="F6" s="1129" t="s">
        <v>2826</v>
      </c>
      <c r="G6" s="1129" t="s">
        <v>2877</v>
      </c>
      <c r="H6" s="1129" t="s">
        <v>2970</v>
      </c>
      <c r="I6" s="1129" t="s">
        <v>2971</v>
      </c>
      <c r="J6" s="1129" t="s">
        <v>2880</v>
      </c>
    </row>
    <row r="7" spans="1:10">
      <c r="A7" s="1523"/>
      <c r="B7" s="1523"/>
      <c r="C7" s="1523"/>
      <c r="D7" s="1523"/>
      <c r="E7" s="1523"/>
      <c r="F7" s="1523"/>
      <c r="G7" s="1523"/>
      <c r="H7" s="1523"/>
      <c r="I7" s="1523"/>
      <c r="J7" s="1523"/>
    </row>
    <row r="8" spans="1:10" ht="32.25">
      <c r="A8" s="1130" t="s">
        <v>2972</v>
      </c>
      <c r="B8" s="1131" t="s">
        <v>2882</v>
      </c>
      <c r="C8" s="1131" t="s">
        <v>2883</v>
      </c>
      <c r="D8" s="1132"/>
      <c r="E8" s="1133"/>
      <c r="F8" s="1133"/>
      <c r="G8" s="1133"/>
      <c r="H8" s="1134"/>
      <c r="I8" s="1135"/>
      <c r="J8" s="1131"/>
    </row>
    <row r="9" spans="1:10" ht="42.75">
      <c r="A9" s="1130"/>
      <c r="B9" s="1131" t="s">
        <v>2884</v>
      </c>
      <c r="C9" s="1131" t="s">
        <v>2816</v>
      </c>
      <c r="D9" s="1136" t="s">
        <v>426</v>
      </c>
      <c r="E9" s="1135">
        <v>5.3</v>
      </c>
      <c r="F9" s="1135"/>
      <c r="G9" s="1135"/>
      <c r="H9" s="1135"/>
      <c r="I9" s="1135"/>
      <c r="J9" s="1131" t="s">
        <v>288</v>
      </c>
    </row>
    <row r="10" spans="1:10" ht="21.75">
      <c r="A10" s="1130"/>
      <c r="B10" s="1131"/>
      <c r="C10" s="1131" t="s">
        <v>2826</v>
      </c>
      <c r="D10" s="1136" t="s">
        <v>426</v>
      </c>
      <c r="E10" s="1135"/>
      <c r="F10" s="1135">
        <v>0.11</v>
      </c>
      <c r="G10" s="1135"/>
      <c r="H10" s="1135"/>
      <c r="I10" s="1135"/>
      <c r="J10" s="1131" t="s">
        <v>288</v>
      </c>
    </row>
    <row r="11" spans="1:10" ht="42.75">
      <c r="A11" s="1130"/>
      <c r="B11" s="1131" t="s">
        <v>2888</v>
      </c>
      <c r="C11" s="1131" t="s">
        <v>2817</v>
      </c>
      <c r="D11" s="1136" t="s">
        <v>426</v>
      </c>
      <c r="E11" s="1135"/>
      <c r="F11" s="1135"/>
      <c r="G11" s="1137">
        <v>0.83</v>
      </c>
      <c r="H11" s="1135"/>
      <c r="I11" s="1135"/>
      <c r="J11" s="1131" t="s">
        <v>288</v>
      </c>
    </row>
    <row r="12" spans="1:10" ht="42.75">
      <c r="A12" s="1130"/>
      <c r="B12" s="1131"/>
      <c r="C12" s="1131" t="s">
        <v>2973</v>
      </c>
      <c r="D12" s="1139" t="s">
        <v>426</v>
      </c>
      <c r="E12" s="1135"/>
      <c r="F12" s="1135"/>
      <c r="G12" s="1140"/>
      <c r="H12" s="1141" t="s">
        <v>2909</v>
      </c>
      <c r="I12" s="1135" t="s">
        <v>2731</v>
      </c>
      <c r="J12" s="1176" t="s">
        <v>3018</v>
      </c>
    </row>
    <row r="13" spans="1:10" ht="42.75">
      <c r="A13" s="1130"/>
      <c r="B13" s="1131"/>
      <c r="C13" s="1131" t="s">
        <v>2828</v>
      </c>
      <c r="D13" s="1139"/>
      <c r="E13" s="1135"/>
      <c r="F13" s="1135"/>
      <c r="G13" s="1140"/>
      <c r="H13" s="1144"/>
      <c r="I13" s="1145" t="s">
        <v>2890</v>
      </c>
      <c r="J13" s="1131" t="s">
        <v>3019</v>
      </c>
    </row>
    <row r="14" spans="1:10">
      <c r="A14" s="1523"/>
      <c r="B14" s="1523"/>
      <c r="C14" s="1523"/>
      <c r="D14" s="1523"/>
      <c r="E14" s="1523"/>
      <c r="F14" s="1523"/>
      <c r="G14" s="1523"/>
      <c r="H14" s="1523"/>
      <c r="I14" s="1523"/>
      <c r="J14" s="1523"/>
    </row>
    <row r="15" spans="1:10" ht="32.25">
      <c r="A15" s="1177" t="s">
        <v>1681</v>
      </c>
      <c r="B15" s="1131" t="s">
        <v>2891</v>
      </c>
      <c r="C15" s="1131" t="s">
        <v>2883</v>
      </c>
      <c r="D15" s="1146"/>
      <c r="E15" s="1133"/>
      <c r="F15" s="1133"/>
      <c r="G15" s="1133"/>
      <c r="H15" s="1147"/>
      <c r="I15" s="1142"/>
      <c r="J15" s="1131"/>
    </row>
    <row r="16" spans="1:10" ht="42.75">
      <c r="A16" s="1177"/>
      <c r="B16" s="1131" t="s">
        <v>2892</v>
      </c>
      <c r="C16" s="1131" t="s">
        <v>2816</v>
      </c>
      <c r="D16" s="1136" t="s">
        <v>426</v>
      </c>
      <c r="E16" s="1135">
        <v>5.3</v>
      </c>
      <c r="F16" s="1135"/>
      <c r="G16" s="1135"/>
      <c r="H16" s="1142"/>
      <c r="I16" s="1142"/>
      <c r="J16" s="1131" t="s">
        <v>288</v>
      </c>
    </row>
    <row r="17" spans="1:10" ht="21.75">
      <c r="A17" s="1177"/>
      <c r="B17" s="1131"/>
      <c r="C17" s="1131" t="s">
        <v>2826</v>
      </c>
      <c r="D17" s="1136" t="s">
        <v>426</v>
      </c>
      <c r="E17" s="1135"/>
      <c r="F17" s="1135">
        <v>0.11</v>
      </c>
      <c r="G17" s="1135"/>
      <c r="H17" s="1142"/>
      <c r="I17" s="1142"/>
      <c r="J17" s="1131" t="s">
        <v>288</v>
      </c>
    </row>
    <row r="18" spans="1:10" ht="42.75">
      <c r="A18" s="1177"/>
      <c r="B18" s="1131" t="s">
        <v>2893</v>
      </c>
      <c r="C18" s="1131" t="s">
        <v>2817</v>
      </c>
      <c r="D18" s="1136" t="s">
        <v>426</v>
      </c>
      <c r="E18" s="1135"/>
      <c r="F18" s="1135"/>
      <c r="G18" s="1137">
        <v>0.96</v>
      </c>
      <c r="H18" s="1142"/>
      <c r="I18" s="1142"/>
      <c r="J18" s="1131" t="s">
        <v>288</v>
      </c>
    </row>
    <row r="19" spans="1:10" ht="42.75">
      <c r="A19" s="1177"/>
      <c r="B19" s="1131"/>
      <c r="C19" s="1131" t="s">
        <v>2973</v>
      </c>
      <c r="D19" s="1139" t="s">
        <v>426</v>
      </c>
      <c r="E19" s="1135"/>
      <c r="F19" s="1135"/>
      <c r="G19" s="1140"/>
      <c r="H19" s="1141" t="s">
        <v>2909</v>
      </c>
      <c r="I19" s="1135" t="s">
        <v>2731</v>
      </c>
      <c r="J19" s="1176" t="s">
        <v>3018</v>
      </c>
    </row>
    <row r="20" spans="1:10" ht="42.75">
      <c r="A20" s="1177"/>
      <c r="B20" s="1131"/>
      <c r="C20" s="1131" t="s">
        <v>2828</v>
      </c>
      <c r="D20" s="1139"/>
      <c r="E20" s="1135"/>
      <c r="F20" s="1135"/>
      <c r="G20" s="1140"/>
      <c r="H20" s="1144"/>
      <c r="I20" s="1145" t="s">
        <v>2890</v>
      </c>
      <c r="J20" s="1131" t="s">
        <v>3019</v>
      </c>
    </row>
    <row r="21" spans="1:10">
      <c r="A21" s="1524"/>
      <c r="B21" s="1524"/>
      <c r="C21" s="1524"/>
      <c r="D21" s="1524"/>
      <c r="E21" s="1524"/>
      <c r="F21" s="1524"/>
      <c r="G21" s="1524"/>
      <c r="H21" s="1524"/>
      <c r="I21" s="1524"/>
      <c r="J21" s="1524"/>
    </row>
    <row r="22" spans="1:10" s="1178" customFormat="1" ht="32.25">
      <c r="A22" s="1130" t="s">
        <v>3020</v>
      </c>
      <c r="B22" s="1131" t="s">
        <v>2894</v>
      </c>
      <c r="C22" s="1131" t="s">
        <v>2895</v>
      </c>
      <c r="D22" s="1146"/>
      <c r="E22" s="1135"/>
      <c r="F22" s="1135"/>
      <c r="G22" s="1135"/>
      <c r="H22" s="1135"/>
      <c r="I22" s="1142"/>
      <c r="J22" s="1131"/>
    </row>
    <row r="23" spans="1:10" s="1178" customFormat="1" ht="32.25">
      <c r="A23" s="1130"/>
      <c r="B23" s="1124" t="s">
        <v>2896</v>
      </c>
      <c r="C23" s="1131" t="s">
        <v>2840</v>
      </c>
      <c r="D23" s="1146">
        <v>1.59</v>
      </c>
      <c r="E23" s="1140"/>
      <c r="F23" s="1135"/>
      <c r="G23" s="1135"/>
      <c r="H23" s="1135"/>
      <c r="I23" s="1142"/>
      <c r="J23" s="1131" t="s">
        <v>2992</v>
      </c>
    </row>
    <row r="24" spans="1:10" s="1178" customFormat="1" ht="42.75">
      <c r="A24" s="1130"/>
      <c r="B24" s="1131" t="s">
        <v>2897</v>
      </c>
      <c r="C24" s="1131" t="s">
        <v>2816</v>
      </c>
      <c r="D24" s="1148" t="s">
        <v>426</v>
      </c>
      <c r="E24" s="1135">
        <v>5.3</v>
      </c>
      <c r="F24" s="1135"/>
      <c r="G24" s="1135"/>
      <c r="H24" s="1135"/>
      <c r="I24" s="1142"/>
      <c r="J24" s="1131" t="s">
        <v>2993</v>
      </c>
    </row>
    <row r="25" spans="1:10" s="1178" customFormat="1" ht="21.75">
      <c r="A25" s="1130"/>
      <c r="B25" s="1131"/>
      <c r="C25" s="1131" t="s">
        <v>2826</v>
      </c>
      <c r="D25" s="1148"/>
      <c r="E25" s="1135"/>
      <c r="F25" s="1135">
        <v>0.11</v>
      </c>
      <c r="G25" s="1135"/>
      <c r="H25" s="1135"/>
      <c r="I25" s="1142"/>
      <c r="J25" s="1131" t="s">
        <v>2993</v>
      </c>
    </row>
    <row r="26" spans="1:10" s="1178" customFormat="1" ht="42.75">
      <c r="A26" s="1130"/>
      <c r="B26" s="1131" t="s">
        <v>2899</v>
      </c>
      <c r="C26" s="1131" t="s">
        <v>2817</v>
      </c>
      <c r="D26" s="1136" t="s">
        <v>426</v>
      </c>
      <c r="E26" s="1135"/>
      <c r="F26" s="1135"/>
      <c r="G26" s="1137">
        <v>1.1000000000000001</v>
      </c>
      <c r="H26" s="1140"/>
      <c r="I26" s="1142"/>
      <c r="J26" s="1131" t="s">
        <v>2993</v>
      </c>
    </row>
    <row r="27" spans="1:10" s="1178" customFormat="1" ht="42.75">
      <c r="A27" s="1130"/>
      <c r="B27" s="1131"/>
      <c r="C27" s="1131" t="s">
        <v>2827</v>
      </c>
      <c r="D27" s="1136"/>
      <c r="E27" s="1135"/>
      <c r="F27" s="1135"/>
      <c r="G27" s="1135"/>
      <c r="H27" s="1141" t="s">
        <v>2909</v>
      </c>
      <c r="I27" s="1135" t="s">
        <v>2731</v>
      </c>
      <c r="J27" s="1176" t="s">
        <v>3018</v>
      </c>
    </row>
    <row r="28" spans="1:10" s="1178" customFormat="1" ht="42.75">
      <c r="A28" s="1130"/>
      <c r="B28" s="1131"/>
      <c r="C28" s="1131" t="s">
        <v>2828</v>
      </c>
      <c r="D28" s="1139"/>
      <c r="E28" s="1135"/>
      <c r="F28" s="1135"/>
      <c r="G28" s="1140"/>
      <c r="H28" s="1144"/>
      <c r="I28" s="1145" t="s">
        <v>2890</v>
      </c>
      <c r="J28" s="1131" t="s">
        <v>3019</v>
      </c>
    </row>
    <row r="29" spans="1:10">
      <c r="A29" s="1524"/>
      <c r="B29" s="1524"/>
      <c r="C29" s="1524"/>
      <c r="D29" s="1524"/>
      <c r="E29" s="1524"/>
      <c r="F29" s="1524"/>
      <c r="G29" s="1524"/>
      <c r="H29" s="1524"/>
      <c r="I29" s="1524"/>
      <c r="J29" s="1524"/>
    </row>
    <row r="30" spans="1:10" ht="42">
      <c r="A30" s="1177" t="s">
        <v>2994</v>
      </c>
      <c r="B30" s="1131" t="s">
        <v>2900</v>
      </c>
      <c r="C30" s="1151" t="s">
        <v>2901</v>
      </c>
      <c r="D30" s="1146"/>
      <c r="E30" s="1135"/>
      <c r="F30" s="1135"/>
      <c r="G30" s="1142"/>
      <c r="H30" s="1142"/>
      <c r="I30" s="1142"/>
      <c r="J30" s="1152"/>
    </row>
    <row r="31" spans="1:10" ht="42.75">
      <c r="A31" s="1177"/>
      <c r="B31" s="1131" t="s">
        <v>2892</v>
      </c>
      <c r="C31" s="1131" t="s">
        <v>2816</v>
      </c>
      <c r="D31" s="1148"/>
      <c r="E31" s="1135">
        <v>5.3</v>
      </c>
      <c r="F31" s="1135"/>
      <c r="G31" s="1135"/>
      <c r="H31" s="1142"/>
      <c r="I31" s="1142" t="s">
        <v>2902</v>
      </c>
      <c r="J31" s="1131" t="s">
        <v>365</v>
      </c>
    </row>
    <row r="32" spans="1:10" ht="21.75">
      <c r="A32" s="1177"/>
      <c r="B32" s="1131"/>
      <c r="C32" s="1131" t="s">
        <v>2826</v>
      </c>
      <c r="D32" s="1136"/>
      <c r="E32" s="1135"/>
      <c r="F32" s="1135">
        <v>0.11</v>
      </c>
      <c r="G32" s="1135"/>
      <c r="H32" s="1142"/>
      <c r="I32" s="1142"/>
      <c r="J32" s="1131" t="s">
        <v>365</v>
      </c>
    </row>
    <row r="33" spans="1:10" ht="42.75">
      <c r="A33" s="1177"/>
      <c r="B33" s="1131" t="s">
        <v>2904</v>
      </c>
      <c r="C33" s="1131" t="s">
        <v>2817</v>
      </c>
      <c r="D33" s="1136"/>
      <c r="E33" s="1135"/>
      <c r="F33" s="1135"/>
      <c r="G33" s="1137">
        <v>0.1</v>
      </c>
      <c r="H33" s="1142"/>
      <c r="I33" s="1142"/>
      <c r="J33" s="1131" t="s">
        <v>365</v>
      </c>
    </row>
    <row r="34" spans="1:10" ht="42.75">
      <c r="A34" s="1177"/>
      <c r="B34" s="1131"/>
      <c r="C34" s="1131" t="s">
        <v>2827</v>
      </c>
      <c r="D34" s="1136"/>
      <c r="E34" s="1142"/>
      <c r="F34" s="1142"/>
      <c r="G34" s="1142"/>
      <c r="H34" s="1141" t="s">
        <v>2909</v>
      </c>
      <c r="I34" s="1135" t="s">
        <v>2731</v>
      </c>
      <c r="J34" s="1176" t="s">
        <v>3018</v>
      </c>
    </row>
    <row r="35" spans="1:10" ht="42.75">
      <c r="A35" s="1130"/>
      <c r="B35" s="1131"/>
      <c r="C35" s="1131" t="s">
        <v>2828</v>
      </c>
      <c r="D35" s="1139"/>
      <c r="E35" s="1135"/>
      <c r="F35" s="1135"/>
      <c r="G35" s="1140"/>
      <c r="H35" s="1144"/>
      <c r="I35" s="1145" t="s">
        <v>2890</v>
      </c>
      <c r="J35" s="1131" t="s">
        <v>3019</v>
      </c>
    </row>
    <row r="36" spans="1:10">
      <c r="A36" s="1523"/>
      <c r="B36" s="1523"/>
      <c r="C36" s="1523"/>
      <c r="D36" s="1523"/>
      <c r="E36" s="1523"/>
      <c r="F36" s="1523"/>
      <c r="G36" s="1523"/>
      <c r="H36" s="1523"/>
      <c r="I36" s="1523"/>
      <c r="J36" s="1523"/>
    </row>
    <row r="37" spans="1:10" ht="74.25">
      <c r="A37" s="1177" t="s">
        <v>3021</v>
      </c>
      <c r="B37" s="1131" t="s">
        <v>2906</v>
      </c>
      <c r="C37" s="1179" t="s">
        <v>2907</v>
      </c>
      <c r="D37" s="1146"/>
      <c r="E37" s="1135"/>
      <c r="F37" s="1135"/>
      <c r="G37" s="1135"/>
      <c r="H37" s="1135"/>
      <c r="I37" s="1142"/>
      <c r="J37" s="1152"/>
    </row>
    <row r="38" spans="1:10" ht="24.75" customHeight="1">
      <c r="A38" s="1177"/>
      <c r="B38" s="1124" t="s">
        <v>2896</v>
      </c>
      <c r="C38" s="1131" t="s">
        <v>2840</v>
      </c>
      <c r="D38" s="1135">
        <v>1.59</v>
      </c>
      <c r="F38" s="1135"/>
      <c r="G38" s="1135"/>
      <c r="H38" s="1135"/>
      <c r="I38" s="1142"/>
      <c r="J38" s="1131" t="s">
        <v>2834</v>
      </c>
    </row>
    <row r="39" spans="1:10" s="1178" customFormat="1" ht="127.5" customHeight="1">
      <c r="A39" s="1177"/>
      <c r="B39" s="1124" t="s">
        <v>2908</v>
      </c>
      <c r="C39" s="1131" t="s">
        <v>2816</v>
      </c>
      <c r="D39" s="1146"/>
      <c r="E39" s="1135">
        <v>5.3</v>
      </c>
      <c r="F39" s="1135"/>
      <c r="G39" s="1135"/>
      <c r="H39" s="1135"/>
      <c r="I39" s="1142" t="s">
        <v>2902</v>
      </c>
      <c r="J39" s="1154" t="s">
        <v>3022</v>
      </c>
    </row>
    <row r="40" spans="1:10" ht="42.75">
      <c r="A40" s="1177"/>
      <c r="B40" s="1131" t="s">
        <v>2899</v>
      </c>
      <c r="C40" s="1131" t="s">
        <v>2817</v>
      </c>
      <c r="D40" s="1136"/>
      <c r="E40" s="1135"/>
      <c r="F40" s="1135"/>
      <c r="G40" s="1137">
        <v>1.08</v>
      </c>
      <c r="H40" s="1135"/>
      <c r="I40" s="1142"/>
      <c r="J40" s="1181" t="s">
        <v>2834</v>
      </c>
    </row>
    <row r="41" spans="1:10" ht="42.75">
      <c r="A41" s="1177"/>
      <c r="B41" s="1131" t="s">
        <v>2904</v>
      </c>
      <c r="C41" s="1131" t="s">
        <v>2817</v>
      </c>
      <c r="D41" s="1136"/>
      <c r="E41" s="1135"/>
      <c r="F41" s="1135"/>
      <c r="G41" s="1182">
        <v>0.1</v>
      </c>
      <c r="H41" s="1135"/>
      <c r="I41" s="1142"/>
      <c r="J41" s="1131" t="s">
        <v>3023</v>
      </c>
    </row>
    <row r="42" spans="1:10" ht="42.75">
      <c r="A42" s="1177"/>
      <c r="B42" s="1131"/>
      <c r="C42" s="1131" t="s">
        <v>2827</v>
      </c>
      <c r="D42" s="1136"/>
      <c r="E42" s="1135"/>
      <c r="F42" s="1135"/>
      <c r="G42" s="1135"/>
      <c r="H42" s="1141" t="s">
        <v>2909</v>
      </c>
      <c r="I42" s="1135" t="s">
        <v>2731</v>
      </c>
      <c r="J42" s="1176" t="s">
        <v>3018</v>
      </c>
    </row>
    <row r="43" spans="1:10" ht="42.75">
      <c r="A43" s="1177"/>
      <c r="B43" s="1131"/>
      <c r="C43" s="1131" t="s">
        <v>2828</v>
      </c>
      <c r="D43" s="1139"/>
      <c r="E43" s="1135"/>
      <c r="F43" s="1135"/>
      <c r="G43" s="1140"/>
      <c r="H43" s="1144"/>
      <c r="I43" s="1145" t="s">
        <v>2890</v>
      </c>
      <c r="J43" s="1131" t="s">
        <v>3019</v>
      </c>
    </row>
    <row r="44" spans="1:10">
      <c r="A44" s="1523"/>
      <c r="B44" s="1523"/>
      <c r="C44" s="1523"/>
      <c r="D44" s="1523"/>
      <c r="E44" s="1523"/>
      <c r="F44" s="1523"/>
      <c r="G44" s="1523"/>
      <c r="H44" s="1523"/>
      <c r="I44" s="1523"/>
      <c r="J44" s="1523"/>
    </row>
    <row r="45" spans="1:10" ht="53.25">
      <c r="A45" s="1130" t="s">
        <v>3024</v>
      </c>
      <c r="B45" s="1131" t="s">
        <v>2911</v>
      </c>
      <c r="C45" s="1131" t="s">
        <v>2912</v>
      </c>
      <c r="D45" s="1146"/>
      <c r="E45" s="1133"/>
      <c r="F45" s="1133"/>
      <c r="G45" s="1133"/>
      <c r="H45" s="1134"/>
      <c r="I45" s="1135"/>
      <c r="J45" s="1131"/>
    </row>
    <row r="46" spans="1:10" ht="42.75">
      <c r="A46" s="1130"/>
      <c r="B46" s="1131" t="s">
        <v>2892</v>
      </c>
      <c r="C46" s="1131" t="s">
        <v>2816</v>
      </c>
      <c r="D46" s="1136" t="s">
        <v>426</v>
      </c>
      <c r="E46" s="1135">
        <v>5.3</v>
      </c>
      <c r="F46" s="1135"/>
      <c r="G46" s="1135"/>
      <c r="H46" s="1135"/>
      <c r="I46" s="1135"/>
      <c r="J46" s="1131" t="s">
        <v>3025</v>
      </c>
    </row>
    <row r="47" spans="1:10" ht="21.75">
      <c r="A47" s="1130"/>
      <c r="B47" s="1131"/>
      <c r="C47" s="1131" t="s">
        <v>2826</v>
      </c>
      <c r="D47" s="1136"/>
      <c r="E47" s="1135"/>
      <c r="F47" s="1135">
        <v>0.11</v>
      </c>
      <c r="G47" s="1135"/>
      <c r="H47" s="1135"/>
      <c r="I47" s="1135"/>
      <c r="J47" s="1131" t="s">
        <v>3025</v>
      </c>
    </row>
    <row r="48" spans="1:10" ht="42.75">
      <c r="A48" s="1130"/>
      <c r="B48" s="1131" t="s">
        <v>2913</v>
      </c>
      <c r="C48" s="1131" t="s">
        <v>2817</v>
      </c>
      <c r="D48" s="1136" t="s">
        <v>426</v>
      </c>
      <c r="E48" s="1135"/>
      <c r="F48" s="1135"/>
      <c r="G48" s="1137">
        <v>0.96</v>
      </c>
      <c r="H48" s="1135"/>
      <c r="I48" s="1135"/>
      <c r="J48" s="1131" t="s">
        <v>3025</v>
      </c>
    </row>
    <row r="49" spans="1:10" ht="42.75">
      <c r="A49" s="1130"/>
      <c r="B49" s="1131"/>
      <c r="C49" s="1131" t="s">
        <v>2827</v>
      </c>
      <c r="D49" s="1146"/>
      <c r="E49" s="1135"/>
      <c r="F49" s="1135"/>
      <c r="G49" s="1140"/>
      <c r="H49" s="1141" t="s">
        <v>2909</v>
      </c>
      <c r="I49" s="1135" t="s">
        <v>2731</v>
      </c>
      <c r="J49" s="1176" t="s">
        <v>3018</v>
      </c>
    </row>
    <row r="50" spans="1:10" ht="42.75">
      <c r="A50" s="1130"/>
      <c r="B50" s="1131"/>
      <c r="C50" s="1131" t="s">
        <v>2828</v>
      </c>
      <c r="D50" s="1139"/>
      <c r="E50" s="1135"/>
      <c r="F50" s="1135"/>
      <c r="G50" s="1140"/>
      <c r="H50" s="1144"/>
      <c r="I50" s="1145" t="s">
        <v>2890</v>
      </c>
      <c r="J50" s="1131" t="s">
        <v>3019</v>
      </c>
    </row>
    <row r="51" spans="1:10">
      <c r="A51" s="1523"/>
      <c r="B51" s="1523"/>
      <c r="C51" s="1523"/>
      <c r="D51" s="1523"/>
      <c r="E51" s="1523"/>
      <c r="F51" s="1523"/>
      <c r="G51" s="1523"/>
      <c r="H51" s="1523"/>
      <c r="I51" s="1523"/>
      <c r="J51" s="1523"/>
    </row>
    <row r="52" spans="1:10" ht="32.25">
      <c r="A52" s="1130" t="s">
        <v>3026</v>
      </c>
      <c r="B52" s="1131" t="s">
        <v>2914</v>
      </c>
      <c r="C52" s="1131" t="s">
        <v>2915</v>
      </c>
      <c r="D52" s="1169"/>
      <c r="E52" s="1142"/>
      <c r="F52" s="1142"/>
      <c r="G52" s="1142"/>
      <c r="H52" s="1142"/>
      <c r="I52" s="1142"/>
      <c r="J52" s="1152"/>
    </row>
    <row r="53" spans="1:10" ht="32.25">
      <c r="A53" s="1177"/>
      <c r="B53" s="1131" t="s">
        <v>2916</v>
      </c>
      <c r="C53" s="1131" t="s">
        <v>2840</v>
      </c>
      <c r="D53" s="1146">
        <v>49.01</v>
      </c>
      <c r="E53" s="1142"/>
      <c r="F53" s="1142"/>
      <c r="G53" s="1142"/>
      <c r="H53" s="1142"/>
      <c r="I53" s="1142"/>
      <c r="J53" s="1152"/>
    </row>
    <row r="54" spans="1:10" ht="42.75">
      <c r="A54" s="1177"/>
      <c r="B54" s="1131" t="s">
        <v>2917</v>
      </c>
      <c r="C54" s="1131" t="s">
        <v>2816</v>
      </c>
      <c r="D54" s="1148" t="s">
        <v>426</v>
      </c>
      <c r="E54" s="1183">
        <v>26.5</v>
      </c>
      <c r="F54" s="1142"/>
      <c r="G54" s="1142"/>
      <c r="H54" s="1142"/>
      <c r="I54" s="1142"/>
      <c r="J54" s="1131" t="s">
        <v>3027</v>
      </c>
    </row>
    <row r="55" spans="1:10" ht="21.75">
      <c r="A55" s="1177"/>
      <c r="B55" s="1131"/>
      <c r="C55" s="1131" t="s">
        <v>2826</v>
      </c>
      <c r="D55" s="1148"/>
      <c r="E55" s="1142"/>
      <c r="F55" s="1184">
        <v>0.11</v>
      </c>
      <c r="G55" s="1142"/>
      <c r="H55" s="1142"/>
      <c r="I55" s="1142"/>
      <c r="J55" s="1131" t="s">
        <v>2993</v>
      </c>
    </row>
    <row r="56" spans="1:10" ht="42.75">
      <c r="A56" s="1177"/>
      <c r="B56" s="1131" t="s">
        <v>2918</v>
      </c>
      <c r="C56" s="1131" t="s">
        <v>2817</v>
      </c>
      <c r="D56" s="1146" t="s">
        <v>426</v>
      </c>
      <c r="E56" s="1142"/>
      <c r="F56" s="1142"/>
      <c r="G56" s="1182">
        <v>12.49</v>
      </c>
      <c r="H56" s="1184" t="s">
        <v>426</v>
      </c>
      <c r="I56" s="1142"/>
      <c r="J56" s="1131" t="s">
        <v>2999</v>
      </c>
    </row>
    <row r="57" spans="1:10" ht="42.75">
      <c r="A57" s="1177"/>
      <c r="B57" s="1131"/>
      <c r="C57" s="1131" t="s">
        <v>2827</v>
      </c>
      <c r="D57" s="1146"/>
      <c r="E57" s="1142"/>
      <c r="F57" s="1142"/>
      <c r="G57" s="1184"/>
      <c r="H57" s="1141" t="s">
        <v>2909</v>
      </c>
      <c r="I57" s="1135" t="s">
        <v>2731</v>
      </c>
      <c r="J57" s="1176" t="s">
        <v>3018</v>
      </c>
    </row>
    <row r="58" spans="1:10" ht="42.75">
      <c r="A58" s="1177"/>
      <c r="B58" s="1131"/>
      <c r="C58" s="1131" t="s">
        <v>2828</v>
      </c>
      <c r="D58" s="1139"/>
      <c r="E58" s="1135"/>
      <c r="F58" s="1135"/>
      <c r="G58" s="1140"/>
      <c r="H58" s="1144"/>
      <c r="I58" s="1145" t="s">
        <v>2890</v>
      </c>
      <c r="J58" s="1131" t="s">
        <v>3019</v>
      </c>
    </row>
    <row r="59" spans="1:10">
      <c r="A59" s="1523"/>
      <c r="B59" s="1523"/>
      <c r="C59" s="1523"/>
      <c r="D59" s="1523"/>
      <c r="E59" s="1523"/>
      <c r="F59" s="1523"/>
      <c r="G59" s="1523"/>
      <c r="H59" s="1523"/>
      <c r="I59" s="1523"/>
      <c r="J59" s="1523"/>
    </row>
    <row r="60" spans="1:10" ht="32.25">
      <c r="A60" s="1130" t="s">
        <v>3028</v>
      </c>
      <c r="B60" s="1131" t="s">
        <v>2919</v>
      </c>
      <c r="C60" s="1131" t="s">
        <v>2920</v>
      </c>
      <c r="D60" s="1146"/>
      <c r="E60" s="1135"/>
      <c r="F60" s="1135"/>
      <c r="G60" s="1135"/>
      <c r="H60" s="1135"/>
      <c r="I60" s="1142"/>
      <c r="J60" s="1131"/>
    </row>
    <row r="61" spans="1:10" ht="42.75">
      <c r="A61" s="1130"/>
      <c r="B61" s="1131" t="s">
        <v>2892</v>
      </c>
      <c r="C61" s="1131" t="s">
        <v>2816</v>
      </c>
      <c r="D61" s="1146"/>
      <c r="E61" s="1183">
        <v>5.3</v>
      </c>
      <c r="F61" s="1142"/>
      <c r="G61" s="1142"/>
      <c r="H61" s="1135"/>
      <c r="I61" s="1142"/>
      <c r="J61" s="1131" t="s">
        <v>2819</v>
      </c>
    </row>
    <row r="62" spans="1:10" ht="21.75">
      <c r="A62" s="1130"/>
      <c r="B62" s="1131"/>
      <c r="C62" s="1131" t="s">
        <v>2826</v>
      </c>
      <c r="D62" s="1148"/>
      <c r="E62" s="1142"/>
      <c r="F62" s="1184">
        <v>0.11</v>
      </c>
      <c r="G62" s="1142"/>
      <c r="H62" s="1135"/>
      <c r="I62" s="1142"/>
      <c r="J62" s="1131" t="s">
        <v>2819</v>
      </c>
    </row>
    <row r="63" spans="1:10" ht="42.75">
      <c r="A63" s="1130"/>
      <c r="B63" s="1131" t="s">
        <v>2913</v>
      </c>
      <c r="C63" s="1131" t="s">
        <v>2817</v>
      </c>
      <c r="D63" s="1148"/>
      <c r="E63" s="1142"/>
      <c r="F63" s="1142"/>
      <c r="G63" s="1182">
        <v>0.96</v>
      </c>
      <c r="H63" s="1137"/>
      <c r="I63" s="1158"/>
      <c r="J63" s="1131" t="s">
        <v>2819</v>
      </c>
    </row>
    <row r="64" spans="1:10" ht="42.75">
      <c r="A64" s="1130"/>
      <c r="B64" s="1131"/>
      <c r="C64" s="1131" t="s">
        <v>2827</v>
      </c>
      <c r="D64" s="1148"/>
      <c r="E64" s="1135"/>
      <c r="F64" s="1135"/>
      <c r="G64" s="1185"/>
      <c r="H64" s="1141" t="s">
        <v>2909</v>
      </c>
      <c r="I64" s="1135" t="s">
        <v>2731</v>
      </c>
      <c r="J64" s="1176" t="s">
        <v>3018</v>
      </c>
    </row>
    <row r="65" spans="1:10" ht="42.75">
      <c r="A65" s="1130"/>
      <c r="B65" s="1131"/>
      <c r="C65" s="1131" t="s">
        <v>2828</v>
      </c>
      <c r="D65" s="1139"/>
      <c r="E65" s="1135"/>
      <c r="F65" s="1135"/>
      <c r="G65" s="1140"/>
      <c r="H65" s="1144"/>
      <c r="I65" s="1145" t="s">
        <v>2890</v>
      </c>
      <c r="J65" s="1131" t="s">
        <v>3019</v>
      </c>
    </row>
    <row r="66" spans="1:10">
      <c r="A66" s="1523"/>
      <c r="B66" s="1523"/>
      <c r="C66" s="1523"/>
      <c r="D66" s="1523"/>
      <c r="E66" s="1523"/>
      <c r="F66" s="1523"/>
      <c r="G66" s="1523"/>
      <c r="H66" s="1523"/>
      <c r="I66" s="1523"/>
      <c r="J66" s="1523"/>
    </row>
    <row r="67" spans="1:10" ht="31.5">
      <c r="A67" s="1186" t="s">
        <v>3029</v>
      </c>
      <c r="B67" s="1131" t="s">
        <v>2921</v>
      </c>
      <c r="C67" s="1161" t="s">
        <v>2922</v>
      </c>
      <c r="D67" s="1132"/>
      <c r="E67" s="1135"/>
      <c r="F67" s="1135"/>
      <c r="G67" s="1140"/>
      <c r="H67" s="1135"/>
      <c r="I67" s="1135"/>
      <c r="J67" s="1152"/>
    </row>
    <row r="68" spans="1:10" ht="42.75">
      <c r="A68" s="1177"/>
      <c r="B68" s="1131"/>
      <c r="C68" s="1131" t="s">
        <v>2973</v>
      </c>
      <c r="D68" s="1187"/>
      <c r="E68" s="1135"/>
      <c r="F68" s="1184"/>
      <c r="G68" s="1135"/>
      <c r="H68" s="1141" t="s">
        <v>2909</v>
      </c>
      <c r="I68" s="1135" t="s">
        <v>2731</v>
      </c>
      <c r="J68" s="1176" t="s">
        <v>3018</v>
      </c>
    </row>
    <row r="69" spans="1:10" ht="42.75">
      <c r="A69" s="1188"/>
      <c r="B69" s="1163"/>
      <c r="C69" s="1131" t="s">
        <v>2828</v>
      </c>
      <c r="D69" s="1139"/>
      <c r="E69" s="1135"/>
      <c r="F69" s="1135"/>
      <c r="G69" s="1140"/>
      <c r="H69" s="1144"/>
      <c r="I69" s="1145" t="s">
        <v>2890</v>
      </c>
      <c r="J69" s="1131" t="s">
        <v>3019</v>
      </c>
    </row>
    <row r="70" spans="1:10" s="1189" customFormat="1">
      <c r="A70" s="1523"/>
      <c r="B70" s="1523"/>
      <c r="C70" s="1523"/>
      <c r="D70" s="1523"/>
      <c r="E70" s="1523"/>
      <c r="F70" s="1523"/>
      <c r="G70" s="1523"/>
      <c r="H70" s="1523"/>
      <c r="I70" s="1523"/>
      <c r="J70" s="1523"/>
    </row>
    <row r="71" spans="1:10" ht="42">
      <c r="A71" s="1186" t="s">
        <v>3002</v>
      </c>
      <c r="B71" s="1131" t="s">
        <v>2924</v>
      </c>
      <c r="C71" s="1161" t="s">
        <v>2925</v>
      </c>
      <c r="D71" s="1132"/>
      <c r="E71" s="1135"/>
      <c r="F71" s="1135"/>
      <c r="G71" s="1165"/>
      <c r="H71" s="1135"/>
      <c r="I71" s="1135"/>
      <c r="J71" s="1131"/>
    </row>
    <row r="72" spans="1:10" ht="42.75">
      <c r="A72" s="1177"/>
      <c r="B72" s="1131"/>
      <c r="C72" s="1131" t="s">
        <v>2973</v>
      </c>
      <c r="D72" s="1187"/>
      <c r="E72" s="1135"/>
      <c r="F72" s="1184"/>
      <c r="G72" s="1135"/>
      <c r="H72" s="1141" t="s">
        <v>2909</v>
      </c>
      <c r="I72" s="1135" t="s">
        <v>2731</v>
      </c>
      <c r="J72" s="1176" t="s">
        <v>3018</v>
      </c>
    </row>
    <row r="73" spans="1:10" ht="42.75">
      <c r="A73" s="1188"/>
      <c r="B73" s="1163"/>
      <c r="C73" s="1131" t="s">
        <v>2879</v>
      </c>
      <c r="D73" s="1164"/>
      <c r="E73" s="1135"/>
      <c r="F73" s="1135"/>
      <c r="G73" s="1165"/>
      <c r="H73" s="1144"/>
      <c r="I73" s="1145" t="s">
        <v>2890</v>
      </c>
      <c r="J73" s="1131" t="s">
        <v>3019</v>
      </c>
    </row>
    <row r="74" spans="1:10">
      <c r="A74" s="1523"/>
      <c r="B74" s="1523"/>
      <c r="C74" s="1523"/>
      <c r="D74" s="1523"/>
      <c r="E74" s="1523"/>
      <c r="F74" s="1523"/>
      <c r="G74" s="1523"/>
      <c r="H74" s="1523"/>
      <c r="I74" s="1523"/>
      <c r="J74" s="1523"/>
    </row>
    <row r="75" spans="1:10" ht="63.75">
      <c r="A75" s="1186" t="s">
        <v>3001</v>
      </c>
      <c r="B75" s="1131" t="s">
        <v>2926</v>
      </c>
      <c r="C75" s="1161" t="s">
        <v>332</v>
      </c>
      <c r="D75" s="1132"/>
      <c r="E75" s="1135"/>
      <c r="F75" s="1135"/>
      <c r="G75" s="1140"/>
      <c r="H75" s="1135"/>
      <c r="I75" s="1135"/>
      <c r="J75" s="1152"/>
    </row>
    <row r="76" spans="1:10" ht="42.75">
      <c r="A76" s="1177"/>
      <c r="B76" s="1131"/>
      <c r="C76" s="1131" t="s">
        <v>2973</v>
      </c>
      <c r="D76" s="1187"/>
      <c r="E76" s="1135"/>
      <c r="F76" s="1184"/>
      <c r="G76" s="1135"/>
      <c r="H76" s="1141" t="s">
        <v>2909</v>
      </c>
      <c r="I76" s="1135" t="s">
        <v>2731</v>
      </c>
      <c r="J76" s="1176" t="s">
        <v>3018</v>
      </c>
    </row>
    <row r="77" spans="1:10" ht="42.75">
      <c r="A77" s="1188"/>
      <c r="B77" s="1163"/>
      <c r="C77" s="1131" t="s">
        <v>2828</v>
      </c>
      <c r="D77" s="1139"/>
      <c r="E77" s="1135"/>
      <c r="F77" s="1135"/>
      <c r="G77" s="1140"/>
      <c r="H77" s="1144"/>
      <c r="I77" s="1145" t="s">
        <v>2890</v>
      </c>
      <c r="J77" s="1131" t="s">
        <v>3019</v>
      </c>
    </row>
    <row r="78" spans="1:10">
      <c r="A78" s="1523"/>
      <c r="B78" s="1523"/>
      <c r="C78" s="1523"/>
      <c r="D78" s="1523"/>
      <c r="E78" s="1523"/>
      <c r="F78" s="1523"/>
      <c r="G78" s="1523"/>
      <c r="H78" s="1523"/>
      <c r="I78" s="1523"/>
      <c r="J78" s="1523"/>
    </row>
    <row r="79" spans="1:10" ht="63.75">
      <c r="A79" s="1177" t="s">
        <v>3003</v>
      </c>
      <c r="B79" s="1131" t="s">
        <v>2927</v>
      </c>
      <c r="C79" s="1131" t="s">
        <v>2928</v>
      </c>
      <c r="D79" s="1166"/>
      <c r="E79" s="1135"/>
      <c r="F79" s="1135"/>
      <c r="G79" s="1140"/>
      <c r="H79" s="1135"/>
      <c r="I79" s="1135"/>
      <c r="J79" s="1152"/>
    </row>
    <row r="80" spans="1:10" ht="63.75">
      <c r="A80" s="1177" t="s">
        <v>3030</v>
      </c>
      <c r="B80" s="1131" t="s">
        <v>2927</v>
      </c>
      <c r="C80" s="1131" t="s">
        <v>2929</v>
      </c>
      <c r="D80" s="1166"/>
      <c r="E80" s="1135"/>
      <c r="F80" s="1135"/>
      <c r="G80" s="1140"/>
      <c r="H80" s="1135"/>
      <c r="I80" s="1135"/>
      <c r="J80" s="1152"/>
    </row>
    <row r="81" spans="1:10" ht="42.75">
      <c r="A81" s="1177"/>
      <c r="B81" s="1131"/>
      <c r="C81" s="1131" t="s">
        <v>2973</v>
      </c>
      <c r="D81" s="1187"/>
      <c r="E81" s="1135"/>
      <c r="F81" s="1184"/>
      <c r="G81" s="1135"/>
      <c r="H81" s="1141" t="s">
        <v>2909</v>
      </c>
      <c r="I81" s="1135" t="s">
        <v>2731</v>
      </c>
      <c r="J81" s="1176" t="s">
        <v>3018</v>
      </c>
    </row>
    <row r="82" spans="1:10" ht="42.75">
      <c r="A82" s="1190"/>
      <c r="B82" s="1163"/>
      <c r="C82" s="1131" t="s">
        <v>2828</v>
      </c>
      <c r="D82" s="1139"/>
      <c r="E82" s="1135"/>
      <c r="F82" s="1135"/>
      <c r="G82" s="1140"/>
      <c r="H82" s="1144"/>
      <c r="I82" s="1145" t="s">
        <v>2890</v>
      </c>
      <c r="J82" s="1131" t="s">
        <v>3019</v>
      </c>
    </row>
    <row r="83" spans="1:10">
      <c r="A83" s="1523"/>
      <c r="B83" s="1523"/>
      <c r="C83" s="1523"/>
      <c r="D83" s="1523"/>
      <c r="E83" s="1523"/>
      <c r="F83" s="1523"/>
      <c r="G83" s="1523"/>
      <c r="H83" s="1523"/>
      <c r="I83" s="1523"/>
      <c r="J83" s="1523"/>
    </row>
    <row r="84" spans="1:10" ht="63.75">
      <c r="A84" s="1177" t="s">
        <v>3004</v>
      </c>
      <c r="B84" s="1131" t="s">
        <v>2930</v>
      </c>
      <c r="C84" s="1131" t="s">
        <v>2931</v>
      </c>
      <c r="D84" s="1146"/>
      <c r="E84" s="1135"/>
      <c r="F84" s="1135"/>
      <c r="G84" s="1140"/>
      <c r="H84" s="1135"/>
      <c r="I84" s="1142"/>
      <c r="J84" s="1152"/>
    </row>
    <row r="85" spans="1:10" ht="42.75">
      <c r="A85" s="1177"/>
      <c r="B85" s="1131"/>
      <c r="C85" s="1131" t="s">
        <v>2973</v>
      </c>
      <c r="D85" s="1146"/>
      <c r="E85" s="1135"/>
      <c r="F85" s="1135"/>
      <c r="G85" s="1140"/>
      <c r="H85" s="1141" t="s">
        <v>2909</v>
      </c>
      <c r="I85" s="1135" t="s">
        <v>2731</v>
      </c>
      <c r="J85" s="1176" t="s">
        <v>3018</v>
      </c>
    </row>
    <row r="86" spans="1:10" ht="42.75">
      <c r="A86" s="1188"/>
      <c r="B86" s="1163"/>
      <c r="C86" s="1131" t="s">
        <v>2828</v>
      </c>
      <c r="D86" s="1139"/>
      <c r="E86" s="1135"/>
      <c r="F86" s="1135"/>
      <c r="G86" s="1140"/>
      <c r="H86" s="1144"/>
      <c r="I86" s="1145" t="s">
        <v>2890</v>
      </c>
      <c r="J86" s="1131" t="s">
        <v>3019</v>
      </c>
    </row>
    <row r="87" spans="1:10">
      <c r="A87" s="1523"/>
      <c r="B87" s="1523"/>
      <c r="C87" s="1523"/>
      <c r="D87" s="1523"/>
      <c r="E87" s="1523"/>
      <c r="F87" s="1523"/>
      <c r="G87" s="1523"/>
      <c r="H87" s="1523"/>
      <c r="I87" s="1523"/>
      <c r="J87" s="1523"/>
    </row>
    <row r="88" spans="1:10" ht="42.75">
      <c r="A88" s="1177" t="s">
        <v>3005</v>
      </c>
      <c r="B88" s="1131" t="s">
        <v>2932</v>
      </c>
      <c r="C88" s="1131" t="s">
        <v>2933</v>
      </c>
      <c r="D88" s="1191"/>
      <c r="E88" s="1142"/>
      <c r="F88" s="1142"/>
      <c r="G88" s="1124"/>
      <c r="H88" s="1142"/>
      <c r="I88" s="1142"/>
      <c r="J88" s="1131"/>
    </row>
    <row r="89" spans="1:10" ht="42.75">
      <c r="A89" s="1177"/>
      <c r="B89" s="1131"/>
      <c r="C89" s="1131" t="s">
        <v>2973</v>
      </c>
      <c r="D89" s="1192"/>
      <c r="E89" s="1135"/>
      <c r="F89" s="1185"/>
      <c r="G89" s="1135"/>
      <c r="H89" s="1141" t="s">
        <v>2909</v>
      </c>
      <c r="I89" s="1135" t="s">
        <v>2731</v>
      </c>
      <c r="J89" s="1176" t="s">
        <v>3018</v>
      </c>
    </row>
    <row r="90" spans="1:10" s="1178" customFormat="1" ht="42.75">
      <c r="A90" s="1193"/>
      <c r="B90" s="1194"/>
      <c r="C90" s="1131" t="s">
        <v>2828</v>
      </c>
      <c r="D90" s="1139"/>
      <c r="E90" s="1135"/>
      <c r="F90" s="1135"/>
      <c r="G90" s="1140"/>
      <c r="H90" s="1144"/>
      <c r="I90" s="1145" t="s">
        <v>2890</v>
      </c>
      <c r="J90" s="1131" t="s">
        <v>3019</v>
      </c>
    </row>
    <row r="91" spans="1:10">
      <c r="A91" s="1523"/>
      <c r="B91" s="1523"/>
      <c r="C91" s="1523"/>
      <c r="D91" s="1523"/>
      <c r="E91" s="1523"/>
      <c r="F91" s="1523"/>
      <c r="G91" s="1523"/>
      <c r="H91" s="1523"/>
      <c r="I91" s="1523"/>
      <c r="J91" s="1523"/>
    </row>
    <row r="92" spans="1:10" ht="63.75">
      <c r="A92" s="1130" t="s">
        <v>3006</v>
      </c>
      <c r="B92" s="1131" t="s">
        <v>2934</v>
      </c>
      <c r="C92" s="1131" t="s">
        <v>2935</v>
      </c>
      <c r="D92" s="1187"/>
      <c r="E92" s="1135"/>
      <c r="F92" s="1135"/>
      <c r="G92" s="1140"/>
      <c r="H92" s="1135"/>
      <c r="I92" s="1135"/>
      <c r="J92" s="1152"/>
    </row>
    <row r="93" spans="1:10" ht="42.75">
      <c r="A93" s="1190"/>
      <c r="B93" s="1163"/>
      <c r="C93" s="1131" t="s">
        <v>2973</v>
      </c>
      <c r="D93" s="1166"/>
      <c r="E93" s="1135"/>
      <c r="F93" s="1135"/>
      <c r="G93" s="1140"/>
      <c r="H93" s="1141" t="s">
        <v>2909</v>
      </c>
      <c r="I93" s="1135" t="s">
        <v>2731</v>
      </c>
      <c r="J93" s="1176" t="s">
        <v>3018</v>
      </c>
    </row>
    <row r="94" spans="1:10" ht="42.75">
      <c r="A94" s="1177"/>
      <c r="B94" s="1131"/>
      <c r="C94" s="1131" t="s">
        <v>2828</v>
      </c>
      <c r="D94" s="1139"/>
      <c r="E94" s="1135"/>
      <c r="F94" s="1135"/>
      <c r="G94" s="1140"/>
      <c r="H94" s="1144"/>
      <c r="I94" s="1145" t="s">
        <v>2890</v>
      </c>
      <c r="J94" s="1131" t="s">
        <v>3019</v>
      </c>
    </row>
    <row r="95" spans="1:10">
      <c r="A95" s="1523"/>
      <c r="B95" s="1523"/>
      <c r="C95" s="1523"/>
      <c r="D95" s="1523"/>
      <c r="E95" s="1523"/>
      <c r="F95" s="1523"/>
      <c r="G95" s="1523"/>
      <c r="H95" s="1523"/>
      <c r="I95" s="1523"/>
      <c r="J95" s="1523"/>
    </row>
    <row r="96" spans="1:10" ht="32.25">
      <c r="A96" s="1177" t="s">
        <v>2936</v>
      </c>
      <c r="B96" s="1131" t="s">
        <v>2937</v>
      </c>
      <c r="C96" s="1193"/>
      <c r="D96" s="1164"/>
      <c r="E96" s="1135"/>
      <c r="F96" s="1135"/>
      <c r="G96" s="1165"/>
      <c r="H96" s="1144"/>
      <c r="I96" s="1145"/>
      <c r="J96" s="1131"/>
    </row>
    <row r="97" spans="1:10" ht="42.75">
      <c r="A97" s="1190"/>
      <c r="B97" s="1163"/>
      <c r="C97" s="1131" t="s">
        <v>2973</v>
      </c>
      <c r="D97" s="1187"/>
      <c r="E97" s="1135"/>
      <c r="F97" s="1185"/>
      <c r="G97" s="1135"/>
      <c r="H97" s="1141" t="s">
        <v>2909</v>
      </c>
      <c r="I97" s="1135" t="s">
        <v>2731</v>
      </c>
      <c r="J97" s="1176" t="s">
        <v>3018</v>
      </c>
    </row>
    <row r="98" spans="1:10" ht="42.75">
      <c r="A98" s="1177"/>
      <c r="B98" s="1131"/>
      <c r="C98" s="1131" t="s">
        <v>2828</v>
      </c>
      <c r="D98" s="1139"/>
      <c r="E98" s="1135"/>
      <c r="F98" s="1135"/>
      <c r="G98" s="1140"/>
      <c r="H98" s="1144"/>
      <c r="I98" s="1145" t="s">
        <v>2890</v>
      </c>
      <c r="J98" s="1131" t="s">
        <v>3019</v>
      </c>
    </row>
    <row r="99" spans="1:10">
      <c r="A99" s="1523"/>
      <c r="B99" s="1523"/>
      <c r="C99" s="1523"/>
      <c r="D99" s="1523"/>
      <c r="E99" s="1523"/>
      <c r="F99" s="1523"/>
      <c r="G99" s="1523"/>
      <c r="H99" s="1523"/>
      <c r="I99" s="1523"/>
      <c r="J99" s="1523"/>
    </row>
    <row r="100" spans="1:10" ht="53.25">
      <c r="A100" s="1195" t="s">
        <v>2974</v>
      </c>
      <c r="B100" s="1131" t="s">
        <v>2938</v>
      </c>
      <c r="C100" s="1194"/>
      <c r="D100" s="1196"/>
      <c r="E100" s="1135"/>
      <c r="F100" s="1135"/>
      <c r="G100" s="1165"/>
      <c r="H100" s="1144"/>
      <c r="I100" s="1145"/>
      <c r="J100" s="1131"/>
    </row>
    <row r="101" spans="1:10" ht="42.75">
      <c r="A101" s="1167"/>
      <c r="B101" s="1163"/>
      <c r="C101" s="1131" t="s">
        <v>2973</v>
      </c>
      <c r="D101" s="1146"/>
      <c r="E101" s="1135"/>
      <c r="F101" s="1135"/>
      <c r="G101" s="1140"/>
      <c r="H101" s="1141" t="s">
        <v>2909</v>
      </c>
      <c r="I101" s="1135" t="s">
        <v>2731</v>
      </c>
      <c r="J101" s="1176" t="s">
        <v>3018</v>
      </c>
    </row>
    <row r="102" spans="1:10" ht="42.75">
      <c r="A102" s="1130"/>
      <c r="B102" s="1131"/>
      <c r="C102" s="1131" t="s">
        <v>2828</v>
      </c>
      <c r="D102" s="1139"/>
      <c r="E102" s="1135"/>
      <c r="F102" s="1135"/>
      <c r="G102" s="1140"/>
      <c r="H102" s="1144"/>
      <c r="I102" s="1145" t="s">
        <v>2890</v>
      </c>
      <c r="J102" s="1131" t="s">
        <v>3019</v>
      </c>
    </row>
    <row r="103" spans="1:10">
      <c r="A103" s="1523"/>
      <c r="B103" s="1523"/>
      <c r="C103" s="1523"/>
      <c r="D103" s="1523"/>
      <c r="E103" s="1523"/>
      <c r="F103" s="1523"/>
      <c r="G103" s="1523"/>
      <c r="H103" s="1523"/>
      <c r="I103" s="1523"/>
      <c r="J103" s="1523"/>
    </row>
    <row r="104" spans="1:10" ht="53.25">
      <c r="A104" s="1197" t="s">
        <v>2975</v>
      </c>
      <c r="B104" s="1131" t="s">
        <v>2940</v>
      </c>
      <c r="C104" s="1198"/>
      <c r="D104" s="1196"/>
      <c r="E104" s="1135"/>
      <c r="F104" s="1135"/>
      <c r="G104" s="1135"/>
      <c r="H104" s="1135"/>
      <c r="I104" s="1135"/>
      <c r="J104" s="1152"/>
    </row>
    <row r="105" spans="1:10" ht="42.75">
      <c r="A105" s="1167"/>
      <c r="B105" s="1163"/>
      <c r="C105" s="1131" t="s">
        <v>2973</v>
      </c>
      <c r="D105" s="1146"/>
      <c r="E105" s="1135"/>
      <c r="F105" s="1135"/>
      <c r="G105" s="1140"/>
      <c r="H105" s="1141" t="s">
        <v>2909</v>
      </c>
      <c r="I105" s="1135" t="s">
        <v>2731</v>
      </c>
      <c r="J105" s="1176" t="s">
        <v>3018</v>
      </c>
    </row>
    <row r="106" spans="1:10" ht="42.75">
      <c r="A106" s="1130"/>
      <c r="B106" s="1131"/>
      <c r="C106" s="1131" t="s">
        <v>2828</v>
      </c>
      <c r="D106" s="1139"/>
      <c r="E106" s="1135"/>
      <c r="F106" s="1135"/>
      <c r="G106" s="1140"/>
      <c r="H106" s="1144"/>
      <c r="I106" s="1145" t="s">
        <v>2890</v>
      </c>
      <c r="J106" s="1131" t="s">
        <v>3019</v>
      </c>
    </row>
    <row r="107" spans="1:10">
      <c r="A107" s="1523"/>
      <c r="B107" s="1523"/>
      <c r="C107" s="1523"/>
      <c r="D107" s="1523"/>
      <c r="E107" s="1523"/>
      <c r="F107" s="1523"/>
      <c r="G107" s="1523"/>
      <c r="H107" s="1523"/>
      <c r="I107" s="1523"/>
      <c r="J107" s="1523"/>
    </row>
    <row r="108" spans="1:10" ht="32.25">
      <c r="A108" s="1168" t="s">
        <v>2976</v>
      </c>
      <c r="B108" s="1131" t="s">
        <v>2941</v>
      </c>
      <c r="C108" s="1194"/>
      <c r="D108" s="1196"/>
      <c r="E108" s="1135"/>
      <c r="F108" s="1135"/>
      <c r="G108" s="1135"/>
      <c r="H108" s="1135"/>
      <c r="I108" s="1135"/>
      <c r="J108" s="1131"/>
    </row>
    <row r="109" spans="1:10" ht="42.75">
      <c r="A109" s="1167"/>
      <c r="B109" s="1163"/>
      <c r="C109" s="1131" t="s">
        <v>2973</v>
      </c>
      <c r="D109" s="1146"/>
      <c r="E109" s="1135"/>
      <c r="F109" s="1135"/>
      <c r="G109" s="1140"/>
      <c r="H109" s="1141" t="s">
        <v>2909</v>
      </c>
      <c r="I109" s="1135" t="s">
        <v>2731</v>
      </c>
      <c r="J109" s="1176" t="s">
        <v>3018</v>
      </c>
    </row>
    <row r="110" spans="1:10" ht="42.75">
      <c r="A110" s="1130"/>
      <c r="B110" s="1131"/>
      <c r="C110" s="1131" t="s">
        <v>2828</v>
      </c>
      <c r="D110" s="1139"/>
      <c r="E110" s="1135"/>
      <c r="F110" s="1135"/>
      <c r="G110" s="1140"/>
      <c r="H110" s="1144"/>
      <c r="I110" s="1145" t="s">
        <v>2890</v>
      </c>
      <c r="J110" s="1131" t="s">
        <v>3019</v>
      </c>
    </row>
    <row r="111" spans="1:10">
      <c r="A111" s="1523"/>
      <c r="B111" s="1523"/>
      <c r="C111" s="1523"/>
      <c r="D111" s="1523"/>
      <c r="E111" s="1523"/>
      <c r="F111" s="1523"/>
      <c r="G111" s="1523"/>
      <c r="H111" s="1523"/>
      <c r="I111" s="1523"/>
      <c r="J111" s="1523"/>
    </row>
    <row r="112" spans="1:10" ht="32.25">
      <c r="A112" s="1168" t="s">
        <v>2977</v>
      </c>
      <c r="B112" s="1131" t="s">
        <v>2943</v>
      </c>
      <c r="C112" s="1194"/>
      <c r="D112" s="1196"/>
      <c r="E112" s="1135"/>
      <c r="F112" s="1135"/>
      <c r="G112" s="1135"/>
      <c r="H112" s="1135"/>
      <c r="I112" s="1135"/>
      <c r="J112" s="1152"/>
    </row>
    <row r="113" spans="1:10" ht="42.75">
      <c r="A113" s="1162"/>
      <c r="B113" s="1163"/>
      <c r="C113" s="1131" t="s">
        <v>2973</v>
      </c>
      <c r="D113" s="1146"/>
      <c r="E113" s="1135"/>
      <c r="F113" s="1135"/>
      <c r="G113" s="1140"/>
      <c r="H113" s="1141" t="s">
        <v>2909</v>
      </c>
      <c r="I113" s="1135" t="s">
        <v>2731</v>
      </c>
      <c r="J113" s="1176" t="s">
        <v>3018</v>
      </c>
    </row>
    <row r="114" spans="1:10" ht="42.75">
      <c r="A114" s="1130"/>
      <c r="B114" s="1131"/>
      <c r="C114" s="1131" t="s">
        <v>2828</v>
      </c>
      <c r="D114" s="1139"/>
      <c r="E114" s="1135"/>
      <c r="F114" s="1135"/>
      <c r="G114" s="1140"/>
      <c r="H114" s="1144"/>
      <c r="I114" s="1145" t="s">
        <v>2890</v>
      </c>
      <c r="J114" s="1131" t="s">
        <v>3019</v>
      </c>
    </row>
    <row r="115" spans="1:10">
      <c r="A115" s="1523"/>
      <c r="B115" s="1523"/>
      <c r="C115" s="1523"/>
      <c r="D115" s="1523"/>
      <c r="E115" s="1523"/>
      <c r="F115" s="1523"/>
      <c r="G115" s="1523"/>
      <c r="H115" s="1523"/>
      <c r="I115" s="1523"/>
      <c r="J115" s="1523"/>
    </row>
    <row r="116" spans="1:10" ht="32.25">
      <c r="A116" s="1168" t="s">
        <v>2978</v>
      </c>
      <c r="B116" s="1131" t="s">
        <v>2945</v>
      </c>
      <c r="C116" s="1194"/>
      <c r="D116" s="1196"/>
      <c r="E116" s="1135"/>
      <c r="F116" s="1135"/>
      <c r="G116" s="1135"/>
      <c r="H116" s="1135"/>
      <c r="I116" s="1135"/>
      <c r="J116" s="1131"/>
    </row>
    <row r="117" spans="1:10" ht="42.75">
      <c r="A117" s="1162"/>
      <c r="B117" s="1163"/>
      <c r="C117" s="1131" t="s">
        <v>2973</v>
      </c>
      <c r="D117" s="1146"/>
      <c r="E117" s="1135"/>
      <c r="F117" s="1135"/>
      <c r="G117" s="1140"/>
      <c r="H117" s="1141" t="s">
        <v>2909</v>
      </c>
      <c r="I117" s="1135" t="s">
        <v>2731</v>
      </c>
      <c r="J117" s="1176" t="s">
        <v>3018</v>
      </c>
    </row>
    <row r="118" spans="1:10" ht="42.75">
      <c r="A118" s="1130"/>
      <c r="B118" s="1131"/>
      <c r="C118" s="1131" t="s">
        <v>2828</v>
      </c>
      <c r="D118" s="1139"/>
      <c r="E118" s="1135"/>
      <c r="F118" s="1135"/>
      <c r="G118" s="1140"/>
      <c r="H118" s="1144"/>
      <c r="I118" s="1145" t="s">
        <v>2890</v>
      </c>
      <c r="J118" s="1131" t="s">
        <v>3019</v>
      </c>
    </row>
    <row r="119" spans="1:10">
      <c r="A119" s="1523"/>
      <c r="B119" s="1523"/>
      <c r="C119" s="1523"/>
      <c r="D119" s="1523"/>
      <c r="E119" s="1523"/>
      <c r="F119" s="1523"/>
      <c r="G119" s="1523"/>
      <c r="H119" s="1523"/>
      <c r="I119" s="1523"/>
      <c r="J119" s="1523"/>
    </row>
    <row r="120" spans="1:10" ht="53.25">
      <c r="A120" s="1168" t="s">
        <v>2979</v>
      </c>
      <c r="B120" s="1131" t="s">
        <v>2947</v>
      </c>
      <c r="C120" s="1194"/>
      <c r="D120" s="1187"/>
      <c r="E120" s="1135"/>
      <c r="F120" s="1135"/>
      <c r="G120" s="1135"/>
      <c r="H120" s="1135"/>
      <c r="I120" s="1135"/>
      <c r="J120" s="1152"/>
    </row>
    <row r="121" spans="1:10" ht="42.75">
      <c r="A121" s="1162"/>
      <c r="B121" s="1163"/>
      <c r="C121" s="1131" t="s">
        <v>2973</v>
      </c>
      <c r="D121" s="1146"/>
      <c r="E121" s="1135"/>
      <c r="F121" s="1135"/>
      <c r="G121" s="1140"/>
      <c r="H121" s="1141" t="s">
        <v>2909</v>
      </c>
      <c r="I121" s="1135" t="s">
        <v>2731</v>
      </c>
      <c r="J121" s="1176" t="s">
        <v>3018</v>
      </c>
    </row>
    <row r="122" spans="1:10" ht="42.75">
      <c r="A122" s="1130"/>
      <c r="B122" s="1131"/>
      <c r="C122" s="1131" t="s">
        <v>2828</v>
      </c>
      <c r="D122" s="1139"/>
      <c r="E122" s="1135"/>
      <c r="F122" s="1135"/>
      <c r="G122" s="1140"/>
      <c r="H122" s="1144"/>
      <c r="I122" s="1145" t="s">
        <v>2890</v>
      </c>
      <c r="J122" s="1131" t="s">
        <v>3019</v>
      </c>
    </row>
    <row r="123" spans="1:10">
      <c r="A123" s="1523"/>
      <c r="B123" s="1523"/>
      <c r="C123" s="1523"/>
      <c r="D123" s="1523"/>
      <c r="E123" s="1523"/>
      <c r="F123" s="1523"/>
      <c r="G123" s="1523"/>
      <c r="H123" s="1523"/>
      <c r="I123" s="1523"/>
      <c r="J123" s="1523"/>
    </row>
    <row r="124" spans="1:10" ht="53.25">
      <c r="A124" s="1168" t="s">
        <v>2980</v>
      </c>
      <c r="B124" s="1131" t="s">
        <v>2949</v>
      </c>
      <c r="C124" s="1194"/>
      <c r="D124" s="1196"/>
      <c r="E124" s="1135"/>
      <c r="F124" s="1135"/>
      <c r="G124" s="1135"/>
      <c r="H124" s="1135"/>
      <c r="I124" s="1135"/>
      <c r="J124" s="1152"/>
    </row>
    <row r="125" spans="1:10" ht="42.75">
      <c r="A125" s="1162"/>
      <c r="B125" s="1163"/>
      <c r="C125" s="1131" t="s">
        <v>2973</v>
      </c>
      <c r="D125" s="1146"/>
      <c r="E125" s="1135"/>
      <c r="F125" s="1135"/>
      <c r="G125" s="1140"/>
      <c r="H125" s="1141" t="s">
        <v>2909</v>
      </c>
      <c r="I125" s="1135" t="s">
        <v>2731</v>
      </c>
      <c r="J125" s="1176" t="s">
        <v>3018</v>
      </c>
    </row>
    <row r="126" spans="1:10" ht="42.75">
      <c r="A126" s="1130"/>
      <c r="B126" s="1131"/>
      <c r="C126" s="1131" t="s">
        <v>2828</v>
      </c>
      <c r="D126" s="1139"/>
      <c r="E126" s="1135"/>
      <c r="F126" s="1135"/>
      <c r="G126" s="1140"/>
      <c r="H126" s="1144"/>
      <c r="I126" s="1145" t="s">
        <v>2890</v>
      </c>
      <c r="J126" s="1131" t="s">
        <v>3019</v>
      </c>
    </row>
    <row r="127" spans="1:10">
      <c r="A127" s="1523"/>
      <c r="B127" s="1523"/>
      <c r="C127" s="1523"/>
      <c r="D127" s="1523"/>
      <c r="E127" s="1523"/>
      <c r="F127" s="1523"/>
      <c r="G127" s="1523"/>
      <c r="H127" s="1523"/>
      <c r="I127" s="1523"/>
      <c r="J127" s="1523"/>
    </row>
    <row r="128" spans="1:10" ht="53.25">
      <c r="A128" s="1168" t="s">
        <v>3031</v>
      </c>
      <c r="B128" s="1131" t="s">
        <v>2951</v>
      </c>
      <c r="C128" s="1194"/>
      <c r="D128" s="1196"/>
      <c r="E128" s="1135"/>
      <c r="F128" s="1142"/>
      <c r="G128" s="1142"/>
      <c r="H128" s="1142"/>
      <c r="I128" s="1142"/>
      <c r="J128" s="1152"/>
    </row>
    <row r="129" spans="1:10" ht="42.75">
      <c r="A129" s="1168"/>
      <c r="B129" s="1131"/>
      <c r="C129" s="1131" t="s">
        <v>2952</v>
      </c>
      <c r="D129" s="1169"/>
      <c r="E129" s="1142"/>
      <c r="F129" s="1142"/>
      <c r="G129" s="1142"/>
      <c r="H129" s="1142"/>
      <c r="I129" s="1142"/>
      <c r="J129" s="1152"/>
    </row>
    <row r="130" spans="1:10" ht="42.75">
      <c r="A130" s="1162"/>
      <c r="B130" s="1163"/>
      <c r="C130" s="1131" t="s">
        <v>2973</v>
      </c>
      <c r="D130" s="1146"/>
      <c r="E130" s="1135"/>
      <c r="F130" s="1135"/>
      <c r="G130" s="1140"/>
      <c r="H130" s="1141" t="s">
        <v>2909</v>
      </c>
      <c r="I130" s="1135" t="s">
        <v>2731</v>
      </c>
      <c r="J130" s="1176" t="s">
        <v>3018</v>
      </c>
    </row>
    <row r="131" spans="1:10" ht="42.75">
      <c r="A131" s="1130"/>
      <c r="B131" s="1131"/>
      <c r="C131" s="1131" t="s">
        <v>2828</v>
      </c>
      <c r="D131" s="1139"/>
      <c r="E131" s="1135"/>
      <c r="F131" s="1135"/>
      <c r="G131" s="1140"/>
      <c r="H131" s="1144"/>
      <c r="I131" s="1145" t="s">
        <v>2890</v>
      </c>
      <c r="J131" s="1131" t="s">
        <v>3019</v>
      </c>
    </row>
    <row r="132" spans="1:10">
      <c r="A132" s="1523"/>
      <c r="B132" s="1523"/>
      <c r="C132" s="1523"/>
      <c r="D132" s="1523"/>
      <c r="E132" s="1523"/>
      <c r="F132" s="1523"/>
      <c r="G132" s="1523"/>
      <c r="H132" s="1523"/>
      <c r="I132" s="1523"/>
      <c r="J132" s="1523"/>
    </row>
    <row r="133" spans="1:10" ht="32.25">
      <c r="A133" s="1168" t="s">
        <v>2981</v>
      </c>
      <c r="B133" s="1131" t="s">
        <v>2982</v>
      </c>
      <c r="C133" s="1198"/>
      <c r="D133" s="1164"/>
      <c r="E133" s="1135"/>
      <c r="F133" s="1135"/>
      <c r="G133" s="1135"/>
      <c r="H133" s="1135"/>
      <c r="I133" s="1135"/>
      <c r="J133" s="1152"/>
    </row>
    <row r="134" spans="1:10" ht="42.75">
      <c r="A134" s="1162"/>
      <c r="B134" s="1163"/>
      <c r="C134" s="1131" t="s">
        <v>2973</v>
      </c>
      <c r="D134" s="1146"/>
      <c r="E134" s="1135"/>
      <c r="F134" s="1135"/>
      <c r="G134" s="1140"/>
      <c r="H134" s="1141" t="s">
        <v>2909</v>
      </c>
      <c r="I134" s="1135" t="s">
        <v>2731</v>
      </c>
      <c r="J134" s="1176" t="s">
        <v>3018</v>
      </c>
    </row>
    <row r="135" spans="1:10" ht="42.75">
      <c r="A135" s="1130"/>
      <c r="B135" s="1131"/>
      <c r="C135" s="1131" t="s">
        <v>2828</v>
      </c>
      <c r="D135" s="1139"/>
      <c r="E135" s="1135"/>
      <c r="F135" s="1135"/>
      <c r="G135" s="1140"/>
      <c r="H135" s="1144"/>
      <c r="I135" s="1145" t="s">
        <v>2890</v>
      </c>
      <c r="J135" s="1131" t="s">
        <v>3019</v>
      </c>
    </row>
    <row r="136" spans="1:10">
      <c r="A136" s="1523"/>
      <c r="B136" s="1523"/>
      <c r="C136" s="1523"/>
      <c r="D136" s="1523"/>
      <c r="E136" s="1523"/>
      <c r="F136" s="1523"/>
      <c r="G136" s="1523"/>
      <c r="H136" s="1523"/>
      <c r="I136" s="1523"/>
      <c r="J136" s="1523"/>
    </row>
    <row r="137" spans="1:10" ht="63.75">
      <c r="A137" s="1168" t="s">
        <v>2983</v>
      </c>
      <c r="B137" s="1131" t="s">
        <v>2956</v>
      </c>
      <c r="C137" s="1194"/>
      <c r="D137" s="1187"/>
      <c r="E137" s="1135"/>
      <c r="F137" s="1135"/>
      <c r="G137" s="1135"/>
      <c r="H137" s="1135"/>
      <c r="I137" s="1135"/>
      <c r="J137" s="1152"/>
    </row>
    <row r="138" spans="1:10" ht="42.75">
      <c r="A138" s="1162"/>
      <c r="B138" s="1163"/>
      <c r="C138" s="1131" t="s">
        <v>2973</v>
      </c>
      <c r="D138" s="1146"/>
      <c r="E138" s="1135"/>
      <c r="F138" s="1135"/>
      <c r="G138" s="1140"/>
      <c r="H138" s="1141" t="s">
        <v>2909</v>
      </c>
      <c r="I138" s="1135" t="s">
        <v>2731</v>
      </c>
      <c r="J138" s="1176" t="s">
        <v>3018</v>
      </c>
    </row>
    <row r="139" spans="1:10" ht="42.75">
      <c r="A139" s="1130"/>
      <c r="B139" s="1131"/>
      <c r="C139" s="1131" t="s">
        <v>2828</v>
      </c>
      <c r="D139" s="1139"/>
      <c r="E139" s="1135"/>
      <c r="F139" s="1135"/>
      <c r="G139" s="1140"/>
      <c r="H139" s="1144"/>
      <c r="I139" s="1145" t="s">
        <v>2890</v>
      </c>
      <c r="J139" s="1131" t="s">
        <v>3019</v>
      </c>
    </row>
    <row r="140" spans="1:10">
      <c r="A140" s="1523"/>
      <c r="B140" s="1523"/>
      <c r="C140" s="1523"/>
      <c r="D140" s="1523"/>
      <c r="E140" s="1523"/>
      <c r="F140" s="1523"/>
      <c r="G140" s="1523"/>
      <c r="H140" s="1523"/>
      <c r="I140" s="1523"/>
      <c r="J140" s="1523"/>
    </row>
    <row r="141" spans="1:10" ht="74.25">
      <c r="A141" s="1130" t="s">
        <v>2984</v>
      </c>
      <c r="B141" s="1131" t="s">
        <v>2985</v>
      </c>
      <c r="C141" s="1131" t="s">
        <v>2986</v>
      </c>
      <c r="D141" s="1157"/>
      <c r="E141" s="1135"/>
      <c r="F141" s="1135"/>
      <c r="G141" s="1165"/>
      <c r="H141" s="1144"/>
      <c r="I141" s="1145"/>
      <c r="J141" s="1131"/>
    </row>
    <row r="142" spans="1:10" ht="42.75">
      <c r="A142" s="1162"/>
      <c r="B142" s="1163"/>
      <c r="C142" s="1131" t="s">
        <v>2973</v>
      </c>
      <c r="D142" s="1146"/>
      <c r="E142" s="1135"/>
      <c r="F142" s="1135"/>
      <c r="G142" s="1140"/>
      <c r="H142" s="1141" t="s">
        <v>2909</v>
      </c>
      <c r="I142" s="1135" t="s">
        <v>2731</v>
      </c>
      <c r="J142" s="1176" t="s">
        <v>3018</v>
      </c>
    </row>
    <row r="143" spans="1:10" ht="42.75">
      <c r="A143" s="1130"/>
      <c r="B143" s="1131"/>
      <c r="C143" s="1131" t="s">
        <v>2828</v>
      </c>
      <c r="D143" s="1139"/>
      <c r="E143" s="1135"/>
      <c r="F143" s="1135"/>
      <c r="G143" s="1140"/>
      <c r="H143" s="1144"/>
      <c r="I143" s="1145" t="s">
        <v>2890</v>
      </c>
      <c r="J143" s="1131" t="s">
        <v>3019</v>
      </c>
    </row>
    <row r="144" spans="1:10">
      <c r="A144" s="1523"/>
      <c r="B144" s="1523"/>
      <c r="C144" s="1523"/>
      <c r="D144" s="1523"/>
      <c r="E144" s="1523"/>
      <c r="F144" s="1523"/>
      <c r="G144" s="1523"/>
      <c r="H144" s="1523"/>
      <c r="I144" s="1523"/>
      <c r="J144" s="1523"/>
    </row>
    <row r="145" spans="1:10">
      <c r="A145" s="1171"/>
      <c r="B145" s="1509" t="s">
        <v>2960</v>
      </c>
      <c r="C145" s="1510"/>
      <c r="D145" s="1510"/>
      <c r="E145" s="1510"/>
      <c r="F145" s="1510"/>
      <c r="G145" s="1510"/>
      <c r="H145" s="1510"/>
      <c r="I145" s="1511"/>
      <c r="J145" s="1152"/>
    </row>
    <row r="146" spans="1:10">
      <c r="A146" s="1171" t="s">
        <v>2961</v>
      </c>
      <c r="B146" s="1165" t="s">
        <v>2962</v>
      </c>
      <c r="C146" s="1198"/>
      <c r="D146" s="1146"/>
      <c r="E146" s="1135"/>
      <c r="F146" s="1135"/>
      <c r="G146" s="1135"/>
      <c r="H146" s="1135"/>
      <c r="I146" s="1135"/>
      <c r="J146" s="1152"/>
    </row>
    <row r="147" spans="1:10">
      <c r="A147" s="1168" t="s">
        <v>2963</v>
      </c>
      <c r="B147" s="1124" t="s">
        <v>3032</v>
      </c>
      <c r="C147" s="1165"/>
      <c r="D147" s="1194"/>
      <c r="E147" s="1194"/>
      <c r="F147" s="1135"/>
      <c r="G147" s="1184"/>
      <c r="H147" s="1141"/>
      <c r="I147" s="1135"/>
      <c r="J147" s="1176"/>
    </row>
    <row r="148" spans="1:10" ht="24.75" customHeight="1">
      <c r="A148" s="1171" t="s">
        <v>2964</v>
      </c>
      <c r="B148" s="1509" t="s">
        <v>2987</v>
      </c>
      <c r="C148" s="1510"/>
      <c r="D148" s="1510"/>
      <c r="E148" s="1510"/>
      <c r="F148" s="1510"/>
      <c r="G148" s="1510"/>
      <c r="H148" s="1510"/>
      <c r="I148" s="1510"/>
      <c r="J148" s="1511"/>
    </row>
    <row r="149" spans="1:10">
      <c r="A149" s="1199" t="s">
        <v>2988</v>
      </c>
      <c r="B149" s="1521" t="s">
        <v>2967</v>
      </c>
      <c r="C149" s="1521"/>
      <c r="D149" s="1521"/>
      <c r="E149" s="1521"/>
      <c r="F149" s="1521"/>
      <c r="G149" s="1521"/>
      <c r="H149" s="1521"/>
      <c r="I149" s="1521"/>
      <c r="J149" s="1521"/>
    </row>
    <row r="150" spans="1:10" ht="32.25" customHeight="1">
      <c r="A150" s="1199"/>
      <c r="B150" s="1522"/>
      <c r="C150" s="1522"/>
      <c r="D150" s="1522"/>
      <c r="E150" s="1522"/>
      <c r="F150" s="1522"/>
      <c r="G150" s="1522"/>
      <c r="H150" s="1522"/>
      <c r="I150" s="1522"/>
      <c r="J150" s="1522"/>
    </row>
    <row r="151" spans="1:10">
      <c r="A151" s="1199"/>
      <c r="C151" s="1201"/>
      <c r="D151" s="1202"/>
      <c r="E151" s="1202"/>
      <c r="F151" s="1202"/>
      <c r="G151" s="1202"/>
      <c r="H151" s="1202"/>
      <c r="I151" s="1202"/>
      <c r="J151" s="1203"/>
    </row>
    <row r="152" spans="1:10">
      <c r="A152" s="1199"/>
      <c r="C152" s="1201"/>
      <c r="D152" s="1204"/>
      <c r="E152" s="1205"/>
      <c r="F152" s="1206"/>
      <c r="G152" s="1206"/>
      <c r="H152" s="1206"/>
      <c r="I152" s="1206"/>
      <c r="J152" s="1203"/>
    </row>
    <row r="153" spans="1:10" ht="13.15" customHeight="1">
      <c r="A153" s="1199"/>
      <c r="C153" s="1201"/>
      <c r="D153" s="1204"/>
      <c r="E153" s="1205"/>
      <c r="F153" s="1202"/>
      <c r="G153" s="1202"/>
      <c r="H153" s="1207"/>
      <c r="I153" s="1207"/>
      <c r="J153" s="1203"/>
    </row>
    <row r="154" spans="1:10" ht="13.15" customHeight="1">
      <c r="A154" s="1199"/>
      <c r="C154" s="1201"/>
      <c r="D154" s="1204"/>
      <c r="E154" s="1205"/>
      <c r="F154" s="1202"/>
      <c r="G154" s="1202"/>
      <c r="H154" s="1202"/>
      <c r="I154" s="1207"/>
      <c r="J154" s="1203"/>
    </row>
    <row r="155" spans="1:10">
      <c r="A155" s="1199"/>
    </row>
    <row r="156" spans="1:10">
      <c r="A156" s="1199"/>
    </row>
    <row r="157" spans="1:10">
      <c r="A157" s="1199"/>
    </row>
    <row r="158" spans="1:10">
      <c r="A158" s="1199"/>
    </row>
    <row r="159" spans="1:10">
      <c r="A159" s="1199"/>
    </row>
    <row r="160" spans="1:10">
      <c r="A160" s="1199"/>
    </row>
    <row r="161" spans="1:1">
      <c r="A161" s="1199"/>
    </row>
    <row r="162" spans="1:1">
      <c r="A162" s="1199"/>
    </row>
    <row r="163" spans="1:1">
      <c r="A163" s="1199"/>
    </row>
    <row r="164" spans="1:1">
      <c r="A164" s="1199"/>
    </row>
    <row r="165" spans="1:1">
      <c r="A165" s="1199"/>
    </row>
    <row r="166" spans="1:1">
      <c r="A166" s="1199"/>
    </row>
    <row r="167" spans="1:1">
      <c r="A167" s="1199"/>
    </row>
    <row r="168" spans="1:1">
      <c r="A168" s="1199"/>
    </row>
    <row r="169" spans="1:1">
      <c r="A169" s="1199"/>
    </row>
    <row r="170" spans="1:1">
      <c r="A170" s="1199"/>
    </row>
    <row r="171" spans="1:1">
      <c r="A171" s="1199"/>
    </row>
    <row r="172" spans="1:1">
      <c r="A172" s="1199"/>
    </row>
    <row r="173" spans="1:1">
      <c r="A173" s="1199"/>
    </row>
    <row r="174" spans="1:1">
      <c r="A174" s="1199"/>
    </row>
    <row r="175" spans="1:1">
      <c r="A175" s="1199"/>
    </row>
    <row r="176" spans="1:1">
      <c r="A176" s="1199"/>
    </row>
    <row r="177" spans="1:1">
      <c r="A177" s="1199"/>
    </row>
    <row r="178" spans="1:1">
      <c r="A178" s="1199"/>
    </row>
    <row r="179" spans="1:1">
      <c r="A179" s="1199"/>
    </row>
    <row r="180" spans="1:1">
      <c r="A180" s="1199"/>
    </row>
    <row r="181" spans="1:1">
      <c r="A181" s="1199"/>
    </row>
    <row r="182" spans="1:1">
      <c r="A182" s="1199"/>
    </row>
    <row r="183" spans="1:1">
      <c r="A183" s="1199"/>
    </row>
    <row r="184" spans="1:1">
      <c r="A184" s="1199"/>
    </row>
    <row r="185" spans="1:1">
      <c r="A185" s="1199"/>
    </row>
    <row r="186" spans="1:1">
      <c r="A186" s="1199"/>
    </row>
    <row r="187" spans="1:1">
      <c r="A187" s="1199"/>
    </row>
    <row r="188" spans="1:1">
      <c r="A188" s="1199"/>
    </row>
    <row r="189" spans="1:1">
      <c r="A189" s="1199"/>
    </row>
    <row r="190" spans="1:1">
      <c r="A190" s="1199"/>
    </row>
    <row r="191" spans="1:1">
      <c r="A191" s="1199"/>
    </row>
    <row r="192" spans="1:1">
      <c r="A192" s="1199"/>
    </row>
    <row r="193" spans="1:1">
      <c r="A193" s="1199"/>
    </row>
    <row r="194" spans="1:1">
      <c r="A194" s="1199"/>
    </row>
    <row r="195" spans="1:1">
      <c r="A195" s="1199"/>
    </row>
    <row r="196" spans="1:1">
      <c r="A196" s="1199"/>
    </row>
    <row r="197" spans="1:1">
      <c r="A197" s="1199"/>
    </row>
    <row r="198" spans="1:1">
      <c r="A198" s="1199"/>
    </row>
    <row r="199" spans="1:1">
      <c r="A199" s="1199"/>
    </row>
    <row r="200" spans="1:1">
      <c r="A200" s="1199"/>
    </row>
    <row r="201" spans="1:1">
      <c r="A201" s="1199"/>
    </row>
    <row r="202" spans="1:1">
      <c r="A202" s="1199"/>
    </row>
    <row r="203" spans="1:1">
      <c r="A203" s="1199"/>
    </row>
    <row r="204" spans="1:1">
      <c r="A204" s="1199"/>
    </row>
    <row r="205" spans="1:1">
      <c r="A205" s="1199"/>
    </row>
    <row r="206" spans="1:1">
      <c r="A206" s="1199"/>
    </row>
    <row r="207" spans="1:1">
      <c r="A207" s="1199"/>
    </row>
    <row r="208" spans="1:1">
      <c r="A208" s="1199"/>
    </row>
    <row r="209" spans="1:1">
      <c r="A209" s="1199"/>
    </row>
    <row r="210" spans="1:1">
      <c r="A210" s="1199"/>
    </row>
  </sheetData>
  <mergeCells count="41">
    <mergeCell ref="D1:I1"/>
    <mergeCell ref="J1:J3"/>
    <mergeCell ref="A2:C3"/>
    <mergeCell ref="D2:I3"/>
    <mergeCell ref="A4:B5"/>
    <mergeCell ref="C4:F4"/>
    <mergeCell ref="G4:I4"/>
    <mergeCell ref="J4:J5"/>
    <mergeCell ref="C5:F5"/>
    <mergeCell ref="G5:I5"/>
    <mergeCell ref="A78:J78"/>
    <mergeCell ref="A7:J7"/>
    <mergeCell ref="A14:J14"/>
    <mergeCell ref="A21:J21"/>
    <mergeCell ref="A29:J29"/>
    <mergeCell ref="A36:J36"/>
    <mergeCell ref="A44:J44"/>
    <mergeCell ref="A51:J51"/>
    <mergeCell ref="A59:J59"/>
    <mergeCell ref="A66:J66"/>
    <mergeCell ref="A70:J70"/>
    <mergeCell ref="A74:J74"/>
    <mergeCell ref="A127:J127"/>
    <mergeCell ref="A83:J83"/>
    <mergeCell ref="A87:J87"/>
    <mergeCell ref="A91:J91"/>
    <mergeCell ref="A95:J95"/>
    <mergeCell ref="A99:J99"/>
    <mergeCell ref="A103:J103"/>
    <mergeCell ref="A107:J107"/>
    <mergeCell ref="A111:J111"/>
    <mergeCell ref="A115:J115"/>
    <mergeCell ref="A119:J119"/>
    <mergeCell ref="A123:J123"/>
    <mergeCell ref="B149:J150"/>
    <mergeCell ref="A132:J132"/>
    <mergeCell ref="A136:J136"/>
    <mergeCell ref="A140:J140"/>
    <mergeCell ref="A144:J144"/>
    <mergeCell ref="B145:I145"/>
    <mergeCell ref="B148:J148"/>
  </mergeCells>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
  <sheetViews>
    <sheetView workbookViewId="0"/>
  </sheetViews>
  <sheetFormatPr defaultRowHeight="10.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43</vt:i4>
      </vt:variant>
    </vt:vector>
  </HeadingPairs>
  <TitlesOfParts>
    <vt:vector size="86" baseType="lpstr">
      <vt:lpstr>Use and Discl </vt:lpstr>
      <vt:lpstr>DID - Kansas </vt:lpstr>
      <vt:lpstr>DID - Missouri</vt:lpstr>
      <vt:lpstr>DOD &amp; Analog - Kansas</vt:lpstr>
      <vt:lpstr>DOD &amp; Analog Trunk - Missouri</vt:lpstr>
      <vt:lpstr>Business Lines - Kansas</vt:lpstr>
      <vt:lpstr>Business Lines - Missouri</vt:lpstr>
      <vt:lpstr>Private Line - Kansas </vt:lpstr>
      <vt:lpstr>Private Line - Missouri</vt:lpstr>
      <vt:lpstr>ISDN BRI - Kansas</vt:lpstr>
      <vt:lpstr>ISDN BRI - Missouri</vt:lpstr>
      <vt:lpstr>ISDN PRI - Kansas</vt:lpstr>
      <vt:lpstr>ISDN PRI - Missouri</vt:lpstr>
      <vt:lpstr>Centrex - Kansas </vt:lpstr>
      <vt:lpstr>Centrex - Missouri</vt:lpstr>
      <vt:lpstr>Tie-OPX - Kansas</vt:lpstr>
      <vt:lpstr>Tie - OPX - Missouri</vt:lpstr>
      <vt:lpstr>TSP - Kansas</vt:lpstr>
      <vt:lpstr>TSP - Missouri</vt:lpstr>
      <vt:lpstr>DSL &amp; Cable Modem - KS-MO </vt:lpstr>
      <vt:lpstr>IP Services - KS, MO, NE, IA</vt:lpstr>
      <vt:lpstr>Managed Internet Service</vt:lpstr>
      <vt:lpstr>AT&amp;T Connect - KS, MO, NE, IA</vt:lpstr>
      <vt:lpstr>Super Trunk - Kansas</vt:lpstr>
      <vt:lpstr>Super Trunk - Missouri</vt:lpstr>
      <vt:lpstr>Other - Kansas </vt:lpstr>
      <vt:lpstr>Other - Missouri </vt:lpstr>
      <vt:lpstr>Ethernet - Kansas</vt:lpstr>
      <vt:lpstr>Ethernet - Missouri</vt:lpstr>
      <vt:lpstr>SONET Ring - Kansas</vt:lpstr>
      <vt:lpstr>SONET RING - Missouri</vt:lpstr>
      <vt:lpstr>Aastra EKL Sets</vt:lpstr>
      <vt:lpstr>Tone Commander ISDN Sets</vt:lpstr>
      <vt:lpstr>Lucent CO Compatible Sets</vt:lpstr>
      <vt:lpstr>Plantronics Gear</vt:lpstr>
      <vt:lpstr>Polycom Soundstation </vt:lpstr>
      <vt:lpstr>Analog Centrex Bundle Kansas</vt:lpstr>
      <vt:lpstr>Analog Centrex Bundle Missouri</vt:lpstr>
      <vt:lpstr>ISDN Centrex Bundle Kansas </vt:lpstr>
      <vt:lpstr>ISDN Centrex Bundle Missouri </vt:lpstr>
      <vt:lpstr>KS - LSA Elements Page</vt:lpstr>
      <vt:lpstr>MO - LSA Elements Page</vt:lpstr>
      <vt:lpstr>Sheet3</vt:lpstr>
      <vt:lpstr>'Aastra EKL Sets'!Print_Area</vt:lpstr>
      <vt:lpstr>'Business Lines - Kansas'!Print_Area</vt:lpstr>
      <vt:lpstr>'Business Lines - Missouri'!Print_Area</vt:lpstr>
      <vt:lpstr>'Centrex - Missouri'!Print_Area</vt:lpstr>
      <vt:lpstr>'DID - Missouri'!Print_Area</vt:lpstr>
      <vt:lpstr>'DOD &amp; Analog Trunk - Missouri'!Print_Area</vt:lpstr>
      <vt:lpstr>'DSL &amp; Cable Modem - KS-MO '!Print_Area</vt:lpstr>
      <vt:lpstr>'ISDN BRI - Missouri'!Print_Area</vt:lpstr>
      <vt:lpstr>'ISDN PRI - Kansas'!Print_Area</vt:lpstr>
      <vt:lpstr>'ISDN PRI - Missouri'!Print_Area</vt:lpstr>
      <vt:lpstr>'Lucent CO Compatible Sets'!Print_Area</vt:lpstr>
      <vt:lpstr>'Other - Kansas '!Print_Area</vt:lpstr>
      <vt:lpstr>'Other - Missouri '!Print_Area</vt:lpstr>
      <vt:lpstr>'Polycom Soundstation '!Print_Area</vt:lpstr>
      <vt:lpstr>'Private Line - Missouri'!Print_Area</vt:lpstr>
      <vt:lpstr>'SONET RING - Missouri'!Print_Area</vt:lpstr>
      <vt:lpstr>'Super Trunk - Missouri'!Print_Area</vt:lpstr>
      <vt:lpstr>'Tie - OPX - Missouri'!Print_Area</vt:lpstr>
      <vt:lpstr>'Tone Commander ISDN Sets'!Print_Area</vt:lpstr>
      <vt:lpstr>'TSP - Missouri'!Print_Area</vt:lpstr>
      <vt:lpstr>'Business Lines - Kansas'!Print_Titles</vt:lpstr>
      <vt:lpstr>'Business Lines - Missouri'!Print_Titles</vt:lpstr>
      <vt:lpstr>'Centrex - Kansas '!Print_Titles</vt:lpstr>
      <vt:lpstr>'Centrex - Missouri'!Print_Titles</vt:lpstr>
      <vt:lpstr>'DID - Missouri'!Print_Titles</vt:lpstr>
      <vt:lpstr>'DOD &amp; Analog - Kansas'!Print_Titles</vt:lpstr>
      <vt:lpstr>'DOD &amp; Analog Trunk - Missouri'!Print_Titles</vt:lpstr>
      <vt:lpstr>'DSL &amp; Cable Modem - KS-MO '!Print_Titles</vt:lpstr>
      <vt:lpstr>'Ethernet - Kansas'!Print_Titles</vt:lpstr>
      <vt:lpstr>'Ethernet - Missouri'!Print_Titles</vt:lpstr>
      <vt:lpstr>'IP Services - KS, MO, NE, IA'!Print_Titles</vt:lpstr>
      <vt:lpstr>'ISDN BRI - Kansas'!Print_Titles</vt:lpstr>
      <vt:lpstr>'ISDN BRI - Missouri'!Print_Titles</vt:lpstr>
      <vt:lpstr>'ISDN PRI - Kansas'!Print_Titles</vt:lpstr>
      <vt:lpstr>'ISDN PRI - Missouri'!Print_Titles</vt:lpstr>
      <vt:lpstr>'Lucent CO Compatible Sets'!Print_Titles</vt:lpstr>
      <vt:lpstr>'Other - Missouri '!Print_Titles</vt:lpstr>
      <vt:lpstr>'Polycom Soundstation '!Print_Titles</vt:lpstr>
      <vt:lpstr>'Private Line - Kansas '!Print_Titles</vt:lpstr>
      <vt:lpstr>'Private Line - Missouri'!Print_Titles</vt:lpstr>
      <vt:lpstr>'SONET RING - Missouri'!Print_Titles</vt:lpstr>
      <vt:lpstr>'Super Trunk - Missouri'!Print_Titles</vt:lpstr>
      <vt:lpstr>'Tie - OPX - Missouri'!Print_Titles</vt:lpstr>
    </vt:vector>
  </TitlesOfParts>
  <Company>AT&amp;T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js1311</dc:creator>
  <cp:lastModifiedBy>ShellieWHeislen</cp:lastModifiedBy>
  <cp:lastPrinted>2012-08-29T19:38:13Z</cp:lastPrinted>
  <dcterms:created xsi:type="dcterms:W3CDTF">2008-03-28T13:44:01Z</dcterms:created>
  <dcterms:modified xsi:type="dcterms:W3CDTF">2012-10-21T04:03:30Z</dcterms:modified>
</cp:coreProperties>
</file>