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355" yWindow="2055" windowWidth="13395" windowHeight="7755" tabRatio="820"/>
  </bookViews>
  <sheets>
    <sheet name="OneClick Audiobooks" sheetId="2" r:id="rId1"/>
    <sheet name="3M Cloud eBooks" sheetId="1" r:id="rId2"/>
    <sheet name="Freading eBooks" sheetId="6" r:id="rId3"/>
    <sheet name="Enki eBooks" sheetId="8" r:id="rId4"/>
    <sheet name="TumbleBooks" sheetId="7" r:id="rId5"/>
    <sheet name="BookFlix" sheetId="10" r:id="rId6"/>
    <sheet name="E-STAX" sheetId="11" r:id="rId7"/>
  </sheets>
  <calcPr calcId="145621"/>
</workbook>
</file>

<file path=xl/calcChain.xml><?xml version="1.0" encoding="utf-8"?>
<calcChain xmlns="http://schemas.openxmlformats.org/spreadsheetml/2006/main">
  <c r="G14" i="2" l="1"/>
  <c r="D14" i="2"/>
  <c r="I14" i="1"/>
  <c r="D14" i="1"/>
  <c r="F14" i="1"/>
  <c r="D14" i="6"/>
  <c r="E14" i="8" l="1"/>
  <c r="G13" i="2" l="1"/>
  <c r="D13" i="2"/>
  <c r="D13" i="6" l="1"/>
  <c r="E13" i="8"/>
  <c r="B13" i="7"/>
  <c r="D13" i="1"/>
  <c r="I13" i="1"/>
  <c r="F13" i="1"/>
  <c r="D7" i="11"/>
  <c r="D6" i="11"/>
  <c r="D5" i="11"/>
  <c r="D4" i="11" l="1"/>
  <c r="D12" i="2" l="1"/>
  <c r="G12" i="2"/>
  <c r="D12" i="1"/>
  <c r="I12" i="1"/>
  <c r="F12" i="1"/>
  <c r="D12" i="6" l="1"/>
  <c r="D11" i="2" l="1"/>
  <c r="G11" i="2"/>
  <c r="D11" i="1"/>
  <c r="D11" i="6"/>
  <c r="E11" i="8"/>
  <c r="D9" i="11"/>
  <c r="D3" i="11"/>
  <c r="I11" i="1"/>
  <c r="F11" i="1"/>
  <c r="D10" i="2" l="1"/>
  <c r="G10" i="2"/>
  <c r="D10" i="6"/>
  <c r="E10" i="8" l="1"/>
  <c r="F10" i="1"/>
  <c r="I10" i="1"/>
  <c r="D9" i="1" l="1"/>
  <c r="D9" i="6" l="1"/>
  <c r="E9" i="8"/>
  <c r="G9" i="2"/>
  <c r="D9" i="2"/>
  <c r="I9" i="1"/>
  <c r="F9" i="1"/>
  <c r="E8" i="8" l="1"/>
  <c r="D8" i="6" l="1"/>
  <c r="D8" i="2" l="1"/>
  <c r="G8" i="2"/>
  <c r="D8" i="1"/>
  <c r="I8" i="1"/>
  <c r="F8" i="1"/>
  <c r="E7" i="8" l="1"/>
  <c r="D7" i="2" l="1"/>
  <c r="G7" i="2"/>
  <c r="D7" i="1"/>
  <c r="I7" i="1"/>
  <c r="F7" i="1"/>
  <c r="G6" i="2" l="1"/>
  <c r="D6" i="2"/>
  <c r="F6" i="1"/>
  <c r="G5" i="2" l="1"/>
  <c r="D5" i="2"/>
  <c r="D17" i="7"/>
  <c r="B5" i="7"/>
  <c r="B17" i="7" s="1"/>
  <c r="F5" i="1"/>
  <c r="F17" i="8" l="1"/>
  <c r="F17" i="2"/>
  <c r="H17" i="1" l="1"/>
  <c r="E17" i="6"/>
  <c r="C17" i="6"/>
</calcChain>
</file>

<file path=xl/sharedStrings.xml><?xml version="1.0" encoding="utf-8"?>
<sst xmlns="http://schemas.openxmlformats.org/spreadsheetml/2006/main" count="234" uniqueCount="113">
  <si>
    <t>January</t>
  </si>
  <si>
    <t>February</t>
  </si>
  <si>
    <t>March</t>
  </si>
  <si>
    <t xml:space="preserve">April 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</si>
  <si>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</si>
  <si>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</si>
  <si>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</si>
  <si>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</si>
  <si>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</si>
  <si>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</si>
  <si>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</si>
  <si>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</si>
  <si>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Collection Size</t>
  </si>
  <si>
    <t>Total Titles</t>
  </si>
  <si>
    <t>Total Copies</t>
  </si>
  <si>
    <t>Patrons</t>
  </si>
  <si>
    <t>Total</t>
  </si>
  <si>
    <t>Circulations</t>
  </si>
  <si>
    <t>Average Per Day</t>
  </si>
  <si>
    <t>By Checkout</t>
  </si>
  <si>
    <t>By Holds</t>
  </si>
  <si>
    <t>Top Book</t>
  </si>
  <si>
    <t>Notes</t>
  </si>
  <si>
    <t xml:space="preserve">New </t>
  </si>
  <si>
    <t>Daily Average</t>
  </si>
  <si>
    <t>Tokens Used</t>
  </si>
  <si>
    <t>Tokens cost 50 cents each.</t>
  </si>
  <si>
    <t>New this Month</t>
  </si>
  <si>
    <t>My Cloud Registrations</t>
  </si>
  <si>
    <t>Number of Titles</t>
  </si>
  <si>
    <t>Materials Viewed</t>
  </si>
  <si>
    <t>Year to date</t>
  </si>
  <si>
    <t>Total Copies Expired to Date</t>
  </si>
  <si>
    <t>Copies Current in System</t>
  </si>
  <si>
    <t>HarperCollins</t>
  </si>
  <si>
    <t xml:space="preserve">Patron stats--we can only see how many unique patrons used Freading during a given time period, so: </t>
  </si>
  <si>
    <t>we run this monthly for a monthly number</t>
  </si>
  <si>
    <t xml:space="preserve">Total Copies Expired to Date: Adjusting for expiration of copies in collection.  </t>
  </si>
  <si>
    <t xml:space="preserve">run it at the end of the year for a full year number of unique users, this should be our total year of patrons.  </t>
  </si>
  <si>
    <t>TumbleBooks 2014</t>
  </si>
  <si>
    <t>3M Cloud Library eBooks 2014</t>
  </si>
  <si>
    <t>Enki Library eBooks 2014</t>
  </si>
  <si>
    <t>Freading eBooks 2014</t>
  </si>
  <si>
    <t>OneClickdigital Audiobooks 2014</t>
  </si>
  <si>
    <t xml:space="preserve">Fully public on January 24, 2014. </t>
  </si>
  <si>
    <t>Takedown Twenty</t>
  </si>
  <si>
    <t>Total Titles Purchased</t>
  </si>
  <si>
    <t>Total Copies Purchased</t>
  </si>
  <si>
    <t>Fifty Shades of Gray</t>
  </si>
  <si>
    <t>The Snow Dance</t>
  </si>
  <si>
    <t>*Jan3, 2014</t>
  </si>
  <si>
    <t>Gone Girl</t>
  </si>
  <si>
    <t xml:space="preserve">Currently the only report like this is for all time (not monthly) and all libraries (not broken out for each location). </t>
  </si>
  <si>
    <t xml:space="preserve">Will start recording this information if it is more specific to KS. </t>
  </si>
  <si>
    <t>Divergent</t>
  </si>
  <si>
    <t>Number of titles available requested quarterly from Freading.  Date of Freading report will be noted at the side.*</t>
  </si>
  <si>
    <t>A Pocket Can Have a Treasure in It</t>
  </si>
  <si>
    <t>Big Girl Panties (Evanovich)</t>
  </si>
  <si>
    <t>Fifty Shades of Grey</t>
  </si>
  <si>
    <t>The Chase</t>
  </si>
  <si>
    <t>Twelve Years a Slave</t>
  </si>
  <si>
    <t>*Mar 28, 2014</t>
  </si>
  <si>
    <t xml:space="preserve">It is easiest to do a total expired to date. </t>
  </si>
  <si>
    <t xml:space="preserve">Penguin </t>
  </si>
  <si>
    <t>Scholastic</t>
  </si>
  <si>
    <t>Insurgent</t>
  </si>
  <si>
    <t>Disney</t>
  </si>
  <si>
    <t xml:space="preserve">Copies from these publishers expire: </t>
  </si>
  <si>
    <t>Another Man's Moccasins (Johnson)</t>
  </si>
  <si>
    <t>The Fault in our Stars</t>
  </si>
  <si>
    <t xml:space="preserve"> 1 year after purchase.</t>
  </si>
  <si>
    <t>2 years after purchase.</t>
  </si>
  <si>
    <t>after 26 circulations.</t>
  </si>
  <si>
    <t>The Target (baldacci)</t>
  </si>
  <si>
    <t xml:space="preserve">Type of multiuse book: </t>
  </si>
  <si>
    <t>Titles on one year lease/subscription</t>
  </si>
  <si>
    <t>Titles #</t>
  </si>
  <si>
    <t xml:space="preserve">Top books are not being recorded for Enki.  </t>
  </si>
  <si>
    <t>*June 27, 2014</t>
  </si>
  <si>
    <t>Simon &amp; Schuster</t>
  </si>
  <si>
    <t>1 year after purchase</t>
  </si>
  <si>
    <t>Top Secret Twenty-One</t>
  </si>
  <si>
    <t xml:space="preserve">My Cloud is an optional registration to save favorites and does not indicate actual number of patrons. </t>
  </si>
  <si>
    <t>Books Viewed</t>
  </si>
  <si>
    <t>Web Links Used</t>
  </si>
  <si>
    <t xml:space="preserve">Notes: </t>
  </si>
  <si>
    <t xml:space="preserve">Live to Public on July 15, 2014. </t>
  </si>
  <si>
    <t xml:space="preserve">Web Links = each book pair has a web links section of sites put together by bookflix on the topic. </t>
  </si>
  <si>
    <t>Scholastic BookFlix 2014</t>
  </si>
  <si>
    <t>The Apple Orchard (Susan Wiggs)</t>
  </si>
  <si>
    <t>Britannica E-STAX 2014</t>
  </si>
  <si>
    <t xml:space="preserve">Live to Public on August 1, 2014. </t>
  </si>
  <si>
    <t>Online Book Views</t>
  </si>
  <si>
    <t>Books Downloaded</t>
  </si>
  <si>
    <t xml:space="preserve">Books can either be viewed online or downloaded. </t>
  </si>
  <si>
    <t xml:space="preserve">Total Book Use </t>
  </si>
  <si>
    <t>Desert Rose / Love &amp; Let Spy</t>
  </si>
  <si>
    <t xml:space="preserve">June collection hike - due to end of SLK fiscal year budget clean-up, the collection received what was a large infusion for ebooks. </t>
  </si>
  <si>
    <t>August *</t>
  </si>
  <si>
    <t>Modern Scholar series (multiuse, no expiration)</t>
  </si>
  <si>
    <t xml:space="preserve">*Collection includes multiuse titles.  These have unlimited simultaneous checkouts per title, but are reflected as 1 in the copies tally as of August 2014. </t>
  </si>
  <si>
    <t>*Sept 26, 2014</t>
  </si>
  <si>
    <t>Season of Storms (Kearsley)</t>
  </si>
  <si>
    <t>Macmillan</t>
  </si>
  <si>
    <t xml:space="preserve">2 years after purchase or 52 checkouts. </t>
  </si>
  <si>
    <t>Personal (Child)</t>
  </si>
  <si>
    <t>The Chase (Evanovich &amp; Goldberg)</t>
  </si>
  <si>
    <t>Collection Size blanks -- OCD has had a number of issues with this report recently, and completely rebuilt the report in September.</t>
  </si>
  <si>
    <t>The Gathering Storm (Thoene)</t>
  </si>
  <si>
    <t>Total Sessions</t>
  </si>
  <si>
    <t>The Naked Kitchen Veggie Burger Book</t>
  </si>
  <si>
    <t>Gray Mountain (Grisham)</t>
  </si>
  <si>
    <t>Mockingjay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</si>
</sst>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26"/>
      <color rgb="FFC00000"/>
      <name val="Calibri"/>
      <family val="2"/>
      <scheme val="minor"/>
    </font>
    <font>
      <b/>
      <sz val="26"/>
      <color theme="1" tint="0.14999847407452621"/>
      <name val="Calibri"/>
      <family val="2"/>
      <scheme val="minor"/>
    </font>
    <font>
      <b/>
      <sz val="26"/>
      <color rgb="FF00B050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26"/>
      <color theme="7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Fill="1"/>
    <xf numFmtId="0" fontId="0" fillId="0" borderId="0" xfId="0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 applyProtection="1">
      <alignment horizontal="left"/>
      <protection locked="0"/>
    </xf>
    <xf numFmtId="0" fontId="8" fillId="0" borderId="0" xfId="0" applyFont="1"/>
    <xf numFmtId="0" fontId="0" fillId="0" borderId="0" xfId="0"/>
    <xf numFmtId="0" fontId="1" fillId="0" borderId="0" xfId="0" applyFont="1"/>
    <xf numFmtId="0" fontId="0" fillId="0" borderId="0" xfId="0" applyFill="1"/>
    <xf numFmtId="3" fontId="9" fillId="0" borderId="0" xfId="0" applyNumberFormat="1" applyFont="1"/>
    <xf numFmtId="0" fontId="1" fillId="0" borderId="0" xfId="0" applyFont="1"/>
    <xf numFmtId="3" fontId="0" fillId="0" borderId="0" xfId="0" applyNumberFormat="1"/>
    <xf numFmtId="3" fontId="10" fillId="0" borderId="0" xfId="0" applyNumberFormat="1" applyFont="1"/>
    <xf numFmtId="0" fontId="0" fillId="0" borderId="0" xfId="0" applyBorder="1"/>
    <xf numFmtId="0" fontId="12" fillId="0" borderId="0" xfId="0" applyFont="1"/>
    <xf numFmtId="3" fontId="0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3" fontId="4" fillId="0" borderId="0" xfId="0" applyNumberFormat="1" applyFont="1"/>
    <xf numFmtId="3" fontId="1" fillId="0" borderId="0" xfId="0" applyNumberFormat="1" applyFont="1" applyAlignment="1">
      <alignment wrapText="1"/>
    </xf>
    <xf numFmtId="3" fontId="1" fillId="0" borderId="0" xfId="0" applyNumberFormat="1" applyFont="1" applyFill="1"/>
    <xf numFmtId="3" fontId="1" fillId="0" borderId="0" xfId="0" applyNumberFormat="1" applyFont="1"/>
    <xf numFmtId="3" fontId="5" fillId="0" borderId="0" xfId="1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Border="1"/>
    <xf numFmtId="3" fontId="5" fillId="0" borderId="0" xfId="1" applyNumberFormat="1" applyFill="1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 applyFill="1"/>
    <xf numFmtId="3" fontId="11" fillId="0" borderId="0" xfId="0" applyNumberFormat="1" applyFont="1" applyBorder="1"/>
    <xf numFmtId="3" fontId="11" fillId="0" borderId="0" xfId="0" applyNumberFormat="1" applyFont="1" applyFill="1" applyBorder="1"/>
    <xf numFmtId="3" fontId="2" fillId="0" borderId="0" xfId="0" applyNumberFormat="1" applyFont="1"/>
    <xf numFmtId="3" fontId="11" fillId="0" borderId="0" xfId="0" applyNumberFormat="1" applyFont="1"/>
    <xf numFmtId="0" fontId="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33"/>
  <sheetViews>
    <sheetView tabSelected="1" workbookViewId="0">
      <selection activeCell="B30" sqref="B30"/>
    </sheetView>
  </sheetViews>
  <sheetFormatPr defaultRowHeight="15" x14ac:dyDescent="0.25"/>
  <cols>
    <col min="1" max="1" width="11.7109375" customWidth="1"/>
    <col min="2" max="2" width="13.140625" style="22" customWidth="1"/>
    <col min="3" max="3" width="14" style="22" customWidth="1"/>
    <col min="4" max="4" width="11.85546875" style="22" customWidth="1"/>
    <col min="5" max="5" width="11.140625" style="22" customWidth="1"/>
    <col min="6" max="6" width="12.140625" style="22" customWidth="1"/>
    <col min="7" max="7" width="13.85546875" style="22" customWidth="1"/>
    <col min="8" max="8" width="23.28515625" customWidth="1"/>
    <col min="9" max="9" width="21.7109375" customWidth="1"/>
  </cols>
  <sheetData>
    <row r="1" spans="1:11" ht="33.75" x14ac:dyDescent="0.5">
      <c r="A1" s="7" t="s">
        <v>43</v>
      </c>
      <c r="B1" s="41"/>
    </row>
    <row r="2" spans="1:11" x14ac:dyDescent="0.25">
      <c r="B2" s="47" t="s">
        <v>12</v>
      </c>
      <c r="C2" s="47"/>
      <c r="D2" s="47" t="s">
        <v>15</v>
      </c>
      <c r="E2" s="47"/>
      <c r="F2" s="47" t="s">
        <v>17</v>
      </c>
      <c r="G2" s="47"/>
      <c r="H2" s="48" t="s">
        <v>21</v>
      </c>
      <c r="I2" s="48"/>
    </row>
    <row r="3" spans="1:11" x14ac:dyDescent="0.25">
      <c r="B3" s="32" t="s">
        <v>13</v>
      </c>
      <c r="C3" s="32" t="s">
        <v>14</v>
      </c>
      <c r="D3" s="31" t="s">
        <v>16</v>
      </c>
      <c r="E3" s="32" t="s">
        <v>23</v>
      </c>
      <c r="F3" s="32" t="s">
        <v>16</v>
      </c>
      <c r="G3" s="32" t="s">
        <v>24</v>
      </c>
      <c r="H3" s="1" t="s">
        <v>19</v>
      </c>
      <c r="I3" s="1" t="s">
        <v>20</v>
      </c>
    </row>
    <row r="4" spans="1:11" x14ac:dyDescent="0.25">
      <c r="A4" s="1" t="s">
        <v>0</v>
      </c>
      <c r="B4" s="22">
        <v>4791</v>
      </c>
      <c r="C4" s="22">
        <v>10152</v>
      </c>
      <c r="D4" s="38">
        <v>20554</v>
      </c>
      <c r="E4" s="22">
        <v>399</v>
      </c>
      <c r="F4" s="22">
        <v>12992</v>
      </c>
      <c r="G4" s="22">
        <v>419</v>
      </c>
      <c r="H4" t="s">
        <v>58</v>
      </c>
      <c r="I4" t="s">
        <v>45</v>
      </c>
    </row>
    <row r="5" spans="1:11" x14ac:dyDescent="0.25">
      <c r="A5" s="1" t="s">
        <v>1</v>
      </c>
      <c r="B5" s="22">
        <v>4851</v>
      </c>
      <c r="C5" s="22">
        <v>10594</v>
      </c>
      <c r="D5" s="38">
        <f t="shared" ref="D5:D14" si="0">D4+E5</f>
        <v>20844</v>
      </c>
      <c r="E5" s="38">
        <v>290</v>
      </c>
      <c r="F5" s="38">
        <v>11909</v>
      </c>
      <c r="G5" s="38">
        <f>F5/28</f>
        <v>425.32142857142856</v>
      </c>
      <c r="H5" t="s">
        <v>58</v>
      </c>
      <c r="I5" t="s">
        <v>45</v>
      </c>
    </row>
    <row r="6" spans="1:11" x14ac:dyDescent="0.25">
      <c r="A6" s="1" t="s">
        <v>2</v>
      </c>
      <c r="C6" s="22">
        <v>10831</v>
      </c>
      <c r="D6" s="38">
        <f t="shared" si="0"/>
        <v>21212</v>
      </c>
      <c r="E6" s="38">
        <v>368</v>
      </c>
      <c r="F6" s="38">
        <v>13068</v>
      </c>
      <c r="G6" s="38">
        <f>F6/31</f>
        <v>421.54838709677421</v>
      </c>
      <c r="H6" t="s">
        <v>45</v>
      </c>
      <c r="I6" t="s">
        <v>59</v>
      </c>
    </row>
    <row r="7" spans="1:11" x14ac:dyDescent="0.25">
      <c r="A7" s="1" t="s">
        <v>3</v>
      </c>
      <c r="C7" s="22">
        <v>11318</v>
      </c>
      <c r="D7" s="38">
        <f t="shared" si="0"/>
        <v>21466</v>
      </c>
      <c r="E7" s="38">
        <v>254</v>
      </c>
      <c r="F7" s="22">
        <v>12932</v>
      </c>
      <c r="G7" s="22">
        <f>F7/30</f>
        <v>431.06666666666666</v>
      </c>
      <c r="H7" t="s">
        <v>45</v>
      </c>
      <c r="I7" t="s">
        <v>54</v>
      </c>
    </row>
    <row r="8" spans="1:11" x14ac:dyDescent="0.25">
      <c r="A8" s="1" t="s">
        <v>4</v>
      </c>
      <c r="B8" s="22">
        <v>5162</v>
      </c>
      <c r="C8" s="22">
        <v>11632</v>
      </c>
      <c r="D8" s="38">
        <f t="shared" si="0"/>
        <v>21739</v>
      </c>
      <c r="E8" s="38">
        <v>273</v>
      </c>
      <c r="F8" s="22">
        <v>13137</v>
      </c>
      <c r="G8" s="22">
        <f>F8/31</f>
        <v>423.77419354838707</v>
      </c>
      <c r="H8" s="13" t="s">
        <v>45</v>
      </c>
      <c r="I8" s="13" t="s">
        <v>54</v>
      </c>
    </row>
    <row r="9" spans="1:11" x14ac:dyDescent="0.25">
      <c r="A9" s="1" t="s">
        <v>5</v>
      </c>
      <c r="B9" s="22">
        <v>5550</v>
      </c>
      <c r="C9" s="22">
        <v>11946</v>
      </c>
      <c r="D9" s="38">
        <f t="shared" si="0"/>
        <v>22038</v>
      </c>
      <c r="E9" s="38">
        <v>299</v>
      </c>
      <c r="F9" s="22">
        <v>13721</v>
      </c>
      <c r="G9" s="22">
        <f>F9/30</f>
        <v>457.36666666666667</v>
      </c>
      <c r="H9" s="14" t="s">
        <v>73</v>
      </c>
      <c r="I9" s="14" t="s">
        <v>54</v>
      </c>
      <c r="J9" s="14"/>
      <c r="K9" s="14"/>
    </row>
    <row r="10" spans="1:11" x14ac:dyDescent="0.25">
      <c r="A10" s="1" t="s">
        <v>6</v>
      </c>
      <c r="D10" s="38">
        <f t="shared" si="0"/>
        <v>22332</v>
      </c>
      <c r="E10" s="22">
        <v>294</v>
      </c>
      <c r="F10" s="22">
        <v>14342</v>
      </c>
      <c r="G10" s="22">
        <f>F10/31</f>
        <v>462.64516129032256</v>
      </c>
      <c r="H10" s="17" t="s">
        <v>51</v>
      </c>
      <c r="I10" s="17" t="s">
        <v>81</v>
      </c>
    </row>
    <row r="11" spans="1:11" x14ac:dyDescent="0.25">
      <c r="A11" s="1" t="s">
        <v>98</v>
      </c>
      <c r="B11" s="22">
        <v>5599</v>
      </c>
      <c r="C11" s="22">
        <v>12769</v>
      </c>
      <c r="D11" s="38">
        <f t="shared" si="0"/>
        <v>22550</v>
      </c>
      <c r="E11" s="22">
        <v>218</v>
      </c>
      <c r="F11" s="22">
        <v>14054</v>
      </c>
      <c r="G11" s="22">
        <f>F11/31</f>
        <v>453.35483870967744</v>
      </c>
      <c r="H11" s="17" t="s">
        <v>58</v>
      </c>
      <c r="I11" s="17" t="s">
        <v>81</v>
      </c>
    </row>
    <row r="12" spans="1:11" x14ac:dyDescent="0.25">
      <c r="A12" s="1" t="s">
        <v>8</v>
      </c>
      <c r="B12" s="22">
        <v>5626</v>
      </c>
      <c r="C12" s="22">
        <v>12812</v>
      </c>
      <c r="D12" s="38">
        <f t="shared" si="0"/>
        <v>22766</v>
      </c>
      <c r="E12" s="22">
        <v>216</v>
      </c>
      <c r="F12" s="22">
        <v>13550</v>
      </c>
      <c r="G12" s="22">
        <f>F12/30</f>
        <v>451.66666666666669</v>
      </c>
      <c r="H12" t="s">
        <v>106</v>
      </c>
      <c r="I12" t="s">
        <v>105</v>
      </c>
    </row>
    <row r="13" spans="1:11" x14ac:dyDescent="0.25">
      <c r="A13" s="1" t="s">
        <v>9</v>
      </c>
      <c r="B13" s="22">
        <v>5697</v>
      </c>
      <c r="C13" s="22">
        <v>12927</v>
      </c>
      <c r="D13" s="38">
        <f t="shared" si="0"/>
        <v>22997</v>
      </c>
      <c r="E13" s="22">
        <v>231</v>
      </c>
      <c r="F13" s="22">
        <v>13370</v>
      </c>
      <c r="G13" s="22">
        <f>F13/31</f>
        <v>431.29032258064518</v>
      </c>
      <c r="H13" s="17" t="s">
        <v>106</v>
      </c>
      <c r="I13" t="s">
        <v>105</v>
      </c>
    </row>
    <row r="14" spans="1:11" x14ac:dyDescent="0.25">
      <c r="A14" s="1" t="s">
        <v>10</v>
      </c>
      <c r="B14" s="22">
        <v>5731</v>
      </c>
      <c r="C14" s="22">
        <v>12986</v>
      </c>
      <c r="D14" s="38">
        <f t="shared" si="0"/>
        <v>23222</v>
      </c>
      <c r="E14" s="22">
        <v>225</v>
      </c>
      <c r="F14" s="22">
        <v>12822</v>
      </c>
      <c r="G14" s="22">
        <f>F14/30</f>
        <v>427.4</v>
      </c>
      <c r="H14" t="s">
        <v>112</v>
      </c>
      <c r="I14" t="s">
        <v>111</v>
      </c>
    </row>
    <row r="15" spans="1:11" x14ac:dyDescent="0.25">
      <c r="A15" s="1" t="s">
        <v>11</v>
      </c>
      <c r="D15" s="38"/>
      <c r="H15" s="17"/>
    </row>
    <row r="16" spans="1:11" s="17" customFormat="1" x14ac:dyDescent="0.25">
      <c r="A16" s="21"/>
      <c r="B16" s="22"/>
      <c r="C16" s="22"/>
      <c r="D16" s="38"/>
      <c r="E16" s="22"/>
      <c r="F16" s="22"/>
      <c r="G16" s="22"/>
    </row>
    <row r="17" spans="1:8" s="17" customFormat="1" x14ac:dyDescent="0.25">
      <c r="A17" s="21" t="s">
        <v>31</v>
      </c>
      <c r="B17" s="22"/>
      <c r="C17" s="22"/>
      <c r="D17" s="38"/>
      <c r="E17" s="22"/>
      <c r="F17" s="22">
        <f>SUM(F4:F15)</f>
        <v>145897</v>
      </c>
      <c r="G17" s="22"/>
    </row>
    <row r="18" spans="1:8" x14ac:dyDescent="0.25">
      <c r="A18" s="1"/>
    </row>
    <row r="19" spans="1:8" x14ac:dyDescent="0.25">
      <c r="A19" s="1" t="s">
        <v>22</v>
      </c>
    </row>
    <row r="20" spans="1:8" x14ac:dyDescent="0.25">
      <c r="A20" s="1" t="s">
        <v>100</v>
      </c>
    </row>
    <row r="21" spans="1:8" s="17" customFormat="1" x14ac:dyDescent="0.25">
      <c r="A21" s="21"/>
      <c r="B21" s="22" t="s">
        <v>74</v>
      </c>
      <c r="C21" s="22"/>
      <c r="D21" s="22"/>
      <c r="F21" s="37" t="s">
        <v>76</v>
      </c>
      <c r="G21" s="22"/>
    </row>
    <row r="22" spans="1:8" s="17" customFormat="1" x14ac:dyDescent="0.25">
      <c r="A22" s="21"/>
      <c r="B22" s="22" t="s">
        <v>75</v>
      </c>
      <c r="C22" s="22"/>
      <c r="D22" s="22"/>
      <c r="F22" s="22">
        <v>400</v>
      </c>
      <c r="G22" s="22"/>
    </row>
    <row r="23" spans="1:8" x14ac:dyDescent="0.25">
      <c r="A23" s="1"/>
      <c r="B23" s="22" t="s">
        <v>99</v>
      </c>
      <c r="F23" s="22">
        <v>67</v>
      </c>
      <c r="H23" s="17"/>
    </row>
    <row r="24" spans="1:8" x14ac:dyDescent="0.25">
      <c r="A24" s="2" t="s">
        <v>107</v>
      </c>
      <c r="B24" s="42"/>
      <c r="H24" s="17"/>
    </row>
    <row r="25" spans="1:8" x14ac:dyDescent="0.25">
      <c r="A25" s="2"/>
    </row>
    <row r="33" spans="3:3" x14ac:dyDescent="0.25">
      <c r="C33" s="26"/>
    </row>
  </sheetData>
  <mergeCells count="4">
    <mergeCell ref="B2:C2"/>
    <mergeCell ref="D2:E2"/>
    <mergeCell ref="F2:G2"/>
    <mergeCell ref="H2:I2"/>
  </mergeCells>
  <pageMargins left="0.7" right="0.7" top="0.75" bottom="0.75" header="0.3" footer="0.3"/>
  <pageSetup orientation="landscape" r:id="rId1"/>
  <ignoredErrors>
    <ignoredError sqref="G7:G9 G12:G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K30"/>
  <sheetViews>
    <sheetView workbookViewId="0">
      <selection activeCell="E16" sqref="E16"/>
    </sheetView>
  </sheetViews>
  <sheetFormatPr defaultRowHeight="15" x14ac:dyDescent="0.25"/>
  <cols>
    <col min="1" max="1" width="11.7109375" customWidth="1"/>
    <col min="2" max="2" width="13.140625" style="22" customWidth="1"/>
    <col min="3" max="3" width="13.42578125" style="22" customWidth="1"/>
    <col min="4" max="4" width="14.7109375" style="22" customWidth="1"/>
    <col min="5" max="5" width="14.85546875" style="22" customWidth="1"/>
    <col min="6" max="6" width="10.42578125" style="22" customWidth="1"/>
    <col min="7" max="7" width="14.28515625" style="22" customWidth="1"/>
    <col min="8" max="8" width="11.140625" style="22" customWidth="1"/>
    <col min="9" max="9" width="15.85546875" style="22" customWidth="1"/>
    <col min="10" max="10" width="19.140625" customWidth="1"/>
    <col min="11" max="11" width="18.5703125" customWidth="1"/>
  </cols>
  <sheetData>
    <row r="1" spans="1:11" s="6" customFormat="1" ht="31.5" x14ac:dyDescent="0.5">
      <c r="A1" s="5" t="s">
        <v>40</v>
      </c>
      <c r="B1" s="29"/>
      <c r="C1" s="29"/>
      <c r="D1" s="29"/>
      <c r="E1" s="29"/>
      <c r="F1" s="29"/>
      <c r="G1" s="29"/>
      <c r="H1" s="29"/>
      <c r="I1" s="29"/>
    </row>
    <row r="2" spans="1:11" x14ac:dyDescent="0.25">
      <c r="B2" s="47" t="s">
        <v>12</v>
      </c>
      <c r="C2" s="47"/>
      <c r="D2" s="47"/>
      <c r="E2" s="47"/>
      <c r="F2" s="47" t="s">
        <v>15</v>
      </c>
      <c r="G2" s="47"/>
      <c r="H2" s="47" t="s">
        <v>17</v>
      </c>
      <c r="I2" s="47"/>
      <c r="J2" s="48" t="s">
        <v>21</v>
      </c>
      <c r="K2" s="48"/>
    </row>
    <row r="3" spans="1:11" ht="30" x14ac:dyDescent="0.25">
      <c r="B3" s="30" t="s">
        <v>46</v>
      </c>
      <c r="C3" s="30" t="s">
        <v>47</v>
      </c>
      <c r="D3" s="30" t="s">
        <v>32</v>
      </c>
      <c r="E3" s="30" t="s">
        <v>33</v>
      </c>
      <c r="F3" s="31" t="s">
        <v>16</v>
      </c>
      <c r="G3" s="32" t="s">
        <v>23</v>
      </c>
      <c r="H3" s="32" t="s">
        <v>16</v>
      </c>
      <c r="I3" s="32" t="s">
        <v>18</v>
      </c>
      <c r="J3" s="1" t="s">
        <v>19</v>
      </c>
      <c r="K3" s="1" t="s">
        <v>20</v>
      </c>
    </row>
    <row r="4" spans="1:11" x14ac:dyDescent="0.25">
      <c r="A4" s="1" t="s">
        <v>0</v>
      </c>
      <c r="B4" s="22">
        <v>5101</v>
      </c>
      <c r="C4" s="22">
        <v>8933</v>
      </c>
      <c r="E4" s="22">
        <v>7889</v>
      </c>
      <c r="F4" s="33">
        <v>10772</v>
      </c>
      <c r="G4" s="33">
        <v>491</v>
      </c>
      <c r="H4" s="33">
        <v>9293</v>
      </c>
      <c r="I4" s="34">
        <v>300</v>
      </c>
      <c r="J4" t="s">
        <v>51</v>
      </c>
      <c r="K4" t="s">
        <v>45</v>
      </c>
    </row>
    <row r="5" spans="1:11" x14ac:dyDescent="0.25">
      <c r="A5" s="1" t="s">
        <v>1</v>
      </c>
      <c r="B5" s="22">
        <v>5172</v>
      </c>
      <c r="C5" s="22">
        <v>9131</v>
      </c>
      <c r="D5" s="35">
        <v>1165</v>
      </c>
      <c r="E5" s="22">
        <v>7966</v>
      </c>
      <c r="F5" s="33">
        <f t="shared" ref="F5:F14" si="0">F4+G5</f>
        <v>11266</v>
      </c>
      <c r="G5" s="33">
        <v>494</v>
      </c>
      <c r="H5" s="33">
        <v>9206</v>
      </c>
      <c r="I5" s="36">
        <v>329</v>
      </c>
      <c r="J5" t="s">
        <v>48</v>
      </c>
      <c r="K5" t="s">
        <v>54</v>
      </c>
    </row>
    <row r="6" spans="1:11" x14ac:dyDescent="0.25">
      <c r="A6" s="1" t="s">
        <v>2</v>
      </c>
      <c r="B6" s="22">
        <v>5250</v>
      </c>
      <c r="C6" s="22">
        <v>9344</v>
      </c>
      <c r="D6" s="35">
        <v>1230</v>
      </c>
      <c r="E6" s="22">
        <v>8114</v>
      </c>
      <c r="F6" s="33">
        <f t="shared" si="0"/>
        <v>11698</v>
      </c>
      <c r="G6" s="33">
        <v>432</v>
      </c>
      <c r="H6" s="33">
        <v>10519</v>
      </c>
      <c r="I6" s="36">
        <v>339</v>
      </c>
      <c r="J6" t="s">
        <v>57</v>
      </c>
      <c r="K6" t="s">
        <v>54</v>
      </c>
    </row>
    <row r="7" spans="1:11" x14ac:dyDescent="0.25">
      <c r="A7" s="1" t="s">
        <v>3</v>
      </c>
      <c r="B7" s="22">
        <v>5346</v>
      </c>
      <c r="C7" s="22">
        <v>9650</v>
      </c>
      <c r="D7" s="22">
        <f>C7-E7</f>
        <v>1437</v>
      </c>
      <c r="E7" s="22">
        <v>8213</v>
      </c>
      <c r="F7" s="33">
        <f t="shared" si="0"/>
        <v>11918</v>
      </c>
      <c r="G7" s="33">
        <v>220</v>
      </c>
      <c r="H7" s="33">
        <v>9660</v>
      </c>
      <c r="I7" s="36">
        <f>H7/30</f>
        <v>322</v>
      </c>
      <c r="J7" t="s">
        <v>48</v>
      </c>
      <c r="K7" t="s">
        <v>65</v>
      </c>
    </row>
    <row r="8" spans="1:11" x14ac:dyDescent="0.25">
      <c r="A8" s="1" t="s">
        <v>4</v>
      </c>
      <c r="B8" s="22">
        <v>5720</v>
      </c>
      <c r="C8" s="22">
        <v>10280</v>
      </c>
      <c r="D8" s="22">
        <f>C8-E8</f>
        <v>1713</v>
      </c>
      <c r="E8" s="22">
        <v>8567</v>
      </c>
      <c r="F8" s="33">
        <f t="shared" si="0"/>
        <v>12126</v>
      </c>
      <c r="G8" s="33">
        <v>208</v>
      </c>
      <c r="H8" s="33">
        <v>8735</v>
      </c>
      <c r="I8" s="36">
        <f>H8/31</f>
        <v>281.77419354838707</v>
      </c>
      <c r="J8" s="13" t="s">
        <v>68</v>
      </c>
      <c r="K8" s="13" t="s">
        <v>69</v>
      </c>
    </row>
    <row r="9" spans="1:11" x14ac:dyDescent="0.25">
      <c r="A9" s="1" t="s">
        <v>5</v>
      </c>
      <c r="B9" s="22">
        <v>10480</v>
      </c>
      <c r="C9" s="22">
        <v>18287</v>
      </c>
      <c r="D9" s="22">
        <f>C9-E9</f>
        <v>1825</v>
      </c>
      <c r="E9" s="22">
        <v>16462</v>
      </c>
      <c r="F9" s="33">
        <f t="shared" si="0"/>
        <v>12384</v>
      </c>
      <c r="G9" s="33">
        <v>258</v>
      </c>
      <c r="H9" s="33">
        <v>11164</v>
      </c>
      <c r="I9" s="36">
        <f>H9/30</f>
        <v>372.13333333333333</v>
      </c>
      <c r="J9" s="14" t="s">
        <v>69</v>
      </c>
      <c r="K9" s="14" t="s">
        <v>69</v>
      </c>
    </row>
    <row r="10" spans="1:11" x14ac:dyDescent="0.25">
      <c r="A10" s="1" t="s">
        <v>6</v>
      </c>
      <c r="E10" s="22">
        <v>16536</v>
      </c>
      <c r="F10" s="33">
        <f t="shared" si="0"/>
        <v>12670</v>
      </c>
      <c r="G10" s="33">
        <v>286</v>
      </c>
      <c r="H10" s="33">
        <v>10908</v>
      </c>
      <c r="I10" s="36">
        <f>H10/31</f>
        <v>351.87096774193549</v>
      </c>
      <c r="J10" s="17" t="s">
        <v>69</v>
      </c>
      <c r="K10" s="17" t="s">
        <v>81</v>
      </c>
    </row>
    <row r="11" spans="1:11" s="8" customFormat="1" x14ac:dyDescent="0.25">
      <c r="A11" s="9" t="s">
        <v>7</v>
      </c>
      <c r="B11" s="37">
        <v>10623</v>
      </c>
      <c r="C11" s="37">
        <v>18541</v>
      </c>
      <c r="D11" s="37">
        <f>C11-E11</f>
        <v>2124</v>
      </c>
      <c r="E11" s="37">
        <v>16417</v>
      </c>
      <c r="F11" s="33">
        <f t="shared" si="0"/>
        <v>13121</v>
      </c>
      <c r="G11" s="33">
        <v>451</v>
      </c>
      <c r="H11" s="33">
        <v>10409</v>
      </c>
      <c r="I11" s="36">
        <f>H11/31</f>
        <v>335.77419354838707</v>
      </c>
      <c r="J11" s="8" t="s">
        <v>69</v>
      </c>
      <c r="K11" s="46" t="s">
        <v>89</v>
      </c>
    </row>
    <row r="12" spans="1:11" x14ac:dyDescent="0.25">
      <c r="A12" s="1" t="s">
        <v>8</v>
      </c>
      <c r="B12" s="22">
        <v>10667</v>
      </c>
      <c r="C12" s="22">
        <v>18733</v>
      </c>
      <c r="D12" s="22">
        <f>C12-E12</f>
        <v>2165</v>
      </c>
      <c r="E12" s="22">
        <v>16568</v>
      </c>
      <c r="F12" s="33">
        <f t="shared" si="0"/>
        <v>13732</v>
      </c>
      <c r="G12" s="33">
        <v>611</v>
      </c>
      <c r="H12" s="33">
        <v>11410</v>
      </c>
      <c r="I12" s="36">
        <f>H12/30</f>
        <v>380.33333333333331</v>
      </c>
      <c r="J12" t="s">
        <v>69</v>
      </c>
      <c r="K12" t="s">
        <v>105</v>
      </c>
    </row>
    <row r="13" spans="1:11" x14ac:dyDescent="0.25">
      <c r="A13" s="1" t="s">
        <v>9</v>
      </c>
      <c r="B13" s="22">
        <v>10667</v>
      </c>
      <c r="C13" s="22">
        <v>18733</v>
      </c>
      <c r="D13" s="22">
        <f>C13-E13</f>
        <v>2217</v>
      </c>
      <c r="E13" s="22">
        <v>16516</v>
      </c>
      <c r="F13" s="33">
        <f t="shared" si="0"/>
        <v>14023</v>
      </c>
      <c r="G13" s="36">
        <v>291</v>
      </c>
      <c r="H13" s="36">
        <v>11163</v>
      </c>
      <c r="I13" s="36">
        <f>H13/31</f>
        <v>360.09677419354841</v>
      </c>
      <c r="J13" s="17" t="s">
        <v>69</v>
      </c>
      <c r="K13" s="17" t="s">
        <v>105</v>
      </c>
    </row>
    <row r="14" spans="1:11" x14ac:dyDescent="0.25">
      <c r="A14" s="1" t="s">
        <v>10</v>
      </c>
      <c r="B14" s="22">
        <v>10684</v>
      </c>
      <c r="C14" s="22">
        <v>18777</v>
      </c>
      <c r="D14" s="22">
        <f>C14-E14</f>
        <v>2449</v>
      </c>
      <c r="E14" s="22">
        <v>16328</v>
      </c>
      <c r="F14" s="33">
        <f t="shared" si="0"/>
        <v>14312</v>
      </c>
      <c r="G14" s="36">
        <v>289</v>
      </c>
      <c r="H14" s="36">
        <v>10103</v>
      </c>
      <c r="I14" s="36">
        <f>H14/30</f>
        <v>336.76666666666665</v>
      </c>
      <c r="J14" s="17" t="s">
        <v>69</v>
      </c>
      <c r="K14" s="17" t="s">
        <v>105</v>
      </c>
    </row>
    <row r="15" spans="1:11" x14ac:dyDescent="0.25">
      <c r="A15" s="1" t="s">
        <v>11</v>
      </c>
      <c r="F15" s="36"/>
      <c r="G15" s="36"/>
      <c r="H15" s="36"/>
      <c r="I15" s="36"/>
      <c r="J15" s="17"/>
      <c r="K15" s="17"/>
    </row>
    <row r="16" spans="1:11" x14ac:dyDescent="0.25">
      <c r="A16" s="1"/>
      <c r="F16" s="38"/>
    </row>
    <row r="17" spans="1:11" s="17" customFormat="1" x14ac:dyDescent="0.25">
      <c r="A17" s="21"/>
      <c r="B17" s="22"/>
      <c r="C17" s="22"/>
      <c r="D17" s="22"/>
      <c r="E17" s="22"/>
      <c r="F17" s="38"/>
      <c r="G17" s="22"/>
      <c r="H17" s="22">
        <f>SUM(H4:H15)</f>
        <v>112570</v>
      </c>
      <c r="I17" s="22"/>
    </row>
    <row r="18" spans="1:11" s="17" customFormat="1" x14ac:dyDescent="0.25">
      <c r="A18" s="21"/>
      <c r="B18" s="22"/>
      <c r="C18" s="22"/>
      <c r="D18" s="22"/>
      <c r="E18" s="22"/>
      <c r="F18" s="38"/>
      <c r="G18" s="22"/>
      <c r="H18" s="22"/>
      <c r="I18" s="22"/>
    </row>
    <row r="19" spans="1:11" x14ac:dyDescent="0.25">
      <c r="A19" s="1" t="s">
        <v>22</v>
      </c>
    </row>
    <row r="20" spans="1:11" s="2" customFormat="1" x14ac:dyDescent="0.25">
      <c r="A20" s="2" t="s">
        <v>97</v>
      </c>
      <c r="B20" s="26"/>
      <c r="C20" s="26"/>
      <c r="D20" s="26"/>
      <c r="E20" s="26"/>
      <c r="F20" s="26"/>
      <c r="G20" s="26"/>
      <c r="H20" s="26"/>
      <c r="I20" s="26"/>
    </row>
    <row r="21" spans="1:11" x14ac:dyDescent="0.25">
      <c r="A21" s="1"/>
    </row>
    <row r="22" spans="1:11" x14ac:dyDescent="0.25">
      <c r="A22" s="1" t="s">
        <v>37</v>
      </c>
    </row>
    <row r="23" spans="1:11" s="17" customFormat="1" x14ac:dyDescent="0.25">
      <c r="B23" s="32" t="s">
        <v>62</v>
      </c>
      <c r="C23" s="22"/>
      <c r="D23" s="22"/>
      <c r="E23" s="22"/>
      <c r="F23" s="22"/>
      <c r="G23" s="22"/>
      <c r="H23" s="22"/>
      <c r="I23" s="22"/>
    </row>
    <row r="24" spans="1:11" s="17" customFormat="1" x14ac:dyDescent="0.25">
      <c r="B24" s="32" t="s">
        <v>67</v>
      </c>
      <c r="C24" s="22"/>
      <c r="D24" s="22"/>
      <c r="E24" s="22"/>
      <c r="F24" s="22"/>
      <c r="G24" s="22"/>
      <c r="H24" s="22"/>
      <c r="I24" s="22"/>
    </row>
    <row r="25" spans="1:11" x14ac:dyDescent="0.25">
      <c r="B25" s="39" t="s">
        <v>34</v>
      </c>
      <c r="C25" s="42"/>
      <c r="D25" s="39" t="s">
        <v>72</v>
      </c>
      <c r="E25" s="39"/>
      <c r="F25" s="35"/>
      <c r="G25" s="35"/>
      <c r="J25" s="17"/>
      <c r="K25" s="24"/>
    </row>
    <row r="26" spans="1:11" s="17" customFormat="1" x14ac:dyDescent="0.25">
      <c r="B26" s="39" t="s">
        <v>63</v>
      </c>
      <c r="C26" s="44"/>
      <c r="D26" s="39" t="s">
        <v>70</v>
      </c>
      <c r="E26" s="39"/>
      <c r="F26" s="35"/>
      <c r="G26" s="35"/>
      <c r="H26" s="22"/>
      <c r="I26" s="22"/>
    </row>
    <row r="27" spans="1:11" x14ac:dyDescent="0.25">
      <c r="B27" s="39" t="s">
        <v>64</v>
      </c>
      <c r="C27" s="42"/>
      <c r="D27" s="39" t="s">
        <v>71</v>
      </c>
      <c r="E27" s="35"/>
      <c r="F27" s="35"/>
      <c r="G27" s="35"/>
    </row>
    <row r="28" spans="1:11" x14ac:dyDescent="0.25">
      <c r="B28" s="42" t="s">
        <v>66</v>
      </c>
      <c r="C28" s="42"/>
      <c r="D28" s="40" t="s">
        <v>72</v>
      </c>
    </row>
    <row r="29" spans="1:11" x14ac:dyDescent="0.25">
      <c r="B29" s="42" t="s">
        <v>79</v>
      </c>
      <c r="C29" s="42"/>
      <c r="D29" s="42" t="s">
        <v>80</v>
      </c>
    </row>
    <row r="30" spans="1:11" x14ac:dyDescent="0.25">
      <c r="B30" s="42" t="s">
        <v>103</v>
      </c>
      <c r="C30" s="42"/>
      <c r="D30" s="42" t="s">
        <v>104</v>
      </c>
    </row>
  </sheetData>
  <mergeCells count="4">
    <mergeCell ref="B2:E2"/>
    <mergeCell ref="F2:G2"/>
    <mergeCell ref="H2:I2"/>
    <mergeCell ref="J2:K2"/>
  </mergeCells>
  <printOptions gridLines="1"/>
  <pageMargins left="0.7" right="0.7" top="0.75" bottom="0.75" header="0.3" footer="0.3"/>
  <pageSetup orientation="landscape" r:id="rId1"/>
  <ignoredErrors>
    <ignoredError sqref="I8:I9 I12:I1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H26"/>
  <sheetViews>
    <sheetView workbookViewId="0">
      <selection activeCell="D12" sqref="D12"/>
    </sheetView>
  </sheetViews>
  <sheetFormatPr defaultRowHeight="15" x14ac:dyDescent="0.25"/>
  <cols>
    <col min="1" max="1" width="13.28515625" customWidth="1"/>
    <col min="2" max="2" width="11.140625" customWidth="1"/>
    <col min="3" max="3" width="11.28515625" customWidth="1"/>
    <col min="4" max="4" width="13.28515625" style="27" customWidth="1"/>
    <col min="5" max="5" width="14.5703125" customWidth="1"/>
    <col min="6" max="6" width="30.5703125" customWidth="1"/>
    <col min="7" max="7" width="18" customWidth="1"/>
  </cols>
  <sheetData>
    <row r="1" spans="1:8" ht="33.75" x14ac:dyDescent="0.5">
      <c r="A1" s="11" t="s">
        <v>42</v>
      </c>
    </row>
    <row r="2" spans="1:8" x14ac:dyDescent="0.25">
      <c r="B2" s="12" t="s">
        <v>15</v>
      </c>
      <c r="C2" s="48" t="s">
        <v>17</v>
      </c>
      <c r="D2" s="48"/>
      <c r="E2" s="10" t="s">
        <v>25</v>
      </c>
      <c r="F2" s="10" t="s">
        <v>21</v>
      </c>
      <c r="G2" s="18" t="s">
        <v>29</v>
      </c>
    </row>
    <row r="3" spans="1:8" x14ac:dyDescent="0.25">
      <c r="B3" s="3"/>
      <c r="C3" s="1" t="s">
        <v>16</v>
      </c>
      <c r="D3" s="28" t="s">
        <v>24</v>
      </c>
      <c r="E3" s="1"/>
      <c r="F3" s="1"/>
      <c r="G3" s="22">
        <v>39750</v>
      </c>
      <c r="H3" s="17" t="s">
        <v>50</v>
      </c>
    </row>
    <row r="4" spans="1:8" x14ac:dyDescent="0.25">
      <c r="A4" s="1" t="s">
        <v>0</v>
      </c>
      <c r="B4" s="4">
        <v>267</v>
      </c>
      <c r="C4">
        <v>882</v>
      </c>
      <c r="D4" s="27">
        <v>28</v>
      </c>
      <c r="E4">
        <v>1408</v>
      </c>
      <c r="F4" t="s">
        <v>49</v>
      </c>
    </row>
    <row r="5" spans="1:8" x14ac:dyDescent="0.25">
      <c r="A5" s="1" t="s">
        <v>1</v>
      </c>
      <c r="B5" s="4">
        <v>191</v>
      </c>
      <c r="C5">
        <v>617</v>
      </c>
      <c r="D5" s="27">
        <v>22</v>
      </c>
      <c r="E5">
        <v>976</v>
      </c>
      <c r="F5" t="s">
        <v>56</v>
      </c>
    </row>
    <row r="6" spans="1:8" x14ac:dyDescent="0.25">
      <c r="A6" s="1" t="s">
        <v>2</v>
      </c>
      <c r="B6" s="4">
        <v>186</v>
      </c>
      <c r="C6">
        <v>599</v>
      </c>
      <c r="D6" s="27">
        <v>19</v>
      </c>
      <c r="E6">
        <v>926</v>
      </c>
      <c r="F6" t="s">
        <v>60</v>
      </c>
      <c r="G6" s="23">
        <v>48723</v>
      </c>
      <c r="H6" t="s">
        <v>61</v>
      </c>
    </row>
    <row r="7" spans="1:8" x14ac:dyDescent="0.25">
      <c r="A7" s="1" t="s">
        <v>3</v>
      </c>
      <c r="B7" s="19">
        <v>170</v>
      </c>
      <c r="C7">
        <v>478</v>
      </c>
      <c r="D7" s="27">
        <v>16</v>
      </c>
      <c r="E7">
        <v>939</v>
      </c>
      <c r="F7" t="s">
        <v>60</v>
      </c>
    </row>
    <row r="8" spans="1:8" x14ac:dyDescent="0.25">
      <c r="A8" s="1" t="s">
        <v>4</v>
      </c>
      <c r="B8" s="19">
        <v>163</v>
      </c>
      <c r="C8" s="14">
        <v>556</v>
      </c>
      <c r="D8" s="27">
        <f>C8/31</f>
        <v>17.93548387096774</v>
      </c>
      <c r="E8" s="14">
        <v>1123</v>
      </c>
      <c r="F8" s="15" t="s">
        <v>60</v>
      </c>
    </row>
    <row r="9" spans="1:8" x14ac:dyDescent="0.25">
      <c r="A9" s="1" t="s">
        <v>5</v>
      </c>
      <c r="B9" s="19">
        <v>110</v>
      </c>
      <c r="C9" s="14">
        <v>401</v>
      </c>
      <c r="D9" s="27">
        <f>C9/30</f>
        <v>13.366666666666667</v>
      </c>
      <c r="E9" s="14">
        <v>689</v>
      </c>
      <c r="F9" s="14"/>
      <c r="G9" s="22">
        <v>48979</v>
      </c>
      <c r="H9" t="s">
        <v>78</v>
      </c>
    </row>
    <row r="10" spans="1:8" x14ac:dyDescent="0.25">
      <c r="A10" s="1" t="s">
        <v>6</v>
      </c>
      <c r="B10" s="19">
        <v>111</v>
      </c>
      <c r="C10" s="17">
        <v>384</v>
      </c>
      <c r="D10" s="27">
        <f>C10/31</f>
        <v>12.387096774193548</v>
      </c>
      <c r="E10" s="17">
        <v>668</v>
      </c>
      <c r="F10" s="17"/>
      <c r="G10" s="20"/>
    </row>
    <row r="11" spans="1:8" x14ac:dyDescent="0.25">
      <c r="A11" s="1" t="s">
        <v>7</v>
      </c>
      <c r="B11" s="19">
        <v>98</v>
      </c>
      <c r="C11">
        <v>409</v>
      </c>
      <c r="D11" s="27">
        <f>C11/31</f>
        <v>13.193548387096774</v>
      </c>
      <c r="E11">
        <v>776</v>
      </c>
      <c r="F11" t="s">
        <v>96</v>
      </c>
    </row>
    <row r="12" spans="1:8" x14ac:dyDescent="0.25">
      <c r="A12" s="1" t="s">
        <v>8</v>
      </c>
      <c r="B12" s="19">
        <v>99</v>
      </c>
      <c r="C12">
        <v>417</v>
      </c>
      <c r="D12" s="27">
        <f>C12/30</f>
        <v>13.9</v>
      </c>
      <c r="E12">
        <v>756</v>
      </c>
      <c r="F12" t="s">
        <v>102</v>
      </c>
      <c r="G12" s="23">
        <v>52510</v>
      </c>
      <c r="H12" t="s">
        <v>101</v>
      </c>
    </row>
    <row r="13" spans="1:8" x14ac:dyDescent="0.25">
      <c r="A13" s="1" t="s">
        <v>9</v>
      </c>
      <c r="B13" s="19">
        <v>94</v>
      </c>
      <c r="C13">
        <v>328</v>
      </c>
      <c r="D13" s="27">
        <f>C13/31</f>
        <v>10.580645161290322</v>
      </c>
      <c r="E13">
        <v>553</v>
      </c>
      <c r="F13" s="15" t="s">
        <v>108</v>
      </c>
    </row>
    <row r="14" spans="1:8" x14ac:dyDescent="0.25">
      <c r="A14" s="1" t="s">
        <v>10</v>
      </c>
      <c r="B14" s="19">
        <v>103</v>
      </c>
      <c r="C14">
        <v>327</v>
      </c>
      <c r="D14" s="27">
        <f>C14/30</f>
        <v>10.9</v>
      </c>
      <c r="E14">
        <v>539</v>
      </c>
      <c r="F14" s="17" t="s">
        <v>110</v>
      </c>
    </row>
    <row r="15" spans="1:8" x14ac:dyDescent="0.25">
      <c r="A15" s="1" t="s">
        <v>11</v>
      </c>
      <c r="B15" s="19"/>
      <c r="G15" s="22"/>
    </row>
    <row r="16" spans="1:8" s="17" customFormat="1" x14ac:dyDescent="0.25">
      <c r="A16" s="21"/>
      <c r="B16" s="19"/>
      <c r="D16" s="27"/>
    </row>
    <row r="17" spans="1:5" s="17" customFormat="1" x14ac:dyDescent="0.25">
      <c r="A17" s="21" t="s">
        <v>31</v>
      </c>
      <c r="B17" s="19"/>
      <c r="C17" s="17">
        <f>SUM(C4:C15)</f>
        <v>5398</v>
      </c>
      <c r="D17" s="27"/>
      <c r="E17" s="17">
        <f>SUM(E4:E15)</f>
        <v>9353</v>
      </c>
    </row>
    <row r="18" spans="1:5" s="17" customFormat="1" x14ac:dyDescent="0.25">
      <c r="A18" s="21"/>
      <c r="B18" s="19"/>
      <c r="D18" s="27"/>
    </row>
    <row r="19" spans="1:5" s="17" customFormat="1" x14ac:dyDescent="0.25">
      <c r="A19" s="21"/>
      <c r="B19" s="21"/>
      <c r="D19" s="27"/>
    </row>
    <row r="20" spans="1:5" s="17" customFormat="1" x14ac:dyDescent="0.25">
      <c r="A20" s="21"/>
      <c r="B20" s="21"/>
      <c r="D20" s="27"/>
    </row>
    <row r="21" spans="1:5" x14ac:dyDescent="0.25">
      <c r="A21" s="1" t="s">
        <v>22</v>
      </c>
    </row>
    <row r="22" spans="1:5" x14ac:dyDescent="0.25">
      <c r="A22" s="1" t="s">
        <v>26</v>
      </c>
    </row>
    <row r="23" spans="1:5" x14ac:dyDescent="0.25">
      <c r="A23" s="1" t="s">
        <v>35</v>
      </c>
    </row>
    <row r="24" spans="1:5" s="17" customFormat="1" x14ac:dyDescent="0.25">
      <c r="A24" s="21"/>
      <c r="B24" s="17" t="s">
        <v>36</v>
      </c>
      <c r="D24" s="27"/>
    </row>
    <row r="25" spans="1:5" s="17" customFormat="1" x14ac:dyDescent="0.25">
      <c r="A25" s="21"/>
      <c r="B25" s="17" t="s">
        <v>38</v>
      </c>
      <c r="D25" s="27"/>
    </row>
    <row r="26" spans="1:5" x14ac:dyDescent="0.25">
      <c r="A26" s="18" t="s">
        <v>55</v>
      </c>
    </row>
  </sheetData>
  <mergeCells count="1">
    <mergeCell ref="C2:D2"/>
  </mergeCells>
  <pageMargins left="0.7" right="0.7" top="0.75" bottom="0.75" header="0.3" footer="0.3"/>
  <pageSetup orientation="portrait" r:id="rId1"/>
  <ignoredErrors>
    <ignoredError sqref="D9 D1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I31"/>
  <sheetViews>
    <sheetView workbookViewId="0">
      <selection activeCell="B16" sqref="B16"/>
    </sheetView>
  </sheetViews>
  <sheetFormatPr defaultRowHeight="15" x14ac:dyDescent="0.25"/>
  <cols>
    <col min="1" max="1" width="11.7109375" style="17" customWidth="1"/>
    <col min="2" max="2" width="13.140625" style="22" customWidth="1"/>
    <col min="3" max="3" width="12.42578125" style="22" customWidth="1"/>
    <col min="4" max="4" width="12.7109375" style="17" customWidth="1"/>
    <col min="5" max="5" width="12.140625" style="17" customWidth="1"/>
    <col min="6" max="6" width="15.7109375" style="17" customWidth="1"/>
    <col min="7" max="7" width="13.85546875" style="17" customWidth="1"/>
    <col min="8" max="8" width="23.28515625" style="17" customWidth="1"/>
    <col min="9" max="9" width="18.5703125" style="17" customWidth="1"/>
    <col min="10" max="16384" width="9.140625" style="17"/>
  </cols>
  <sheetData>
    <row r="1" spans="1:9" ht="33.75" x14ac:dyDescent="0.5">
      <c r="A1" s="25" t="s">
        <v>41</v>
      </c>
      <c r="B1" s="41"/>
    </row>
    <row r="2" spans="1:9" x14ac:dyDescent="0.25">
      <c r="B2" s="47" t="s">
        <v>12</v>
      </c>
      <c r="C2" s="47"/>
      <c r="D2" s="48" t="s">
        <v>15</v>
      </c>
      <c r="E2" s="48"/>
      <c r="F2" s="43" t="s">
        <v>17</v>
      </c>
      <c r="G2" s="43"/>
    </row>
    <row r="3" spans="1:9" x14ac:dyDescent="0.25">
      <c r="B3" s="32" t="s">
        <v>13</v>
      </c>
      <c r="C3" s="32" t="s">
        <v>14</v>
      </c>
      <c r="D3" s="3" t="s">
        <v>16</v>
      </c>
      <c r="E3" s="21" t="s">
        <v>23</v>
      </c>
      <c r="F3" s="43" t="s">
        <v>16</v>
      </c>
      <c r="G3" s="21"/>
      <c r="H3" s="21"/>
      <c r="I3" s="21"/>
    </row>
    <row r="4" spans="1:9" x14ac:dyDescent="0.25">
      <c r="A4" s="21" t="s">
        <v>0</v>
      </c>
      <c r="B4" s="22">
        <v>16540</v>
      </c>
      <c r="C4" s="22">
        <v>18226</v>
      </c>
      <c r="D4" s="19">
        <v>40</v>
      </c>
      <c r="F4" s="17">
        <v>79</v>
      </c>
    </row>
    <row r="5" spans="1:9" x14ac:dyDescent="0.25">
      <c r="A5" s="21" t="s">
        <v>1</v>
      </c>
      <c r="B5" s="22">
        <v>16540</v>
      </c>
      <c r="C5" s="22">
        <v>18226</v>
      </c>
      <c r="D5" s="19">
        <v>45</v>
      </c>
      <c r="E5" s="19">
        <v>5</v>
      </c>
      <c r="F5" s="19">
        <v>64</v>
      </c>
      <c r="G5" s="19"/>
    </row>
    <row r="6" spans="1:9" x14ac:dyDescent="0.25">
      <c r="A6" s="21" t="s">
        <v>2</v>
      </c>
      <c r="B6" s="22">
        <v>17005</v>
      </c>
      <c r="C6" s="22">
        <v>18761</v>
      </c>
      <c r="D6" s="19">
        <v>58</v>
      </c>
      <c r="E6" s="19">
        <v>13</v>
      </c>
      <c r="F6" s="19">
        <v>125</v>
      </c>
      <c r="G6" s="19"/>
    </row>
    <row r="7" spans="1:9" x14ac:dyDescent="0.25">
      <c r="A7" s="21" t="s">
        <v>3</v>
      </c>
      <c r="B7" s="22">
        <v>18211</v>
      </c>
      <c r="C7" s="22">
        <v>19967</v>
      </c>
      <c r="D7" s="19">
        <v>65</v>
      </c>
      <c r="E7" s="17">
        <f>D7-D6</f>
        <v>7</v>
      </c>
      <c r="F7" s="19">
        <v>110</v>
      </c>
    </row>
    <row r="8" spans="1:9" x14ac:dyDescent="0.25">
      <c r="A8" s="21" t="s">
        <v>4</v>
      </c>
      <c r="B8" s="22">
        <v>18269</v>
      </c>
      <c r="C8" s="22">
        <v>20029</v>
      </c>
      <c r="D8" s="19">
        <v>77</v>
      </c>
      <c r="E8" s="17">
        <f>D8-D7</f>
        <v>12</v>
      </c>
      <c r="F8" s="19">
        <v>93</v>
      </c>
    </row>
    <row r="9" spans="1:9" x14ac:dyDescent="0.25">
      <c r="A9" s="21" t="s">
        <v>5</v>
      </c>
      <c r="B9" s="22">
        <v>18615</v>
      </c>
      <c r="C9" s="22">
        <v>20392</v>
      </c>
      <c r="D9" s="19">
        <v>89</v>
      </c>
      <c r="E9" s="17">
        <f>D9-D8</f>
        <v>12</v>
      </c>
      <c r="F9" s="19">
        <v>99</v>
      </c>
    </row>
    <row r="10" spans="1:9" x14ac:dyDescent="0.25">
      <c r="A10" s="21" t="s">
        <v>6</v>
      </c>
      <c r="B10" s="22">
        <v>22132</v>
      </c>
      <c r="C10" s="22">
        <v>24020</v>
      </c>
      <c r="D10" s="19">
        <v>108</v>
      </c>
      <c r="E10" s="17">
        <f>D10-D9</f>
        <v>19</v>
      </c>
      <c r="F10" s="19">
        <v>104</v>
      </c>
    </row>
    <row r="11" spans="1:9" x14ac:dyDescent="0.25">
      <c r="A11" s="21" t="s">
        <v>7</v>
      </c>
      <c r="B11" s="22">
        <v>22132</v>
      </c>
      <c r="C11" s="22">
        <v>24020</v>
      </c>
      <c r="D11" s="19">
        <v>122</v>
      </c>
      <c r="E11" s="17">
        <f>D11-D10</f>
        <v>14</v>
      </c>
      <c r="F11" s="19">
        <v>81</v>
      </c>
    </row>
    <row r="12" spans="1:9" x14ac:dyDescent="0.25">
      <c r="A12" s="21" t="s">
        <v>8</v>
      </c>
      <c r="B12" s="22">
        <v>22132</v>
      </c>
      <c r="C12" s="22">
        <v>24020</v>
      </c>
      <c r="D12" s="19">
        <v>127</v>
      </c>
      <c r="E12" s="17">
        <v>5</v>
      </c>
      <c r="F12" s="19">
        <v>48</v>
      </c>
    </row>
    <row r="13" spans="1:9" x14ac:dyDescent="0.25">
      <c r="A13" s="21" t="s">
        <v>9</v>
      </c>
      <c r="B13" s="22">
        <v>22132</v>
      </c>
      <c r="C13" s="22">
        <v>24020</v>
      </c>
      <c r="D13" s="19">
        <v>135</v>
      </c>
      <c r="E13" s="17">
        <f>D13-D12</f>
        <v>8</v>
      </c>
      <c r="F13" s="19">
        <v>137</v>
      </c>
    </row>
    <row r="14" spans="1:9" x14ac:dyDescent="0.25">
      <c r="A14" s="21" t="s">
        <v>10</v>
      </c>
      <c r="B14" s="22">
        <v>27659</v>
      </c>
      <c r="C14" s="22">
        <v>30487</v>
      </c>
      <c r="D14" s="19">
        <v>155</v>
      </c>
      <c r="E14" s="17">
        <f>D14-D13</f>
        <v>20</v>
      </c>
      <c r="F14" s="19">
        <v>166</v>
      </c>
    </row>
    <row r="15" spans="1:9" x14ac:dyDescent="0.25">
      <c r="A15" s="21" t="s">
        <v>11</v>
      </c>
      <c r="D15" s="19"/>
    </row>
    <row r="16" spans="1:9" x14ac:dyDescent="0.25">
      <c r="A16" s="21"/>
      <c r="D16" s="19"/>
    </row>
    <row r="17" spans="1:6" x14ac:dyDescent="0.25">
      <c r="A17" s="21" t="s">
        <v>31</v>
      </c>
      <c r="D17" s="19"/>
      <c r="F17" s="17">
        <f>SUM(F4:F15)</f>
        <v>1106</v>
      </c>
    </row>
    <row r="18" spans="1:6" x14ac:dyDescent="0.25">
      <c r="A18" s="21"/>
    </row>
    <row r="19" spans="1:6" x14ac:dyDescent="0.25">
      <c r="A19" s="21" t="s">
        <v>22</v>
      </c>
    </row>
    <row r="20" spans="1:6" x14ac:dyDescent="0.25">
      <c r="A20" s="21" t="s">
        <v>44</v>
      </c>
    </row>
    <row r="21" spans="1:6" x14ac:dyDescent="0.25">
      <c r="A21" s="21" t="s">
        <v>77</v>
      </c>
    </row>
    <row r="22" spans="1:6" x14ac:dyDescent="0.25">
      <c r="A22" s="21"/>
      <c r="B22" s="42" t="s">
        <v>52</v>
      </c>
    </row>
    <row r="23" spans="1:6" x14ac:dyDescent="0.25">
      <c r="A23" s="21"/>
      <c r="B23" s="42" t="s">
        <v>53</v>
      </c>
    </row>
    <row r="31" spans="1:6" x14ac:dyDescent="0.25">
      <c r="C31" s="26"/>
    </row>
  </sheetData>
  <dataConsolidate/>
  <mergeCells count="2">
    <mergeCell ref="B2:C2"/>
    <mergeCell ref="D2:E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9"/>
  <sheetViews>
    <sheetView workbookViewId="0">
      <selection activeCell="C16" sqref="C16"/>
    </sheetView>
  </sheetViews>
  <sheetFormatPr defaultRowHeight="15" x14ac:dyDescent="0.25"/>
  <cols>
    <col min="1" max="1" width="13.42578125" customWidth="1"/>
    <col min="2" max="2" width="17" customWidth="1"/>
    <col min="3" max="3" width="13.28515625" customWidth="1"/>
    <col min="4" max="4" width="17.7109375" customWidth="1"/>
  </cols>
  <sheetData>
    <row r="1" spans="1:6" ht="33.75" x14ac:dyDescent="0.5">
      <c r="A1" s="16" t="s">
        <v>39</v>
      </c>
    </row>
    <row r="2" spans="1:6" x14ac:dyDescent="0.25">
      <c r="B2" s="48" t="s">
        <v>28</v>
      </c>
      <c r="C2" s="48"/>
      <c r="D2" s="1"/>
    </row>
    <row r="3" spans="1:6" x14ac:dyDescent="0.25">
      <c r="B3" s="1" t="s">
        <v>27</v>
      </c>
      <c r="C3" s="1" t="s">
        <v>16</v>
      </c>
      <c r="D3" s="1" t="s">
        <v>30</v>
      </c>
    </row>
    <row r="4" spans="1:6" s="17" customFormat="1" x14ac:dyDescent="0.25">
      <c r="A4" s="21" t="s">
        <v>0</v>
      </c>
      <c r="B4" s="2">
        <v>20</v>
      </c>
      <c r="C4" s="2">
        <v>76</v>
      </c>
      <c r="D4" s="26">
        <v>31377</v>
      </c>
    </row>
    <row r="5" spans="1:6" s="17" customFormat="1" x14ac:dyDescent="0.25">
      <c r="A5" s="21" t="s">
        <v>1</v>
      </c>
      <c r="B5" s="2">
        <f>C5-C4</f>
        <v>9</v>
      </c>
      <c r="C5" s="2">
        <v>85</v>
      </c>
      <c r="D5" s="26">
        <v>29722</v>
      </c>
      <c r="E5" s="2"/>
    </row>
    <row r="6" spans="1:6" s="17" customFormat="1" x14ac:dyDescent="0.25">
      <c r="A6" s="21" t="s">
        <v>2</v>
      </c>
      <c r="B6" s="2">
        <v>2</v>
      </c>
      <c r="C6" s="2">
        <v>87</v>
      </c>
      <c r="D6" s="26">
        <v>26664</v>
      </c>
    </row>
    <row r="7" spans="1:6" s="17" customFormat="1" x14ac:dyDescent="0.25">
      <c r="A7" s="21" t="s">
        <v>3</v>
      </c>
      <c r="B7" s="2">
        <v>6</v>
      </c>
      <c r="C7" s="2">
        <v>93</v>
      </c>
      <c r="D7" s="26">
        <v>34272</v>
      </c>
      <c r="E7" s="2"/>
      <c r="F7" s="2"/>
    </row>
    <row r="8" spans="1:6" s="17" customFormat="1" x14ac:dyDescent="0.25">
      <c r="A8" s="21" t="s">
        <v>4</v>
      </c>
      <c r="B8" s="2">
        <v>5</v>
      </c>
      <c r="C8" s="2">
        <v>98</v>
      </c>
      <c r="D8" s="22">
        <v>25509</v>
      </c>
    </row>
    <row r="9" spans="1:6" x14ac:dyDescent="0.25">
      <c r="A9" s="1" t="s">
        <v>5</v>
      </c>
      <c r="B9" s="2">
        <v>2</v>
      </c>
      <c r="C9" s="2">
        <v>100</v>
      </c>
      <c r="D9" s="22">
        <v>7277</v>
      </c>
    </row>
    <row r="10" spans="1:6" x14ac:dyDescent="0.25">
      <c r="A10" s="1" t="s">
        <v>6</v>
      </c>
      <c r="B10" s="2">
        <v>3</v>
      </c>
      <c r="C10" s="2">
        <v>103</v>
      </c>
      <c r="D10" s="22">
        <v>2804</v>
      </c>
    </row>
    <row r="11" spans="1:6" x14ac:dyDescent="0.25">
      <c r="A11" s="1" t="s">
        <v>7</v>
      </c>
      <c r="B11" s="2">
        <v>8</v>
      </c>
      <c r="C11" s="2">
        <v>111</v>
      </c>
      <c r="D11" s="22">
        <v>12952</v>
      </c>
    </row>
    <row r="12" spans="1:6" x14ac:dyDescent="0.25">
      <c r="A12" s="1" t="s">
        <v>8</v>
      </c>
      <c r="B12" s="2">
        <v>6</v>
      </c>
      <c r="C12" s="2">
        <v>117</v>
      </c>
      <c r="D12" s="22">
        <v>36137</v>
      </c>
    </row>
    <row r="13" spans="1:6" x14ac:dyDescent="0.25">
      <c r="A13" s="1" t="s">
        <v>9</v>
      </c>
      <c r="B13" s="2">
        <f>C13-C12</f>
        <v>5</v>
      </c>
      <c r="C13" s="2">
        <v>122</v>
      </c>
      <c r="D13" s="22">
        <v>38728</v>
      </c>
    </row>
    <row r="14" spans="1:6" x14ac:dyDescent="0.25">
      <c r="A14" s="1" t="s">
        <v>10</v>
      </c>
      <c r="B14" s="2">
        <v>5</v>
      </c>
      <c r="C14" s="2">
        <v>127</v>
      </c>
      <c r="D14" s="22">
        <v>29602</v>
      </c>
    </row>
    <row r="15" spans="1:6" x14ac:dyDescent="0.25">
      <c r="A15" s="1" t="s">
        <v>11</v>
      </c>
      <c r="D15" s="22"/>
    </row>
    <row r="16" spans="1:6" s="17" customFormat="1" x14ac:dyDescent="0.25">
      <c r="A16" s="21"/>
    </row>
    <row r="17" spans="1:4" s="17" customFormat="1" x14ac:dyDescent="0.25">
      <c r="A17" s="21" t="s">
        <v>31</v>
      </c>
      <c r="B17" s="17">
        <f>SUM(B4:B16)</f>
        <v>71</v>
      </c>
      <c r="D17" s="22">
        <f>SUM(D4:D16)</f>
        <v>275044</v>
      </c>
    </row>
    <row r="18" spans="1:4" x14ac:dyDescent="0.25">
      <c r="A18" s="1"/>
    </row>
    <row r="19" spans="1:4" x14ac:dyDescent="0.25">
      <c r="A19" s="1" t="s">
        <v>22</v>
      </c>
    </row>
    <row r="20" spans="1:4" x14ac:dyDescent="0.25">
      <c r="A20" s="2" t="s">
        <v>82</v>
      </c>
    </row>
    <row r="21" spans="1:4" x14ac:dyDescent="0.25">
      <c r="A21" s="21"/>
    </row>
    <row r="22" spans="1:4" x14ac:dyDescent="0.25">
      <c r="A22" s="21"/>
    </row>
    <row r="23" spans="1:4" x14ac:dyDescent="0.25">
      <c r="A23" s="21"/>
      <c r="B23" s="2"/>
    </row>
    <row r="24" spans="1:4" x14ac:dyDescent="0.25">
      <c r="B24" s="2"/>
    </row>
    <row r="25" spans="1:4" x14ac:dyDescent="0.25">
      <c r="B25" s="2"/>
    </row>
    <row r="26" spans="1:4" s="17" customFormat="1" x14ac:dyDescent="0.25">
      <c r="B26" s="2"/>
    </row>
    <row r="27" spans="1:4" x14ac:dyDescent="0.25">
      <c r="A27" s="21"/>
    </row>
    <row r="28" spans="1:4" x14ac:dyDescent="0.25">
      <c r="B28" s="2"/>
    </row>
    <row r="29" spans="1:4" x14ac:dyDescent="0.25">
      <c r="B29" s="2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8"/>
  <sheetViews>
    <sheetView workbookViewId="0">
      <selection activeCell="C10" sqref="C10"/>
    </sheetView>
  </sheetViews>
  <sheetFormatPr defaultRowHeight="15" x14ac:dyDescent="0.25"/>
  <cols>
    <col min="1" max="1" width="13.5703125" customWidth="1"/>
    <col min="2" max="2" width="15.42578125" customWidth="1"/>
    <col min="3" max="3" width="15.7109375" customWidth="1"/>
    <col min="4" max="4" width="16.85546875" customWidth="1"/>
  </cols>
  <sheetData>
    <row r="1" spans="1:4" ht="33.75" x14ac:dyDescent="0.5">
      <c r="A1" s="45" t="s">
        <v>88</v>
      </c>
      <c r="B1" s="17"/>
      <c r="C1" s="17"/>
      <c r="D1" s="17"/>
    </row>
    <row r="2" spans="1:4" x14ac:dyDescent="0.25">
      <c r="A2" s="17"/>
      <c r="B2" s="21" t="s">
        <v>109</v>
      </c>
      <c r="C2" s="21" t="s">
        <v>83</v>
      </c>
      <c r="D2" s="21" t="s">
        <v>84</v>
      </c>
    </row>
    <row r="3" spans="1:4" x14ac:dyDescent="0.25">
      <c r="A3" s="21" t="s">
        <v>6</v>
      </c>
      <c r="B3">
        <v>216</v>
      </c>
      <c r="C3" s="17">
        <v>722</v>
      </c>
      <c r="D3">
        <v>49</v>
      </c>
    </row>
    <row r="4" spans="1:4" x14ac:dyDescent="0.25">
      <c r="A4" s="21" t="s">
        <v>7</v>
      </c>
      <c r="B4">
        <v>533</v>
      </c>
      <c r="C4">
        <v>1577</v>
      </c>
      <c r="D4">
        <v>47</v>
      </c>
    </row>
    <row r="5" spans="1:4" x14ac:dyDescent="0.25">
      <c r="A5" s="21" t="s">
        <v>8</v>
      </c>
      <c r="B5">
        <v>2348</v>
      </c>
      <c r="C5">
        <v>6528</v>
      </c>
      <c r="D5">
        <v>45</v>
      </c>
    </row>
    <row r="6" spans="1:4" x14ac:dyDescent="0.25">
      <c r="A6" s="21" t="s">
        <v>9</v>
      </c>
      <c r="B6">
        <v>2330</v>
      </c>
      <c r="C6">
        <v>5229</v>
      </c>
      <c r="D6">
        <v>36</v>
      </c>
    </row>
    <row r="7" spans="1:4" x14ac:dyDescent="0.25">
      <c r="A7" s="21" t="s">
        <v>10</v>
      </c>
      <c r="B7">
        <v>4277</v>
      </c>
      <c r="C7">
        <v>13203</v>
      </c>
      <c r="D7">
        <v>119</v>
      </c>
    </row>
    <row r="8" spans="1:4" x14ac:dyDescent="0.25">
      <c r="A8" s="21" t="s">
        <v>11</v>
      </c>
    </row>
    <row r="15" spans="1:4" x14ac:dyDescent="0.25">
      <c r="A15" s="21" t="s">
        <v>85</v>
      </c>
    </row>
    <row r="16" spans="1:4" x14ac:dyDescent="0.25">
      <c r="A16" t="s">
        <v>86</v>
      </c>
    </row>
    <row r="18" spans="1:1" x14ac:dyDescent="0.25">
      <c r="A18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13"/>
  <sheetViews>
    <sheetView workbookViewId="0">
      <selection activeCell="C9" sqref="C9"/>
    </sheetView>
  </sheetViews>
  <sheetFormatPr defaultRowHeight="15" x14ac:dyDescent="0.25"/>
  <cols>
    <col min="1" max="1" width="14.140625" customWidth="1"/>
    <col min="2" max="2" width="19.28515625" customWidth="1"/>
    <col min="3" max="3" width="19" customWidth="1"/>
    <col min="4" max="4" width="27.42578125" customWidth="1"/>
  </cols>
  <sheetData>
    <row r="1" spans="1:6" ht="33.75" x14ac:dyDescent="0.5">
      <c r="A1" s="45" t="s">
        <v>90</v>
      </c>
      <c r="B1" s="17"/>
      <c r="C1" s="17"/>
      <c r="D1" s="17"/>
      <c r="E1" s="17"/>
      <c r="F1" s="17"/>
    </row>
    <row r="2" spans="1:6" x14ac:dyDescent="0.25">
      <c r="A2" s="17"/>
      <c r="B2" s="21" t="s">
        <v>92</v>
      </c>
      <c r="C2" s="21" t="s">
        <v>93</v>
      </c>
      <c r="D2" s="21" t="s">
        <v>95</v>
      </c>
      <c r="E2" s="17"/>
      <c r="F2" s="17"/>
    </row>
    <row r="3" spans="1:6" x14ac:dyDescent="0.25">
      <c r="A3" s="21" t="s">
        <v>7</v>
      </c>
      <c r="B3" s="17">
        <v>3</v>
      </c>
      <c r="C3" s="17">
        <v>11</v>
      </c>
      <c r="D3" s="17">
        <f>SUM(B3:C3)</f>
        <v>14</v>
      </c>
      <c r="E3" s="17"/>
      <c r="F3" s="17"/>
    </row>
    <row r="4" spans="1:6" x14ac:dyDescent="0.25">
      <c r="A4" s="21" t="s">
        <v>8</v>
      </c>
      <c r="B4" s="17">
        <v>7</v>
      </c>
      <c r="C4" s="17">
        <v>26</v>
      </c>
      <c r="D4" s="17">
        <f t="shared" ref="D4:D7" si="0">SUM(B4:C4)</f>
        <v>33</v>
      </c>
      <c r="E4" s="17"/>
      <c r="F4" s="17"/>
    </row>
    <row r="5" spans="1:6" x14ac:dyDescent="0.25">
      <c r="A5" s="21" t="s">
        <v>9</v>
      </c>
      <c r="B5" s="17">
        <v>6</v>
      </c>
      <c r="C5" s="17">
        <v>9</v>
      </c>
      <c r="D5" s="17">
        <f t="shared" si="0"/>
        <v>15</v>
      </c>
      <c r="E5" s="17"/>
      <c r="F5" s="17"/>
    </row>
    <row r="6" spans="1:6" x14ac:dyDescent="0.25">
      <c r="A6" s="21" t="s">
        <v>10</v>
      </c>
      <c r="B6" s="17">
        <v>2</v>
      </c>
      <c r="C6" s="17">
        <v>4</v>
      </c>
      <c r="D6" s="17">
        <f t="shared" si="0"/>
        <v>6</v>
      </c>
      <c r="E6" s="17"/>
      <c r="F6" s="17"/>
    </row>
    <row r="7" spans="1:6" x14ac:dyDescent="0.25">
      <c r="A7" s="21" t="s">
        <v>11</v>
      </c>
      <c r="B7" s="17"/>
      <c r="C7" s="17"/>
      <c r="D7" s="17">
        <f t="shared" si="0"/>
        <v>0</v>
      </c>
      <c r="E7" s="17"/>
      <c r="F7" s="17"/>
    </row>
    <row r="8" spans="1:6" x14ac:dyDescent="0.25">
      <c r="A8" s="17"/>
      <c r="B8" s="17"/>
      <c r="C8" s="17"/>
      <c r="D8" s="17"/>
      <c r="E8" s="17"/>
      <c r="F8" s="17"/>
    </row>
    <row r="9" spans="1:6" x14ac:dyDescent="0.25">
      <c r="A9" s="21" t="s">
        <v>16</v>
      </c>
      <c r="B9" s="17"/>
      <c r="C9" s="17"/>
      <c r="D9" s="17">
        <f>SUM(D3:D8)</f>
        <v>68</v>
      </c>
      <c r="E9" s="17"/>
      <c r="F9" s="17"/>
    </row>
    <row r="10" spans="1:6" x14ac:dyDescent="0.25">
      <c r="A10" s="17"/>
      <c r="B10" s="17"/>
      <c r="C10" s="17"/>
      <c r="D10" s="17"/>
      <c r="E10" s="17"/>
      <c r="F10" s="17"/>
    </row>
    <row r="11" spans="1:6" x14ac:dyDescent="0.25">
      <c r="A11" s="21" t="s">
        <v>85</v>
      </c>
      <c r="B11" s="17"/>
      <c r="C11" s="17"/>
      <c r="D11" s="17"/>
      <c r="E11" s="17"/>
      <c r="F11" s="17"/>
    </row>
    <row r="12" spans="1:6" x14ac:dyDescent="0.25">
      <c r="A12" s="17" t="s">
        <v>91</v>
      </c>
      <c r="B12" s="17"/>
      <c r="C12" s="17"/>
      <c r="D12" s="17"/>
      <c r="E12" s="17"/>
      <c r="F12" s="17"/>
    </row>
    <row r="13" spans="1:6" x14ac:dyDescent="0.25">
      <c r="A13" s="17" t="s">
        <v>94</v>
      </c>
      <c r="B13" s="17"/>
      <c r="C13" s="17"/>
      <c r="D13" s="17"/>
      <c r="E13" s="17"/>
      <c r="F1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OneClick Audiobooks</vt:lpstr>
      <vt:lpstr>3M Cloud eBooks</vt:lpstr>
      <vt:lpstr>Freading eBooks</vt:lpstr>
      <vt:lpstr>Enki eBooks</vt:lpstr>
      <vt:lpstr>TumbleBooks</vt:lpstr>
      <vt:lpstr>BookFlix</vt:lpstr>
      <vt:lpstr>E-STAX</vt:lpstr>
    </vt:vector>
  </TitlesOfParts>
  <Company>State Library of Kansas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Lianne Flax</dc:creator>
  <cp:lastModifiedBy>Lianne Flax</cp:lastModifiedBy>
  <cp:lastPrinted>2012-05-01T14:41:04Z</cp:lastPrinted>
  <dcterms:created xsi:type="dcterms:W3CDTF">2012-05-01T14:11:43Z</dcterms:created>
  <dcterms:modified xsi:type="dcterms:W3CDTF">2014-12-01T16:45:52Z</dcterms:modified>
</cp:coreProperties>
</file>