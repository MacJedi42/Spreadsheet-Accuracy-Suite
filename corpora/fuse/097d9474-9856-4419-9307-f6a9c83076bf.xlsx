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 001" sheetId="1" r:id="rId1"/>
    <sheet name="PPI 002" sheetId="11"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39" i="11"/>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D39" i="1" l="1"/>
  <c r="D38"/>
  <c r="D37"/>
  <c r="S5"/>
  <c r="R5"/>
  <c r="Q5"/>
  <c r="P5"/>
  <c r="O5"/>
  <c r="N5"/>
  <c r="M5"/>
  <c r="L5"/>
  <c r="K5"/>
  <c r="J5"/>
  <c r="I5"/>
  <c r="H5"/>
  <c r="G5"/>
  <c r="F5"/>
  <c r="S37"/>
  <c r="R37"/>
  <c r="Q37"/>
  <c r="P37"/>
  <c r="O37"/>
  <c r="M37"/>
  <c r="L37"/>
  <c r="K37"/>
  <c r="S4"/>
  <c r="R4"/>
  <c r="Q4"/>
  <c r="P4"/>
  <c r="O4"/>
  <c r="N4"/>
  <c r="N37" s="1"/>
  <c r="M4"/>
  <c r="L4"/>
  <c r="K4"/>
  <c r="J4"/>
  <c r="J37" s="1"/>
  <c r="I4"/>
  <c r="I37" s="1"/>
  <c r="H4"/>
  <c r="H37" s="1"/>
  <c r="G4"/>
  <c r="G37" s="1"/>
  <c r="F4"/>
  <c r="F37" s="1"/>
  <c r="E5"/>
  <c r="E4"/>
  <c r="E37" s="1"/>
  <c r="S39"/>
  <c r="S38"/>
  <c r="R39"/>
  <c r="Q39"/>
  <c r="R38"/>
  <c r="Q38"/>
  <c r="P39"/>
  <c r="O39"/>
  <c r="P38"/>
  <c r="O38"/>
  <c r="N39"/>
  <c r="M39"/>
  <c r="N38"/>
  <c r="M38"/>
  <c r="L39"/>
  <c r="K39"/>
  <c r="L38"/>
  <c r="K38"/>
  <c r="J39"/>
  <c r="I39"/>
  <c r="J38"/>
  <c r="I38"/>
  <c r="H39"/>
  <c r="G39"/>
  <c r="H38"/>
  <c r="G38"/>
  <c r="C3" i="8"/>
  <c r="C4" s="1"/>
  <c r="C5" s="1"/>
  <c r="C6" s="1"/>
  <c r="C7" s="1"/>
  <c r="C8" s="1"/>
  <c r="C9" s="1"/>
  <c r="C10" s="1"/>
  <c r="C11" s="1"/>
  <c r="C12" s="1"/>
  <c r="C13" s="1"/>
  <c r="C14" s="1"/>
  <c r="C15" s="1"/>
  <c r="C16" s="1"/>
  <c r="C17" s="1"/>
  <c r="C18" s="1"/>
  <c r="C19" s="1"/>
  <c r="C20" s="1"/>
  <c r="C21" s="1"/>
  <c r="E38" i="1" l="1"/>
  <c r="F38"/>
  <c r="E39"/>
  <c r="F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<sst xmlns="http://schemas.openxmlformats.org/spreadsheetml/2006/main" count="556" uniqueCount="400">
  <si>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</si>
  <si>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</si>
  <si>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</si>
  <si>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</si>
  <si>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</si>
  <si>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</si>
  <si>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</si>
  <si>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</si>
  <si>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</si>
  <si>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</si>
  <si>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</si>
  <si>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</si>
  <si>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</si>
  <si>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</si>
  <si>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</si>
  <si>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</si>
  <si>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</si>
  <si>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</si>
  <si>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</si>
  <si>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</si>
  <si>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</si>
  <si>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</si>
  <si>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</si>
  <si>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</si>
  <si>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</si>
  <si>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</si>
  <si>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</si>
  <si>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</si>
  <si>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</si>
  <si>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</si>
  <si>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</si>
  <si>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</si>
  <si>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</si>
  <si>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</si>
  <si>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</si>
  <si>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</si>
  <si>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</si>
  <si>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</si>
  <si>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</si>
  <si>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</si>
  <si>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</si>
  <si>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</si>
  <si>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</si>
  <si>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</si>
  <si>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</si>
  <si>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</si>
  <si>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</si>
  <si>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</si>
  <si>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</si>
  <si>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</si>
  <si>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</si>
  <si>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</si>
  <si>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</si>
  <si>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</si>
  <si>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</si>
  <si>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</si>
  <si>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</si>
  <si>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</si>
  <si>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</si>
  <si>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</si>
  <si>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</si>
  <si>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</si>
  <si>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</si>
  <si>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</si>
  <si>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</si>
  <si>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</si>
  <si>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</si>
  <si>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</si>
  <si>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</si>
  <si>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</si>
  <si>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</si>
  <si>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</si>
  <si>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</si>
  <si>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</si>
  <si>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</si>
  <si>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</si>
  <si>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</si>
  <si>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</si>
  <si>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</si>
  <si>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</si>
  <si>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</si>
  <si>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</si>
  <si>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</si>
  <si>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</si>
  <si>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</si>
  <si>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</si>
  <si>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</si>
  <si>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</si>
  <si>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</si>
  <si>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</si>
  <si>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</si>
  <si>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</si>
  <si>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</si>
  <si>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</si>
  <si>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</si>
  <si>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</si>
  <si>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</si>
  <si>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</si>
  <si>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</si>
  <si>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</si>
  <si>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</si>
  <si>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</si>
  <si>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</si>
  <si>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</si>
  <si>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</si>
  <si>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</si>
  <si>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</si>
  <si>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</si>
  <si>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</si>
  <si>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</si>
  <si>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</si>
  <si>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</si>
  <si>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</si>
  <si>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</si>
  <si>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</si>
  <si>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</si>
  <si>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</si>
  <si>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</si>
  <si>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</si>
  <si>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</si>
  <si>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</si>
  <si>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</si>
  <si>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</si>
  <si>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</si>
  <si>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</si>
  <si>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</si>
  <si>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</si>
  <si>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</si>
  <si>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</si>
  <si>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</si>
  <si>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</si>
  <si>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</si>
  <si>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</si>
  <si>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</si>
  <si>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</si>
  <si>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</si>
  <si>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</si>
  <si>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</si>
  <si>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</si>
  <si>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</si>
  <si>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</si>
  <si>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</si>
  <si>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</si>
  <si>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</si>
  <si>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</si>
  <si>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</si>
  <si>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</si>
  <si>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</si>
  <si>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</si>
  <si>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</si>
  <si>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</si>
  <si>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</si>
  <si>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</si>
  <si>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</si>
  <si>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</si>
  <si>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</si>
  <si>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</si>
  <si>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</si>
  <si>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</si>
  <si>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</si>
  <si>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</si>
  <si>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</si>
  <si>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</si>
  <si>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</si>
  <si>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</si>
  <si>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</si>
  <si>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</si>
  <si>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</si>
  <si>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</si>
  <si>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</si>
  <si>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</si>
  <si>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</si>
  <si>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</si>
  <si>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</si>
  <si>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</si>
  <si>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</si>
  <si>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</si>
  <si>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</si>
  <si>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</si>
  <si>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</si>
  <si>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</si>
  <si>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</si>
  <si>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</si>
  <si>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</si>
  <si>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</si>
  <si>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</si>
  <si>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</si>
  <si>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</si>
  <si>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</si>
  <si>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</si>
  <si>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</si>
  <si>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</si>
  <si>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</si>
  <si>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</si>
  <si>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</si>
  <si>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</si>
  <si>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</si>
  <si>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</si>
  <si>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</si>
  <si>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</si>
  <si>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</si>
  <si>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</si>
  <si>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</si>
  <si>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</si>
  <si>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</si>
  <si>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</si>
  <si>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</si>
  <si>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</si>
  <si>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</si>
  <si>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</si>
  <si>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</si>
  <si>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</si>
  <si>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</si>
  <si>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</si>
  <si>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</si>
  <si>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</si>
  <si>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</si>
  <si>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</si>
  <si>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</si>
  <si>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</si>
  <si>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</si>
  <si>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</si>
  <si>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</si>
  <si>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</si>
  <si>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</si>
  <si>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</si>
  <si>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</si>
  <si>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</si>
  <si>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</si>
  <si>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</si>
  <si>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</si>
  <si>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</si>
  <si>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</si>
  <si>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</si>
  <si>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</si>
  <si>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</si>
  <si>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</si>
  <si>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</si>
  <si>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</si>
  <si>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</si>
  <si>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</si>
  <si>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</si>
  <si>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</si>
  <si>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</si>
  <si>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</si>
  <si>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</si>
  <si>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</si>
  <si>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</si>
  <si>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</si>
  <si>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</si>
  <si>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</si>
  <si>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</si>
  <si>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</si>
  <si>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</si>
  <si>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</si>
  <si>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</si>
  <si>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</si>
  <si>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</si>
  <si>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</si>
  <si>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</si>
  <si>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</si>
  <si>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</si>
  <si>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</si>
  <si>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</si>
  <si>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</si>
  <si>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</si>
  <si>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</si>
  <si>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</si>
  <si>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</si>
  <si>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</si>
  <si>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</si>
  <si>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</si>
  <si>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</si>
  <si>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</si>
  <si>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</si>
  <si>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</si>
  <si>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</si>
  <si>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</si>
  <si>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</si>
  <si>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</si>
  <si>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</si>
  <si>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</si>
  <si>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</si>
  <si>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</si>
  <si>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</si>
  <si>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</si>
  <si>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</si>
  <si>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</si>
  <si>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</si>
  <si>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</si>
  <si>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</si>
  <si>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</si>
  <si>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</si>
  <si>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</si>
  <si>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</si>
  <si>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</si>
  <si>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</si>
  <si>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</si>
  <si>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</si>
  <si>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</si>
  <si>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</si>
  <si>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</si>
  <si>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</si>
  <si>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</si>
  <si>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</si>
  <si>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</si>
  <si>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</si>
  <si>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</si>
  <si>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</si>
  <si>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</si>
  <si>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</si>
  <si>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</si>
  <si>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</si>
  <si>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</si>
  <si>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</si>
  <si>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</si>
  <si>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</si>
  <si>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</si>
  <si>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</si>
  <si>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</si>
  <si>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</si>
  <si>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</si>
  <si>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</si>
  <si>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</si>
  <si>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</si>
  <si>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</si>
  <si>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</si>
  <si>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</si>
  <si>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</si>
  <si>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</si>
  <si>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</si>
  <si>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</si>
  <si>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</si>
  <si>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</si>
  <si>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</si>
  <si>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</si>
  <si>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</si>
  <si>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</si>
  <si>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</si>
  <si>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</si>
  <si>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</si>
  <si>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</si>
  <si>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</si>
  <si>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</si>
  <si>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</si>
  <si>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</si>
  <si>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</si>
  <si>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</si>
  <si>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</si>
  <si>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</si>
  <si>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</si>
  <si>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</si>
  <si>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</si>
  <si>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</si>
  <si>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</si>
  <si>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</si>
  <si>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</si>
  <si>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</si>
  <si>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</si>
  <si>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</si>
  <si>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</si>
  <si>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Total Coliform - MPN</t>
  </si>
  <si>
    <t>Fecal Coliform - Agar</t>
  </si>
  <si>
    <t>Fecal Coliform - Broth</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</si>
  <si>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</si>
  <si>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</si>
  <si>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</si>
  <si>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</si>
  <si>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</si>
  <si>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</si>
  <si>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</si>
  <si>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</si>
  <si>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</si>
  <si>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</si>
  <si>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</si>
  <si>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</si>
  <si>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</si>
  <si>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</si>
  <si>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</si>
  <si>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</si>
  <si>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</si>
  <si>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</si>
  <si>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</si>
  <si>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</si>
  <si>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</si>
  <si>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</si>
  <si>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</si>
  <si>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</si>
  <si>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</si>
  <si>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</si>
  <si>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</si>
  <si>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</si>
  <si>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</si>
  <si>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</si>
  <si>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WQ0034162</t>
  </si>
  <si>
    <t>Wanchese Seafood Industrial Park</t>
  </si>
  <si>
    <t>Continuous</t>
  </si>
  <si>
    <t>Monthly</t>
  </si>
  <si>
    <t>6-9</t>
  </si>
  <si>
    <t>5 x Week</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</si>
</sst>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5">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4" fontId="3" fillId="2" borderId="11"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4" fontId="3" fillId="4" borderId="11" xfId="0" applyNumberFormat="1" applyFont="1" applyFill="1" applyBorder="1" applyAlignment="1" applyProtection="1">
      <alignment horizontal="center" vertical="center"/>
    </xf>
    <xf numFmtId="4" fontId="3" fillId="4" borderId="13" xfId="0" applyNumberFormat="1" applyFont="1" applyFill="1" applyBorder="1" applyAlignment="1" applyProtection="1">
      <alignment horizontal="center" vertical="center"/>
    </xf>
    <xf numFmtId="4" fontId="3" fillId="4" borderId="19"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3" fillId="4" borderId="8" xfId="0" quotePrefix="1" applyNumberFormat="1" applyFont="1" applyFill="1" applyBorder="1" applyAlignment="1" applyProtection="1">
      <alignment horizontal="center" vertical="center"/>
      <protection locked="0"/>
    </xf>
    <xf numFmtId="0" fontId="4" fillId="2" borderId="30" xfId="0" applyFont="1" applyFill="1" applyBorder="1" applyAlignment="1" applyProtection="1">
      <alignment horizontal="right" vertical="center"/>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5" fillId="2" borderId="0" xfId="0" applyFont="1" applyFill="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0" fillId="0" borderId="0" xfId="0" applyAlignment="1" applyProtection="1">
      <alignment horizontal="left" vertical="center"/>
    </xf>
    <xf numFmtId="0" fontId="5" fillId="0" borderId="48" xfId="0" applyFont="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43"/>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223</v>
      </c>
      <c r="B1" s="110"/>
      <c r="C1" s="111" t="s">
        <v>394</v>
      </c>
      <c r="D1" s="112"/>
      <c r="E1" s="113" t="s">
        <v>62</v>
      </c>
      <c r="F1" s="114"/>
      <c r="G1" s="111" t="s">
        <v>395</v>
      </c>
      <c r="H1" s="115"/>
      <c r="I1" s="115"/>
      <c r="J1" s="115"/>
      <c r="K1" s="116"/>
      <c r="L1" s="12" t="s">
        <v>65</v>
      </c>
      <c r="M1" s="117" t="s">
        <v>114</v>
      </c>
      <c r="N1" s="90"/>
      <c r="O1" s="12" t="s">
        <v>63</v>
      </c>
      <c r="P1" s="89"/>
      <c r="Q1" s="90"/>
      <c r="R1" s="13" t="s">
        <v>64</v>
      </c>
      <c r="S1" s="27"/>
      <c r="T1" s="3"/>
    </row>
    <row r="2" spans="1:20" ht="22.5" customHeight="1" thickBot="1">
      <c r="A2" s="91" t="s">
        <v>67</v>
      </c>
      <c r="B2" s="92"/>
      <c r="C2" s="14" t="s">
        <v>199</v>
      </c>
      <c r="D2" s="83" t="s">
        <v>370</v>
      </c>
      <c r="E2" s="84"/>
      <c r="F2" s="84"/>
      <c r="G2" s="84"/>
      <c r="H2" s="84"/>
      <c r="I2" s="84"/>
      <c r="J2" s="85"/>
      <c r="K2" s="83" t="s">
        <v>369</v>
      </c>
      <c r="L2" s="84"/>
      <c r="M2" s="84"/>
      <c r="N2" s="84"/>
      <c r="O2" s="84"/>
      <c r="P2" s="84"/>
      <c r="Q2" s="84"/>
      <c r="R2" s="84"/>
      <c r="S2" s="85"/>
    </row>
    <row r="3" spans="1:20" ht="18.75" customHeight="1" thickTop="1">
      <c r="A3" s="86" t="s">
        <v>61</v>
      </c>
      <c r="B3" s="87"/>
      <c r="C3" s="88"/>
      <c r="D3" s="38">
        <v>50050</v>
      </c>
      <c r="E3" s="18" t="s">
        <v>16</v>
      </c>
      <c r="F3" s="51" t="s">
        <v>27</v>
      </c>
      <c r="G3" s="18" t="s">
        <v>48</v>
      </c>
      <c r="H3" s="51" t="s">
        <v>34</v>
      </c>
      <c r="I3" s="18" t="s">
        <v>24</v>
      </c>
      <c r="J3" s="51" t="s">
        <v>33</v>
      </c>
      <c r="K3" s="18" t="s">
        <v>45</v>
      </c>
      <c r="L3" s="51" t="s">
        <v>57</v>
      </c>
      <c r="M3" s="18"/>
      <c r="N3" s="51"/>
      <c r="O3" s="18"/>
      <c r="P3" s="51"/>
      <c r="Q3" s="18"/>
      <c r="R3" s="51"/>
      <c r="S3" s="30"/>
    </row>
    <row r="4" spans="1:20" ht="71.25" customHeight="1">
      <c r="A4" s="96" t="s">
        <v>69</v>
      </c>
      <c r="B4" s="15" t="s">
        <v>382</v>
      </c>
      <c r="C4" s="16" t="s">
        <v>383</v>
      </c>
      <c r="D4" s="41" t="s">
        <v>230</v>
      </c>
      <c r="E4" s="52" t="str">
        <f>IF(ISBLANK(E$3), " ", VLOOKUP(E$3,'PCS Parameter Codes'!$A$1:$D$76,2,FALSE))</f>
        <v>BOD5</v>
      </c>
      <c r="F4" s="53" t="str">
        <f>IF(ISBLANK(F$3), " ", VLOOKUP(F$3,'PCS Parameter Codes'!$A$1:$D$76,2,FALSE))</f>
        <v>Fecal Coliform - Broth</v>
      </c>
      <c r="G4" s="52" t="str">
        <f>IF(ISBLANK(G$3), " ", VLOOKUP(G$3,'PCS Parameter Codes'!$A$1:$D$76,2,FALSE))</f>
        <v>Ammonia</v>
      </c>
      <c r="H4" s="53" t="str">
        <f>IF(ISBLANK(H$3), " ", VLOOKUP(H$3,'PCS Parameter Codes'!$A$1:$D$76,2,FALSE))</f>
        <v>Total Kjeldahl Nitrogen</v>
      </c>
      <c r="I4" s="52" t="str">
        <f>IF(ISBLANK(I$3), " ", VLOOKUP(I$3,'PCS Parameter Codes'!$A$1:$D$76,2,FALSE))</f>
        <v>Nitrate</v>
      </c>
      <c r="J4" s="53" t="str">
        <f>IF(ISBLANK(J$3), " ", VLOOKUP(J$3,'PCS Parameter Codes'!$A$1:$D$76,2,FALSE))</f>
        <v>pH</v>
      </c>
      <c r="K4" s="52" t="str">
        <f>IF(ISBLANK(K$3), " ", VLOOKUP(K$3,'PCS Parameter Codes'!$A$1:$D$76,2,FALSE))</f>
        <v>Total Suspended Solids</v>
      </c>
      <c r="L4" s="53" t="str">
        <f>IF(ISBLANK(L$3), " ", VLOOKUP(L$3,'PCS Parameter Codes'!$A$1:$D$76,2,FALSE))</f>
        <v>Turbidity</v>
      </c>
      <c r="M4" s="52" t="str">
        <f>IF(ISBLANK(M$3), " ", VLOOKUP(M$3,'PCS Parameter Codes'!$A$1:$D$76,2,FALSE))</f>
        <v xml:space="preserve"> </v>
      </c>
      <c r="N4" s="53" t="str">
        <f>IF(ISBLANK(N$3), " ", VLOOKUP(N$3,'PCS Parameter Codes'!$A$1:$D$76,2,FALSE))</f>
        <v xml:space="preserve"> </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97"/>
      <c r="B5" s="17" t="s">
        <v>70</v>
      </c>
      <c r="C5" s="63" t="s">
        <v>66</v>
      </c>
      <c r="D5" s="64" t="s">
        <v>231</v>
      </c>
      <c r="E5" s="39" t="str">
        <f>IF(ISBLANK(E$3), " ", VLOOKUP(E$3,'PCS Parameter Codes'!$A$1:$D$76,4,FALSE))</f>
        <v>mg/L</v>
      </c>
      <c r="F5" s="42" t="str">
        <f>IF(ISBLANK(F$3), " ", VLOOKUP(F$3,'PCS Parameter Codes'!$A$1:$D$76,4,FALSE))</f>
        <v>#/100 mL</v>
      </c>
      <c r="G5" s="39" t="str">
        <f>IF(ISBLANK(G$3), " ", VLOOKUP(G$3,'PCS Parameter Codes'!$A$1:$D$76,4,FALSE))</f>
        <v>mg/L</v>
      </c>
      <c r="H5" s="42" t="str">
        <f>IF(ISBLANK(H$3), " ", VLOOKUP(H$3,'PCS Parameter Codes'!$A$1:$D$76,4,FALSE))</f>
        <v>mg/L</v>
      </c>
      <c r="I5" s="39" t="str">
        <f>IF(ISBLANK(I$3), " ", VLOOKUP(I$3,'PCS Parameter Codes'!$A$1:$D$76,4,FALSE))</f>
        <v>mg/L</v>
      </c>
      <c r="J5" s="42" t="str">
        <f>IF(ISBLANK(J$3), " ", VLOOKUP(J$3,'PCS Parameter Codes'!$A$1:$D$76,4,FALSE))</f>
        <v>su</v>
      </c>
      <c r="K5" s="39" t="str">
        <f>IF(ISBLANK(K$3), " ", VLOOKUP(K$3,'PCS Parameter Codes'!$A$1:$D$76,4,FALSE))</f>
        <v>mg/L</v>
      </c>
      <c r="L5" s="42" t="str">
        <f>IF(ISBLANK(L$3), " ", VLOOKUP(L$3,'PCS Parameter Codes'!$A$1:$D$76,4,FALSE))</f>
        <v>NTU</v>
      </c>
      <c r="M5" s="39" t="str">
        <f>IF(ISBLANK(M$3), " ", VLOOKUP(M$3,'PCS Parameter Codes'!$A$1:$D$76,4,FALSE))</f>
        <v xml:space="preserve"> </v>
      </c>
      <c r="N5" s="42" t="str">
        <f>IF(ISBLANK(N$3), " ", VLOOKUP(N$3,'PCS Parameter Codes'!$A$1:$D$76,4,FALSE))</f>
        <v xml:space="preserve"> </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93" t="s">
        <v>71</v>
      </c>
      <c r="B37" s="94"/>
      <c r="C37" s="95"/>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78" t="s">
        <v>72</v>
      </c>
      <c r="B38" s="104"/>
      <c r="C38" s="105"/>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106" t="s">
        <v>73</v>
      </c>
      <c r="B39" s="107"/>
      <c r="C39" s="108"/>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101" t="s">
        <v>365</v>
      </c>
      <c r="B40" s="102"/>
      <c r="C40" s="103"/>
      <c r="D40" s="69" t="s">
        <v>368</v>
      </c>
      <c r="E40" s="66" t="s">
        <v>367</v>
      </c>
      <c r="F40" s="65" t="s">
        <v>367</v>
      </c>
      <c r="G40" s="66" t="s">
        <v>367</v>
      </c>
      <c r="H40" s="65" t="s">
        <v>367</v>
      </c>
      <c r="I40" s="66" t="s">
        <v>367</v>
      </c>
      <c r="J40" s="65" t="s">
        <v>367</v>
      </c>
      <c r="K40" s="66" t="s">
        <v>367</v>
      </c>
      <c r="L40" s="65" t="s">
        <v>368</v>
      </c>
      <c r="M40" s="66"/>
      <c r="N40" s="65"/>
      <c r="O40" s="66"/>
      <c r="P40" s="65"/>
      <c r="Q40" s="66"/>
      <c r="R40" s="65"/>
      <c r="S40" s="67"/>
    </row>
    <row r="41" spans="1:19" ht="15" customHeight="1">
      <c r="A41" s="98" t="s">
        <v>376</v>
      </c>
      <c r="B41" s="99"/>
      <c r="C41" s="100"/>
      <c r="D41" s="70">
        <v>10670</v>
      </c>
      <c r="E41" s="6">
        <v>10</v>
      </c>
      <c r="F41" s="68">
        <v>14</v>
      </c>
      <c r="G41" s="6">
        <v>4</v>
      </c>
      <c r="H41" s="68"/>
      <c r="I41" s="6"/>
      <c r="J41" s="68"/>
      <c r="K41" s="6">
        <v>5</v>
      </c>
      <c r="L41" s="68"/>
      <c r="M41" s="6"/>
      <c r="N41" s="68"/>
      <c r="O41" s="6"/>
      <c r="P41" s="68"/>
      <c r="Q41" s="6"/>
      <c r="R41" s="68"/>
      <c r="S41" s="59"/>
    </row>
    <row r="42" spans="1:19" ht="15" customHeight="1">
      <c r="A42" s="78" t="s">
        <v>377</v>
      </c>
      <c r="B42" s="81"/>
      <c r="C42" s="82"/>
      <c r="D42" s="70"/>
      <c r="E42" s="6">
        <v>15</v>
      </c>
      <c r="F42" s="68">
        <v>25</v>
      </c>
      <c r="G42" s="6">
        <v>6</v>
      </c>
      <c r="H42" s="68"/>
      <c r="I42" s="6"/>
      <c r="J42" s="77" t="s">
        <v>398</v>
      </c>
      <c r="K42" s="6">
        <v>10</v>
      </c>
      <c r="L42" s="68">
        <v>10</v>
      </c>
      <c r="M42" s="6"/>
      <c r="N42" s="68"/>
      <c r="O42" s="6"/>
      <c r="P42" s="68"/>
      <c r="Q42" s="6"/>
      <c r="R42" s="68"/>
      <c r="S42" s="59"/>
    </row>
    <row r="43" spans="1:19" ht="15" customHeight="1">
      <c r="A43" s="78" t="s">
        <v>378</v>
      </c>
      <c r="B43" s="79"/>
      <c r="C43" s="80"/>
      <c r="D43" s="71" t="s">
        <v>396</v>
      </c>
      <c r="E43" s="72" t="s">
        <v>397</v>
      </c>
      <c r="F43" s="73" t="s">
        <v>397</v>
      </c>
      <c r="G43" s="73" t="s">
        <v>397</v>
      </c>
      <c r="H43" s="73" t="s">
        <v>397</v>
      </c>
      <c r="I43" s="73" t="s">
        <v>397</v>
      </c>
      <c r="J43" s="73" t="s">
        <v>399</v>
      </c>
      <c r="K43" s="72" t="s">
        <v>397</v>
      </c>
      <c r="L43" s="73" t="s">
        <v>396</v>
      </c>
      <c r="M43" s="72"/>
      <c r="N43" s="73"/>
      <c r="O43" s="72"/>
      <c r="P43" s="73"/>
      <c r="Q43" s="72"/>
      <c r="R43" s="73"/>
      <c r="S43" s="74"/>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43"/>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223</v>
      </c>
      <c r="B1" s="110"/>
      <c r="C1" s="111" t="s">
        <v>394</v>
      </c>
      <c r="D1" s="112"/>
      <c r="E1" s="113" t="s">
        <v>62</v>
      </c>
      <c r="F1" s="114"/>
      <c r="G1" s="111" t="s">
        <v>395</v>
      </c>
      <c r="H1" s="115"/>
      <c r="I1" s="115"/>
      <c r="J1" s="115"/>
      <c r="K1" s="116"/>
      <c r="L1" s="75" t="s">
        <v>65</v>
      </c>
      <c r="M1" s="117" t="s">
        <v>114</v>
      </c>
      <c r="N1" s="90"/>
      <c r="O1" s="75" t="s">
        <v>63</v>
      </c>
      <c r="P1" s="89"/>
      <c r="Q1" s="90"/>
      <c r="R1" s="76" t="s">
        <v>64</v>
      </c>
      <c r="S1" s="27"/>
      <c r="T1" s="3"/>
    </row>
    <row r="2" spans="1:20" ht="22.5" customHeight="1" thickBot="1">
      <c r="A2" s="91" t="s">
        <v>67</v>
      </c>
      <c r="B2" s="92"/>
      <c r="C2" s="14" t="s">
        <v>200</v>
      </c>
      <c r="D2" s="83" t="s">
        <v>370</v>
      </c>
      <c r="E2" s="84"/>
      <c r="F2" s="84"/>
      <c r="G2" s="84"/>
      <c r="H2" s="84"/>
      <c r="I2" s="84"/>
      <c r="J2" s="85"/>
      <c r="K2" s="83" t="s">
        <v>369</v>
      </c>
      <c r="L2" s="84"/>
      <c r="M2" s="84"/>
      <c r="N2" s="84"/>
      <c r="O2" s="84"/>
      <c r="P2" s="84"/>
      <c r="Q2" s="84"/>
      <c r="R2" s="84"/>
      <c r="S2" s="85"/>
    </row>
    <row r="3" spans="1:20" ht="18.75" customHeight="1" thickTop="1">
      <c r="A3" s="86" t="s">
        <v>61</v>
      </c>
      <c r="B3" s="87"/>
      <c r="C3" s="88"/>
      <c r="D3" s="38">
        <v>50050</v>
      </c>
      <c r="E3" s="18" t="s">
        <v>16</v>
      </c>
      <c r="F3" s="51" t="s">
        <v>27</v>
      </c>
      <c r="G3" s="18" t="s">
        <v>48</v>
      </c>
      <c r="H3" s="51" t="s">
        <v>34</v>
      </c>
      <c r="I3" s="18" t="s">
        <v>24</v>
      </c>
      <c r="J3" s="51" t="s">
        <v>33</v>
      </c>
      <c r="K3" s="18" t="s">
        <v>45</v>
      </c>
      <c r="L3" s="51" t="s">
        <v>57</v>
      </c>
      <c r="M3" s="18"/>
      <c r="N3" s="51"/>
      <c r="O3" s="18"/>
      <c r="P3" s="51"/>
      <c r="Q3" s="18"/>
      <c r="R3" s="51"/>
      <c r="S3" s="30"/>
    </row>
    <row r="4" spans="1:20" ht="71.25" customHeight="1">
      <c r="A4" s="96" t="s">
        <v>69</v>
      </c>
      <c r="B4" s="15" t="s">
        <v>382</v>
      </c>
      <c r="C4" s="16" t="s">
        <v>383</v>
      </c>
      <c r="D4" s="41" t="s">
        <v>230</v>
      </c>
      <c r="E4" s="52" t="str">
        <f>IF(ISBLANK(E$3), " ", VLOOKUP(E$3,'PCS Parameter Codes'!$A$1:$D$76,2,FALSE))</f>
        <v>BOD5</v>
      </c>
      <c r="F4" s="53" t="str">
        <f>IF(ISBLANK(F$3), " ", VLOOKUP(F$3,'PCS Parameter Codes'!$A$1:$D$76,2,FALSE))</f>
        <v>Fecal Coliform - Broth</v>
      </c>
      <c r="G4" s="52" t="str">
        <f>IF(ISBLANK(G$3), " ", VLOOKUP(G$3,'PCS Parameter Codes'!$A$1:$D$76,2,FALSE))</f>
        <v>Ammonia</v>
      </c>
      <c r="H4" s="53" t="str">
        <f>IF(ISBLANK(H$3), " ", VLOOKUP(H$3,'PCS Parameter Codes'!$A$1:$D$76,2,FALSE))</f>
        <v>Total Kjeldahl Nitrogen</v>
      </c>
      <c r="I4" s="52" t="str">
        <f>IF(ISBLANK(I$3), " ", VLOOKUP(I$3,'PCS Parameter Codes'!$A$1:$D$76,2,FALSE))</f>
        <v>Nitrate</v>
      </c>
      <c r="J4" s="53" t="str">
        <f>IF(ISBLANK(J$3), " ", VLOOKUP(J$3,'PCS Parameter Codes'!$A$1:$D$76,2,FALSE))</f>
        <v>pH</v>
      </c>
      <c r="K4" s="52" t="str">
        <f>IF(ISBLANK(K$3), " ", VLOOKUP(K$3,'PCS Parameter Codes'!$A$1:$D$76,2,FALSE))</f>
        <v>Total Suspended Solids</v>
      </c>
      <c r="L4" s="53" t="str">
        <f>IF(ISBLANK(L$3), " ", VLOOKUP(L$3,'PCS Parameter Codes'!$A$1:$D$76,2,FALSE))</f>
        <v>Turbidity</v>
      </c>
      <c r="M4" s="52" t="str">
        <f>IF(ISBLANK(M$3), " ", VLOOKUP(M$3,'PCS Parameter Codes'!$A$1:$D$76,2,FALSE))</f>
        <v xml:space="preserve"> </v>
      </c>
      <c r="N4" s="53" t="str">
        <f>IF(ISBLANK(N$3), " ", VLOOKUP(N$3,'PCS Parameter Codes'!$A$1:$D$76,2,FALSE))</f>
        <v xml:space="preserve"> </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97"/>
      <c r="B5" s="17" t="s">
        <v>70</v>
      </c>
      <c r="C5" s="63" t="s">
        <v>66</v>
      </c>
      <c r="D5" s="64" t="s">
        <v>231</v>
      </c>
      <c r="E5" s="39" t="str">
        <f>IF(ISBLANK(E$3), " ", VLOOKUP(E$3,'PCS Parameter Codes'!$A$1:$D$76,4,FALSE))</f>
        <v>mg/L</v>
      </c>
      <c r="F5" s="42" t="str">
        <f>IF(ISBLANK(F$3), " ", VLOOKUP(F$3,'PCS Parameter Codes'!$A$1:$D$76,4,FALSE))</f>
        <v>#/100 mL</v>
      </c>
      <c r="G5" s="39" t="str">
        <f>IF(ISBLANK(G$3), " ", VLOOKUP(G$3,'PCS Parameter Codes'!$A$1:$D$76,4,FALSE))</f>
        <v>mg/L</v>
      </c>
      <c r="H5" s="42" t="str">
        <f>IF(ISBLANK(H$3), " ", VLOOKUP(H$3,'PCS Parameter Codes'!$A$1:$D$76,4,FALSE))</f>
        <v>mg/L</v>
      </c>
      <c r="I5" s="39" t="str">
        <f>IF(ISBLANK(I$3), " ", VLOOKUP(I$3,'PCS Parameter Codes'!$A$1:$D$76,4,FALSE))</f>
        <v>mg/L</v>
      </c>
      <c r="J5" s="42" t="str">
        <f>IF(ISBLANK(J$3), " ", VLOOKUP(J$3,'PCS Parameter Codes'!$A$1:$D$76,4,FALSE))</f>
        <v>su</v>
      </c>
      <c r="K5" s="39" t="str">
        <f>IF(ISBLANK(K$3), " ", VLOOKUP(K$3,'PCS Parameter Codes'!$A$1:$D$76,4,FALSE))</f>
        <v>mg/L</v>
      </c>
      <c r="L5" s="42" t="str">
        <f>IF(ISBLANK(L$3), " ", VLOOKUP(L$3,'PCS Parameter Codes'!$A$1:$D$76,4,FALSE))</f>
        <v>NTU</v>
      </c>
      <c r="M5" s="39" t="str">
        <f>IF(ISBLANK(M$3), " ", VLOOKUP(M$3,'PCS Parameter Codes'!$A$1:$D$76,4,FALSE))</f>
        <v xml:space="preserve"> </v>
      </c>
      <c r="N5" s="42" t="str">
        <f>IF(ISBLANK(N$3), " ", VLOOKUP(N$3,'PCS Parameter Codes'!$A$1:$D$76,4,FALSE))</f>
        <v xml:space="preserve"> </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93" t="s">
        <v>71</v>
      </c>
      <c r="B37" s="94"/>
      <c r="C37" s="95"/>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78" t="s">
        <v>72</v>
      </c>
      <c r="B38" s="104"/>
      <c r="C38" s="105"/>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106" t="s">
        <v>73</v>
      </c>
      <c r="B39" s="107"/>
      <c r="C39" s="108"/>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101" t="s">
        <v>365</v>
      </c>
      <c r="B40" s="102"/>
      <c r="C40" s="103"/>
      <c r="D40" s="69" t="s">
        <v>368</v>
      </c>
      <c r="E40" s="66" t="s">
        <v>367</v>
      </c>
      <c r="F40" s="65" t="s">
        <v>367</v>
      </c>
      <c r="G40" s="66" t="s">
        <v>367</v>
      </c>
      <c r="H40" s="65" t="s">
        <v>367</v>
      </c>
      <c r="I40" s="66" t="s">
        <v>367</v>
      </c>
      <c r="J40" s="65" t="s">
        <v>367</v>
      </c>
      <c r="K40" s="66" t="s">
        <v>367</v>
      </c>
      <c r="L40" s="65" t="s">
        <v>368</v>
      </c>
      <c r="M40" s="66"/>
      <c r="N40" s="65"/>
      <c r="O40" s="66"/>
      <c r="P40" s="65"/>
      <c r="Q40" s="66"/>
      <c r="R40" s="65"/>
      <c r="S40" s="67"/>
    </row>
    <row r="41" spans="1:19" ht="15" customHeight="1">
      <c r="A41" s="98" t="s">
        <v>376</v>
      </c>
      <c r="B41" s="99"/>
      <c r="C41" s="100"/>
      <c r="D41" s="70">
        <v>13500</v>
      </c>
      <c r="E41" s="6">
        <v>10</v>
      </c>
      <c r="F41" s="68">
        <v>14</v>
      </c>
      <c r="G41" s="6">
        <v>4</v>
      </c>
      <c r="H41" s="68"/>
      <c r="I41" s="6"/>
      <c r="J41" s="68"/>
      <c r="K41" s="6">
        <v>5</v>
      </c>
      <c r="L41" s="68"/>
      <c r="M41" s="6"/>
      <c r="N41" s="68"/>
      <c r="O41" s="6"/>
      <c r="P41" s="68"/>
      <c r="Q41" s="6"/>
      <c r="R41" s="68"/>
      <c r="S41" s="59"/>
    </row>
    <row r="42" spans="1:19" ht="15" customHeight="1">
      <c r="A42" s="78" t="s">
        <v>377</v>
      </c>
      <c r="B42" s="81"/>
      <c r="C42" s="82"/>
      <c r="D42" s="70"/>
      <c r="E42" s="6">
        <v>15</v>
      </c>
      <c r="F42" s="68">
        <v>25</v>
      </c>
      <c r="G42" s="6">
        <v>6</v>
      </c>
      <c r="H42" s="68"/>
      <c r="I42" s="6"/>
      <c r="J42" s="77" t="s">
        <v>398</v>
      </c>
      <c r="K42" s="6">
        <v>10</v>
      </c>
      <c r="L42" s="68">
        <v>10</v>
      </c>
      <c r="M42" s="6"/>
      <c r="N42" s="68"/>
      <c r="O42" s="6"/>
      <c r="P42" s="68"/>
      <c r="Q42" s="6"/>
      <c r="R42" s="68"/>
      <c r="S42" s="59"/>
    </row>
    <row r="43" spans="1:19" ht="15" customHeight="1">
      <c r="A43" s="78" t="s">
        <v>378</v>
      </c>
      <c r="B43" s="79"/>
      <c r="C43" s="80"/>
      <c r="D43" s="71" t="s">
        <v>396</v>
      </c>
      <c r="E43" s="72" t="s">
        <v>397</v>
      </c>
      <c r="F43" s="73" t="s">
        <v>397</v>
      </c>
      <c r="G43" s="73" t="s">
        <v>397</v>
      </c>
      <c r="H43" s="73" t="s">
        <v>397</v>
      </c>
      <c r="I43" s="73" t="s">
        <v>397</v>
      </c>
      <c r="J43" s="73" t="s">
        <v>399</v>
      </c>
      <c r="K43" s="72" t="s">
        <v>397</v>
      </c>
      <c r="L43" s="73" t="s">
        <v>396</v>
      </c>
      <c r="M43" s="72"/>
      <c r="N43" s="73"/>
      <c r="O43" s="72"/>
      <c r="P43" s="73"/>
      <c r="Q43" s="72"/>
      <c r="R43" s="73"/>
      <c r="S43" s="74"/>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6" customFormat="1" ht="30" customHeight="1">
      <c r="A1" s="125" t="s">
        <v>82</v>
      </c>
      <c r="B1" s="126"/>
      <c r="C1" s="126"/>
      <c r="D1" s="126"/>
      <c r="E1" s="126"/>
      <c r="F1" s="126"/>
      <c r="G1" s="126"/>
      <c r="H1" s="126"/>
      <c r="I1" s="126"/>
      <c r="J1" s="127"/>
      <c r="K1" s="128" t="s">
        <v>83</v>
      </c>
      <c r="L1" s="126"/>
      <c r="M1" s="126"/>
      <c r="N1" s="126"/>
      <c r="O1" s="126"/>
      <c r="P1" s="126"/>
      <c r="Q1" s="126"/>
      <c r="R1" s="126"/>
      <c r="S1" s="129"/>
      <c r="T1" s="25"/>
    </row>
    <row r="2" spans="1:20" ht="30" customHeight="1">
      <c r="A2" s="130" t="s">
        <v>77</v>
      </c>
      <c r="B2" s="131"/>
      <c r="C2" s="132"/>
      <c r="D2" s="133"/>
      <c r="E2" s="133"/>
      <c r="F2" s="133"/>
      <c r="G2" s="133"/>
      <c r="H2" s="133"/>
      <c r="I2" s="133"/>
      <c r="J2" s="134"/>
      <c r="K2" s="28" t="s">
        <v>77</v>
      </c>
      <c r="L2" s="132"/>
      <c r="M2" s="135"/>
      <c r="N2" s="135"/>
      <c r="O2" s="135"/>
      <c r="P2" s="135"/>
      <c r="Q2" s="135"/>
      <c r="R2" s="135"/>
      <c r="S2" s="136"/>
      <c r="T2" s="3"/>
    </row>
    <row r="3" spans="1:20" ht="30" customHeight="1" thickBot="1">
      <c r="A3" s="118" t="s">
        <v>77</v>
      </c>
      <c r="B3" s="119"/>
      <c r="C3" s="120"/>
      <c r="D3" s="121"/>
      <c r="E3" s="121"/>
      <c r="F3" s="121"/>
      <c r="G3" s="121"/>
      <c r="H3" s="121"/>
      <c r="I3" s="121"/>
      <c r="J3" s="122"/>
      <c r="K3" s="29" t="s">
        <v>77</v>
      </c>
      <c r="L3" s="120"/>
      <c r="M3" s="123"/>
      <c r="N3" s="123"/>
      <c r="O3" s="123"/>
      <c r="P3" s="123"/>
      <c r="Q3" s="123"/>
      <c r="R3" s="123"/>
      <c r="S3" s="124"/>
      <c r="T3" s="3"/>
    </row>
    <row r="4" spans="1:20" ht="30" customHeight="1">
      <c r="A4" s="137" t="s">
        <v>86</v>
      </c>
      <c r="B4" s="137"/>
      <c r="C4" s="137"/>
      <c r="D4" s="137"/>
      <c r="E4" s="137"/>
      <c r="F4" s="137"/>
      <c r="G4" s="137"/>
      <c r="H4" s="137"/>
      <c r="I4" s="137"/>
      <c r="J4" s="137"/>
      <c r="K4" s="137"/>
      <c r="L4" s="137"/>
      <c r="M4" s="137"/>
      <c r="N4" s="137"/>
      <c r="O4" s="137"/>
      <c r="P4" s="137"/>
      <c r="Q4" s="137"/>
      <c r="R4" s="137"/>
      <c r="S4" s="137"/>
    </row>
    <row r="5" spans="1:20" ht="30" customHeight="1" thickBot="1">
      <c r="A5" s="138" t="s">
        <v>214</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113" t="s">
        <v>75</v>
      </c>
      <c r="B8" s="145"/>
      <c r="C8" s="145"/>
      <c r="D8" s="145"/>
      <c r="E8" s="145"/>
      <c r="F8" s="145"/>
      <c r="G8" s="145"/>
      <c r="H8" s="145"/>
      <c r="I8" s="145"/>
      <c r="J8" s="145"/>
      <c r="K8" s="146" t="s">
        <v>76</v>
      </c>
      <c r="L8" s="145"/>
      <c r="M8" s="145"/>
      <c r="N8" s="145"/>
      <c r="O8" s="145"/>
      <c r="P8" s="145"/>
      <c r="Q8" s="145"/>
      <c r="R8" s="145"/>
      <c r="S8" s="147"/>
    </row>
    <row r="9" spans="1:20" ht="30.75" customHeight="1">
      <c r="A9" s="149" t="s">
        <v>219</v>
      </c>
      <c r="B9" s="150"/>
      <c r="C9" s="151"/>
      <c r="D9" s="152"/>
      <c r="E9" s="152"/>
      <c r="F9" s="152"/>
      <c r="G9" s="152"/>
      <c r="H9" s="152"/>
      <c r="I9" s="152"/>
      <c r="J9" s="153"/>
      <c r="K9" s="154" t="s">
        <v>215</v>
      </c>
      <c r="L9" s="150"/>
      <c r="M9" s="151"/>
      <c r="N9" s="152"/>
      <c r="O9" s="152"/>
      <c r="P9" s="152"/>
      <c r="Q9" s="152"/>
      <c r="R9" s="152"/>
      <c r="S9" s="155"/>
    </row>
    <row r="10" spans="1:20" ht="30.75" customHeight="1">
      <c r="A10" s="156" t="s">
        <v>220</v>
      </c>
      <c r="B10" s="157"/>
      <c r="C10" s="157"/>
      <c r="D10" s="132"/>
      <c r="E10" s="135"/>
      <c r="F10" s="135"/>
      <c r="G10" s="135"/>
      <c r="H10" s="135"/>
      <c r="I10" s="135"/>
      <c r="J10" s="158"/>
      <c r="K10" s="159" t="s">
        <v>216</v>
      </c>
      <c r="L10" s="157"/>
      <c r="M10" s="148"/>
      <c r="N10" s="135"/>
      <c r="O10" s="135"/>
      <c r="P10" s="135"/>
      <c r="Q10" s="135"/>
      <c r="R10" s="135"/>
      <c r="S10" s="136"/>
    </row>
    <row r="11" spans="1:20" ht="30.75" customHeight="1">
      <c r="A11" s="156" t="s">
        <v>221</v>
      </c>
      <c r="B11" s="157"/>
      <c r="C11" s="132"/>
      <c r="D11" s="132"/>
      <c r="E11" s="160" t="s">
        <v>78</v>
      </c>
      <c r="F11" s="157"/>
      <c r="G11" s="132"/>
      <c r="H11" s="135"/>
      <c r="I11" s="135"/>
      <c r="J11" s="158"/>
      <c r="K11" s="159" t="s">
        <v>217</v>
      </c>
      <c r="L11" s="157"/>
      <c r="M11" s="157"/>
      <c r="N11" s="148"/>
      <c r="O11" s="135"/>
      <c r="P11" s="135"/>
      <c r="Q11" s="135"/>
      <c r="R11" s="135"/>
      <c r="S11" s="136"/>
    </row>
    <row r="12" spans="1:20" ht="30.75" customHeight="1">
      <c r="A12" s="163" t="s">
        <v>222</v>
      </c>
      <c r="B12" s="164"/>
      <c r="C12" s="164"/>
      <c r="D12" s="164"/>
      <c r="E12" s="164"/>
      <c r="F12" s="164"/>
      <c r="G12" s="164"/>
      <c r="H12" s="164"/>
      <c r="I12" s="164"/>
      <c r="J12" s="165"/>
      <c r="K12" s="159" t="s">
        <v>218</v>
      </c>
      <c r="L12" s="157"/>
      <c r="M12" s="132"/>
      <c r="N12" s="135"/>
      <c r="O12" s="135"/>
      <c r="P12" s="166" t="s">
        <v>364</v>
      </c>
      <c r="Q12" s="157"/>
      <c r="R12" s="167"/>
      <c r="S12" s="168"/>
    </row>
    <row r="13" spans="1:20" ht="22.5" customHeight="1">
      <c r="A13" s="185"/>
      <c r="B13" s="186"/>
      <c r="C13" s="186"/>
      <c r="D13" s="186"/>
      <c r="E13" s="186"/>
      <c r="F13" s="186"/>
      <c r="G13" s="186"/>
      <c r="H13" s="189"/>
      <c r="I13" s="169"/>
      <c r="J13" s="191"/>
      <c r="K13" s="189"/>
      <c r="L13" s="186"/>
      <c r="M13" s="186"/>
      <c r="N13" s="186"/>
      <c r="O13" s="186"/>
      <c r="P13" s="186"/>
      <c r="Q13" s="189"/>
      <c r="R13" s="169"/>
      <c r="S13" s="170"/>
    </row>
    <row r="14" spans="1:20" ht="22.5" customHeight="1">
      <c r="A14" s="187"/>
      <c r="B14" s="188"/>
      <c r="C14" s="188"/>
      <c r="D14" s="188"/>
      <c r="E14" s="188"/>
      <c r="F14" s="188"/>
      <c r="G14" s="188"/>
      <c r="H14" s="189"/>
      <c r="I14" s="171"/>
      <c r="J14" s="192"/>
      <c r="K14" s="188"/>
      <c r="L14" s="188"/>
      <c r="M14" s="188"/>
      <c r="N14" s="188"/>
      <c r="O14" s="188"/>
      <c r="P14" s="188"/>
      <c r="Q14" s="189"/>
      <c r="R14" s="171"/>
      <c r="S14" s="172"/>
    </row>
    <row r="15" spans="1:20" ht="30" customHeight="1">
      <c r="A15" s="173" t="s">
        <v>79</v>
      </c>
      <c r="B15" s="174"/>
      <c r="C15" s="174"/>
      <c r="D15" s="174"/>
      <c r="E15" s="174"/>
      <c r="F15" s="174"/>
      <c r="G15" s="174"/>
      <c r="H15" s="190"/>
      <c r="I15" s="175" t="s">
        <v>2</v>
      </c>
      <c r="J15" s="176"/>
      <c r="K15" s="177" t="s">
        <v>79</v>
      </c>
      <c r="L15" s="178"/>
      <c r="M15" s="178"/>
      <c r="N15" s="178"/>
      <c r="O15" s="178"/>
      <c r="P15" s="178"/>
      <c r="Q15" s="190"/>
      <c r="R15" s="177" t="s">
        <v>2</v>
      </c>
      <c r="S15" s="179"/>
    </row>
    <row r="16" spans="1:20" ht="68.25" customHeight="1" thickBot="1">
      <c r="A16" s="180" t="s">
        <v>80</v>
      </c>
      <c r="B16" s="181"/>
      <c r="C16" s="181"/>
      <c r="D16" s="181"/>
      <c r="E16" s="181"/>
      <c r="F16" s="181"/>
      <c r="G16" s="181"/>
      <c r="H16" s="181"/>
      <c r="I16" s="181"/>
      <c r="J16" s="182"/>
      <c r="K16" s="183" t="s">
        <v>81</v>
      </c>
      <c r="L16" s="181"/>
      <c r="M16" s="181"/>
      <c r="N16" s="181"/>
      <c r="O16" s="181"/>
      <c r="P16" s="181"/>
      <c r="Q16" s="181"/>
      <c r="R16" s="181"/>
      <c r="S16" s="184"/>
    </row>
    <row r="17" spans="1:19" ht="15" customHeight="1">
      <c r="A17" s="161"/>
      <c r="B17" s="162"/>
      <c r="C17" s="162"/>
      <c r="D17" s="162"/>
      <c r="E17" s="162"/>
      <c r="F17" s="162"/>
      <c r="G17" s="162"/>
      <c r="H17" s="162"/>
      <c r="I17" s="162"/>
      <c r="J17" s="162"/>
      <c r="K17" s="162"/>
      <c r="L17" s="162"/>
      <c r="M17" s="162"/>
      <c r="N17" s="162"/>
      <c r="O17" s="162"/>
      <c r="P17" s="162"/>
      <c r="Q17" s="162"/>
      <c r="R17" s="162"/>
      <c r="S17" s="162"/>
    </row>
    <row r="18" spans="1:19" ht="15" customHeight="1">
      <c r="A18" s="161" t="s">
        <v>85</v>
      </c>
      <c r="B18" s="162"/>
      <c r="C18" s="162"/>
      <c r="D18" s="162"/>
      <c r="E18" s="162"/>
      <c r="F18" s="162"/>
      <c r="G18" s="162"/>
      <c r="H18" s="162"/>
      <c r="I18" s="162"/>
      <c r="J18" s="162"/>
      <c r="K18" s="162"/>
      <c r="L18" s="162"/>
      <c r="M18" s="162"/>
      <c r="N18" s="162"/>
      <c r="O18" s="162"/>
      <c r="P18" s="162"/>
      <c r="Q18" s="162"/>
      <c r="R18" s="162"/>
      <c r="S18" s="162"/>
    </row>
    <row r="19" spans="1:19" ht="15" customHeight="1">
      <c r="A19" s="161" t="s">
        <v>55</v>
      </c>
      <c r="B19" s="162"/>
      <c r="C19" s="162"/>
      <c r="D19" s="162"/>
      <c r="E19" s="162"/>
      <c r="F19" s="162"/>
      <c r="G19" s="162"/>
      <c r="H19" s="162"/>
      <c r="I19" s="162"/>
      <c r="J19" s="162"/>
      <c r="K19" s="162"/>
      <c r="L19" s="162"/>
      <c r="M19" s="162"/>
      <c r="N19" s="162"/>
      <c r="O19" s="162"/>
      <c r="P19" s="162"/>
      <c r="Q19" s="162"/>
      <c r="R19" s="162"/>
      <c r="S19" s="162"/>
    </row>
    <row r="20" spans="1:19" ht="15" customHeight="1">
      <c r="A20" s="161" t="s">
        <v>68</v>
      </c>
      <c r="B20" s="162"/>
      <c r="C20" s="162"/>
      <c r="D20" s="162"/>
      <c r="E20" s="162"/>
      <c r="F20" s="162"/>
      <c r="G20" s="162"/>
      <c r="H20" s="162"/>
      <c r="I20" s="162"/>
      <c r="J20" s="162"/>
      <c r="K20" s="162"/>
      <c r="L20" s="162"/>
      <c r="M20" s="162"/>
      <c r="N20" s="162"/>
      <c r="O20" s="162"/>
      <c r="P20" s="162"/>
      <c r="Q20" s="162"/>
      <c r="R20" s="162"/>
      <c r="S20" s="162"/>
    </row>
    <row r="21" spans="1:19" ht="15" customHeight="1">
      <c r="A21" s="161" t="s">
        <v>1</v>
      </c>
      <c r="B21" s="162"/>
      <c r="C21" s="162"/>
      <c r="D21" s="162"/>
      <c r="E21" s="162"/>
      <c r="F21" s="162"/>
      <c r="G21" s="162"/>
      <c r="H21" s="162"/>
      <c r="I21" s="162"/>
      <c r="J21" s="162"/>
      <c r="K21" s="162"/>
      <c r="L21" s="162"/>
      <c r="M21" s="162"/>
      <c r="N21" s="162"/>
      <c r="O21" s="162"/>
      <c r="P21" s="162"/>
      <c r="Q21" s="162"/>
      <c r="R21" s="162"/>
      <c r="S21" s="162"/>
    </row>
    <row r="22" spans="1:19" ht="15" customHeight="1">
      <c r="A22" s="161" t="s">
        <v>84</v>
      </c>
      <c r="B22" s="162"/>
      <c r="C22" s="162"/>
      <c r="D22" s="162"/>
      <c r="E22" s="162"/>
      <c r="F22" s="162"/>
      <c r="G22" s="162"/>
      <c r="H22" s="162"/>
      <c r="I22" s="162"/>
      <c r="J22" s="162"/>
      <c r="K22" s="162"/>
      <c r="L22" s="162"/>
      <c r="M22" s="162"/>
      <c r="N22" s="162"/>
      <c r="O22" s="162"/>
      <c r="P22" s="162"/>
      <c r="Q22" s="162"/>
      <c r="R22" s="162"/>
      <c r="S22" s="162"/>
    </row>
  </sheetData>
  <sheetProtection password="CD14" sheet="1" objects="1" scenarios="1" selectLockedCells="1"/>
  <mergeCells count="51">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 ref="A18:S18"/>
    <mergeCell ref="A19:S19"/>
    <mergeCell ref="A12:J12"/>
    <mergeCell ref="K12:L12"/>
    <mergeCell ref="M12:O12"/>
    <mergeCell ref="P12:Q12"/>
    <mergeCell ref="R12:S12"/>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9"/>
      <c r="B1" s="48" t="s">
        <v>241</v>
      </c>
      <c r="C1" s="48" t="s">
        <v>385</v>
      </c>
      <c r="D1" s="49" t="s">
        <v>240</v>
      </c>
    </row>
    <row r="2" spans="1:4">
      <c r="A2" s="45" t="s">
        <v>29</v>
      </c>
      <c r="B2" s="43" t="s">
        <v>59</v>
      </c>
      <c r="C2" s="50" t="s">
        <v>257</v>
      </c>
      <c r="D2" s="47" t="s">
        <v>224</v>
      </c>
    </row>
    <row r="3" spans="1:4">
      <c r="A3" s="45" t="s">
        <v>57</v>
      </c>
      <c r="B3" s="44" t="s">
        <v>58</v>
      </c>
      <c r="C3" s="50" t="s">
        <v>291</v>
      </c>
      <c r="D3" s="47" t="s">
        <v>228</v>
      </c>
    </row>
    <row r="4" spans="1:4">
      <c r="A4" s="45" t="s">
        <v>322</v>
      </c>
      <c r="B4" s="44" t="s">
        <v>359</v>
      </c>
      <c r="C4" s="50" t="s">
        <v>321</v>
      </c>
      <c r="D4" s="44" t="s">
        <v>231</v>
      </c>
    </row>
    <row r="5" spans="1:4">
      <c r="A5" s="45" t="s">
        <v>12</v>
      </c>
      <c r="B5" s="43" t="s">
        <v>13</v>
      </c>
      <c r="C5" s="50" t="s">
        <v>13</v>
      </c>
      <c r="D5" s="44" t="s">
        <v>238</v>
      </c>
    </row>
    <row r="6" spans="1:4">
      <c r="A6" s="45" t="s">
        <v>339</v>
      </c>
      <c r="B6" s="44" t="s">
        <v>349</v>
      </c>
      <c r="C6" s="50" t="s">
        <v>338</v>
      </c>
      <c r="D6" s="44" t="s">
        <v>333</v>
      </c>
    </row>
    <row r="7" spans="1:4">
      <c r="A7" s="45" t="s">
        <v>22</v>
      </c>
      <c r="B7" s="43" t="s">
        <v>23</v>
      </c>
      <c r="C7" s="50" t="s">
        <v>262</v>
      </c>
      <c r="D7" s="44" t="s">
        <v>225</v>
      </c>
    </row>
    <row r="8" spans="1:4" ht="13.5" customHeight="1">
      <c r="A8" s="45" t="s">
        <v>16</v>
      </c>
      <c r="B8" s="43" t="s">
        <v>74</v>
      </c>
      <c r="C8" s="50" t="s">
        <v>267</v>
      </c>
      <c r="D8" s="44" t="s">
        <v>225</v>
      </c>
    </row>
    <row r="9" spans="1:4" ht="13.5" customHeight="1">
      <c r="A9" s="45" t="s">
        <v>53</v>
      </c>
      <c r="B9" s="43" t="s">
        <v>54</v>
      </c>
      <c r="C9" s="50" t="s">
        <v>263</v>
      </c>
      <c r="D9" s="44" t="s">
        <v>225</v>
      </c>
    </row>
    <row r="10" spans="1:4">
      <c r="A10" s="45" t="s">
        <v>33</v>
      </c>
      <c r="B10" s="44" t="s">
        <v>0</v>
      </c>
      <c r="C10" s="44" t="s">
        <v>0</v>
      </c>
      <c r="D10" s="44" t="s">
        <v>232</v>
      </c>
    </row>
    <row r="11" spans="1:4">
      <c r="A11" s="45" t="s">
        <v>261</v>
      </c>
      <c r="B11" s="50" t="s">
        <v>260</v>
      </c>
      <c r="C11" s="50" t="s">
        <v>260</v>
      </c>
      <c r="D11" s="44" t="s">
        <v>225</v>
      </c>
    </row>
    <row r="12" spans="1:4">
      <c r="A12" s="45" t="s">
        <v>302</v>
      </c>
      <c r="B12" s="44" t="s">
        <v>372</v>
      </c>
      <c r="C12" s="50" t="s">
        <v>301</v>
      </c>
      <c r="D12" s="44" t="s">
        <v>225</v>
      </c>
    </row>
    <row r="13" spans="1:4">
      <c r="A13" s="45" t="s">
        <v>45</v>
      </c>
      <c r="B13" s="43" t="s">
        <v>386</v>
      </c>
      <c r="C13" s="50" t="s">
        <v>296</v>
      </c>
      <c r="D13" s="44" t="s">
        <v>225</v>
      </c>
    </row>
    <row r="14" spans="1:4">
      <c r="A14" s="45" t="s">
        <v>60</v>
      </c>
      <c r="B14" s="44" t="s">
        <v>300</v>
      </c>
      <c r="C14" s="50" t="s">
        <v>299</v>
      </c>
      <c r="D14" s="47" t="s">
        <v>239</v>
      </c>
    </row>
    <row r="15" spans="1:4">
      <c r="A15" s="45" t="s">
        <v>28</v>
      </c>
      <c r="B15" s="43" t="s">
        <v>237</v>
      </c>
      <c r="C15" s="50" t="s">
        <v>237</v>
      </c>
      <c r="D15" s="44" t="s">
        <v>225</v>
      </c>
    </row>
    <row r="16" spans="1:4">
      <c r="A16" s="45" t="s">
        <v>14</v>
      </c>
      <c r="B16" s="43" t="s">
        <v>373</v>
      </c>
      <c r="C16" s="50" t="s">
        <v>278</v>
      </c>
      <c r="D16" s="44" t="s">
        <v>225</v>
      </c>
    </row>
    <row r="17" spans="1:4">
      <c r="A17" s="45" t="s">
        <v>48</v>
      </c>
      <c r="B17" s="43" t="s">
        <v>242</v>
      </c>
      <c r="C17" s="50" t="s">
        <v>287</v>
      </c>
      <c r="D17" s="44" t="s">
        <v>225</v>
      </c>
    </row>
    <row r="18" spans="1:4">
      <c r="A18" s="45" t="s">
        <v>280</v>
      </c>
      <c r="B18" s="44" t="s">
        <v>346</v>
      </c>
      <c r="C18" s="50" t="s">
        <v>279</v>
      </c>
      <c r="D18" s="44" t="s">
        <v>225</v>
      </c>
    </row>
    <row r="19" spans="1:4">
      <c r="A19" s="45" t="s">
        <v>24</v>
      </c>
      <c r="B19" s="43" t="s">
        <v>243</v>
      </c>
      <c r="C19" s="50" t="s">
        <v>281</v>
      </c>
      <c r="D19" s="44" t="s">
        <v>225</v>
      </c>
    </row>
    <row r="20" spans="1:4">
      <c r="A20" s="45" t="s">
        <v>34</v>
      </c>
      <c r="B20" s="43" t="s">
        <v>387</v>
      </c>
      <c r="C20" s="50" t="s">
        <v>282</v>
      </c>
      <c r="D20" s="44" t="s">
        <v>225</v>
      </c>
    </row>
    <row r="21" spans="1:4">
      <c r="A21" s="45" t="s">
        <v>19</v>
      </c>
      <c r="B21" s="43" t="s">
        <v>290</v>
      </c>
      <c r="C21" s="50" t="s">
        <v>289</v>
      </c>
      <c r="D21" s="44" t="s">
        <v>225</v>
      </c>
    </row>
    <row r="22" spans="1:4">
      <c r="A22" s="45" t="s">
        <v>273</v>
      </c>
      <c r="B22" s="44" t="s">
        <v>345</v>
      </c>
      <c r="C22" s="50" t="s">
        <v>275</v>
      </c>
      <c r="D22" s="44" t="s">
        <v>225</v>
      </c>
    </row>
    <row r="23" spans="1:4">
      <c r="A23" s="45" t="s">
        <v>44</v>
      </c>
      <c r="B23" s="43" t="s">
        <v>374</v>
      </c>
      <c r="C23" s="50" t="s">
        <v>271</v>
      </c>
      <c r="D23" s="44" t="s">
        <v>225</v>
      </c>
    </row>
    <row r="24" spans="1:4">
      <c r="A24" s="45" t="s">
        <v>274</v>
      </c>
      <c r="B24" s="44" t="s">
        <v>344</v>
      </c>
      <c r="C24" s="50" t="s">
        <v>272</v>
      </c>
      <c r="D24" s="44" t="s">
        <v>225</v>
      </c>
    </row>
    <row r="25" spans="1:4">
      <c r="A25" s="45" t="s">
        <v>41</v>
      </c>
      <c r="B25" s="43" t="s">
        <v>388</v>
      </c>
      <c r="C25" s="50" t="s">
        <v>341</v>
      </c>
      <c r="D25" s="44" t="s">
        <v>225</v>
      </c>
    </row>
    <row r="26" spans="1:4">
      <c r="A26" s="45" t="s">
        <v>343</v>
      </c>
      <c r="B26" s="44" t="s">
        <v>379</v>
      </c>
      <c r="C26" s="50" t="s">
        <v>342</v>
      </c>
      <c r="D26" s="44" t="s">
        <v>225</v>
      </c>
    </row>
    <row r="27" spans="1:4">
      <c r="A27" s="45" t="s">
        <v>25</v>
      </c>
      <c r="B27" s="43" t="s">
        <v>26</v>
      </c>
      <c r="C27" s="50" t="s">
        <v>248</v>
      </c>
      <c r="D27" s="44" t="s">
        <v>225</v>
      </c>
    </row>
    <row r="28" spans="1:4">
      <c r="A28" s="45" t="s">
        <v>37</v>
      </c>
      <c r="B28" s="43" t="s">
        <v>38</v>
      </c>
      <c r="C28" s="50" t="s">
        <v>247</v>
      </c>
      <c r="D28" s="44" t="s">
        <v>225</v>
      </c>
    </row>
    <row r="29" spans="1:4">
      <c r="A29" s="45" t="s">
        <v>8</v>
      </c>
      <c r="B29" s="43" t="s">
        <v>9</v>
      </c>
      <c r="C29" s="50" t="s">
        <v>245</v>
      </c>
      <c r="D29" s="44" t="s">
        <v>225</v>
      </c>
    </row>
    <row r="30" spans="1:4">
      <c r="A30" s="45" t="s">
        <v>15</v>
      </c>
      <c r="B30" s="43" t="s">
        <v>253</v>
      </c>
      <c r="C30" s="50" t="s">
        <v>253</v>
      </c>
      <c r="D30" s="47" t="s">
        <v>227</v>
      </c>
    </row>
    <row r="31" spans="1:4">
      <c r="A31" s="45" t="s">
        <v>49</v>
      </c>
      <c r="B31" s="43" t="s">
        <v>50</v>
      </c>
      <c r="C31" s="50" t="s">
        <v>246</v>
      </c>
      <c r="D31" s="44" t="s">
        <v>225</v>
      </c>
    </row>
    <row r="32" spans="1:4">
      <c r="A32" s="45" t="s">
        <v>30</v>
      </c>
      <c r="B32" s="43" t="s">
        <v>384</v>
      </c>
      <c r="C32" s="50" t="s">
        <v>252</v>
      </c>
      <c r="D32" s="44" t="s">
        <v>225</v>
      </c>
    </row>
    <row r="33" spans="1:4">
      <c r="A33" s="45" t="s">
        <v>251</v>
      </c>
      <c r="B33" s="44" t="s">
        <v>250</v>
      </c>
      <c r="C33" s="50" t="s">
        <v>249</v>
      </c>
      <c r="D33" s="44" t="s">
        <v>225</v>
      </c>
    </row>
    <row r="34" spans="1:4">
      <c r="A34" s="45" t="s">
        <v>3</v>
      </c>
      <c r="B34" s="43" t="s">
        <v>4</v>
      </c>
      <c r="C34" s="50" t="s">
        <v>319</v>
      </c>
      <c r="D34" s="44" t="s">
        <v>225</v>
      </c>
    </row>
    <row r="35" spans="1:4">
      <c r="A35" s="45" t="s">
        <v>318</v>
      </c>
      <c r="B35" s="44" t="s">
        <v>353</v>
      </c>
      <c r="C35" s="50" t="s">
        <v>317</v>
      </c>
      <c r="D35" s="44" t="s">
        <v>225</v>
      </c>
    </row>
    <row r="36" spans="1:4">
      <c r="A36" s="45" t="s">
        <v>10</v>
      </c>
      <c r="B36" s="43" t="s">
        <v>11</v>
      </c>
      <c r="C36" s="50" t="s">
        <v>316</v>
      </c>
      <c r="D36" s="44" t="s">
        <v>225</v>
      </c>
    </row>
    <row r="37" spans="1:4">
      <c r="A37" s="45" t="s">
        <v>20</v>
      </c>
      <c r="B37" s="43" t="s">
        <v>21</v>
      </c>
      <c r="C37" s="50" t="s">
        <v>315</v>
      </c>
      <c r="D37" s="44" t="s">
        <v>225</v>
      </c>
    </row>
    <row r="38" spans="1:4">
      <c r="A38" s="45" t="s">
        <v>46</v>
      </c>
      <c r="B38" s="43" t="s">
        <v>47</v>
      </c>
      <c r="C38" s="50" t="s">
        <v>314</v>
      </c>
      <c r="D38" s="44" t="s">
        <v>225</v>
      </c>
    </row>
    <row r="39" spans="1:4">
      <c r="A39" s="45" t="s">
        <v>17</v>
      </c>
      <c r="B39" s="43" t="s">
        <v>18</v>
      </c>
      <c r="C39" s="50" t="s">
        <v>313</v>
      </c>
      <c r="D39" s="44" t="s">
        <v>225</v>
      </c>
    </row>
    <row r="40" spans="1:4">
      <c r="A40" s="45" t="s">
        <v>312</v>
      </c>
      <c r="B40" s="44" t="s">
        <v>354</v>
      </c>
      <c r="C40" s="50" t="s">
        <v>311</v>
      </c>
      <c r="D40" s="44" t="s">
        <v>225</v>
      </c>
    </row>
    <row r="41" spans="1:4">
      <c r="A41" s="45" t="s">
        <v>31</v>
      </c>
      <c r="B41" s="43" t="s">
        <v>32</v>
      </c>
      <c r="C41" s="50" t="s">
        <v>310</v>
      </c>
      <c r="D41" s="44" t="s">
        <v>225</v>
      </c>
    </row>
    <row r="42" spans="1:4">
      <c r="A42" s="45" t="s">
        <v>309</v>
      </c>
      <c r="B42" s="44" t="s">
        <v>355</v>
      </c>
      <c r="C42" s="50" t="s">
        <v>308</v>
      </c>
      <c r="D42" s="44" t="s">
        <v>225</v>
      </c>
    </row>
    <row r="43" spans="1:4">
      <c r="A43" s="45" t="s">
        <v>6</v>
      </c>
      <c r="B43" s="43" t="s">
        <v>7</v>
      </c>
      <c r="C43" s="50" t="s">
        <v>306</v>
      </c>
      <c r="D43" s="44" t="s">
        <v>225</v>
      </c>
    </row>
    <row r="44" spans="1:4">
      <c r="A44" s="45" t="s">
        <v>236</v>
      </c>
      <c r="B44" s="44" t="s">
        <v>235</v>
      </c>
      <c r="C44" s="50" t="s">
        <v>304</v>
      </c>
      <c r="D44" s="44" t="s">
        <v>225</v>
      </c>
    </row>
    <row r="45" spans="1:4">
      <c r="A45" s="45" t="s">
        <v>51</v>
      </c>
      <c r="B45" s="43" t="s">
        <v>52</v>
      </c>
      <c r="C45" s="50" t="s">
        <v>303</v>
      </c>
      <c r="D45" s="44" t="s">
        <v>225</v>
      </c>
    </row>
    <row r="46" spans="1:4">
      <c r="A46" s="45" t="s">
        <v>234</v>
      </c>
      <c r="B46" s="43" t="s">
        <v>233</v>
      </c>
      <c r="C46" s="50" t="s">
        <v>305</v>
      </c>
      <c r="D46" s="44" t="s">
        <v>225</v>
      </c>
    </row>
    <row r="47" spans="1:4">
      <c r="A47" s="45" t="s">
        <v>324</v>
      </c>
      <c r="B47" s="44" t="s">
        <v>360</v>
      </c>
      <c r="C47" s="50" t="s">
        <v>323</v>
      </c>
      <c r="D47" s="44" t="s">
        <v>325</v>
      </c>
    </row>
    <row r="48" spans="1:4">
      <c r="A48" s="45" t="s">
        <v>5</v>
      </c>
      <c r="B48" s="43" t="s">
        <v>229</v>
      </c>
      <c r="C48" s="50" t="s">
        <v>326</v>
      </c>
      <c r="D48" s="44" t="s">
        <v>226</v>
      </c>
    </row>
    <row r="49" spans="1:4">
      <c r="A49" s="44">
        <v>31505</v>
      </c>
      <c r="B49" s="44" t="s">
        <v>361</v>
      </c>
      <c r="C49" s="50" t="s">
        <v>327</v>
      </c>
      <c r="D49" s="44" t="s">
        <v>328</v>
      </c>
    </row>
    <row r="50" spans="1:4">
      <c r="A50" s="44">
        <v>31613</v>
      </c>
      <c r="B50" s="44" t="s">
        <v>362</v>
      </c>
      <c r="C50" s="50" t="s">
        <v>329</v>
      </c>
      <c r="D50" s="44" t="s">
        <v>226</v>
      </c>
    </row>
    <row r="51" spans="1:4">
      <c r="A51" s="45" t="s">
        <v>27</v>
      </c>
      <c r="B51" s="43" t="s">
        <v>363</v>
      </c>
      <c r="C51" s="50" t="s">
        <v>244</v>
      </c>
      <c r="D51" s="44" t="s">
        <v>226</v>
      </c>
    </row>
    <row r="52" spans="1:4">
      <c r="A52" s="44">
        <v>32106</v>
      </c>
      <c r="B52" s="44" t="s">
        <v>340</v>
      </c>
      <c r="C52" s="50" t="s">
        <v>340</v>
      </c>
      <c r="D52" s="44" t="s">
        <v>225</v>
      </c>
    </row>
    <row r="53" spans="1:4">
      <c r="A53" s="44">
        <v>32730</v>
      </c>
      <c r="B53" s="44" t="s">
        <v>352</v>
      </c>
      <c r="C53" s="50" t="s">
        <v>334</v>
      </c>
      <c r="D53" s="44" t="s">
        <v>225</v>
      </c>
    </row>
    <row r="54" spans="1:4">
      <c r="A54" s="45" t="s">
        <v>39</v>
      </c>
      <c r="B54" s="43" t="s">
        <v>40</v>
      </c>
      <c r="C54" s="43"/>
      <c r="D54" s="44" t="s">
        <v>225</v>
      </c>
    </row>
    <row r="55" spans="1:4">
      <c r="A55" s="44">
        <v>34469</v>
      </c>
      <c r="B55" s="44" t="s">
        <v>332</v>
      </c>
      <c r="C55" s="50" t="s">
        <v>332</v>
      </c>
      <c r="D55" s="44" t="s">
        <v>333</v>
      </c>
    </row>
    <row r="56" spans="1:4">
      <c r="A56" s="44">
        <v>34694</v>
      </c>
      <c r="B56" s="44" t="s">
        <v>351</v>
      </c>
      <c r="C56" s="50" t="s">
        <v>335</v>
      </c>
      <c r="D56" s="44" t="s">
        <v>225</v>
      </c>
    </row>
    <row r="57" spans="1:4">
      <c r="A57" s="44">
        <v>38260</v>
      </c>
      <c r="B57" s="44" t="s">
        <v>259</v>
      </c>
      <c r="C57" s="50" t="s">
        <v>258</v>
      </c>
      <c r="D57" s="44" t="s">
        <v>225</v>
      </c>
    </row>
    <row r="58" spans="1:4">
      <c r="A58" s="44">
        <v>50050</v>
      </c>
      <c r="B58" s="44" t="s">
        <v>230</v>
      </c>
      <c r="C58" s="50" t="s">
        <v>320</v>
      </c>
      <c r="D58" s="44" t="s">
        <v>231</v>
      </c>
    </row>
    <row r="59" spans="1:4">
      <c r="A59" s="45" t="s">
        <v>35</v>
      </c>
      <c r="B59" s="46" t="s">
        <v>375</v>
      </c>
      <c r="C59" s="50" t="s">
        <v>36</v>
      </c>
      <c r="D59" s="44" t="s">
        <v>225</v>
      </c>
    </row>
    <row r="60" spans="1:4">
      <c r="A60" s="44">
        <v>70295</v>
      </c>
      <c r="B60" s="44" t="s">
        <v>389</v>
      </c>
      <c r="C60" s="50" t="s">
        <v>298</v>
      </c>
      <c r="D60" s="44" t="s">
        <v>225</v>
      </c>
    </row>
    <row r="61" spans="1:4">
      <c r="A61" s="45">
        <v>70300</v>
      </c>
      <c r="B61" s="43" t="s">
        <v>389</v>
      </c>
      <c r="C61" s="50" t="s">
        <v>297</v>
      </c>
      <c r="D61" s="44" t="s">
        <v>225</v>
      </c>
    </row>
    <row r="62" spans="1:4">
      <c r="A62" s="44">
        <v>70318</v>
      </c>
      <c r="B62" s="44" t="s">
        <v>348</v>
      </c>
      <c r="C62" s="50" t="s">
        <v>292</v>
      </c>
      <c r="D62" s="44" t="s">
        <v>293</v>
      </c>
    </row>
    <row r="63" spans="1:4">
      <c r="A63" s="44">
        <v>71880</v>
      </c>
      <c r="B63" s="44" t="s">
        <v>336</v>
      </c>
      <c r="C63" s="50" t="s">
        <v>336</v>
      </c>
      <c r="D63" s="44" t="s">
        <v>225</v>
      </c>
    </row>
    <row r="64" spans="1:4">
      <c r="A64" s="45" t="s">
        <v>42</v>
      </c>
      <c r="B64" s="43" t="s">
        <v>43</v>
      </c>
      <c r="C64" s="50" t="s">
        <v>307</v>
      </c>
      <c r="D64" s="44" t="s">
        <v>225</v>
      </c>
    </row>
    <row r="65" spans="1:4">
      <c r="A65" s="44">
        <v>78732</v>
      </c>
      <c r="B65" s="44" t="s">
        <v>390</v>
      </c>
      <c r="C65" s="50" t="s">
        <v>330</v>
      </c>
      <c r="D65" s="44" t="s">
        <v>331</v>
      </c>
    </row>
    <row r="66" spans="1:4">
      <c r="A66" s="44">
        <v>80082</v>
      </c>
      <c r="B66" s="44" t="s">
        <v>391</v>
      </c>
      <c r="C66" s="50" t="s">
        <v>264</v>
      </c>
      <c r="D66" s="44" t="s">
        <v>225</v>
      </c>
    </row>
    <row r="67" spans="1:4">
      <c r="A67" s="44">
        <v>81639</v>
      </c>
      <c r="B67" s="44" t="s">
        <v>387</v>
      </c>
      <c r="C67" s="50" t="s">
        <v>283</v>
      </c>
      <c r="D67" s="44" t="s">
        <v>284</v>
      </c>
    </row>
    <row r="68" spans="1:4">
      <c r="A68" s="44">
        <v>81688</v>
      </c>
      <c r="B68" s="44" t="s">
        <v>350</v>
      </c>
      <c r="C68" s="50" t="s">
        <v>337</v>
      </c>
      <c r="D68" s="44" t="s">
        <v>333</v>
      </c>
    </row>
    <row r="69" spans="1:4">
      <c r="A69" s="44">
        <v>82385</v>
      </c>
      <c r="B69" s="44" t="s">
        <v>347</v>
      </c>
      <c r="C69" s="50" t="s">
        <v>288</v>
      </c>
      <c r="D69" s="44" t="s">
        <v>225</v>
      </c>
    </row>
    <row r="70" spans="1:4">
      <c r="A70" s="44">
        <v>82546</v>
      </c>
      <c r="B70" s="44" t="s">
        <v>255</v>
      </c>
      <c r="C70" s="50" t="s">
        <v>254</v>
      </c>
      <c r="D70" s="44" t="s">
        <v>256</v>
      </c>
    </row>
    <row r="71" spans="1:4">
      <c r="A71" s="44" t="s">
        <v>266</v>
      </c>
      <c r="B71" s="44" t="s">
        <v>357</v>
      </c>
      <c r="C71" s="50" t="s">
        <v>265</v>
      </c>
      <c r="D71" s="44" t="s">
        <v>225</v>
      </c>
    </row>
    <row r="72" spans="1:4">
      <c r="A72" s="44" t="s">
        <v>295</v>
      </c>
      <c r="B72" s="44" t="s">
        <v>358</v>
      </c>
      <c r="C72" s="50" t="s">
        <v>294</v>
      </c>
      <c r="D72" s="44" t="s">
        <v>225</v>
      </c>
    </row>
    <row r="73" spans="1:4">
      <c r="A73" s="44" t="s">
        <v>277</v>
      </c>
      <c r="B73" s="44" t="s">
        <v>380</v>
      </c>
      <c r="C73" s="50" t="s">
        <v>276</v>
      </c>
      <c r="D73" s="44" t="s">
        <v>225</v>
      </c>
    </row>
    <row r="74" spans="1:4">
      <c r="A74" s="44" t="s">
        <v>286</v>
      </c>
      <c r="B74" s="44" t="s">
        <v>356</v>
      </c>
      <c r="C74" s="50" t="s">
        <v>285</v>
      </c>
      <c r="D74" s="44" t="s">
        <v>225</v>
      </c>
    </row>
    <row r="75" spans="1:4">
      <c r="A75" s="44" t="s">
        <v>270</v>
      </c>
      <c r="B75" s="44" t="s">
        <v>381</v>
      </c>
      <c r="C75" s="50" t="s">
        <v>269</v>
      </c>
      <c r="D75" s="44" t="s">
        <v>225</v>
      </c>
    </row>
    <row r="76" spans="1:4">
      <c r="A76" s="45" t="s">
        <v>56</v>
      </c>
      <c r="B76" s="44" t="s">
        <v>392</v>
      </c>
      <c r="C76" s="50" t="s">
        <v>268</v>
      </c>
      <c r="D76" s="44"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393</v>
      </c>
      <c r="F2" s="10" t="s">
        <v>371</v>
      </c>
    </row>
    <row r="3" spans="1:6">
      <c r="A3" s="10" t="s">
        <v>188</v>
      </c>
      <c r="B3" s="10" t="s">
        <v>88</v>
      </c>
      <c r="C3" s="10">
        <f>1+C2</f>
        <v>2012</v>
      </c>
      <c r="D3" s="11" t="s">
        <v>200</v>
      </c>
      <c r="E3" s="10" t="s">
        <v>366</v>
      </c>
      <c r="F3" s="10" t="s">
        <v>368</v>
      </c>
    </row>
    <row r="4" spans="1:6">
      <c r="A4" s="10" t="s">
        <v>189</v>
      </c>
      <c r="B4" s="10" t="s">
        <v>89</v>
      </c>
      <c r="C4" s="10">
        <f t="shared" ref="C4:C21" si="0">1+C3</f>
        <v>2013</v>
      </c>
      <c r="D4" s="11" t="s">
        <v>201</v>
      </c>
      <c r="E4" s="10" t="s">
        <v>367</v>
      </c>
    </row>
    <row r="5" spans="1:6">
      <c r="A5" s="10" t="s">
        <v>190</v>
      </c>
      <c r="B5" s="10" t="s">
        <v>90</v>
      </c>
      <c r="C5" s="10">
        <f t="shared" si="0"/>
        <v>2014</v>
      </c>
      <c r="D5" s="11" t="s">
        <v>202</v>
      </c>
      <c r="E5" s="10" t="s">
        <v>368</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2011-09-30T15:41:28Z</dcterms:modified>
</cp:coreProperties>
</file>