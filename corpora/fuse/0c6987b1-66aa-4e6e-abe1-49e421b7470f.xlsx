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96" windowWidth="19416" windowHeight="9204"/>
  </bookViews>
  <sheets>
    <sheet name="Weekly Menu 6-8 (2)" sheetId="4" r:id="rId1"/>
    <sheet name="Sheet1" sheetId="1" r:id="rId2"/>
    <sheet name="Sheet2" sheetId="2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N6" i="4" l="1"/>
  <c r="P6" i="4" s="1"/>
  <c r="Q6" i="4" s="1"/>
  <c r="D7" i="4"/>
  <c r="F7" i="4"/>
  <c r="H7" i="4"/>
  <c r="J7" i="4"/>
  <c r="L7" i="4"/>
  <c r="N9" i="4"/>
  <c r="P9" i="4"/>
  <c r="Q9" i="4" s="1"/>
  <c r="N10" i="4"/>
  <c r="P10" i="4"/>
  <c r="Q10" i="4"/>
  <c r="N11" i="4"/>
  <c r="P11" i="4"/>
  <c r="Q11" i="4"/>
  <c r="N12" i="4"/>
  <c r="N18" i="4" s="1"/>
  <c r="P18" i="4" s="1"/>
  <c r="Q18" i="4" s="1"/>
  <c r="N13" i="4"/>
  <c r="P13" i="4"/>
  <c r="Q13" i="4" s="1"/>
  <c r="D18" i="4"/>
  <c r="F18" i="4"/>
  <c r="H18" i="4"/>
  <c r="J18" i="4"/>
  <c r="L18" i="4"/>
  <c r="N21" i="4"/>
  <c r="Q21" i="4"/>
  <c r="N22" i="4"/>
  <c r="Q22" i="4" s="1"/>
  <c r="N24" i="4"/>
  <c r="Q24" i="4"/>
  <c r="N26" i="4"/>
  <c r="Q26" i="4" s="1"/>
  <c r="P12" i="4" l="1"/>
  <c r="Q12" i="4" s="1"/>
</calcChain>
</file>

<file path=xl/sharedStrings.xml><?xml version="1.0" encoding="utf-8"?>
<sst xmlns="http://schemas.openxmlformats.org/spreadsheetml/2006/main" count="87" uniqueCount="48">
  <si>
    <t>Offer 1 cup/day</t>
  </si>
  <si>
    <t>Non-fat (flavored or unflavored) or 1% unflavored</t>
  </si>
  <si>
    <t>cup</t>
  </si>
  <si>
    <t>MILK</t>
  </si>
  <si>
    <t>oz</t>
  </si>
  <si>
    <t>MEAT / MEAT ALT.</t>
  </si>
  <si>
    <t>Half of all grains must be whole grain</t>
  </si>
  <si>
    <t>List only WGR</t>
  </si>
  <si>
    <t>Grains (list all WGR and non-WGR)</t>
  </si>
  <si>
    <t>GRAINS &amp; BREADS</t>
  </si>
  <si>
    <t xml:space="preserve">Required Totals (for the week) </t>
  </si>
  <si>
    <t>Actual Totals</t>
  </si>
  <si>
    <t>oz. eq.</t>
  </si>
  <si>
    <t>Item</t>
  </si>
  <si>
    <t>New Meal Pattern</t>
  </si>
  <si>
    <t>Component</t>
  </si>
  <si>
    <t>Daily Requirement</t>
  </si>
  <si>
    <t>VEG TOTALS (for each day)</t>
  </si>
  <si>
    <t>½ cup of other</t>
  </si>
  <si>
    <t xml:space="preserve">Required weekly vegetable sub-groups adds up to 2¾c; weekly total of all vegs is 3¾c </t>
  </si>
  <si>
    <t>½ cup of starchy</t>
  </si>
  <si>
    <t>½ cup of legumes</t>
  </si>
  <si>
    <t>¾ cup of red/orange</t>
  </si>
  <si>
    <t>½ cup dark green</t>
  </si>
  <si>
    <t>VEGETABLES - ¾ cup of vegs/day</t>
  </si>
  <si>
    <t xml:space="preserve"> </t>
  </si>
  <si>
    <t>VEGETABLE</t>
  </si>
  <si>
    <t>Fruit Totals (for each day</t>
  </si>
  <si>
    <t>½ cup of Fruit</t>
  </si>
  <si>
    <t>FRUIT</t>
  </si>
  <si>
    <t>cups</t>
  </si>
  <si>
    <t>RESULTS</t>
  </si>
  <si>
    <t>Quantity difference (actual vs required)</t>
  </si>
  <si>
    <r>
      <t xml:space="preserve">Required Totals </t>
    </r>
    <r>
      <rPr>
        <sz val="10"/>
        <color theme="1"/>
        <rFont val="Calibri"/>
        <family val="2"/>
        <scheme val="minor"/>
      </rPr>
      <t>(for the week)</t>
    </r>
  </si>
  <si>
    <t>Friday</t>
  </si>
  <si>
    <t>Thursday</t>
  </si>
  <si>
    <t>Wednesday</t>
  </si>
  <si>
    <t>Tuesday</t>
  </si>
  <si>
    <t>Monday</t>
  </si>
  <si>
    <t>Weekly Results/Totals</t>
  </si>
  <si>
    <t>List food from menu that fit into each category</t>
  </si>
  <si>
    <t>COMMENTS/                   RESULTS</t>
  </si>
  <si>
    <t>Age/grade:                 6-8</t>
  </si>
  <si>
    <t>Date:</t>
  </si>
  <si>
    <t>9-10 per week (minimum of 1 oz per day)</t>
  </si>
  <si>
    <t>Minimum of 1 oz per day</t>
  </si>
  <si>
    <t>8-10 (1 oz. eq. per day minimum)</t>
  </si>
  <si>
    <t>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</si>
</sst>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1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</xf>
    <xf numFmtId="12" fontId="1" fillId="0" borderId="1" xfId="0" applyNumberFormat="1" applyFont="1" applyBorder="1" applyAlignment="1" applyProtection="1">
      <alignment horizontal="center" vertical="center" wrapText="1"/>
    </xf>
    <xf numFmtId="12" fontId="1" fillId="0" borderId="1" xfId="0" applyNumberFormat="1" applyFont="1" applyBorder="1" applyAlignment="1" applyProtection="1">
      <alignment horizontal="center" vertical="top" wrapText="1"/>
      <protection locked="0"/>
    </xf>
    <xf numFmtId="0" fontId="1" fillId="0" borderId="4" xfId="0" applyFont="1" applyBorder="1" applyAlignment="1" applyProtection="1">
      <alignment vertical="top" wrapText="1"/>
    </xf>
    <xf numFmtId="0" fontId="2" fillId="2" borderId="5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7" xfId="0" applyFont="1" applyFill="1" applyBorder="1" applyAlignment="1" applyProtection="1">
      <alignment horizontal="left" vertical="top" wrapText="1"/>
    </xf>
    <xf numFmtId="0" fontId="2" fillId="3" borderId="5" xfId="0" applyFont="1" applyFill="1" applyBorder="1" applyAlignment="1" applyProtection="1">
      <alignment horizontal="left" vertical="top" wrapText="1"/>
    </xf>
    <xf numFmtId="0" fontId="2" fillId="3" borderId="6" xfId="0" applyFont="1" applyFill="1" applyBorder="1" applyAlignment="1" applyProtection="1">
      <alignment horizontal="left" vertical="top" wrapText="1"/>
    </xf>
    <xf numFmtId="0" fontId="2" fillId="3" borderId="6" xfId="0" applyFont="1" applyFill="1" applyBorder="1" applyAlignment="1" applyProtection="1">
      <alignment horizontal="center" vertical="top" wrapText="1"/>
    </xf>
    <xf numFmtId="0" fontId="2" fillId="3" borderId="7" xfId="0" applyFont="1" applyFill="1" applyBorder="1" applyAlignment="1" applyProtection="1">
      <alignment horizontal="left" vertical="top" wrapText="1"/>
    </xf>
    <xf numFmtId="16" fontId="1" fillId="0" borderId="3" xfId="0" applyNumberFormat="1" applyFont="1" applyBorder="1" applyAlignment="1" applyProtection="1">
      <alignment horizontal="center" vertical="top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top" wrapText="1"/>
      <protection locked="0"/>
    </xf>
    <xf numFmtId="12" fontId="1" fillId="0" borderId="8" xfId="0" applyNumberFormat="1" applyFont="1" applyBorder="1" applyAlignment="1" applyProtection="1">
      <alignment horizontal="center" vertical="top" wrapText="1"/>
      <protection locked="0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vertical="top" wrapText="1"/>
    </xf>
    <xf numFmtId="16" fontId="1" fillId="0" borderId="1" xfId="0" applyNumberFormat="1" applyFont="1" applyBorder="1" applyAlignment="1" applyProtection="1">
      <alignment horizontal="center" vertical="top" wrapText="1"/>
    </xf>
    <xf numFmtId="0" fontId="1" fillId="5" borderId="1" xfId="0" applyFont="1" applyFill="1" applyBorder="1" applyAlignment="1" applyProtection="1">
      <alignment horizontal="center" vertical="center" wrapText="1"/>
    </xf>
    <xf numFmtId="12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12" fontId="1" fillId="6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top" wrapText="1"/>
    </xf>
    <xf numFmtId="0" fontId="1" fillId="0" borderId="10" xfId="0" applyFont="1" applyBorder="1" applyAlignment="1" applyProtection="1">
      <alignment horizontal="center" vertical="center" wrapText="1"/>
    </xf>
    <xf numFmtId="12" fontId="1" fillId="0" borderId="10" xfId="0" applyNumberFormat="1" applyFont="1" applyFill="1" applyBorder="1" applyAlignment="1" applyProtection="1">
      <alignment horizontal="center" vertical="center" wrapText="1"/>
    </xf>
    <xf numFmtId="12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2" fontId="1" fillId="7" borderId="11" xfId="0" applyNumberFormat="1" applyFont="1" applyFill="1" applyBorder="1" applyAlignment="1" applyProtection="1">
      <alignment horizontal="center" vertical="center" wrapText="1"/>
    </xf>
    <xf numFmtId="0" fontId="1" fillId="7" borderId="11" xfId="0" applyFont="1" applyFill="1" applyBorder="1" applyAlignment="1" applyProtection="1">
      <alignment horizontal="center" vertical="top" wrapText="1"/>
    </xf>
    <xf numFmtId="0" fontId="1" fillId="7" borderId="12" xfId="0" applyFont="1" applyFill="1" applyBorder="1" applyAlignment="1" applyProtection="1">
      <alignment vertical="top" wrapText="1"/>
    </xf>
    <xf numFmtId="12" fontId="1" fillId="0" borderId="10" xfId="0" applyNumberFormat="1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2" fontId="1" fillId="0" borderId="3" xfId="0" applyNumberFormat="1" applyFont="1" applyFill="1" applyBorder="1" applyAlignment="1" applyProtection="1">
      <alignment horizontal="center" vertical="center" wrapText="1"/>
    </xf>
    <xf numFmtId="0" fontId="1" fillId="8" borderId="1" xfId="0" applyFont="1" applyFill="1" applyBorder="1" applyAlignment="1" applyProtection="1">
      <alignment horizontal="center" vertical="top" wrapText="1"/>
    </xf>
    <xf numFmtId="0" fontId="1" fillId="0" borderId="13" xfId="0" applyFont="1" applyBorder="1" applyAlignment="1" applyProtection="1">
      <alignment horizontal="center" vertical="center" wrapText="1"/>
    </xf>
    <xf numFmtId="12" fontId="1" fillId="0" borderId="20" xfId="0" applyNumberFormat="1" applyFont="1" applyFill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top" wrapText="1"/>
    </xf>
    <xf numFmtId="0" fontId="3" fillId="7" borderId="24" xfId="0" applyFont="1" applyFill="1" applyBorder="1" applyAlignment="1" applyProtection="1">
      <alignment vertical="top" wrapText="1"/>
      <protection locked="0"/>
    </xf>
    <xf numFmtId="0" fontId="0" fillId="0" borderId="0" xfId="0" applyAlignment="1" applyProtection="1">
      <alignment vertical="center"/>
      <protection locked="0"/>
    </xf>
    <xf numFmtId="0" fontId="1" fillId="9" borderId="1" xfId="0" applyFont="1" applyFill="1" applyBorder="1" applyAlignment="1" applyProtection="1">
      <alignment horizontal="center" vertical="center" wrapText="1"/>
    </xf>
    <xf numFmtId="0" fontId="1" fillId="9" borderId="17" xfId="0" applyFont="1" applyFill="1" applyBorder="1" applyAlignment="1" applyProtection="1">
      <alignment vertical="center" wrapText="1"/>
    </xf>
    <xf numFmtId="12" fontId="1" fillId="0" borderId="14" xfId="0" applyNumberFormat="1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vertical="center" wrapText="1"/>
      <protection locked="0"/>
    </xf>
    <xf numFmtId="0" fontId="3" fillId="0" borderId="18" xfId="0" applyFont="1" applyBorder="1" applyAlignment="1" applyProtection="1">
      <alignment horizontal="left" vertical="top" wrapText="1"/>
    </xf>
    <xf numFmtId="0" fontId="1" fillId="0" borderId="14" xfId="0" applyFont="1" applyBorder="1" applyAlignment="1" applyProtection="1">
      <alignment horizontal="center" vertical="center" wrapText="1"/>
    </xf>
    <xf numFmtId="12" fontId="1" fillId="0" borderId="10" xfId="0" applyNumberFormat="1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left" vertical="top" wrapText="1"/>
    </xf>
    <xf numFmtId="0" fontId="1" fillId="0" borderId="29" xfId="0" applyFont="1" applyBorder="1" applyAlignment="1" applyProtection="1">
      <alignment horizontal="center" vertical="center" wrapText="1"/>
    </xf>
    <xf numFmtId="0" fontId="1" fillId="0" borderId="32" xfId="0" applyFont="1" applyBorder="1" applyAlignment="1" applyProtection="1">
      <alignment horizontal="center" vertical="top" wrapText="1"/>
    </xf>
    <xf numFmtId="0" fontId="3" fillId="0" borderId="34" xfId="0" applyFont="1" applyBorder="1" applyAlignment="1" applyProtection="1">
      <alignment horizontal="left" vertical="top" wrapText="1"/>
      <protection locked="0"/>
    </xf>
    <xf numFmtId="0" fontId="1" fillId="0" borderId="35" xfId="0" applyFont="1" applyBorder="1" applyAlignment="1" applyProtection="1">
      <alignment horizontal="center" vertical="top" wrapText="1"/>
      <protection locked="0"/>
    </xf>
    <xf numFmtId="0" fontId="3" fillId="0" borderId="36" xfId="0" applyFont="1" applyBorder="1" applyAlignment="1" applyProtection="1">
      <alignment horizontal="left" vertical="top" wrapText="1"/>
      <protection locked="0"/>
    </xf>
    <xf numFmtId="0" fontId="3" fillId="0" borderId="37" xfId="0" applyFont="1" applyBorder="1" applyAlignment="1" applyProtection="1">
      <alignment vertical="top" wrapText="1"/>
      <protection locked="0"/>
    </xf>
    <xf numFmtId="12" fontId="1" fillId="9" borderId="1" xfId="0" applyNumberFormat="1" applyFont="1" applyFill="1" applyBorder="1" applyAlignment="1" applyProtection="1">
      <alignment horizontal="center" vertical="center" wrapText="1"/>
    </xf>
    <xf numFmtId="0" fontId="3" fillId="9" borderId="24" xfId="0" applyFont="1" applyFill="1" applyBorder="1" applyAlignment="1" applyProtection="1">
      <alignment vertical="top" wrapText="1"/>
    </xf>
    <xf numFmtId="0" fontId="3" fillId="0" borderId="36" xfId="0" applyFont="1" applyBorder="1" applyAlignment="1" applyProtection="1">
      <alignment horizontal="center" vertical="top" wrapText="1"/>
      <protection locked="0"/>
    </xf>
    <xf numFmtId="0" fontId="1" fillId="0" borderId="36" xfId="0" applyFont="1" applyBorder="1" applyAlignment="1" applyProtection="1">
      <alignment horizontal="center" vertical="top" wrapText="1"/>
      <protection locked="0"/>
    </xf>
    <xf numFmtId="0" fontId="1" fillId="0" borderId="33" xfId="0" applyFont="1" applyBorder="1" applyAlignment="1" applyProtection="1">
      <alignment vertical="top" wrapText="1"/>
    </xf>
    <xf numFmtId="0" fontId="0" fillId="0" borderId="32" xfId="0" applyBorder="1" applyAlignment="1" applyProtection="1">
      <alignment vertical="top" wrapText="1"/>
    </xf>
    <xf numFmtId="0" fontId="1" fillId="0" borderId="32" xfId="0" applyFont="1" applyBorder="1" applyAlignment="1" applyProtection="1">
      <alignment horizontal="center" vertical="top" wrapText="1"/>
    </xf>
    <xf numFmtId="0" fontId="1" fillId="0" borderId="31" xfId="0" applyFont="1" applyBorder="1" applyAlignment="1" applyProtection="1">
      <alignment horizontal="center" vertical="top" wrapText="1"/>
    </xf>
    <xf numFmtId="0" fontId="1" fillId="0" borderId="19" xfId="0" applyFont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30" xfId="0" applyFont="1" applyBorder="1" applyAlignment="1" applyProtection="1">
      <alignment horizontal="center" vertical="center" wrapText="1"/>
    </xf>
    <xf numFmtId="0" fontId="3" fillId="0" borderId="10" xfId="0" applyFont="1" applyBorder="1" applyAlignment="1" applyProtection="1">
      <alignment horizontal="center" vertical="center" wrapText="1"/>
    </xf>
    <xf numFmtId="0" fontId="3" fillId="0" borderId="14" xfId="0" applyFont="1" applyBorder="1" applyAlignment="1" applyProtection="1">
      <alignment horizontal="center" vertical="center" wrapText="1"/>
    </xf>
    <xf numFmtId="0" fontId="3" fillId="0" borderId="10" xfId="0" applyFont="1" applyBorder="1" applyAlignment="1" applyProtection="1">
      <alignment horizontal="center" vertical="top" wrapText="1"/>
    </xf>
    <xf numFmtId="0" fontId="3" fillId="0" borderId="14" xfId="0" applyFont="1" applyBorder="1" applyAlignment="1" applyProtection="1">
      <alignment horizontal="center" vertical="top" wrapText="1"/>
    </xf>
    <xf numFmtId="0" fontId="1" fillId="9" borderId="23" xfId="0" applyFont="1" applyFill="1" applyBorder="1" applyAlignment="1" applyProtection="1">
      <alignment horizontal="center" vertical="top" wrapText="1"/>
    </xf>
    <xf numFmtId="0" fontId="1" fillId="9" borderId="22" xfId="0" applyFont="1" applyFill="1" applyBorder="1" applyAlignment="1" applyProtection="1">
      <alignment horizontal="center" vertical="top" wrapText="1"/>
    </xf>
    <xf numFmtId="0" fontId="1" fillId="9" borderId="21" xfId="0" applyFont="1" applyFill="1" applyBorder="1" applyAlignment="1" applyProtection="1">
      <alignment horizontal="center" vertical="top" wrapText="1"/>
    </xf>
    <xf numFmtId="12" fontId="1" fillId="0" borderId="28" xfId="0" applyNumberFormat="1" applyFont="1" applyBorder="1" applyAlignment="1" applyProtection="1">
      <alignment horizontal="center" vertical="center" wrapText="1"/>
    </xf>
    <xf numFmtId="12" fontId="1" fillId="0" borderId="26" xfId="0" applyNumberFormat="1" applyFont="1" applyBorder="1" applyAlignment="1" applyProtection="1">
      <alignment horizontal="center" vertical="center" wrapText="1"/>
    </xf>
    <xf numFmtId="12" fontId="1" fillId="0" borderId="28" xfId="0" applyNumberFormat="1" applyFont="1" applyFill="1" applyBorder="1" applyAlignment="1" applyProtection="1">
      <alignment horizontal="center" vertical="center" wrapText="1"/>
    </xf>
    <xf numFmtId="12" fontId="1" fillId="0" borderId="26" xfId="0" applyNumberFormat="1" applyFont="1" applyFill="1" applyBorder="1" applyAlignment="1" applyProtection="1">
      <alignment horizontal="center" vertical="center" wrapText="1"/>
    </xf>
    <xf numFmtId="0" fontId="1" fillId="0" borderId="27" xfId="0" applyFont="1" applyBorder="1" applyAlignment="1" applyProtection="1">
      <alignment horizontal="center" vertical="center" wrapText="1"/>
    </xf>
    <xf numFmtId="0" fontId="1" fillId="0" borderId="25" xfId="0" applyFont="1" applyBorder="1" applyAlignment="1" applyProtection="1">
      <alignment horizontal="center" vertical="center" wrapText="1"/>
    </xf>
    <xf numFmtId="0" fontId="2" fillId="4" borderId="7" xfId="0" applyFont="1" applyFill="1" applyBorder="1" applyAlignment="1" applyProtection="1">
      <alignment horizontal="left" vertical="top" wrapText="1"/>
    </xf>
    <xf numFmtId="0" fontId="2" fillId="4" borderId="6" xfId="0" applyFont="1" applyFill="1" applyBorder="1" applyAlignment="1" applyProtection="1">
      <alignment horizontal="left" vertical="top" wrapText="1"/>
    </xf>
    <xf numFmtId="0" fontId="2" fillId="4" borderId="5" xfId="0" applyFont="1" applyFill="1" applyBorder="1" applyAlignment="1" applyProtection="1">
      <alignment horizontal="left" vertical="top" wrapText="1"/>
    </xf>
    <xf numFmtId="0" fontId="1" fillId="7" borderId="23" xfId="0" applyFont="1" applyFill="1" applyBorder="1" applyAlignment="1" applyProtection="1">
      <alignment horizontal="center" vertical="top" wrapText="1"/>
    </xf>
    <xf numFmtId="0" fontId="1" fillId="7" borderId="22" xfId="0" applyFont="1" applyFill="1" applyBorder="1" applyAlignment="1" applyProtection="1">
      <alignment horizontal="center" vertical="top" wrapText="1"/>
    </xf>
    <xf numFmtId="0" fontId="1" fillId="7" borderId="0" xfId="0" applyFont="1" applyFill="1" applyBorder="1" applyAlignment="1" applyProtection="1">
      <alignment horizontal="center" vertical="top" wrapText="1"/>
    </xf>
    <xf numFmtId="0" fontId="1" fillId="7" borderId="21" xfId="0" applyFont="1" applyFill="1" applyBorder="1" applyAlignment="1" applyProtection="1">
      <alignment horizontal="center" vertical="top" wrapText="1"/>
    </xf>
    <xf numFmtId="0" fontId="1" fillId="0" borderId="15" xfId="0" applyFont="1" applyBorder="1" applyAlignment="1" applyProtection="1">
      <alignment horizontal="center" vertical="center" wrapText="1"/>
    </xf>
    <xf numFmtId="12" fontId="1" fillId="0" borderId="10" xfId="0" applyNumberFormat="1" applyFont="1" applyBorder="1" applyAlignment="1" applyProtection="1">
      <alignment horizontal="center" vertical="center" wrapText="1"/>
    </xf>
    <xf numFmtId="12" fontId="1" fillId="0" borderId="14" xfId="0" applyNumberFormat="1" applyFont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</xf>
    <xf numFmtId="12" fontId="1" fillId="0" borderId="10" xfId="0" applyNumberFormat="1" applyFont="1" applyFill="1" applyBorder="1" applyAlignment="1" applyProtection="1">
      <alignment horizontal="center" vertical="center" wrapText="1"/>
    </xf>
    <xf numFmtId="12" fontId="1" fillId="0" borderId="14" xfId="0" applyNumberFormat="1" applyFont="1" applyFill="1" applyBorder="1" applyAlignment="1" applyProtection="1">
      <alignment horizontal="center" vertical="center" wrapText="1"/>
    </xf>
    <xf numFmtId="12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18" xfId="0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35"/>
  <sheetViews>
    <sheetView tabSelected="1" view="pageLayout" zoomScaleNormal="100" workbookViewId="0">
      <selection activeCell="C2" sqref="C2:L2"/>
    </sheetView>
  </sheetViews>
  <sheetFormatPr defaultRowHeight="14.4" x14ac:dyDescent="0.3"/>
  <cols>
    <col min="1" max="1" width="15.6640625" style="4" customWidth="1"/>
    <col min="2" max="3" width="12.6640625" style="2" customWidth="1"/>
    <col min="4" max="4" width="5.33203125" style="3" customWidth="1"/>
    <col min="5" max="5" width="12.44140625" style="2" customWidth="1"/>
    <col min="6" max="6" width="6.33203125" style="2" customWidth="1"/>
    <col min="7" max="7" width="12.6640625" style="2" customWidth="1"/>
    <col min="8" max="8" width="5.5546875" style="2" customWidth="1"/>
    <col min="9" max="9" width="12.6640625" style="2" customWidth="1"/>
    <col min="10" max="10" width="6.5546875" style="2" customWidth="1"/>
    <col min="11" max="11" width="13.44140625" style="2" customWidth="1"/>
    <col min="12" max="12" width="6" style="2" customWidth="1"/>
    <col min="13" max="13" width="1.44140625" style="2" customWidth="1"/>
    <col min="14" max="14" width="6.6640625" style="2" customWidth="1"/>
    <col min="15" max="16" width="15.33203125" style="2" customWidth="1"/>
    <col min="17" max="17" width="15" style="2" customWidth="1"/>
    <col min="18" max="20" width="8.88671875" style="1"/>
    <col min="21" max="21" width="9.109375" style="1" customWidth="1"/>
    <col min="22" max="16384" width="8.88671875" style="1"/>
  </cols>
  <sheetData>
    <row r="1" spans="1:34" ht="27.6" x14ac:dyDescent="0.3">
      <c r="A1" s="67" t="s">
        <v>43</v>
      </c>
      <c r="B1" s="66" t="s">
        <v>42</v>
      </c>
      <c r="C1" s="70" t="s">
        <v>47</v>
      </c>
      <c r="D1" s="70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65"/>
      <c r="Q1" s="64" t="s">
        <v>41</v>
      </c>
    </row>
    <row r="2" spans="1:34" x14ac:dyDescent="0.3">
      <c r="A2" s="72"/>
      <c r="B2" s="73"/>
      <c r="C2" s="74" t="s">
        <v>40</v>
      </c>
      <c r="D2" s="74"/>
      <c r="E2" s="74"/>
      <c r="F2" s="74"/>
      <c r="G2" s="74"/>
      <c r="H2" s="74"/>
      <c r="I2" s="74"/>
      <c r="J2" s="74"/>
      <c r="K2" s="74"/>
      <c r="L2" s="74"/>
      <c r="M2" s="63"/>
      <c r="N2" s="74" t="s">
        <v>39</v>
      </c>
      <c r="O2" s="74"/>
      <c r="P2" s="74"/>
      <c r="Q2" s="75"/>
    </row>
    <row r="3" spans="1:34" x14ac:dyDescent="0.3">
      <c r="A3" s="76" t="s">
        <v>15</v>
      </c>
      <c r="B3" s="78" t="s">
        <v>14</v>
      </c>
      <c r="C3" s="80" t="s">
        <v>38</v>
      </c>
      <c r="D3" s="81"/>
      <c r="E3" s="80" t="s">
        <v>37</v>
      </c>
      <c r="F3" s="81"/>
      <c r="G3" s="80" t="s">
        <v>36</v>
      </c>
      <c r="H3" s="81"/>
      <c r="I3" s="80" t="s">
        <v>35</v>
      </c>
      <c r="J3" s="81"/>
      <c r="K3" s="80" t="s">
        <v>34</v>
      </c>
      <c r="L3" s="81"/>
      <c r="M3" s="62"/>
      <c r="N3" s="82" t="s">
        <v>11</v>
      </c>
      <c r="O3" s="84" t="s">
        <v>33</v>
      </c>
      <c r="P3" s="82" t="s">
        <v>32</v>
      </c>
      <c r="Q3" s="61" t="s">
        <v>31</v>
      </c>
    </row>
    <row r="4" spans="1:34" ht="29.4" customHeight="1" thickBot="1" x14ac:dyDescent="0.35">
      <c r="A4" s="77"/>
      <c r="B4" s="79"/>
      <c r="C4" s="34" t="s">
        <v>13</v>
      </c>
      <c r="D4" s="60" t="s">
        <v>30</v>
      </c>
      <c r="E4" s="34" t="s">
        <v>13</v>
      </c>
      <c r="F4" s="34" t="s">
        <v>30</v>
      </c>
      <c r="G4" s="34" t="s">
        <v>13</v>
      </c>
      <c r="H4" s="34" t="s">
        <v>30</v>
      </c>
      <c r="I4" s="34" t="s">
        <v>13</v>
      </c>
      <c r="J4" s="34" t="s">
        <v>30</v>
      </c>
      <c r="K4" s="34" t="s">
        <v>13</v>
      </c>
      <c r="L4" s="34" t="s">
        <v>30</v>
      </c>
      <c r="M4" s="59"/>
      <c r="N4" s="83"/>
      <c r="O4" s="85"/>
      <c r="P4" s="83"/>
      <c r="Q4" s="58"/>
    </row>
    <row r="5" spans="1:34" ht="15" thickBot="1" x14ac:dyDescent="0.35">
      <c r="A5" s="69" t="s">
        <v>29</v>
      </c>
      <c r="B5" s="86" t="s">
        <v>25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8"/>
    </row>
    <row r="6" spans="1:34" s="52" customFormat="1" x14ac:dyDescent="0.3">
      <c r="A6" s="57" t="s">
        <v>29</v>
      </c>
      <c r="B6" s="56" t="s">
        <v>28</v>
      </c>
      <c r="C6" s="56"/>
      <c r="D6" s="55"/>
      <c r="E6" s="56"/>
      <c r="F6" s="55"/>
      <c r="G6" s="56"/>
      <c r="H6" s="55"/>
      <c r="I6" s="56"/>
      <c r="J6" s="55"/>
      <c r="K6" s="56"/>
      <c r="L6" s="55"/>
      <c r="M6" s="55"/>
      <c r="N6" s="89">
        <f>SUM(D6,F6,H6,J6,L6)</f>
        <v>0</v>
      </c>
      <c r="O6" s="91">
        <v>2.5</v>
      </c>
      <c r="P6" s="91">
        <f>N6-O6</f>
        <v>-2.5</v>
      </c>
      <c r="Q6" s="93" t="str">
        <f>IF(P6&gt;=0,"MEETS","DOES NOT MEET")</f>
        <v>DOES NOT MEET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52" customFormat="1" ht="28.2" thickBot="1" x14ac:dyDescent="0.35">
      <c r="A7" s="54" t="s">
        <v>27</v>
      </c>
      <c r="B7" s="53"/>
      <c r="C7" s="53" t="s">
        <v>16</v>
      </c>
      <c r="D7" s="68">
        <f>D6</f>
        <v>0</v>
      </c>
      <c r="E7" s="53" t="s">
        <v>16</v>
      </c>
      <c r="F7" s="68">
        <f>F6</f>
        <v>0</v>
      </c>
      <c r="G7" s="53" t="s">
        <v>16</v>
      </c>
      <c r="H7" s="68">
        <f>H6</f>
        <v>0</v>
      </c>
      <c r="I7" s="53" t="s">
        <v>16</v>
      </c>
      <c r="J7" s="68">
        <f>J6</f>
        <v>0</v>
      </c>
      <c r="K7" s="53" t="s">
        <v>16</v>
      </c>
      <c r="L7" s="68">
        <f>L6</f>
        <v>0</v>
      </c>
      <c r="M7" s="3"/>
      <c r="N7" s="90"/>
      <c r="O7" s="92"/>
      <c r="P7" s="92"/>
      <c r="Q7" s="9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5" thickBot="1" x14ac:dyDescent="0.35">
      <c r="A8" s="51" t="s">
        <v>26</v>
      </c>
      <c r="B8" s="98" t="s">
        <v>25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100"/>
      <c r="N8" s="99"/>
      <c r="O8" s="99"/>
      <c r="P8" s="99"/>
      <c r="Q8" s="101"/>
    </row>
    <row r="9" spans="1:34" ht="27.6" x14ac:dyDescent="0.3">
      <c r="A9" s="27" t="s">
        <v>24</v>
      </c>
      <c r="B9" s="50" t="s">
        <v>23</v>
      </c>
      <c r="C9" s="49"/>
      <c r="D9" s="48"/>
      <c r="E9" s="49"/>
      <c r="F9" s="48"/>
      <c r="G9" s="24"/>
      <c r="H9" s="48"/>
      <c r="I9" s="24"/>
      <c r="J9" s="48"/>
      <c r="K9" s="24"/>
      <c r="L9" s="48"/>
      <c r="M9" s="3"/>
      <c r="N9" s="47">
        <f>SUM(D9,F9,H9,J9,L9)</f>
        <v>0</v>
      </c>
      <c r="O9" s="47">
        <v>0.5</v>
      </c>
      <c r="P9" s="46">
        <f>N9-O9</f>
        <v>-0.5</v>
      </c>
      <c r="Q9" s="45" t="str">
        <f>IF(P9&gt;=0,"MEETS","DOES NOT MEET")</f>
        <v>DOES NOT MEET</v>
      </c>
    </row>
    <row r="10" spans="1:34" ht="27.6" x14ac:dyDescent="0.3">
      <c r="A10" s="13"/>
      <c r="B10" s="10" t="s">
        <v>22</v>
      </c>
      <c r="C10" s="42"/>
      <c r="E10" s="42"/>
      <c r="F10" s="3"/>
      <c r="G10" s="42"/>
      <c r="H10" s="3"/>
      <c r="I10" s="42"/>
      <c r="J10" s="3"/>
      <c r="K10" s="42"/>
      <c r="L10" s="3"/>
      <c r="M10" s="3"/>
      <c r="N10" s="11">
        <f>SUM(D10,F10,H10,J10,L10)</f>
        <v>0</v>
      </c>
      <c r="O10" s="11">
        <v>0.75</v>
      </c>
      <c r="P10" s="43">
        <f>N10-O10</f>
        <v>-0.75</v>
      </c>
      <c r="Q10" s="8" t="str">
        <f>IF(P10&gt;=0,"MEETS","DOES NOT MEET")</f>
        <v>DOES NOT MEET</v>
      </c>
    </row>
    <row r="11" spans="1:34" ht="27.6" x14ac:dyDescent="0.3">
      <c r="A11" s="13"/>
      <c r="B11" s="44" t="s">
        <v>21</v>
      </c>
      <c r="C11" s="42"/>
      <c r="E11" s="42"/>
      <c r="F11" s="3"/>
      <c r="G11" s="42"/>
      <c r="H11" s="3"/>
      <c r="I11" s="42"/>
      <c r="J11" s="3"/>
      <c r="K11" s="42"/>
      <c r="L11" s="3"/>
      <c r="M11" s="3"/>
      <c r="N11" s="11">
        <f>SUM(D11,F11,H11,J11,L11)</f>
        <v>0</v>
      </c>
      <c r="O11" s="11">
        <v>0.5</v>
      </c>
      <c r="P11" s="43">
        <f>N11-O11</f>
        <v>-0.5</v>
      </c>
      <c r="Q11" s="8" t="str">
        <f>IF(P11&gt;=0,"MEETS","DOES NOT MEET")</f>
        <v>DOES NOT MEET</v>
      </c>
    </row>
    <row r="12" spans="1:34" ht="27.6" x14ac:dyDescent="0.3">
      <c r="A12" s="13"/>
      <c r="B12" s="10" t="s">
        <v>20</v>
      </c>
      <c r="C12" s="42"/>
      <c r="E12" s="42"/>
      <c r="F12" s="3"/>
      <c r="G12" s="42"/>
      <c r="H12" s="3"/>
      <c r="I12" s="42"/>
      <c r="J12" s="3"/>
      <c r="K12" s="42"/>
      <c r="L12" s="3"/>
      <c r="M12" s="3"/>
      <c r="N12" s="11">
        <f>SUM(D12,F12,H12,J12,L12)</f>
        <v>0</v>
      </c>
      <c r="O12" s="11">
        <v>0.5</v>
      </c>
      <c r="P12" s="43">
        <f>N12-O12</f>
        <v>-0.5</v>
      </c>
      <c r="Q12" s="8" t="str">
        <f>IF(P12&gt;=0,"MEETS","DOES NOT MEET")</f>
        <v>DOES NOT MEET</v>
      </c>
    </row>
    <row r="13" spans="1:34" ht="14.4" customHeight="1" x14ac:dyDescent="0.3">
      <c r="A13" s="76" t="s">
        <v>19</v>
      </c>
      <c r="B13" s="78" t="s">
        <v>18</v>
      </c>
      <c r="C13" s="42"/>
      <c r="E13" s="42"/>
      <c r="F13" s="3"/>
      <c r="G13" s="42"/>
      <c r="H13" s="3"/>
      <c r="I13" s="42"/>
      <c r="J13" s="3"/>
      <c r="K13" s="42"/>
      <c r="L13" s="3"/>
      <c r="M13" s="3"/>
      <c r="N13" s="103">
        <f>SUM(D13:D17,F13:F17,H13:H17,J13:J17,L13:L17)</f>
        <v>0</v>
      </c>
      <c r="O13" s="103">
        <v>0.5</v>
      </c>
      <c r="P13" s="106">
        <f>N13-O13</f>
        <v>-0.5</v>
      </c>
      <c r="Q13" s="109" t="str">
        <f>IF(P13&gt;=0,"MEETS","DOES NOT MEET")</f>
        <v>DOES NOT MEET</v>
      </c>
    </row>
    <row r="14" spans="1:34" x14ac:dyDescent="0.3">
      <c r="A14" s="77"/>
      <c r="B14" s="79"/>
      <c r="C14" s="42"/>
      <c r="E14" s="42"/>
      <c r="F14" s="3"/>
      <c r="G14" s="42"/>
      <c r="H14" s="3"/>
      <c r="I14" s="42"/>
      <c r="J14" s="3"/>
      <c r="K14" s="42"/>
      <c r="L14" s="3"/>
      <c r="M14" s="3"/>
      <c r="N14" s="104"/>
      <c r="O14" s="104"/>
      <c r="P14" s="107"/>
      <c r="Q14" s="110"/>
    </row>
    <row r="15" spans="1:34" x14ac:dyDescent="0.3">
      <c r="A15" s="77"/>
      <c r="B15" s="79"/>
      <c r="C15" s="42"/>
      <c r="E15" s="42"/>
      <c r="F15" s="3"/>
      <c r="G15" s="42"/>
      <c r="H15" s="3"/>
      <c r="I15" s="42"/>
      <c r="J15" s="3"/>
      <c r="K15" s="42"/>
      <c r="L15" s="3"/>
      <c r="M15" s="3"/>
      <c r="N15" s="104"/>
      <c r="O15" s="104"/>
      <c r="P15" s="107"/>
      <c r="Q15" s="110"/>
    </row>
    <row r="16" spans="1:34" x14ac:dyDescent="0.3">
      <c r="A16" s="77"/>
      <c r="B16" s="79"/>
      <c r="C16" s="42"/>
      <c r="E16" s="42"/>
      <c r="F16" s="3"/>
      <c r="G16" s="42"/>
      <c r="H16" s="3"/>
      <c r="I16" s="42"/>
      <c r="J16" s="3"/>
      <c r="K16" s="42"/>
      <c r="L16" s="3"/>
      <c r="M16" s="3"/>
      <c r="N16" s="104"/>
      <c r="O16" s="104"/>
      <c r="P16" s="107"/>
      <c r="Q16" s="110"/>
    </row>
    <row r="17" spans="1:17" ht="15" thickBot="1" x14ac:dyDescent="0.35">
      <c r="A17" s="102"/>
      <c r="B17" s="79"/>
      <c r="C17" s="41"/>
      <c r="D17" s="40"/>
      <c r="E17" s="41"/>
      <c r="F17" s="40"/>
      <c r="G17" s="41"/>
      <c r="H17" s="40"/>
      <c r="I17" s="41"/>
      <c r="J17" s="40"/>
      <c r="K17" s="41"/>
      <c r="L17" s="40"/>
      <c r="M17" s="3"/>
      <c r="N17" s="105"/>
      <c r="O17" s="105"/>
      <c r="P17" s="108"/>
      <c r="Q17" s="111"/>
    </row>
    <row r="18" spans="1:17" ht="27.6" x14ac:dyDescent="0.3">
      <c r="A18" s="39" t="s">
        <v>17</v>
      </c>
      <c r="B18" s="38"/>
      <c r="C18" s="38" t="s">
        <v>16</v>
      </c>
      <c r="D18" s="37">
        <f>SUM(D9:D17)</f>
        <v>0</v>
      </c>
      <c r="E18" s="38" t="s">
        <v>16</v>
      </c>
      <c r="F18" s="37">
        <f>SUM(F9:F17)</f>
        <v>0</v>
      </c>
      <c r="G18" s="38" t="s">
        <v>16</v>
      </c>
      <c r="H18" s="37">
        <f>SUM(H9:H17)</f>
        <v>0</v>
      </c>
      <c r="I18" s="38" t="s">
        <v>16</v>
      </c>
      <c r="J18" s="37">
        <f>SUM(J9:J17)</f>
        <v>0</v>
      </c>
      <c r="K18" s="38" t="s">
        <v>16</v>
      </c>
      <c r="L18" s="37">
        <f>SUM(L9:L17)</f>
        <v>0</v>
      </c>
      <c r="M18" s="36"/>
      <c r="N18" s="35">
        <f>SUM(N9:N17)</f>
        <v>0</v>
      </c>
      <c r="O18" s="35">
        <v>3.75</v>
      </c>
      <c r="P18" s="35">
        <f>N18-O18</f>
        <v>-3.75</v>
      </c>
      <c r="Q18" s="34" t="str">
        <f>IF(P18&gt;=0,"MEETS","DOES NOT MEET")</f>
        <v>DOES NOT MEET</v>
      </c>
    </row>
    <row r="19" spans="1:17" ht="27.6" x14ac:dyDescent="0.3">
      <c r="A19" s="33" t="s">
        <v>15</v>
      </c>
      <c r="B19" s="33" t="s">
        <v>14</v>
      </c>
      <c r="C19" s="31" t="s">
        <v>13</v>
      </c>
      <c r="D19" s="31" t="s">
        <v>12</v>
      </c>
      <c r="E19" s="32" t="s">
        <v>13</v>
      </c>
      <c r="F19" s="31" t="s">
        <v>12</v>
      </c>
      <c r="G19" s="32" t="s">
        <v>13</v>
      </c>
      <c r="H19" s="31" t="s">
        <v>12</v>
      </c>
      <c r="I19" s="32" t="s">
        <v>13</v>
      </c>
      <c r="J19" s="31" t="s">
        <v>12</v>
      </c>
      <c r="K19" s="32" t="s">
        <v>13</v>
      </c>
      <c r="L19" s="31" t="s">
        <v>12</v>
      </c>
      <c r="M19" s="30"/>
      <c r="N19" s="30" t="s">
        <v>11</v>
      </c>
      <c r="O19" s="30" t="s">
        <v>10</v>
      </c>
      <c r="P19" s="30"/>
      <c r="Q19" s="29"/>
    </row>
    <row r="20" spans="1:17" ht="15.75" customHeight="1" x14ac:dyDescent="0.3">
      <c r="A20" s="95" t="s">
        <v>9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</row>
    <row r="21" spans="1:17" ht="36.75" customHeight="1" x14ac:dyDescent="0.3">
      <c r="A21" s="27"/>
      <c r="B21" s="26" t="s">
        <v>8</v>
      </c>
      <c r="C21" s="24"/>
      <c r="D21" s="25"/>
      <c r="E21" s="24"/>
      <c r="F21" s="24"/>
      <c r="G21" s="24"/>
      <c r="H21" s="24"/>
      <c r="I21" s="24"/>
      <c r="J21" s="24"/>
      <c r="K21" s="24"/>
      <c r="L21" s="24"/>
      <c r="M21" s="24"/>
      <c r="N21" s="11">
        <f>SUM(D21,F21,H21,J21,L21)</f>
        <v>0</v>
      </c>
      <c r="O21" s="28" t="s">
        <v>46</v>
      </c>
      <c r="P21" s="22"/>
      <c r="Q21" s="8" t="str">
        <f>IF(AND((N21)&gt;=8,(N21)&lt;=10),"MEETS","DOES NOT MEET")</f>
        <v>DOES NOT MEET</v>
      </c>
    </row>
    <row r="22" spans="1:17" ht="41.4" x14ac:dyDescent="0.3">
      <c r="A22" s="27"/>
      <c r="B22" s="26" t="s">
        <v>7</v>
      </c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11">
        <f>SUM(D22,F22,H22,J22,L22)</f>
        <v>0</v>
      </c>
      <c r="O22" s="23" t="s">
        <v>6</v>
      </c>
      <c r="P22" s="22"/>
      <c r="Q22" s="8" t="str">
        <f>IF(N22&gt;=(N21/2),"MEETS","DOES NOT MEET")</f>
        <v>MEETS</v>
      </c>
    </row>
    <row r="23" spans="1:17" ht="18" customHeight="1" x14ac:dyDescent="0.3">
      <c r="A23" s="21" t="s">
        <v>5</v>
      </c>
      <c r="B23" s="19"/>
      <c r="C23" s="19"/>
      <c r="D23" s="20" t="s">
        <v>4</v>
      </c>
      <c r="E23" s="19"/>
      <c r="F23" s="20" t="s">
        <v>4</v>
      </c>
      <c r="G23" s="19"/>
      <c r="H23" s="20" t="s">
        <v>4</v>
      </c>
      <c r="I23" s="19"/>
      <c r="J23" s="20" t="s">
        <v>4</v>
      </c>
      <c r="K23" s="19"/>
      <c r="L23" s="20" t="s">
        <v>4</v>
      </c>
      <c r="M23" s="19"/>
      <c r="N23" s="19"/>
      <c r="O23" s="19"/>
      <c r="P23" s="19"/>
      <c r="Q23" s="18"/>
    </row>
    <row r="24" spans="1:17" ht="41.4" x14ac:dyDescent="0.3">
      <c r="A24" s="13"/>
      <c r="B24" s="10" t="s">
        <v>45</v>
      </c>
      <c r="D24" s="12"/>
      <c r="N24" s="11">
        <f>SUM(D24,F24,H24,J24,L24)</f>
        <v>0</v>
      </c>
      <c r="O24" s="10" t="s">
        <v>44</v>
      </c>
      <c r="P24" s="9"/>
      <c r="Q24" s="8" t="str">
        <f>IF(AND((N24)&gt;=9,(N24)&lt;=10),"MEETS","DOES NOT MEET")</f>
        <v>DOES NOT MEET</v>
      </c>
    </row>
    <row r="25" spans="1:17" x14ac:dyDescent="0.3">
      <c r="A25" s="17" t="s">
        <v>3</v>
      </c>
      <c r="B25" s="15"/>
      <c r="C25" s="15"/>
      <c r="D25" s="16" t="s">
        <v>2</v>
      </c>
      <c r="E25" s="15"/>
      <c r="F25" s="16" t="s">
        <v>2</v>
      </c>
      <c r="G25" s="15"/>
      <c r="H25" s="16" t="s">
        <v>2</v>
      </c>
      <c r="I25" s="15"/>
      <c r="J25" s="16" t="s">
        <v>2</v>
      </c>
      <c r="K25" s="15"/>
      <c r="L25" s="16" t="s">
        <v>2</v>
      </c>
      <c r="M25" s="15"/>
      <c r="N25" s="15"/>
      <c r="O25" s="15"/>
      <c r="P25" s="15"/>
      <c r="Q25" s="14"/>
    </row>
    <row r="26" spans="1:17" ht="55.2" x14ac:dyDescent="0.3">
      <c r="A26" s="13"/>
      <c r="B26" s="10" t="s">
        <v>1</v>
      </c>
      <c r="D26" s="12"/>
      <c r="N26" s="11">
        <f>SUM(D26,F26,H26,J26,L26)</f>
        <v>0</v>
      </c>
      <c r="O26" s="10" t="s">
        <v>0</v>
      </c>
      <c r="P26" s="9"/>
      <c r="Q26" s="8" t="str">
        <f>IF(N26&gt;=5,"MEETS","DOES NOT MEET")</f>
        <v>DOES NOT MEET</v>
      </c>
    </row>
    <row r="27" spans="1:17" x14ac:dyDescent="0.3">
      <c r="A27" s="7"/>
      <c r="B27" s="5"/>
      <c r="C27" s="5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3">
      <c r="A28" s="7"/>
      <c r="B28" s="5"/>
      <c r="C28" s="5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3">
      <c r="A29" s="7"/>
      <c r="B29" s="5"/>
      <c r="C29" s="5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3">
      <c r="A30" s="7"/>
      <c r="B30" s="5"/>
      <c r="C30" s="5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3">
      <c r="A31" s="7"/>
      <c r="B31" s="5"/>
      <c r="C31" s="5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">
      <c r="A32" s="7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">
      <c r="A33" s="7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7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7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7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">
      <c r="A37" s="7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7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7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7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">
      <c r="A41" s="7"/>
      <c r="B41" s="5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7"/>
      <c r="B42" s="5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">
      <c r="A43" s="7"/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7"/>
      <c r="B44" s="5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">
      <c r="A45" s="7"/>
      <c r="B45" s="5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7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">
      <c r="A47" s="7"/>
      <c r="B47" s="5"/>
      <c r="C47" s="5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7"/>
      <c r="B48" s="5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">
      <c r="A49" s="7"/>
      <c r="B49" s="5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7"/>
      <c r="B50" s="5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">
      <c r="A51" s="7"/>
      <c r="B51" s="5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7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7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7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">
      <c r="A55" s="7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7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7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7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">
      <c r="A59" s="7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7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">
      <c r="A61" s="7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7"/>
      <c r="B62" s="5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">
      <c r="A63" s="7"/>
      <c r="B63" s="5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7"/>
      <c r="B64" s="5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">
      <c r="A65" s="7"/>
      <c r="B65" s="5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7"/>
      <c r="B66" s="5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">
      <c r="A67" s="7"/>
      <c r="B67" s="5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7"/>
      <c r="B68" s="5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">
      <c r="A69" s="7"/>
      <c r="B69" s="5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7"/>
      <c r="B70" s="5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">
      <c r="A71" s="7"/>
      <c r="B71" s="5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7"/>
      <c r="B72" s="5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">
      <c r="A73" s="7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7"/>
      <c r="B74" s="5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">
      <c r="A75" s="7"/>
      <c r="B75" s="5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7"/>
      <c r="B76" s="5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">
      <c r="A77" s="7"/>
      <c r="B77" s="5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7"/>
      <c r="B78" s="5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">
      <c r="A79" s="7"/>
      <c r="B79" s="5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7"/>
      <c r="B80" s="5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">
      <c r="A81" s="7"/>
      <c r="B81" s="5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7"/>
      <c r="B82" s="5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">
      <c r="A83" s="7"/>
      <c r="B83" s="5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7"/>
      <c r="B84" s="5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">
      <c r="A85" s="7"/>
      <c r="B85" s="5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7"/>
      <c r="B86" s="5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">
      <c r="A87" s="7"/>
      <c r="B87" s="5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7"/>
      <c r="B88" s="5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">
      <c r="A89" s="7"/>
      <c r="B89" s="5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7"/>
      <c r="B90" s="5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">
      <c r="A91" s="7"/>
      <c r="B91" s="5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7"/>
      <c r="B92" s="5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">
      <c r="A93" s="7"/>
      <c r="B93" s="5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7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">
      <c r="A95" s="7"/>
      <c r="B95" s="5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7"/>
      <c r="B96" s="5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">
      <c r="A97" s="7"/>
      <c r="B97" s="5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7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">
      <c r="A99" s="7"/>
      <c r="B99" s="5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7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">
      <c r="A101" s="7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7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">
      <c r="A103" s="7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7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">
      <c r="A105" s="7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7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">
      <c r="A107" s="7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7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">
      <c r="A109" s="7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7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">
      <c r="A111" s="7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7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">
      <c r="A113" s="7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7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">
      <c r="A115" s="7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7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">
      <c r="A117" s="7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7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">
      <c r="A119" s="7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7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">
      <c r="A121" s="7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7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">
      <c r="A123" s="7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7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">
      <c r="A125" s="7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7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">
      <c r="A127" s="7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7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">
      <c r="A129" s="7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7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">
      <c r="A131" s="7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7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">
      <c r="A133" s="7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7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">
      <c r="A135" s="7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</sheetData>
  <sheetProtection sheet="1" objects="1" scenarios="1"/>
  <mergeCells count="27">
    <mergeCell ref="A20:Q20"/>
    <mergeCell ref="B8:Q8"/>
    <mergeCell ref="A13:A17"/>
    <mergeCell ref="B13:B17"/>
    <mergeCell ref="N13:N17"/>
    <mergeCell ref="O13:O17"/>
    <mergeCell ref="P13:P17"/>
    <mergeCell ref="Q13:Q17"/>
    <mergeCell ref="B5:Q5"/>
    <mergeCell ref="N6:N7"/>
    <mergeCell ref="O6:O7"/>
    <mergeCell ref="P6:P7"/>
    <mergeCell ref="Q6:Q7"/>
    <mergeCell ref="C1:O1"/>
    <mergeCell ref="A2:B2"/>
    <mergeCell ref="C2:L2"/>
    <mergeCell ref="N2:Q2"/>
    <mergeCell ref="A3:A4"/>
    <mergeCell ref="B3:B4"/>
    <mergeCell ref="C3:D3"/>
    <mergeCell ref="E3:F3"/>
    <mergeCell ref="G3:H3"/>
    <mergeCell ref="I3:J3"/>
    <mergeCell ref="K3:L3"/>
    <mergeCell ref="N3:N4"/>
    <mergeCell ref="O3:O4"/>
    <mergeCell ref="P3:P4"/>
  </mergeCells>
  <conditionalFormatting sqref="Q18:Q19 Q9:Q13 Q21 Q6">
    <cfRule type="containsText" dxfId="15" priority="15" operator="containsText" text="MEETS">
      <formula>NOT(ISERROR(SEARCH("MEETS",Q6)))</formula>
    </cfRule>
    <cfRule type="containsText" dxfId="14" priority="16" operator="containsText" text="DOES NOT MEET">
      <formula>NOT(ISERROR(SEARCH("DOES NOT MEET",Q6)))</formula>
    </cfRule>
  </conditionalFormatting>
  <conditionalFormatting sqref="P6">
    <cfRule type="cellIs" dxfId="13" priority="14" operator="lessThan">
      <formula>0</formula>
    </cfRule>
  </conditionalFormatting>
  <conditionalFormatting sqref="F18 H18 L18 D18">
    <cfRule type="cellIs" dxfId="12" priority="13" operator="lessThan">
      <formula>0.75</formula>
    </cfRule>
  </conditionalFormatting>
  <conditionalFormatting sqref="Q24">
    <cfRule type="containsText" dxfId="11" priority="11" operator="containsText" text="MEETS">
      <formula>NOT(ISERROR(SEARCH("MEETS",Q24)))</formula>
    </cfRule>
    <cfRule type="containsText" dxfId="10" priority="12" operator="containsText" text="DOES NOT MEET">
      <formula>NOT(ISERROR(SEARCH("DOES NOT MEET",Q24)))</formula>
    </cfRule>
  </conditionalFormatting>
  <conditionalFormatting sqref="Q22">
    <cfRule type="containsText" dxfId="9" priority="9" operator="containsText" text="MEETS">
      <formula>NOT(ISERROR(SEARCH("MEETS",Q22)))</formula>
    </cfRule>
    <cfRule type="containsText" dxfId="8" priority="10" operator="containsText" text="DOES NOT MEET">
      <formula>NOT(ISERROR(SEARCH("DOES NOT MEET",Q22)))</formula>
    </cfRule>
  </conditionalFormatting>
  <conditionalFormatting sqref="Q26">
    <cfRule type="containsText" dxfId="7" priority="7" operator="containsText" text="MEETS">
      <formula>NOT(ISERROR(SEARCH("MEETS",Q26)))</formula>
    </cfRule>
    <cfRule type="containsText" dxfId="6" priority="8" operator="containsText" text="DOES NOT MEET">
      <formula>NOT(ISERROR(SEARCH("DOES NOT MEET",Q26)))</formula>
    </cfRule>
  </conditionalFormatting>
  <conditionalFormatting sqref="D7">
    <cfRule type="cellIs" dxfId="5" priority="6" operator="lessThan">
      <formula>0.5</formula>
    </cfRule>
  </conditionalFormatting>
  <conditionalFormatting sqref="H7">
    <cfRule type="cellIs" dxfId="4" priority="5" operator="lessThan">
      <formula>0.5</formula>
    </cfRule>
  </conditionalFormatting>
  <conditionalFormatting sqref="J7">
    <cfRule type="cellIs" dxfId="3" priority="4" operator="lessThan">
      <formula>0.5</formula>
    </cfRule>
  </conditionalFormatting>
  <conditionalFormatting sqref="L7">
    <cfRule type="cellIs" dxfId="2" priority="3" operator="lessThan">
      <formula>0.5</formula>
    </cfRule>
  </conditionalFormatting>
  <conditionalFormatting sqref="F7">
    <cfRule type="cellIs" dxfId="1" priority="2" operator="lessThan">
      <formula>0.5</formula>
    </cfRule>
  </conditionalFormatting>
  <conditionalFormatting sqref="J18">
    <cfRule type="cellIs" dxfId="0" priority="1" operator="lessThan">
      <formula>0.75</formula>
    </cfRule>
  </conditionalFormatting>
  <pageMargins left="0.7" right="0.7" top="0.75" bottom="0.75" header="0.3" footer="0.3"/>
  <pageSetup scale="69" orientation="landscape" r:id="rId1"/>
  <headerFooter>
    <oddFooter xml:space="preserve">&amp;C8/3/2012  PDE  Develpoment credit Idaho State Agency with revisions by MARO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Menu 6-8 (2)</vt:lpstr>
      <vt:lpstr>Sheet1</vt:lpstr>
      <vt:lpstr>Sheet2</vt:lpstr>
      <vt:lpstr>Sheet3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Oberholser, Cheryl</dc:creator>
  <cp:lastModifiedBy>Dabulis, Dianne</cp:lastModifiedBy>
  <dcterms:created xsi:type="dcterms:W3CDTF">2012-06-06T19:00:54Z</dcterms:created>
  <dcterms:modified xsi:type="dcterms:W3CDTF">2012-11-08T20:18:57Z</dcterms:modified>
</cp:coreProperties>
</file>