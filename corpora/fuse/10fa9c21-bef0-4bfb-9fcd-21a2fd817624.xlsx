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20" yWindow="30" windowWidth="15480" windowHeight="7425" firstSheet="2" activeTab="7"/>
  </bookViews>
  <sheets>
    <sheet name="Input" sheetId="11" r:id="rId1"/>
    <sheet name="Current Population - Method 1" sheetId="9" r:id="rId2"/>
    <sheet name="Current Population - Method 2" sheetId="1" r:id="rId3"/>
    <sheet name="Current Flow" sheetId="16" r:id="rId4"/>
    <sheet name="Future Population" sheetId="17" r:id="rId5"/>
    <sheet name="Flow" sheetId="14" state="hidden" r:id="rId6"/>
    <sheet name="Future Flow" sheetId="18" r:id="rId7"/>
    <sheet name="Interceptor Flow" sheetId="19" r:id="rId8"/>
    <sheet name="Downstream Flow" sheetId="20" r:id="rId9"/>
  </sheets>
  <definedNames>
    <definedName name="_xlnm.Print_Area" localSheetId="7">'Interceptor Flow'!$B$1:$H$13</definedName>
  </definedNames>
  <calcPr calcId="125725"/>
</workbook>
</file>

<file path=xl/calcChain.xml><?xml version="1.0" encoding="utf-8"?>
<calcChain xmlns="http://schemas.openxmlformats.org/spreadsheetml/2006/main">
  <c r="G38" i="20"/>
  <c r="E41"/>
  <c r="D37"/>
  <c r="E37"/>
  <c r="F37"/>
  <c r="G37"/>
  <c r="C38"/>
  <c r="C37"/>
  <c r="G33"/>
  <c r="G41" s="1"/>
  <c r="G32"/>
  <c r="G40" s="1"/>
  <c r="G31"/>
  <c r="G39" s="1"/>
  <c r="G30"/>
  <c r="G29"/>
  <c r="F33"/>
  <c r="F41" s="1"/>
  <c r="F32"/>
  <c r="F40" s="1"/>
  <c r="F31"/>
  <c r="F39" s="1"/>
  <c r="F30"/>
  <c r="F38" s="1"/>
  <c r="F29"/>
  <c r="E33"/>
  <c r="E32"/>
  <c r="E40" s="1"/>
  <c r="E31"/>
  <c r="E39" s="1"/>
  <c r="E30"/>
  <c r="E38" s="1"/>
  <c r="E29"/>
  <c r="D33"/>
  <c r="D41" s="1"/>
  <c r="D32"/>
  <c r="D40" s="1"/>
  <c r="D31"/>
  <c r="D39" s="1"/>
  <c r="D30"/>
  <c r="D38" s="1"/>
  <c r="D29"/>
  <c r="C33"/>
  <c r="C41" s="1"/>
  <c r="C32"/>
  <c r="C40" s="1"/>
  <c r="C31"/>
  <c r="C39" s="1"/>
  <c r="C30"/>
  <c r="C29"/>
  <c r="B39"/>
  <c r="B38"/>
  <c r="B37"/>
  <c r="B33"/>
  <c r="B41" s="1"/>
  <c r="B32"/>
  <c r="B40" s="1"/>
  <c r="B31"/>
  <c r="B30"/>
  <c r="B29"/>
  <c r="D27" i="19"/>
  <c r="D26"/>
  <c r="D25"/>
  <c r="D24"/>
  <c r="D23"/>
  <c r="D22"/>
  <c r="D19"/>
  <c r="D18"/>
  <c r="D17"/>
  <c r="E17" s="1"/>
  <c r="D16"/>
  <c r="D15"/>
  <c r="E15" s="1"/>
  <c r="D14"/>
  <c r="E19"/>
  <c r="F19" s="1"/>
  <c r="E18"/>
  <c r="F18" s="1"/>
  <c r="E16"/>
  <c r="F16" s="1"/>
  <c r="G16" s="1"/>
  <c r="G24" s="1"/>
  <c r="E14"/>
  <c r="F14" s="1"/>
  <c r="B22"/>
  <c r="B19"/>
  <c r="B18"/>
  <c r="B17"/>
  <c r="B16"/>
  <c r="B15"/>
  <c r="B20" i="20"/>
  <c r="B28" s="1"/>
  <c r="B36" s="1"/>
  <c r="A25"/>
  <c r="A33" s="1"/>
  <c r="A41" s="1"/>
  <c r="A24"/>
  <c r="A32" s="1"/>
  <c r="A40" s="1"/>
  <c r="A23"/>
  <c r="A31" s="1"/>
  <c r="A39" s="1"/>
  <c r="A22"/>
  <c r="A30" s="1"/>
  <c r="A38" s="1"/>
  <c r="A21"/>
  <c r="A29" s="1"/>
  <c r="A37" s="1"/>
  <c r="E27" i="19" l="1"/>
  <c r="F26"/>
  <c r="G18"/>
  <c r="G26" s="1"/>
  <c r="E26"/>
  <c r="F17"/>
  <c r="G17" s="1"/>
  <c r="G25" s="1"/>
  <c r="E25"/>
  <c r="E24"/>
  <c r="F15"/>
  <c r="F23" s="1"/>
  <c r="E23"/>
  <c r="F22"/>
  <c r="G14"/>
  <c r="G22" s="1"/>
  <c r="E22"/>
  <c r="F27"/>
  <c r="G19"/>
  <c r="G27" s="1"/>
  <c r="F25"/>
  <c r="F24"/>
  <c r="G15"/>
  <c r="G23" s="1"/>
  <c r="B46" i="20"/>
  <c r="B13" i="1"/>
  <c r="A3" i="20" l="1"/>
  <c r="A2"/>
  <c r="A3" i="19"/>
  <c r="A2"/>
  <c r="C39" i="16"/>
  <c r="I6" i="18"/>
  <c r="B10"/>
  <c r="B11"/>
  <c r="B12"/>
  <c r="B13"/>
  <c r="B24" i="19" s="1"/>
  <c r="B14" i="18"/>
  <c r="B15"/>
  <c r="B16"/>
  <c r="B17"/>
  <c r="B18"/>
  <c r="B25" i="19" s="1"/>
  <c r="B19" i="18"/>
  <c r="B20"/>
  <c r="B21"/>
  <c r="B22"/>
  <c r="B23"/>
  <c r="B26" i="19" s="1"/>
  <c r="B24" i="18"/>
  <c r="B25"/>
  <c r="B26"/>
  <c r="B27"/>
  <c r="B28"/>
  <c r="B27" i="19" s="1"/>
  <c r="B9" i="18"/>
  <c r="B23" i="19" s="1"/>
  <c r="A10" i="18"/>
  <c r="A11" s="1"/>
  <c r="A12" s="1"/>
  <c r="A13" s="1"/>
  <c r="A14" s="1"/>
  <c r="A15" s="1"/>
  <c r="A16" s="1"/>
  <c r="A17" s="1"/>
  <c r="A18" s="1"/>
  <c r="A19" s="1"/>
  <c r="A20" s="1"/>
  <c r="A21" s="1"/>
  <c r="A22" s="1"/>
  <c r="A23" s="1"/>
  <c r="A24" s="1"/>
  <c r="A25" s="1"/>
  <c r="A26" s="1"/>
  <c r="A27" s="1"/>
  <c r="A28" s="1"/>
  <c r="A3"/>
  <c r="A2"/>
  <c r="D6" i="17"/>
  <c r="D8" s="1"/>
  <c r="A12"/>
  <c r="A13" s="1"/>
  <c r="A14" s="1"/>
  <c r="A15" s="1"/>
  <c r="A16" s="1"/>
  <c r="A17" s="1"/>
  <c r="A18" s="1"/>
  <c r="A19" s="1"/>
  <c r="A20" s="1"/>
  <c r="A21" s="1"/>
  <c r="A22" s="1"/>
  <c r="A23" s="1"/>
  <c r="A24" s="1"/>
  <c r="A25" s="1"/>
  <c r="A26" s="1"/>
  <c r="A27" s="1"/>
  <c r="A28" s="1"/>
  <c r="A29" s="1"/>
  <c r="A30" s="1"/>
  <c r="A3"/>
  <c r="A2"/>
  <c r="C43" i="16"/>
  <c r="C46"/>
  <c r="C42"/>
  <c r="C18"/>
  <c r="C10"/>
  <c r="C30"/>
  <c r="A3"/>
  <c r="A2"/>
  <c r="C29"/>
  <c r="C23"/>
  <c r="C24"/>
  <c r="C25"/>
  <c r="C22"/>
  <c r="B11" i="1"/>
  <c r="C38" i="16" s="1"/>
  <c r="A3" i="1"/>
  <c r="A2"/>
  <c r="A3" i="9"/>
  <c r="A2"/>
  <c r="C8"/>
  <c r="C9"/>
  <c r="C10"/>
  <c r="C11"/>
  <c r="B12"/>
  <c r="B14" s="1"/>
  <c r="B16" s="1"/>
  <c r="C27" i="16" l="1"/>
  <c r="C26"/>
  <c r="C48"/>
  <c r="C12" i="9"/>
  <c r="B17" s="1"/>
  <c r="C28" i="16" s="1"/>
  <c r="C32" s="1"/>
  <c r="D26" i="17"/>
  <c r="D18"/>
  <c r="D29"/>
  <c r="D21"/>
  <c r="D28"/>
  <c r="D20"/>
  <c r="D11"/>
  <c r="D19"/>
  <c r="D16"/>
  <c r="D15"/>
  <c r="D30"/>
  <c r="D22"/>
  <c r="D14"/>
  <c r="D25"/>
  <c r="D17"/>
  <c r="D24"/>
  <c r="D12"/>
  <c r="D23"/>
  <c r="D13"/>
  <c r="D27"/>
  <c r="G10" i="20"/>
  <c r="G20" s="1"/>
  <c r="E10"/>
  <c r="E20" s="1"/>
  <c r="D7" i="17"/>
  <c r="H8" s="1"/>
  <c r="C10" i="20"/>
  <c r="C20" s="1"/>
  <c r="F10"/>
  <c r="F20" s="1"/>
  <c r="D10"/>
  <c r="D20" s="1"/>
  <c r="B47" l="1"/>
  <c r="B11"/>
  <c r="F46"/>
  <c r="F28"/>
  <c r="F36" s="1"/>
  <c r="G46"/>
  <c r="G28"/>
  <c r="G36" s="1"/>
  <c r="D46"/>
  <c r="D28"/>
  <c r="D36" s="1"/>
  <c r="C46"/>
  <c r="C28"/>
  <c r="C36" s="1"/>
  <c r="E46"/>
  <c r="E28"/>
  <c r="E36" s="1"/>
  <c r="H13" i="17"/>
  <c r="H23"/>
  <c r="H12"/>
  <c r="H14"/>
  <c r="H16"/>
  <c r="H18"/>
  <c r="H20"/>
  <c r="H22"/>
  <c r="H24"/>
  <c r="H26"/>
  <c r="H28"/>
  <c r="H30"/>
  <c r="H15"/>
  <c r="H17"/>
  <c r="H19"/>
  <c r="H21"/>
  <c r="H25"/>
  <c r="H27"/>
  <c r="H29"/>
  <c r="H11"/>
  <c r="E17"/>
  <c r="C15" i="18" s="1"/>
  <c r="E25" i="17"/>
  <c r="C23" i="18" s="1"/>
  <c r="E12" i="17"/>
  <c r="C10" i="18" s="1"/>
  <c r="E20" i="17"/>
  <c r="C18" i="18" s="1"/>
  <c r="E28" i="17"/>
  <c r="C26" i="18" s="1"/>
  <c r="E23" i="17"/>
  <c r="C21" i="18" s="1"/>
  <c r="E11" i="17"/>
  <c r="E18"/>
  <c r="C16" i="18" s="1"/>
  <c r="E30" i="17"/>
  <c r="C28" i="18" s="1"/>
  <c r="E22" i="17"/>
  <c r="C20" i="18" s="1"/>
  <c r="E13" i="17"/>
  <c r="C11" i="18" s="1"/>
  <c r="E21" i="17"/>
  <c r="C19" i="18" s="1"/>
  <c r="E29" i="17"/>
  <c r="C27" i="18" s="1"/>
  <c r="E16" i="17"/>
  <c r="C14" i="18" s="1"/>
  <c r="E24" i="17"/>
  <c r="C22" i="18" s="1"/>
  <c r="E15" i="17"/>
  <c r="C13" i="18" s="1"/>
  <c r="E27" i="17"/>
  <c r="C25" i="18" s="1"/>
  <c r="E14" i="17"/>
  <c r="C12" i="18" s="1"/>
  <c r="E26" i="17"/>
  <c r="C24" i="18" s="1"/>
  <c r="E19" i="17"/>
  <c r="C17" i="18" s="1"/>
  <c r="D5"/>
  <c r="C14" i="19" l="1"/>
  <c r="C22" s="1"/>
  <c r="C9" i="18"/>
  <c r="H25"/>
  <c r="G25"/>
  <c r="H19"/>
  <c r="I19" s="1"/>
  <c r="G19"/>
  <c r="H15"/>
  <c r="G15"/>
  <c r="H28"/>
  <c r="I28" s="1"/>
  <c r="G28"/>
  <c r="H24"/>
  <c r="G24"/>
  <c r="H20"/>
  <c r="I20" s="1"/>
  <c r="G20"/>
  <c r="H16"/>
  <c r="I16" s="1"/>
  <c r="J16" s="1"/>
  <c r="G16"/>
  <c r="H12"/>
  <c r="I12" s="1"/>
  <c r="G12"/>
  <c r="H21"/>
  <c r="G21"/>
  <c r="H27"/>
  <c r="G27"/>
  <c r="H23"/>
  <c r="G23"/>
  <c r="H17"/>
  <c r="G17"/>
  <c r="H13"/>
  <c r="I13" s="1"/>
  <c r="G13"/>
  <c r="H26"/>
  <c r="G26"/>
  <c r="H22"/>
  <c r="G22"/>
  <c r="H18"/>
  <c r="G18"/>
  <c r="H14"/>
  <c r="G14"/>
  <c r="H10"/>
  <c r="G10"/>
  <c r="H11"/>
  <c r="G11"/>
  <c r="I24"/>
  <c r="J24" s="1"/>
  <c r="I25"/>
  <c r="J25" s="1"/>
  <c r="I15"/>
  <c r="J15" s="1"/>
  <c r="I21"/>
  <c r="J21" s="1"/>
  <c r="G9"/>
  <c r="H9"/>
  <c r="D14"/>
  <c r="D18"/>
  <c r="D17"/>
  <c r="D12"/>
  <c r="D13"/>
  <c r="D19"/>
  <c r="D20"/>
  <c r="D16"/>
  <c r="D21"/>
  <c r="D23"/>
  <c r="D24"/>
  <c r="D25"/>
  <c r="D22"/>
  <c r="D27"/>
  <c r="D11"/>
  <c r="E11" s="1"/>
  <c r="D28"/>
  <c r="D26"/>
  <c r="D10"/>
  <c r="E10" s="1"/>
  <c r="D15"/>
  <c r="D9"/>
  <c r="J13" l="1"/>
  <c r="J12"/>
  <c r="J20"/>
  <c r="J28"/>
  <c r="J19"/>
  <c r="D47" i="20"/>
  <c r="C16" i="19"/>
  <c r="C24" s="1"/>
  <c r="D11" i="20"/>
  <c r="C19" i="19"/>
  <c r="C27" s="1"/>
  <c r="G11" i="20"/>
  <c r="G47"/>
  <c r="I11" i="18"/>
  <c r="J11" s="1"/>
  <c r="I10"/>
  <c r="J10" s="1"/>
  <c r="I14"/>
  <c r="J14" s="1"/>
  <c r="I18"/>
  <c r="J18" s="1"/>
  <c r="I22"/>
  <c r="J22" s="1"/>
  <c r="I26"/>
  <c r="J26" s="1"/>
  <c r="I17"/>
  <c r="J17" s="1"/>
  <c r="I23"/>
  <c r="J23" s="1"/>
  <c r="I27"/>
  <c r="J27" s="1"/>
  <c r="I9"/>
  <c r="J9" s="1"/>
  <c r="E9"/>
  <c r="F9" s="1"/>
  <c r="E13" s="1"/>
  <c r="E12"/>
  <c r="F12" s="1"/>
  <c r="F10"/>
  <c r="F11"/>
  <c r="C47" i="20" l="1"/>
  <c r="C11"/>
  <c r="C18" i="19"/>
  <c r="C26" s="1"/>
  <c r="F11" i="20"/>
  <c r="F47"/>
  <c r="C17" i="19"/>
  <c r="C25" s="1"/>
  <c r="E11" i="20"/>
  <c r="E47"/>
  <c r="C15" i="19"/>
  <c r="C23" s="1"/>
  <c r="E15" i="18"/>
  <c r="E14"/>
  <c r="E16"/>
  <c r="F13"/>
  <c r="E17" s="1"/>
  <c r="F16" l="1"/>
  <c r="F14"/>
  <c r="F15"/>
  <c r="F17"/>
  <c r="B48" i="20" l="1"/>
  <c r="E21" i="18"/>
  <c r="E19"/>
  <c r="E20"/>
  <c r="E18"/>
  <c r="B50" i="20" l="1"/>
  <c r="B52" s="1"/>
  <c r="B49"/>
  <c r="B51"/>
  <c r="F18" i="18"/>
  <c r="F20"/>
  <c r="F19"/>
  <c r="F21"/>
  <c r="B53" i="20" l="1"/>
  <c r="B54"/>
  <c r="B55"/>
  <c r="B56"/>
  <c r="G48"/>
  <c r="D48"/>
  <c r="E23" i="18"/>
  <c r="E22"/>
  <c r="F22" s="1"/>
  <c r="E25"/>
  <c r="E24"/>
  <c r="C48" i="20" l="1"/>
  <c r="D51"/>
  <c r="D49"/>
  <c r="D50"/>
  <c r="D52" s="1"/>
  <c r="F48"/>
  <c r="E48"/>
  <c r="G51"/>
  <c r="G49"/>
  <c r="G50"/>
  <c r="G52" s="1"/>
  <c r="F24" i="18"/>
  <c r="F25"/>
  <c r="F23"/>
  <c r="E26"/>
  <c r="E49" i="20" l="1"/>
  <c r="E51"/>
  <c r="E50"/>
  <c r="E52" s="1"/>
  <c r="F49"/>
  <c r="F51"/>
  <c r="F50"/>
  <c r="F52" s="1"/>
  <c r="D55"/>
  <c r="D56"/>
  <c r="D53"/>
  <c r="D54"/>
  <c r="G56"/>
  <c r="G55"/>
  <c r="G54"/>
  <c r="G53"/>
  <c r="C49"/>
  <c r="C51"/>
  <c r="C50"/>
  <c r="C52" s="1"/>
  <c r="E27" i="18"/>
  <c r="F27" s="1"/>
  <c r="E28"/>
  <c r="F26"/>
  <c r="C54" i="20" l="1"/>
  <c r="C53"/>
  <c r="C55"/>
  <c r="C56"/>
  <c r="F53"/>
  <c r="F54"/>
  <c r="E56"/>
  <c r="E55"/>
  <c r="F55"/>
  <c r="F56"/>
  <c r="E54"/>
  <c r="E53"/>
  <c r="F28" i="18"/>
</calcChain>
</file>

<file path=xl/sharedStrings.xml><?xml version="1.0" encoding="utf-8"?>
<sst xmlns="http://schemas.openxmlformats.org/spreadsheetml/2006/main" count="274" uniqueCount="184">
  <si>
    <t>Project Name:</t>
  </si>
  <si>
    <t>Year</t>
  </si>
  <si>
    <t>Residential:</t>
  </si>
  <si>
    <t>Commercial:</t>
  </si>
  <si>
    <t>Industrial:</t>
  </si>
  <si>
    <t>Flow Commitments:</t>
  </si>
  <si>
    <t>(gpd)</t>
  </si>
  <si>
    <t>Year 1</t>
  </si>
  <si>
    <t>Year 5</t>
  </si>
  <si>
    <t>Year 10</t>
  </si>
  <si>
    <t>Year 15</t>
  </si>
  <si>
    <t>Year 20</t>
  </si>
  <si>
    <t>Bedrooms</t>
  </si>
  <si>
    <t>Dwelling Units</t>
  </si>
  <si>
    <t>Total Dwelling Units:</t>
  </si>
  <si>
    <t>Total Bedrooms/Dwelling Unit:</t>
  </si>
  <si>
    <t>Persons per Dwelling Unit:</t>
  </si>
  <si>
    <t>Dwelling Units in Service Area:</t>
  </si>
  <si>
    <t>Flow per bedroom (gpd/bedroom):</t>
  </si>
  <si>
    <t>Enter information into the gray areas.</t>
  </si>
  <si>
    <t>LGU Name:</t>
  </si>
  <si>
    <t>U.S. Census Place or County:</t>
  </si>
  <si>
    <t>Residential Flow as Percentage of Metered Flow in Sewershed:</t>
  </si>
  <si>
    <t>Commercial Flow as Percentage of Metered Flow in Sewershed:</t>
  </si>
  <si>
    <t>Metered</t>
  </si>
  <si>
    <t>Appendix Reference for U.S. Census Information:</t>
  </si>
  <si>
    <t>Complete the areas shown in gray. Links are toU.S. Census websites for use with the table.</t>
  </si>
  <si>
    <t>Total Bedrooms</t>
  </si>
  <si>
    <t>Total 2010 Population from U.S. Census:</t>
  </si>
  <si>
    <r>
      <rPr>
        <vertAlign val="superscript"/>
        <sz val="10"/>
        <color indexed="8"/>
        <rFont val="Times New Roman"/>
        <family val="1"/>
      </rPr>
      <t>a</t>
    </r>
    <r>
      <rPr>
        <sz val="10"/>
        <color indexed="8"/>
        <rFont val="Times New Roman"/>
        <family val="1"/>
      </rPr>
      <t>Zero- or one-bedroom dwellings should be included within the 2 bedroom category.</t>
    </r>
  </si>
  <si>
    <r>
      <t>Bedrooms/Dwelling Unit</t>
    </r>
    <r>
      <rPr>
        <u/>
        <vertAlign val="superscript"/>
        <sz val="11"/>
        <color indexed="12"/>
        <rFont val="Calibri"/>
        <family val="2"/>
      </rPr>
      <t>a</t>
    </r>
  </si>
  <si>
    <t>Total Census 2010 Population:</t>
  </si>
  <si>
    <t>Persons per Square Mile in LGU:</t>
  </si>
  <si>
    <r>
      <t>LGU Land Area (miles</t>
    </r>
    <r>
      <rPr>
        <u/>
        <vertAlign val="superscript"/>
        <sz val="11"/>
        <color indexed="12"/>
        <rFont val="Calibri"/>
        <family val="2"/>
      </rPr>
      <t>2</t>
    </r>
    <r>
      <rPr>
        <u/>
        <sz val="11"/>
        <color indexed="12"/>
        <rFont val="Calibri"/>
        <family val="2"/>
      </rPr>
      <t>):</t>
    </r>
  </si>
  <si>
    <t>Current Flow Determination Methodology:</t>
  </si>
  <si>
    <t>Pump Runtime</t>
  </si>
  <si>
    <t>Method 1 - Limited Service Area</t>
  </si>
  <si>
    <t>Method 2 - Large Service Area</t>
  </si>
  <si>
    <t>Total Bedrooms in Place/County:</t>
  </si>
  <si>
    <t>Metered Flow</t>
  </si>
  <si>
    <t>Current Average Daily Flow via Meter</t>
  </si>
  <si>
    <t>Drawdown Rate (gpm):</t>
  </si>
  <si>
    <t>Pump Runtime (hrs/day):</t>
  </si>
  <si>
    <t>Peaking Factor:</t>
  </si>
  <si>
    <t>Percentage of Flow to WWTP from Sewershed</t>
  </si>
  <si>
    <t>Bedroom Number</t>
  </si>
  <si>
    <t>Water ADF</t>
  </si>
  <si>
    <t>Infiltration/Inflow:</t>
  </si>
  <si>
    <t>I/I Estimation Methodology:</t>
  </si>
  <si>
    <t>WWTP Only</t>
  </si>
  <si>
    <t>WWTP &amp; Water</t>
  </si>
  <si>
    <t>WWTP ADF (gpd):</t>
  </si>
  <si>
    <t>WWTP Min ADF (gpd) (if applicable):</t>
  </si>
  <si>
    <t>WW ADF</t>
  </si>
  <si>
    <t>Current Flow Appendix Reference:</t>
  </si>
  <si>
    <t>Current Average Daily Flow at WWTP</t>
  </si>
  <si>
    <t>Complete the cells in gray.  Some cells have pulldown menus.  Please use if present.</t>
  </si>
  <si>
    <t xml:space="preserve">Complete the areas shown in gray.  Links are to U.S. Census Bureau websites for use with this table.  </t>
  </si>
  <si>
    <t>Complete the cells in gray.  Note that some cells may contain pulldown menu.  If so, please use pulldown menus to select data.</t>
  </si>
  <si>
    <t>Current Population Methodology:</t>
  </si>
  <si>
    <t>Current LGU Population:</t>
  </si>
  <si>
    <t>County Population (2010):</t>
  </si>
  <si>
    <t>County Name:</t>
  </si>
  <si>
    <t>Percentage of LGU Population in County:</t>
  </si>
  <si>
    <t>Percentage of Service Area in LGU:</t>
  </si>
  <si>
    <t>County Population</t>
  </si>
  <si>
    <t>LGU Population</t>
  </si>
  <si>
    <t>State Data Center</t>
  </si>
  <si>
    <t>Alternate Data Source:</t>
  </si>
  <si>
    <t>Appendix Reference:</t>
  </si>
  <si>
    <t>SDC Data</t>
  </si>
  <si>
    <t>Residential Flow</t>
  </si>
  <si>
    <t>Commercial Flow</t>
  </si>
  <si>
    <t>Industrial Flow</t>
  </si>
  <si>
    <t>Total Flow</t>
  </si>
  <si>
    <t>Current Flow Estimation Method:</t>
  </si>
  <si>
    <t>Current Flow for 2010 (gpd):</t>
  </si>
  <si>
    <t>If using an alternative source of data, provide a justification for use of this data below and provide supporting information in an appendix of the ER/EID.</t>
  </si>
  <si>
    <t>Alternative Population Data Source:</t>
  </si>
  <si>
    <t>Alternative Flow Projections Used in Alternatives Analysis?</t>
  </si>
  <si>
    <t>Yes</t>
  </si>
  <si>
    <t>No</t>
  </si>
  <si>
    <t>If the alternative flow projection was the one accepted for use in the alternatives analysis, then provide a justification as to why the alternative flow projections are preferred over the flows developed based on SDC population projections.</t>
  </si>
  <si>
    <t>Enter information into the gray cells.  Where appropriate, use pulldown menus to select information.</t>
  </si>
  <si>
    <t>Sub-Sewershed A</t>
  </si>
  <si>
    <t>Sub-Sewershed B</t>
  </si>
  <si>
    <t>Sub-Sewershed C</t>
  </si>
  <si>
    <t>Sub-Sewershed D</t>
  </si>
  <si>
    <t>Sub-Sewershed E</t>
  </si>
  <si>
    <t>SDC</t>
  </si>
  <si>
    <t>Other</t>
  </si>
  <si>
    <t>Pipe Capacity (gpd):</t>
  </si>
  <si>
    <t>Flow Projection Methodology Preferred:</t>
  </si>
  <si>
    <t>Complete the boxes shown in gray.  Where indicated, use pulldown menus to enter data.</t>
  </si>
  <si>
    <t>Current Year</t>
  </si>
  <si>
    <t>WWTP ADF without Project: (gpd):</t>
  </si>
  <si>
    <t>Collection System</t>
  </si>
  <si>
    <t>Current Flow Methodology Used:</t>
  </si>
  <si>
    <t>If the answer to the question regarding downstream collection line capacity is "No", discuss measures the LGU plans to take to ensure that said capacity will exist.</t>
  </si>
  <si>
    <t>If the answer to the question regarding WWTP is "Yes" for either question, discuss when the LGU will begin planning for the next WWTP expansion and/or will begin construction on the next WWTP expansion.</t>
  </si>
  <si>
    <t>WWTP ADF with Project (gpd):</t>
  </si>
  <si>
    <t>% WWTP Capacity Utilized (with Project):</t>
  </si>
  <si>
    <t>% WWTP Capacity Utilized (without project):</t>
  </si>
  <si>
    <t>Should construction begin for a WWTP expansion regardless of project implementation?</t>
  </si>
  <si>
    <t>Should construction begin for a WWTP expansion due to the project flows?</t>
  </si>
  <si>
    <t>Should planning begin for a WWTP expansion due to the project flows?</t>
  </si>
  <si>
    <t>Should planning begin for a WWTP expansion regardless of project implementation?</t>
  </si>
  <si>
    <t>Central Avenue Expansion</t>
  </si>
  <si>
    <t>Town of Anytown</t>
  </si>
  <si>
    <t>Table 2.2.1.  Current Population Analysis Method 1 - Limited Service Area</t>
  </si>
  <si>
    <t>% of LGU in WWTP Service Area:</t>
  </si>
  <si>
    <r>
      <t>WWTP Service Area (miles</t>
    </r>
    <r>
      <rPr>
        <vertAlign val="superscript"/>
        <sz val="12"/>
        <rFont val="Times New Roman"/>
        <family val="1"/>
      </rPr>
      <t>2</t>
    </r>
    <r>
      <rPr>
        <sz val="12"/>
        <rFont val="Times New Roman"/>
        <family val="1"/>
      </rPr>
      <t>):</t>
    </r>
  </si>
  <si>
    <t>Percent of LGU in WWTP Service Area:</t>
  </si>
  <si>
    <r>
      <t>Percent of Sewershed Service Area in WWTP Service Area</t>
    </r>
    <r>
      <rPr>
        <vertAlign val="superscript"/>
        <sz val="12"/>
        <color indexed="8"/>
        <rFont val="Times New Roman"/>
        <family val="1"/>
      </rPr>
      <t>a</t>
    </r>
    <r>
      <rPr>
        <sz val="12"/>
        <color indexed="8"/>
        <rFont val="Times New Roman"/>
        <family val="1"/>
      </rPr>
      <t>:</t>
    </r>
  </si>
  <si>
    <r>
      <rPr>
        <vertAlign val="superscript"/>
        <sz val="10"/>
        <color theme="1"/>
        <rFont val="Times New Roman"/>
        <family val="1"/>
      </rPr>
      <t>a</t>
    </r>
    <r>
      <rPr>
        <sz val="10"/>
        <color theme="1"/>
        <rFont val="Times New Roman"/>
        <family val="1"/>
      </rPr>
      <t>If the WWTP service area is the entire sewershed service area, then enter 100%.</t>
    </r>
  </si>
  <si>
    <t>G</t>
  </si>
  <si>
    <t>Provide a justification for the peaking factor used above (applies to all methods but Metered Flow).</t>
  </si>
  <si>
    <t>Total Estimated Peaked Current Flow (gpd):</t>
  </si>
  <si>
    <t>Total Estimated Service Area Peaked Flow (gpd):</t>
  </si>
  <si>
    <t>Current Peaked Flow (gpd):</t>
  </si>
  <si>
    <t>Provide a justification for the peaking factor used for future peak flows.</t>
  </si>
  <si>
    <t>The peaking factor of 3.00 was selected due to the widespread I/I issues associated with the Central Avenue Sewershed.</t>
  </si>
  <si>
    <t>SDC Data Appendix Reference:</t>
  </si>
  <si>
    <t>Alternative population information was used because the Town and Coon County recognized the need for organized planning due to the large amount of industry moving into the area.  Using GIS-based TAZ analysis, they put together population projections for the next 30 years, of which this is a part.</t>
  </si>
  <si>
    <t>Town/County Comprehensive Plan</t>
  </si>
  <si>
    <t>Sewershed Service Area Population</t>
  </si>
  <si>
    <t>Current Sewershed Service Area Population:</t>
  </si>
  <si>
    <t>Current Population in Sewershed Service Area:</t>
  </si>
  <si>
    <t>% of WWTP Service Area in Sewershed Service Area:</t>
  </si>
  <si>
    <t>The peaking factor of 2.0 was used because of the new interceptor being put into place as part of this project as well as the aggressive I/I reduction campaign that the Town plans to implement to reduce I/I issues within the Central Avenue sewershed.  By 20 years out, the Town hopes to have an I/I reduction of 50 percent, thereby reducing the peaking factor by half.</t>
  </si>
  <si>
    <t>The alternative flow methodology was used because of the alternative population methodology utilized.  Since industry is coming to the county, many people will be living in both the County and the Town, and the flows are based upon the higher populations than predicted by the SDC.</t>
  </si>
  <si>
    <t>Pipe Diameter (inches):</t>
  </si>
  <si>
    <t>Name:</t>
  </si>
  <si>
    <t>Area A</t>
  </si>
  <si>
    <t>Area B</t>
  </si>
  <si>
    <t>Area C</t>
  </si>
  <si>
    <t>Area D</t>
  </si>
  <si>
    <t>Percent WWTP Service Area in Downstream Pipe Sewershed Service Area:</t>
  </si>
  <si>
    <t>ADF from Project (gpd):</t>
  </si>
  <si>
    <t>Flow Projection Preferred for Project:</t>
  </si>
  <si>
    <t>Total Peak Projected Flow from Sub-Sewersheds (gpd)</t>
  </si>
  <si>
    <t>Is pipe capacity sufficient to accommodate project 20-year flows in each sewershed?</t>
  </si>
  <si>
    <t>Percent of Project in Sub-Sewershed</t>
  </si>
  <si>
    <t>Information Related to Project</t>
  </si>
  <si>
    <t>Does the project contain an interceptor with multiple pipe diameters?</t>
  </si>
  <si>
    <t>If the answer to the question above is "No" for any sub-sewershed, provide the reason why the current pipe size is proposed and/or what will be done to ensure capacity by the 20-year window (or 50-year window if extended years are considered).</t>
  </si>
  <si>
    <t>Downstream Collection System</t>
  </si>
  <si>
    <t>Sewershed B</t>
  </si>
  <si>
    <t>Sewershed C</t>
  </si>
  <si>
    <t>Sewershed D</t>
  </si>
  <si>
    <t>Sewershed E</t>
  </si>
  <si>
    <t>Downstream Sewershed</t>
  </si>
  <si>
    <t>Sewershed A</t>
  </si>
  <si>
    <t>Diameter (inches):</t>
  </si>
  <si>
    <t>ADF from Downstream Flows (gpd)</t>
  </si>
  <si>
    <t>Peak Flow from Downstream Flows (gpd)</t>
  </si>
  <si>
    <t>Total Peak Flow Through Downstream Pipe (gpd)</t>
  </si>
  <si>
    <t>Will the downstream pipe be able to take on both project flow and flow from downstream sewersheds?</t>
  </si>
  <si>
    <t>Capacity of Pipe(s) in downstream sewershed (gallons):</t>
  </si>
  <si>
    <t>WWTP Capacity Analysis</t>
  </si>
  <si>
    <t>WWTP Current Capacity (gpd):</t>
  </si>
  <si>
    <t>Peak Flow from Project (gpd):</t>
  </si>
  <si>
    <t>ADF from Downstream Interceptor only (gpd):</t>
  </si>
  <si>
    <t>Current:</t>
  </si>
  <si>
    <t>Year 1:</t>
  </si>
  <si>
    <t>Year 5:</t>
  </si>
  <si>
    <t>Year 10:</t>
  </si>
  <si>
    <t>Year 15:</t>
  </si>
  <si>
    <t>Year 20:</t>
  </si>
  <si>
    <t>Anytown, NC</t>
  </si>
  <si>
    <t>A</t>
  </si>
  <si>
    <t>D</t>
  </si>
  <si>
    <t>E</t>
  </si>
  <si>
    <t>F</t>
  </si>
  <si>
    <t>Coon</t>
  </si>
  <si>
    <t>The Town intends to undertake an aggressive I/I campaign, especially in the sewershed at the head of the project and the foot of the project.  The goal of the I/I program is to reduce I/I flows by half, which should reduce the flows in the interceptors where "No" is shown substantially so that they have the capacity to take the flow from the project.</t>
  </si>
  <si>
    <t>The analysis shows that Sewershed B will not be able to accommodate the flows in 2033.  In 2025, the CIP contains a line item to expand the pipe downstream of the project sewershed to accommodate the additional flows that are expected in the project area.</t>
  </si>
  <si>
    <t>The Town plans to begin planning for expansion of the WWTP in the Year 2014.  Construction will be scheduled to begin by Year 2020 with completion by Year 2023.  See Line Item 24 in the CIP for the Town of Anytown.</t>
  </si>
  <si>
    <t>Table 4.4.3.  Downstream Capacity Analysis</t>
  </si>
  <si>
    <t>Table 3.4.3.  Interceptor Capacity Analysis</t>
  </si>
  <si>
    <t>Table 3.4.1.  Future Population Analysis</t>
  </si>
  <si>
    <t>Table 2.3.1.  Current Flow Analysis</t>
  </si>
  <si>
    <t>Table 2.2.1.  Current Population Analysis Method 2 - Large Service Area</t>
  </si>
  <si>
    <t>Table 3.4.2.  Future Peak Flow Analysis</t>
  </si>
</sst>
</file>

<file path=xl/styles.xml><?xml version="1.0" encoding="utf-8"?>
<styleSheet xmlns="http://schemas.openxmlformats.org/spreadsheetml/2006/main">
  <fonts count="24">
    <font>
      <sz val="11"/>
      <color theme="1"/>
      <name val="Calibri"/>
      <family val="2"/>
      <scheme val="minor"/>
    </font>
    <font>
      <sz val="11"/>
      <color indexed="8"/>
      <name val="Calibri"/>
      <family val="2"/>
    </font>
    <font>
      <sz val="8"/>
      <name val="Calibri"/>
      <family val="2"/>
    </font>
    <font>
      <sz val="10"/>
      <color indexed="8"/>
      <name val="Times New Roman"/>
      <family val="1"/>
    </font>
    <font>
      <sz val="12"/>
      <color indexed="8"/>
      <name val="Times New Roman"/>
      <family val="1"/>
    </font>
    <font>
      <b/>
      <sz val="12"/>
      <color indexed="8"/>
      <name val="Times New Roman"/>
      <family val="1"/>
    </font>
    <font>
      <vertAlign val="superscript"/>
      <sz val="10"/>
      <color indexed="8"/>
      <name val="Times New Roman"/>
      <family val="1"/>
    </font>
    <font>
      <u/>
      <sz val="11"/>
      <color indexed="12"/>
      <name val="Calibri"/>
      <family val="2"/>
    </font>
    <font>
      <u/>
      <vertAlign val="superscript"/>
      <sz val="11"/>
      <color indexed="12"/>
      <name val="Calibri"/>
      <family val="2"/>
    </font>
    <font>
      <sz val="12"/>
      <name val="Times New Roman"/>
      <family val="1"/>
    </font>
    <font>
      <vertAlign val="superscript"/>
      <sz val="12"/>
      <name val="Times New Roman"/>
      <family val="1"/>
    </font>
    <font>
      <b/>
      <sz val="12"/>
      <name val="Times New Roman"/>
      <family val="1"/>
    </font>
    <font>
      <vertAlign val="superscript"/>
      <sz val="12"/>
      <color indexed="8"/>
      <name val="Times New Roman"/>
      <family val="1"/>
    </font>
    <font>
      <u/>
      <sz val="11"/>
      <color theme="10"/>
      <name val="Calibri"/>
      <family val="2"/>
    </font>
    <font>
      <sz val="10"/>
      <color theme="1"/>
      <name val="Times New Roman"/>
      <family val="1"/>
    </font>
    <font>
      <sz val="12"/>
      <color theme="1"/>
      <name val="Times New Roman"/>
      <family val="1"/>
    </font>
    <font>
      <b/>
      <sz val="12"/>
      <color theme="1"/>
      <name val="Times New Roman"/>
      <family val="1"/>
    </font>
    <font>
      <i/>
      <sz val="12"/>
      <color theme="1"/>
      <name val="Times New Roman"/>
      <family val="1"/>
    </font>
    <font>
      <sz val="11"/>
      <color theme="1"/>
      <name val="Times New Roman"/>
      <family val="1"/>
    </font>
    <font>
      <b/>
      <sz val="11"/>
      <color theme="1"/>
      <name val="Times New Roman"/>
      <family val="1"/>
    </font>
    <font>
      <b/>
      <i/>
      <sz val="11"/>
      <color theme="1"/>
      <name val="Times New Roman"/>
      <family val="1"/>
    </font>
    <font>
      <i/>
      <sz val="11"/>
      <color theme="1"/>
      <name val="Times New Roman"/>
      <family val="1"/>
    </font>
    <font>
      <vertAlign val="superscript"/>
      <sz val="10"/>
      <color theme="1"/>
      <name val="Times New Roman"/>
      <family val="1"/>
    </font>
    <font>
      <b/>
      <sz val="11"/>
      <name val="Times New Roman"/>
      <family val="1"/>
    </font>
  </fonts>
  <fills count="4">
    <fill>
      <patternFill patternType="none"/>
    </fill>
    <fill>
      <patternFill patternType="gray125"/>
    </fill>
    <fill>
      <patternFill patternType="solid">
        <fgColor rgb="FFF0F0F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Up="1" diagonalDown="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3" fillId="0" borderId="0" applyNumberFormat="0" applyFill="0" applyBorder="0" applyAlignment="0" applyProtection="0">
      <alignment vertical="top"/>
      <protection locked="0"/>
    </xf>
    <xf numFmtId="9" fontId="1" fillId="0" borderId="0" applyFont="0" applyFill="0" applyBorder="0" applyAlignment="0" applyProtection="0"/>
  </cellStyleXfs>
  <cellXfs count="242">
    <xf numFmtId="0" fontId="0" fillId="0" borderId="0" xfId="0"/>
    <xf numFmtId="0" fontId="0" fillId="0" borderId="0" xfId="0" applyAlignment="1">
      <alignment horizontal="right"/>
    </xf>
    <xf numFmtId="0" fontId="14" fillId="0" borderId="0" xfId="0" applyFont="1"/>
    <xf numFmtId="0" fontId="15" fillId="0" borderId="0" xfId="0" applyFont="1"/>
    <xf numFmtId="0" fontId="15" fillId="0" borderId="0" xfId="0" applyFont="1" applyAlignment="1">
      <alignment horizontal="right"/>
    </xf>
    <xf numFmtId="0" fontId="15" fillId="0" borderId="0" xfId="0" applyFont="1" applyFill="1"/>
    <xf numFmtId="0" fontId="15" fillId="0" borderId="0" xfId="0" applyFont="1" applyAlignment="1">
      <alignment horizontal="right" wrapText="1"/>
    </xf>
    <xf numFmtId="0" fontId="15" fillId="0" borderId="1" xfId="0" applyFont="1" applyBorder="1" applyAlignment="1">
      <alignment horizontal="right"/>
    </xf>
    <xf numFmtId="0" fontId="16" fillId="0" borderId="1" xfId="0" applyFont="1" applyBorder="1" applyAlignment="1">
      <alignment horizontal="center"/>
    </xf>
    <xf numFmtId="0" fontId="15" fillId="0" borderId="1" xfId="0" applyFont="1" applyBorder="1"/>
    <xf numFmtId="3" fontId="15" fillId="0" borderId="1" xfId="0" applyNumberFormat="1" applyFont="1" applyBorder="1"/>
    <xf numFmtId="2" fontId="15" fillId="0" borderId="1" xfId="0" applyNumberFormat="1" applyFont="1" applyBorder="1"/>
    <xf numFmtId="10" fontId="4" fillId="0" borderId="0" xfId="2" applyNumberFormat="1" applyFont="1"/>
    <xf numFmtId="10" fontId="5" fillId="0" borderId="0" xfId="2" applyNumberFormat="1" applyFont="1"/>
    <xf numFmtId="0" fontId="16" fillId="0" borderId="0" xfId="0" applyFont="1" applyAlignment="1">
      <alignment horizontal="center" wrapText="1"/>
    </xf>
    <xf numFmtId="0" fontId="16" fillId="0" borderId="1" xfId="0" applyFont="1" applyBorder="1" applyAlignment="1">
      <alignment horizontal="center" wrapText="1"/>
    </xf>
    <xf numFmtId="10" fontId="15" fillId="0" borderId="1" xfId="0" applyNumberFormat="1" applyFont="1" applyBorder="1"/>
    <xf numFmtId="10" fontId="15" fillId="0" borderId="1" xfId="2" applyNumberFormat="1" applyFont="1" applyBorder="1"/>
    <xf numFmtId="0" fontId="15" fillId="0" borderId="2" xfId="0" applyFont="1" applyBorder="1"/>
    <xf numFmtId="3" fontId="16" fillId="0" borderId="1" xfId="0" applyNumberFormat="1" applyFont="1" applyBorder="1"/>
    <xf numFmtId="0" fontId="15" fillId="0" borderId="3" xfId="0" applyFont="1" applyBorder="1"/>
    <xf numFmtId="0" fontId="15" fillId="0" borderId="4" xfId="0" applyFont="1" applyBorder="1"/>
    <xf numFmtId="0" fontId="15" fillId="0" borderId="5" xfId="0" applyFont="1" applyBorder="1"/>
    <xf numFmtId="0" fontId="15" fillId="0" borderId="6" xfId="0" applyFont="1" applyBorder="1"/>
    <xf numFmtId="0" fontId="15" fillId="0" borderId="8" xfId="0" applyFont="1" applyBorder="1"/>
    <xf numFmtId="0" fontId="0" fillId="2" borderId="0" xfId="0" applyFill="1" applyProtection="1">
      <protection locked="0"/>
    </xf>
    <xf numFmtId="3" fontId="15" fillId="2" borderId="1" xfId="0" applyNumberFormat="1" applyFont="1" applyFill="1" applyBorder="1" applyProtection="1">
      <protection locked="0"/>
    </xf>
    <xf numFmtId="0" fontId="15" fillId="0" borderId="9" xfId="0" applyFont="1" applyBorder="1"/>
    <xf numFmtId="0" fontId="15" fillId="0" borderId="10" xfId="0" applyFont="1" applyBorder="1"/>
    <xf numFmtId="0" fontId="15" fillId="0" borderId="1" xfId="0" applyFont="1" applyBorder="1" applyAlignment="1">
      <alignment horizontal="right"/>
    </xf>
    <xf numFmtId="0" fontId="13" fillId="0" borderId="0" xfId="1" applyFill="1" applyAlignment="1" applyProtection="1">
      <alignment horizontal="right" wrapText="1"/>
    </xf>
    <xf numFmtId="0" fontId="15" fillId="0" borderId="11" xfId="0" applyFont="1" applyBorder="1" applyAlignment="1">
      <alignment horizontal="right"/>
    </xf>
    <xf numFmtId="0" fontId="15" fillId="0" borderId="1" xfId="0" applyFont="1" applyBorder="1" applyAlignment="1">
      <alignment horizontal="right" wrapText="1"/>
    </xf>
    <xf numFmtId="0" fontId="15" fillId="0" borderId="1" xfId="0" applyFont="1" applyBorder="1" applyAlignment="1">
      <alignment horizontal="right"/>
    </xf>
    <xf numFmtId="0" fontId="16" fillId="0" borderId="2" xfId="0" applyFont="1" applyBorder="1" applyAlignment="1">
      <alignment horizontal="center" wrapText="1"/>
    </xf>
    <xf numFmtId="0" fontId="16" fillId="0" borderId="10" xfId="0" applyFont="1" applyBorder="1" applyAlignment="1">
      <alignment horizontal="center"/>
    </xf>
    <xf numFmtId="0" fontId="16" fillId="0" borderId="1" xfId="0" applyFont="1" applyBorder="1" applyAlignment="1">
      <alignment horizontal="center"/>
    </xf>
    <xf numFmtId="0" fontId="16" fillId="0" borderId="0" xfId="0" applyFont="1" applyBorder="1" applyAlignment="1"/>
    <xf numFmtId="0" fontId="13" fillId="0" borderId="1" xfId="1" applyBorder="1" applyAlignment="1" applyProtection="1">
      <alignment horizontal="center"/>
    </xf>
    <xf numFmtId="0" fontId="17" fillId="0" borderId="0" xfId="0" applyFont="1" applyBorder="1" applyAlignment="1">
      <alignment wrapText="1"/>
    </xf>
    <xf numFmtId="0" fontId="13" fillId="0" borderId="1" xfId="1" applyBorder="1" applyAlignment="1" applyProtection="1">
      <alignment horizontal="right"/>
    </xf>
    <xf numFmtId="0" fontId="9" fillId="0" borderId="1" xfId="1" applyFont="1" applyBorder="1" applyAlignment="1" applyProtection="1">
      <alignment horizontal="right"/>
    </xf>
    <xf numFmtId="10" fontId="15" fillId="0" borderId="1" xfId="2" applyNumberFormat="1" applyFont="1" applyFill="1" applyBorder="1" applyAlignment="1"/>
    <xf numFmtId="0" fontId="11" fillId="0" borderId="1" xfId="1" applyFont="1" applyBorder="1" applyAlignment="1" applyProtection="1">
      <alignment horizontal="right" wrapText="1"/>
    </xf>
    <xf numFmtId="3" fontId="16" fillId="0" borderId="1" xfId="0" applyNumberFormat="1" applyFont="1" applyFill="1" applyBorder="1" applyAlignment="1"/>
    <xf numFmtId="3" fontId="15" fillId="3" borderId="1" xfId="0" applyNumberFormat="1" applyFont="1" applyFill="1" applyBorder="1" applyAlignment="1" applyProtection="1">
      <protection locked="0"/>
    </xf>
    <xf numFmtId="4" fontId="15" fillId="3" borderId="1" xfId="0" applyNumberFormat="1" applyFont="1" applyFill="1" applyBorder="1" applyAlignment="1" applyProtection="1">
      <protection locked="0"/>
    </xf>
    <xf numFmtId="0" fontId="15" fillId="3" borderId="1" xfId="0" applyFont="1" applyFill="1" applyBorder="1" applyAlignment="1" applyProtection="1">
      <protection locked="0"/>
    </xf>
    <xf numFmtId="0" fontId="15" fillId="3" borderId="11" xfId="0" applyFont="1" applyFill="1" applyBorder="1" applyAlignment="1" applyProtection="1">
      <alignment horizontal="center" wrapText="1"/>
      <protection locked="0"/>
    </xf>
    <xf numFmtId="0" fontId="15" fillId="3" borderId="1" xfId="0" applyFont="1" applyFill="1" applyBorder="1" applyProtection="1">
      <protection locked="0"/>
    </xf>
    <xf numFmtId="0" fontId="16" fillId="0" borderId="2" xfId="0" applyFont="1" applyFill="1" applyBorder="1" applyAlignment="1" applyProtection="1">
      <alignment horizontal="center" wrapText="1"/>
      <protection locked="0"/>
    </xf>
    <xf numFmtId="0" fontId="16" fillId="0" borderId="10" xfId="0" applyFont="1" applyFill="1" applyBorder="1" applyAlignment="1" applyProtection="1">
      <alignment horizontal="center"/>
      <protection locked="0"/>
    </xf>
    <xf numFmtId="3" fontId="15" fillId="3" borderId="1" xfId="0" applyNumberFormat="1" applyFont="1" applyFill="1" applyBorder="1" applyProtection="1">
      <protection locked="0"/>
    </xf>
    <xf numFmtId="10" fontId="15" fillId="3" borderId="1" xfId="0" applyNumberFormat="1" applyFont="1" applyFill="1" applyBorder="1" applyProtection="1">
      <protection locked="0"/>
    </xf>
    <xf numFmtId="4" fontId="15" fillId="3" borderId="1" xfId="0" applyNumberFormat="1" applyFont="1" applyFill="1" applyBorder="1" applyProtection="1">
      <protection locked="0"/>
    </xf>
    <xf numFmtId="4" fontId="15" fillId="0" borderId="1" xfId="0" applyNumberFormat="1" applyFont="1" applyBorder="1"/>
    <xf numFmtId="0" fontId="15" fillId="0" borderId="3" xfId="0" applyFont="1" applyFill="1" applyBorder="1"/>
    <xf numFmtId="3" fontId="15" fillId="0" borderId="1" xfId="0" applyNumberFormat="1" applyFont="1" applyFill="1" applyBorder="1" applyProtection="1"/>
    <xf numFmtId="3" fontId="16" fillId="3" borderId="1" xfId="0" applyNumberFormat="1" applyFont="1" applyFill="1" applyBorder="1" applyProtection="1">
      <protection locked="0"/>
    </xf>
    <xf numFmtId="10" fontId="15" fillId="0" borderId="0" xfId="0" applyNumberFormat="1" applyFont="1"/>
    <xf numFmtId="0" fontId="15" fillId="3" borderId="11" xfId="0" applyFont="1" applyFill="1" applyBorder="1" applyProtection="1">
      <protection locked="0"/>
    </xf>
    <xf numFmtId="10" fontId="15" fillId="0" borderId="11" xfId="0" applyNumberFormat="1" applyFont="1" applyBorder="1"/>
    <xf numFmtId="0" fontId="15" fillId="0" borderId="12" xfId="0" applyFont="1" applyBorder="1"/>
    <xf numFmtId="0" fontId="15" fillId="0" borderId="13" xfId="0" applyFont="1" applyBorder="1"/>
    <xf numFmtId="3" fontId="15" fillId="3" borderId="11" xfId="0" applyNumberFormat="1" applyFont="1" applyFill="1" applyBorder="1" applyProtection="1">
      <protection locked="0"/>
    </xf>
    <xf numFmtId="0" fontId="15" fillId="3" borderId="1" xfId="0" applyFont="1" applyFill="1" applyBorder="1" applyAlignment="1" applyProtection="1">
      <alignment horizontal="center"/>
      <protection locked="0"/>
    </xf>
    <xf numFmtId="0" fontId="15" fillId="0" borderId="11" xfId="0" applyFont="1" applyBorder="1"/>
    <xf numFmtId="3" fontId="15" fillId="0" borderId="1" xfId="0" applyNumberFormat="1" applyFont="1" applyBorder="1" applyProtection="1"/>
    <xf numFmtId="0" fontId="15" fillId="0" borderId="11" xfId="0" applyFont="1" applyBorder="1" applyAlignment="1">
      <alignment horizontal="right"/>
    </xf>
    <xf numFmtId="0" fontId="16" fillId="0" borderId="1" xfId="0" applyFont="1" applyBorder="1" applyAlignment="1">
      <alignment horizontal="center"/>
    </xf>
    <xf numFmtId="0" fontId="15" fillId="3" borderId="7" xfId="0" applyFont="1" applyFill="1" applyBorder="1" applyProtection="1">
      <protection locked="0"/>
    </xf>
    <xf numFmtId="0" fontId="15" fillId="0" borderId="0" xfId="0" applyFont="1" applyBorder="1"/>
    <xf numFmtId="0" fontId="15" fillId="0" borderId="7" xfId="0" applyFont="1" applyBorder="1" applyAlignment="1">
      <alignment horizontal="right"/>
    </xf>
    <xf numFmtId="0" fontId="15" fillId="0" borderId="14" xfId="0" applyFont="1" applyBorder="1" applyAlignment="1">
      <alignment horizontal="right"/>
    </xf>
    <xf numFmtId="3" fontId="15" fillId="0" borderId="12" xfId="0" applyNumberFormat="1" applyFont="1" applyBorder="1"/>
    <xf numFmtId="0" fontId="16" fillId="0" borderId="4" xfId="0" applyFont="1" applyBorder="1" applyAlignment="1">
      <alignment horizontal="right"/>
    </xf>
    <xf numFmtId="0" fontId="16" fillId="0" borderId="12" xfId="0" applyFont="1" applyBorder="1"/>
    <xf numFmtId="10" fontId="15" fillId="0" borderId="1" xfId="2" applyNumberFormat="1" applyFont="1" applyFill="1" applyBorder="1" applyProtection="1"/>
    <xf numFmtId="10" fontId="15" fillId="3" borderId="1" xfId="2" applyNumberFormat="1" applyFont="1" applyFill="1" applyBorder="1" applyAlignment="1" applyProtection="1">
      <protection locked="0"/>
    </xf>
    <xf numFmtId="0" fontId="18" fillId="0" borderId="0" xfId="0" applyFont="1"/>
    <xf numFmtId="0" fontId="15" fillId="0" borderId="1" xfId="0" applyFont="1" applyBorder="1" applyAlignment="1">
      <alignment horizontal="center" wrapText="1"/>
    </xf>
    <xf numFmtId="0" fontId="18" fillId="0" borderId="1" xfId="0" applyFont="1" applyBorder="1"/>
    <xf numFmtId="0" fontId="18" fillId="0" borderId="1" xfId="0" applyFont="1" applyBorder="1" applyAlignment="1">
      <alignment horizontal="right"/>
    </xf>
    <xf numFmtId="3" fontId="18" fillId="3" borderId="1" xfId="0" applyNumberFormat="1" applyFont="1" applyFill="1" applyBorder="1" applyProtection="1">
      <protection locked="0"/>
    </xf>
    <xf numFmtId="0" fontId="19" fillId="0" borderId="1" xfId="0" applyFont="1" applyBorder="1" applyAlignment="1">
      <alignment horizontal="center"/>
    </xf>
    <xf numFmtId="0" fontId="18" fillId="0" borderId="1" xfId="0" applyFont="1" applyBorder="1" applyAlignment="1">
      <alignment horizontal="right" wrapText="1"/>
    </xf>
    <xf numFmtId="0" fontId="18" fillId="0" borderId="1" xfId="0" applyFont="1" applyBorder="1" applyAlignment="1">
      <alignment horizontal="center" vertical="center"/>
    </xf>
    <xf numFmtId="0" fontId="19" fillId="0" borderId="1" xfId="0" applyFont="1" applyBorder="1" applyAlignment="1">
      <alignment horizontal="center" vertical="center"/>
    </xf>
    <xf numFmtId="10" fontId="18" fillId="3" borderId="1" xfId="0" applyNumberFormat="1" applyFont="1" applyFill="1" applyBorder="1" applyAlignment="1" applyProtection="1">
      <alignment horizontal="center" vertical="center"/>
      <protection locked="0"/>
    </xf>
    <xf numFmtId="3" fontId="18" fillId="0" borderId="1" xfId="0" applyNumberFormat="1" applyFont="1" applyFill="1" applyBorder="1" applyProtection="1"/>
    <xf numFmtId="10" fontId="19" fillId="0" borderId="1" xfId="2" applyNumberFormat="1" applyFont="1" applyBorder="1"/>
    <xf numFmtId="0" fontId="19" fillId="0" borderId="1" xfId="0" applyFont="1" applyBorder="1" applyAlignment="1">
      <alignment horizontal="right" wrapText="1"/>
    </xf>
    <xf numFmtId="0" fontId="15" fillId="0" borderId="11" xfId="0" applyFont="1" applyBorder="1" applyAlignment="1">
      <alignment horizontal="right"/>
    </xf>
    <xf numFmtId="0" fontId="16" fillId="0" borderId="1" xfId="0" applyFont="1" applyBorder="1" applyAlignment="1">
      <alignment horizontal="center" wrapText="1"/>
    </xf>
    <xf numFmtId="0" fontId="16" fillId="0" borderId="0" xfId="0" applyFont="1" applyFill="1" applyBorder="1" applyAlignment="1" applyProtection="1"/>
    <xf numFmtId="2" fontId="15" fillId="3" borderId="1" xfId="0" applyNumberFormat="1" applyFont="1" applyFill="1" applyBorder="1" applyProtection="1">
      <protection locked="0"/>
    </xf>
    <xf numFmtId="0" fontId="13" fillId="0" borderId="11" xfId="1" applyBorder="1" applyAlignment="1" applyProtection="1">
      <alignment horizontal="right"/>
    </xf>
    <xf numFmtId="0" fontId="15" fillId="3" borderId="1" xfId="0" applyFont="1" applyFill="1" applyBorder="1" applyAlignment="1">
      <alignment horizontal="center" wrapText="1"/>
    </xf>
    <xf numFmtId="3" fontId="18" fillId="0" borderId="1" xfId="0" applyNumberFormat="1" applyFont="1" applyFill="1" applyBorder="1" applyAlignment="1" applyProtection="1">
      <alignment horizontal="right" wrapText="1"/>
    </xf>
    <xf numFmtId="0" fontId="18" fillId="0" borderId="12" xfId="0" applyFont="1" applyBorder="1" applyAlignment="1">
      <alignment horizontal="right" wrapText="1"/>
    </xf>
    <xf numFmtId="0" fontId="19" fillId="0" borderId="11" xfId="0" applyFont="1" applyBorder="1" applyAlignment="1">
      <alignment horizontal="center"/>
    </xf>
    <xf numFmtId="0" fontId="16" fillId="0" borderId="1" xfId="0" applyFont="1" applyBorder="1" applyAlignment="1">
      <alignment horizontal="center" wrapText="1"/>
    </xf>
    <xf numFmtId="0" fontId="15" fillId="0" borderId="1" xfId="0" applyFont="1" applyBorder="1" applyAlignment="1">
      <alignment horizontal="right"/>
    </xf>
    <xf numFmtId="0" fontId="16" fillId="0" borderId="1" xfId="0" applyFont="1" applyBorder="1" applyAlignment="1">
      <alignment horizontal="center" wrapText="1"/>
    </xf>
    <xf numFmtId="0" fontId="19" fillId="0" borderId="15" xfId="0" applyFont="1" applyBorder="1" applyAlignment="1">
      <alignment horizontal="center"/>
    </xf>
    <xf numFmtId="0" fontId="19" fillId="0" borderId="0" xfId="0" applyFont="1" applyBorder="1" applyAlignment="1">
      <alignment horizontal="center"/>
    </xf>
    <xf numFmtId="3" fontId="15" fillId="0" borderId="0" xfId="0" applyNumberFormat="1" applyFont="1" applyFill="1" applyBorder="1" applyProtection="1">
      <protection locked="0"/>
    </xf>
    <xf numFmtId="0" fontId="17" fillId="0" borderId="0" xfId="0" applyFont="1" applyBorder="1" applyAlignment="1"/>
    <xf numFmtId="0" fontId="15" fillId="0" borderId="15" xfId="0" applyFont="1" applyBorder="1" applyAlignment="1">
      <alignment wrapText="1"/>
    </xf>
    <xf numFmtId="0" fontId="15" fillId="0" borderId="15" xfId="0" applyFont="1" applyFill="1" applyBorder="1"/>
    <xf numFmtId="3" fontId="15" fillId="0" borderId="15" xfId="0" applyNumberFormat="1" applyFont="1" applyFill="1" applyBorder="1" applyProtection="1">
      <protection locked="0"/>
    </xf>
    <xf numFmtId="0" fontId="15" fillId="0" borderId="0" xfId="0" applyFont="1" applyFill="1" applyBorder="1" applyAlignment="1" applyProtection="1">
      <alignment vertical="top" wrapText="1"/>
    </xf>
    <xf numFmtId="0" fontId="15" fillId="3" borderId="1" xfId="0" applyFont="1" applyFill="1" applyBorder="1" applyAlignment="1" applyProtection="1">
      <alignment horizontal="center"/>
      <protection locked="0"/>
    </xf>
    <xf numFmtId="0" fontId="15" fillId="2" borderId="1" xfId="0" applyFont="1" applyFill="1" applyBorder="1" applyAlignment="1" applyProtection="1">
      <alignment horizontal="left"/>
      <protection locked="0"/>
    </xf>
    <xf numFmtId="3" fontId="18" fillId="0" borderId="12" xfId="0" applyNumberFormat="1" applyFont="1" applyBorder="1" applyAlignment="1">
      <alignment horizontal="right" wrapText="1"/>
    </xf>
    <xf numFmtId="3" fontId="18" fillId="3" borderId="1" xfId="0" applyNumberFormat="1" applyFont="1" applyFill="1" applyBorder="1" applyAlignment="1" applyProtection="1">
      <alignment horizontal="center" wrapText="1"/>
      <protection locked="0"/>
    </xf>
    <xf numFmtId="3" fontId="19" fillId="0" borderId="1" xfId="0" applyNumberFormat="1" applyFont="1" applyFill="1" applyBorder="1" applyAlignment="1" applyProtection="1">
      <alignment horizontal="center" wrapText="1"/>
    </xf>
    <xf numFmtId="3" fontId="18" fillId="0" borderId="1" xfId="0" applyNumberFormat="1" applyFont="1" applyFill="1" applyBorder="1" applyAlignment="1" applyProtection="1">
      <alignment horizontal="center" wrapText="1"/>
    </xf>
    <xf numFmtId="3" fontId="18" fillId="0" borderId="1" xfId="0" applyNumberFormat="1" applyFont="1" applyFill="1" applyBorder="1" applyAlignment="1" applyProtection="1">
      <alignment wrapText="1"/>
    </xf>
    <xf numFmtId="4" fontId="18" fillId="3" borderId="1" xfId="0" applyNumberFormat="1" applyFont="1" applyFill="1" applyBorder="1" applyAlignment="1" applyProtection="1">
      <alignment horizontal="center" wrapText="1"/>
      <protection locked="0"/>
    </xf>
    <xf numFmtId="0" fontId="18" fillId="3" borderId="1" xfId="0" applyFont="1" applyFill="1" applyBorder="1" applyAlignment="1" applyProtection="1">
      <alignment horizontal="center"/>
      <protection locked="0"/>
    </xf>
    <xf numFmtId="3" fontId="15" fillId="0" borderId="1" xfId="0" applyNumberFormat="1" applyFont="1" applyBorder="1" applyAlignment="1">
      <alignment wrapText="1"/>
    </xf>
    <xf numFmtId="0" fontId="15" fillId="3" borderId="1" xfId="0" applyFont="1" applyFill="1" applyBorder="1" applyAlignment="1" applyProtection="1">
      <alignment horizontal="center" wrapText="1"/>
      <protection locked="0"/>
    </xf>
    <xf numFmtId="4" fontId="18" fillId="0" borderId="3" xfId="0" applyNumberFormat="1" applyFont="1" applyFill="1" applyBorder="1" applyAlignment="1" applyProtection="1">
      <alignment horizontal="center" wrapText="1"/>
    </xf>
    <xf numFmtId="0" fontId="23" fillId="3" borderId="1" xfId="0" applyFont="1" applyFill="1" applyBorder="1" applyAlignment="1" applyProtection="1">
      <alignment horizontal="center"/>
      <protection locked="0"/>
    </xf>
    <xf numFmtId="0" fontId="15" fillId="0" borderId="1" xfId="0" applyFont="1" applyBorder="1" applyAlignment="1">
      <alignment horizontal="right"/>
    </xf>
    <xf numFmtId="0" fontId="16" fillId="0" borderId="1" xfId="0" applyFont="1" applyBorder="1" applyAlignment="1">
      <alignment horizontal="center"/>
    </xf>
    <xf numFmtId="0" fontId="16" fillId="0" borderId="1" xfId="0" applyFont="1" applyBorder="1" applyAlignment="1">
      <alignment horizontal="center" wrapText="1"/>
    </xf>
    <xf numFmtId="0" fontId="16" fillId="0" borderId="1" xfId="0" applyFont="1" applyBorder="1" applyAlignment="1">
      <alignment horizontal="center" wrapText="1"/>
    </xf>
    <xf numFmtId="0" fontId="3" fillId="0" borderId="0" xfId="0" applyFont="1" applyAlignment="1">
      <alignment horizontal="left" wrapText="1"/>
    </xf>
    <xf numFmtId="0" fontId="14" fillId="0" borderId="0" xfId="0" applyFont="1" applyAlignment="1">
      <alignment horizontal="left"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0" fontId="16" fillId="0" borderId="15" xfId="0" applyFont="1" applyBorder="1" applyAlignment="1">
      <alignment horizontal="center"/>
    </xf>
    <xf numFmtId="0" fontId="16" fillId="0" borderId="0" xfId="0" applyFont="1" applyBorder="1" applyAlignment="1">
      <alignment horizontal="center"/>
    </xf>
    <xf numFmtId="0" fontId="16" fillId="0" borderId="16" xfId="0" applyFont="1" applyBorder="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17" fillId="0" borderId="11" xfId="0" applyFont="1" applyBorder="1" applyAlignment="1">
      <alignment horizontal="left"/>
    </xf>
    <xf numFmtId="0" fontId="15" fillId="2" borderId="1" xfId="0" applyFont="1" applyFill="1" applyBorder="1" applyAlignment="1" applyProtection="1">
      <alignment horizontal="left"/>
      <protection locked="0"/>
    </xf>
    <xf numFmtId="0" fontId="15" fillId="0" borderId="12" xfId="0" applyFont="1" applyBorder="1" applyAlignment="1">
      <alignment horizontal="right"/>
    </xf>
    <xf numFmtId="0" fontId="15" fillId="0" borderId="11" xfId="0" applyFont="1" applyBorder="1" applyAlignment="1">
      <alignment horizontal="right"/>
    </xf>
    <xf numFmtId="0" fontId="16" fillId="0" borderId="6" xfId="0" applyFont="1" applyBorder="1" applyAlignment="1">
      <alignment horizontal="left"/>
    </xf>
    <xf numFmtId="0" fontId="16" fillId="0" borderId="5" xfId="0" applyFont="1" applyBorder="1" applyAlignment="1">
      <alignment horizontal="center" wrapText="1"/>
    </xf>
    <xf numFmtId="0" fontId="16" fillId="0" borderId="7" xfId="0" applyFont="1" applyBorder="1" applyAlignment="1">
      <alignment horizontal="center" wrapText="1"/>
    </xf>
    <xf numFmtId="0" fontId="16" fillId="0" borderId="15" xfId="0" applyFont="1" applyBorder="1" applyAlignment="1">
      <alignment horizontal="center" wrapText="1"/>
    </xf>
    <xf numFmtId="0" fontId="16" fillId="0" borderId="16" xfId="0" applyFont="1" applyBorder="1" applyAlignment="1">
      <alignment horizontal="center" wrapText="1"/>
    </xf>
    <xf numFmtId="0" fontId="16" fillId="0" borderId="8" xfId="0" applyFont="1" applyBorder="1" applyAlignment="1">
      <alignment horizontal="center" wrapText="1"/>
    </xf>
    <xf numFmtId="0" fontId="16" fillId="0" borderId="14" xfId="0" applyFont="1" applyBorder="1" applyAlignment="1">
      <alignment horizontal="center" wrapText="1"/>
    </xf>
    <xf numFmtId="0" fontId="17" fillId="0" borderId="12" xfId="0" applyFont="1" applyBorder="1" applyAlignment="1">
      <alignment horizontal="left" wrapText="1"/>
    </xf>
    <xf numFmtId="0" fontId="17" fillId="0" borderId="11" xfId="0" applyFont="1" applyBorder="1" applyAlignment="1">
      <alignment horizontal="left" wrapText="1"/>
    </xf>
    <xf numFmtId="0" fontId="17" fillId="0" borderId="1" xfId="0" applyFont="1" applyBorder="1" applyAlignment="1">
      <alignment horizontal="left"/>
    </xf>
    <xf numFmtId="0" fontId="15" fillId="3" borderId="12" xfId="0" applyFont="1" applyFill="1" applyBorder="1" applyAlignment="1" applyProtection="1">
      <alignment horizontal="left" vertical="top" wrapText="1"/>
      <protection locked="0"/>
    </xf>
    <xf numFmtId="0" fontId="15" fillId="3" borderId="13" xfId="0" applyFont="1" applyFill="1" applyBorder="1" applyAlignment="1" applyProtection="1">
      <alignment horizontal="left" vertical="top" wrapText="1"/>
      <protection locked="0"/>
    </xf>
    <xf numFmtId="0" fontId="15" fillId="3" borderId="11" xfId="0" applyFont="1" applyFill="1" applyBorder="1" applyAlignment="1" applyProtection="1">
      <alignment horizontal="left" vertical="top" wrapText="1"/>
      <protection locked="0"/>
    </xf>
    <xf numFmtId="0" fontId="15" fillId="0" borderId="1" xfId="0" applyFont="1" applyBorder="1" applyAlignment="1">
      <alignment horizontal="right"/>
    </xf>
    <xf numFmtId="0" fontId="16" fillId="0" borderId="1" xfId="0" applyFont="1" applyBorder="1" applyAlignment="1">
      <alignment horizontal="right"/>
    </xf>
    <xf numFmtId="0" fontId="15" fillId="0" borderId="13" xfId="0" applyFont="1" applyBorder="1" applyAlignment="1">
      <alignment horizontal="right"/>
    </xf>
    <xf numFmtId="0" fontId="16" fillId="0" borderId="1" xfId="0" applyFont="1" applyBorder="1" applyAlignment="1">
      <alignment horizontal="center"/>
    </xf>
    <xf numFmtId="0" fontId="15" fillId="0" borderId="1" xfId="0" applyFont="1" applyFill="1" applyBorder="1" applyAlignment="1" applyProtection="1">
      <alignment horizontal="right"/>
      <protection locked="0"/>
    </xf>
    <xf numFmtId="0" fontId="16" fillId="0" borderId="1" xfId="0" applyFont="1" applyBorder="1" applyAlignment="1">
      <alignment horizontal="center" wrapText="1"/>
    </xf>
    <xf numFmtId="0" fontId="16" fillId="0" borderId="8" xfId="0" applyFont="1" applyBorder="1" applyAlignment="1">
      <alignment horizontal="center"/>
    </xf>
    <xf numFmtId="0" fontId="16" fillId="0" borderId="4" xfId="0" applyFont="1" applyBorder="1" applyAlignment="1">
      <alignment horizontal="center"/>
    </xf>
    <xf numFmtId="0" fontId="16" fillId="0" borderId="14" xfId="0" applyFont="1" applyBorder="1" applyAlignment="1">
      <alignment horizontal="center"/>
    </xf>
    <xf numFmtId="0" fontId="16" fillId="0" borderId="1" xfId="0" applyFont="1" applyFill="1" applyBorder="1" applyAlignment="1" applyProtection="1">
      <alignment horizontal="center"/>
      <protection locked="0"/>
    </xf>
    <xf numFmtId="0" fontId="16" fillId="0" borderId="1" xfId="0" applyFont="1" applyFill="1" applyBorder="1" applyAlignment="1" applyProtection="1">
      <alignment horizontal="right"/>
      <protection locked="0"/>
    </xf>
    <xf numFmtId="0" fontId="15" fillId="0" borderId="12" xfId="0" applyFont="1" applyFill="1" applyBorder="1" applyAlignment="1" applyProtection="1">
      <alignment horizontal="center"/>
      <protection locked="0"/>
    </xf>
    <xf numFmtId="0" fontId="15" fillId="0" borderId="13" xfId="0" applyFont="1" applyFill="1" applyBorder="1" applyAlignment="1" applyProtection="1">
      <alignment horizontal="center"/>
      <protection locked="0"/>
    </xf>
    <xf numFmtId="0" fontId="15" fillId="0" borderId="11" xfId="0" applyFont="1" applyFill="1" applyBorder="1" applyAlignment="1" applyProtection="1">
      <alignment horizontal="center"/>
      <protection locked="0"/>
    </xf>
    <xf numFmtId="0" fontId="15" fillId="0" borderId="1" xfId="0" applyFont="1" applyFill="1" applyBorder="1" applyAlignment="1" applyProtection="1">
      <alignment horizontal="center"/>
      <protection locked="0"/>
    </xf>
    <xf numFmtId="0" fontId="17" fillId="0" borderId="1" xfId="0" applyFont="1" applyBorder="1" applyAlignment="1">
      <alignment horizontal="left" wrapText="1"/>
    </xf>
    <xf numFmtId="0" fontId="15" fillId="3" borderId="12" xfId="0" applyFont="1" applyFill="1" applyBorder="1" applyAlignment="1" applyProtection="1">
      <alignment horizontal="left"/>
      <protection locked="0"/>
    </xf>
    <xf numFmtId="0" fontId="15" fillId="3" borderId="11" xfId="0" applyFont="1" applyFill="1" applyBorder="1" applyAlignment="1" applyProtection="1">
      <alignment horizontal="left"/>
      <protection locked="0"/>
    </xf>
    <xf numFmtId="0" fontId="16" fillId="0" borderId="4" xfId="0" applyFont="1" applyBorder="1" applyAlignment="1">
      <alignment horizontal="left"/>
    </xf>
    <xf numFmtId="0" fontId="16" fillId="0" borderId="14" xfId="0" applyFont="1" applyBorder="1" applyAlignment="1">
      <alignment horizontal="left"/>
    </xf>
    <xf numFmtId="0" fontId="15" fillId="3" borderId="5" xfId="0" applyFont="1" applyFill="1" applyBorder="1" applyAlignment="1" applyProtection="1">
      <alignment horizontal="center"/>
      <protection locked="0"/>
    </xf>
    <xf numFmtId="0" fontId="15" fillId="3" borderId="7" xfId="0" applyFont="1" applyFill="1" applyBorder="1" applyAlignment="1" applyProtection="1">
      <alignment horizontal="center"/>
      <protection locked="0"/>
    </xf>
    <xf numFmtId="0" fontId="16" fillId="0" borderId="12" xfId="0" applyFont="1" applyBorder="1" applyAlignment="1">
      <alignment horizontal="center"/>
    </xf>
    <xf numFmtId="0" fontId="16" fillId="0" borderId="13" xfId="0" applyFont="1" applyBorder="1" applyAlignment="1">
      <alignment horizontal="center"/>
    </xf>
    <xf numFmtId="0" fontId="16" fillId="3" borderId="2" xfId="0" applyFont="1" applyFill="1" applyBorder="1" applyAlignment="1" applyProtection="1">
      <alignment horizontal="center"/>
      <protection locked="0"/>
    </xf>
    <xf numFmtId="0" fontId="16" fillId="0" borderId="9" xfId="0" applyFont="1" applyBorder="1" applyAlignment="1">
      <alignment horizontal="center"/>
    </xf>
    <xf numFmtId="0" fontId="16" fillId="0" borderId="10" xfId="0" applyFont="1" applyBorder="1" applyAlignment="1">
      <alignment horizontal="center"/>
    </xf>
    <xf numFmtId="0" fontId="17" fillId="0" borderId="5" xfId="0" applyFont="1" applyBorder="1" applyAlignment="1">
      <alignment horizontal="left"/>
    </xf>
    <xf numFmtId="0" fontId="17" fillId="0" borderId="6" xfId="0" applyFont="1" applyBorder="1" applyAlignment="1">
      <alignment horizontal="left"/>
    </xf>
    <xf numFmtId="0" fontId="17" fillId="0" borderId="7" xfId="0" applyFont="1" applyBorder="1" applyAlignment="1">
      <alignment horizontal="left"/>
    </xf>
    <xf numFmtId="0" fontId="15" fillId="0" borderId="1" xfId="0" applyFont="1" applyBorder="1" applyAlignment="1">
      <alignment horizontal="right" wrapText="1"/>
    </xf>
    <xf numFmtId="0" fontId="15" fillId="0" borderId="1" xfId="0" applyFont="1" applyBorder="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8" xfId="0" applyFont="1" applyBorder="1" applyAlignment="1">
      <alignment horizontal="center"/>
    </xf>
    <xf numFmtId="0" fontId="15" fillId="0" borderId="14" xfId="0" applyFont="1" applyBorder="1" applyAlignment="1">
      <alignment horizontal="center"/>
    </xf>
    <xf numFmtId="0" fontId="15" fillId="0" borderId="0" xfId="0" applyFont="1" applyBorder="1" applyAlignment="1">
      <alignment horizontal="right"/>
    </xf>
    <xf numFmtId="0" fontId="15" fillId="0" borderId="16" xfId="0" applyFont="1" applyBorder="1" applyAlignment="1">
      <alignment horizontal="right"/>
    </xf>
    <xf numFmtId="0" fontId="18" fillId="3" borderId="12" xfId="0" applyFont="1" applyFill="1" applyBorder="1" applyAlignment="1" applyProtection="1">
      <alignment horizontal="left" vertical="top" wrapText="1"/>
      <protection locked="0"/>
    </xf>
    <xf numFmtId="0" fontId="18" fillId="3" borderId="13" xfId="0" applyFont="1" applyFill="1" applyBorder="1" applyAlignment="1" applyProtection="1">
      <alignment horizontal="left" vertical="top" wrapText="1"/>
      <protection locked="0"/>
    </xf>
    <xf numFmtId="0" fontId="18" fillId="3" borderId="11" xfId="0" applyFont="1" applyFill="1" applyBorder="1" applyAlignment="1" applyProtection="1">
      <alignment horizontal="left" vertical="top" wrapText="1"/>
      <protection locked="0"/>
    </xf>
    <xf numFmtId="0" fontId="21" fillId="0" borderId="1" xfId="0" applyFont="1" applyBorder="1" applyAlignment="1">
      <alignment horizontal="left" wrapText="1"/>
    </xf>
    <xf numFmtId="0" fontId="20" fillId="0" borderId="12" xfId="0" applyFont="1" applyBorder="1" applyAlignment="1">
      <alignment horizontal="center"/>
    </xf>
    <xf numFmtId="0" fontId="20" fillId="0" borderId="13" xfId="0" applyFont="1" applyBorder="1" applyAlignment="1">
      <alignment horizontal="center"/>
    </xf>
    <xf numFmtId="0" fontId="20" fillId="0" borderId="11" xfId="0" applyFont="1" applyBorder="1" applyAlignment="1">
      <alignment horizontal="center"/>
    </xf>
    <xf numFmtId="0" fontId="18" fillId="0" borderId="1" xfId="0" applyFont="1" applyBorder="1" applyAlignment="1">
      <alignment horizontal="right" wrapText="1"/>
    </xf>
    <xf numFmtId="3" fontId="18" fillId="0" borderId="1" xfId="0" applyNumberFormat="1" applyFont="1" applyFill="1" applyBorder="1" applyAlignment="1" applyProtection="1">
      <alignment horizontal="right" wrapText="1"/>
    </xf>
    <xf numFmtId="3" fontId="18" fillId="0" borderId="12" xfId="0" applyNumberFormat="1" applyFont="1" applyFill="1" applyBorder="1" applyAlignment="1" applyProtection="1">
      <alignment horizontal="right" wrapText="1"/>
    </xf>
    <xf numFmtId="3" fontId="18" fillId="0" borderId="11" xfId="0" applyNumberFormat="1" applyFont="1" applyFill="1" applyBorder="1" applyAlignment="1" applyProtection="1">
      <alignment horizontal="right" wrapText="1"/>
    </xf>
    <xf numFmtId="3" fontId="19" fillId="0" borderId="1" xfId="0" applyNumberFormat="1" applyFont="1" applyFill="1" applyBorder="1" applyAlignment="1" applyProtection="1">
      <alignment horizontal="center" wrapText="1"/>
    </xf>
    <xf numFmtId="3" fontId="21" fillId="0" borderId="12" xfId="0" applyNumberFormat="1" applyFont="1" applyFill="1" applyBorder="1" applyAlignment="1" applyProtection="1">
      <alignment horizontal="center" wrapText="1"/>
    </xf>
    <xf numFmtId="3" fontId="21" fillId="0" borderId="13" xfId="0" applyNumberFormat="1" applyFont="1" applyFill="1" applyBorder="1" applyAlignment="1" applyProtection="1">
      <alignment horizontal="center" wrapText="1"/>
    </xf>
    <xf numFmtId="3" fontId="21" fillId="0" borderId="11" xfId="0" applyNumberFormat="1" applyFont="1" applyFill="1" applyBorder="1" applyAlignment="1" applyProtection="1">
      <alignment horizontal="center" wrapText="1"/>
    </xf>
    <xf numFmtId="3" fontId="18" fillId="0" borderId="2" xfId="0" applyNumberFormat="1" applyFont="1" applyBorder="1" applyAlignment="1">
      <alignment horizontal="center" wrapText="1"/>
    </xf>
    <xf numFmtId="3" fontId="18" fillId="0" borderId="9" xfId="0" applyNumberFormat="1" applyFont="1" applyBorder="1" applyAlignment="1">
      <alignment horizontal="center" wrapText="1"/>
    </xf>
    <xf numFmtId="3" fontId="18" fillId="0" borderId="10" xfId="0" applyNumberFormat="1" applyFont="1" applyBorder="1" applyAlignment="1">
      <alignment horizontal="center" wrapText="1"/>
    </xf>
    <xf numFmtId="0" fontId="18" fillId="0" borderId="2" xfId="0" applyFont="1" applyBorder="1" applyAlignment="1">
      <alignment horizontal="center" wrapText="1"/>
    </xf>
    <xf numFmtId="0" fontId="18" fillId="0" borderId="9" xfId="0" applyFont="1" applyBorder="1" applyAlignment="1">
      <alignment horizontal="center" wrapText="1"/>
    </xf>
    <xf numFmtId="0" fontId="18" fillId="0" borderId="10" xfId="0" applyFont="1" applyBorder="1" applyAlignment="1">
      <alignment horizontal="center" wrapText="1"/>
    </xf>
    <xf numFmtId="0" fontId="18" fillId="0" borderId="2" xfId="0" applyFont="1" applyBorder="1" applyAlignment="1">
      <alignment horizontal="center"/>
    </xf>
    <xf numFmtId="0" fontId="18" fillId="0" borderId="10" xfId="0" applyFont="1" applyBorder="1" applyAlignment="1">
      <alignment horizontal="center"/>
    </xf>
    <xf numFmtId="3" fontId="20" fillId="0" borderId="12" xfId="0" applyNumberFormat="1" applyFont="1" applyBorder="1" applyAlignment="1">
      <alignment horizontal="center" wrapText="1"/>
    </xf>
    <xf numFmtId="3" fontId="20" fillId="0" borderId="13" xfId="0" applyNumberFormat="1" applyFont="1" applyBorder="1" applyAlignment="1">
      <alignment horizontal="center" wrapText="1"/>
    </xf>
    <xf numFmtId="3" fontId="20" fillId="0" borderId="11" xfId="0" applyNumberFormat="1" applyFont="1" applyBorder="1" applyAlignment="1">
      <alignment horizontal="center" wrapText="1"/>
    </xf>
    <xf numFmtId="0" fontId="19" fillId="3" borderId="5" xfId="0" applyFont="1" applyFill="1" applyBorder="1" applyAlignment="1" applyProtection="1">
      <alignment horizontal="center"/>
      <protection locked="0"/>
    </xf>
    <xf numFmtId="0" fontId="19" fillId="3" borderId="6" xfId="0" applyFont="1" applyFill="1" applyBorder="1" applyAlignment="1" applyProtection="1">
      <alignment horizontal="center"/>
      <protection locked="0"/>
    </xf>
    <xf numFmtId="0" fontId="19" fillId="3" borderId="7" xfId="0" applyFont="1" applyFill="1" applyBorder="1" applyAlignment="1" applyProtection="1">
      <alignment horizontal="center"/>
      <protection locked="0"/>
    </xf>
    <xf numFmtId="0" fontId="19" fillId="0" borderId="15" xfId="0" applyFont="1" applyBorder="1" applyAlignment="1">
      <alignment horizontal="center"/>
    </xf>
    <xf numFmtId="0" fontId="19" fillId="0" borderId="0" xfId="0" applyFont="1" applyBorder="1" applyAlignment="1">
      <alignment horizontal="center"/>
    </xf>
    <xf numFmtId="0" fontId="19" fillId="0" borderId="16" xfId="0" applyFont="1" applyBorder="1" applyAlignment="1">
      <alignment horizontal="center"/>
    </xf>
    <xf numFmtId="0" fontId="19" fillId="0" borderId="8" xfId="0" applyFont="1" applyBorder="1" applyAlignment="1">
      <alignment horizontal="center"/>
    </xf>
    <xf numFmtId="0" fontId="19" fillId="0" borderId="4" xfId="0" applyFont="1" applyBorder="1" applyAlignment="1">
      <alignment horizontal="center"/>
    </xf>
    <xf numFmtId="0" fontId="19" fillId="0" borderId="14" xfId="0" applyFont="1" applyBorder="1" applyAlignment="1">
      <alignment horizontal="center"/>
    </xf>
    <xf numFmtId="0" fontId="21" fillId="0" borderId="12" xfId="0" applyFont="1" applyBorder="1" applyAlignment="1">
      <alignment horizontal="left"/>
    </xf>
    <xf numFmtId="0" fontId="21" fillId="0" borderId="13" xfId="0" applyFont="1" applyBorder="1" applyAlignment="1">
      <alignment horizontal="left"/>
    </xf>
    <xf numFmtId="0" fontId="21" fillId="0" borderId="11" xfId="0" applyFont="1" applyBorder="1" applyAlignment="1">
      <alignment horizontal="left"/>
    </xf>
    <xf numFmtId="0" fontId="18" fillId="0" borderId="12" xfId="0" applyFont="1" applyBorder="1" applyAlignment="1">
      <alignment horizontal="center" wrapText="1"/>
    </xf>
    <xf numFmtId="0" fontId="18" fillId="0" borderId="13" xfId="0" applyFont="1" applyBorder="1" applyAlignment="1">
      <alignment horizontal="center" wrapText="1"/>
    </xf>
    <xf numFmtId="0" fontId="18" fillId="0" borderId="11" xfId="0" applyFont="1" applyBorder="1" applyAlignment="1">
      <alignment horizontal="center" wrapText="1"/>
    </xf>
    <xf numFmtId="0" fontId="18" fillId="3" borderId="12" xfId="0" applyFont="1" applyFill="1" applyBorder="1" applyAlignment="1" applyProtection="1">
      <alignment horizontal="center"/>
      <protection locked="0"/>
    </xf>
    <xf numFmtId="0" fontId="18" fillId="3" borderId="11" xfId="0" applyFont="1" applyFill="1" applyBorder="1" applyAlignment="1" applyProtection="1">
      <alignment horizontal="center"/>
      <protection locked="0"/>
    </xf>
    <xf numFmtId="3" fontId="20" fillId="0" borderId="1" xfId="0" applyNumberFormat="1" applyFont="1" applyFill="1" applyBorder="1" applyAlignment="1" applyProtection="1">
      <alignment horizontal="center" wrapText="1"/>
    </xf>
    <xf numFmtId="0" fontId="18" fillId="0" borderId="1" xfId="0" applyFont="1" applyBorder="1" applyAlignment="1">
      <alignment horizontal="center" wrapText="1"/>
    </xf>
    <xf numFmtId="3" fontId="18" fillId="0" borderId="12" xfId="0" applyNumberFormat="1" applyFont="1" applyBorder="1" applyAlignment="1">
      <alignment horizontal="center" wrapText="1"/>
    </xf>
    <xf numFmtId="3" fontId="18" fillId="0" borderId="13" xfId="0" applyNumberFormat="1" applyFont="1" applyBorder="1" applyAlignment="1">
      <alignment horizontal="center" wrapText="1"/>
    </xf>
    <xf numFmtId="3" fontId="18" fillId="0" borderId="11" xfId="0" applyNumberFormat="1" applyFont="1" applyBorder="1" applyAlignment="1">
      <alignment horizontal="center" wrapText="1"/>
    </xf>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factfinder2.census.gov/" TargetMode="External"/><Relationship Id="rId1" Type="http://schemas.openxmlformats.org/officeDocument/2006/relationships/hyperlink" Target="http://quickfacts.census.gov/qfd/states/37000.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quickfacts.census.gov/qfd/states/37000.html" TargetMode="External"/><Relationship Id="rId1" Type="http://schemas.openxmlformats.org/officeDocument/2006/relationships/hyperlink" Target="http://quickfacts.census.gov/qfd/states/37000.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quickfacts.census.gov/qfd/states/37000.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4"/>
  <sheetViews>
    <sheetView workbookViewId="0">
      <selection activeCell="C5" sqref="C5"/>
    </sheetView>
  </sheetViews>
  <sheetFormatPr defaultRowHeight="15"/>
  <cols>
    <col min="2" max="2" width="24.7109375" customWidth="1"/>
    <col min="3" max="3" width="54.7109375" customWidth="1"/>
  </cols>
  <sheetData>
    <row r="1" spans="1:3">
      <c r="A1" t="s">
        <v>19</v>
      </c>
    </row>
    <row r="3" spans="1:3">
      <c r="B3" s="1" t="s">
        <v>0</v>
      </c>
      <c r="C3" s="25" t="s">
        <v>107</v>
      </c>
    </row>
    <row r="4" spans="1:3">
      <c r="B4" s="1" t="s">
        <v>20</v>
      </c>
      <c r="C4" s="25" t="s">
        <v>108</v>
      </c>
    </row>
  </sheetData>
  <sheetProtection sheet="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E19"/>
  <sheetViews>
    <sheetView workbookViewId="0">
      <selection activeCell="C7" sqref="C7"/>
    </sheetView>
  </sheetViews>
  <sheetFormatPr defaultRowHeight="15.75"/>
  <cols>
    <col min="1" max="1" width="36.28515625" style="3" customWidth="1"/>
    <col min="2" max="3" width="24.7109375" style="3" customWidth="1"/>
    <col min="4" max="16384" width="9.140625" style="3"/>
  </cols>
  <sheetData>
    <row r="1" spans="1:5">
      <c r="A1" s="131" t="s">
        <v>109</v>
      </c>
      <c r="B1" s="132"/>
      <c r="C1" s="133"/>
    </row>
    <row r="2" spans="1:5">
      <c r="A2" s="134" t="str">
        <f>Input!C3</f>
        <v>Central Avenue Expansion</v>
      </c>
      <c r="B2" s="135"/>
      <c r="C2" s="136"/>
    </row>
    <row r="3" spans="1:5">
      <c r="A3" s="134" t="str">
        <f>Input!C4</f>
        <v>Town of Anytown</v>
      </c>
      <c r="B3" s="135"/>
      <c r="C3" s="136"/>
    </row>
    <row r="4" spans="1:5">
      <c r="A4" s="137" t="s">
        <v>26</v>
      </c>
      <c r="B4" s="138"/>
      <c r="C4" s="139"/>
    </row>
    <row r="5" spans="1:5">
      <c r="A5" s="29" t="s">
        <v>21</v>
      </c>
      <c r="B5" s="140" t="s">
        <v>169</v>
      </c>
      <c r="C5" s="140"/>
      <c r="D5" s="5"/>
      <c r="E5" s="5"/>
    </row>
    <row r="6" spans="1:5">
      <c r="A6" s="141" t="s">
        <v>25</v>
      </c>
      <c r="B6" s="142"/>
      <c r="C6" s="113" t="s">
        <v>171</v>
      </c>
      <c r="D6" s="5"/>
      <c r="E6" s="5"/>
    </row>
    <row r="7" spans="1:5" ht="17.25">
      <c r="A7" s="38" t="s">
        <v>30</v>
      </c>
      <c r="B7" s="8" t="s">
        <v>13</v>
      </c>
      <c r="C7" s="8" t="s">
        <v>12</v>
      </c>
    </row>
    <row r="8" spans="1:5">
      <c r="A8" s="9">
        <v>2</v>
      </c>
      <c r="B8" s="26">
        <v>15834</v>
      </c>
      <c r="C8" s="10">
        <f>A8*B8</f>
        <v>31668</v>
      </c>
    </row>
    <row r="9" spans="1:5">
      <c r="A9" s="7">
        <v>3</v>
      </c>
      <c r="B9" s="26">
        <v>16245</v>
      </c>
      <c r="C9" s="10">
        <f>A9*B9</f>
        <v>48735</v>
      </c>
    </row>
    <row r="10" spans="1:5">
      <c r="A10" s="7">
        <v>4</v>
      </c>
      <c r="B10" s="26">
        <v>14578</v>
      </c>
      <c r="C10" s="10">
        <f>A10*B10</f>
        <v>58312</v>
      </c>
    </row>
    <row r="11" spans="1:5">
      <c r="A11" s="7">
        <v>5</v>
      </c>
      <c r="B11" s="26">
        <v>4960</v>
      </c>
      <c r="C11" s="10">
        <f>A11*B11</f>
        <v>24800</v>
      </c>
    </row>
    <row r="12" spans="1:5">
      <c r="A12" s="7" t="s">
        <v>14</v>
      </c>
      <c r="B12" s="10">
        <f>SUM(B8:B11)</f>
        <v>51617</v>
      </c>
      <c r="C12" s="10">
        <f>SUM(C8:C11)</f>
        <v>163515</v>
      </c>
    </row>
    <row r="13" spans="1:5" ht="30">
      <c r="A13" s="30" t="s">
        <v>28</v>
      </c>
      <c r="B13" s="26">
        <v>135489</v>
      </c>
    </row>
    <row r="14" spans="1:5">
      <c r="A14" s="4" t="s">
        <v>16</v>
      </c>
      <c r="B14" s="11">
        <f>B13/B12</f>
        <v>2.6248910242749481</v>
      </c>
    </row>
    <row r="15" spans="1:5">
      <c r="A15" s="4" t="s">
        <v>17</v>
      </c>
      <c r="B15" s="26">
        <v>175</v>
      </c>
    </row>
    <row r="16" spans="1:5" ht="31.5">
      <c r="A16" s="6" t="s">
        <v>127</v>
      </c>
      <c r="B16" s="10">
        <f>$B$14*$B$15</f>
        <v>459.3559292481159</v>
      </c>
    </row>
    <row r="17" spans="1:3">
      <c r="A17" s="4" t="s">
        <v>15</v>
      </c>
      <c r="B17" s="11">
        <f>$C$12/$B$12</f>
        <v>3.1678516767731559</v>
      </c>
    </row>
    <row r="18" spans="1:3">
      <c r="A18" s="129" t="s">
        <v>29</v>
      </c>
      <c r="B18" s="130"/>
      <c r="C18" s="130"/>
    </row>
    <row r="19" spans="1:3">
      <c r="A19" s="2"/>
      <c r="B19" s="2"/>
      <c r="C19" s="2"/>
    </row>
  </sheetData>
  <sheetProtection sheet="1" objects="1" scenarios="1"/>
  <mergeCells count="7">
    <mergeCell ref="A18:C18"/>
    <mergeCell ref="A1:C1"/>
    <mergeCell ref="A2:C2"/>
    <mergeCell ref="A3:C3"/>
    <mergeCell ref="A4:C4"/>
    <mergeCell ref="B5:C5"/>
    <mergeCell ref="A6:B6"/>
  </mergeCells>
  <hyperlinks>
    <hyperlink ref="A13" r:id="rId1" display="Total 2010 Population from U.S. Censusc:"/>
    <hyperlink ref="A7" r:id="rId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sheetPr>
    <pageSetUpPr fitToPage="1"/>
  </sheetPr>
  <dimension ref="A1:N20"/>
  <sheetViews>
    <sheetView zoomScaleNormal="100" workbookViewId="0">
      <selection activeCell="A2" sqref="A2:B2"/>
    </sheetView>
  </sheetViews>
  <sheetFormatPr defaultRowHeight="15.75"/>
  <cols>
    <col min="1" max="1" width="50" style="3" customWidth="1"/>
    <col min="2" max="2" width="23.5703125" style="3" customWidth="1"/>
    <col min="3" max="14" width="16.7109375" style="3" customWidth="1"/>
    <col min="15" max="16384" width="9.140625" style="3"/>
  </cols>
  <sheetData>
    <row r="1" spans="1:14">
      <c r="A1" s="144" t="s">
        <v>182</v>
      </c>
      <c r="B1" s="145"/>
      <c r="C1" s="37"/>
      <c r="D1" s="37"/>
      <c r="E1" s="37"/>
      <c r="F1" s="37"/>
      <c r="G1" s="37"/>
      <c r="H1" s="37"/>
      <c r="I1" s="37"/>
      <c r="J1" s="37"/>
    </row>
    <row r="2" spans="1:14">
      <c r="A2" s="146" t="str">
        <f>Input!C3</f>
        <v>Central Avenue Expansion</v>
      </c>
      <c r="B2" s="147"/>
      <c r="C2" s="37"/>
      <c r="D2" s="37"/>
      <c r="E2" s="37"/>
      <c r="F2" s="37"/>
      <c r="G2" s="37"/>
      <c r="H2" s="37"/>
      <c r="I2" s="37"/>
      <c r="J2" s="37"/>
    </row>
    <row r="3" spans="1:14">
      <c r="A3" s="148" t="str">
        <f>Input!C4</f>
        <v>Town of Anytown</v>
      </c>
      <c r="B3" s="149"/>
      <c r="C3" s="37"/>
      <c r="D3" s="37"/>
      <c r="E3" s="37"/>
      <c r="F3" s="37"/>
      <c r="G3" s="37"/>
      <c r="H3" s="37"/>
      <c r="I3" s="37"/>
      <c r="J3" s="37"/>
    </row>
    <row r="4" spans="1:14" ht="33" customHeight="1">
      <c r="A4" s="150" t="s">
        <v>57</v>
      </c>
      <c r="B4" s="151"/>
      <c r="C4" s="39"/>
      <c r="D4" s="37"/>
      <c r="E4" s="37"/>
      <c r="F4" s="37"/>
      <c r="G4" s="37"/>
      <c r="H4" s="37"/>
      <c r="I4" s="37"/>
      <c r="J4" s="37"/>
    </row>
    <row r="5" spans="1:14">
      <c r="A5" s="32" t="s">
        <v>21</v>
      </c>
      <c r="B5" s="48" t="s">
        <v>169</v>
      </c>
      <c r="C5" s="39"/>
      <c r="D5" s="37"/>
      <c r="E5" s="37"/>
      <c r="F5" s="37"/>
      <c r="G5" s="37"/>
      <c r="H5" s="37"/>
      <c r="I5" s="37"/>
      <c r="J5" s="37"/>
    </row>
    <row r="6" spans="1:14">
      <c r="A6" s="32" t="s">
        <v>25</v>
      </c>
      <c r="B6" s="48" t="s">
        <v>170</v>
      </c>
      <c r="C6" s="39"/>
      <c r="D6" s="37"/>
      <c r="E6" s="37"/>
      <c r="F6" s="37"/>
      <c r="G6" s="37"/>
      <c r="H6" s="37"/>
      <c r="I6" s="37"/>
      <c r="J6" s="37"/>
    </row>
    <row r="7" spans="1:14">
      <c r="A7" s="40" t="s">
        <v>31</v>
      </c>
      <c r="B7" s="45">
        <v>135489</v>
      </c>
      <c r="C7" s="37"/>
      <c r="D7" s="37"/>
      <c r="E7" s="37"/>
      <c r="F7" s="37"/>
      <c r="G7" s="37"/>
      <c r="H7" s="37"/>
      <c r="I7" s="37"/>
      <c r="J7" s="37"/>
      <c r="K7" s="12"/>
      <c r="L7" s="12"/>
      <c r="M7" s="12"/>
      <c r="N7" s="12"/>
    </row>
    <row r="8" spans="1:14">
      <c r="A8" s="40" t="s">
        <v>32</v>
      </c>
      <c r="B8" s="46">
        <v>2434.66</v>
      </c>
      <c r="C8" s="37"/>
      <c r="D8" s="37"/>
      <c r="E8" s="37"/>
      <c r="F8" s="37"/>
      <c r="G8" s="37"/>
      <c r="H8" s="37"/>
      <c r="I8" s="37"/>
      <c r="J8" s="37"/>
      <c r="K8" s="12"/>
      <c r="L8" s="12"/>
      <c r="M8" s="12"/>
      <c r="N8" s="12"/>
    </row>
    <row r="9" spans="1:14" ht="17.25">
      <c r="A9" s="40" t="s">
        <v>33</v>
      </c>
      <c r="B9" s="46">
        <v>55.65</v>
      </c>
      <c r="C9" s="37"/>
      <c r="D9" s="37"/>
      <c r="E9" s="37"/>
      <c r="F9" s="37"/>
      <c r="G9" s="37"/>
      <c r="H9" s="37"/>
      <c r="I9" s="37"/>
      <c r="J9" s="37"/>
      <c r="K9" s="12"/>
      <c r="L9" s="12"/>
      <c r="M9" s="12"/>
      <c r="N9" s="12"/>
    </row>
    <row r="10" spans="1:14" ht="18.75">
      <c r="A10" s="41" t="s">
        <v>111</v>
      </c>
      <c r="B10" s="47">
        <v>48.64</v>
      </c>
      <c r="C10" s="37"/>
      <c r="D10" s="37"/>
      <c r="E10" s="37"/>
      <c r="F10" s="37"/>
      <c r="G10" s="37"/>
      <c r="H10" s="37"/>
      <c r="I10" s="37"/>
      <c r="J10" s="37"/>
      <c r="K10" s="12"/>
      <c r="L10" s="12"/>
      <c r="M10" s="12"/>
      <c r="N10" s="12"/>
    </row>
    <row r="11" spans="1:14">
      <c r="A11" s="41" t="s">
        <v>110</v>
      </c>
      <c r="B11" s="42">
        <f>$B10/$B9</f>
        <v>0.87403414195867024</v>
      </c>
      <c r="C11" s="37"/>
      <c r="D11" s="37"/>
      <c r="E11" s="37"/>
      <c r="F11" s="37"/>
      <c r="G11" s="37"/>
      <c r="H11" s="37"/>
      <c r="I11" s="37"/>
      <c r="J11" s="37"/>
      <c r="K11" s="12"/>
      <c r="L11" s="12"/>
      <c r="M11" s="12"/>
      <c r="N11" s="12"/>
    </row>
    <row r="12" spans="1:14">
      <c r="A12" s="41" t="s">
        <v>128</v>
      </c>
      <c r="B12" s="78">
        <v>0.9</v>
      </c>
      <c r="C12" s="37"/>
      <c r="D12" s="37"/>
      <c r="E12" s="37"/>
      <c r="F12" s="37"/>
      <c r="G12" s="37"/>
      <c r="H12" s="37"/>
      <c r="I12" s="37"/>
      <c r="J12" s="37"/>
      <c r="K12" s="12"/>
      <c r="L12" s="12"/>
      <c r="M12" s="12"/>
      <c r="N12" s="12"/>
    </row>
    <row r="13" spans="1:14">
      <c r="A13" s="43" t="s">
        <v>127</v>
      </c>
      <c r="B13" s="44">
        <f>$B$10*$B$8*$B$12</f>
        <v>106579.67616</v>
      </c>
      <c r="C13" s="37"/>
      <c r="D13" s="37"/>
      <c r="E13" s="37"/>
      <c r="F13" s="37"/>
      <c r="G13" s="37"/>
      <c r="H13" s="37"/>
      <c r="I13" s="37"/>
      <c r="J13" s="37"/>
      <c r="K13" s="12"/>
      <c r="L13" s="12"/>
      <c r="M13" s="12"/>
      <c r="N13" s="12"/>
    </row>
    <row r="14" spans="1:14">
      <c r="A14" s="143"/>
      <c r="B14" s="143"/>
      <c r="C14" s="37"/>
      <c r="D14" s="37"/>
      <c r="E14" s="37"/>
      <c r="F14" s="37"/>
      <c r="G14" s="37"/>
      <c r="H14" s="37"/>
      <c r="I14" s="37"/>
      <c r="J14" s="37"/>
      <c r="K14" s="12"/>
      <c r="L14" s="12"/>
      <c r="M14" s="12"/>
      <c r="N14" s="12"/>
    </row>
    <row r="15" spans="1:14">
      <c r="A15" s="37"/>
      <c r="B15" s="37"/>
      <c r="C15" s="37"/>
      <c r="D15" s="37"/>
      <c r="E15" s="37"/>
      <c r="F15" s="37"/>
      <c r="G15" s="37"/>
      <c r="H15" s="37"/>
      <c r="I15" s="37"/>
      <c r="J15" s="37"/>
      <c r="K15" s="12"/>
      <c r="L15" s="12"/>
      <c r="M15" s="12"/>
      <c r="N15" s="12"/>
    </row>
    <row r="16" spans="1:14">
      <c r="A16" s="37"/>
      <c r="B16" s="37"/>
      <c r="C16" s="37"/>
      <c r="D16" s="37"/>
      <c r="E16" s="37"/>
      <c r="F16" s="37"/>
      <c r="G16" s="37"/>
      <c r="H16" s="37"/>
      <c r="I16" s="37"/>
      <c r="J16" s="37"/>
      <c r="K16" s="12"/>
      <c r="L16" s="12"/>
      <c r="M16" s="12"/>
      <c r="N16" s="12"/>
    </row>
    <row r="17" spans="1:14">
      <c r="A17" s="37"/>
      <c r="B17" s="37"/>
      <c r="C17" s="37"/>
      <c r="D17" s="37"/>
      <c r="E17" s="37"/>
      <c r="F17" s="37"/>
      <c r="G17" s="37"/>
      <c r="H17" s="37"/>
      <c r="I17" s="37"/>
      <c r="J17" s="37"/>
      <c r="K17" s="12"/>
      <c r="L17" s="12"/>
      <c r="M17" s="12"/>
      <c r="N17" s="12"/>
    </row>
    <row r="18" spans="1:14">
      <c r="A18" s="37"/>
      <c r="B18" s="37"/>
      <c r="C18" s="37"/>
      <c r="D18" s="37"/>
      <c r="E18" s="37"/>
      <c r="F18" s="37"/>
      <c r="G18" s="37"/>
      <c r="H18" s="37"/>
      <c r="I18" s="37"/>
      <c r="J18" s="37"/>
      <c r="K18" s="12"/>
      <c r="L18" s="12"/>
      <c r="M18" s="12"/>
      <c r="N18" s="12"/>
    </row>
    <row r="19" spans="1:14">
      <c r="A19" s="37"/>
      <c r="B19" s="37"/>
      <c r="C19" s="37"/>
      <c r="D19" s="37"/>
      <c r="E19" s="37"/>
      <c r="F19" s="37"/>
      <c r="G19" s="37"/>
      <c r="H19" s="37"/>
      <c r="I19" s="37"/>
      <c r="J19" s="37"/>
      <c r="K19" s="12"/>
      <c r="L19" s="12"/>
      <c r="M19" s="12"/>
      <c r="N19" s="12"/>
    </row>
    <row r="20" spans="1:14">
      <c r="A20" s="37"/>
      <c r="B20" s="37"/>
      <c r="C20" s="37"/>
      <c r="D20" s="37"/>
      <c r="E20" s="37"/>
      <c r="F20" s="37"/>
      <c r="G20" s="37"/>
      <c r="H20" s="37"/>
      <c r="I20" s="37"/>
      <c r="J20" s="37"/>
      <c r="K20" s="13"/>
      <c r="L20" s="13"/>
      <c r="M20" s="13"/>
      <c r="N20" s="13"/>
    </row>
  </sheetData>
  <sheetProtection sheet="1" objects="1" scenarios="1"/>
  <mergeCells count="5">
    <mergeCell ref="A14:B14"/>
    <mergeCell ref="A1:B1"/>
    <mergeCell ref="A2:B2"/>
    <mergeCell ref="A3:B3"/>
    <mergeCell ref="A4:B4"/>
  </mergeCells>
  <phoneticPr fontId="2" type="noConversion"/>
  <hyperlinks>
    <hyperlink ref="A8" r:id="rId1" display="Persons per Square Mile:"/>
    <hyperlink ref="A9" r:id="rId2"/>
  </hyperlinks>
  <pageMargins left="0.7" right="0.7" top="0.75" bottom="0.75" header="0.3" footer="0.3"/>
  <pageSetup orientation="landscape" r:id="rId3"/>
</worksheet>
</file>

<file path=xl/worksheets/sheet4.xml><?xml version="1.0" encoding="utf-8"?>
<worksheet xmlns="http://schemas.openxmlformats.org/spreadsheetml/2006/main" xmlns:r="http://schemas.openxmlformats.org/officeDocument/2006/relationships">
  <sheetPr>
    <pageSetUpPr fitToPage="1"/>
  </sheetPr>
  <dimension ref="A1:C51"/>
  <sheetViews>
    <sheetView workbookViewId="0">
      <selection activeCell="A2" sqref="A2:C2"/>
    </sheetView>
  </sheetViews>
  <sheetFormatPr defaultRowHeight="15.75"/>
  <cols>
    <col min="1" max="1" width="39.140625" style="3" customWidth="1"/>
    <col min="2" max="2" width="30" style="3" customWidth="1"/>
    <col min="3" max="3" width="33.42578125" style="3" customWidth="1"/>
    <col min="4" max="16384" width="9.140625" style="3"/>
  </cols>
  <sheetData>
    <row r="1" spans="1:3">
      <c r="A1" s="131" t="s">
        <v>181</v>
      </c>
      <c r="B1" s="132"/>
      <c r="C1" s="133"/>
    </row>
    <row r="2" spans="1:3">
      <c r="A2" s="134" t="str">
        <f>Input!C3</f>
        <v>Central Avenue Expansion</v>
      </c>
      <c r="B2" s="135"/>
      <c r="C2" s="136"/>
    </row>
    <row r="3" spans="1:3">
      <c r="A3" s="162" t="str">
        <f>Input!C4</f>
        <v>Town of Anytown</v>
      </c>
      <c r="B3" s="163"/>
      <c r="C3" s="164"/>
    </row>
    <row r="4" spans="1:3">
      <c r="A4" s="137" t="s">
        <v>56</v>
      </c>
      <c r="B4" s="138"/>
      <c r="C4" s="139"/>
    </row>
    <row r="5" spans="1:3">
      <c r="A5" s="156" t="s">
        <v>34</v>
      </c>
      <c r="B5" s="156"/>
      <c r="C5" s="49" t="s">
        <v>37</v>
      </c>
    </row>
    <row r="6" spans="1:3">
      <c r="A6" s="156" t="s">
        <v>54</v>
      </c>
      <c r="B6" s="156"/>
      <c r="C6" s="49" t="s">
        <v>172</v>
      </c>
    </row>
    <row r="7" spans="1:3">
      <c r="A7" s="159" t="s">
        <v>39</v>
      </c>
      <c r="B7" s="159"/>
      <c r="C7" s="159"/>
    </row>
    <row r="8" spans="1:3" ht="31.5">
      <c r="A8" s="34" t="s">
        <v>40</v>
      </c>
      <c r="B8" s="50" t="s">
        <v>55</v>
      </c>
      <c r="C8" s="161" t="s">
        <v>44</v>
      </c>
    </row>
    <row r="9" spans="1:3">
      <c r="A9" s="35" t="s">
        <v>6</v>
      </c>
      <c r="B9" s="51" t="s">
        <v>6</v>
      </c>
      <c r="C9" s="161"/>
    </row>
    <row r="10" spans="1:3">
      <c r="A10" s="58">
        <v>9059300</v>
      </c>
      <c r="B10" s="52">
        <v>11750000</v>
      </c>
      <c r="C10" s="17" t="str">
        <f>IF($C$5="Metered", ($A$10/$B$10), "")</f>
        <v/>
      </c>
    </row>
    <row r="11" spans="1:3">
      <c r="A11" s="160" t="s">
        <v>22</v>
      </c>
      <c r="B11" s="160"/>
      <c r="C11" s="53">
        <v>0.8</v>
      </c>
    </row>
    <row r="12" spans="1:3">
      <c r="A12" s="160" t="s">
        <v>23</v>
      </c>
      <c r="B12" s="160"/>
      <c r="C12" s="53">
        <v>0.2</v>
      </c>
    </row>
    <row r="13" spans="1:3">
      <c r="A13" s="167"/>
      <c r="B13" s="168"/>
      <c r="C13" s="169"/>
    </row>
    <row r="14" spans="1:3">
      <c r="A14" s="165" t="s">
        <v>35</v>
      </c>
      <c r="B14" s="165"/>
      <c r="C14" s="165"/>
    </row>
    <row r="15" spans="1:3">
      <c r="A15" s="160" t="s">
        <v>41</v>
      </c>
      <c r="B15" s="160"/>
      <c r="C15" s="52">
        <v>4250</v>
      </c>
    </row>
    <row r="16" spans="1:3" ht="15.75" customHeight="1">
      <c r="A16" s="160" t="s">
        <v>42</v>
      </c>
      <c r="B16" s="160"/>
      <c r="C16" s="52">
        <v>12</v>
      </c>
    </row>
    <row r="17" spans="1:3">
      <c r="A17" s="156" t="s">
        <v>43</v>
      </c>
      <c r="B17" s="156"/>
      <c r="C17" s="54">
        <v>3</v>
      </c>
    </row>
    <row r="18" spans="1:3">
      <c r="A18" s="166" t="s">
        <v>119</v>
      </c>
      <c r="B18" s="166"/>
      <c r="C18" s="10" t="str">
        <f>IF($C$5="Pump Runtime", ($C$15*60*$C$16*$C$17), "")</f>
        <v/>
      </c>
    </row>
    <row r="19" spans="1:3">
      <c r="A19" s="170"/>
      <c r="B19" s="170"/>
      <c r="C19" s="170"/>
    </row>
    <row r="20" spans="1:3">
      <c r="A20" s="159" t="s">
        <v>36</v>
      </c>
      <c r="B20" s="159"/>
      <c r="C20" s="159"/>
    </row>
    <row r="21" spans="1:3">
      <c r="A21" s="18"/>
      <c r="B21" s="36" t="s">
        <v>45</v>
      </c>
      <c r="C21" s="36" t="s">
        <v>27</v>
      </c>
    </row>
    <row r="22" spans="1:3">
      <c r="A22" s="27"/>
      <c r="B22" s="9">
        <v>2</v>
      </c>
      <c r="C22" s="10" t="str">
        <f>IF($C$5="Method 1 - Limited Service Area", ('Current Population - Method 1'!$A8*'Current Population - Method 1'!$B8), "")</f>
        <v/>
      </c>
    </row>
    <row r="23" spans="1:3">
      <c r="A23" s="27"/>
      <c r="B23" s="9">
        <v>3</v>
      </c>
      <c r="C23" s="10" t="str">
        <f>IF($C$5="Method 1 - Limited Service Area", ('Current Population - Method 1'!$A9*'Current Population - Method 1'!$B9), "")</f>
        <v/>
      </c>
    </row>
    <row r="24" spans="1:3">
      <c r="A24" s="27"/>
      <c r="B24" s="9">
        <v>4</v>
      </c>
      <c r="C24" s="10" t="str">
        <f>IF($C$5="Method 1 - Limited Service Area", ('Current Population - Method 1'!$A10*'Current Population - Method 1'!$B10), "")</f>
        <v/>
      </c>
    </row>
    <row r="25" spans="1:3">
      <c r="A25" s="28"/>
      <c r="B25" s="9">
        <v>5</v>
      </c>
      <c r="C25" s="10" t="str">
        <f>IF($C$5="Method 1 - Limited Service Area", ('Current Population - Method 1'!$A11*'Current Population - Method 1'!$B11), "")</f>
        <v/>
      </c>
    </row>
    <row r="26" spans="1:3">
      <c r="A26" s="156" t="s">
        <v>38</v>
      </c>
      <c r="B26" s="156"/>
      <c r="C26" s="10" t="str">
        <f>IF($C$5="Method 1 - Limited Service Area", (SUM(C22:C25)), "")</f>
        <v/>
      </c>
    </row>
    <row r="27" spans="1:3">
      <c r="A27" s="156" t="s">
        <v>14</v>
      </c>
      <c r="B27" s="156"/>
      <c r="C27" s="10" t="str">
        <f>IF($C$5="Method 1 - Limited Service Area", 'Current Population - Method 1'!B12, "")</f>
        <v/>
      </c>
    </row>
    <row r="28" spans="1:3">
      <c r="A28" s="156" t="s">
        <v>15</v>
      </c>
      <c r="B28" s="156"/>
      <c r="C28" s="55" t="str">
        <f>IF($C$5="Method 1 - Limited Service Area", 'Current Population - Method 1'!B17, "")</f>
        <v/>
      </c>
    </row>
    <row r="29" spans="1:3">
      <c r="A29" s="156" t="s">
        <v>17</v>
      </c>
      <c r="B29" s="156"/>
      <c r="C29" s="9" t="str">
        <f>IF($C$5="Method 1 - Limited Service Area", 'Current Population - Method 1'!B15, "")</f>
        <v/>
      </c>
    </row>
    <row r="30" spans="1:3">
      <c r="A30" s="156" t="s">
        <v>18</v>
      </c>
      <c r="B30" s="156"/>
      <c r="C30" s="9" t="str">
        <f>IF($C$5="Method 1 - Limited Service Area", 120, "")</f>
        <v/>
      </c>
    </row>
    <row r="31" spans="1:3">
      <c r="A31" s="158" t="s">
        <v>43</v>
      </c>
      <c r="B31" s="142"/>
      <c r="C31" s="95">
        <v>3</v>
      </c>
    </row>
    <row r="32" spans="1:3">
      <c r="A32" s="157" t="s">
        <v>118</v>
      </c>
      <c r="B32" s="157"/>
      <c r="C32" s="19" t="str">
        <f>IF($C$5="Method 1 - Limited Service Area", (($C$28*$C$29*$C$30)*$C$31), "")</f>
        <v/>
      </c>
    </row>
    <row r="33" spans="1:3">
      <c r="A33" s="159"/>
      <c r="B33" s="159"/>
      <c r="C33" s="159"/>
    </row>
    <row r="34" spans="1:3">
      <c r="A34" s="159" t="s">
        <v>37</v>
      </c>
      <c r="B34" s="159"/>
      <c r="C34" s="159"/>
    </row>
    <row r="35" spans="1:3">
      <c r="A35" s="156" t="s">
        <v>48</v>
      </c>
      <c r="B35" s="156"/>
      <c r="C35" s="49" t="s">
        <v>49</v>
      </c>
    </row>
    <row r="36" spans="1:3">
      <c r="A36" s="156" t="s">
        <v>51</v>
      </c>
      <c r="B36" s="156"/>
      <c r="C36" s="52">
        <v>3650000</v>
      </c>
    </row>
    <row r="37" spans="1:3">
      <c r="A37" s="141" t="s">
        <v>52</v>
      </c>
      <c r="B37" s="142"/>
      <c r="C37" s="52">
        <v>3350000</v>
      </c>
    </row>
    <row r="38" spans="1:3">
      <c r="A38" s="141" t="s">
        <v>112</v>
      </c>
      <c r="B38" s="142"/>
      <c r="C38" s="77">
        <f>IF($C$5="Method 2 - Large Service Area", ('Current Population - Method 2'!B11), "")</f>
        <v>0.87403414195867024</v>
      </c>
    </row>
    <row r="39" spans="1:3" ht="18.75">
      <c r="A39" s="141" t="s">
        <v>113</v>
      </c>
      <c r="B39" s="142"/>
      <c r="C39" s="77">
        <f>IF($C$5="Method 2 - Large Service Area", (IF('Current Population - Method 2'!$B$12&lt;&gt;"", 'Current Population - Method 2'!B12, "")), "")</f>
        <v>0.9</v>
      </c>
    </row>
    <row r="40" spans="1:3">
      <c r="A40" s="18"/>
      <c r="B40" s="36" t="s">
        <v>46</v>
      </c>
      <c r="C40" s="36" t="s">
        <v>53</v>
      </c>
    </row>
    <row r="41" spans="1:3">
      <c r="A41" s="28"/>
      <c r="B41" s="36" t="s">
        <v>6</v>
      </c>
      <c r="C41" s="36" t="s">
        <v>6</v>
      </c>
    </row>
    <row r="42" spans="1:3">
      <c r="A42" s="33" t="s">
        <v>2</v>
      </c>
      <c r="B42" s="52">
        <v>3250000</v>
      </c>
      <c r="C42" s="10">
        <f>IF($C$5="Method 2 - Large Service Area",(IF($C$5="Method 2 - Large Service Area", ($B$42-(0.1*$B$42)), "")), "")</f>
        <v>2925000</v>
      </c>
    </row>
    <row r="43" spans="1:3">
      <c r="A43" s="33" t="s">
        <v>3</v>
      </c>
      <c r="B43" s="52">
        <v>450000</v>
      </c>
      <c r="C43" s="10">
        <f>IF($C$5="Method 2 - Large Service Area",(IF($C$5="Method 2 - Large Service Area", ($B$43-(0.1*$B$43)), "")), "")</f>
        <v>405000</v>
      </c>
    </row>
    <row r="44" spans="1:3">
      <c r="A44" s="33" t="s">
        <v>4</v>
      </c>
      <c r="B44" s="56"/>
      <c r="C44" s="52">
        <v>200000</v>
      </c>
    </row>
    <row r="45" spans="1:3">
      <c r="A45" s="33" t="s">
        <v>5</v>
      </c>
      <c r="B45" s="20"/>
      <c r="C45" s="52">
        <v>300000</v>
      </c>
    </row>
    <row r="46" spans="1:3">
      <c r="A46" s="33" t="s">
        <v>47</v>
      </c>
      <c r="B46" s="20"/>
      <c r="C46" s="57">
        <f>IF($C$5="Method 2 - Large Service Area", (IF($C$35="WWTP Only", ($C$36-$C$37), (IF($C$35="WWTP &amp; Water", ($C$36-((0.1*($B$42+$B$43))+$C$44)), "")))), "")</f>
        <v>300000</v>
      </c>
    </row>
    <row r="47" spans="1:3">
      <c r="A47" s="141" t="s">
        <v>43</v>
      </c>
      <c r="B47" s="142"/>
      <c r="C47" s="54">
        <v>3</v>
      </c>
    </row>
    <row r="48" spans="1:3">
      <c r="A48" s="157" t="s">
        <v>117</v>
      </c>
      <c r="B48" s="157"/>
      <c r="C48" s="19">
        <f>IF($C$5="Method 2 - Large Service Area", (IF($C$39&lt;&gt;"", (((SUM(C42:C46))*$C$38*$C$39)*$C$47), (((SUM(C42:C46))*$C$38)*$C$47))), "")</f>
        <v>9746354.7169811316</v>
      </c>
    </row>
    <row r="49" spans="1:3">
      <c r="A49" s="152" t="s">
        <v>116</v>
      </c>
      <c r="B49" s="152"/>
      <c r="C49" s="152"/>
    </row>
    <row r="50" spans="1:3" ht="79.5" customHeight="1">
      <c r="A50" s="153" t="s">
        <v>121</v>
      </c>
      <c r="B50" s="154"/>
      <c r="C50" s="155"/>
    </row>
    <row r="51" spans="1:3" ht="16.5">
      <c r="A51" s="2" t="s">
        <v>114</v>
      </c>
    </row>
  </sheetData>
  <sheetProtection sheet="1" objects="1" scenarios="1"/>
  <mergeCells count="36">
    <mergeCell ref="A26:B26"/>
    <mergeCell ref="A27:B27"/>
    <mergeCell ref="A28:B28"/>
    <mergeCell ref="A1:C1"/>
    <mergeCell ref="A2:C2"/>
    <mergeCell ref="A3:C3"/>
    <mergeCell ref="A5:B5"/>
    <mergeCell ref="A6:B6"/>
    <mergeCell ref="A4:C4"/>
    <mergeCell ref="A14:C14"/>
    <mergeCell ref="A7:C7"/>
    <mergeCell ref="A18:B18"/>
    <mergeCell ref="A13:C13"/>
    <mergeCell ref="A19:C19"/>
    <mergeCell ref="A20:C20"/>
    <mergeCell ref="A11:B11"/>
    <mergeCell ref="A12:B12"/>
    <mergeCell ref="C8:C9"/>
    <mergeCell ref="A15:B15"/>
    <mergeCell ref="A16:B16"/>
    <mergeCell ref="A17:B17"/>
    <mergeCell ref="A49:C49"/>
    <mergeCell ref="A50:C50"/>
    <mergeCell ref="A37:B37"/>
    <mergeCell ref="A29:B29"/>
    <mergeCell ref="A30:B30"/>
    <mergeCell ref="A32:B32"/>
    <mergeCell ref="A31:B31"/>
    <mergeCell ref="A47:B47"/>
    <mergeCell ref="A48:B48"/>
    <mergeCell ref="A38:B38"/>
    <mergeCell ref="A39:B39"/>
    <mergeCell ref="A33:C33"/>
    <mergeCell ref="A34:C34"/>
    <mergeCell ref="A36:B36"/>
    <mergeCell ref="A35:B35"/>
  </mergeCells>
  <dataValidations count="2">
    <dataValidation type="list" allowBlank="1" showInputMessage="1" showErrorMessage="1" sqref="C5">
      <formula1>Flow!A1:A5</formula1>
    </dataValidation>
    <dataValidation type="list" allowBlank="1" showInputMessage="1" showErrorMessage="1" sqref="C35">
      <formula1>Flow!D1:D3</formula1>
    </dataValidation>
  </dataValidations>
  <printOptions headings="1" gridLines="1"/>
  <pageMargins left="0.7" right="0.7" top="0.75" bottom="0.75" header="0.3" footer="0.3"/>
  <pageSetup scale="78"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Flow!A1:A5</xm:f>
          </x14:formula1>
          <xm:sqref>C5</xm:sqref>
        </x14:dataValidation>
        <x14:dataValidation type="list" allowBlank="1" showInputMessage="1" showErrorMessage="1">
          <x14:formula1>
            <xm:f>Flow!D1:D3</xm:f>
          </x14:formula1>
          <xm:sqref>C35</xm:sqref>
        </x14:dataValidation>
        <x14:dataValidation type="list" allowBlank="1" showInputMessage="1" showErrorMessage="1">
          <x14:formula1>
            <xm:f>Flow!A1:A5</xm:f>
          </x14:formula1>
          <xm:sqref>C5</xm:sqref>
        </x14:dataValidation>
        <x14:dataValidation type="list" allowBlank="1" showInputMessage="1" showErrorMessage="1">
          <x14:formula1>
            <xm:f>Flow!D1:D3</xm:f>
          </x14:formula1>
          <xm:sqref>C35</xm:sqref>
        </x14:dataValidation>
        <x14:dataValidation type="list" allowBlank="1" showInputMessage="1" showErrorMessage="1">
          <x14:formula1>
            <xm:f>Flow!C5:C9</xm:f>
          </x14:formula1>
          <xm:sqref>C5</xm:sqref>
        </x14:dataValidation>
        <x14:dataValidation type="list" allowBlank="1" showInputMessage="1" showErrorMessage="1">
          <x14:formula1>
            <xm:f>Flow!F34:F36</xm:f>
          </x14:formula1>
          <xm:sqref>C35</xm:sqref>
        </x14:dataValidation>
      </x14:dataValidations>
    </ext>
  </extLst>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E10" sqref="E10"/>
    </sheetView>
  </sheetViews>
  <sheetFormatPr defaultColWidth="16.7109375" defaultRowHeight="15.75"/>
  <cols>
    <col min="1" max="1" width="6.42578125" style="3" customWidth="1"/>
    <col min="2" max="3" width="20.7109375" style="3" customWidth="1"/>
    <col min="4" max="4" width="30" style="3" customWidth="1"/>
    <col min="5" max="8" width="20.7109375" style="3" customWidth="1"/>
    <col min="9" max="15" width="10.7109375" style="3" customWidth="1"/>
    <col min="16" max="16384" width="16.7109375" style="3"/>
  </cols>
  <sheetData>
    <row r="1" spans="1:9">
      <c r="A1" s="131" t="s">
        <v>180</v>
      </c>
      <c r="B1" s="132"/>
      <c r="C1" s="132"/>
      <c r="D1" s="132"/>
      <c r="E1" s="132"/>
      <c r="F1" s="132"/>
      <c r="G1" s="132"/>
      <c r="H1" s="133"/>
    </row>
    <row r="2" spans="1:9">
      <c r="A2" s="134" t="str">
        <f>Input!C3</f>
        <v>Central Avenue Expansion</v>
      </c>
      <c r="B2" s="135"/>
      <c r="C2" s="135"/>
      <c r="D2" s="135"/>
      <c r="E2" s="135"/>
      <c r="F2" s="135"/>
      <c r="G2" s="135"/>
      <c r="H2" s="136"/>
    </row>
    <row r="3" spans="1:9">
      <c r="A3" s="162" t="str">
        <f>Input!C4</f>
        <v>Town of Anytown</v>
      </c>
      <c r="B3" s="163"/>
      <c r="C3" s="163"/>
      <c r="D3" s="163"/>
      <c r="E3" s="163"/>
      <c r="F3" s="163"/>
      <c r="G3" s="163"/>
      <c r="H3" s="164"/>
    </row>
    <row r="4" spans="1:9">
      <c r="A4" s="137" t="s">
        <v>58</v>
      </c>
      <c r="B4" s="138"/>
      <c r="C4" s="138"/>
      <c r="D4" s="138"/>
      <c r="E4" s="138"/>
      <c r="F4" s="138"/>
      <c r="G4" s="138"/>
      <c r="H4" s="139"/>
    </row>
    <row r="5" spans="1:9">
      <c r="A5" s="141" t="s">
        <v>59</v>
      </c>
      <c r="B5" s="158"/>
      <c r="C5" s="158"/>
      <c r="D5" s="49" t="s">
        <v>37</v>
      </c>
      <c r="E5" s="62"/>
      <c r="F5" s="63"/>
      <c r="G5" s="92" t="s">
        <v>122</v>
      </c>
      <c r="H5" s="60" t="s">
        <v>173</v>
      </c>
    </row>
    <row r="6" spans="1:9">
      <c r="A6" s="141" t="s">
        <v>60</v>
      </c>
      <c r="B6" s="158"/>
      <c r="C6" s="158"/>
      <c r="D6" s="57">
        <f>IF($D$5="Method 1 - Limited Service Area", 'Current Population - Method 1'!B13, (IF($D$5="Method 2 - Large Service Area", 'Current Population - Method 2'!B7, "")))</f>
        <v>135489</v>
      </c>
      <c r="E6" s="62"/>
      <c r="F6" s="63"/>
      <c r="G6" s="31" t="s">
        <v>62</v>
      </c>
      <c r="H6" s="60" t="s">
        <v>174</v>
      </c>
    </row>
    <row r="7" spans="1:9">
      <c r="A7" s="141" t="s">
        <v>126</v>
      </c>
      <c r="B7" s="158"/>
      <c r="C7" s="158"/>
      <c r="D7" s="67">
        <f>IF($D$5="Method 1 - Limited Service Area", 'Current Population - Method 1'!B16, (IF($D$5="Method 2 - Large Service Area", 'Current Population - Method 2'!B13, "")))</f>
        <v>106579.67616</v>
      </c>
      <c r="E7" s="62"/>
      <c r="F7" s="63"/>
      <c r="G7" s="96" t="s">
        <v>61</v>
      </c>
      <c r="H7" s="64">
        <v>900687</v>
      </c>
    </row>
    <row r="8" spans="1:9">
      <c r="A8" s="141" t="s">
        <v>63</v>
      </c>
      <c r="B8" s="158"/>
      <c r="C8" s="158"/>
      <c r="D8" s="16">
        <f>$D$6/$H$7</f>
        <v>0.15042850624023663</v>
      </c>
      <c r="E8" s="62"/>
      <c r="G8" s="31" t="s">
        <v>64</v>
      </c>
      <c r="H8" s="61">
        <f>IF($D$5="Method 1 - Limited Service Area",($D$7/$D$6),(IF($D$5="Method 2 - Large Service Area", ('Current Population - Method 2'!B11*'Current Population - Method 2'!B12), "")))</f>
        <v>0.78663072776280318</v>
      </c>
    </row>
    <row r="9" spans="1:9">
      <c r="A9" s="33"/>
      <c r="B9" s="10"/>
      <c r="C9" s="159" t="s">
        <v>67</v>
      </c>
      <c r="D9" s="159"/>
      <c r="E9" s="159"/>
      <c r="F9" s="9" t="s">
        <v>68</v>
      </c>
      <c r="G9" s="172" t="s">
        <v>124</v>
      </c>
      <c r="H9" s="173"/>
      <c r="I9" s="59"/>
    </row>
    <row r="10" spans="1:9" ht="31.5">
      <c r="A10" s="9"/>
      <c r="B10" s="36" t="s">
        <v>1</v>
      </c>
      <c r="C10" s="15" t="s">
        <v>65</v>
      </c>
      <c r="D10" s="15" t="s">
        <v>66</v>
      </c>
      <c r="E10" s="93" t="s">
        <v>125</v>
      </c>
      <c r="F10" s="15" t="s">
        <v>65</v>
      </c>
      <c r="G10" s="15" t="s">
        <v>66</v>
      </c>
      <c r="H10" s="128" t="s">
        <v>125</v>
      </c>
      <c r="I10" s="14"/>
    </row>
    <row r="11" spans="1:9">
      <c r="A11" s="9">
        <v>1</v>
      </c>
      <c r="B11" s="65">
        <v>2014</v>
      </c>
      <c r="C11" s="52">
        <v>900987</v>
      </c>
      <c r="D11" s="10">
        <f>$D$8*$C11</f>
        <v>135534.12855187207</v>
      </c>
      <c r="E11" s="10">
        <f t="shared" ref="E11:E30" si="0">$H$8*$D11</f>
        <v>106615.31017945644</v>
      </c>
      <c r="F11" s="52">
        <v>901236</v>
      </c>
      <c r="G11" s="52">
        <v>135678</v>
      </c>
      <c r="H11" s="57">
        <f t="shared" ref="H11:H30" si="1">$H$8*$G11</f>
        <v>106728.48388140161</v>
      </c>
    </row>
    <row r="12" spans="1:9">
      <c r="A12" s="9">
        <f>A11+1</f>
        <v>2</v>
      </c>
      <c r="B12" s="65">
        <v>2015</v>
      </c>
      <c r="C12" s="52">
        <v>901546</v>
      </c>
      <c r="D12" s="10">
        <f t="shared" ref="D12:D30" si="2">$D$8*$C12</f>
        <v>135618.21808686038</v>
      </c>
      <c r="E12" s="10">
        <f t="shared" si="0"/>
        <v>106681.45759156153</v>
      </c>
      <c r="F12" s="52">
        <v>901568</v>
      </c>
      <c r="G12" s="52">
        <v>135879</v>
      </c>
      <c r="H12" s="57">
        <f t="shared" si="1"/>
        <v>106886.59665768193</v>
      </c>
    </row>
    <row r="13" spans="1:9">
      <c r="A13" s="9">
        <f t="shared" ref="A13:A30" si="3">A12+1</f>
        <v>3</v>
      </c>
      <c r="B13" s="65">
        <v>2016</v>
      </c>
      <c r="C13" s="52">
        <v>901687</v>
      </c>
      <c r="D13" s="10">
        <f t="shared" si="2"/>
        <v>135639.42850624025</v>
      </c>
      <c r="E13" s="10">
        <f t="shared" si="0"/>
        <v>106698.14235919448</v>
      </c>
      <c r="F13" s="52">
        <v>901987</v>
      </c>
      <c r="G13" s="52">
        <v>136222</v>
      </c>
      <c r="H13" s="57">
        <f t="shared" si="1"/>
        <v>107156.41099730457</v>
      </c>
    </row>
    <row r="14" spans="1:9">
      <c r="A14" s="9">
        <f t="shared" si="3"/>
        <v>4</v>
      </c>
      <c r="B14" s="65">
        <v>2017</v>
      </c>
      <c r="C14" s="52">
        <v>902126</v>
      </c>
      <c r="D14" s="10">
        <f t="shared" si="2"/>
        <v>135705.46662047971</v>
      </c>
      <c r="E14" s="10">
        <f t="shared" si="0"/>
        <v>106750.08996905875</v>
      </c>
      <c r="F14" s="52">
        <v>902468</v>
      </c>
      <c r="G14" s="52">
        <v>136546</v>
      </c>
      <c r="H14" s="57">
        <f t="shared" si="1"/>
        <v>107411.27935309973</v>
      </c>
    </row>
    <row r="15" spans="1:9">
      <c r="A15" s="9">
        <f t="shared" si="3"/>
        <v>5</v>
      </c>
      <c r="B15" s="65">
        <v>2018</v>
      </c>
      <c r="C15" s="52">
        <v>902568</v>
      </c>
      <c r="D15" s="10">
        <f t="shared" si="2"/>
        <v>135771.95602023788</v>
      </c>
      <c r="E15" s="10">
        <f t="shared" si="0"/>
        <v>106802.39257397903</v>
      </c>
      <c r="F15" s="52">
        <v>902768</v>
      </c>
      <c r="G15" s="52">
        <v>136876</v>
      </c>
      <c r="H15" s="57">
        <f t="shared" si="1"/>
        <v>107670.86749326145</v>
      </c>
    </row>
    <row r="16" spans="1:9">
      <c r="A16" s="9">
        <f t="shared" si="3"/>
        <v>6</v>
      </c>
      <c r="B16" s="65">
        <v>2019</v>
      </c>
      <c r="C16" s="52">
        <v>902879</v>
      </c>
      <c r="D16" s="10">
        <f t="shared" si="2"/>
        <v>135818.7392856786</v>
      </c>
      <c r="E16" s="10">
        <f t="shared" si="0"/>
        <v>106839.19372811979</v>
      </c>
      <c r="F16" s="52">
        <v>903012</v>
      </c>
      <c r="G16" s="52">
        <v>137111</v>
      </c>
      <c r="H16" s="57">
        <f t="shared" si="1"/>
        <v>107855.72571428571</v>
      </c>
    </row>
    <row r="17" spans="1:8">
      <c r="A17" s="9">
        <f t="shared" si="3"/>
        <v>7</v>
      </c>
      <c r="B17" s="65">
        <v>2020</v>
      </c>
      <c r="C17" s="52">
        <v>903004</v>
      </c>
      <c r="D17" s="10">
        <f t="shared" si="2"/>
        <v>135837.54284895863</v>
      </c>
      <c r="E17" s="10">
        <f t="shared" si="0"/>
        <v>106853.98518878729</v>
      </c>
      <c r="F17" s="52">
        <v>903687</v>
      </c>
      <c r="G17" s="52">
        <v>137564</v>
      </c>
      <c r="H17" s="57">
        <f t="shared" si="1"/>
        <v>108212.06943396226</v>
      </c>
    </row>
    <row r="18" spans="1:8">
      <c r="A18" s="9">
        <f t="shared" si="3"/>
        <v>8</v>
      </c>
      <c r="B18" s="65">
        <v>2021</v>
      </c>
      <c r="C18" s="52">
        <v>903246</v>
      </c>
      <c r="D18" s="10">
        <f t="shared" si="2"/>
        <v>135873.94654746877</v>
      </c>
      <c r="E18" s="10">
        <f t="shared" si="0"/>
        <v>106882.62145663958</v>
      </c>
      <c r="F18" s="52">
        <v>903998</v>
      </c>
      <c r="G18" s="52">
        <v>137986</v>
      </c>
      <c r="H18" s="57">
        <f t="shared" si="1"/>
        <v>108544.02760107817</v>
      </c>
    </row>
    <row r="19" spans="1:8">
      <c r="A19" s="9">
        <f t="shared" si="3"/>
        <v>9</v>
      </c>
      <c r="B19" s="65">
        <v>2022</v>
      </c>
      <c r="C19" s="52">
        <v>903548</v>
      </c>
      <c r="D19" s="10">
        <f t="shared" si="2"/>
        <v>135919.37595635332</v>
      </c>
      <c r="E19" s="10">
        <f t="shared" si="0"/>
        <v>106918.35762561226</v>
      </c>
      <c r="F19" s="52">
        <v>904126</v>
      </c>
      <c r="G19" s="52">
        <v>138123</v>
      </c>
      <c r="H19" s="57">
        <f t="shared" si="1"/>
        <v>108651.79601078166</v>
      </c>
    </row>
    <row r="20" spans="1:8">
      <c r="A20" s="9">
        <f t="shared" si="3"/>
        <v>10</v>
      </c>
      <c r="B20" s="65">
        <v>2023</v>
      </c>
      <c r="C20" s="52">
        <v>903687</v>
      </c>
      <c r="D20" s="10">
        <f t="shared" si="2"/>
        <v>135940.28551872072</v>
      </c>
      <c r="E20" s="10">
        <f t="shared" si="0"/>
        <v>106934.80572987453</v>
      </c>
      <c r="F20" s="52">
        <v>904688</v>
      </c>
      <c r="G20" s="52">
        <v>138555</v>
      </c>
      <c r="H20" s="57">
        <f t="shared" si="1"/>
        <v>108991.6204851752</v>
      </c>
    </row>
    <row r="21" spans="1:8">
      <c r="A21" s="9">
        <f t="shared" si="3"/>
        <v>11</v>
      </c>
      <c r="B21" s="65">
        <v>2024</v>
      </c>
      <c r="C21" s="52">
        <v>904236</v>
      </c>
      <c r="D21" s="10">
        <f t="shared" si="2"/>
        <v>136022.87076864659</v>
      </c>
      <c r="E21" s="10">
        <f t="shared" si="0"/>
        <v>106999.7698251262</v>
      </c>
      <c r="F21" s="52">
        <v>904999</v>
      </c>
      <c r="G21" s="52">
        <v>138763</v>
      </c>
      <c r="H21" s="57">
        <f t="shared" si="1"/>
        <v>109155.23967654986</v>
      </c>
    </row>
    <row r="22" spans="1:8">
      <c r="A22" s="9">
        <f t="shared" si="3"/>
        <v>12</v>
      </c>
      <c r="B22" s="65">
        <v>2025</v>
      </c>
      <c r="C22" s="52">
        <v>904456</v>
      </c>
      <c r="D22" s="10">
        <f t="shared" si="2"/>
        <v>136055.96504001945</v>
      </c>
      <c r="E22" s="10">
        <f t="shared" si="0"/>
        <v>107025.80279590101</v>
      </c>
      <c r="F22" s="52">
        <v>905237</v>
      </c>
      <c r="G22" s="52">
        <v>139002</v>
      </c>
      <c r="H22" s="57">
        <f t="shared" si="1"/>
        <v>109343.24442048516</v>
      </c>
    </row>
    <row r="23" spans="1:8">
      <c r="A23" s="9">
        <f t="shared" si="3"/>
        <v>13</v>
      </c>
      <c r="B23" s="65">
        <v>2026</v>
      </c>
      <c r="C23" s="52">
        <v>904798</v>
      </c>
      <c r="D23" s="10">
        <f t="shared" si="2"/>
        <v>136107.41158915361</v>
      </c>
      <c r="E23" s="10">
        <f t="shared" si="0"/>
        <v>107066.27223228729</v>
      </c>
      <c r="F23" s="52">
        <v>905678</v>
      </c>
      <c r="G23" s="52">
        <v>139100</v>
      </c>
      <c r="H23" s="57">
        <f t="shared" si="1"/>
        <v>109420.33423180593</v>
      </c>
    </row>
    <row r="24" spans="1:8">
      <c r="A24" s="9">
        <f t="shared" si="3"/>
        <v>14</v>
      </c>
      <c r="B24" s="65">
        <v>2027</v>
      </c>
      <c r="C24" s="52">
        <v>904999</v>
      </c>
      <c r="D24" s="10">
        <f t="shared" si="2"/>
        <v>136137.64771890792</v>
      </c>
      <c r="E24" s="10">
        <f t="shared" si="0"/>
        <v>107090.05690104066</v>
      </c>
      <c r="F24" s="52">
        <v>905931</v>
      </c>
      <c r="G24" s="52">
        <v>139566</v>
      </c>
      <c r="H24" s="57">
        <f t="shared" si="1"/>
        <v>109786.90415094339</v>
      </c>
    </row>
    <row r="25" spans="1:8">
      <c r="A25" s="9">
        <f t="shared" si="3"/>
        <v>15</v>
      </c>
      <c r="B25" s="65">
        <v>2028</v>
      </c>
      <c r="C25" s="52">
        <v>905368</v>
      </c>
      <c r="D25" s="10">
        <f t="shared" si="2"/>
        <v>136193.15583771054</v>
      </c>
      <c r="E25" s="10">
        <f t="shared" si="0"/>
        <v>107133.72129293111</v>
      </c>
      <c r="F25" s="52">
        <v>906431</v>
      </c>
      <c r="G25" s="52">
        <v>139789</v>
      </c>
      <c r="H25" s="57">
        <f t="shared" si="1"/>
        <v>109962.32280323449</v>
      </c>
    </row>
    <row r="26" spans="1:8">
      <c r="A26" s="9">
        <f t="shared" si="3"/>
        <v>16</v>
      </c>
      <c r="B26" s="65">
        <v>2029</v>
      </c>
      <c r="C26" s="52">
        <v>905568</v>
      </c>
      <c r="D26" s="10">
        <f t="shared" si="2"/>
        <v>136223.24153895859</v>
      </c>
      <c r="E26" s="10">
        <f t="shared" si="0"/>
        <v>107157.38762999912</v>
      </c>
      <c r="F26" s="52">
        <v>906876</v>
      </c>
      <c r="G26" s="52">
        <v>140023</v>
      </c>
      <c r="H26" s="57">
        <f t="shared" si="1"/>
        <v>110146.39439353099</v>
      </c>
    </row>
    <row r="27" spans="1:8">
      <c r="A27" s="9">
        <f t="shared" si="3"/>
        <v>17</v>
      </c>
      <c r="B27" s="65">
        <v>2030</v>
      </c>
      <c r="C27" s="52">
        <v>905789</v>
      </c>
      <c r="D27" s="10">
        <f t="shared" si="2"/>
        <v>136256.48623883768</v>
      </c>
      <c r="E27" s="10">
        <f t="shared" si="0"/>
        <v>107183.53893245925</v>
      </c>
      <c r="F27" s="52">
        <v>907126</v>
      </c>
      <c r="G27" s="52">
        <v>140444</v>
      </c>
      <c r="H27" s="57">
        <f t="shared" si="1"/>
        <v>110477.56592991913</v>
      </c>
    </row>
    <row r="28" spans="1:8">
      <c r="A28" s="9">
        <f t="shared" si="3"/>
        <v>18</v>
      </c>
      <c r="B28" s="65">
        <v>2031</v>
      </c>
      <c r="C28" s="52">
        <v>906002</v>
      </c>
      <c r="D28" s="10">
        <f t="shared" si="2"/>
        <v>136288.52751066687</v>
      </c>
      <c r="E28" s="10">
        <f t="shared" si="0"/>
        <v>107208.74358143671</v>
      </c>
      <c r="F28" s="52">
        <v>907567</v>
      </c>
      <c r="G28" s="52">
        <v>140875</v>
      </c>
      <c r="H28" s="57">
        <f t="shared" si="1"/>
        <v>110816.60377358489</v>
      </c>
    </row>
    <row r="29" spans="1:8">
      <c r="A29" s="9">
        <f t="shared" si="3"/>
        <v>19</v>
      </c>
      <c r="B29" s="65">
        <v>2032</v>
      </c>
      <c r="C29" s="52">
        <v>906267</v>
      </c>
      <c r="D29" s="10">
        <f t="shared" si="2"/>
        <v>136328.39106482052</v>
      </c>
      <c r="E29" s="10">
        <f t="shared" si="0"/>
        <v>107240.1014780518</v>
      </c>
      <c r="F29" s="52">
        <v>907863</v>
      </c>
      <c r="G29" s="52">
        <v>140987</v>
      </c>
      <c r="H29" s="57">
        <f t="shared" si="1"/>
        <v>110904.70641509433</v>
      </c>
    </row>
    <row r="30" spans="1:8">
      <c r="A30" s="9">
        <f t="shared" si="3"/>
        <v>20</v>
      </c>
      <c r="B30" s="65">
        <v>2033</v>
      </c>
      <c r="C30" s="52">
        <v>906564</v>
      </c>
      <c r="D30" s="10">
        <f t="shared" si="2"/>
        <v>136373.06833117388</v>
      </c>
      <c r="E30" s="10">
        <f t="shared" si="0"/>
        <v>107275.2459885978</v>
      </c>
      <c r="F30" s="52">
        <v>908001</v>
      </c>
      <c r="G30" s="52">
        <v>141001</v>
      </c>
      <c r="H30" s="57">
        <f t="shared" si="1"/>
        <v>110915.71924528301</v>
      </c>
    </row>
    <row r="31" spans="1:8" ht="15.75" customHeight="1">
      <c r="A31" s="171" t="s">
        <v>77</v>
      </c>
      <c r="B31" s="171"/>
      <c r="C31" s="171"/>
      <c r="D31" s="171"/>
      <c r="E31" s="171"/>
      <c r="F31" s="171"/>
      <c r="G31" s="171"/>
      <c r="H31" s="171"/>
    </row>
    <row r="32" spans="1:8">
      <c r="A32" s="156" t="s">
        <v>69</v>
      </c>
      <c r="B32" s="156"/>
      <c r="C32" s="49" t="s">
        <v>115</v>
      </c>
      <c r="D32" s="62"/>
      <c r="E32" s="63"/>
      <c r="F32" s="63"/>
      <c r="G32" s="63"/>
      <c r="H32" s="66"/>
    </row>
    <row r="33" spans="1:8" ht="111" customHeight="1">
      <c r="A33" s="153" t="s">
        <v>123</v>
      </c>
      <c r="B33" s="154"/>
      <c r="C33" s="154"/>
      <c r="D33" s="154"/>
      <c r="E33" s="154"/>
      <c r="F33" s="154"/>
      <c r="G33" s="154"/>
      <c r="H33" s="155"/>
    </row>
  </sheetData>
  <sheetProtection sheet="1" objects="1" scenarios="1"/>
  <mergeCells count="13">
    <mergeCell ref="A1:H1"/>
    <mergeCell ref="A2:H2"/>
    <mergeCell ref="A3:H3"/>
    <mergeCell ref="A4:H4"/>
    <mergeCell ref="A5:C5"/>
    <mergeCell ref="A31:H31"/>
    <mergeCell ref="A32:B32"/>
    <mergeCell ref="A33:H33"/>
    <mergeCell ref="A6:C6"/>
    <mergeCell ref="A7:C7"/>
    <mergeCell ref="G9:H9"/>
    <mergeCell ref="A8:C8"/>
    <mergeCell ref="C9:E9"/>
  </mergeCells>
  <dataValidations count="1">
    <dataValidation type="list" allowBlank="1" showInputMessage="1" showErrorMessage="1" sqref="D5">
      <formula1>Flow!F1:F3</formula1>
    </dataValidation>
  </dataValidations>
  <hyperlinks>
    <hyperlink ref="G7" r:id="rId1"/>
  </hyperlinks>
  <printOptions horizontalCentered="1"/>
  <pageMargins left="0.25" right="0.25" top="0.75" bottom="0.75" header="0.3" footer="0.3"/>
  <pageSetup scale="80"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Flow!F1:F3</xm:f>
          </x14:formula1>
          <xm:sqref>D5</xm:sqref>
        </x14:dataValidation>
        <x14:dataValidation type="list" allowBlank="1" showInputMessage="1" showErrorMessage="1">
          <x14:formula1>
            <xm:f>Flow!F1:F3</xm:f>
          </x14:formula1>
          <xm:sqref>D5</xm:sqref>
        </x14:dataValidation>
        <x14:dataValidation type="list" allowBlank="1" showInputMessage="1" showErrorMessage="1">
          <x14:formula1>
            <xm:f>Flow!I5:I7</xm:f>
          </x14:formula1>
          <xm:sqref>D5</xm:sqref>
        </x14:dataValidation>
      </x14:dataValidations>
    </ext>
  </extLst>
</worksheet>
</file>

<file path=xl/worksheets/sheet6.xml><?xml version="1.0" encoding="utf-8"?>
<worksheet xmlns="http://schemas.openxmlformats.org/spreadsheetml/2006/main" xmlns:r="http://schemas.openxmlformats.org/officeDocument/2006/relationships">
  <dimension ref="A2:K11"/>
  <sheetViews>
    <sheetView workbookViewId="0">
      <selection activeCell="K4" sqref="K4"/>
    </sheetView>
  </sheetViews>
  <sheetFormatPr defaultRowHeight="15"/>
  <cols>
    <col min="1" max="1" width="19.7109375" customWidth="1"/>
  </cols>
  <sheetData>
    <row r="2" spans="1:11">
      <c r="A2" t="s">
        <v>24</v>
      </c>
      <c r="D2" t="s">
        <v>49</v>
      </c>
      <c r="F2" t="s">
        <v>36</v>
      </c>
      <c r="J2" t="s">
        <v>80</v>
      </c>
      <c r="K2" t="s">
        <v>89</v>
      </c>
    </row>
    <row r="3" spans="1:11">
      <c r="A3" t="s">
        <v>35</v>
      </c>
      <c r="D3" t="s">
        <v>50</v>
      </c>
      <c r="F3" t="s">
        <v>37</v>
      </c>
      <c r="J3" t="s">
        <v>81</v>
      </c>
      <c r="K3" t="s">
        <v>90</v>
      </c>
    </row>
    <row r="4" spans="1:11">
      <c r="A4" t="s">
        <v>36</v>
      </c>
    </row>
    <row r="5" spans="1:11">
      <c r="A5" t="s">
        <v>37</v>
      </c>
    </row>
    <row r="9" spans="1:11">
      <c r="E9">
        <v>0.1</v>
      </c>
    </row>
    <row r="10" spans="1:11">
      <c r="E10">
        <v>70</v>
      </c>
    </row>
    <row r="11" spans="1:11">
      <c r="E11">
        <v>15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J32"/>
  <sheetViews>
    <sheetView workbookViewId="0">
      <selection activeCell="A2" sqref="A2:J2"/>
    </sheetView>
  </sheetViews>
  <sheetFormatPr defaultRowHeight="15.75"/>
  <cols>
    <col min="1" max="1" width="6.140625" style="3" customWidth="1"/>
    <col min="2" max="10" width="17.7109375" style="3" customWidth="1"/>
    <col min="11" max="13" width="16.7109375" style="3" customWidth="1"/>
    <col min="14" max="16384" width="9.140625" style="3"/>
  </cols>
  <sheetData>
    <row r="1" spans="1:10">
      <c r="A1" s="131" t="s">
        <v>183</v>
      </c>
      <c r="B1" s="132"/>
      <c r="C1" s="132"/>
      <c r="D1" s="132"/>
      <c r="E1" s="132"/>
      <c r="F1" s="132"/>
      <c r="G1" s="132"/>
      <c r="H1" s="132"/>
      <c r="I1" s="132"/>
      <c r="J1" s="133"/>
    </row>
    <row r="2" spans="1:10">
      <c r="A2" s="134" t="str">
        <f>Input!C3</f>
        <v>Central Avenue Expansion</v>
      </c>
      <c r="B2" s="135"/>
      <c r="C2" s="135"/>
      <c r="D2" s="135"/>
      <c r="E2" s="135"/>
      <c r="F2" s="135"/>
      <c r="G2" s="135"/>
      <c r="H2" s="135"/>
      <c r="I2" s="135"/>
      <c r="J2" s="136"/>
    </row>
    <row r="3" spans="1:10">
      <c r="A3" s="162" t="str">
        <f>Input!C4</f>
        <v>Town of Anytown</v>
      </c>
      <c r="B3" s="163"/>
      <c r="C3" s="163"/>
      <c r="D3" s="163"/>
      <c r="E3" s="163"/>
      <c r="F3" s="163"/>
      <c r="G3" s="163"/>
      <c r="H3" s="163"/>
      <c r="I3" s="163"/>
      <c r="J3" s="164"/>
    </row>
    <row r="4" spans="1:10">
      <c r="A4" s="22"/>
      <c r="B4" s="23"/>
      <c r="C4" s="72" t="s">
        <v>75</v>
      </c>
      <c r="D4" s="176" t="s">
        <v>37</v>
      </c>
      <c r="E4" s="177"/>
      <c r="F4" s="62"/>
      <c r="G4" s="63"/>
      <c r="H4" s="63"/>
      <c r="I4" s="68" t="s">
        <v>79</v>
      </c>
      <c r="J4" s="70" t="s">
        <v>80</v>
      </c>
    </row>
    <row r="5" spans="1:10">
      <c r="A5" s="24"/>
      <c r="B5" s="21"/>
      <c r="C5" s="73" t="s">
        <v>76</v>
      </c>
      <c r="D5" s="74">
        <f>IF($D$4="Metered",'Current Flow'!$A$10,(IF($D$4="Pump Runtime",'Current Flow'!$C$18,(IF($D$4="Method 1 - Limited Service Area",'Current Flow'!$C$32,(IF($D$4="Method 2 - Large Service Area",'Current Flow'!$C$48,"")))))))</f>
        <v>9746354.7169811316</v>
      </c>
      <c r="E5" s="125" t="s">
        <v>43</v>
      </c>
      <c r="F5" s="95">
        <v>2</v>
      </c>
      <c r="G5" s="21"/>
      <c r="H5" s="21"/>
      <c r="I5" s="73" t="s">
        <v>69</v>
      </c>
      <c r="J5" s="49" t="s">
        <v>173</v>
      </c>
    </row>
    <row r="6" spans="1:10">
      <c r="A6" s="24"/>
      <c r="B6" s="21"/>
      <c r="C6" s="178" t="s">
        <v>70</v>
      </c>
      <c r="D6" s="179"/>
      <c r="E6" s="179"/>
      <c r="F6" s="21"/>
      <c r="G6" s="76"/>
      <c r="H6" s="75" t="s">
        <v>78</v>
      </c>
      <c r="I6" s="174" t="str">
        <f>'Future Population'!G9</f>
        <v>Town/County Comprehensive Plan</v>
      </c>
      <c r="J6" s="175"/>
    </row>
    <row r="7" spans="1:10">
      <c r="A7" s="18"/>
      <c r="B7" s="69" t="s">
        <v>1</v>
      </c>
      <c r="C7" s="69" t="s">
        <v>71</v>
      </c>
      <c r="D7" s="69" t="s">
        <v>72</v>
      </c>
      <c r="E7" s="69" t="s">
        <v>73</v>
      </c>
      <c r="F7" s="69" t="s">
        <v>74</v>
      </c>
      <c r="G7" s="69" t="s">
        <v>71</v>
      </c>
      <c r="H7" s="69" t="s">
        <v>72</v>
      </c>
      <c r="I7" s="69" t="s">
        <v>73</v>
      </c>
      <c r="J7" s="69" t="s">
        <v>74</v>
      </c>
    </row>
    <row r="8" spans="1:10">
      <c r="A8" s="28"/>
      <c r="B8" s="9"/>
      <c r="C8" s="69" t="s">
        <v>6</v>
      </c>
      <c r="D8" s="69" t="s">
        <v>6</v>
      </c>
      <c r="E8" s="69" t="s">
        <v>6</v>
      </c>
      <c r="F8" s="69" t="s">
        <v>6</v>
      </c>
      <c r="G8" s="69" t="s">
        <v>6</v>
      </c>
      <c r="H8" s="69" t="s">
        <v>6</v>
      </c>
      <c r="I8" s="69" t="s">
        <v>6</v>
      </c>
      <c r="J8" s="69" t="s">
        <v>6</v>
      </c>
    </row>
    <row r="9" spans="1:10">
      <c r="A9" s="9">
        <v>1</v>
      </c>
      <c r="B9" s="9">
        <f>'Future Population'!B11</f>
        <v>2014</v>
      </c>
      <c r="C9" s="10">
        <f>IF($D$4="Metered",(((('Current Flow'!$A$10*'Current Flow'!$C$11)/'Current Population - Method 2'!$B$13)*('Future Population'!$E11-'Current Population - Method 2'!$B$13)*$F$5)), (IF($D$4="Pump Runtime", ((('Future Population'!$E11-'Current Population - Method 2'!$B$13)*Flow!$E$10)*$F$5), (IF($D$4="Method 1 - Limited Service Area", 0, (IF($D$4="Method 2 - Large Service Area", ((('Future Population'!$E11-'Current Population - Method 2'!$B$13)*Flow!$E$10)*$F$5), "")))))))</f>
        <v>4988.7627239016001</v>
      </c>
      <c r="D9" s="10">
        <f>IF($D$4="Metered",(((('Current Flow'!$A$10*'Current Flow'!$C$12)/'Current Population - Method 2'!$B$13)*('Future Population'!$E11-'Current Population - Method 2'!$B$13))*$F$5), (IF($D$4="Pump Runtime", ((('Future Population'!$E11-'Current Population - Method 2'!$B$13)*Flow!$E$11)*$F$5), (IF($D$4="Method 1 - Limited Service Area", 0, (IF($D$4="Method 2 - Large Service Area", ((('Future Population'!$E11-'Current Population - Method 2'!$B$13)*Flow!$E$11)*$F$5), "")))))))</f>
        <v>1069.0205836932</v>
      </c>
      <c r="E9" s="10">
        <f>IF($D$4="Method 1 - Limited Service Area", 0, ((($D$5+$C9+$D9)*Flow!$E$9)*$F$5))</f>
        <v>1950482.5000577455</v>
      </c>
      <c r="F9" s="19">
        <f>$D$5+SUM(C9:E9)</f>
        <v>11702895.000346472</v>
      </c>
      <c r="G9" s="10">
        <f>IF($J$4="Yes", (IF($D$4="Metered",(((('Current Flow'!$A$10*'Current Flow'!$C$11)/'Current Population - Method 2'!$B$13)*('Future Population'!$H11-'Current Population - Method 2'!$B$13))*$F$5), (IF($D$4="Pump Runtime", ((('Future Population'!$H11-'Current Population - Method 2'!$B$13)*Flow!$E$10)*$F$5), (IF($D$4="Method 1 - Limited Service Area", 0, (IF($D$4="Method 2 - Large Service Area", ((('Future Population'!$H11-'Current Population - Method 2'!$B$13)*Flow!$E$10)*$F$5), "")))))))), "")</f>
        <v>20833.080996225181</v>
      </c>
      <c r="H9" s="10">
        <f>IF($J$4="Yes", (IF($D$4="Metered",(((('Current Flow'!$A$10*'Current Flow'!$C$12)/'Current Population - Method 2'!$B$13)*('Future Population'!$H11-'Current Population - Method 2'!$B$13))*$F$5), (IF($D$4="Pump Runtime", ((('Future Population'!$H11-'Current Population - Method 2'!$B$13)*Flow!$E$11)*$F$5), (IF($D$4="Method 1 - Limited Service Area", 0, (IF($D$4="Method 2 - Large Service Area", ((('Future Population'!$H11-'Current Population - Method 2'!$B$13)*Flow!$E$11)*$F$5), "")))))))), "")</f>
        <v>4464.231642048253</v>
      </c>
      <c r="I9" s="10">
        <f>IF($J$4="Yes", (IF($D$4="Method 1 - Limited Service Area", 0, ((($D$5+$G9+$H9)*Flow!$E$9)*$F$5))),"")</f>
        <v>1954330.4059238811</v>
      </c>
      <c r="J9" s="19">
        <f>IF($J$4="Yes", ($D$5+SUM(G9:I9)), "")</f>
        <v>11725982.435543286</v>
      </c>
    </row>
    <row r="10" spans="1:10">
      <c r="A10" s="9">
        <f>A9+1</f>
        <v>2</v>
      </c>
      <c r="B10" s="9">
        <f>'Future Population'!B12</f>
        <v>2015</v>
      </c>
      <c r="C10" s="10">
        <f>IF($D$4="Metered",(((('Current Flow'!$A$10*'Current Flow'!$C$11)/'Current Population - Method 2'!$B$13)*('Future Population'!$E12-'Current Population - Method 2'!$B$13)*$F$5)), (IF($D$4="Pump Runtime", ((('Future Population'!$E12-'Current Population - Method 2'!$B$13)*Flow!$E$10)*$F$5), (IF($D$4="Method 1 - Limited Service Area", 0, (IF($D$4="Method 2 - Large Service Area", ((('Future Population'!$E12-'Current Population - Method 2'!$B$13)*Flow!$E$10)*$F$5), "")))))))</f>
        <v>14249.400418613513</v>
      </c>
      <c r="D10" s="10">
        <f>IF($D$4="Metered",(((('Current Flow'!$A$10*'Current Flow'!$C$12)/'Current Population - Method 2'!$B$13)*('Future Population'!$E12-'Current Population - Method 2'!$B$13))*$F$5), (IF($D$4="Pump Runtime", ((('Future Population'!$E12-'Current Population - Method 2'!$B$13)*Flow!$E$11)*$F$5), (IF($D$4="Method 1 - Limited Service Area", 0, (IF($D$4="Method 2 - Large Service Area", ((('Future Population'!$E12-'Current Population - Method 2'!$B$13)*Flow!$E$11)*$F$5), "")))))))</f>
        <v>3053.4429468457529</v>
      </c>
      <c r="E10" s="10">
        <f>IF($D$4="Method 1 - Limited Service Area", 0, ((($D$5+$C10+$D10)*Flow!$E$9)*$F$5))</f>
        <v>1952731.5120693182</v>
      </c>
      <c r="F10" s="19">
        <f t="shared" ref="F10:F28" si="0">$D$5+SUM(C10:E10)</f>
        <v>11716389.072415909</v>
      </c>
      <c r="G10" s="10">
        <f>IF($J$4="Yes", (IF($D$4="Metered",(((('Current Flow'!$A$10*'Current Flow'!$C$11)/'Current Population - Method 2'!$B$13)*('Future Population'!$H12-'Current Population - Method 2'!$B$13))*$F$5), (IF($D$4="Pump Runtime", ((('Future Population'!$H12-'Current Population - Method 2'!$B$13)*Flow!$E$10)*$F$5), (IF($D$4="Method 1 - Limited Service Area", 0, (IF($D$4="Method 2 - Large Service Area", ((('Future Population'!$H12-'Current Population - Method 2'!$B$13)*Flow!$E$10)*$F$5), "")))))))), "")</f>
        <v>42968.869675470341</v>
      </c>
      <c r="H10" s="10">
        <f>IF($J$4="Yes", (IF($D$4="Metered",(((('Current Flow'!$A$10*'Current Flow'!$C$12)/'Current Population - Method 2'!$B$13)*('Future Population'!$H12-'Current Population - Method 2'!$B$13))*$F$5), (IF($D$4="Pump Runtime", ((('Future Population'!$H12-'Current Population - Method 2'!$B$13)*Flow!$E$11)*$F$5), (IF($D$4="Method 1 - Limited Service Area", 0, (IF($D$4="Method 2 - Large Service Area", ((('Future Population'!$H12-'Current Population - Method 2'!$B$13)*Flow!$E$11)*$F$5), "")))))))), "")</f>
        <v>9207.6149304579303</v>
      </c>
      <c r="I10" s="10">
        <f>IF($J$4="Yes", (IF($D$4="Method 1 - Limited Service Area", 0, ((($D$5+$G10+$H10)*Flow!$E$9)*$F$5))),"")</f>
        <v>1959706.2403174122</v>
      </c>
      <c r="J10" s="19">
        <f t="shared" ref="J10:J28" si="1">IF($J$4="Yes", ($D$5+SUM(G10:I10)), "")</f>
        <v>11758237.441904472</v>
      </c>
    </row>
    <row r="11" spans="1:10">
      <c r="A11" s="9">
        <f t="shared" ref="A11:A28" si="2">A10+1</f>
        <v>3</v>
      </c>
      <c r="B11" s="9">
        <f>'Future Population'!B13</f>
        <v>2016</v>
      </c>
      <c r="C11" s="10">
        <f>IF($D$4="Metered",(((('Current Flow'!$A$10*'Current Flow'!$C$11)/'Current Population - Method 2'!$B$13)*('Future Population'!$E13-'Current Population - Method 2'!$B$13)*$F$5)), (IF($D$4="Pump Runtime", ((('Future Population'!$E13-'Current Population - Method 2'!$B$13)*Flow!$E$10)*$F$5), (IF($D$4="Method 1 - Limited Service Area", 0, (IF($D$4="Method 2 - Large Service Area", ((('Future Population'!$E13-'Current Population - Method 2'!$B$13)*Flow!$E$10)*$F$5), "")))))))</f>
        <v>16585.267887226364</v>
      </c>
      <c r="D11" s="10">
        <f>IF($D$4="Metered",(((('Current Flow'!$A$10*'Current Flow'!$C$12)/'Current Population - Method 2'!$B$13)*('Future Population'!$E13-'Current Population - Method 2'!$B$13))*$F$5), (IF($D$4="Pump Runtime", ((('Future Population'!$E13-'Current Population - Method 2'!$B$13)*Flow!$E$11)*$F$5), (IF($D$4="Method 1 - Limited Service Area", 0, (IF($D$4="Method 2 - Large Service Area", ((('Future Population'!$E13-'Current Population - Method 2'!$B$13)*Flow!$E$11)*$F$5), "")))))))</f>
        <v>3553.9859758342209</v>
      </c>
      <c r="E11" s="10">
        <f>IF($D$4="Method 1 - Limited Service Area", 0, ((($D$5+$C11+$D11)*Flow!$E$9)*$F$5))</f>
        <v>1953298.7941688385</v>
      </c>
      <c r="F11" s="19">
        <f t="shared" si="0"/>
        <v>11719792.765013032</v>
      </c>
      <c r="G11" s="10">
        <f>IF($J$4="Yes", (IF($D$4="Metered",(((('Current Flow'!$A$10*'Current Flow'!$C$11)/'Current Population - Method 2'!$B$13)*('Future Population'!$H13-'Current Population - Method 2'!$B$13))*$F$5), (IF($D$4="Pump Runtime", ((('Future Population'!$H13-'Current Population - Method 2'!$B$13)*Flow!$E$10)*$F$5), (IF($D$4="Method 1 - Limited Service Area", 0, (IF($D$4="Method 2 - Large Service Area", ((('Future Population'!$H13-'Current Population - Method 2'!$B$13)*Flow!$E$10)*$F$5), "")))))))), "")</f>
        <v>80742.877222639509</v>
      </c>
      <c r="H11" s="10">
        <f>IF($J$4="Yes", (IF($D$4="Metered",(((('Current Flow'!$A$10*'Current Flow'!$C$12)/'Current Population - Method 2'!$B$13)*('Future Population'!$H13-'Current Population - Method 2'!$B$13))*$F$5), (IF($D$4="Pump Runtime", ((('Future Population'!$H13-'Current Population - Method 2'!$B$13)*Flow!$E$11)*$F$5), (IF($D$4="Method 1 - Limited Service Area", 0, (IF($D$4="Method 2 - Large Service Area", ((('Future Population'!$H13-'Current Population - Method 2'!$B$13)*Flow!$E$11)*$F$5), "")))))))), "")</f>
        <v>17302.045119137038</v>
      </c>
      <c r="I11" s="10">
        <f>IF($J$4="Yes", (IF($D$4="Method 1 - Limited Service Area", 0, ((($D$5+$G11+$H11)*Flow!$E$9)*$F$5))),"")</f>
        <v>1968879.9278645813</v>
      </c>
      <c r="J11" s="19">
        <f t="shared" si="1"/>
        <v>11813279.56718749</v>
      </c>
    </row>
    <row r="12" spans="1:10">
      <c r="A12" s="9">
        <f t="shared" si="2"/>
        <v>4</v>
      </c>
      <c r="B12" s="9">
        <f>'Future Population'!B14</f>
        <v>2017</v>
      </c>
      <c r="C12" s="10">
        <f>IF($D$4="Metered",(((('Current Flow'!$A$10*'Current Flow'!$C$11)/'Current Population - Method 2'!$B$13)*('Future Population'!$E14-'Current Population - Method 2'!$B$13)*$F$5)), (IF($D$4="Pump Runtime", ((('Future Population'!$E14-'Current Population - Method 2'!$B$13)*Flow!$E$10)*$F$5), (IF($D$4="Method 1 - Limited Service Area", 0, (IF($D$4="Method 2 - Large Service Area", ((('Future Population'!$E14-'Current Population - Method 2'!$B$13)*Flow!$E$10)*$F$5), "")))))))</f>
        <v>23857.93326822517</v>
      </c>
      <c r="D12" s="10">
        <f>IF($D$4="Metered",(((('Current Flow'!$A$10*'Current Flow'!$C$12)/'Current Population - Method 2'!$B$13)*('Future Population'!$E14-'Current Population - Method 2'!$B$13))*$F$5), (IF($D$4="Pump Runtime", ((('Future Population'!$E14-'Current Population - Method 2'!$B$13)*Flow!$E$11)*$F$5), (IF($D$4="Method 1 - Limited Service Area", 0, (IF($D$4="Method 2 - Large Service Area", ((('Future Population'!$E14-'Current Population - Method 2'!$B$13)*Flow!$E$11)*$F$5), "")))))))</f>
        <v>5112.4142717625364</v>
      </c>
      <c r="E12" s="10">
        <f>IF($D$4="Method 1 - Limited Service Area", 0, ((($D$5+$C12+$D12)*Flow!$E$9)*$F$5))</f>
        <v>1955065.012904224</v>
      </c>
      <c r="F12" s="19">
        <f t="shared" si="0"/>
        <v>11730390.077425344</v>
      </c>
      <c r="G12" s="10">
        <f>IF($J$4="Yes", (IF($D$4="Metered",(((('Current Flow'!$A$10*'Current Flow'!$C$11)/'Current Population - Method 2'!$B$13)*('Future Population'!$H14-'Current Population - Method 2'!$B$13))*$F$5), (IF($D$4="Pump Runtime", ((('Future Population'!$H14-'Current Population - Method 2'!$B$13)*Flow!$E$10)*$F$5), (IF($D$4="Method 1 - Limited Service Area", 0, (IF($D$4="Method 2 - Large Service Area", ((('Future Population'!$H14-'Current Population - Method 2'!$B$13)*Flow!$E$10)*$F$5), "")))))))), "")</f>
        <v>116424.44703396177</v>
      </c>
      <c r="H12" s="10">
        <f>IF($J$4="Yes", (IF($D$4="Metered",(((('Current Flow'!$A$10*'Current Flow'!$C$12)/'Current Population - Method 2'!$B$13)*('Future Population'!$H14-'Current Population - Method 2'!$B$13))*$F$5), (IF($D$4="Pump Runtime", ((('Future Population'!$H14-'Current Population - Method 2'!$B$13)*Flow!$E$11)*$F$5), (IF($D$4="Method 1 - Limited Service Area", 0, (IF($D$4="Method 2 - Large Service Area", ((('Future Population'!$H14-'Current Population - Method 2'!$B$13)*Flow!$E$11)*$F$5), "")))))))), "")</f>
        <v>24948.095792991808</v>
      </c>
      <c r="I12" s="10">
        <f>IF($J$4="Yes", (IF($D$4="Method 1 - Limited Service Area", 0, ((($D$5+$G12+$H12)*Flow!$E$9)*$F$5))),"")</f>
        <v>1977545.4519616172</v>
      </c>
      <c r="J12" s="19">
        <f t="shared" si="1"/>
        <v>11865272.711769702</v>
      </c>
    </row>
    <row r="13" spans="1:10">
      <c r="A13" s="9">
        <f t="shared" si="2"/>
        <v>5</v>
      </c>
      <c r="B13" s="9">
        <f>'Future Population'!B15</f>
        <v>2018</v>
      </c>
      <c r="C13" s="10">
        <f>IF($D$4="Metered",(((('Current Flow'!$A$10*'Current Flow'!$C$11)/'Current Population - Method 2'!$B$13)*('Future Population'!$E15-'Current Population - Method 2'!$B$13)*$F$5)), (IF($D$4="Pump Runtime", ((('Future Population'!$E15-'Current Population - Method 2'!$B$13)*Flow!$E$10)*$F$5), (IF($D$4="Method 1 - Limited Service Area", 0, (IF($D$4="Method 2 - Large Service Area", ((('Future Population'!$E15-'Current Population - Method 2'!$B$13)*Flow!$E$10)*$F$5), "")))))))</f>
        <v>31180.297957063594</v>
      </c>
      <c r="D13" s="10">
        <f>IF($D$4="Metered",(((('Current Flow'!$A$10*'Current Flow'!$C$12)/'Current Population - Method 2'!$B$13)*('Future Population'!$E15-'Current Population - Method 2'!$B$13))*$F$5), (IF($D$4="Pump Runtime", ((('Future Population'!$E15-'Current Population - Method 2'!$B$13)*Flow!$E$11)*$F$5), (IF($D$4="Method 1 - Limited Service Area", 0, (IF($D$4="Method 2 - Large Service Area", ((('Future Population'!$E15-'Current Population - Method 2'!$B$13)*Flow!$E$11)*$F$5), "")))))))</f>
        <v>6681.4924193707702</v>
      </c>
      <c r="E13" s="10">
        <f>IF($D$4="Method 1 - Limited Service Area", 0, ((($D$5+$C13+$D13)*Flow!$E$9)*$F$5))</f>
        <v>1956843.3014715132</v>
      </c>
      <c r="F13" s="19">
        <f t="shared" si="0"/>
        <v>11741059.808829078</v>
      </c>
      <c r="G13" s="10">
        <f>IF($J$4="Yes", (IF($D$4="Metered",(((('Current Flow'!$A$10*'Current Flow'!$C$11)/'Current Population - Method 2'!$B$13)*('Future Population'!$H15-'Current Population - Method 2'!$B$13))*$F$5), (IF($D$4="Pump Runtime", ((('Future Population'!$H15-'Current Population - Method 2'!$B$13)*Flow!$E$10)*$F$5), (IF($D$4="Method 1 - Limited Service Area", 0, (IF($D$4="Method 2 - Large Service Area", ((('Future Population'!$H15-'Current Population - Method 2'!$B$13)*Flow!$E$10)*$F$5), "")))))))), "")</f>
        <v>152766.78665660293</v>
      </c>
      <c r="H13" s="10">
        <f>IF($J$4="Yes", (IF($D$4="Metered",(((('Current Flow'!$A$10*'Current Flow'!$C$12)/'Current Population - Method 2'!$B$13)*('Future Population'!$H15-'Current Population - Method 2'!$B$13))*$F$5), (IF($D$4="Pump Runtime", ((('Future Population'!$H15-'Current Population - Method 2'!$B$13)*Flow!$E$11)*$F$5), (IF($D$4="Method 1 - Limited Service Area", 0, (IF($D$4="Method 2 - Large Service Area", ((('Future Population'!$H15-'Current Population - Method 2'!$B$13)*Flow!$E$11)*$F$5), "")))))))), "")</f>
        <v>32735.739997843484</v>
      </c>
      <c r="I13" s="10">
        <f>IF($J$4="Yes", (IF($D$4="Method 1 - Limited Service Area", 0, ((($D$5+$G13+$H13)*Flow!$E$9)*$F$5))),"")</f>
        <v>1986371.4487271158</v>
      </c>
      <c r="J13" s="19">
        <f t="shared" si="1"/>
        <v>11918228.692362694</v>
      </c>
    </row>
    <row r="14" spans="1:10">
      <c r="A14" s="9">
        <f t="shared" si="2"/>
        <v>6</v>
      </c>
      <c r="B14" s="9">
        <f>'Future Population'!B16</f>
        <v>2019</v>
      </c>
      <c r="C14" s="10">
        <f>IF($D$4="Metered",(((('Current Flow'!$A$10*'Current Flow'!$C$11)/'Current Population - Method 2'!$B$13)*('Future Population'!$E16-'Current Population - Method 2'!$B$13)*$F$5)), (IF($D$4="Pump Runtime", ((('Future Population'!$E16-'Current Population - Method 2'!$B$13)*Flow!$E$10)*$F$5), (IF($D$4="Method 1 - Limited Service Area", 0, (IF($D$4="Method 2 - Large Service Area", ((('Future Population'!$E16-'Current Population - Method 2'!$B$13)*Flow!$E$10)*$F$5), "")))))))</f>
        <v>36332.459536770184</v>
      </c>
      <c r="D14" s="10">
        <f>IF($D$4="Metered",(((('Current Flow'!$A$10*'Current Flow'!$C$12)/'Current Population - Method 2'!$B$13)*('Future Population'!$E16-'Current Population - Method 2'!$B$13))*$F$5), (IF($D$4="Pump Runtime", ((('Future Population'!$E16-'Current Population - Method 2'!$B$13)*Flow!$E$11)*$F$5), (IF($D$4="Method 1 - Limited Service Area", 0, (IF($D$4="Method 2 - Large Service Area", ((('Future Population'!$E16-'Current Population - Method 2'!$B$13)*Flow!$E$11)*$F$5), "")))))))</f>
        <v>7785.5270435936109</v>
      </c>
      <c r="E14" s="10">
        <f>IF($D$4="Method 1 - Limited Service Area", 0, ((($D$5+$C14+$D14)*Flow!$E$9)*$F$5))</f>
        <v>1958094.5407122993</v>
      </c>
      <c r="F14" s="19">
        <f t="shared" si="0"/>
        <v>11748567.244273795</v>
      </c>
      <c r="G14" s="10">
        <f>IF($J$4="Yes", (IF($D$4="Metered",(((('Current Flow'!$A$10*'Current Flow'!$C$11)/'Current Population - Method 2'!$B$13)*('Future Population'!$H16-'Current Population - Method 2'!$B$13))*$F$5), (IF($D$4="Pump Runtime", ((('Future Population'!$H16-'Current Population - Method 2'!$B$13)*Flow!$E$10)*$F$5), (IF($D$4="Method 1 - Limited Service Area", 0, (IF($D$4="Method 2 - Large Service Area", ((('Future Population'!$H16-'Current Population - Method 2'!$B$13)*Flow!$E$10)*$F$5), "")))))))), "")</f>
        <v>178646.93759999936</v>
      </c>
      <c r="H14" s="10">
        <f>IF($J$4="Yes", (IF($D$4="Metered",(((('Current Flow'!$A$10*'Current Flow'!$C$12)/'Current Population - Method 2'!$B$13)*('Future Population'!$H16-'Current Population - Method 2'!$B$13))*$F$5), (IF($D$4="Pump Runtime", ((('Future Population'!$H16-'Current Population - Method 2'!$B$13)*Flow!$E$11)*$F$5), (IF($D$4="Method 1 - Limited Service Area", 0, (IF($D$4="Method 2 - Large Service Area", ((('Future Population'!$H16-'Current Population - Method 2'!$B$13)*Flow!$E$11)*$F$5), "")))))))), "")</f>
        <v>38281.486628571292</v>
      </c>
      <c r="I14" s="10">
        <f>IF($J$4="Yes", (IF($D$4="Method 1 - Limited Service Area", 0, ((($D$5+$G14+$H14)*Flow!$E$9)*$F$5))),"")</f>
        <v>1992656.6282419406</v>
      </c>
      <c r="J14" s="19">
        <f t="shared" si="1"/>
        <v>11955939.769451642</v>
      </c>
    </row>
    <row r="15" spans="1:10">
      <c r="A15" s="9">
        <f t="shared" si="2"/>
        <v>7</v>
      </c>
      <c r="B15" s="9">
        <f>'Future Population'!B17</f>
        <v>2020</v>
      </c>
      <c r="C15" s="10">
        <f>IF($D$4="Metered",(((('Current Flow'!$A$10*'Current Flow'!$C$11)/'Current Population - Method 2'!$B$13)*('Future Population'!$E17-'Current Population - Method 2'!$B$13)*$F$5)), (IF($D$4="Pump Runtime", ((('Future Population'!$E17-'Current Population - Method 2'!$B$13)*Flow!$E$10)*$F$5), (IF($D$4="Method 1 - Limited Service Area", 0, (IF($D$4="Method 2 - Large Service Area", ((('Future Population'!$E17-'Current Population - Method 2'!$B$13)*Flow!$E$10)*$F$5), "")))))))</f>
        <v>38403.264030220744</v>
      </c>
      <c r="D15" s="10">
        <f>IF($D$4="Metered",(((('Current Flow'!$A$10*'Current Flow'!$C$12)/'Current Population - Method 2'!$B$13)*('Future Population'!$E17-'Current Population - Method 2'!$B$13))*$F$5), (IF($D$4="Pump Runtime", ((('Future Population'!$E17-'Current Population - Method 2'!$B$13)*Flow!$E$11)*$F$5), (IF($D$4="Method 1 - Limited Service Area", 0, (IF($D$4="Method 2 - Large Service Area", ((('Future Population'!$E17-'Current Population - Method 2'!$B$13)*Flow!$E$11)*$F$5), "")))))))</f>
        <v>8229.2708636187308</v>
      </c>
      <c r="E15" s="10">
        <f>IF($D$4="Method 1 - Limited Service Area", 0, ((($D$5+$C15+$D15)*Flow!$E$9)*$F$5))</f>
        <v>1958597.4503749942</v>
      </c>
      <c r="F15" s="19">
        <f t="shared" si="0"/>
        <v>11751584.702249965</v>
      </c>
      <c r="G15" s="10">
        <f>IF($J$4="Yes", (IF($D$4="Metered",(((('Current Flow'!$A$10*'Current Flow'!$C$11)/'Current Population - Method 2'!$B$13)*('Future Population'!$H17-'Current Population - Method 2'!$B$13))*$F$5), (IF($D$4="Pump Runtime", ((('Future Population'!$H17-'Current Population - Method 2'!$B$13)*Flow!$E$10)*$F$5), (IF($D$4="Method 1 - Limited Service Area", 0, (IF($D$4="Method 2 - Large Service Area", ((('Future Population'!$H17-'Current Population - Method 2'!$B$13)*Flow!$E$10)*$F$5), "")))))))), "")</f>
        <v>228535.05835471558</v>
      </c>
      <c r="H15" s="10">
        <f>IF($J$4="Yes", (IF($D$4="Metered",(((('Current Flow'!$A$10*'Current Flow'!$C$12)/'Current Population - Method 2'!$B$13)*('Future Population'!$H17-'Current Population - Method 2'!$B$13))*$F$5), (IF($D$4="Pump Runtime", ((('Future Population'!$H17-'Current Population - Method 2'!$B$13)*Flow!$E$11)*$F$5), (IF($D$4="Method 1 - Limited Service Area", 0, (IF($D$4="Method 2 - Large Service Area", ((('Future Population'!$H17-'Current Population - Method 2'!$B$13)*Flow!$E$11)*$F$5), "")))))))), "")</f>
        <v>48971.798218867625</v>
      </c>
      <c r="I15" s="10">
        <f>IF($J$4="Yes", (IF($D$4="Method 1 - Limited Service Area", 0, ((($D$5+$G15+$H15)*Flow!$E$9)*$F$5))),"")</f>
        <v>2004772.3147109428</v>
      </c>
      <c r="J15" s="19">
        <f t="shared" si="1"/>
        <v>12028633.888265658</v>
      </c>
    </row>
    <row r="16" spans="1:10">
      <c r="A16" s="9">
        <f t="shared" si="2"/>
        <v>8</v>
      </c>
      <c r="B16" s="9">
        <f>'Future Population'!B18</f>
        <v>2021</v>
      </c>
      <c r="C16" s="10">
        <f>IF($D$4="Metered",(((('Current Flow'!$A$10*'Current Flow'!$C$11)/'Current Population - Method 2'!$B$13)*('Future Population'!$E18-'Current Population - Method 2'!$B$13)*$F$5)), (IF($D$4="Pump Runtime", ((('Future Population'!$E18-'Current Population - Method 2'!$B$13)*Flow!$E$10)*$F$5), (IF($D$4="Method 1 - Limited Service Area", 0, (IF($D$4="Method 2 - Large Service Area", ((('Future Population'!$E18-'Current Population - Method 2'!$B$13)*Flow!$E$10)*$F$5), "")))))))</f>
        <v>42412.341529540718</v>
      </c>
      <c r="D16" s="10">
        <f>IF($D$4="Metered",(((('Current Flow'!$A$10*'Current Flow'!$C$12)/'Current Population - Method 2'!$B$13)*('Future Population'!$E18-'Current Population - Method 2'!$B$13))*$F$5), (IF($D$4="Pump Runtime", ((('Future Population'!$E18-'Current Population - Method 2'!$B$13)*Flow!$E$11)*$F$5), (IF($D$4="Method 1 - Limited Service Area", 0, (IF($D$4="Method 2 - Large Service Area", ((('Future Population'!$E18-'Current Population - Method 2'!$B$13)*Flow!$E$11)*$F$5), "")))))))</f>
        <v>9088.3588991872966</v>
      </c>
      <c r="E16" s="10">
        <f>IF($D$4="Method 1 - Limited Service Area", 0, ((($D$5+$C16+$D16)*Flow!$E$9)*$F$5))</f>
        <v>1959571.0834819721</v>
      </c>
      <c r="F16" s="19">
        <f t="shared" si="0"/>
        <v>11757426.500891831</v>
      </c>
      <c r="G16" s="10">
        <f>IF($J$4="Yes", (IF($D$4="Metered",(((('Current Flow'!$A$10*'Current Flow'!$C$11)/'Current Population - Method 2'!$B$13)*('Future Population'!$H18-'Current Population - Method 2'!$B$13))*$F$5), (IF($D$4="Pump Runtime", ((('Future Population'!$H18-'Current Population - Method 2'!$B$13)*Flow!$E$10)*$F$5), (IF($D$4="Method 1 - Limited Service Area", 0, (IF($D$4="Method 2 - Large Service Area", ((('Future Population'!$H18-'Current Population - Method 2'!$B$13)*Flow!$E$10)*$F$5), "")))))))), "")</f>
        <v>275009.20175094303</v>
      </c>
      <c r="H16" s="10">
        <f>IF($J$4="Yes", (IF($D$4="Metered",(((('Current Flow'!$A$10*'Current Flow'!$C$12)/'Current Population - Method 2'!$B$13)*('Future Population'!$H18-'Current Population - Method 2'!$B$13))*$F$5), (IF($D$4="Pump Runtime", ((('Future Population'!$H18-'Current Population - Method 2'!$B$13)*Flow!$E$11)*$F$5), (IF($D$4="Method 1 - Limited Service Area", 0, (IF($D$4="Method 2 - Large Service Area", ((('Future Population'!$H18-'Current Population - Method 2'!$B$13)*Flow!$E$11)*$F$5), "")))))))), "")</f>
        <v>58930.543232344935</v>
      </c>
      <c r="I16" s="10">
        <f>IF($J$4="Yes", (IF($D$4="Method 1 - Limited Service Area", 0, ((($D$5+$G16+$H16)*Flow!$E$9)*$F$5))),"")</f>
        <v>2016058.892392884</v>
      </c>
      <c r="J16" s="19">
        <f t="shared" si="1"/>
        <v>12096353.354357304</v>
      </c>
    </row>
    <row r="17" spans="1:10">
      <c r="A17" s="9">
        <f t="shared" si="2"/>
        <v>9</v>
      </c>
      <c r="B17" s="9">
        <f>'Future Population'!B19</f>
        <v>2022</v>
      </c>
      <c r="C17" s="10">
        <f>IF($D$4="Metered",(((('Current Flow'!$A$10*'Current Flow'!$C$11)/'Current Population - Method 2'!$B$13)*('Future Population'!$E19-'Current Population - Method 2'!$B$13)*$F$5)), (IF($D$4="Pump Runtime", ((('Future Population'!$E19-'Current Population - Method 2'!$B$13)*Flow!$E$10)*$F$5), (IF($D$4="Method 1 - Limited Service Area", 0, (IF($D$4="Method 2 - Large Service Area", ((('Future Population'!$E19-'Current Population - Method 2'!$B$13)*Flow!$E$10)*$F$5), "")))))))</f>
        <v>47415.405185716227</v>
      </c>
      <c r="D17" s="10">
        <f>IF($D$4="Metered",(((('Current Flow'!$A$10*'Current Flow'!$C$12)/'Current Population - Method 2'!$B$13)*('Future Population'!$E19-'Current Population - Method 2'!$B$13))*$F$5), (IF($D$4="Pump Runtime", ((('Future Population'!$E19-'Current Population - Method 2'!$B$13)*Flow!$E$11)*$F$5), (IF($D$4="Method 1 - Limited Service Area", 0, (IF($D$4="Method 2 - Large Service Area", ((('Future Population'!$E19-'Current Population - Method 2'!$B$13)*Flow!$E$11)*$F$5), "")))))))</f>
        <v>10160.443968367763</v>
      </c>
      <c r="E17" s="10">
        <f>IF($D$4="Method 1 - Limited Service Area", 0, ((($D$5+$C17+$D17)*Flow!$E$9)*$F$5))</f>
        <v>1960786.1132270433</v>
      </c>
      <c r="F17" s="19">
        <f t="shared" si="0"/>
        <v>11764716.67936226</v>
      </c>
      <c r="G17" s="10">
        <f>IF($J$4="Yes", (IF($D$4="Metered",(((('Current Flow'!$A$10*'Current Flow'!$C$11)/'Current Population - Method 2'!$B$13)*('Future Population'!$H19-'Current Population - Method 2'!$B$13))*$F$5), (IF($D$4="Pump Runtime", ((('Future Population'!$H19-'Current Population - Method 2'!$B$13)*Flow!$E$10)*$F$5), (IF($D$4="Method 1 - Limited Service Area", 0, (IF($D$4="Method 2 - Large Service Area", ((('Future Population'!$H19-'Current Population - Method 2'!$B$13)*Flow!$E$10)*$F$5), "")))))))), "")</f>
        <v>290096.77910943225</v>
      </c>
      <c r="H17" s="10">
        <f>IF($J$4="Yes", (IF($D$4="Metered",(((('Current Flow'!$A$10*'Current Flow'!$C$12)/'Current Population - Method 2'!$B$13)*('Future Population'!$H19-'Current Population - Method 2'!$B$13))*$F$5), (IF($D$4="Pump Runtime", ((('Future Population'!$H19-'Current Population - Method 2'!$B$13)*Flow!$E$11)*$F$5), (IF($D$4="Method 1 - Limited Service Area", 0, (IF($D$4="Method 2 - Large Service Area", ((('Future Population'!$H19-'Current Population - Method 2'!$B$13)*Flow!$E$11)*$F$5), "")))))))), "")</f>
        <v>62163.595523449767</v>
      </c>
      <c r="I17" s="10">
        <f>IF($J$4="Yes", (IF($D$4="Method 1 - Limited Service Area", 0, ((($D$5+$G17+$H17)*Flow!$E$9)*$F$5))),"")</f>
        <v>2019723.0183228028</v>
      </c>
      <c r="J17" s="19">
        <f t="shared" si="1"/>
        <v>12118338.109936817</v>
      </c>
    </row>
    <row r="18" spans="1:10">
      <c r="A18" s="9">
        <f t="shared" si="2"/>
        <v>10</v>
      </c>
      <c r="B18" s="9">
        <f>'Future Population'!B20</f>
        <v>2023</v>
      </c>
      <c r="C18" s="10">
        <f>IF($D$4="Metered",(((('Current Flow'!$A$10*'Current Flow'!$C$11)/'Current Population - Method 2'!$B$13)*('Future Population'!$E20-'Current Population - Method 2'!$B$13)*$F$5)), (IF($D$4="Pump Runtime", ((('Future Population'!$E20-'Current Population - Method 2'!$B$13)*Flow!$E$10)*$F$5), (IF($D$4="Method 1 - Limited Service Area", 0, (IF($D$4="Method 2 - Large Service Area", ((('Future Population'!$E20-'Current Population - Method 2'!$B$13)*Flow!$E$10)*$F$5), "")))))))</f>
        <v>49718.139782433282</v>
      </c>
      <c r="D18" s="10">
        <f>IF($D$4="Metered",(((('Current Flow'!$A$10*'Current Flow'!$C$12)/'Current Population - Method 2'!$B$13)*('Future Population'!$E20-'Current Population - Method 2'!$B$13))*$F$5), (IF($D$4="Pump Runtime", ((('Future Population'!$E20-'Current Population - Method 2'!$B$13)*Flow!$E$11)*$F$5), (IF($D$4="Method 1 - Limited Service Area", 0, (IF($D$4="Method 2 - Large Service Area", ((('Future Population'!$E20-'Current Population - Method 2'!$B$13)*Flow!$E$11)*$F$5), "")))))))</f>
        <v>10653.887096235703</v>
      </c>
      <c r="E18" s="10">
        <f>IF($D$4="Method 1 - Limited Service Area", 0, ((($D$5+$C18+$D18)*Flow!$E$9)*$F$5))</f>
        <v>1961345.34877196</v>
      </c>
      <c r="F18" s="19">
        <f t="shared" si="0"/>
        <v>11768072.092631761</v>
      </c>
      <c r="G18" s="10">
        <f>IF($J$4="Yes", (IF($D$4="Metered",(((('Current Flow'!$A$10*'Current Flow'!$C$11)/'Current Population - Method 2'!$B$13)*('Future Population'!$H20-'Current Population - Method 2'!$B$13))*$F$5), (IF($D$4="Pump Runtime", ((('Future Population'!$H20-'Current Population - Method 2'!$B$13)*Flow!$E$10)*$F$5), (IF($D$4="Method 1 - Limited Service Area", 0, (IF($D$4="Method 2 - Large Service Area", ((('Future Population'!$H20-'Current Population - Method 2'!$B$13)*Flow!$E$10)*$F$5), "")))))))), "")</f>
        <v>337672.20552452723</v>
      </c>
      <c r="H18" s="10">
        <f>IF($J$4="Yes", (IF($D$4="Metered",(((('Current Flow'!$A$10*'Current Flow'!$C$12)/'Current Population - Method 2'!$B$13)*('Future Population'!$H20-'Current Population - Method 2'!$B$13))*$F$5), (IF($D$4="Pump Runtime", ((('Future Population'!$H20-'Current Population - Method 2'!$B$13)*Flow!$E$11)*$F$5), (IF($D$4="Method 1 - Limited Service Area", 0, (IF($D$4="Method 2 - Large Service Area", ((('Future Population'!$H20-'Current Population - Method 2'!$B$13)*Flow!$E$11)*$F$5), "")))))))), "")</f>
        <v>72358.329755255836</v>
      </c>
      <c r="I18" s="10">
        <f>IF($J$4="Yes", (IF($D$4="Method 1 - Limited Service Area", 0, ((($D$5+$G18+$H18)*Flow!$E$9)*$F$5))),"")</f>
        <v>2031277.050452183</v>
      </c>
      <c r="J18" s="19">
        <f t="shared" si="1"/>
        <v>12187662.302713098</v>
      </c>
    </row>
    <row r="19" spans="1:10">
      <c r="A19" s="9">
        <f t="shared" si="2"/>
        <v>11</v>
      </c>
      <c r="B19" s="9">
        <f>'Future Population'!B21</f>
        <v>2024</v>
      </c>
      <c r="C19" s="10">
        <f>IF($D$4="Metered",(((('Current Flow'!$A$10*'Current Flow'!$C$11)/'Current Population - Method 2'!$B$13)*('Future Population'!$E21-'Current Population - Method 2'!$B$13)*$F$5)), (IF($D$4="Pump Runtime", ((('Future Population'!$E21-'Current Population - Method 2'!$B$13)*Flow!$E$10)*$F$5), (IF($D$4="Method 1 - Limited Service Area", 0, (IF($D$4="Method 2 - Large Service Area", ((('Future Population'!$E21-'Current Population - Method 2'!$B$13)*Flow!$E$10)*$F$5), "")))))))</f>
        <v>58813.113117668254</v>
      </c>
      <c r="D19" s="10">
        <f>IF($D$4="Metered",(((('Current Flow'!$A$10*'Current Flow'!$C$12)/'Current Population - Method 2'!$B$13)*('Future Population'!$E21-'Current Population - Method 2'!$B$13))*$F$5), (IF($D$4="Pump Runtime", ((('Future Population'!$E21-'Current Population - Method 2'!$B$13)*Flow!$E$11)*$F$5), (IF($D$4="Method 1 - Limited Service Area", 0, (IF($D$4="Method 2 - Large Service Area", ((('Future Population'!$E21-'Current Population - Method 2'!$B$13)*Flow!$E$11)*$F$5), "")))))))</f>
        <v>12602.809953786054</v>
      </c>
      <c r="E19" s="10">
        <f>IF($D$4="Method 1 - Limited Service Area", 0, ((($D$5+$C19+$D19)*Flow!$E$9)*$F$5))</f>
        <v>1963554.1280105175</v>
      </c>
      <c r="F19" s="19">
        <f t="shared" si="0"/>
        <v>11781324.768063104</v>
      </c>
      <c r="G19" s="10">
        <f>IF($J$4="Yes", (IF($D$4="Metered",(((('Current Flow'!$A$10*'Current Flow'!$C$11)/'Current Population - Method 2'!$B$13)*('Future Population'!$H21-'Current Population - Method 2'!$B$13))*$F$5), (IF($D$4="Pump Runtime", ((('Future Population'!$H21-'Current Population - Method 2'!$B$13)*Flow!$E$10)*$F$5), (IF($D$4="Method 1 - Limited Service Area", 0, (IF($D$4="Method 2 - Large Service Area", ((('Future Population'!$H21-'Current Population - Method 2'!$B$13)*Flow!$E$10)*$F$5), "")))))))), "")</f>
        <v>360578.89231697947</v>
      </c>
      <c r="H19" s="10">
        <f>IF($J$4="Yes", (IF($D$4="Metered",(((('Current Flow'!$A$10*'Current Flow'!$C$12)/'Current Population - Method 2'!$B$13)*('Future Population'!$H21-'Current Population - Method 2'!$B$13))*$F$5), (IF($D$4="Pump Runtime", ((('Future Population'!$H21-'Current Population - Method 2'!$B$13)*Flow!$E$11)*$F$5), (IF($D$4="Method 1 - Limited Service Area", 0, (IF($D$4="Method 2 - Large Service Area", ((('Future Population'!$H21-'Current Population - Method 2'!$B$13)*Flow!$E$11)*$F$5), "")))))))), "")</f>
        <v>77266.905496495601</v>
      </c>
      <c r="I19" s="10">
        <f>IF($J$4="Yes", (IF($D$4="Method 1 - Limited Service Area", 0, ((($D$5+$G19+$H19)*Flow!$E$9)*$F$5))),"")</f>
        <v>2036840.1029589213</v>
      </c>
      <c r="J19" s="19">
        <f t="shared" si="1"/>
        <v>12221040.617753528</v>
      </c>
    </row>
    <row r="20" spans="1:10">
      <c r="A20" s="9">
        <f t="shared" si="2"/>
        <v>12</v>
      </c>
      <c r="B20" s="9">
        <f>'Future Population'!B22</f>
        <v>2025</v>
      </c>
      <c r="C20" s="10">
        <f>IF($D$4="Metered",(((('Current Flow'!$A$10*'Current Flow'!$C$11)/'Current Population - Method 2'!$B$13)*('Future Population'!$E22-'Current Population - Method 2'!$B$13)*$F$5)), (IF($D$4="Pump Runtime", ((('Future Population'!$E22-'Current Population - Method 2'!$B$13)*Flow!$E$10)*$F$5), (IF($D$4="Method 1 - Limited Service Area", 0, (IF($D$4="Method 2 - Large Service Area", ((('Future Population'!$E22-'Current Population - Method 2'!$B$13)*Flow!$E$10)*$F$5), "")))))))</f>
        <v>62457.729026140587</v>
      </c>
      <c r="D20" s="10">
        <f>IF($D$4="Metered",(((('Current Flow'!$A$10*'Current Flow'!$C$12)/'Current Population - Method 2'!$B$13)*('Future Population'!$E22-'Current Population - Method 2'!$B$13))*$F$5), (IF($D$4="Pump Runtime", ((('Future Population'!$E22-'Current Population - Method 2'!$B$13)*Flow!$E$11)*$F$5), (IF($D$4="Method 1 - Limited Service Area", 0, (IF($D$4="Method 2 - Large Service Area", ((('Future Population'!$E22-'Current Population - Method 2'!$B$13)*Flow!$E$11)*$F$5), "")))))))</f>
        <v>13383.799077030126</v>
      </c>
      <c r="E20" s="10">
        <f>IF($D$4="Method 1 - Limited Service Area", 0, ((($D$5+$C20+$D20)*Flow!$E$9)*$F$5))</f>
        <v>1964439.2490168605</v>
      </c>
      <c r="F20" s="19">
        <f t="shared" si="0"/>
        <v>11786635.494101163</v>
      </c>
      <c r="G20" s="10">
        <f>IF($J$4="Yes", (IF($D$4="Metered",(((('Current Flow'!$A$10*'Current Flow'!$C$11)/'Current Population - Method 2'!$B$13)*('Future Population'!$H22-'Current Population - Method 2'!$B$13))*$F$5), (IF($D$4="Pump Runtime", ((('Future Population'!$H22-'Current Population - Method 2'!$B$13)*Flow!$E$10)*$F$5), (IF($D$4="Method 1 - Limited Service Area", 0, (IF($D$4="Method 2 - Large Service Area", ((('Future Population'!$H22-'Current Population - Method 2'!$B$13)*Flow!$E$10)*$F$5), "")))))))), "")</f>
        <v>386899.55646792252</v>
      </c>
      <c r="H20" s="10">
        <f>IF($J$4="Yes", (IF($D$4="Metered",(((('Current Flow'!$A$10*'Current Flow'!$C$12)/'Current Population - Method 2'!$B$13)*('Future Population'!$H22-'Current Population - Method 2'!$B$13))*$F$5), (IF($D$4="Pump Runtime", ((('Future Population'!$H22-'Current Population - Method 2'!$B$13)*Flow!$E$11)*$F$5), (IF($D$4="Method 1 - Limited Service Area", 0, (IF($D$4="Method 2 - Large Service Area", ((('Future Population'!$H22-'Current Population - Method 2'!$B$13)*Flow!$E$11)*$F$5), "")))))))), "")</f>
        <v>82907.047814554826</v>
      </c>
      <c r="I20" s="10">
        <f>IF($J$4="Yes", (IF($D$4="Method 1 - Limited Service Area", 0, ((($D$5+$G20+$H20)*Flow!$E$9)*$F$5))),"")</f>
        <v>2043232.264252722</v>
      </c>
      <c r="J20" s="19">
        <f t="shared" si="1"/>
        <v>12259393.58551633</v>
      </c>
    </row>
    <row r="21" spans="1:10">
      <c r="A21" s="9">
        <f t="shared" si="2"/>
        <v>13</v>
      </c>
      <c r="B21" s="9">
        <f>'Future Population'!B23</f>
        <v>2026</v>
      </c>
      <c r="C21" s="10">
        <f>IF($D$4="Metered",(((('Current Flow'!$A$10*'Current Flow'!$C$11)/'Current Population - Method 2'!$B$13)*('Future Population'!$E23-'Current Population - Method 2'!$B$13)*$F$5)), (IF($D$4="Pump Runtime", ((('Future Population'!$E23-'Current Population - Method 2'!$B$13)*Flow!$E$10)*$F$5), (IF($D$4="Method 1 - Limited Service Area", 0, (IF($D$4="Method 2 - Large Service Area", ((('Future Population'!$E23-'Current Population - Method 2'!$B$13)*Flow!$E$10)*$F$5), "")))))))</f>
        <v>68123.450120219786</v>
      </c>
      <c r="D21" s="10">
        <f>IF($D$4="Metered",(((('Current Flow'!$A$10*'Current Flow'!$C$12)/'Current Population - Method 2'!$B$13)*('Future Population'!$E23-'Current Population - Method 2'!$B$13))*$F$5), (IF($D$4="Pump Runtime", ((('Future Population'!$E23-'Current Population - Method 2'!$B$13)*Flow!$E$11)*$F$5), (IF($D$4="Method 1 - Limited Service Area", 0, (IF($D$4="Method 2 - Large Service Area", ((('Future Population'!$E23-'Current Population - Method 2'!$B$13)*Flow!$E$11)*$F$5), "")))))))</f>
        <v>14597.882168618526</v>
      </c>
      <c r="E21" s="10">
        <f>IF($D$4="Method 1 - Limited Service Area", 0, ((($D$5+$C21+$D21)*Flow!$E$9)*$F$5))</f>
        <v>1965815.2098539942</v>
      </c>
      <c r="F21" s="19">
        <f t="shared" si="0"/>
        <v>11794891.259123964</v>
      </c>
      <c r="G21" s="10">
        <f>IF($J$4="Yes", (IF($D$4="Metered",(((('Current Flow'!$A$10*'Current Flow'!$C$11)/'Current Population - Method 2'!$B$13)*('Future Population'!$H23-'Current Population - Method 2'!$B$13))*$F$5), (IF($D$4="Pump Runtime", ((('Future Population'!$H23-'Current Population - Method 2'!$B$13)*Flow!$E$10)*$F$5), (IF($D$4="Method 1 - Limited Service Area", 0, (IF($D$4="Method 2 - Large Service Area", ((('Future Population'!$H23-'Current Population - Method 2'!$B$13)*Flow!$E$10)*$F$5), "")))))))), "")</f>
        <v>397692.13005282974</v>
      </c>
      <c r="H21" s="10">
        <f>IF($J$4="Yes", (IF($D$4="Metered",(((('Current Flow'!$A$10*'Current Flow'!$C$12)/'Current Population - Method 2'!$B$13)*('Future Population'!$H23-'Current Population - Method 2'!$B$13))*$F$5), (IF($D$4="Pump Runtime", ((('Future Population'!$H23-'Current Population - Method 2'!$B$13)*Flow!$E$11)*$F$5), (IF($D$4="Method 1 - Limited Service Area", 0, (IF($D$4="Method 2 - Large Service Area", ((('Future Population'!$H23-'Current Population - Method 2'!$B$13)*Flow!$E$11)*$F$5), "")))))))), "")</f>
        <v>85219.742154177802</v>
      </c>
      <c r="I21" s="10">
        <f>IF($J$4="Yes", (IF($D$4="Method 1 - Limited Service Area", 0, ((($D$5+$G21+$H21)*Flow!$E$9)*$F$5))),"")</f>
        <v>2045853.3178376276</v>
      </c>
      <c r="J21" s="19">
        <f t="shared" si="1"/>
        <v>12275119.907025766</v>
      </c>
    </row>
    <row r="22" spans="1:10">
      <c r="A22" s="9">
        <f t="shared" si="2"/>
        <v>14</v>
      </c>
      <c r="B22" s="9">
        <f>'Future Population'!B24</f>
        <v>2027</v>
      </c>
      <c r="C22" s="10">
        <f>IF($D$4="Metered",(((('Current Flow'!$A$10*'Current Flow'!$C$11)/'Current Population - Method 2'!$B$13)*('Future Population'!$E24-'Current Population - Method 2'!$B$13)*$F$5)), (IF($D$4="Pump Runtime", ((('Future Population'!$E24-'Current Population - Method 2'!$B$13)*Flow!$E$10)*$F$5), (IF($D$4="Method 1 - Limited Service Area", 0, (IF($D$4="Method 2 - Large Service Area", ((('Future Population'!$E24-'Current Population - Method 2'!$B$13)*Flow!$E$10)*$F$5), "")))))))</f>
        <v>71453.303745692247</v>
      </c>
      <c r="D22" s="10">
        <f>IF($D$4="Metered",(((('Current Flow'!$A$10*'Current Flow'!$C$12)/'Current Population - Method 2'!$B$13)*('Future Population'!$E24-'Current Population - Method 2'!$B$13))*$F$5), (IF($D$4="Pump Runtime", ((('Future Population'!$E24-'Current Population - Method 2'!$B$13)*Flow!$E$11)*$F$5), (IF($D$4="Method 1 - Limited Service Area", 0, (IF($D$4="Method 2 - Large Service Area", ((('Future Population'!$E24-'Current Population - Method 2'!$B$13)*Flow!$E$11)*$F$5), "")))))))</f>
        <v>15311.422231219767</v>
      </c>
      <c r="E22" s="10">
        <f>IF($D$4="Method 1 - Limited Service Area", 0, ((($D$5+$C22+$D22)*Flow!$E$9)*$F$5))</f>
        <v>1966623.888591609</v>
      </c>
      <c r="F22" s="19">
        <f t="shared" si="0"/>
        <v>11799743.331549652</v>
      </c>
      <c r="G22" s="10">
        <f>IF($J$4="Yes", (IF($D$4="Metered",(((('Current Flow'!$A$10*'Current Flow'!$C$11)/'Current Population - Method 2'!$B$13)*('Future Population'!$H24-'Current Population - Method 2'!$B$13))*$F$5), (IF($D$4="Pump Runtime", ((('Future Population'!$H24-'Current Population - Method 2'!$B$13)*Flow!$E$10)*$F$5), (IF($D$4="Method 1 - Limited Service Area", 0, (IF($D$4="Method 2 - Large Service Area", ((('Future Population'!$H24-'Current Population - Method 2'!$B$13)*Flow!$E$10)*$F$5), "")))))))), "")</f>
        <v>449011.91873207397</v>
      </c>
      <c r="H22" s="10">
        <f>IF($J$4="Yes", (IF($D$4="Metered",(((('Current Flow'!$A$10*'Current Flow'!$C$12)/'Current Population - Method 2'!$B$13)*('Future Population'!$H24-'Current Population - Method 2'!$B$13))*$F$5), (IF($D$4="Pump Runtime", ((('Future Population'!$H24-'Current Population - Method 2'!$B$13)*Flow!$E$11)*$F$5), (IF($D$4="Method 1 - Limited Service Area", 0, (IF($D$4="Method 2 - Large Service Area", ((('Future Population'!$H24-'Current Population - Method 2'!$B$13)*Flow!$E$11)*$F$5), "")))))))), "")</f>
        <v>96216.839728301566</v>
      </c>
      <c r="I22" s="10">
        <f>IF($J$4="Yes", (IF($D$4="Method 1 - Limited Service Area", 0, ((($D$5+$G22+$H22)*Flow!$E$9)*$F$5))),"")</f>
        <v>2058316.6950883013</v>
      </c>
      <c r="J22" s="19">
        <f t="shared" si="1"/>
        <v>12349900.170529809</v>
      </c>
    </row>
    <row r="23" spans="1:10">
      <c r="A23" s="9">
        <f t="shared" si="2"/>
        <v>15</v>
      </c>
      <c r="B23" s="9">
        <f>'Future Population'!B25</f>
        <v>2028</v>
      </c>
      <c r="C23" s="10">
        <f>IF($D$4="Metered",(((('Current Flow'!$A$10*'Current Flow'!$C$11)/'Current Population - Method 2'!$B$13)*('Future Population'!$E25-'Current Population - Method 2'!$B$13)*$F$5)), (IF($D$4="Pump Runtime", ((('Future Population'!$E25-'Current Population - Method 2'!$B$13)*Flow!$E$10)*$F$5), (IF($D$4="Method 1 - Limited Service Area", 0, (IF($D$4="Method 2 - Large Service Area", ((('Future Population'!$E25-'Current Population - Method 2'!$B$13)*Flow!$E$10)*$F$5), "")))))))</f>
        <v>77566.318610354501</v>
      </c>
      <c r="D23" s="10">
        <f>IF($D$4="Metered",(((('Current Flow'!$A$10*'Current Flow'!$C$12)/'Current Population - Method 2'!$B$13)*('Future Population'!$E25-'Current Population - Method 2'!$B$13))*$F$5), (IF($D$4="Pump Runtime", ((('Future Population'!$E25-'Current Population - Method 2'!$B$13)*Flow!$E$11)*$F$5), (IF($D$4="Method 1 - Limited Service Area", 0, (IF($D$4="Method 2 - Large Service Area", ((('Future Population'!$E25-'Current Population - Method 2'!$B$13)*Flow!$E$11)*$F$5), "")))))))</f>
        <v>16621.353987933107</v>
      </c>
      <c r="E23" s="10">
        <f>IF($D$4="Method 1 - Limited Service Area", 0, ((($D$5+$C23+$D23)*Flow!$E$9)*$F$5))</f>
        <v>1968108.477915884</v>
      </c>
      <c r="F23" s="19">
        <f t="shared" si="0"/>
        <v>11808650.867495304</v>
      </c>
      <c r="G23" s="10">
        <f>IF($J$4="Yes", (IF($D$4="Metered",(((('Current Flow'!$A$10*'Current Flow'!$C$11)/'Current Population - Method 2'!$B$13)*('Future Population'!$H25-'Current Population - Method 2'!$B$13))*$F$5), (IF($D$4="Pump Runtime", ((('Future Population'!$H25-'Current Population - Method 2'!$B$13)*Flow!$E$10)*$F$5), (IF($D$4="Method 1 - Limited Service Area", 0, (IF($D$4="Method 2 - Large Service Area", ((('Future Population'!$H25-'Current Population - Method 2'!$B$13)*Flow!$E$10)*$F$5), "")))))))), "")</f>
        <v>473570.53005282854</v>
      </c>
      <c r="H23" s="10">
        <f>IF($J$4="Yes", (IF($D$4="Metered",(((('Current Flow'!$A$10*'Current Flow'!$C$12)/'Current Population - Method 2'!$B$13)*('Future Population'!$H25-'Current Population - Method 2'!$B$13))*$F$5), (IF($D$4="Pump Runtime", ((('Future Population'!$H25-'Current Population - Method 2'!$B$13)*Flow!$E$11)*$F$5), (IF($D$4="Method 1 - Limited Service Area", 0, (IF($D$4="Method 2 - Large Service Area", ((('Future Population'!$H25-'Current Population - Method 2'!$B$13)*Flow!$E$11)*$F$5), "")))))))), "")</f>
        <v>101479.39929703469</v>
      </c>
      <c r="I23" s="10">
        <f>IF($J$4="Yes", (IF($D$4="Method 1 - Limited Service Area", 0, ((($D$5+$G23+$H23)*Flow!$E$9)*$F$5))),"")</f>
        <v>2064280.9292661988</v>
      </c>
      <c r="J23" s="19">
        <f t="shared" si="1"/>
        <v>12385685.575597193</v>
      </c>
    </row>
    <row r="24" spans="1:10">
      <c r="A24" s="9">
        <f t="shared" si="2"/>
        <v>16</v>
      </c>
      <c r="B24" s="9">
        <f>'Future Population'!B26</f>
        <v>2029</v>
      </c>
      <c r="C24" s="10">
        <f>IF($D$4="Metered",(((('Current Flow'!$A$10*'Current Flow'!$C$11)/'Current Population - Method 2'!$B$13)*('Future Population'!$E26-'Current Population - Method 2'!$B$13)*$F$5)), (IF($D$4="Pump Runtime", ((('Future Population'!$E26-'Current Population - Method 2'!$B$13)*Flow!$E$10)*$F$5), (IF($D$4="Method 1 - Limited Service Area", 0, (IF($D$4="Method 2 - Large Service Area", ((('Future Population'!$E26-'Current Population - Method 2'!$B$13)*Flow!$E$10)*$F$5), "")))))))</f>
        <v>80879.605799877027</v>
      </c>
      <c r="D24" s="10">
        <f>IF($D$4="Metered",(((('Current Flow'!$A$10*'Current Flow'!$C$12)/'Current Population - Method 2'!$B$13)*('Future Population'!$E26-'Current Population - Method 2'!$B$13))*$F$5), (IF($D$4="Pump Runtime", ((('Future Population'!$E26-'Current Population - Method 2'!$B$13)*Flow!$E$11)*$F$5), (IF($D$4="Method 1 - Limited Service Area", 0, (IF($D$4="Method 2 - Large Service Area", ((('Future Population'!$E26-'Current Population - Method 2'!$B$13)*Flow!$E$11)*$F$5), "")))))))</f>
        <v>17331.344099973649</v>
      </c>
      <c r="E24" s="10">
        <f>IF($D$4="Method 1 - Limited Service Area", 0, ((($D$5+$C24+$D24)*Flow!$E$9)*$F$5))</f>
        <v>1968913.1333761965</v>
      </c>
      <c r="F24" s="19">
        <f t="shared" si="0"/>
        <v>11813478.800257178</v>
      </c>
      <c r="G24" s="10">
        <f>IF($J$4="Yes", (IF($D$4="Metered",(((('Current Flow'!$A$10*'Current Flow'!$C$11)/'Current Population - Method 2'!$B$13)*('Future Population'!$H26-'Current Population - Method 2'!$B$13))*$F$5), (IF($D$4="Pump Runtime", ((('Future Population'!$H26-'Current Population - Method 2'!$B$13)*Flow!$E$10)*$F$5), (IF($D$4="Method 1 - Limited Service Area", 0, (IF($D$4="Method 2 - Large Service Area", ((('Future Population'!$H26-'Current Population - Method 2'!$B$13)*Flow!$E$10)*$F$5), "")))))))), "")</f>
        <v>499340.55269433884</v>
      </c>
      <c r="H24" s="10">
        <f>IF($J$4="Yes", (IF($D$4="Metered",(((('Current Flow'!$A$10*'Current Flow'!$C$12)/'Current Population - Method 2'!$B$13)*('Future Population'!$H26-'Current Population - Method 2'!$B$13))*$F$5), (IF($D$4="Pump Runtime", ((('Future Population'!$H26-'Current Population - Method 2'!$B$13)*Flow!$E$11)*$F$5), (IF($D$4="Method 1 - Limited Service Area", 0, (IF($D$4="Method 2 - Large Service Area", ((('Future Population'!$H26-'Current Population - Method 2'!$B$13)*Flow!$E$11)*$F$5), "")))))))), "")</f>
        <v>107001.54700592975</v>
      </c>
      <c r="I24" s="10">
        <f>IF($J$4="Yes", (IF($D$4="Method 1 - Limited Service Area", 0, ((($D$5+$G24+$H24)*Flow!$E$9)*$F$5))),"")</f>
        <v>2070539.36333628</v>
      </c>
      <c r="J24" s="19">
        <f t="shared" si="1"/>
        <v>12423236.18001768</v>
      </c>
    </row>
    <row r="25" spans="1:10">
      <c r="A25" s="9">
        <f t="shared" si="2"/>
        <v>17</v>
      </c>
      <c r="B25" s="9">
        <f>'Future Population'!B27</f>
        <v>2030</v>
      </c>
      <c r="C25" s="10">
        <f>IF($D$4="Metered",(((('Current Flow'!$A$10*'Current Flow'!$C$11)/'Current Population - Method 2'!$B$13)*('Future Population'!$E27-'Current Population - Method 2'!$B$13)*$F$5)), (IF($D$4="Pump Runtime", ((('Future Population'!$E27-'Current Population - Method 2'!$B$13)*Flow!$E$10)*$F$5), (IF($D$4="Method 1 - Limited Service Area", 0, (IF($D$4="Method 2 - Large Service Area", ((('Future Population'!$E27-'Current Population - Method 2'!$B$13)*Flow!$E$10)*$F$5), "")))))))</f>
        <v>84540.78814429522</v>
      </c>
      <c r="D25" s="10">
        <f>IF($D$4="Metered",(((('Current Flow'!$A$10*'Current Flow'!$C$12)/'Current Population - Method 2'!$B$13)*('Future Population'!$E27-'Current Population - Method 2'!$B$13))*$F$5), (IF($D$4="Pump Runtime", ((('Future Population'!$E27-'Current Population - Method 2'!$B$13)*Flow!$E$11)*$F$5), (IF($D$4="Method 1 - Limited Service Area", 0, (IF($D$4="Method 2 - Large Service Area", ((('Future Population'!$E27-'Current Population - Method 2'!$B$13)*Flow!$E$11)*$F$5), "")))))))</f>
        <v>18115.883173777547</v>
      </c>
      <c r="E25" s="10">
        <f>IF($D$4="Method 1 - Limited Service Area", 0, ((($D$5+$C25+$D25)*Flow!$E$9)*$F$5))</f>
        <v>1969802.2776598409</v>
      </c>
      <c r="F25" s="19">
        <f t="shared" si="0"/>
        <v>11818813.665959045</v>
      </c>
      <c r="G25" s="10">
        <f>IF($J$4="Yes", (IF($D$4="Metered",(((('Current Flow'!$A$10*'Current Flow'!$C$11)/'Current Population - Method 2'!$B$13)*('Future Population'!$H27-'Current Population - Method 2'!$B$13))*$F$5), (IF($D$4="Pump Runtime", ((('Future Population'!$H27-'Current Population - Method 2'!$B$13)*Flow!$E$10)*$F$5), (IF($D$4="Method 1 - Limited Service Area", 0, (IF($D$4="Method 2 - Large Service Area", ((('Future Population'!$H27-'Current Population - Method 2'!$B$13)*Flow!$E$10)*$F$5), "")))))))), "")</f>
        <v>545704.5677886781</v>
      </c>
      <c r="H25" s="10">
        <f>IF($J$4="Yes", (IF($D$4="Metered",(((('Current Flow'!$A$10*'Current Flow'!$C$12)/'Current Population - Method 2'!$B$13)*('Future Population'!$H27-'Current Population - Method 2'!$B$13))*$F$5), (IF($D$4="Pump Runtime", ((('Future Population'!$H27-'Current Population - Method 2'!$B$13)*Flow!$E$11)*$F$5), (IF($D$4="Method 1 - Limited Service Area", 0, (IF($D$4="Method 2 - Large Service Area", ((('Future Population'!$H27-'Current Population - Method 2'!$B$13)*Flow!$E$11)*$F$5), "")))))))), "")</f>
        <v>116936.69309757388</v>
      </c>
      <c r="I25" s="10">
        <f>IF($J$4="Yes", (IF($D$4="Method 1 - Limited Service Area", 0, ((($D$5+$G25+$H25)*Flow!$E$9)*$F$5))),"")</f>
        <v>2081799.1955734768</v>
      </c>
      <c r="J25" s="19">
        <f t="shared" si="1"/>
        <v>12490795.173440861</v>
      </c>
    </row>
    <row r="26" spans="1:10">
      <c r="A26" s="9">
        <f t="shared" si="2"/>
        <v>18</v>
      </c>
      <c r="B26" s="9">
        <f>'Future Population'!B28</f>
        <v>2031</v>
      </c>
      <c r="C26" s="10">
        <f>IF($D$4="Metered",(((('Current Flow'!$A$10*'Current Flow'!$C$11)/'Current Population - Method 2'!$B$13)*('Future Population'!$E28-'Current Population - Method 2'!$B$13)*$F$5)), (IF($D$4="Pump Runtime", ((('Future Population'!$E28-'Current Population - Method 2'!$B$13)*Flow!$E$10)*$F$5), (IF($D$4="Method 1 - Limited Service Area", 0, (IF($D$4="Method 2 - Large Service Area", ((('Future Population'!$E28-'Current Population - Method 2'!$B$13)*Flow!$E$10)*$F$5), "")))))))</f>
        <v>88069.43900113838</v>
      </c>
      <c r="D26" s="10">
        <f>IF($D$4="Metered",(((('Current Flow'!$A$10*'Current Flow'!$C$12)/'Current Population - Method 2'!$B$13)*('Future Population'!$E28-'Current Population - Method 2'!$B$13))*$F$5), (IF($D$4="Pump Runtime", ((('Future Population'!$E28-'Current Population - Method 2'!$B$13)*Flow!$E$11)*$F$5), (IF($D$4="Method 1 - Limited Service Area", 0, (IF($D$4="Method 2 - Large Service Area", ((('Future Population'!$E28-'Current Population - Method 2'!$B$13)*Flow!$E$11)*$F$5), "")))))))</f>
        <v>18872.022643101081</v>
      </c>
      <c r="E26" s="10">
        <f>IF($D$4="Method 1 - Limited Service Area", 0, ((($D$5+$C26+$D26)*Flow!$E$9)*$F$5))</f>
        <v>1970659.2357250743</v>
      </c>
      <c r="F26" s="19">
        <f t="shared" si="0"/>
        <v>11823955.414350446</v>
      </c>
      <c r="G26" s="10">
        <f>IF($J$4="Yes", (IF($D$4="Metered",(((('Current Flow'!$A$10*'Current Flow'!$C$11)/'Current Population - Method 2'!$B$13)*('Future Population'!$H28-'Current Population - Method 2'!$B$13))*$F$5), (IF($D$4="Pump Runtime", ((('Future Population'!$H28-'Current Population - Method 2'!$B$13)*Flow!$E$10)*$F$5), (IF($D$4="Method 1 - Limited Service Area", 0, (IF($D$4="Method 2 - Large Service Area", ((('Future Population'!$H28-'Current Population - Method 2'!$B$13)*Flow!$E$10)*$F$5), "")))))))), "")</f>
        <v>593169.86590188486</v>
      </c>
      <c r="H26" s="10">
        <f>IF($J$4="Yes", (IF($D$4="Metered",(((('Current Flow'!$A$10*'Current Flow'!$C$12)/'Current Population - Method 2'!$B$13)*('Future Population'!$H28-'Current Population - Method 2'!$B$13))*$F$5), (IF($D$4="Pump Runtime", ((('Future Population'!$H28-'Current Population - Method 2'!$B$13)*Flow!$E$11)*$F$5), (IF($D$4="Method 1 - Limited Service Area", 0, (IF($D$4="Method 2 - Large Service Area", ((('Future Population'!$H28-'Current Population - Method 2'!$B$13)*Flow!$E$11)*$F$5), "")))))))), "")</f>
        <v>127107.82840754677</v>
      </c>
      <c r="I26" s="10">
        <f>IF($J$4="Yes", (IF($D$4="Method 1 - Limited Service Area", 0, ((($D$5+$G26+$H26)*Flow!$E$9)*$F$5))),"")</f>
        <v>2093326.4822581129</v>
      </c>
      <c r="J26" s="19">
        <f t="shared" si="1"/>
        <v>12559958.893548675</v>
      </c>
    </row>
    <row r="27" spans="1:10">
      <c r="A27" s="9">
        <f t="shared" si="2"/>
        <v>19</v>
      </c>
      <c r="B27" s="9">
        <f>'Future Population'!B29</f>
        <v>2032</v>
      </c>
      <c r="C27" s="10">
        <f>IF($D$4="Metered",(((('Current Flow'!$A$10*'Current Flow'!$C$11)/'Current Population - Method 2'!$B$13)*('Future Population'!$E29-'Current Population - Method 2'!$B$13)*$F$5)), (IF($D$4="Pump Runtime", ((('Future Population'!$E29-'Current Population - Method 2'!$B$13)*Flow!$E$10)*$F$5), (IF($D$4="Method 1 - Limited Service Area", 0, (IF($D$4="Method 2 - Large Service Area", ((('Future Population'!$E29-'Current Population - Method 2'!$B$13)*Flow!$E$10)*$F$5), "")))))))</f>
        <v>92459.544527251855</v>
      </c>
      <c r="D27" s="10">
        <f>IF($D$4="Metered",(((('Current Flow'!$A$10*'Current Flow'!$C$12)/'Current Population - Method 2'!$B$13)*('Future Population'!$E29-'Current Population - Method 2'!$B$13))*$F$5), (IF($D$4="Pump Runtime", ((('Future Population'!$E29-'Current Population - Method 2'!$B$13)*Flow!$E$11)*$F$5), (IF($D$4="Method 1 - Limited Service Area", 0, (IF($D$4="Method 2 - Large Service Area", ((('Future Population'!$E29-'Current Population - Method 2'!$B$13)*Flow!$E$11)*$F$5), "")))))))</f>
        <v>19812.759541553969</v>
      </c>
      <c r="E27" s="10">
        <f>IF($D$4="Method 1 - Limited Service Area", 0, ((($D$5+$C27+$D27)*Flow!$E$9)*$F$5))</f>
        <v>1971725.4042099875</v>
      </c>
      <c r="F27" s="19">
        <f t="shared" si="0"/>
        <v>11830352.425259925</v>
      </c>
      <c r="G27" s="10">
        <f>IF($J$4="Yes", (IF($D$4="Metered",(((('Current Flow'!$A$10*'Current Flow'!$C$11)/'Current Population - Method 2'!$B$13)*('Future Population'!$H29-'Current Population - Method 2'!$B$13))*$F$5), (IF($D$4="Pump Runtime", ((('Future Population'!$H29-'Current Population - Method 2'!$B$13)*Flow!$E$10)*$F$5), (IF($D$4="Method 1 - Limited Service Area", 0, (IF($D$4="Method 2 - Large Service Area", ((('Future Population'!$H29-'Current Population - Method 2'!$B$13)*Flow!$E$10)*$F$5), "")))))))), "")</f>
        <v>605504.23571320623</v>
      </c>
      <c r="H27" s="10">
        <f>IF($J$4="Yes", (IF($D$4="Metered",(((('Current Flow'!$A$10*'Current Flow'!$C$12)/'Current Population - Method 2'!$B$13)*('Future Population'!$H29-'Current Population - Method 2'!$B$13))*$F$5), (IF($D$4="Pump Runtime", ((('Future Population'!$H29-'Current Population - Method 2'!$B$13)*Flow!$E$11)*$F$5), (IF($D$4="Method 1 - Limited Service Area", 0, (IF($D$4="Method 2 - Large Service Area", ((('Future Population'!$H29-'Current Population - Method 2'!$B$13)*Flow!$E$11)*$F$5), "")))))))), "")</f>
        <v>129750.90765282992</v>
      </c>
      <c r="I27" s="10">
        <f>IF($J$4="Yes", (IF($D$4="Method 1 - Limited Service Area", 0, ((($D$5+$G27+$H27)*Flow!$E$9)*$F$5))),"")</f>
        <v>2096321.9720694339</v>
      </c>
      <c r="J27" s="19">
        <f t="shared" si="1"/>
        <v>12577931.832416601</v>
      </c>
    </row>
    <row r="28" spans="1:10">
      <c r="A28" s="9">
        <f t="shared" si="2"/>
        <v>20</v>
      </c>
      <c r="B28" s="9">
        <f>'Future Population'!B30</f>
        <v>2033</v>
      </c>
      <c r="C28" s="10">
        <f>IF($D$4="Metered",(((('Current Flow'!$A$10*'Current Flow'!$C$11)/'Current Population - Method 2'!$B$13)*('Future Population'!$E30-'Current Population - Method 2'!$B$13)*$F$5)), (IF($D$4="Pump Runtime", ((('Future Population'!$E30-'Current Population - Method 2'!$B$13)*Flow!$E$10)*$F$5), (IF($D$4="Method 1 - Limited Service Area", 0, (IF($D$4="Method 2 - Large Service Area", ((('Future Population'!$E30-'Current Population - Method 2'!$B$13)*Flow!$E$10)*$F$5), "")))))))</f>
        <v>97379.77600369195</v>
      </c>
      <c r="D28" s="10">
        <f>IF($D$4="Metered",(((('Current Flow'!$A$10*'Current Flow'!$C$12)/'Current Population - Method 2'!$B$13)*('Future Population'!$E30-'Current Population - Method 2'!$B$13))*$F$5), (IF($D$4="Pump Runtime", ((('Future Population'!$E30-'Current Population - Method 2'!$B$13)*Flow!$E$11)*$F$5), (IF($D$4="Method 1 - Limited Service Area", 0, (IF($D$4="Method 2 - Large Service Area", ((('Future Population'!$E30-'Current Population - Method 2'!$B$13)*Flow!$E$11)*$F$5), "")))))))</f>
        <v>20867.094857933989</v>
      </c>
      <c r="E28" s="10">
        <f>IF($D$4="Method 1 - Limited Service Area", 0, ((($D$5+$C28+$D28)*Flow!$E$9)*$F$5))</f>
        <v>1972920.3175685517</v>
      </c>
      <c r="F28" s="19">
        <f t="shared" si="0"/>
        <v>11837521.905411309</v>
      </c>
      <c r="G28" s="10">
        <f>IF($J$4="Yes", (IF($D$4="Metered",(((('Current Flow'!$A$10*'Current Flow'!$C$11)/'Current Population - Method 2'!$B$13)*('Future Population'!$H30-'Current Population - Method 2'!$B$13))*$F$5), (IF($D$4="Pump Runtime", ((('Future Population'!$H30-'Current Population - Method 2'!$B$13)*Flow!$E$10)*$F$5), (IF($D$4="Method 1 - Limited Service Area", 0, (IF($D$4="Method 2 - Large Service Area", ((('Future Population'!$H30-'Current Population - Method 2'!$B$13)*Flow!$E$10)*$F$5), "")))))))), "")</f>
        <v>607046.03193962038</v>
      </c>
      <c r="H28" s="10">
        <f>IF($J$4="Yes", (IF($D$4="Metered",(((('Current Flow'!$A$10*'Current Flow'!$C$12)/'Current Population - Method 2'!$B$13)*('Future Population'!$H30-'Current Population - Method 2'!$B$13))*$F$5), (IF($D$4="Pump Runtime", ((('Future Population'!$H30-'Current Population - Method 2'!$B$13)*Flow!$E$11)*$F$5), (IF($D$4="Method 1 - Limited Service Area", 0, (IF($D$4="Method 2 - Large Service Area", ((('Future Population'!$H30-'Current Population - Method 2'!$B$13)*Flow!$E$11)*$F$5), "")))))))), "")</f>
        <v>130081.29255849009</v>
      </c>
      <c r="I28" s="10">
        <f>IF($J$4="Yes", (IF($D$4="Method 1 - Limited Service Area", 0, ((($D$5+$G28+$H28)*Flow!$E$9)*$F$5))),"")</f>
        <v>2096696.4082958484</v>
      </c>
      <c r="J28" s="19">
        <f t="shared" si="1"/>
        <v>12580178.44977509</v>
      </c>
    </row>
    <row r="29" spans="1:10">
      <c r="A29" s="137" t="s">
        <v>120</v>
      </c>
      <c r="B29" s="138"/>
      <c r="C29" s="138"/>
      <c r="D29" s="138"/>
      <c r="E29" s="138"/>
      <c r="F29" s="138"/>
      <c r="G29" s="138"/>
      <c r="H29" s="138"/>
      <c r="I29" s="138"/>
      <c r="J29" s="139"/>
    </row>
    <row r="30" spans="1:10" ht="63.75" customHeight="1">
      <c r="A30" s="153" t="s">
        <v>129</v>
      </c>
      <c r="B30" s="154"/>
      <c r="C30" s="154"/>
      <c r="D30" s="154"/>
      <c r="E30" s="154"/>
      <c r="F30" s="154"/>
      <c r="G30" s="154"/>
      <c r="H30" s="154"/>
      <c r="I30" s="154"/>
      <c r="J30" s="155"/>
    </row>
    <row r="31" spans="1:10" ht="32.25" customHeight="1">
      <c r="A31" s="171" t="s">
        <v>82</v>
      </c>
      <c r="B31" s="171"/>
      <c r="C31" s="171"/>
      <c r="D31" s="171"/>
      <c r="E31" s="171"/>
      <c r="F31" s="171"/>
      <c r="G31" s="171"/>
      <c r="H31" s="171"/>
      <c r="I31" s="171"/>
      <c r="J31" s="171"/>
    </row>
    <row r="32" spans="1:10" ht="95.25" customHeight="1">
      <c r="A32" s="153" t="s">
        <v>130</v>
      </c>
      <c r="B32" s="154"/>
      <c r="C32" s="154"/>
      <c r="D32" s="154"/>
      <c r="E32" s="154"/>
      <c r="F32" s="154"/>
      <c r="G32" s="154"/>
      <c r="H32" s="154"/>
      <c r="I32" s="154"/>
      <c r="J32" s="155"/>
    </row>
  </sheetData>
  <sheetProtection sheet="1" objects="1" scenarios="1"/>
  <mergeCells count="10">
    <mergeCell ref="A31:J31"/>
    <mergeCell ref="A32:J32"/>
    <mergeCell ref="I6:J6"/>
    <mergeCell ref="D4:E4"/>
    <mergeCell ref="A1:J1"/>
    <mergeCell ref="A2:J2"/>
    <mergeCell ref="A3:J3"/>
    <mergeCell ref="C6:E6"/>
    <mergeCell ref="A29:J29"/>
    <mergeCell ref="A30:J30"/>
  </mergeCells>
  <dataValidations count="2">
    <dataValidation type="list" allowBlank="1" showInputMessage="1" showErrorMessage="1" sqref="D4:E4">
      <formula1>Flow!A1:A5</formula1>
    </dataValidation>
    <dataValidation type="list" allowBlank="1" showInputMessage="1" showErrorMessage="1" sqref="J4">
      <formula1>Flow!J1:J3</formula1>
    </dataValidation>
  </dataValidations>
  <printOptions horizontalCentered="1"/>
  <pageMargins left="0.25" right="0.25" top="0.75" bottom="0.75" header="0.3" footer="0.3"/>
  <pageSetup scale="80" orientation="landscape" r:id="rId1"/>
  <extLst>
    <ext xmlns:x14="http://schemas.microsoft.com/office/spreadsheetml/2009/9/main" uri="{CCE6A557-97BC-4b89-ADB6-D9C93CAAB3DF}">
      <x14:dataValidations xmlns:xm="http://schemas.microsoft.com/office/excel/2006/main" count="6">
        <x14:dataValidation type="list" showInputMessage="1" showErrorMessage="1">
          <x14:formula1>
            <xm:f>Flow!A1:A5</xm:f>
          </x14:formula1>
          <xm:sqref>D4:E4</xm:sqref>
        </x14:dataValidation>
        <x14:dataValidation type="list" allowBlank="1" showInputMessage="1" showErrorMessage="1">
          <x14:formula1>
            <xm:f>Flow!J1:J3</xm:f>
          </x14:formula1>
          <xm:sqref>J4</xm:sqref>
        </x14:dataValidation>
        <x14:dataValidation type="list" allowBlank="1" showInputMessage="1" showErrorMessage="1">
          <x14:formula1>
            <xm:f>Flow!A1:A5</xm:f>
          </x14:formula1>
          <xm:sqref>D4:E4</xm:sqref>
        </x14:dataValidation>
        <x14:dataValidation type="list" allowBlank="1" showInputMessage="1" showErrorMessage="1">
          <x14:formula1>
            <xm:f>Flow!J1:J3</xm:f>
          </x14:formula1>
          <xm:sqref>J4</xm:sqref>
        </x14:dataValidation>
        <x14:dataValidation type="list" allowBlank="1" showInputMessage="1" showErrorMessage="1">
          <x14:formula1>
            <xm:f>Flow!D4:D8</xm:f>
          </x14:formula1>
          <xm:sqref>D4</xm:sqref>
        </x14:dataValidation>
        <x14:dataValidation type="list" allowBlank="1" showInputMessage="1" showErrorMessage="1">
          <x14:formula1>
            <xm:f>Flow!S4:S6</xm:f>
          </x14:formula1>
          <xm:sqref>J4</xm:sqref>
        </x14:dataValidation>
      </x14:dataValidations>
    </ext>
  </extLst>
</worksheet>
</file>

<file path=xl/worksheets/sheet8.xml><?xml version="1.0" encoding="utf-8"?>
<worksheet xmlns="http://schemas.openxmlformats.org/spreadsheetml/2006/main" xmlns:r="http://schemas.openxmlformats.org/officeDocument/2006/relationships">
  <sheetPr>
    <pageSetUpPr fitToPage="1"/>
  </sheetPr>
  <dimension ref="A1:I29"/>
  <sheetViews>
    <sheetView tabSelected="1" topLeftCell="B4" zoomScaleNormal="100" workbookViewId="0">
      <selection activeCell="C18" sqref="C18"/>
    </sheetView>
  </sheetViews>
  <sheetFormatPr defaultRowHeight="15.75"/>
  <cols>
    <col min="1" max="1" width="11.140625" style="3" customWidth="1"/>
    <col min="2" max="2" width="24.5703125" style="3" customWidth="1"/>
    <col min="3" max="3" width="34.5703125" style="3" customWidth="1"/>
    <col min="4" max="7" width="20.7109375" style="3" customWidth="1"/>
    <col min="8" max="9" width="16.7109375" style="3" customWidth="1"/>
    <col min="10" max="12" width="12.7109375" style="3" customWidth="1"/>
    <col min="13" max="16384" width="9.140625" style="3"/>
  </cols>
  <sheetData>
    <row r="1" spans="1:9">
      <c r="A1" s="180" t="s">
        <v>179</v>
      </c>
      <c r="B1" s="180"/>
      <c r="C1" s="180"/>
      <c r="D1" s="180"/>
      <c r="E1" s="180"/>
      <c r="F1" s="180"/>
      <c r="G1" s="180"/>
      <c r="H1" s="94"/>
      <c r="I1" s="94"/>
    </row>
    <row r="2" spans="1:9">
      <c r="A2" s="181" t="str">
        <f>Input!C3</f>
        <v>Central Avenue Expansion</v>
      </c>
      <c r="B2" s="181"/>
      <c r="C2" s="181"/>
      <c r="D2" s="181"/>
      <c r="E2" s="181"/>
      <c r="F2" s="181"/>
      <c r="G2" s="181"/>
      <c r="H2" s="37"/>
      <c r="I2" s="37"/>
    </row>
    <row r="3" spans="1:9">
      <c r="A3" s="182" t="str">
        <f>Input!C4</f>
        <v>Town of Anytown</v>
      </c>
      <c r="B3" s="182"/>
      <c r="C3" s="182"/>
      <c r="D3" s="182"/>
      <c r="E3" s="182"/>
      <c r="F3" s="182"/>
      <c r="G3" s="182"/>
      <c r="H3" s="37"/>
      <c r="I3" s="37"/>
    </row>
    <row r="4" spans="1:9">
      <c r="A4" s="183" t="s">
        <v>83</v>
      </c>
      <c r="B4" s="184"/>
      <c r="C4" s="184"/>
      <c r="D4" s="184"/>
      <c r="E4" s="184"/>
      <c r="F4" s="184"/>
      <c r="G4" s="185"/>
      <c r="H4" s="107"/>
      <c r="I4" s="107"/>
    </row>
    <row r="5" spans="1:9">
      <c r="A5" s="192" t="s">
        <v>144</v>
      </c>
      <c r="B5" s="192"/>
      <c r="C5" s="193"/>
      <c r="D5" s="112" t="s">
        <v>80</v>
      </c>
      <c r="E5" s="156" t="s">
        <v>139</v>
      </c>
      <c r="F5" s="156"/>
      <c r="G5" s="49" t="s">
        <v>90</v>
      </c>
      <c r="H5" s="107"/>
      <c r="I5" s="107"/>
    </row>
    <row r="6" spans="1:9">
      <c r="A6" s="188"/>
      <c r="B6" s="189"/>
      <c r="C6" s="159" t="s">
        <v>143</v>
      </c>
      <c r="D6" s="159"/>
      <c r="E6" s="159"/>
      <c r="F6" s="159"/>
      <c r="G6" s="159"/>
      <c r="H6" s="107"/>
      <c r="I6" s="107"/>
    </row>
    <row r="7" spans="1:9">
      <c r="A7" s="190"/>
      <c r="B7" s="191"/>
      <c r="C7" s="127" t="s">
        <v>84</v>
      </c>
      <c r="D7" s="127" t="s">
        <v>85</v>
      </c>
      <c r="E7" s="127" t="s">
        <v>86</v>
      </c>
      <c r="F7" s="127" t="s">
        <v>87</v>
      </c>
      <c r="G7" s="127" t="s">
        <v>88</v>
      </c>
      <c r="H7" s="108"/>
      <c r="I7" s="71"/>
    </row>
    <row r="8" spans="1:9" ht="31.5" customHeight="1">
      <c r="A8" s="156" t="s">
        <v>132</v>
      </c>
      <c r="B8" s="156"/>
      <c r="C8" s="97" t="s">
        <v>133</v>
      </c>
      <c r="D8" s="97" t="s">
        <v>134</v>
      </c>
      <c r="E8" s="97" t="s">
        <v>135</v>
      </c>
      <c r="F8" s="97" t="s">
        <v>136</v>
      </c>
      <c r="G8" s="97" t="s">
        <v>133</v>
      </c>
      <c r="H8" s="108"/>
      <c r="I8" s="71"/>
    </row>
    <row r="9" spans="1:9">
      <c r="A9" s="156" t="s">
        <v>131</v>
      </c>
      <c r="B9" s="156"/>
      <c r="C9" s="47">
        <v>10</v>
      </c>
      <c r="D9" s="47">
        <v>12</v>
      </c>
      <c r="E9" s="47">
        <v>16</v>
      </c>
      <c r="F9" s="47">
        <v>24</v>
      </c>
      <c r="G9" s="47">
        <v>36</v>
      </c>
      <c r="H9" s="109"/>
      <c r="I9" s="71"/>
    </row>
    <row r="10" spans="1:9">
      <c r="A10" s="156" t="s">
        <v>91</v>
      </c>
      <c r="B10" s="156"/>
      <c r="C10" s="52">
        <v>1250000</v>
      </c>
      <c r="D10" s="52">
        <v>4000000</v>
      </c>
      <c r="E10" s="52">
        <v>6500000</v>
      </c>
      <c r="F10" s="52">
        <v>10500000</v>
      </c>
      <c r="G10" s="52">
        <v>12500000</v>
      </c>
      <c r="H10" s="110"/>
    </row>
    <row r="11" spans="1:9" ht="33" customHeight="1">
      <c r="A11" s="186" t="s">
        <v>142</v>
      </c>
      <c r="B11" s="186"/>
      <c r="C11" s="53">
        <v>0.1</v>
      </c>
      <c r="D11" s="53">
        <v>0.2</v>
      </c>
      <c r="E11" s="53">
        <v>0.2</v>
      </c>
      <c r="F11" s="53">
        <v>0.3</v>
      </c>
      <c r="G11" s="53">
        <v>0.2</v>
      </c>
      <c r="H11" s="106"/>
    </row>
    <row r="12" spans="1:9">
      <c r="A12" s="187"/>
      <c r="B12" s="187"/>
      <c r="C12" s="161" t="s">
        <v>140</v>
      </c>
      <c r="D12" s="161"/>
      <c r="E12" s="161"/>
      <c r="F12" s="161"/>
      <c r="G12" s="161"/>
      <c r="H12" s="39"/>
    </row>
    <row r="13" spans="1:9">
      <c r="A13" s="9"/>
      <c r="B13" s="126" t="s">
        <v>1</v>
      </c>
      <c r="C13" s="101" t="s">
        <v>84</v>
      </c>
      <c r="D13" s="101" t="s">
        <v>85</v>
      </c>
      <c r="E13" s="101" t="s">
        <v>86</v>
      </c>
      <c r="F13" s="101" t="s">
        <v>87</v>
      </c>
      <c r="G13" s="101" t="s">
        <v>88</v>
      </c>
      <c r="H13" s="111"/>
    </row>
    <row r="14" spans="1:9">
      <c r="A14" s="102" t="s">
        <v>163</v>
      </c>
      <c r="B14" s="122">
        <v>2010</v>
      </c>
      <c r="C14" s="121">
        <f>IF($D$5="Yes", ('Future Flow'!$D$5*C$11), "")</f>
        <v>974635.47169811325</v>
      </c>
      <c r="D14" s="121">
        <f>IF($D$9&lt;&gt;"", (IF($D$5="Yes", (('Future Flow'!$D$5*D$11)+C14), "")), "")</f>
        <v>2923906.4150943398</v>
      </c>
      <c r="E14" s="121">
        <f>IF($E$9&lt;&gt;"", (IF($D$5="Yes", (('Future Flow'!$D$5*E$11)+D14), "")), "")</f>
        <v>4873177.3584905658</v>
      </c>
      <c r="F14" s="121">
        <f>IF($F$9&lt;&gt;"", (IF($D$5="Yes", (('Future Flow'!$D$5*F$11)+E14), "")), "")</f>
        <v>7797083.7735849051</v>
      </c>
      <c r="G14" s="121">
        <f>IF($G$9&lt;&gt;"", (IF($D$5="Yes", (('Future Flow'!$D$5*G$11)+F14), "")), "")</f>
        <v>9746354.7169811316</v>
      </c>
      <c r="H14" s="111"/>
    </row>
    <row r="15" spans="1:9">
      <c r="A15" s="102" t="s">
        <v>164</v>
      </c>
      <c r="B15" s="80">
        <f>IF($D$5="Yes", 'Future Flow'!B9, "")</f>
        <v>2014</v>
      </c>
      <c r="C15" s="121">
        <f>IF($D$5="Yes", (IF($G$5="SDC", ('Future Flow'!$F$11*C$11), (IF($G$5="Other", ('Future Flow'!$J$11*C$11), "")))), "")</f>
        <v>1181327.9567187491</v>
      </c>
      <c r="D15" s="121">
        <f>IF($D$9&lt;&gt;"", (IF($D$5="Yes", (IF($G$5="SDC", (('Future Flow'!$F$11*D$11)+C15), (IF($G$5="Other", (('Future Flow'!$J$11*D$11)+C15), "")))), "")), "")</f>
        <v>3543983.8701562472</v>
      </c>
      <c r="E15" s="121">
        <f>IF($E$9&lt;&gt;"", (IF($D$5="Yes", (IF($G$5="SDC", (('Future Flow'!$F$11*E$11)+D15), (IF($G$5="Other", (('Future Flow'!$J$11*E$11)+D15), "")))), "")), "")</f>
        <v>5906639.7835937459</v>
      </c>
      <c r="F15" s="121">
        <f>IF($F$9&lt;&gt;"", (IF($D$5="Yes", (IF($G$5="SDC", (('Future Flow'!$F$11*F$11)+E15), (IF($G$5="Other", (('Future Flow'!$J$11*F$11)+E15), "")))), "")), "")</f>
        <v>9450623.6537499931</v>
      </c>
      <c r="G15" s="121">
        <f>IF($G$9&lt;&gt;"", (IF($D$5="Yes", (IF($G$5="SDC", (('Future Flow'!$F$11*G$11)+F15), (IF($G$5="Other", (('Future Flow'!$J$11*G$11)+F15), "")))), "")), "")</f>
        <v>11813279.567187492</v>
      </c>
      <c r="H15" s="111"/>
    </row>
    <row r="16" spans="1:9">
      <c r="A16" s="102" t="s">
        <v>165</v>
      </c>
      <c r="B16" s="80">
        <f>IF($D$5="Yes", 'Future Flow'!B13, "")</f>
        <v>2018</v>
      </c>
      <c r="C16" s="121">
        <f>IF($D$5="Yes", (IF($G$5="SDC", ('Future Flow'!$F$13*C$11), (IF($G$5="Other", ('Future Flow'!$J$13*C$11), "")))), "")</f>
        <v>1191822.8692362695</v>
      </c>
      <c r="D16" s="121">
        <f>IF($D$9&lt;&gt;"", (IF($D$5="Yes", (IF($G$5="SDC", (('Future Flow'!$F$13*D$11)+C16), (IF($G$5="Other", (('Future Flow'!$J$13*D$11)+C16), "")))), "")), "")</f>
        <v>3575468.6077088085</v>
      </c>
      <c r="E16" s="121">
        <f>IF($E$9&lt;&gt;"", (IF($D$5="Yes", (IF($G$5="SDC", (('Future Flow'!$F$13*E$11)+D16), (IF($G$5="Other", (('Future Flow'!$J$13*E$11)+D16), "")))), "")), "")</f>
        <v>5959114.346181348</v>
      </c>
      <c r="F16" s="121">
        <f>IF($F$9&lt;&gt;"", (IF($D$5="Yes", (IF($G$5="SDC", (('Future Flow'!$F$13*F$11)+E16), (IF($G$5="Other", (('Future Flow'!$J$13*F$11)+E16), "")))), "")), "")</f>
        <v>9534582.953890156</v>
      </c>
      <c r="G16" s="121">
        <f>IF($G$9&lt;&gt;"", (IF($D$5="Yes", (IF($G$5="SDC", (('Future Flow'!$F$13*G$11)+F16), (IF($G$5="Other", (('Future Flow'!$J$13*G$11)+F16), "")))), "")), "")</f>
        <v>11918228.692362696</v>
      </c>
      <c r="H16" s="111"/>
    </row>
    <row r="17" spans="1:8">
      <c r="A17" s="102" t="s">
        <v>166</v>
      </c>
      <c r="B17" s="80">
        <f>IF($D$5="Yes", 'Future Flow'!B18, "")</f>
        <v>2023</v>
      </c>
      <c r="C17" s="121">
        <f>IF($D$5="Yes", (IF($G$5="SDC", ('Future Flow'!F18*C$11), (IF($G$5="Other", ('Future Flow'!$J$18*C$11), "")))), "")</f>
        <v>1218766.2302713098</v>
      </c>
      <c r="D17" s="121">
        <f>IF($D$9&lt;&gt;"", (IF($D$5="Yes", (IF($G$5="SDC", (('Future Flow'!G18*D$11)+C17), (IF($G$5="Other", (('Future Flow'!$J$18*D$11)+C17), "")))), "")), "")</f>
        <v>3656298.6908139298</v>
      </c>
      <c r="E17" s="121">
        <f>IF($E$9&lt;&gt;"", (IF($D$5="Yes", (IF($G$5="SDC", (('Future Flow'!H18*E$11)+D17), (IF($G$5="Other", (('Future Flow'!$J$18*E$11)+D17), "")))), "")), "")</f>
        <v>6093831.1513565499</v>
      </c>
      <c r="F17" s="121">
        <f>IF($F$9&lt;&gt;"", (IF($D$5="Yes", (IF($G$5="SDC", (('Future Flow'!I18*F$11)+E17), (IF($G$5="Other", (('Future Flow'!$J$18*F$11)+E17), "")))), "")), "")</f>
        <v>9750129.8421704788</v>
      </c>
      <c r="G17" s="121">
        <f>IF($G$9&lt;&gt;"", (IF($D$5="Yes", (IF($G$5="SDC", (('Future Flow'!J18*G$11)+F17), (IF($G$5="Other", (('Future Flow'!$J$18*G$11)+F17), "")))), "")), "")</f>
        <v>12187662.302713098</v>
      </c>
      <c r="H17" s="111"/>
    </row>
    <row r="18" spans="1:8">
      <c r="A18" s="102" t="s">
        <v>167</v>
      </c>
      <c r="B18" s="80">
        <f>IF($D$5="Yes", 'Future Flow'!B23, "")</f>
        <v>2028</v>
      </c>
      <c r="C18" s="121">
        <f>IF($D$5="Yes", (IF($G$5="SDC", ('Future Flow'!$F$23*C$11), (IF($G$5="Other", ('Future Flow'!$J$23*C$11), "")))), "")</f>
        <v>1238568.5575597193</v>
      </c>
      <c r="D18" s="121">
        <f>IF($D$9&lt;&gt;"", (IF($D$5="Yes", (IF($G$5="SDC", (('Future Flow'!$F$23*D$11)+C18), (IF($G$5="Other", (('Future Flow'!$J$23*D$11)+C18), "")))), "")), "")</f>
        <v>3715705.6726791579</v>
      </c>
      <c r="E18" s="121">
        <f>IF($E$9&lt;&gt;"", (IF($D$5="Yes", (IF($G$5="SDC", (('Future Flow'!$F$23*E$11)+D18), (IF($G$5="Other", (('Future Flow'!$J$23*E$11)+D18), "")))), "")), "")</f>
        <v>6192842.7877985965</v>
      </c>
      <c r="F18" s="121">
        <f>IF($F$9&lt;&gt;"", (IF($D$5="Yes", (IF($G$5="SDC", (('Future Flow'!$F$23*F$11)+E18), (IF($G$5="Other", (('Future Flow'!$J$23*F$11)+E18), "")))), "")), "")</f>
        <v>9908548.4604777545</v>
      </c>
      <c r="G18" s="121">
        <f>IF($G$9&lt;&gt;"", (IF($D$5="Yes", (IF($G$5="SDC", (('Future Flow'!$F$23*G$11)+F18), (IF($G$5="Other", (('Future Flow'!$J$23*G$11)+F18), "")))), "")), "")</f>
        <v>12385685.575597193</v>
      </c>
      <c r="H18" s="111"/>
    </row>
    <row r="19" spans="1:8">
      <c r="A19" s="102" t="s">
        <v>168</v>
      </c>
      <c r="B19" s="80">
        <f>IF($D$5="Yes", 'Future Flow'!B28, "")</f>
        <v>2033</v>
      </c>
      <c r="C19" s="121">
        <f>IF($D$5="Yes", (IF($G$5="SDC", ('Future Flow'!$F$28*C$11), (IF($G$5="Other", ('Future Flow'!$J$28*C$11), "")))), "")</f>
        <v>1258017.8449775092</v>
      </c>
      <c r="D19" s="121">
        <f>IF($D$9&lt;&gt;"", (IF($D$5="Yes", (IF($G$5="SDC", (('Future Flow'!$F$28*D$11)+C19), (IF($G$5="Other", (('Future Flow'!$J$28*D$11)+C19), "")))), "")), "")</f>
        <v>3774053.5349325277</v>
      </c>
      <c r="E19" s="121">
        <f>IF($E$9&lt;&gt;"", (IF($D$5="Yes", (IF($G$5="SDC", (('Future Flow'!$F$28*E$11)+D19), (IF($G$5="Other", (('Future Flow'!$J$28*E$11)+D19), "")))), "")), "")</f>
        <v>6290089.2248875462</v>
      </c>
      <c r="F19" s="121">
        <f>IF($F$9&lt;&gt;"", (IF($D$5="Yes", (IF($G$5="SDC", (('Future Flow'!$F$28*F$11)+E19), (IF($G$5="Other", (('Future Flow'!$J$28*F$11)+E19), "")))), "")), "")</f>
        <v>10064142.759820074</v>
      </c>
      <c r="G19" s="121">
        <f>IF($G$9&lt;&gt;"", (IF($D$5="Yes", (IF($G$5="SDC", (('Future Flow'!$F$28*G$11)+F19), (IF($G$5="Other", (('Future Flow'!$J$28*G$11)+F19), "")))), "")), "")</f>
        <v>12580178.449775092</v>
      </c>
      <c r="H19" s="111"/>
    </row>
    <row r="20" spans="1:8">
      <c r="A20" s="187"/>
      <c r="B20" s="187"/>
      <c r="C20" s="159" t="s">
        <v>141</v>
      </c>
      <c r="D20" s="159"/>
      <c r="E20" s="159"/>
      <c r="F20" s="159"/>
      <c r="G20" s="159"/>
    </row>
    <row r="21" spans="1:8">
      <c r="A21" s="9"/>
      <c r="B21" s="127" t="s">
        <v>1</v>
      </c>
      <c r="C21" s="101" t="s">
        <v>84</v>
      </c>
      <c r="D21" s="101" t="s">
        <v>85</v>
      </c>
      <c r="E21" s="101" t="s">
        <v>86</v>
      </c>
      <c r="F21" s="101" t="s">
        <v>87</v>
      </c>
      <c r="G21" s="101" t="s">
        <v>88</v>
      </c>
    </row>
    <row r="22" spans="1:8">
      <c r="A22" s="102" t="s">
        <v>163</v>
      </c>
      <c r="B22" s="80">
        <f>IF($D$5="Yes", B14,"")</f>
        <v>2010</v>
      </c>
      <c r="C22" s="103" t="str">
        <f>IF($D$5="Yes", (IF(C$10&gt;C14, "Yes", "No")), "")</f>
        <v>Yes</v>
      </c>
      <c r="D22" s="103" t="str">
        <f t="shared" ref="D22:D27" si="0">IF($D$9&lt;&gt;"", (IF($D$5="Yes", (IF(D$10&gt;D14, "Yes", "No")), "")), "")</f>
        <v>Yes</v>
      </c>
      <c r="E22" s="103" t="str">
        <f t="shared" ref="E22:E27" si="1">IF($E$9&lt;&gt;"", (IF($D$5="Yes", (IF(E$10&gt;E14, "Yes", "No")), "")), "")</f>
        <v>Yes</v>
      </c>
      <c r="F22" s="103" t="str">
        <f t="shared" ref="F22:F27" si="2">IF($F$9&lt;&gt;"", (IF($D$5="Yes", (IF(F$10&gt;F14, "Yes", "No")), "")), "")</f>
        <v>Yes</v>
      </c>
      <c r="G22" s="103" t="str">
        <f t="shared" ref="G22:G27" si="3">IF($G$9&lt;&gt;"", (IF($D$5="Yes", (IF(G$10&gt;G14, "Yes", "No")), "")), "")</f>
        <v>Yes</v>
      </c>
    </row>
    <row r="23" spans="1:8">
      <c r="A23" s="102" t="s">
        <v>164</v>
      </c>
      <c r="B23" s="80">
        <f t="shared" ref="B23:B27" si="4">B15</f>
        <v>2014</v>
      </c>
      <c r="C23" s="103" t="str">
        <f t="shared" ref="C23:C27" si="5">IF($D$5="Yes", (IF(C$10&gt;C15, "Yes", "No")), "")</f>
        <v>Yes</v>
      </c>
      <c r="D23" s="103" t="str">
        <f t="shared" si="0"/>
        <v>Yes</v>
      </c>
      <c r="E23" s="103" t="str">
        <f t="shared" si="1"/>
        <v>Yes</v>
      </c>
      <c r="F23" s="103" t="str">
        <f t="shared" si="2"/>
        <v>Yes</v>
      </c>
      <c r="G23" s="103" t="str">
        <f t="shared" si="3"/>
        <v>Yes</v>
      </c>
    </row>
    <row r="24" spans="1:8">
      <c r="A24" s="102" t="s">
        <v>165</v>
      </c>
      <c r="B24" s="80">
        <f t="shared" si="4"/>
        <v>2018</v>
      </c>
      <c r="C24" s="103" t="str">
        <f t="shared" si="5"/>
        <v>Yes</v>
      </c>
      <c r="D24" s="103" t="str">
        <f t="shared" si="0"/>
        <v>Yes</v>
      </c>
      <c r="E24" s="103" t="str">
        <f t="shared" si="1"/>
        <v>Yes</v>
      </c>
      <c r="F24" s="103" t="str">
        <f t="shared" si="2"/>
        <v>Yes</v>
      </c>
      <c r="G24" s="103" t="str">
        <f t="shared" si="3"/>
        <v>Yes</v>
      </c>
    </row>
    <row r="25" spans="1:8">
      <c r="A25" s="102" t="s">
        <v>166</v>
      </c>
      <c r="B25" s="80">
        <f t="shared" si="4"/>
        <v>2023</v>
      </c>
      <c r="C25" s="103" t="str">
        <f t="shared" si="5"/>
        <v>Yes</v>
      </c>
      <c r="D25" s="103" t="str">
        <f t="shared" si="0"/>
        <v>Yes</v>
      </c>
      <c r="E25" s="103" t="str">
        <f t="shared" si="1"/>
        <v>Yes</v>
      </c>
      <c r="F25" s="103" t="str">
        <f t="shared" si="2"/>
        <v>Yes</v>
      </c>
      <c r="G25" s="103" t="str">
        <f t="shared" si="3"/>
        <v>Yes</v>
      </c>
    </row>
    <row r="26" spans="1:8">
      <c r="A26" s="102" t="s">
        <v>167</v>
      </c>
      <c r="B26" s="80">
        <f t="shared" si="4"/>
        <v>2028</v>
      </c>
      <c r="C26" s="103" t="str">
        <f t="shared" si="5"/>
        <v>Yes</v>
      </c>
      <c r="D26" s="103" t="str">
        <f t="shared" si="0"/>
        <v>Yes</v>
      </c>
      <c r="E26" s="103" t="str">
        <f t="shared" si="1"/>
        <v>Yes</v>
      </c>
      <c r="F26" s="103" t="str">
        <f t="shared" si="2"/>
        <v>Yes</v>
      </c>
      <c r="G26" s="103" t="str">
        <f t="shared" si="3"/>
        <v>Yes</v>
      </c>
    </row>
    <row r="27" spans="1:8">
      <c r="A27" s="102" t="s">
        <v>168</v>
      </c>
      <c r="B27" s="80">
        <f t="shared" si="4"/>
        <v>2033</v>
      </c>
      <c r="C27" s="103" t="str">
        <f t="shared" si="5"/>
        <v>No</v>
      </c>
      <c r="D27" s="103" t="str">
        <f t="shared" si="0"/>
        <v>Yes</v>
      </c>
      <c r="E27" s="103" t="str">
        <f t="shared" si="1"/>
        <v>Yes</v>
      </c>
      <c r="F27" s="103" t="str">
        <f t="shared" si="2"/>
        <v>Yes</v>
      </c>
      <c r="G27" s="103" t="str">
        <f t="shared" si="3"/>
        <v>No</v>
      </c>
    </row>
    <row r="28" spans="1:8" ht="31.5" customHeight="1">
      <c r="A28" s="171" t="s">
        <v>145</v>
      </c>
      <c r="B28" s="171"/>
      <c r="C28" s="171"/>
      <c r="D28" s="171"/>
      <c r="E28" s="171"/>
      <c r="F28" s="171"/>
      <c r="G28" s="171"/>
    </row>
    <row r="29" spans="1:8" ht="95.25" customHeight="1">
      <c r="A29" s="153" t="s">
        <v>175</v>
      </c>
      <c r="B29" s="154"/>
      <c r="C29" s="154"/>
      <c r="D29" s="154"/>
      <c r="E29" s="154"/>
      <c r="F29" s="154"/>
      <c r="G29" s="155"/>
    </row>
  </sheetData>
  <sheetProtection sheet="1" objects="1" scenarios="1"/>
  <mergeCells count="18">
    <mergeCell ref="A20:B20"/>
    <mergeCell ref="A28:G28"/>
    <mergeCell ref="A29:G29"/>
    <mergeCell ref="E5:F5"/>
    <mergeCell ref="A5:C5"/>
    <mergeCell ref="C20:G20"/>
    <mergeCell ref="A1:G1"/>
    <mergeCell ref="A2:G2"/>
    <mergeCell ref="A3:G3"/>
    <mergeCell ref="A4:G4"/>
    <mergeCell ref="C12:G12"/>
    <mergeCell ref="C6:G6"/>
    <mergeCell ref="A8:B8"/>
    <mergeCell ref="A9:B9"/>
    <mergeCell ref="A10:B10"/>
    <mergeCell ref="A11:B11"/>
    <mergeCell ref="A12:B12"/>
    <mergeCell ref="A6:B7"/>
  </mergeCells>
  <dataValidations count="2">
    <dataValidation type="list" allowBlank="1" showInputMessage="1" showErrorMessage="1" sqref="D5">
      <formula1>Flow!J1:J3</formula1>
    </dataValidation>
    <dataValidation type="list" allowBlank="1" showInputMessage="1" showErrorMessage="1" sqref="G5">
      <formula1>Flow!K1:K3</formula1>
    </dataValidation>
  </dataValidations>
  <pageMargins left="0.7" right="0.7" top="0.75" bottom="0.75" header="0.3" footer="0.3"/>
  <pageSetup scale="77"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Flow!J1:J3</xm:f>
          </x14:formula1>
          <xm:sqref>D5</xm:sqref>
        </x14:dataValidation>
        <x14:dataValidation type="list" allowBlank="1" showInputMessage="1" showErrorMessage="1">
          <x14:formula1>
            <xm:f>Flow!K1:K3</xm:f>
          </x14:formula1>
          <xm:sqref>G5</xm:sqref>
        </x14:dataValidation>
        <x14:dataValidation type="list" allowBlank="1" showInputMessage="1" showErrorMessage="1">
          <x14:formula1>
            <xm:f>Flow!O1:O3</xm:f>
          </x14:formula1>
          <xm:sqref>G5</xm:sqref>
        </x14:dataValidation>
        <x14:dataValidation type="list" allowBlank="1" showInputMessage="1" showErrorMessage="1">
          <x14:formula1>
            <xm:f>Flow!R9:R11</xm:f>
          </x14:formula1>
          <xm:sqref>G5</xm:sqref>
        </x14:dataValidation>
        <x14:dataValidation type="list" allowBlank="1" showInputMessage="1" showErrorMessage="1">
          <x14:formula1>
            <xm:f>Flow!J1:J3</xm:f>
          </x14:formula1>
          <xm:sqref>D5</xm:sqref>
        </x14:dataValidation>
      </x14:dataValidations>
    </ext>
  </extLst>
</worksheet>
</file>

<file path=xl/worksheets/sheet9.xml><?xml version="1.0" encoding="utf-8"?>
<worksheet xmlns="http://schemas.openxmlformats.org/spreadsheetml/2006/main" xmlns:r="http://schemas.openxmlformats.org/officeDocument/2006/relationships">
  <sheetPr>
    <pageSetUpPr fitToPage="1"/>
  </sheetPr>
  <dimension ref="A1:K60"/>
  <sheetViews>
    <sheetView topLeftCell="A7" workbookViewId="0">
      <selection activeCell="G5" sqref="G5"/>
    </sheetView>
  </sheetViews>
  <sheetFormatPr defaultRowHeight="15"/>
  <cols>
    <col min="1" max="1" width="38.5703125" style="79" customWidth="1"/>
    <col min="2" max="2" width="14.7109375" style="79" customWidth="1"/>
    <col min="3" max="3" width="22" style="79" customWidth="1"/>
    <col min="4" max="7" width="14.7109375" style="79" customWidth="1"/>
    <col min="8" max="16" width="12.7109375" style="79" customWidth="1"/>
    <col min="17" max="16384" width="9.140625" style="79"/>
  </cols>
  <sheetData>
    <row r="1" spans="1:7">
      <c r="A1" s="220" t="s">
        <v>178</v>
      </c>
      <c r="B1" s="221"/>
      <c r="C1" s="221"/>
      <c r="D1" s="221"/>
      <c r="E1" s="221"/>
      <c r="F1" s="221"/>
      <c r="G1" s="222"/>
    </row>
    <row r="2" spans="1:7">
      <c r="A2" s="223" t="str">
        <f>Input!C3</f>
        <v>Central Avenue Expansion</v>
      </c>
      <c r="B2" s="224"/>
      <c r="C2" s="224"/>
      <c r="D2" s="224"/>
      <c r="E2" s="224"/>
      <c r="F2" s="224"/>
      <c r="G2" s="225"/>
    </row>
    <row r="3" spans="1:7">
      <c r="A3" s="226" t="str">
        <f>Input!C4</f>
        <v>Town of Anytown</v>
      </c>
      <c r="B3" s="227"/>
      <c r="C3" s="227"/>
      <c r="D3" s="227"/>
      <c r="E3" s="227"/>
      <c r="F3" s="227"/>
      <c r="G3" s="228"/>
    </row>
    <row r="4" spans="1:7">
      <c r="A4" s="229" t="s">
        <v>93</v>
      </c>
      <c r="B4" s="230"/>
      <c r="C4" s="230"/>
      <c r="D4" s="230"/>
      <c r="E4" s="230"/>
      <c r="F4" s="230"/>
      <c r="G4" s="231"/>
    </row>
    <row r="5" spans="1:7">
      <c r="A5" s="82" t="s">
        <v>97</v>
      </c>
      <c r="B5" s="235" t="s">
        <v>37</v>
      </c>
      <c r="C5" s="236"/>
      <c r="D5" s="81"/>
      <c r="E5" s="81"/>
      <c r="F5" s="82" t="s">
        <v>92</v>
      </c>
      <c r="G5" s="120" t="s">
        <v>90</v>
      </c>
    </row>
    <row r="6" spans="1:7">
      <c r="A6" s="198" t="s">
        <v>96</v>
      </c>
      <c r="B6" s="199"/>
      <c r="C6" s="199"/>
      <c r="D6" s="199"/>
      <c r="E6" s="199"/>
      <c r="F6" s="199"/>
      <c r="G6" s="200"/>
    </row>
    <row r="7" spans="1:7">
      <c r="A7" s="201" t="s">
        <v>137</v>
      </c>
      <c r="B7" s="201"/>
      <c r="C7" s="201"/>
      <c r="D7" s="88">
        <v>0.9</v>
      </c>
      <c r="E7" s="86"/>
      <c r="F7" s="82" t="s">
        <v>160</v>
      </c>
      <c r="G7" s="83">
        <v>16500000</v>
      </c>
    </row>
    <row r="8" spans="1:7">
      <c r="A8" s="232"/>
      <c r="B8" s="233"/>
      <c r="C8" s="233"/>
      <c r="D8" s="233"/>
      <c r="E8" s="233"/>
      <c r="F8" s="233"/>
      <c r="G8" s="234"/>
    </row>
    <row r="9" spans="1:7">
      <c r="A9" s="215"/>
      <c r="B9" s="100" t="s">
        <v>94</v>
      </c>
      <c r="C9" s="84" t="s">
        <v>7</v>
      </c>
      <c r="D9" s="84" t="s">
        <v>8</v>
      </c>
      <c r="E9" s="84" t="s">
        <v>9</v>
      </c>
      <c r="F9" s="84" t="s">
        <v>10</v>
      </c>
      <c r="G9" s="84" t="s">
        <v>11</v>
      </c>
    </row>
    <row r="10" spans="1:7">
      <c r="A10" s="216"/>
      <c r="B10" s="124">
        <v>2010</v>
      </c>
      <c r="C10" s="84">
        <f>'Future Flow'!$B$9</f>
        <v>2014</v>
      </c>
      <c r="D10" s="84">
        <f>'Future Flow'!$B$13</f>
        <v>2018</v>
      </c>
      <c r="E10" s="84">
        <f>'Future Flow'!$B$18</f>
        <v>2023</v>
      </c>
      <c r="F10" s="84">
        <f>'Future Flow'!$B$23</f>
        <v>2028</v>
      </c>
      <c r="G10" s="84">
        <f>'Future Flow'!$B$28</f>
        <v>2033</v>
      </c>
    </row>
    <row r="11" spans="1:7">
      <c r="A11" s="82" t="s">
        <v>161</v>
      </c>
      <c r="B11" s="117">
        <f>IF($B$5="Metered", 'Current Flow'!$A$10, (IF($B$5="Pump Runtime", 'Current Flow'!$C$18, (IF($B$5="Method 1 - Limited Service Area", 'Current Flow'!$C$32, (IF($B$5="Method 2 - Large Service Area", 'Current Flow'!$C$48, "")))))))</f>
        <v>9746354.7169811316</v>
      </c>
      <c r="C11" s="117">
        <f>IF($G$5="SDC", 'Future Flow'!F9, (IF($G$5="Other", 'Future Flow'!J9, "")))</f>
        <v>11725982.435543286</v>
      </c>
      <c r="D11" s="117">
        <f>IF($G$5="SDC", 'Future Flow'!F13, (IF($G$5="Other", 'Future Flow'!J13, "")))</f>
        <v>11918228.692362694</v>
      </c>
      <c r="E11" s="117">
        <f>IF($G$5="SDC", 'Future Flow'!F18, (IF($G$5="Other", 'Future Flow'!J18, "")))</f>
        <v>12187662.302713098</v>
      </c>
      <c r="F11" s="117">
        <f>IF($G$5="SDC", 'Future Flow'!F23, (IF($G$5="Other", 'Future Flow'!J23, "")))</f>
        <v>12385685.575597193</v>
      </c>
      <c r="G11" s="117">
        <f>IF($G$5="SDC", 'Future Flow'!F28, (IF($G$5="Other", 'Future Flow'!J28, "")))</f>
        <v>12580178.44977509</v>
      </c>
    </row>
    <row r="12" spans="1:7" ht="15" customHeight="1">
      <c r="A12" s="237" t="s">
        <v>146</v>
      </c>
      <c r="B12" s="237"/>
      <c r="C12" s="237"/>
      <c r="D12" s="237"/>
      <c r="E12" s="237"/>
      <c r="F12" s="237"/>
      <c r="G12" s="237"/>
    </row>
    <row r="13" spans="1:7">
      <c r="A13" s="238"/>
      <c r="B13" s="238"/>
      <c r="C13" s="205" t="s">
        <v>151</v>
      </c>
      <c r="D13" s="205"/>
      <c r="E13" s="205"/>
      <c r="F13" s="205"/>
      <c r="G13" s="205"/>
    </row>
    <row r="14" spans="1:7">
      <c r="A14" s="202" t="s">
        <v>132</v>
      </c>
      <c r="B14" s="202"/>
      <c r="C14" s="115" t="s">
        <v>152</v>
      </c>
      <c r="D14" s="115" t="s">
        <v>147</v>
      </c>
      <c r="E14" s="115" t="s">
        <v>148</v>
      </c>
      <c r="F14" s="115" t="s">
        <v>149</v>
      </c>
      <c r="G14" s="115" t="s">
        <v>150</v>
      </c>
    </row>
    <row r="15" spans="1:7">
      <c r="A15" s="202" t="s">
        <v>158</v>
      </c>
      <c r="B15" s="202"/>
      <c r="C15" s="115">
        <v>20250000</v>
      </c>
      <c r="D15" s="115">
        <v>20250000</v>
      </c>
      <c r="E15" s="115">
        <v>24000000</v>
      </c>
      <c r="F15" s="115">
        <v>24000000</v>
      </c>
      <c r="G15" s="115">
        <v>25000000</v>
      </c>
    </row>
    <row r="16" spans="1:7">
      <c r="A16" s="202" t="s">
        <v>153</v>
      </c>
      <c r="B16" s="202"/>
      <c r="C16" s="115">
        <v>42</v>
      </c>
      <c r="D16" s="115">
        <v>42</v>
      </c>
      <c r="E16" s="115">
        <v>48</v>
      </c>
      <c r="F16" s="115">
        <v>48</v>
      </c>
      <c r="G16" s="115">
        <v>52</v>
      </c>
    </row>
    <row r="17" spans="1:7">
      <c r="A17" s="203" t="s">
        <v>43</v>
      </c>
      <c r="B17" s="204"/>
      <c r="C17" s="123"/>
      <c r="D17" s="123"/>
      <c r="E17" s="123"/>
      <c r="F17" s="123"/>
      <c r="G17" s="119">
        <v>2.5</v>
      </c>
    </row>
    <row r="18" spans="1:7" ht="15" customHeight="1">
      <c r="A18" s="212"/>
      <c r="B18" s="205" t="s">
        <v>155</v>
      </c>
      <c r="C18" s="205"/>
      <c r="D18" s="205"/>
      <c r="E18" s="205"/>
      <c r="F18" s="205"/>
      <c r="G18" s="205"/>
    </row>
    <row r="19" spans="1:7">
      <c r="A19" s="213"/>
      <c r="B19" s="116" t="s">
        <v>94</v>
      </c>
      <c r="C19" s="116" t="s">
        <v>7</v>
      </c>
      <c r="D19" s="116" t="s">
        <v>8</v>
      </c>
      <c r="E19" s="116" t="s">
        <v>9</v>
      </c>
      <c r="F19" s="116" t="s">
        <v>10</v>
      </c>
      <c r="G19" s="116" t="s">
        <v>11</v>
      </c>
    </row>
    <row r="20" spans="1:7">
      <c r="A20" s="214"/>
      <c r="B20" s="84">
        <f t="shared" ref="B20:G20" si="0">B10</f>
        <v>2010</v>
      </c>
      <c r="C20" s="84">
        <f t="shared" si="0"/>
        <v>2014</v>
      </c>
      <c r="D20" s="84">
        <f t="shared" si="0"/>
        <v>2018</v>
      </c>
      <c r="E20" s="84">
        <f t="shared" si="0"/>
        <v>2023</v>
      </c>
      <c r="F20" s="84">
        <f t="shared" si="0"/>
        <v>2028</v>
      </c>
      <c r="G20" s="84">
        <f t="shared" si="0"/>
        <v>2033</v>
      </c>
    </row>
    <row r="21" spans="1:7">
      <c r="A21" s="114" t="str">
        <f>C14</f>
        <v>Sewershed A</v>
      </c>
      <c r="B21" s="115">
        <v>5000000</v>
      </c>
      <c r="C21" s="115">
        <v>5500000</v>
      </c>
      <c r="D21" s="115">
        <v>6000000</v>
      </c>
      <c r="E21" s="115">
        <v>6500000</v>
      </c>
      <c r="F21" s="115">
        <v>7000000</v>
      </c>
      <c r="G21" s="115">
        <v>7500000</v>
      </c>
    </row>
    <row r="22" spans="1:7">
      <c r="A22" s="114" t="str">
        <f>D14</f>
        <v>Sewershed B</v>
      </c>
      <c r="B22" s="115">
        <v>0</v>
      </c>
      <c r="C22" s="115">
        <v>0</v>
      </c>
      <c r="D22" s="115">
        <v>0</v>
      </c>
      <c r="E22" s="115">
        <v>500000</v>
      </c>
      <c r="F22" s="115">
        <v>500000</v>
      </c>
      <c r="G22" s="115">
        <v>500000</v>
      </c>
    </row>
    <row r="23" spans="1:7">
      <c r="A23" s="114" t="str">
        <f>E14</f>
        <v>Sewershed C</v>
      </c>
      <c r="B23" s="115">
        <v>0</v>
      </c>
      <c r="C23" s="115">
        <v>200000</v>
      </c>
      <c r="D23" s="115">
        <v>200000</v>
      </c>
      <c r="E23" s="115">
        <v>200000</v>
      </c>
      <c r="F23" s="115">
        <v>200000</v>
      </c>
      <c r="G23" s="115">
        <v>200000</v>
      </c>
    </row>
    <row r="24" spans="1:7">
      <c r="A24" s="114" t="str">
        <f>F14</f>
        <v>Sewershed D</v>
      </c>
      <c r="B24" s="115">
        <v>0</v>
      </c>
      <c r="C24" s="115">
        <v>0</v>
      </c>
      <c r="D24" s="115">
        <v>0</v>
      </c>
      <c r="E24" s="115">
        <v>0</v>
      </c>
      <c r="F24" s="115">
        <v>400000</v>
      </c>
      <c r="G24" s="115">
        <v>400000</v>
      </c>
    </row>
    <row r="25" spans="1:7">
      <c r="A25" s="114" t="str">
        <f>G14</f>
        <v>Sewershed E</v>
      </c>
      <c r="B25" s="115">
        <v>2000000</v>
      </c>
      <c r="C25" s="115">
        <v>200000</v>
      </c>
      <c r="D25" s="115">
        <v>300000</v>
      </c>
      <c r="E25" s="115">
        <v>300000</v>
      </c>
      <c r="F25" s="115">
        <v>300000</v>
      </c>
      <c r="G25" s="115">
        <v>300000</v>
      </c>
    </row>
    <row r="26" spans="1:7" ht="15" customHeight="1">
      <c r="A26" s="209"/>
      <c r="B26" s="205" t="s">
        <v>156</v>
      </c>
      <c r="C26" s="205"/>
      <c r="D26" s="205"/>
      <c r="E26" s="205"/>
      <c r="F26" s="205"/>
      <c r="G26" s="205"/>
    </row>
    <row r="27" spans="1:7">
      <c r="A27" s="210"/>
      <c r="B27" s="116" t="s">
        <v>94</v>
      </c>
      <c r="C27" s="116" t="s">
        <v>7</v>
      </c>
      <c r="D27" s="116" t="s">
        <v>8</v>
      </c>
      <c r="E27" s="116" t="s">
        <v>9</v>
      </c>
      <c r="F27" s="116" t="s">
        <v>10</v>
      </c>
      <c r="G27" s="116" t="s">
        <v>11</v>
      </c>
    </row>
    <row r="28" spans="1:7">
      <c r="A28" s="211"/>
      <c r="B28" s="84">
        <f t="shared" ref="B28:G28" si="1">B20</f>
        <v>2010</v>
      </c>
      <c r="C28" s="84">
        <f t="shared" si="1"/>
        <v>2014</v>
      </c>
      <c r="D28" s="84">
        <f t="shared" si="1"/>
        <v>2018</v>
      </c>
      <c r="E28" s="84">
        <f t="shared" si="1"/>
        <v>2023</v>
      </c>
      <c r="F28" s="84">
        <f t="shared" si="1"/>
        <v>2028</v>
      </c>
      <c r="G28" s="84">
        <f t="shared" si="1"/>
        <v>2033</v>
      </c>
    </row>
    <row r="29" spans="1:7">
      <c r="A29" s="114" t="str">
        <f>A21</f>
        <v>Sewershed A</v>
      </c>
      <c r="B29" s="117">
        <f>IF($B$21&lt;&gt;"", (IF($B$5="Metered", ('Current Flow'!$A$10+B$21), (IF($B$5="Pump Runtime", ('Current Flow'!$C$18+B$21), (IF($B$5="Method 1 - Limited Service Area", ('Current Flow'!$C$32+B$21), (IF($B$5="Method 2 - Large Service Area", ('Current Flow'!$C$48+B$21), "")))))))), "")</f>
        <v>14746354.716981132</v>
      </c>
      <c r="C29" s="117">
        <f>IF($B$21&lt;&gt;"", (IF($G$5="SDC", ('Future Flow'!F9+C21), (IF($G$5="Other", ('Future Flow'!J9+C21), "")))), "")</f>
        <v>17225982.435543284</v>
      </c>
      <c r="D29" s="117">
        <f>IF($B$21&lt;&gt;"", (IF($G$5="SDC", ('Future Flow'!F13+D21), (IF($G$5="Other", ('Future Flow'!J13+D21), "")))), "")</f>
        <v>17918228.692362696</v>
      </c>
      <c r="E29" s="117">
        <f>IF($B$21&lt;&gt;"", (IF($G$5="SDC", ('Future Flow'!F18+E21), (IF($G$5="Other", ('Future Flow'!J18+E21), "")))), "")</f>
        <v>18687662.302713096</v>
      </c>
      <c r="F29" s="117">
        <f>IF($B$21&lt;&gt;"", (IF($G$5="SDC", ('Future Flow'!F23+F21), (IF($G$5="Other", ('Future Flow'!J23+F21), "")))), "")</f>
        <v>19385685.575597193</v>
      </c>
      <c r="G29" s="117">
        <f>IF($B$21&lt;&gt;"", (IF($G$5="SDC", ('Future Flow'!F28+G21), (IF($G$5="Other", ('Future Flow'!J28+G21), "")))), "")</f>
        <v>20080178.449775092</v>
      </c>
    </row>
    <row r="30" spans="1:7">
      <c r="A30" s="114" t="str">
        <f>A22</f>
        <v>Sewershed B</v>
      </c>
      <c r="B30" s="117">
        <f t="shared" ref="B30:G30" si="2">IF($B$22&lt;&gt;"", (B29+B22), "")</f>
        <v>14746354.716981132</v>
      </c>
      <c r="C30" s="117">
        <f t="shared" si="2"/>
        <v>17225982.435543284</v>
      </c>
      <c r="D30" s="117">
        <f t="shared" si="2"/>
        <v>17918228.692362696</v>
      </c>
      <c r="E30" s="117">
        <f t="shared" si="2"/>
        <v>19187662.302713096</v>
      </c>
      <c r="F30" s="117">
        <f t="shared" si="2"/>
        <v>19885685.575597193</v>
      </c>
      <c r="G30" s="117">
        <f t="shared" si="2"/>
        <v>20580178.449775092</v>
      </c>
    </row>
    <row r="31" spans="1:7">
      <c r="A31" s="114" t="str">
        <f>A23</f>
        <v>Sewershed C</v>
      </c>
      <c r="B31" s="117">
        <f t="shared" ref="B31:G31" si="3">IF($B$23&lt;&gt;"", (B30+B23), "")</f>
        <v>14746354.716981132</v>
      </c>
      <c r="C31" s="117">
        <f t="shared" si="3"/>
        <v>17425982.435543284</v>
      </c>
      <c r="D31" s="117">
        <f t="shared" si="3"/>
        <v>18118228.692362696</v>
      </c>
      <c r="E31" s="117">
        <f t="shared" si="3"/>
        <v>19387662.302713096</v>
      </c>
      <c r="F31" s="117">
        <f t="shared" si="3"/>
        <v>20085685.575597193</v>
      </c>
      <c r="G31" s="117">
        <f t="shared" si="3"/>
        <v>20780178.449775092</v>
      </c>
    </row>
    <row r="32" spans="1:7">
      <c r="A32" s="114" t="str">
        <f>A24</f>
        <v>Sewershed D</v>
      </c>
      <c r="B32" s="117">
        <f t="shared" ref="B32:G32" si="4">IF($B$24&lt;&gt;"", (B31+B24), "")</f>
        <v>14746354.716981132</v>
      </c>
      <c r="C32" s="117">
        <f t="shared" si="4"/>
        <v>17425982.435543284</v>
      </c>
      <c r="D32" s="117">
        <f t="shared" si="4"/>
        <v>18118228.692362696</v>
      </c>
      <c r="E32" s="117">
        <f t="shared" si="4"/>
        <v>19387662.302713096</v>
      </c>
      <c r="F32" s="117">
        <f t="shared" si="4"/>
        <v>20485685.575597193</v>
      </c>
      <c r="G32" s="117">
        <f t="shared" si="4"/>
        <v>21180178.449775092</v>
      </c>
    </row>
    <row r="33" spans="1:11">
      <c r="A33" s="114" t="str">
        <f>A25</f>
        <v>Sewershed E</v>
      </c>
      <c r="B33" s="117">
        <f t="shared" ref="B33:G33" si="5">IF($B$25&lt;&gt;"", (B32+B25), "")</f>
        <v>16746354.716981132</v>
      </c>
      <c r="C33" s="117">
        <f t="shared" si="5"/>
        <v>17625982.435543284</v>
      </c>
      <c r="D33" s="117">
        <f t="shared" si="5"/>
        <v>18418228.692362696</v>
      </c>
      <c r="E33" s="117">
        <f t="shared" si="5"/>
        <v>19687662.302713096</v>
      </c>
      <c r="F33" s="117">
        <f t="shared" si="5"/>
        <v>20785685.575597193</v>
      </c>
      <c r="G33" s="117">
        <f t="shared" si="5"/>
        <v>21480178.449775092</v>
      </c>
    </row>
    <row r="34" spans="1:11" ht="15" customHeight="1">
      <c r="A34" s="206" t="s">
        <v>157</v>
      </c>
      <c r="B34" s="207"/>
      <c r="C34" s="207"/>
      <c r="D34" s="207"/>
      <c r="E34" s="207"/>
      <c r="F34" s="207"/>
      <c r="G34" s="208"/>
    </row>
    <row r="35" spans="1:11">
      <c r="A35" s="209"/>
      <c r="B35" s="116" t="s">
        <v>94</v>
      </c>
      <c r="C35" s="116" t="s">
        <v>7</v>
      </c>
      <c r="D35" s="116" t="s">
        <v>8</v>
      </c>
      <c r="E35" s="116" t="s">
        <v>9</v>
      </c>
      <c r="F35" s="116" t="s">
        <v>10</v>
      </c>
      <c r="G35" s="116" t="s">
        <v>11</v>
      </c>
    </row>
    <row r="36" spans="1:11">
      <c r="A36" s="211"/>
      <c r="B36" s="84">
        <f t="shared" ref="B36:G36" si="6">B28</f>
        <v>2010</v>
      </c>
      <c r="C36" s="84">
        <f t="shared" si="6"/>
        <v>2014</v>
      </c>
      <c r="D36" s="84">
        <f t="shared" si="6"/>
        <v>2018</v>
      </c>
      <c r="E36" s="84">
        <f t="shared" si="6"/>
        <v>2023</v>
      </c>
      <c r="F36" s="84">
        <f t="shared" si="6"/>
        <v>2028</v>
      </c>
      <c r="G36" s="84">
        <f t="shared" si="6"/>
        <v>2033</v>
      </c>
      <c r="H36" s="104"/>
      <c r="I36" s="105"/>
      <c r="J36" s="105"/>
      <c r="K36" s="105"/>
    </row>
    <row r="37" spans="1:11">
      <c r="A37" s="114" t="str">
        <f>A29</f>
        <v>Sewershed A</v>
      </c>
      <c r="B37" s="117" t="str">
        <f>IF($B$21&lt;&gt;"", (IF($C$15&gt;B29, "Yes", "No")), "")</f>
        <v>Yes</v>
      </c>
      <c r="C37" s="117" t="str">
        <f>IF($B$21&lt;&gt;"", (IF($C$15&gt;C29, "Yes", "No")), "")</f>
        <v>Yes</v>
      </c>
      <c r="D37" s="117" t="str">
        <f t="shared" ref="D37:G37" si="7">IF($B$21&lt;&gt;"", (IF($C$15&gt;D29, "Yes", "No")), "")</f>
        <v>Yes</v>
      </c>
      <c r="E37" s="117" t="str">
        <f t="shared" si="7"/>
        <v>Yes</v>
      </c>
      <c r="F37" s="117" t="str">
        <f t="shared" si="7"/>
        <v>Yes</v>
      </c>
      <c r="G37" s="117" t="str">
        <f t="shared" si="7"/>
        <v>Yes</v>
      </c>
    </row>
    <row r="38" spans="1:11">
      <c r="A38" s="114" t="str">
        <f>A30</f>
        <v>Sewershed B</v>
      </c>
      <c r="B38" s="117" t="str">
        <f>IF($B$22&lt;&gt;"", (IF($D$15&gt;B30, "Yes", "No")), "")</f>
        <v>Yes</v>
      </c>
      <c r="C38" s="117" t="str">
        <f>IF($B$22&lt;&gt;"", (IF($D$15&gt;C30, "Yes", "No")), "")</f>
        <v>Yes</v>
      </c>
      <c r="D38" s="117" t="str">
        <f t="shared" ref="D38:G38" si="8">IF($B$22&lt;&gt;"", (IF($D$15&gt;D30, "Yes", "No")), "")</f>
        <v>Yes</v>
      </c>
      <c r="E38" s="117" t="str">
        <f t="shared" si="8"/>
        <v>Yes</v>
      </c>
      <c r="F38" s="117" t="str">
        <f t="shared" si="8"/>
        <v>Yes</v>
      </c>
      <c r="G38" s="117" t="str">
        <f t="shared" si="8"/>
        <v>No</v>
      </c>
    </row>
    <row r="39" spans="1:11">
      <c r="A39" s="114" t="str">
        <f>A31</f>
        <v>Sewershed C</v>
      </c>
      <c r="B39" s="117" t="str">
        <f>IF($B$23&lt;&gt;"", (IF($E$15&gt;B31, "Yes", "No")), "")</f>
        <v>Yes</v>
      </c>
      <c r="C39" s="117" t="str">
        <f>IF($B$23&lt;&gt;"", (IF($E$15&gt;C31, "Yes", "No")), "")</f>
        <v>Yes</v>
      </c>
      <c r="D39" s="117" t="str">
        <f t="shared" ref="D39:G39" si="9">IF($B$23&lt;&gt;"", (IF($E$15&gt;D31, "Yes", "No")), "")</f>
        <v>Yes</v>
      </c>
      <c r="E39" s="117" t="str">
        <f t="shared" si="9"/>
        <v>Yes</v>
      </c>
      <c r="F39" s="117" t="str">
        <f t="shared" si="9"/>
        <v>Yes</v>
      </c>
      <c r="G39" s="117" t="str">
        <f t="shared" si="9"/>
        <v>Yes</v>
      </c>
    </row>
    <row r="40" spans="1:11">
      <c r="A40" s="114" t="str">
        <f>A32</f>
        <v>Sewershed D</v>
      </c>
      <c r="B40" s="117" t="str">
        <f>IF($B$24&lt;&gt;"", (IF($F$15&gt;B32, "Yes", "No")), "")</f>
        <v>Yes</v>
      </c>
      <c r="C40" s="117" t="str">
        <f>IF($B$24&lt;&gt;"", (IF($F$15&gt;C32, "Yes", "No")), "")</f>
        <v>Yes</v>
      </c>
      <c r="D40" s="117" t="str">
        <f t="shared" ref="D40:G40" si="10">IF($B$24&lt;&gt;"", (IF($F$15&gt;D32, "Yes", "No")), "")</f>
        <v>Yes</v>
      </c>
      <c r="E40" s="117" t="str">
        <f t="shared" si="10"/>
        <v>Yes</v>
      </c>
      <c r="F40" s="117" t="str">
        <f t="shared" si="10"/>
        <v>Yes</v>
      </c>
      <c r="G40" s="117" t="str">
        <f t="shared" si="10"/>
        <v>Yes</v>
      </c>
    </row>
    <row r="41" spans="1:11">
      <c r="A41" s="114" t="str">
        <f>A33</f>
        <v>Sewershed E</v>
      </c>
      <c r="B41" s="117" t="str">
        <f>IF($B$25&lt;&gt;"", (IF($G$15&gt;B33, "Yes", "No")), "")</f>
        <v>Yes</v>
      </c>
      <c r="C41" s="117" t="str">
        <f>IF($B$25&lt;&gt;"", (IF($G$15&gt;C33, "Yes", "No")), "")</f>
        <v>Yes</v>
      </c>
      <c r="D41" s="117" t="str">
        <f t="shared" ref="D41:G41" si="11">IF($B$25&lt;&gt;"", (IF($G$15&gt;D33, "Yes", "No")), "")</f>
        <v>Yes</v>
      </c>
      <c r="E41" s="117" t="str">
        <f t="shared" si="11"/>
        <v>Yes</v>
      </c>
      <c r="F41" s="117" t="str">
        <f t="shared" si="11"/>
        <v>Yes</v>
      </c>
      <c r="G41" s="117" t="str">
        <f t="shared" si="11"/>
        <v>Yes</v>
      </c>
    </row>
    <row r="42" spans="1:11">
      <c r="A42" s="239"/>
      <c r="B42" s="240"/>
      <c r="C42" s="240"/>
      <c r="D42" s="240"/>
      <c r="E42" s="240"/>
      <c r="F42" s="240"/>
      <c r="G42" s="241"/>
    </row>
    <row r="43" spans="1:11">
      <c r="A43" s="217" t="s">
        <v>159</v>
      </c>
      <c r="B43" s="218"/>
      <c r="C43" s="218"/>
      <c r="D43" s="218"/>
      <c r="E43" s="218"/>
      <c r="F43" s="218"/>
      <c r="G43" s="219"/>
    </row>
    <row r="44" spans="1:11">
      <c r="A44" s="209"/>
      <c r="B44" s="205" t="s">
        <v>154</v>
      </c>
      <c r="C44" s="205"/>
      <c r="D44" s="205"/>
      <c r="E44" s="205"/>
      <c r="F44" s="205"/>
      <c r="G44" s="205"/>
    </row>
    <row r="45" spans="1:11">
      <c r="A45" s="210"/>
      <c r="B45" s="116" t="s">
        <v>94</v>
      </c>
      <c r="C45" s="116" t="s">
        <v>7</v>
      </c>
      <c r="D45" s="116" t="s">
        <v>8</v>
      </c>
      <c r="E45" s="116" t="s">
        <v>9</v>
      </c>
      <c r="F45" s="116" t="s">
        <v>10</v>
      </c>
      <c r="G45" s="116" t="s">
        <v>11</v>
      </c>
    </row>
    <row r="46" spans="1:11">
      <c r="A46" s="211"/>
      <c r="B46" s="84">
        <f t="shared" ref="B46:G46" si="12">B20</f>
        <v>2010</v>
      </c>
      <c r="C46" s="84">
        <f t="shared" si="12"/>
        <v>2014</v>
      </c>
      <c r="D46" s="84">
        <f t="shared" si="12"/>
        <v>2018</v>
      </c>
      <c r="E46" s="84">
        <f t="shared" si="12"/>
        <v>2023</v>
      </c>
      <c r="F46" s="84">
        <f t="shared" si="12"/>
        <v>2028</v>
      </c>
      <c r="G46" s="84">
        <f t="shared" si="12"/>
        <v>2033</v>
      </c>
    </row>
    <row r="47" spans="1:11">
      <c r="A47" s="99" t="s">
        <v>138</v>
      </c>
      <c r="B47" s="98">
        <f>IF($B$5="Metered", 'Current Flow'!A10, (IF($B$5="Pump Runtime", ('Current Flow'!C18/'Current Flow'!$C$17), (IF($B$5="Method 1 - Limited Service Area", ('Current Flow'!C32/'Current Flow'!$C$31), (IF($B$5="Method 2 - Large Service Area", ('Current Flow'!C48/'Current Flow'!$C$47), "")))))))</f>
        <v>3248784.9056603773</v>
      </c>
      <c r="C47" s="98">
        <f>IF($G$5="SDC", ('Future Flow'!F9/'Future Flow'!$F$5), (IF($G$5="Other", ('Future Flow'!J9/'Future Flow'!$F$5), "")))</f>
        <v>5862991.2177716428</v>
      </c>
      <c r="D47" s="98">
        <f>IF($G$5="SDC", ('Future Flow'!F13/'Future Flow'!$F$5), (IF($G$5="Other", ('Future Flow'!J13/'Future Flow'!$F$5), "")))</f>
        <v>5959114.346181347</v>
      </c>
      <c r="E47" s="98">
        <f>IF($G$5="SDC", ('Future Flow'!F18/$F$5), (IF($G$5="Other", ('Future Flow'!J18/'Future Flow'!$F$5), "")))</f>
        <v>6093831.151356549</v>
      </c>
      <c r="F47" s="98">
        <f>IF($G$5="SDC", ('Future Flow'!F23/'Future Flow'!$F$5), (IF($G$5="Other", ('Future Flow'!J23/'Future Flow'!$F$5), "")))</f>
        <v>6192842.7877985965</v>
      </c>
      <c r="G47" s="98">
        <f>IF($G$5="SDC", ('Future Flow'!F28/'Future Flow'!$F$5), (IF($G$5="Other", 'Future Flow'!J28/'Future Flow'!$F$5, "")))</f>
        <v>6290089.2248875452</v>
      </c>
    </row>
    <row r="48" spans="1:11" ht="30">
      <c r="A48" s="99" t="s">
        <v>162</v>
      </c>
      <c r="B48" s="118">
        <f t="shared" ref="B48:G48" si="13">B$33/$G$17</f>
        <v>6698541.886792453</v>
      </c>
      <c r="C48" s="118">
        <f t="shared" si="13"/>
        <v>7050392.9742173133</v>
      </c>
      <c r="D48" s="118">
        <f t="shared" si="13"/>
        <v>7367291.476945078</v>
      </c>
      <c r="E48" s="118">
        <f t="shared" si="13"/>
        <v>7875064.9210852385</v>
      </c>
      <c r="F48" s="118">
        <f t="shared" si="13"/>
        <v>8314274.2302388772</v>
      </c>
      <c r="G48" s="118">
        <f t="shared" si="13"/>
        <v>8592071.3799100369</v>
      </c>
    </row>
    <row r="49" spans="1:7" ht="16.5" customHeight="1">
      <c r="A49" s="85" t="s">
        <v>95</v>
      </c>
      <c r="B49" s="89">
        <f t="shared" ref="B49:G49" si="14">B$48/$D$7</f>
        <v>7442824.3186582811</v>
      </c>
      <c r="C49" s="89">
        <f t="shared" si="14"/>
        <v>7833769.9713525698</v>
      </c>
      <c r="D49" s="89">
        <f t="shared" si="14"/>
        <v>8185879.4188278643</v>
      </c>
      <c r="E49" s="89">
        <f t="shared" si="14"/>
        <v>8750072.1345391534</v>
      </c>
      <c r="F49" s="89">
        <f t="shared" si="14"/>
        <v>9238082.4780431967</v>
      </c>
      <c r="G49" s="89">
        <f t="shared" si="14"/>
        <v>9546745.9776778184</v>
      </c>
    </row>
    <row r="50" spans="1:7">
      <c r="A50" s="85" t="s">
        <v>100</v>
      </c>
      <c r="B50" s="118">
        <f t="shared" ref="B50:G50" si="15">(B$47+B$48)/$D$7</f>
        <v>11052585.32494759</v>
      </c>
      <c r="C50" s="118">
        <f t="shared" si="15"/>
        <v>14348204.657765506</v>
      </c>
      <c r="D50" s="118">
        <f t="shared" si="15"/>
        <v>14807117.581251582</v>
      </c>
      <c r="E50" s="118">
        <f t="shared" si="15"/>
        <v>15520995.636046428</v>
      </c>
      <c r="F50" s="118">
        <f t="shared" si="15"/>
        <v>16119018.908930525</v>
      </c>
      <c r="G50" s="118">
        <f t="shared" si="15"/>
        <v>16535734.005330648</v>
      </c>
    </row>
    <row r="51" spans="1:7" ht="29.25">
      <c r="A51" s="91" t="s">
        <v>102</v>
      </c>
      <c r="B51" s="90">
        <f t="shared" ref="B51:G51" si="16">B$48/$G$7</f>
        <v>0.40597223556317896</v>
      </c>
      <c r="C51" s="90">
        <f t="shared" si="16"/>
        <v>0.42729654389195837</v>
      </c>
      <c r="D51" s="90">
        <f t="shared" si="16"/>
        <v>0.44650251375424715</v>
      </c>
      <c r="E51" s="90">
        <f t="shared" si="16"/>
        <v>0.47727666188395385</v>
      </c>
      <c r="F51" s="90">
        <f t="shared" si="16"/>
        <v>0.50389540789326526</v>
      </c>
      <c r="G51" s="90">
        <f t="shared" si="16"/>
        <v>0.52073159878242647</v>
      </c>
    </row>
    <row r="52" spans="1:7" ht="29.25">
      <c r="A52" s="91" t="s">
        <v>101</v>
      </c>
      <c r="B52" s="90">
        <f t="shared" ref="B52:G52" si="17">B$50/$G$7</f>
        <v>0.66985365605742975</v>
      </c>
      <c r="C52" s="90">
        <f t="shared" si="17"/>
        <v>0.86958816107669734</v>
      </c>
      <c r="D52" s="90">
        <f t="shared" si="17"/>
        <v>0.89740106553039889</v>
      </c>
      <c r="E52" s="90">
        <f t="shared" si="17"/>
        <v>0.94066640218463204</v>
      </c>
      <c r="F52" s="90">
        <f t="shared" si="17"/>
        <v>0.97691023690488032</v>
      </c>
      <c r="G52" s="90">
        <f t="shared" si="17"/>
        <v>1.0021656972927666</v>
      </c>
    </row>
    <row r="53" spans="1:7" ht="43.5">
      <c r="A53" s="91" t="s">
        <v>106</v>
      </c>
      <c r="B53" s="87" t="str">
        <f>IF(B$51&gt;0.8, "Yes", "No")</f>
        <v>No</v>
      </c>
      <c r="C53" s="87" t="str">
        <f t="shared" ref="C53:G53" si="18">IF(C$51&gt;0.8, "Yes", "No")</f>
        <v>No</v>
      </c>
      <c r="D53" s="87" t="str">
        <f t="shared" si="18"/>
        <v>No</v>
      </c>
      <c r="E53" s="87" t="str">
        <f t="shared" si="18"/>
        <v>No</v>
      </c>
      <c r="F53" s="87" t="str">
        <f t="shared" si="18"/>
        <v>No</v>
      </c>
      <c r="G53" s="87" t="str">
        <f t="shared" si="18"/>
        <v>No</v>
      </c>
    </row>
    <row r="54" spans="1:7" ht="43.5">
      <c r="A54" s="91" t="s">
        <v>103</v>
      </c>
      <c r="B54" s="87" t="str">
        <f>IF(B$51&gt;0.9, "Yes", "No")</f>
        <v>No</v>
      </c>
      <c r="C54" s="87" t="str">
        <f t="shared" ref="C54:G54" si="19">IF(C$51&gt;0.9, "Yes", "No")</f>
        <v>No</v>
      </c>
      <c r="D54" s="87" t="str">
        <f t="shared" si="19"/>
        <v>No</v>
      </c>
      <c r="E54" s="87" t="str">
        <f t="shared" si="19"/>
        <v>No</v>
      </c>
      <c r="F54" s="87" t="str">
        <f t="shared" si="19"/>
        <v>No</v>
      </c>
      <c r="G54" s="87" t="str">
        <f t="shared" si="19"/>
        <v>No</v>
      </c>
    </row>
    <row r="55" spans="1:7" ht="29.25">
      <c r="A55" s="91" t="s">
        <v>105</v>
      </c>
      <c r="B55" s="87" t="str">
        <f>IF(B$52&gt;0.8, "Yes", "No")</f>
        <v>No</v>
      </c>
      <c r="C55" s="87" t="str">
        <f t="shared" ref="C55:G55" si="20">IF(C$52&gt;0.8, "Yes", "No")</f>
        <v>Yes</v>
      </c>
      <c r="D55" s="87" t="str">
        <f t="shared" si="20"/>
        <v>Yes</v>
      </c>
      <c r="E55" s="87" t="str">
        <f t="shared" si="20"/>
        <v>Yes</v>
      </c>
      <c r="F55" s="87" t="str">
        <f t="shared" si="20"/>
        <v>Yes</v>
      </c>
      <c r="G55" s="87" t="str">
        <f t="shared" si="20"/>
        <v>Yes</v>
      </c>
    </row>
    <row r="56" spans="1:7" ht="29.25">
      <c r="A56" s="91" t="s">
        <v>104</v>
      </c>
      <c r="B56" s="87" t="str">
        <f>IF(B$52&gt;0.9, "Yes", "No")</f>
        <v>No</v>
      </c>
      <c r="C56" s="87" t="str">
        <f t="shared" ref="C56:G56" si="21">IF(C$52&gt;0.9, "Yes", "No")</f>
        <v>No</v>
      </c>
      <c r="D56" s="87" t="str">
        <f t="shared" si="21"/>
        <v>No</v>
      </c>
      <c r="E56" s="87" t="str">
        <f t="shared" si="21"/>
        <v>Yes</v>
      </c>
      <c r="F56" s="87" t="str">
        <f t="shared" si="21"/>
        <v>Yes</v>
      </c>
      <c r="G56" s="87" t="str">
        <f t="shared" si="21"/>
        <v>Yes</v>
      </c>
    </row>
    <row r="57" spans="1:7" ht="30.75" customHeight="1">
      <c r="A57" s="197" t="s">
        <v>98</v>
      </c>
      <c r="B57" s="197"/>
      <c r="C57" s="197"/>
      <c r="D57" s="197"/>
      <c r="E57" s="197"/>
      <c r="F57" s="197"/>
      <c r="G57" s="197"/>
    </row>
    <row r="58" spans="1:7" ht="74.25" customHeight="1">
      <c r="A58" s="194" t="s">
        <v>176</v>
      </c>
      <c r="B58" s="195"/>
      <c r="C58" s="195"/>
      <c r="D58" s="195"/>
      <c r="E58" s="195"/>
      <c r="F58" s="195"/>
      <c r="G58" s="196"/>
    </row>
    <row r="59" spans="1:7" ht="30" customHeight="1">
      <c r="A59" s="197" t="s">
        <v>99</v>
      </c>
      <c r="B59" s="197"/>
      <c r="C59" s="197"/>
      <c r="D59" s="197"/>
      <c r="E59" s="197"/>
      <c r="F59" s="197"/>
      <c r="G59" s="197"/>
    </row>
    <row r="60" spans="1:7" ht="91.5" customHeight="1">
      <c r="A60" s="194" t="s">
        <v>177</v>
      </c>
      <c r="B60" s="195"/>
      <c r="C60" s="195"/>
      <c r="D60" s="195"/>
      <c r="E60" s="195"/>
      <c r="F60" s="195"/>
      <c r="G60" s="196"/>
    </row>
  </sheetData>
  <sheetProtection sheet="1" objects="1" scenarios="1"/>
  <mergeCells count="30">
    <mergeCell ref="B44:G44"/>
    <mergeCell ref="B26:G26"/>
    <mergeCell ref="A12:G12"/>
    <mergeCell ref="C13:G13"/>
    <mergeCell ref="A13:B13"/>
    <mergeCell ref="A14:B14"/>
    <mergeCell ref="A42:G42"/>
    <mergeCell ref="A15:B15"/>
    <mergeCell ref="A1:G1"/>
    <mergeCell ref="A2:G2"/>
    <mergeCell ref="A3:G3"/>
    <mergeCell ref="A4:G4"/>
    <mergeCell ref="A8:G8"/>
    <mergeCell ref="B5:C5"/>
    <mergeCell ref="A60:G60"/>
    <mergeCell ref="A57:G57"/>
    <mergeCell ref="A58:G58"/>
    <mergeCell ref="A59:G59"/>
    <mergeCell ref="A6:G6"/>
    <mergeCell ref="A7:C7"/>
    <mergeCell ref="A16:B16"/>
    <mergeCell ref="A17:B17"/>
    <mergeCell ref="B18:G18"/>
    <mergeCell ref="A34:G34"/>
    <mergeCell ref="A44:A46"/>
    <mergeCell ref="A18:A20"/>
    <mergeCell ref="A26:A28"/>
    <mergeCell ref="A35:A36"/>
    <mergeCell ref="A9:A10"/>
    <mergeCell ref="A43:G43"/>
  </mergeCells>
  <dataValidations count="2">
    <dataValidation type="list" allowBlank="1" showInputMessage="1" showErrorMessage="1" sqref="B5:C5">
      <formula1>Flow!A1:A5</formula1>
    </dataValidation>
    <dataValidation type="list" allowBlank="1" showInputMessage="1" showErrorMessage="1" sqref="G5">
      <formula1>Flow!K1:K3</formula1>
    </dataValidation>
  </dataValidations>
  <pageMargins left="0.25" right="0.25" top="0.5" bottom="0.5" header="0.3" footer="0.3"/>
  <pageSetup scale="62"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Flow!A1:A5</xm:f>
          </x14:formula1>
          <xm:sqref>B5:C5</xm:sqref>
        </x14:dataValidation>
        <x14:dataValidation type="list" allowBlank="1" showInputMessage="1" showErrorMessage="1">
          <x14:formula1>
            <xm:f>Flow!K1:K3</xm:f>
          </x14:formula1>
          <xm:sqref>G5</xm:sqref>
        </x14:dataValidation>
        <x14:dataValidation type="list" allowBlank="1" showInputMessage="1" showErrorMessage="1">
          <x14:formula1>
            <xm:f>Flow!A1:A5</xm:f>
          </x14:formula1>
          <xm:sqref>B5</xm:sqref>
        </x14:dataValidation>
        <x14:dataValidation type="list" allowBlank="1" showInputMessage="1" showErrorMessage="1">
          <x14:formula1>
            <xm:f>Flow!K1:K3</xm:f>
          </x14:formula1>
          <xm:sqref>G5</xm:sqref>
        </x14:dataValidation>
        <x14:dataValidation type="list" allowBlank="1" showInputMessage="1" showErrorMessage="1">
          <x14:formula1>
            <xm:f>Flow!Q6:Q8</xm:f>
          </x14:formula1>
          <xm:sqref>G5</xm:sqref>
        </x14:dataValidation>
        <x14:dataValidation type="list" allowBlank="1" showInputMessage="1" showErrorMessage="1">
          <x14:formula1>
            <xm:f>Flow!C6:C10</xm:f>
          </x14:formula1>
          <xm:sqref>B5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Input</vt:lpstr>
      <vt:lpstr>Current Population - Method 1</vt:lpstr>
      <vt:lpstr>Current Population - Method 2</vt:lpstr>
      <vt:lpstr>Current Flow</vt:lpstr>
      <vt:lpstr>Future Population</vt:lpstr>
      <vt:lpstr>Flow</vt:lpstr>
      <vt:lpstr>Future Flow</vt:lpstr>
      <vt:lpstr>Interceptor Flow</vt:lpstr>
      <vt:lpstr>Downstream Flow</vt:lpstr>
      <vt:lpstr>'Interceptor Flow'!Print_Area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Jennifer</cp:lastModifiedBy>
  <cp:lastPrinted>2012-08-14T13:33:30Z</cp:lastPrinted>
  <dcterms:created xsi:type="dcterms:W3CDTF">2010-03-09T19:30:13Z</dcterms:created>
  <dcterms:modified xsi:type="dcterms:W3CDTF">2012-08-16T15:20:00Z</dcterms:modified>
</cp:coreProperties>
</file>