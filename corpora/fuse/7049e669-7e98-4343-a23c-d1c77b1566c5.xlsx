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55" windowWidth="19320" windowHeight="12570"/>
  </bookViews>
  <sheets>
    <sheet name="ChemOffice1" sheetId="4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H24" i="4" l="1"/>
  <c r="H26" i="4"/>
  <c r="H27" i="4"/>
  <c r="H32" i="4"/>
  <c r="H5" i="4" l="1"/>
</calcChain>
</file>

<file path=xl/comments1.xml><?xml version="1.0" encoding="utf-8"?>
<comments xmlns="http://schemas.openxmlformats.org/spreadsheetml/2006/main">
  <authors>
    <author>Jonathan Baell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QzE0SDE2TjJPU3xDaGVtT2ZmaWNlMVBpY3R1cmUgM3xWbXBEUkRBeE1EQUVBd0lCQUFBQUFBQUFBQUFBQUFDQUFRQUFBQU1BS2dBQUFFTlRJRU5FV0NCa2NtbDJaWElnTXk0d0lDOGdTblZ1SURFNUlERTFPak00T2pBd0lESXdNVElFQWhBQXNRSjYvd0FBSGdBQkFPTC8xdXpGQUFFSkNBQUFBQUFBQUFBQUFBSUpDQUFBQUFBQUFBQUFBQVVJQkFBQUFCNEFBQU15QUFnQS8vLy8vLy8vQUFBQUFBQUEvLzhBQUFBQUFBQUFBUC8vLy8vLy93QUFBQUQvL3dBQUFBRC8vLy8vLy84QUFQLy9BWUFDQUFBQUE0QURBQUFBQklBRUFBQUFBQUlJQVBPWFhnQU9wSFlBT3dRQkFBQThCQUVBQUFJRUFnQUhBRGtFQXdBQUFEQUFBQVNBQlFBQUFBQUNDQUR6bDE0QWVNR1BBRHNFQVFBQVBBUUJBQUE1QkFNQUFBQXhBQUFFZ0FZQUFBQUFBZ2dBK1V0M0FQdkNiZ0E3QkFFQUFEd0VBUUFBT1FRREFBQUFNZ0FBQklBSEFBQUFBQUlJQUUvOWhRQ21tNE1BT3dRQkFBQThCQUVBQUFJRUFnQVFBRGtFQXdBQUFETUFBQVNBQ0FBQUFBQUNDQUE4dVhZQW15Q1lBRHNFQVFBQVBBUUJBQUE1QkFNQUFBQTBBQUFFZ0FrQUFBQUFBZ2dBTUNwRUFFVkhOd0E3QkFFQUFEd0VBUUFBT1FRREFBQUFOUUFBQklBS0FBQUFBQUlJQUFQdWZnQ29pRmNBT3dRQkFBQThCQUVBQURrRUF3QUFBRFlBQUFTQUN3QUFBQUFDQ0FEK0Vrb0FhUW1lQURzRUFRQUFQQVFCQUFBNUJBTUFBQUEzQUFBRWdBd0FBQUFBQWdnQXVScElBQUFBSGdBN0JBRUFBRHdFQVFBQUFnUUNBQWdBT1FRREFBQUFPQUFBQklBTkFBQUFBQUlJQUlBblZRRFpQRW9BT3dRQkFBQThCQUVBQUFJRUFnQUhBRGtFQXdBQUFEa0FBQVNBRGdBQUFBQUNDQUNqY20wQU1DcEVBRHNFQVFBQVBBUUJBQUE1QkFRQUFBQXhNQUFBQklBUEFBQUFBQUlJQU9nSUxBQVBWajRBT3dRQkFBQThCQUVBQURrRUJBQUFBREV4QUFBRWdCQUFBQUFBQWdnQURMZExBT1drdHdBN0JBRUFBRHdFQVFBQU9RUUVBQUFBTVRJQUFBU0FFUUFBQUFBQ0NBQ3pGek1BeTEyVEFEc0VBUUFBUEFRQkFBQTVCQVFBQUFBeE13QUFCSUFTQUFBQUFBSUlBUFZKSmdDV0NsY0FPd1FCQUFBOEJBRUFBRGtFQkFBQUFERTBBQUFFZ0JNQUFBQUFBZ2dBLy84ZEFPRjdvUUE3QkFFQUFEd0VBUUFBT1FRRUFBQUFNVFVBQUFTQUZBQUFBQUFDQ0FDSHREWUExdXpGQURzRUFRQUFQQVFCQUFBNUJBUUFBQUF4TmdBQUJJQVZBQUFBQUFJSUFHR1BId0FCN2JvQU93UUJBQUE4QkFFQUFEa0VCQUFBQURFM0FBQUZnQllBQUFBRUJnUUFCUUFBQUFVR0JBQUVBQUFBQUFBRmdCY0FBQUFFQmdRQUJnQUFBQVVHQkFBRUFBQUFBQVlDQUFJQUN3WVFBQnNBQUFBWUFBQUFGZ0FBQUFBQUFBQUFBQVdBR0FBQUFBUUdCQUFIQUFBQUJRWUVBQVlBQUFBQUFBV0FHUUFBQUFRR0JBQUlBQUFBQlFZRUFBVUFBQUFBQmdJQUFnQUxCaEFBQUFBQUFDY0FBQUFXQUFBQUhBQUFBQUFBQllBYUFBQUFCQVlFQUFrQUFBQUZCZ1FBRFFBQUFBQUFCWUFiQUFBQUJBWUVBQW9BQUFBRkJnUUFCZ0FBQUFBQUJZQWNBQUFBQkFZRUFBc0FBQUFGQmdRQUJRQUFBQUFBQllBZEFBQUFCQVlFQUF3QUFBQUZCZ1FBQ1FBQUFBQUdBZ0FDQUFBQUJZQWVBQUFBQkFZRUFBMEFBQUFGQmdRQURnQUFBQUFBQllBZkFBQUFCQVlFQUE0QUFBQUZCZ1FBQ2dBQUFBQUFCWUFnQUFBQUJBWUVBQThBQUFBRkJnUUFDUUFBQUFBQUJZQWhBQUFBQkFZRUFCQUFBQUFGQmdRQUN3QUFBQUFHQWdBQ0FBc0dFQUFsQUFBQUFBQUFBQndBQUFBaUFBQUFBQUFGZ0NJQUFBQUVCZ1FBRVFBQUFBVUdCQUFMQUFBQUFBQUZnQ01BQUFBRUJnUUFFZ0FBQUFVR0JBQVBBQUFBQUFBRmdDUUFBQUFFQmdRQUV3QUFBQVVHQkFBUkFBQUFBQVlDQUFJQUN3WVFBQUFBQUFBbUFBQUFJZ0FBQUFBQUFBQUFBQVdBSlFBQUFBUUdCQUFVQUFBQUJRWUVBQkFBQUFBQUFBV0FKZ0FBQUFRR0JBQVZBQUFBQlFZRUFCTUFBQUFBQUFXQUp3QUFBQVFHQkFBSEFBQUFCUVlFQUFnQUFBQUFBQVdBS0FBQUFBUUdCQUFWQUFBQUJRWUVBQlFBQUFBQUJnSUFBZ0FMQmhBQUFBQUFBQ1lBQUFBbEFBQUFBQUFBQUFBQUFBQUFBQUFBQUFBPQ==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QzE5SDE0TjJPMlN8Q2hlbU9mZmljZTFQaWN0dXJlIDY1fFZtcERSREF4TURBRUF3SUJBQUFBQUFBQUFBQUFBQUNBQVFBQUFBTUFLZ0FBQUVOVElFTkVXQ0JrY21sMlpYSWdNeTR3SUM4Z1NuVnVJREU1SURFMU9qTTRPakF6SURJd01USUVBaEFBTGYrZy8vLy9IUUFDQU9ML1J1bnNBQUVKQ0FBQUFBQUFBQUFBQUFJSkNBQUFBQUFBQUFBQUFBVUlCQUFBQUI0QUFBTXlBQWdBLy8vLy8vLy9BQUFBQUFBQS8vOEFBQUFBQUFBQUFQLy8vLy8vL3dBQUFBRC8vd0FBQUFELy8vLy8vLzhBQVAvL0FZQUNBQUFBQTRBREFBQUFCSUFFQUFBQUFBSUlBQjdVUGdCZGtLd0FPd1FCQUFBOEJBRUFBQUlFQWdBSEFEa0VBd0FBQURBQUFBU0FCUUFBQUFBQ0NBQkZ2aTRBeU1HMUFEc0VBUUFBUEFRQkFBQTVCQU1BQUFBeEFBQUVnQVlBQUFBQUFnZ0FqVUpPQU1qQnRRQTdCQUVBQUR3RUFRQUFPUVFEQUFBQU1nQUFCSUFIQUFBQUFBSUlBTFJUSGdDM0IzTUFPd1FCQUFBOEJBRUFBQUlFQWdBSEFEa0VBd0FBQURNQUFBU0FDQUFBQUFBQ0NBQWUxRDRBV1VEUkFEc0VBUUFBUEFRQkFBQTVCQU1BQUFBMEFBQUVnQWtBQUFBQUFnZ0FSYjR1QURtN3h3QTdCQUVBQUR3RUFRQUFPUVFEQUFBQU5RQUFCSUFLQUFBQUFBSUlBRVcrTGdDd29WWUFPd1FCQUFBOEJBRUFBRGtFQXdBQUFEWUFBQVNBQ3dBQUFBQUNDQUJGdmk0QTE0eDhBRHNFQVFBQVBBUUJBQUE1QkFNQUFBQTNBQUFFZ0F3QUFBQUFBZ2dBSHRRK0FNMTBtQUE3QkFFQUFEd0VBUUFBT1FRREFBQUFPQUFBQklBTkFBQUFBQUlJQUI3VVBnQzNCM01BT3dRQkFBQThCQUVBQUFJRUFnQVFBRGtFQXdBQUFEa0FBQVNBRGdBQUFBQUNDQUFlMUQ0QTBDWmdBRHNFQVFBQVBBUUJBQUE1QkFRQUFBQXhNQUFBQklBUEFBQUFBQUlJQUVXK0xnQmlRNDhBT3dRQkFBQThCQUVBQURrRUJBQUFBREV4QUFBRWdCQUFBQUFBQWdnQS92OGRBRUQ1ckFBN0JBRUFBRHdFQVFBQUFnUUNBQWdBT1FRRUFBQUFNVElBQUFTQUVRQUFBQUFDQ0FEVEFGOEFkMDJ0QURzRUFRQUFQQVFCQUFBQ0JBSUFDQUE1QkFRQUFBQXhNd0FBQklBU0FBQUFBQUlJQUVXK0xnRDQxVU1BT3dRQkFBQThCQUVBQURrRUJBQUFBREUwQUFBRWdCTUFBQUFBQWdnQXF4UWVBQkp1MEFBN0JBRUFBRHdFQVFBQU9RUUVBQUFBTVRVQUFBU0FGQUFBQUFBQ0NBQWUxRDRBK0U3akFEc0VBUUFBUEFRQkFBQTVCQVFBQUFBeE5nQUFCSUFWQUFBQUFBSUlBQjdVUGdEZ2p6b0FPd1FCQUFBOEJBRUFBRGtFQkFBQUFERTNBQUFFZ0JZQUFBQUFBZ2dBdEZNZUFPQ1BPZ0E3QkFFQUFEd0VBUUFBT1FRRUFBQUFNVGdBQUFTQUZ3QUFBQUFDQ0FCRnZpNEFSdW5zQURzRUFRQUFQQVFCQUFBNUJBUUFBQUF4T1FBQUJJQVlBQUFBQUFJSUFLc1VIZ0Q0VHVNQU93UUJBQUE4QkFFQUFEa0VCQUFBQURJd0FBQUVnQmtBQUFBQUFnZ0FIdFErQUZYWkp3QTdCQUVBQUR3RUFRQUFPUVFFQUFBQU1qRUFBQVNBR2dBQUFBQUNDQUMwVXg0QVZka25BRHNFQVFBQVBBUUJBQUE1QkFRQUFBQXlNZ0FBQklBYkFBQUFBQUlJQUVXK0xnRC8veDBBT3dRQkFBQThCQUVBQURrRUJBQUFBREl6QUFBRmdCd0FBQUFFQmdRQUJRQUFBQVVHQkFBRUFBQUFBQUFGZ0IwQUFBQUVCZ1FBQmdBQUFBVUdCQUFFQUFBQUFBQUZnQjRBQUFBRUJnUUFCd0FBQUFVR0JBQUxBQUFBQUFZQ0FBSUFDd1lRQUFBQUFBQWhBQUFBSkFBQUFDSUFBQUFBQUFXQUh3QUFBQVFHQkFBSUFBQUFCUVlFQUFZQUFBQUFBQVdBSUFBQUFBUUdCQUFKQUFBQUJRWUVBQVVBQUFBQUFBV0FJUUFBQUFRR0JBQUtBQUFBQlFZRUFBY0FBQUFBQUFXQUlnQUFBQVFHQkFBTEFBQUFCUVlFQUE4QUFBQUFBQVdBSXdBQUFBUUdCQUFNQUFBQUJRWUVBQVFBQUFBQUFBV0FKQUFBQUFRR0JBQU5BQUFBQlFZRUFBc0FBQUFBQUFXQUpRQUFBQVFHQkFBT0FBQUFCUVlFQUEwQUFBQUFBQVdBSmdBQUFBUUdCQUFQQUFBQUJRWUVBQXdBQUFBQUFBV0FKd0FBQUFRR0JBQVFBQUFBQlFZRUFBVUFBQUFBQmdJQUFnQUFBQVdBS0FBQUFBUUdCQUFSQUFBQUJRWUVBQVlBQUFBQUJnSUFBZ0FBQUFXQUtRQUFBQVFHQkFBU0FBQUFCUVlFQUFvQUFBQUFBQVdBS2dBQUFBUUdCQUFUQUFBQUJRWUVBQWtBQUFBQUFBV0FLd0FBQUFRR0JBQVVBQUFBQlFZRUFBZ0FBQUFBQUFXQUxBQUFBQVFHQkFBVkFBQUFCUVlFQUJJQUFBQUFCZ0lBQWdBTEJoQUFNQUFBQUFBQUFBQXBBQUFBTFFBQUFBQUFCWUF0QUFBQUJBWUVBQllBQUFBRkJnUUFFZ0FBQUFBQUJZQXVBQUFBQkFZRUFCY0FBQUFGQmdRQUZBQUFBQUFHQWdBQ0FBc0dFQUFBQUFBQU5BQUFBQ3NBQUFBQUFBQUFBQUFGZ0M4QUFBQUVCZ1FBR0FBQUFBVUdCQUFUQUFBQUFBWUNBQUlBQ3dZUUFBQUFBQUEwQUFBQUtnQUFBQUFBQUFBQUFBV0FNQUFBQUFRR0JBQVpBQUFBQlFZRUFCVUFBQUFBQUFXQU1RQUFBQVFHQkFBYUFBQUFCUVlFQUJZQUFBQUFCZ0lBQWdBTEJoQUFBQUFBQURJQUFBQXRBQUFBQUFBQUFBQUFCWUF5QUFBQUJBWUVBQnNBQUFBRkJnUUFHZ0FBQUFBQUJZQXpBQUFBQkFZRUFBa0FBQUFGQmdRQUNBQUFBQUFHQWdBQ0FBc0dFQUFxQUFBQUlBQUFBQjhBQUFBckFBQUFBQUFGZ0RRQUFBQUVCZ1FBR0FBQUFBVUdCQUFYQUFBQUFBQUZnRFVBQUFBRUJnUUFEZ0FBQUFVR0JBQUtBQUFBQUFZQ0FBSUFDd1lRQUFBQUFBQWxBQUFBSVFBQUFDa0FBQUFBQUFXQU5nQUFBQVFHQkFBYkFBQUFCUVlFQUJrQUFBQUFCZ0lBQWdBTEJoQUFBQUFBQURJQUFBQXdBQUFBQUFBQUFBQUFBQUFBQUFBQUFBQT0=</t>
        </r>
      </text>
    </comment>
    <comment ref="B4" authorId="0">
      <text>
        <r>
          <rPr>
            <b/>
            <sz val="9"/>
            <color indexed="81"/>
            <rFont val="Tahoma"/>
            <family val="2"/>
          </rPr>
          <t>QzIxSDIxTjNPU3xDaGVtT2ZmaWNlMVBpY3R1cmUgMTM2fFZtcERSREF4TURBRUF3SUJBQUFBQUFBQUFBQUFBQUNBQVFBQUFBTUFLZ0FBQUVOVElFTkVXQ0JrY21sMlpYSWdNeTR3SUM4Z1NuVnVJREU1SURFMU9qTTRPakEzSURJd01USUVBaEFBTVFGdi93QUFIZ0FCQU9ML2F6ZHhBUUVKQ0FBQUFBQUFBQUFBQUFJSkNBQUFBQUFBQUFBQUFBVUlCQUFBQUI0QUFBTXlBQWdBLy8vLy8vLy9BQUFBQUFBQS8vOEFBQUFBQUFBQUFQLy8vLy8vL3dBQUFBRC8vd0FBQUFELy8vLy8vLzhBQVAvL0FZQUNBQUFBQTRBREFBQUFCSUFFQUFBQUFBSUlBR2NRT3dBYWRXWUFPd1FCQUFBOEJBRUFBRGtFQXdBQUFEQUFBQVNBQlFBQUFBQUNDQURjOVdBQTBoMEZBVHNFQVFBQVBBUUJBQUFDQkFJQUJ3QTVCQU1BQUFBeEFBQUVnQVlBQUFBQUFnZ0FHeWRxQU5WUUlnRTdCQUVBQUR3RUFRQUFPUVFEQUFBQU1nQUFCSUFIQUFBQUFBSUlBQTgwZVFBdjBQTUFPd1FCQUFBOEJBRUFBRGtFQXdBQUFETUFBQVNBQ0FBQUFBQUNDQUNNdUZJQXdxdDNBRHNFQVFBQVBBUUJBQUFDQkFJQUJ3QTVCQU1BQUFBMEFBQUVnQWtBQUFBQUFnZ0FOTDlQQURkU2xRQTdCQUVBQUR3RUFRQUFPUVFEQUFBQU5RQUFCSUFLQUFBQUFBSUlBTS8ra0FDc01nWUJPd1FCQUFBOEJBRUFBQUlFQWdBUUFEa0VBd0FBQURZQUFBU0FDd0FBQUFBQ0NBQWpRNGNBQnEwaUFUc0VBUUFBUEFRQkFBQTVCQU1BQUFBM0FBQUVnQXdBQUFBQUFnZ0FXMjhsQUE3VVVBQTdCQUVBQUR3RUFRQUFPUVFEQUFBQU9BQUFCSUFOQUFBQUFBSUlBUC8vSFFCMjVHMEFPd1FCQUFBOEJBRUFBRGtFQXdBQUFEa0FBQVNBRGdBQUFBQUNDQUJGR1ZFQTREdFJBRHNFQVFBQVBBUUJBQUE1QkFRQUFBQXhNQUFBQklBUEFBQUFBQUlJQUdGRWZBQzZLZFlBT3dRQkFBQThCQUVBQURrRUJBQUFBREV4QUFBRWdCQUFBQUFBQWdnQVhWOWJBSHFoUEFFN0JBRUFBRHdFQVFBQU9RUUVBQUFBTVRJQUFBU0FFUUFBQUFBQ0NBQjRLelFBY2t5aUFEc0VBUUFBUEFRQkFBQUNCQUlBQ0FBNUJBUUFBQUF4TXdBQUJJQVNBQUFBQUFJSUFGQzZaZ0I1aHFjQU93UUJBQUE4QkFFQUFBSUVBZ0FIQURrRUJBQUFBREUwQUFBRWdCTUFBQUFBQWdnQS9xbGpBQmZjeEFBN0JBRUFBRHdFQVFBQU9RUUVBQUFBTVRVQUFBU0FGQUFBQUFBQ0NBQWNLMGtBQzZFekFEc0VBUUFBUEFRQkFBQTVCQVFBQUFBeE5nQUFCSUFWQUFBQUFBSUlBSE1nYlFBRlpsZ0FPd1FCQUFBOEJBRUFBRGtFQkFBQUFERTNBQUFFZ0JZQUFBQUFBZ2dBaWNROUFIcWhQQUU3QkFFQUFEd0VBUUFBT1FRRUFBQUFNVGdBQUFTQUZ3QUFBQUFDQ0FBYkoyb0FZUWxYQVRzRUFRQUFQQVFCQUFBNUJBUUFBQUF4T1FBQUJJQVlBQUFBQUFJSUFNcnBXd0JvYzNBQk93UUJBQUE4QkFFQUFEa0VCQUFBQURJd0FBQUVnQmtBQUFBQUFnZ0F5RGd1QVBkQ1Z3RTdCQUVBQUR3RUFRQUFPUVFFQUFBQU1qRUFBQVNBR2dBQUFBQUNDQUFHeG9BQTFObERBRHNFQVFBQVBBUUJBQUE1QkFRQUFBQXlNZ0FBQklBYkFBQUFBQUlJQUg4VFhnQUFBQjRBT3dRQkFBQThCQUVBQURrRUJBQUFBREl6QUFBRWdCd0FBQUFBQWdnQWtYRStBR3MzY1FFN0JBRUFBRHdFQVFBQU9RUUVBQUFBTWpRQUFBU0FIUUFBQUFBQ0NBRHBTSG9BMGFZbUFEc0VBUUFBUEFRQkFBQTVCQVFBQUFBeU5RQUFCWUFlQUFBQUJBWUVBQVVBQUFBRkJnUUFCd0FBQUFBR0FnQUNBQXNHRUFBQUFBQUFId0FBQUNNQUFBQWdBQUFBQUFBRmdCOEFBQUFFQmdRQUJnQUFBQVVHQkFBRkFBQUFBQUFGZ0NBQUFBQUVCZ1FBQndBQUFBVUdCQUFQQUFBQUFBQUZnQ0VBQUFBRUJnUUFDQUFBQUFVR0JBQUVBQUFBQUFBRmdDSUFBQUFFQmdRQUNRQUFBQVVHQkFBSUFBQUFBQUFGZ0NNQUFBQUVCZ1FBQ2dBQUFBVUdCQUFIQUFBQUFBQUZnQ1FBQUFBRUJnUUFDd0FBQUFVR0JBQUtBQUFBQUFBRmdDVUFBQUFFQmdRQURBQUFBQVVHQkFBRUFBQUFBQUFGZ0NZQUFBQUVCZ1FBRFFBQUFBVUdCQUFFQUFBQUFBQUZnQ2NBQUFBRUJnUUFEZ0FBQUFVR0JBQUVBQUFBQUFBRmdDZ0FBQUFFQmdRQUR3QUFBQVVHQkFBVEFBQUFBQUFGZ0NrQUFBQUVCZ1FBRUFBQUFBVUdCQUFHQUFBQUFBQUZnQ29BQUFBRUJnUUFFUUFBQUFVR0JBQUpBQUFBQUFZQ0FBSUFBQUFGZ0NzQUFBQUVCZ1FBRWdBQUFBVUdCQUFKQUFBQUFBQUZnQ3dBQUFBRUJnUUFFd0FBQUFVR0JBQVNBQUFBQUFBRmdDMEFBQUFFQmdRQUZBQUFBQVVHQkFBT0FBQUFBQUFGZ0M0QUFBQUVCZ1FBRlFBQUFBVUdCQUFPQUFBQUFBWUNBQUlBQ3dZUUFETUFBQUFBQUFBQUp3QUFBQzBBQUFBQUFBV0FMd0FBQUFRR0JBQVdBQUFBQlFZRUFCQUFBQUFBQUFXQU1BQUFBQVFHQkFBWEFBQUFCUVlFQUJBQUFBQUFCZ0lBQWdBTEJoQUFNUUFBQUFBQUFBQXBBQUFBTHdBQUFBQUFCWUF4QUFBQUJBWUVBQmdBQUFBRkJnUUFGd0FBQUFBQUJZQXlBQUFBQkFZRUFCa0FBQUFGQmdRQUZnQUFBQUFHQWdBQ0FBc0dFQUFBQUFBQU9nQUFBQzhBQUFBQUFBQUFBQUFGZ0RNQUFBQUVCZ1FBR2dBQUFBVUdCQUFWQUFBQUFBQUZnRFFBQUFBRUJnUUFHd0FBQUFVR0JBQVVBQUFBQUFZQ0FBSUFDd1lRQUFBQUFBQTRBQUFBTFFBQUFBQUFBQUFBQUFXQU5RQUFBQVFHQkFBY0FBQUFCUVlFQUJnQUFBQUFCZ0lBQWdBTEJoQUFBQUFBQURvQUFBQXhBQUFBQUFBQUFBQUFCWUEyQUFBQUJBWUVBQjBBQUFBRkJnUUFHZ0FBQUFBR0FnQUNBQXNHRUFBQUFBQUFPQUFBQURNQUFBQUFBQUFBQUFBRmdEY0FBQUFFQmdRQURRQUFBQVVHQkFBTUFBQUFBQUFGZ0RnQUFBQUVCZ1FBSFFBQUFBVUdCQUFiQUFBQUFBQUZnRGtBQUFBRUJnUUFDd0FBQUFVR0JBQUdBQUFBQUFZQ0FBSUFDd1lRQUFBQUFBQWtBQUFBSHdBQUFDa0FBQUFBQUFXQU9nQUFBQVFHQkFBY0FBQUFCUVlFQUJrQUFBQUFBQUFBQUFBQUFBQUE=</t>
        </r>
      </text>
    </comment>
    <comment ref="B5" authorId="0">
      <text>
        <r>
          <rPr>
            <b/>
            <sz val="9"/>
            <color indexed="81"/>
            <rFont val="Tahoma"/>
            <family val="2"/>
          </rPr>
          <t>QzIxSDIwTjJPU3xDaGVtT2ZmaWNlMVBpY3R1cmUgOTJ8Vm1wRFJEQXhNREFFQXdJQkFBQUFBQUFBQUFBQUFBQ0FBUUFBQUFNQUtnQUFBRU5USUVORVdDQmtjbWwyWlhJZ015NHdJQzhnU25WdUlERTVJREUxT2pNNE9qQTBJREl3TVRJRUFoQUFCeDExL3dBQUhnQUFBT0wvMGlaa0FRRUpDQUFBQUFBQUFBQUFBQUlKQ0FBQUFBQUFBQUFBQUFVSUJBQUFBQjRBQUFNeUFBZ0EvLy8vLy8vL0FBQUFBQUFBLy84QUFBQUFBQUFBQVAvLy8vLy8vd0FBQUFELy93QUFBQUQvLy8vLy8vOEFBUC8vQVlBQ0FBQUFBNEFEQUFBQUJJQUVBQUFBQUFJSUFDRHFPd0FPRjFrQU93UUJBQUE4QkFFQUFEa0VBd0FBQURBQUFBU0FCUUFBQUFBQ0NBQVJGVHNBRzh6ekFEc0VBUUFBUEFRQkFBQUNCQUlBQndBNUJBTUFBQUF4QUFBRWdBWUFBQUFBQWdnQWRWVlBBQmQwQ2dFN0JBRUFBRHdFQVFBQU9RUURBQUFBTWdBQUJJQUhBQUFBQUFJSUFBQUFIZ0JyS2xnQU93UUJBQUE4QkFFQUFEa0VBd0FBQURNQUFBU0FDQUFBQUFBQ0NBQ2dXUzBBdUZFK0FEc0VBUUFBUEFRQkFBQTVCQU1BQUFBMEFBQUVnQWtBQUFBQUFnZ0FER05LQUVRTDJnQTdCQUVBQUR3RUFRQUFPUVFEQUFBQU5RQUFCSUFLQUFBQUFBSUlBQXhqU2dDc3RISUFPd1FCQUFBOEJBRUFBRGtFQXdBQUFEWUFBQVNBQ3dBQUFBQUNDQUI0YkdjQXRHemdBRHNFQVFBQVBBUUJBQUFDQkFJQUVBQTVCQU1BQUFBM0FBQUVnQXdBQUFBQUFnZ0FJY2hwQU1OaS9nQTdCQUVBQUR3RUFRQUFPUVFEQUFBQU9BQUFCSUFOQUFBQUFBSUlBUFNMVmdBTVkwb0FPd1FCQUFBOEJBRUFBRGtFQXdBQUFEa0FBQVNBRGdBQUFBQUNDQUFSRlRzQWtETEFBRHNFQVFBQVBBUUJBQUE1QkFRQUFBQXhNQUFBQklBUEFBQUFBQUlJQUxXK1RBQ2pSaWdCT3dRQkFBQThCQUVBQURrRUJBQUFBREV4QUFBRWdCQUFBQUFBQWdnQWhrRm9BTWxlZEFBN0JBRUFBRHdFQVFBQUFnUUNBQWdBT1FRRUFBQUFNVElBQUFTQUVRQUFBQUFDQ0FBUkZUc0FCWm1NQURzRUFRQUFQQVFCQUFBQ0JBSUFCd0E1QkFRQUFBQXhNd0FBQklBU0FBQUFBQUlJQUF4alNnQzVjYVlBT3dRQkFBQThCQUVBQURrRUJBQUFBREUwQUFBRWdCTUFBQUFBQWdnQUJYaHZBSW5VV1FBN0JBRUFBRHdFQVFBQU9RUUVBQUFBTVRVQUFBU0FGQUFBQUFBQ0NBQUNZVmNBQXJRc0FEc0VBUUFBUEFRQkFBQTVCQVFBQUFBeE5nQUFCSUFWQUFBQUFBSUlBRXp0WkFEYkJ6b0JPd1FCQUFBOEJBRUFBRGtFQkFBQUFERTNBQUFFZ0JZQUFBQUFBZ2dBWmw4eEFBWXROUUU3QkFFQUFEd0VBUUFBT1FRRUFBQUFNVGdBQUFTQUZ3QUFBQUFDQ0FDdTAzRUFBQUFlQURzRUFRQUFQQVFCQUFBNUJBUUFBQUF4T1FBQUJJQVlBQUFBQUFJSUFEbklZUURxL1ZjQk93UUJBQUE4QkFFQUFEa0VCQUFBQURJd0FBQUVnQmtBQUFBQUFnZ0FyaTR1QUFaT1VnRTdCQUVBQUR3RUFRQUFPUVFFQUFBQU1qRUFBQVNBR2dBQUFBQUNDQUQ1NG9vQUdqaExBRHNFQVFBQVBBUUJBQUE1QkFRQUFBQXlNZ0FBQklBYkFBQUFBQUlJQVBuaWlnQjljUzBBT3dRQkFBQThCQUVBQURrRUJBQUFBREl6QUFBRWdCd0FBQUFBQWdnQVJWMUdBTkltWkFFN0JBRUFBRHdFQVFBQU9RUUVBQUFBTWpRQUFBV0FIUUFBQUFRR0JBQUZBQUFBQlFZRUFBa0FBQUFBQmdJQUFnQUxCaEFBQUFBQUFCNEFBQUFqQUFBQUlRQUFBQUFBQllBZUFBQUFCQVlFQUFZQUFBQUZCZ1FBQlFBQUFBQUFCWUFmQUFBQUJBWUVBQWNBQUFBRkJnUUFCQUFBQUFBQUJZQWdBQUFBQkFZRUFBZ0FBQUFGQmdRQUJBQUFBQUFBQllBaEFBQUFCQVlFQUFrQUFBQUZCZ1FBRGdBQUFBQUFCWUFpQUFBQUJBWUVBQW9BQUFBRkJnUUFCQUFBQUFBQUJZQWpBQUFBQkFZRUFBc0FBQUFGQmdRQUNRQUFBQUFBQllBa0FBQUFCQVlFQUF3QUFBQUZCZ1FBQ3dBQUFBQUFCWUFsQUFBQUJBWUVBQTBBQUFBRkJnUUFCQUFBQUFBQUJZQW1BQUFBQkFZRUFBNEFBQUFGQmdRQUVnQUFBQUFBQllBbkFBQUFCQVlFQUE4QUFBQUZCZ1FBQmdBQUFBQUFCWUFvQUFBQUJBWUVBQkFBQUFBRkJnUUFDZ0FBQUFBR0FnQUNBQUFBQllBcEFBQUFCQVlFQUJFQUFBQUZCZ1FBQ2dBQUFBQUFCWUFxQUFBQUJBWUVBQklBQUFBRkJnUUFFUUFBQUFBQUJZQXJBQUFBQkFZRUFCTUFBQUFGQmdRQURRQUFBQUFHQWdBQ0FBc0dFQUF5QUFBQUFBQUFBQ1VBQUFBc0FBQUFBQUFGZ0N3QUFBQUVCZ1FBRkFBQUFBVUdCQUFOQUFBQUFBQUZnQzBBQUFBRUJnUUFGUUFBQUFVR0JBQVBBQUFBQUFZQ0FBSUFDd1lRQURBQUFBQUFBQUFBSndBQUFDNEFBQUFBQUFXQUxnQUFBQVFHQkFBV0FBQUFCUVlFQUE4QUFBQUFBQVdBTHdBQUFBUUdCQUFYQUFBQUJRWUVBQlFBQUFBQUJnSUFBZ0FMQmhBQUFBQUFBRE1BQUFBc0FBQUFBQUFBQUFBQUJZQXdBQUFBQkFZRUFCZ0FBQUFGQmdRQUZRQUFBQUFBQllBeEFBQUFCQVlFQUJrQUFBQUZCZ1FBRmdBQUFBQUdBZ0FDQUFzR0VBQUFBQUFBTkFBQUFDNEFBQUFBQUFBQUFBQUZnRElBQUFBRUJnUUFHZ0FBQUFVR0JBQVRBQUFBQUFBRmdETUFBQUFFQmdRQUd3QUFBQVVHQkFBWEFBQUFBQUFGZ0RRQUFBQUVCZ1FBSEFBQUFBVUdCQUFaQUFBQUFBQUZnRFVBQUFBRUJnUUFDQUFBQUFVR0JBQUhBQUFBQUFBRmdEWUFBQUFFQmdRQUdnQUFBQVVHQkFBYkFBQUFBQVlDQUFJQUN3WVFBQUFBQUFBeUFBQUFNd0FBQUFBQUFBQUFBQVdBTndBQUFBUUdCQUFHQUFBQUJRWUVBQXdBQUFBQUJnSUFBZ0FMQmhBQUp3QUFBQjRBQUFBa0FBQUFBQUFBQUFBQUJZQTRBQUFBQkFZRUFCZ0FBQUFGQmdRQUhBQUFBQUFHQWdBQ0FBc0dFQUFBQUFBQU1BQUFBRFFBQUFBQUFBQUFBQUFBQUFBQUFBQUFBQT09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>QzE4SDE1QnJOMk9TfENoZW1PZmZpY2UxUGljdHVyZSAyMDN8Vm1wRFJEQXhNREFFQXdJQkFBQUFBQUFBQUFBQUFBQ0FBUUFBQUFNQUtnQUFBRU5USUVORVdDQmtjbWwyWlhJZ015NHdJQzhnU25WdUlERTVJREUxT2pNNE9qRXdJREl3TVRJRUFoQUEvWVJ5L3dBQUhnQUJBT0wvdEo5c0FRRUpDQUFBQUFBQUFBQUFBQUlKQ0FBQUFBQUFBQUFBQUFVSUJBQUFBQjRBQUFNeUFBZ0EvLy8vLy8vL0FBQUFBQUFBLy84QUFBQUFBQUFBQVAvLy8vLy8vd0FBQUFELy93QUFBQUQvLy8vLy8vOEFBUC8vQVlBQ0FBQUFBNEFEQUFBQUJJQUVBQUFBQUFJSUFETlFYUUFDa1lRQU93UUJBQUE4QkFFQUFBSUVBZ0FIQURrRUF3QUFBREFBQUFTQUJRQUFBQUFDQ0FBZWRHTUFaOTFtQURzRUFRQUFQQVFCQUFBNUJBTUFBQUF4QUFBRWdBWUFBQUFBQWdnQWRMRjJBSGlUa3dBN0JBRUFBRHdFQVFBQU9RUURBQUFBTWdBQUJJQUhBQUFBQUFJSUFBTjdqUUJGRUlBQU93UUJBQUE4QkFFQUFBSUVBZ0FRQURrRUF3QUFBRE1BQUFTQUNBQUFBQUFDQ0FBTitZQUF4aUprQURzRUFRQUFQQVFCQUFBNUJBTUFBQUEwQUFBRWdBa0FBQUFBQWdnQSswNVZBREt2OVFBN0JBRUFBRHdFQVFBQU9RUURBQUFBTlFBQUJJQUtBQUFBQUFJSUFBa3RXd0JVU3hNQk93UUJBQUE4QkFFQUFEa0VBd0FBQURZQUFBU0FDd0FBQUFBQ0NBQmlWWHdBZG5XeEFEc0VBUUFBUEFRQkFBQTVCQU1BQUFBM0FBQUVnQXdBQUFBQUFnZ0FNV1ZQQUlSQ1VBQTdCQUVBQUR3RUFRQUFPUVFEQUFBQU9BQUFCSUFOQUFBQUFBSUlBTGY0TndBUS8rc0FPd1FCQUFBOEJBRUFBQUlFQWdBSUFEa0VBd0FBQURrQUFBU0FEZ0FBQUFBQ0NBQklHR3NBYUZyaEFEc0VBUUFBUEFRQkFBQUNCQUlBQndBNUJBUUFBQUF4TUFBQUJJQVBBQUFBQUFJSUFCL2dkZ0JCWkIwQk93UUJBQUE4QkFFQUFEa0VCQUFBQURFeEFBQUVnQkFBQUFBQUFnZ0FCTXhEQUN6OUp3RTdCQUVBQUR3RUFRQUFPUVFFQUFBQU1USUFBQVNBRVFBQUFBQUNDQUN3MFdVQXFmakVBRHNFQVFBQVBBUUJBQUE1QkFRQUFBQXhNd0FBQklBU0FBQUFBQUlJQUxEUlpRQlFEMDhCT3dRQkFBQThCQUVBQURrRUJBQUFBREUwQUFBRWdCTUFBQUFBQWdnQXpyVkpBSEJUUlFFN0JBRUFBRHdFQVFBQU9RUUVBQUFBTVRVQUFBU0FGQUFBQUFBQ0NBQ1c3SHNBZ3pvN0FUc0VBUUFBUEFRQkFBQTVCQVFBQUFBeE5nQUFCSUFWQUFBQUFBSUlBS3BTYkFDMG4yd0JPd1FCQUFBOEJBRUFBQUlFQWdBakFEa0VCQUFBQURFM0FBQUVnQllBQUFBQUFnZ0F1SGN5QUNaeVZ3QTdCQUVBQUR3RUFRQUFPUVFFQUFBQU1UZ0FBQVNBRndBQUFBQUNDQURSb0ZjQTkvY3pBRHNFQVFBQVBBUUJBQUE1QkFRQUFBQXhPUUFBQklBWUFBQUFBQUlJQUJncFF3QUFBQjRBT3dRQkFBQThCQUVBQURrRUJBQUFBREl3QUFBRWdCa0FBQUFBQWdnQS8vOGRBRkUwUVFBN0JBRUFBRHdFQVFBQU9RUUVBQUFBTWpFQUFBU0FHZ0FBQUFBQ0NBQnJwQ1lBNmlNa0FEc0VBUUFBUEFRQkFBQTVCQVFBQUFBeU1nQUFCWUFiQUFBQUJBWUVBQVVBQUFBRkJnUUFCQUFBQUFBQUJZQWNBQUFBQkFZRUFBWUFBQUFGQmdRQUJBQUFBQUFHQWdBQ0FBc0dFQUFoQUFBQUhRQUFBQnNBQUFBQUFBQUFBQUFGZ0IwQUFBQUVCZ1FBQndBQUFBVUdCQUFHQUFBQUFBQUZnQjRBQUFBRUJnUUFDQUFBQUFVR0JBQUZBQUFBQUFZQ0FBSUFDd1lRQUFBQUFBQXhBQUFBR3dBQUFDSUFBQUFBQUFXQUh3QUFBQVFHQkFBSkFBQUFCUVlFQUE0QUFBQUFBQVdBSUFBQUFBUUdCQUFLQUFBQUJRWUVBQWtBQUFBQUFBV0FJUUFBQUFRR0JBQUxBQUFBQlFZRUFBWUFBQUFBQUFXQUlnQUFBQVFHQkFBTUFBQUFCUVlFQUFVQUFBQUFBQVdBSXdBQUFBUUdCQUFOQUFBQUJRWUVBQWtBQUFBQUJnSUFBZ0FBQUFXQUpBQUFBQVFHQkFBT0FBQUFCUVlFQUJFQUFBQUFBQVdBSlFBQUFBUUdCQUFQQUFBQUJRWUVBQW9BQUFBQUFBV0FKZ0FBQUFRR0JBQVFBQUFBQlFZRUFBb0FBQUFBQmdJQUFnQUxCaEFBS1FBQUFBQUFBQUFnQUFBQUpRQUFBQUFBQllBbkFBQUFCQVlFQUJFQUFBQUZCZ1FBQ3dBQUFBQUFCWUFvQUFBQUJBWUVBQklBQUFBRkJnUUFFd0FBQUFBR0FnQUNBQXNHRUFBckFBQUFNd0FBQUNrQUFBQUFBQUFBQUFBRmdDa0FBQUFFQmdRQUV3QUFBQVVHQkFBUUFBQUFBQUFGZ0NvQUFBQUVCZ1FBRkFBQUFBVUdCQUFQQUFBQUFBWUNBQUlBQ3dZUUFBQUFBQUF6QUFBQUpRQUFBQUFBQUFBQUFBV0FLd0FBQUFRR0JBQVZBQUFBQlFZRUFCSUFBQUFBQUFXQUxBQUFBQVFHQkFBV0FBQUFCUVlFQUF3QUFBQUFCZ0lBQWdBTEJoQUFMd0FBQUFBQUFBQWlBQUFBTFFBQUFBQUFCWUF0QUFBQUJBWUVBQmNBQUFBRkJnUUFEQUFBQUFBQUJZQXVBQUFBQkFZRUFCZ0FBQUFGQmdRQUZ3QUFBQUFHQWdBQ0FBc0dFQUFBQUFBQU1BQUFBQzBBQUFBQUFBQUFBQUFGZ0M4QUFBQUVCZ1FBR1FBQUFBVUdCQUFXQUFBQUFBQUZnREFBQUFBRUJnUUFHZ0FBQUFVR0JBQVlBQUFBQUFBRmdERUFBQUFFQmdRQUNBQUFBQVVHQkFBSEFBQUFBQUFGZ0RJQUFBQUVCZ1FBR2dBQUFBVUdCQUFaQUFBQUFBWUNBQUlBQ3dZUUFBQUFBQUF3QUFBQUx3QUFBQUFBQUFBQUFBV0FNd0FBQUFRR0JBQVVBQUFBQlFZRUFCSUFBQUFBQUFBQUFBQUFBQUFB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QzE5SDE4TjJPM1N8Q2hlbU9mZmljZTFQaWN0dXJlIDExMnxWbXBEUkRBeE1EQUVBd0lCQUFBQUFBQUFBQUFBQUFDQUFRQUFBQU1BS2dBQUFFTlRJRU5FV0NCa2NtbDJaWElnTXk0d0lDOGdTblZ1SURFNUlERTFPak00T2pBMUlESXdNVElFQWhBQUdvSmsvd0FBSGdBQkFPTC8yY2JFQUFFSkNBQUFBQUFBQUFBQUFBSUpDQUFBQUFBQUFBQUFBQVVJQkFBQUFCNEFBQU15QUFnQS8vLy8vLy8vQUFBQUFBQUEvLzhBQUFBQUFBQUFBUC8vLy8vLy93QUFBQUQvL3dBQUFBRC8vLy8vLy84QUFQLy9BWUFDQUFBQUE0QURBQUFBQklBRUFBQUFBQUlJQUk1VmVnQ1B1SUVBT3dRQkFBQThCQUVBQUFJRUFnQUhBRGtFQXdBQUFEQUFBQVNBQlFBQUFBQUNDQUNPVlhvQTNvMlhBRHNFQVFBQVBBUUJBQUE1QkFNQUFBQXhBQUFFZ0FZQUFBQUFBZ2dBT1M2UEFPZWxld0E3QkFFQUFEd0VBUUFBT1FRREFBQUFNZ0FBQklBSEFBQUFBQUlJQU9aOW13QVJ6WXdBT3dRQkFBQThCQUVBQUFJRUFnQVFBRGtFQXdBQUFETUFBQVNBQ0FBQUFBQUNDQUFvc0k0QTFyR2VBRHNFQVFBQVBBUUJBQUE1QkFNQUFBQTBBQUFFZ0FrQUFBQUFBZ2dBajdpQkFMYnhNUUE3QkFFQUFEd0VBUUFBT1FRREFBQUFOUUFBQklBS0FBQUFBQUlJQUJRZGFBQm80YUlBT3dRQkFBQThCQUVBQURrRUF3QUFBRFlBQUFTQUN3QUFBQUFDQ0FDSnRXd0FpbzQxQURzRUFRQUFQQVFCQUFBNUJBTUFBQUEzQUFBRWdBd0FBQUFBQWdnQWpYeVdBRmFLWndBN0JBRUFBRHdFQVFBQU9RUURBQUFBT0FBQUJJQU5BQUFBQUFJSUFHdEZpUUFBQUI0QU93UUJBQUE4QkFFQUFBSUVBZ0FJQURrRUF3QUFBRGtBQUFTQURnQUFBQUFDQ0FDZGw0OEE0L0pCQURzRUFRQUFQQVFCQUFBQ0JBSUFCd0E1QkFRQUFBQXhNQUFBQklBUEFBQUFBQUlJQUM3YWFBQUhvYmdBT3dRQkFBQThCQUVBQURrRUJBQUFBREV4QUFBRWdCQUFBQUFBQWdnQXJqeFZBTFhkbUFBN0JBRUFBRHdFQVFBQU9RUUVBQUFBTVRJQUFBU0FFUUFBQUFBQ0NBQ1FrV1VBU2I5SkFEc0VBUUFBUEFRQkFBQTVCQVFBQUFBeE13QUFCSUFTQUFBQUFBSUlBTTdCWGdENEl5VUFPd1FCQUFBOEJBRUFBRGtFQkFBQUFERTBBQUFFZ0JNQUFBQUFBZ2dBZDE2SUFMT2hWZ0E3QkFFQUFEd0VBUUFBT1FRRUFBQUFNVFVBQUFTQUZBQUFBQUFDQ0FENjFVTUFoY2U1QURzRUFRQUFQQVFCQUFBNUJBUUFBQUF4TmdBQUJJQVZBQUFBQUFJSUFNWmJRZ0F2eHp3QU93UUJBQUE4QkFFQUFEa0VCQUFBQURFM0FBQUVnQllBQUFBQUFnZ0ExOWxDQUhhRnBBQTdCQUVBQUR3RUFRQUFPUVFFQUFBQU1UZ0FBQVNBRndBQUFBQUNDQUN6b1ZZQXlFakVBRHNFQVFBQVBBUUJBQUE1QkFRQUFBQXhPUUFBQklBWUFBQUFBQUlJQUJ1cVNRQ2VxeWdBT3dRQkFBQThCQUVBQURrRUJBQUFBREl3QUFBRWdCa0FBQUFBQWdnQUM0OVFBTWx3VFFBN0JBRUFBRHdFQVFBQU9RUUVBQUFBTWpFQUFBU0FHZ0FBQUFBQ0NBRFRpREVBMmNiRUFEc0VBUUFBUEFRQkFBQUNCQUlBQ0FBNUJBUUFBQUF5TWdBQUJJQWJBQUFBQUFJSUFOM3ZMQURiczBFQU93UUJBQUE4QkFFQUFBSUVBZ0FJQURrRUJBQUFBREl6QUFBRWdCd0FBQUFBQWdnQS8vOGRBTUVLTVFBN0JBRUFBRHdFQVFBQU9RUUVBQUFBTWpRQUFBV0FIUUFBQUFRR0JBQUZBQUFBQlFZRUFBUUFBQUFBQUFXQUhnQUFBQVFHQkFBR0FBQUFCUVlFQUFRQUFBQUFCZ0lBQWdBTEJoQUFKQUFBQUI4QUFBQWRBQUFBQUFBQUFBQUFCWUFmQUFBQUJBWUVBQWNBQUFBRkJnUUFCZ0FBQUFBQUJZQWdBQUFBQkFZRUFBZ0FBQUFGQmdRQUJRQUFBQUFHQWdBQ0FBc0dFQUFBQUFBQU5RQUFBQjBBQUFBaUFBQUFBQUFGZ0NFQUFBQUVCZ1FBQ1FBQUFBVUdCQUFPQUFBQUFBQUZnQ0lBQUFBRUJnUUFDZ0FBQUFVR0JBQUZBQUFBQUFBRmdDTUFBQUFFQmdRQUN3QUFBQVVHQkFBSkFBQUFBQUFGZ0NRQUFBQUVCZ1FBREFBQUFBVUdCQUFHQUFBQUFBQUZnQ1VBQUFBRUJnUUFEUUFBQUFVR0JBQUpBQUFBQUFZQ0FBSUFBQUFGZ0NZQUFBQUVCZ1FBRGdBQUFBVUdCQUFUQUFBQUFBQUZnQ2NBQUFBRUJnUUFEd0FBQUFVR0JBQUtBQUFBQUFZQ0FBSUFDd1lRQUM4QUFBQUFBQUFBSWdBQUFDZ0FBQUFBQUFXQUtBQUFBQVFHQkFBUUFBQUFCUVlFQUFvQUFBQUFBQVdBS1FBQUFBUUdCQUFSQUFBQUJRWUVBQXNBQUFBQUJnSUFBZ0FMQmhBQU1RQUFBQUFBQUFBakFBQUFLZ0FBQUFBQUJZQXFBQUFBQkFZRUFCSUFBQUFGQmdRQUN3QUFBQUFBQllBckFBQUFCQVlFQUJNQUFBQUZCZ1FBREFBQUFBQUFCWUFzQUFBQUJBWUVBQlFBQUFBRkJnUUFGd0FBQUFBR0FnQUNBQXNHRUFBeUFBQUFOZ0FBQUM4QUFBQUFBQUFBQUFBRmdDMEFBQUFFQmdRQUZRQUFBQVVHQkFBWUFBQUFBQUFGZ0M0QUFBQUVCZ1FBRmdBQUFBVUdCQUFRQUFBQUFBWUNBQUlBQ3dZUUFBQUFBQUEyQUFBQUtBQUFBQUFBQUFBQUFBV0FMd0FBQUFRR0JBQVhBQUFBQlFZRUFBOEFBQUFBQUFXQU1BQUFBQVFHQkFBWUFBQUFCUVlFQUJJQUFBQUFCZ0lBQWdBTEJoQUFBQUFBQUMwQUFBQXFBQUFBQUFBQUFBQUFCWUF4QUFBQUJBWUVBQmtBQUFBRkJnUUFFUUFBQUFBQUJZQXlBQUFBQkFZRUFCb0FBQUFGQmdRQUZBQUFBQUFBQllBekFBQUFCQVlFQUJzQUFBQUZCZ1FBRlFBQUFBQUFCWUEwQUFBQUJBWUVBQndBQUFBRkJnUUFHd0FBQUFBQUJZQTFBQUFBQkFZRUFBY0FBQUFGQmdRQUNBQUFBQUFBQllBMkFBQUFCQVlFQUJRQUFBQUZCZ1FBRmdBQUFBQUFCWUEzQUFBQUJBWUVBQlVBQUFBRkJnUUFHUUFBQUFBR0FnQUNBQXNHRUFBekFBQUFMUUFBQURFQUFBQUFBQUFBQUFBQUFBQUFBQUFBQUE9PQ==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QzE5SDE4TjJPU3xDaGVtT2ZmaWNlMVBpY3R1cmUgMzh8Vm1wRFJEQXhNREFFQXdJQkFBQUFBQUFBQUFBQUFBQ0FBUUFBQUFNQUtnQUFBRU5USUVORVdDQmtjbWwyWlhJZ015NHdJQzhnU25WdUlERTVJREUxT2pNNE9qQXlJREl3TVRJRUFoQUFRMjJLL3dBQUhnQUJBT0wvTjN6SEFBRUpDQUFBQUFBQUFBQUFBQUlKQ0FBQUFBQUFBQUFBQUFVSUJBQUFBQjRBQUFNeUFBZ0EvLy8vLy8vL0FBQUFBQUFBLy84QUFBQUFBQUFBQVAvLy8vLy8vd0FBQUFELy93QUFBQUQvLy8vLy8vOEFBUC8vQVlBQ0FBQUFBNEFEQUFBQUJJQUVBQUFBQUFJSUFBa1lXUUE2Vm04QU93UUJBQUE4QkFFQUFBSUVBZ0FIQURrRUF3QUFBREFBQUFTQUJRQUFBQUFDQ0FEa1FWa0FxZjlPQURzRUFRQUFQQVFCQUFBNUJBTUFBQUF4QUFBRWdBWUFBQUFBQWdnQXd1TnJBRHBXYndBN0JBRUFBRHdFQVFBQU9RUURBQUFBTWdBQUJJQUhBQUFBQUFJSUFMMlNkUURvZmw4QU93UUJBQUE4QkFFQUFBSUVBZ0FRQURrRUF3QUFBRE1BQUFTQUNBQUFBQUFDQ0FCNE4yd0FxZjlPQURzRUFRQUFQQVFCQUFBNUJBTUFBQUEwQUFBRWdBa0FBQUFBQWdnQXJvdHNBQmFVdGdBN0JBRUFBRHdFQVFBQU9RUURBQUFBTlFBQUJJQUtBQUFBQUFJSUFHSm9XZ0FXbExZQU93UUJBQUE4QkFFQUFEa0VBd0FBQURZQUFBU0FDd0FBQUFBQ0NBQzlrblVBZmpxQkFEc0VBUUFBUEFRQkFBQTVCQU1BQUFBM0FBQUVnQXdBQUFBQUFnZ0FBbEJRQUw1clBnQTdCQUVBQUR3RUFRQUFPUVFEQUFBQU9BQUFCSUFOQUFBQUFBSUlBTzZCZEFBbS9zWUFPd1FCQUFBOEJBRUFBQUlFQWdBSUFEa0VBd0FBQURrQUFBU0FEZ0FBQUFBQ0NBRHVnWFFBaXQyakFEc0VBUUFBUEFRQkFBQUNCQUlBQndBNUJBUUFBQUF4TUFBQUJJQVBBQUFBQUFJSUFBSlFVQUEzZk1jQU93UUJBQUE4QkFFQUFEa0VCQUFBQURFeEFBQUVnQkFBQUFBQUFnZ0FBbEJRQUlRcHBnQTdCQUVBQUR3RUFRQUFPUVFFQUFBQU1USUFBQVNBRVFBQUFBQUNDQUN1aTJ3QVF4K1RBRHNFQVFBQVBBUUJBQUE1QkFRQUFBQXhNd0FBQklBU0FBQUFBQUlJQUFHeVBBQ0VLYVlBT3dRQkFBQThCQUVBQURrRUJBQUFBREUwQUFBRWdCTUFBQUFBQWdnQUFiSThBRGQ4eHdBN0JBRUFBRHdFQVFBQU9RUUVBQUFBTVRVQUFBU0FGQUFBQUFBQ0NBQ1JHeklBMXdDMkFEc0VBUUFBUEFRQkFBQTVCQVFBQUFBeE5nQUFCSUFWQUFBQUFBSUlBRkhxV1FDSUt5NEFPd1FCQUFBOEJBRUFBRGtFQkFBQUFERTNBQUFFZ0JZQUFBQUFBZ2dBSTY0OUFMNXJQZ0E3QkFFQUFEd0VBUUFBT1FRRUFBQUFNVGdBQUFTQUZ3QUFBQUFDQ0FELy94MEExd0MyQURzRUFRQUFQQVFCQUFBNUJBUUFBQUF4T1FBQUJJQVlBQUFBQUFJSUFOVVROQUNJS3k0QU93UUJBQUE4QkFFQUFEa0VCQUFBQURJd0FBQUVnQmtBQUFBQUFnZ0FBbEJRQUFBQUhnQTdCQUVBQUR3RUFRQUFPUVFFQUFBQU1qRUFBQVNBR2dBQUFBQUNDQUFqcmowQUFBQWVBRHNFQVFBQVBBUUJBQUE1QkFRQUFBQXlNZ0FBQllBYkFBQUFCQVlFQUFVQUFBQUZCZ1FBQkFBQUFBQUFCWUFjQUFBQUJBWUVBQVlBQUFBRkJnUUFCQUFBQUFBR0FnQUNBQXNHRUFBaEFBQUFIUUFBQUJzQUFBQUFBQUFBQUFBRmdCMEFBQUFFQmdRQUJ3QUFBQVVHQkFBR0FBQUFBQUFGZ0I0QUFBQUVCZ1FBQ0FBQUFBVUdCQUFGQUFBQUFBWUNBQUlBQ3dZUUFBQUFBQUF4QUFBQUd3QUFBQ0lBQUFBQUFBV0FId0FBQUFRR0JBQUpBQUFBQlFZRUFBNEFBQUFBQUFXQUlBQUFBQVFHQkFBS0FBQUFCUVlFQUFrQUFBQUFBQVdBSVFBQUFBUUdCQUFMQUFBQUJRWUVBQVlBQUFBQUFBV0FJZ0FBQUFRR0JBQU1BQUFBQlFZRUFBVUFBQUFBQUFXQUl3QUFBQVFHQkFBTkFBQUFCUVlFQUFrQUFBQUFCZ0lBQWdBQUFBV0FKQUFBQUFRR0JBQU9BQUFBQlFZRUFCRUFBQUFBQUFXQUpRQUFBQVFHQkFBUEFBQUFCUVlFQUFvQUFBQUFCZ0lBQWdBTEJoQUFLUUFBQUFBQUFBQWdBQUFBSmdBQUFBQUFCWUFtQUFBQUJBWUVBQkFBQUFBRkJnUUFDZ0FBQUFBQUJZQW5BQUFBQkFZRUFCRUFBQUFGQmdRQUN3QUFBQUFBQllBb0FBQUFCQVlFQUJJQUFBQUZCZ1FBRUFBQUFBQUdBZ0FDQUFzR0VBQUFBQUFBS2dBQUFDWUFBQUFBQUFBQUFBQUZnQ2tBQUFBRUJnUUFFd0FBQUFVR0JBQVBBQUFBQUFBRmdDb0FBQUFFQmdRQUZBQUFBQVVHQkFBU0FBQUFBQUFGZ0NzQUFBQUVCZ1FBRlFBQUFBVUdCQUFNQUFBQUFBQUZnQ3dBQUFBRUJnUUFGZ0FBQUFVR0JBQU1BQUFBQUFZQ0FBSUFDd1lRQUM0QUFBQUFBQUFBSWdBQUFDc0FBQUFBQUFXQUxRQUFBQVFHQkFBWEFBQUFCUVlFQUJRQUFBQUFBQVdBTGdBQUFBUUdCQUFZQUFBQUJRWUVBQllBQUFBQUFBV0FMd0FBQUFRR0JBQVpBQUFBQlFZRUFCVUFBQUFBQmdJQUFnQUxCaEFBQUFBQUFESUFBQUFyQUFBQUFBQUFBQUFBQllBd0FBQUFCQVlFQUJvQUFBQUZCZ1FBR0FBQUFBQUdBZ0FDQUFzR0VBQUFBQUFBTWdBQUFDNEFBQUFBQUFBQUFBQUZnREVBQUFBRUJnUUFCd0FBQUFVR0JBQUlBQUFBQUFBRmdESUFBQUFFQmdRQUdRQUFBQVVHQkFBYUFBQUFBQUFGZ0RNQUFBQUVCZ1FBRkFBQUFBVUdCQUFUQUFBQUFBWUNBQUlBQ3dZUUFDMEFBQUFxQUFBQUtRQUFBQUFBQUFBQUFBQUFBQUFBQUFBQQ==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QzE3SDE2TjRPMnxDaGVtT2ZmaWNlMVBpY3R1cmUgMjJ8Vm1wRFJEQXhNREFFQXdJQkFBQUFBQUFBQUFBQUFBQ0FBUUFBQUFNQUtnQUFBRU5USUVORVdDQmtjbWwyWlhJZ015NHdJQzhnU25WdUlERTVJREUxT2pNNE9qQXhJREl3TVRJRUFoQUErVWhkLy8vL0hRQUJBT0wvWUxuQ0FBRUpDQUFBQUFBQUFBQUFBQUlKQ0FBQUFBQUFBQUFBQUFVSUJBQUFBQjRBQUFNeUFBZ0EvLy8vLy8vL0FBQUFBQUFBLy84QUFBQUFBQUFBQVAvLy8vLy8vd0FBQUFELy93QUFBQUQvLy8vLy8vOEFBUC8vQVlBQ0FBQUFBNEFEQUFBQUJJQUVBQUFBQUFJSUFIVkxYQUNlL0pBQU93UUJBQUE4QkFFQUFBSUVBZ0FIQURrRUF3QUFBREFBQUFTQUJRQUFBQUFDQ0FCMXJVZ0FudnlRQURzRUFRQUFQQVFCQUFBNUJBTUFBQUF4QUFBRWdBWUFBQUFBQWdnQXk0WlNBRk9lY2dBN0JBRUFBRHdFQVFBQUFnUUNBQWNBT1FRREFBQUFNZ0FBQklBSEFBQUFBQUlJQUV0ellnRGxNSDRBT3dRQkFBQThCQUVBQURrRUF3QUFBRE1BQUFTQUNBQUFBQUFDQ0FCOEFKQUEzS0ZMQURzRUFRQUFQQVFCQUFBNUJBTUFBQUEwQUFBRWdBa0FBQUFBQWdnQW40VkNBT1V3ZmdBN0JBRUFBRHdFQVFBQUFnUUNBQWdBT1FRREFBQUFOUUFBQklBS0FBQUFBQUlJQUlKNWdRQU5WajRBT3dRQkFBQThCQUVBQURrRUF3QUFBRFlBQUFTQUN3QUFBQUFDQ0FEV0tYVUFQUjU0QURzRUFRQUFQQVFCQUFBNUJBTUFBQUEzQUFBRWdBd0FBQUFBQWdnQXhmcUxBSGpXWGdBN0JBRUFBRHdFQVFBQUFnUUNBQWNBT1FRREFBQUFPQUFBQklBTkFBQUFBQUlJQUFlM29nQUdla1VBT3dRQkFBQThCQUVBQUFJRUFnQUlBRGtFQXdBQUFEa0FBQVNBRGdBQUFBQUNDQURpR2owQW5laWdBRHNFQVFBQVBBUUJBQUE1QkFRQUFBQXhNQUFBQklBUEFBQUFBQUlJQURwRWVRQk8vbVFBT3dRQkFBQThCQUVBQURrRUJBQUFBREV4QUFBRWdCQUFBQUFBQWdnQUV1TjJBUC8vSFFBN0JBRUFBRHdFQVFBQUFnUUNBQWNBT1FRRUFBQUFNVElBQUFTQUVRQUFBQUFDQ0FEbWs0VUFjU0VyQURzRUFRQUFQQVFCQUFBNUJBUUFBQUF4TXdBQUJJQVNBQUFBQUFJSUFNcXRiZ0RqZlVRQU93UUJBQUE4QkFFQUFEa0VCQUFBQURFMEFBQUVnQk1BQUFBQUFnZ0E3SmFhQUprTmJBQTdCQUVBQUR3RUFRQUFPUVFFQUFBQU1UVUFBQVNBRkFBQUFBQUNDQUNITEdRQWVmMGpBRHNFQVFBQVBBUUJBQUE1QkFRQUFBQXhOZ0FBQklBVkFBQUFBQUlJQUpHU0tRQit4cDRBT3dRQkFBQThCQUVBQURrRUJBQUFBREUzQUFBRWdCWUFBQUFBQWdnQVVDWkZBQTdpc2dBN0JBRUFBRHdFQVFBQU9RUUVBQUFBTVRnQUFBU0FGd0FBQUFBQ0NBRDIvRjhBY1Z3M0FEc0VBUUFBUEFRQkFBQTVCQVFBQUFBeE9RQUFCSUFZQUFBQUFBSUlBUC8vSFFDcXg2NEFPd1FCQUFBOEJBRUFBRGtFQkFBQUFESXdBQUFFZ0JrQUFBQUFBZ2dBdnBNNUFHQzV3Z0E3QkFFQUFEd0VBUUFBT1FRRUFBQUFNakVBQUFTQUdnQUFBQUFDQ0FDOTlTVUFITUhBQURzRUFRQUFQQVFCQUFBNUJBUUFBQUF5TWdBQUJZQWJBQUFBQkFZRUFBVUFBQUFGQmdRQUJBQUFBQUFHQWdBQ0FBc0dFQUFrQUFBQUh3QUFBQjBBQUFBQUFBQUFBQUFGZ0J3QUFBQUVCZ1FBQmdBQUFBVUdCQUFIQUFBQUFBWUNBQUlBQ3dZUUFBQUFBQUF4QUFBQUhRQUFBQ0VBQUFBQUFBV0FIUUFBQUFRR0JBQUhBQUFBQlFZRUFBUUFBQUFBQUFXQUhnQUFBQVFHQkFBSUFBQUFCUVlFQUF3QUFBQUFBQVdBSHdBQUFBUUdCQUFKQUFBQUJRWUVBQVVBQUFBQUFBV0FJQUFBQUFRR0JBQUtBQUFBQlFZRUFBZ0FBQUFBQUFXQUlRQUFBQVFHQkFBTEFBQUFCUVlFQUFjQUFBQUFBQVdBSWdBQUFBUUdCQUFNQUFBQUJRWUVBQThBQUFBQUFBV0FJd0FBQUFRR0JBQU5BQUFBQlFZRUFBZ0FBQUFBQmdJQUFnQUFBQVdBSkFBQUFBUUdCQUFPQUFBQUJRWUVBQVVBQUFBQUFBV0FKUUFBQUFRR0JBQVBBQUFBQlFZRUFBc0FBQUFBQUFXQUpnQUFBQVFHQkFBUUFBQUFCUVlFQUJFQUFBQUFBQVdBSndBQUFBUUdCQUFSQUFBQUJRWUVBQW9BQUFBQUJnSUFBZ0FMQmhBQUpnQUFBQUFBQUFBZ0FBQUFLQUFBQUFBQUJZQW9BQUFBQkFZRUFCSUFBQUFGQmdRQUNnQUFBQUFBQllBcEFBQUFCQVlFQUJNQUFBQUZCZ1FBREFBQUFBQUFCWUFxQUFBQUJBWUVBQlFBQUFBRkJnUUFGd0FBQUFBQUJZQXJBQUFBQkFZRUFCVUFBQUFGQmdRQURnQUFBQUFBQllBc0FBQUFCQVlFQUJZQUFBQUZCZ1FBRGdBQUFBQUdBZ0FDQUFzR0VBQXZBQUFBQUFBQUFDUUFBQUFyQUFBQUFBQUZnQzBBQUFBRUJnUUFGd0FBQUFVR0JBQVNBQUFBQUFZQ0FBSUFDd1lRQUFBQUFBQXFBQUFBS0FBQUFBQUFBQUFBQUFXQUxnQUFBQVFHQkFBWUFBQUFCUVlFQUJVQUFBQUFCZ0lBQWdBTEJoQUFBQUFBQURJQUFBQXJBQUFBQUFBQUFBQUFCWUF2QUFBQUJBWUVBQmtBQUFBRkJnUUFGZ0FBQUFBQUJZQXdBQUFBQkFZRUFCb0FBQUFGQmdRQUdRQUFBQUFHQWdBQ0FBc0dFQUFBQUFBQU1nQUFBQzhBQUFBQUFBQUFBQUFGZ0RFQUFBQUVCZ1FBQmdBQUFBVUdCQUFKQUFBQUFBQUZnRElBQUFBRUJnUUFHZ0FBQUFVR0JBQVlBQUFBQUFBRmdETUFBQUFFQmdRQUZBQUFBQVVHQkFBUUFBQUFBQVlDQUFJQUN3WVFBQUFBQUFBcUFBQUFKZ0FBQUFBQUFBQUFBQUFBQUFBQUFBQUE=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QzE2SDE0Rk4zTzN8Q2hlbU9mZmljZTFQaWN0dXJlIDMxfFZtcERSREF4TURBRUF3SUJBQUFBQUFBQUFBQUFBQUNBQVFBQUFBTUFLZ0FBQUVOVElFTkVXQ0JrY21sMlpYSWdNeTR3SUM4Z1NuVnVJREU1SURFMU9qTTRPakF5SURJd01USUVBaEFBR1I5ZC93QUFIZ0FBQU9ML3pFcStBQUVKQ0FBQUFBQUFBQUFBQUFJSkNBQUFBQUFBQUFBQUFBVUlCQUFBQUI0QUFBTXlBQWdBLy8vLy8vLy9BQUFBQUFBQS8vOEFBQUFBQUFBQUFQLy8vLy8vL3dBQUFBRC8vd0FBQUFELy8vLy8vLzhBQVAvL0FZQUNBQUFBQTRBREFBQUFCSUFFQUFBQUFBSUlBUGl0U0FDdFk0d0FPd1FCQUFBOEJBRUFBRGtFQXdBQUFEQUFBQVNBQlFBQUFBQUNDQUJUZFZ3QXJXT01BRHNFQVFBQVBBUUJBQUFDQkFJQUJ3QTVCQU1BQUFBeEFBQUVnQVlBQUFBQUFnZ0FaaHM5QUMxUW5BQTdCQUVBQUR3RUFRQUFPUVFEQUFBQU1nQUFCSUFIQUFBQUFBSUlBRStIVWdDT0dtNEFPd1FCQUFBOEJBRUFBQUlFQWdBSEFEa0VBd0FBQURNQUFBU0FDQUFBQUFBQ0NBQjlpR0lBSWExNUFEc0VBUUFBUEFRQkFBQTVCQU1BQUFBMEFBQUVnQWtBQUFBQUFnZ0FJb1pDQUNHdGVRQTdCQUVBQUR3RUFRQUFBZ1FDQUFnQU9RUURBQUFBTlFBQUJJQUtBQUFBQUFJSUFGc3FrQUNQMzBZQU93UUJBQUE4QkFFQUFEa0VBd0FBQURZQUFBU0FDd0FBQUFBQ0NBQmhvNEVBbXIwNUFEc0VBUUFBUEFRQkFBQTVCQU1BQUFBM0FBQUVnQXdBQUFBQUFnZ0F0Vk4xQUo1d2N3QTdCQUVBQUR3RUFRQUFPUVFEQUFBQU9BQUFCSUFOQUFBQUFBSUlBQ1VsakFBckZGb0FPd1FCQUFBOEJBRUFBQUlFQWdBSEFEa0VBd0FBQURrQUFBU0FEZ0FBQUFBQ0NBQ21tNE1BR2lBbUFEc0VBUUFBUEFRQkFBQUNCQUlBQ0FBNUJBUUFBQUF4TUFBQUJJQVBBQUFBQUFJSUFKS1NLUUNOTFpvQU93UUJBQUE4QkFFQUFEa0VCQUFBQURFeEFBQUVnQkFBQUFBQUFnZ0E1K0NpQUxpM1FBQTdCQUVBQUR3RUFRQUFBZ1FDQUFnQU9RUUVBQUFBTVRJQUFBU0FFUUFBQUFBQ0NBQVlXbTRBVWNNOUFEc0VBUUFBUEFRQkFBQTVCQVFBQUFBeE13QUFCSUFTQUFBQUFBSUlBSnB1ZVFBQ1BHQUFPd1FCQUFBOEJBRUFBRGtFQkFBQUFERTBBQUFFZ0JNQUFBQUFBZ2dBTktKeEFBQUFIZ0E3QkFFQUFEd0VBUUFBT1FRRUFBQUFNVFVBQUFTQUZBQUFBQUFDQ0FDVGEyUUFBc1lzQURzRUFRQUFQQVFCQUFBNUJBUUFBQUF4TmdBQUJJQVZBQUFBQUFJSUFLV0hJUUFiTklnQU93UUJBQUE4QkFFQUFBSUVBZ0FKQURrRUJBQUFBREUzQUFBRWdCWUFBQUFBQWdnQVV5WkZBRXhlcmdBN0JBRUFBRHdFQVFBQU9RUUVBQUFBTVRnQUFBU0FGd0FBQUFBQ0NBRE13Sm9BekVwbkFEc0VBUUFBUEFRQkFBQTVCQVFBQUFBeE9RQUFCSUFZQUFBQUFBSUlBQUFBSGdDNkxxb0FPd1FCQUFBOEJBRUFBRGtFQkFBQUFESXdBQUFFZ0JrQUFBQUFBZ2dBd0pNNUFNeEt2Z0E3QkFFQUFEd0VBUUFBT1FRRUFBQUFNakVBQUFTQUdnQUFBQUFDQ0FCQTlpVUFMQ2k4QURzRUFRQUFQQVFCQUFBNUJBUUFBQUF5TWdBQUJZQWJBQUFBQkFZRUFBVUFBQUFGQmdRQUJBQUFBQUFHQWdBQ0FBc0dFQUFlQUFBQUFBQUFBQndBQUFBZkFBQUFBQUFGZ0J3QUFBQUVCZ1FBQmdBQUFBVUdCQUFFQUFBQUFBQUZnQjBBQUFBRUJnUUFCd0FBQUFVR0JBQUpBQUFBQUFBRmdCNEFBQUFFQmdRQUNBQUFBQVVHQkFBRkFBQUFBQUFGZ0I4QUFBQUVCZ1FBQ1FBQUFBVUdCQUFFQUFBQUFBQUZnQ0FBQUFBRUJnUUFDZ0FBQUFVR0JBQU5BQUFBQUFBRmdDRUFBQUFFQmdRQUN3QUFBQVVHQkFBS0FBQUFBQUFGZ0NJQUFBQUVCZ1FBREFBQUFBVUdCQUFJQUFBQUFBQUZnQ01BQUFBRUJnUUFEUUFBQUFVR0JBQVNBQUFBQUFBRmdDUUFBQUFFQmdRQURnQUFBQVVHQkFBTEFBQUFBQUFGZ0NVQUFBQUVCZ1FBRHdBQUFBVUdCQUFHQUFBQUFBQUZnQ1lBQUFBRUJnUUFFQUFBQUFVR0JBQUtBQUFBQUFZQ0FBSUFBQUFGZ0NjQUFBQUVCZ1FBRVFBQUFBVUdCQUFMQUFBQUFBWUNBQUlBQ3dZUUFDb0FBQUFBQUFBQUlRQUFBQ1FBQUFBQUFBV0FLQUFBQUFRR0JBQVNBQUFBQlFZRUFBd0FBQUFBQUFXQUtRQUFBQVFHQkFBVEFBQUFCUVlFQUE0QUFBQUFBQVdBS2dBQUFBUUdCQUFVQUFBQUJRWUVBQkVBQUFBQUFBV0FLd0FBQUFRR0JBQVZBQUFBQlFZRUFBOEFBQUFBQUFXQUxBQUFBQVFHQkFBV0FBQUFCUVlFQUFZQUFBQUFCZ0lBQWdBTEJoQUFMd0FBQUFBQUFBQWNBQUFBSlFBQUFBQUFCWUF0QUFBQUJBWUVBQmNBQUFBRkJnUUFEUUFBQUFBQUJZQXVBQUFBQkFZRUFCZ0FBQUFGQmdRQUR3QUFBQUFHQWdBQ0FBc0dFQUFBQUFBQU1nQUFBQ1VBQUFBckFBQUFBQUFGZ0M4QUFBQUVCZ1FBR1FBQUFBVUdCQUFXQUFBQUFBQUZnREFBQUFBRUJnUUFHZ0FBQUFVR0JBQVpBQUFBQUFZQ0FBSUFDd1lRQUFBQUFBQXlBQUFBTHdBQUFBQUFBQUFBQUFXQU1RQUFBQVFHQkFBSUFBQUFCUVlFQUFjQUFBQUFCZ0lBQWdBTEJoQUFJZ0FBQUI0QUFBQWRBQUFBQUFBQUFBQUFCWUF5QUFBQUJBWUVBQm9BQUFBRkJnUUFHQUFBQUFBQUJZQXpBQUFBQkFZRUFCTUFBQUFGQmdRQUZBQUFBQUFHQWdBQ0FBc0dFQUFBQUFBQUtRQUFBQ29BQUFBQUFBQUFBQUFBQUFBQUFBQUFBQT09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QzE3SDE3TjNPMlN8Q2hlbU9mZmljZTFQaWN0dXJlIDUxfFZtcERSREF4TURBRUF3SUJBQUFBQUFBQUFBQUFBQUNBQVFBQUFBTUFLZ0FBQUVOVElFTkVXQ0JrY21sMlpYSWdNeTR3SUM4Z1NuVnVJREU1SURFMU9qTTRPakF5SURJd01USUVBaEFBL25TSS93QUFIZ0FCQU9ML1c5dlBBQUVKQ0FBQUFBQUFBQUFBQUFJSkNBQUFBQUFBQUFBQUFBVUlCQUFBQUI0QUFBTXlBQWdBLy8vLy8vLy9BQUFBQUFBQS8vOEFBQUFBQUFBQUFQLy8vLy8vL3dBQUFBRC8vd0FBQUFELy8vLy8vLzhBQVAvL0FZQUNBQUFBQTRBREFBQUFCSUFFQUFBQUFBSUlBRzVhUFFDaXJYa0FPd1FCQUFBOEJBRUFBQUlFQWdBSEFEa0VBd0FBQURBQUFBU0FCUUFBQUFBQ0NBQmJaVVVBRktlTEFEc0VBUUFBUEFRQkFBQTVCQU1BQUFBeEFBQUVnQVlBQUFBQUFnZ0FiVEpkQUFWbGRnQTdCQUVBQUR3RUFRQUFBZ1FDQUFjQU9RUURBQUFBTWdBQUJJQUhBQUFBQUFJSUFFTUxUQUFCZDJ3QU93UUJBQUE4QkFFQUFEa0VBd0FBQURNQUFBU0FDQUFBQUFBQ0NBQnM0MFVBcmJJeEFEc0VBUUFBUEFRQkFBQTVCQU1BQUFBMEFBQUVnQWtBQUFBQUFnZ0Eyd0paQU5DdWlRQTdCQUVBQUR3RUFRQUFBZ1FDQUFnQU9RUURBQUFBTlFBQUJJQUtBQUFBQUFJSUFON2NWd0FidmprQU93UUJBQUE4QkFFQUFEa0VBd0FBQURZQUFBU0FDd0FBQUFBQ0NBQUVqRHNBUHM2Y0FEc0VBUUFBUEFRQkFBQTVCQU1BQUFBM0FBQUVnQXdBQUFBQUFnZ0FDQVJwQU1Ya0x3QTdCQUVBQUR3RUFRQUFBZ1FDQUJBQU9RUURBQUFBT0FBQUJJQU5BQUFBQUFJSUFDUHBTUUFBMlZnQU93UUJBQUE4QkFFQUFEa0VBd0FBQURrQUFBU0FEZ0FBQUFBQ0NBQS80alVBUUVVOUFEc0VBUUFBUEFRQkFBQUNCQUlBQndBNUJBUUFBQUF4TUFBQUJJQVBBQUFBQUFJSUFFM0JRd0FBQUI0QU93UUJBQUE4QkFFQUFBSUVBZ0FJQURrRUJBQUFBREV4QUFBRWdCQUFBQUFBQWdnQVF2ZGJBR1VIVFFBN0JBRUFBRHdFQVFBQU9RUUVBQUFBTVRJQUFBU0FFUUFBQUFBQ0NBQ3k3emNBUWVOUUFEc0VBUUFBUEFRQkFBQTVCQVFBQUFBeE13QUFCSUFTQUFBQUFBSUlBQUtMZHdBNEJqMEFPd1FCQUFBOEJBRUFBRGtFQkFBQUFERTBBQUFFZ0JNQUFBQUFBZ2dBVzJWRkFMemdyUUE3QkFFQUFEd0VBUUFBT1FRRUFBQUFNVFVBQUFTQUZBQUFBQUFDQ0FCRGxXOEFxZjlPQURzRUFRQUFQQVFCQUFBNUJBUUFBQUF4TmdBQUJJQVZBQUFBQUFJSUFBU01Pd0FMM3I0QU93UUJBQUE4QkFFQUFEa0VCQUFBQURFM0FBQUVnQllBQUFBQUFnZ0FWdGtuQUQ3T25BQTdCQUVBQUR3RUFRQUFPUVFFQUFBQU1UZ0FBQVNBRndBQUFBQUNDQUQvL3gwQXZPQ3RBRHNFQVFBQVBBUUJBQUE1QkFRQUFBQXhPUUFBQklBWUFBQUFBQUlJQU0zb0l3Q0JUelVBT3dRQkFBQThCQUVBQURrRUJBQUFBREl3QUFBRWdCa0FBQUFBQWdnQVZ0a25BQXZldmdBN0JBRUFBRHdFQVFBQU9RUUVBQUFBTWpFQUFBU0FHZ0FBQUFBQ0NBQmJaVVVBVzl2UEFEc0VBUUFBUEFRQkFBQTVCQVFBQUFBeU1nQUFCWUFiQUFBQUJBWUVBQVVBQUFBRkJnUUFCQUFBQUFBR0FnQUNBQXNHRUFBaEFBQUFId0FBQUIwQUFBQUFBQUFBQUFBRmdCd0FBQUFFQmdRQUJnQUFBQVVHQkFBSEFBQUFBQVlDQUFJQUN3WVFBQUFBQUFBeEFBQUFIUUFBQUNNQUFBQUFBQVdBSFFBQUFBUUdCQUFIQUFBQUJRWUVBQVFBQUFBQUFBV0FIZ0FBQUFRR0JBQUlBQUFBQlFZRUFBNEFBQUFBQUFXQUh3QUFBQVFHQkFBSkFBQUFCUVlFQUFVQUFBQUFBQVdBSUFBQUFBUUdCQUFLQUFBQUJRWUVBQWdBQUFBQUFBV0FJUUFBQUFRR0JBQUxBQUFBQlFZRUFBVUFBQUFBQUFXQUlnQUFBQVFHQkFBTUFBQUFCUVlFQUFvQUFBQUFBQVdBSXdBQUFBUUdCQUFOQUFBQUJRWUVBQWNBQUFBQUFBV0FKQUFBQUFRR0JBQU9BQUFBQlFZRUFCRUFBQUFBQUFXQUpRQUFBQVFHQkFBUEFBQUFCUVlFQUFnQUFBQUFCZ0lBQWdBQUFBV0FKZ0FBQUFRR0JBQVFBQUFBQlFZRUFBb0FBQUFBQmdJQUFnQUxCaEFBS2dBQUFBQUFBQUFnQUFBQUlnQUFBQUFBQllBbkFBQUFCQVlFQUJFQUFBQUZCZ1FBRFFBQUFBQUFCWUFvQUFBQUJBWUVBQklBQUFBRkJnUUFEQUFBQUFBQUJZQXBBQUFBQkFZRUFCTUFBQUFGQmdRQUN3QUFBQUFBQllBcUFBQUFCQVlFQUJRQUFBQUZCZ1FBRUFBQUFBQUFCWUFyQUFBQUJBWUVBQlVBQUFBRkJnUUFFd0FBQUFBR0FnQUNBQXNHRUFBd0FBQUFNZ0FBQUNrQUFBQUFBQUFBQUFBRmdDd0FBQUFFQmdRQUZnQUFBQVVHQkFBTEFBQUFBQVlDQUFJQUN3WVFBQzBBQUFBQUFBQUFJUUFBQUNrQUFBQUFBQVdBTFFBQUFBUUdCQUFYQUFBQUJRWUVBQllBQUFBQUFBV0FMZ0FBQUFRR0JBQVlBQUFBQlFZRUFBNEFBQUFBQUFXQUx3QUFBQVFHQkFBWkFBQUFCUVlFQUJjQUFBQUFCZ0lBQWdBTEJoQUFBQUFBQURJQUFBQXRBQUFBQUFBQUFBQUFCWUF3QUFBQUJBWUVBQm9BQUFBRkJnUUFGUUFBQUFBQUJZQXhBQUFBQkFZRUFBWUFBQUFGQmdRQUNRQUFBQUFBQllBeUFBQUFCQVlFQUJrQUFBQUZCZ1FBRlFBQUFBQUFCWUF6QUFBQUJBWUVBQlFBQUFBRkJnUUFFZ0FBQUFBR0FnQUNBQXNHRUFBQUFBQUFLZ0FBQUNnQUFBQUFBQUFBQUFBQUFBQUFBQUFBQUE9PQ==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QzE4SDE1Q2xGTjNPMnxDaGVtT2ZmaWNlMVBpY3R1cmUgMTI3fFZtcERSREF4TURBRUF3SUJBQUFBQUFBQUFBQUFBQUNBQVFBQUFBTUFLZ0FBQUVOVElFTkVXQ0JrY21sMlpYSWdNeTR3SUM4Z1NuVnVJREU1SURFMU9qTTRPakEySURJd01USUVBaEFBeEVhSi93QUFIZ0FCQU9ML1c5dlBBQUVKQ0FBQUFBQUFBQUFBQUFJSkNBQUFBQUFBQUFBQUFBVUlCQUFBQUI0QUFBTXlBQWdBLy8vLy8vLy9BQUFBQUFBQS8vOEFBQUFBQUFBQUFQLy8vLy8vL3dBQUFBRC8vd0FBQUFELy8vLy8vLzhBQVAvL0FZQUNBQUFBQTRBREFBQUFCSUFFQUFBQUFBSUlBRW9pVVFDaXJYa0FPd1FCQUFBOEJBRUFBQUlFQWdBSEFEa0VBd0FBQURBQUFBU0FCUUFBQUFBQ0NBQkVxVjhBQVhkc0FEc0VBUUFBUEFRQkFBQTVCQU1BQUFBeEFBQUVnQVlBQUFBQUFnZ0FDclpzQU5DdWlRQTdCQUVBQUR3RUFRQUFBZ1FDQUFjQU9RUURBQUFBTWdBQUJJQUhBQUFBQUFJSUFEY3RXUUFVcDRzQU93UUJBQUE4QkFFQUFEa0VBd0FBQURNQUFBU0FDQUFBQUFBQ0NBQUVqRHNBQzk2K0FEc0VBUUFBUEFRQkFBQTVCQU1BQUFBMEFBQUVnQWtBQUFBQUFnZ0FidEJ3QUFWbGRnQTdCQUVBQUR3RUFRQUFBZ1FDQUFnQU9RUURBQUFBTlFBQUJJQUtBQUFBQUFJSUFPQlRUd0FMM3I0QU93UUJBQUE4QkFFQUFEa0VBd0FBQURZQUFBU0FDd0FBQUFBQ0NBRGdVMDhBUHM2Y0FEc0VBUUFBUEFRQkFBQTVCQU1BQUFBM0FBQUVnQXdBQUFBQUFnZ0FyYkl4QUx6Z3JRQTdCQUVBQUR3RUFRQUFBZ1FDQUFjQU9RUURBQUFBT0FBQUJJQU5BQUFBQUFJSUFQK3dYUUFBMlZnQU93UUJBQUE4QkFFQUFEa0VBd0FBQURrQUFBU0FEZ0FBQUFBQ0NBQ3RzakVBVzl2UEFEc0VBUUFBUEFRQkFBQUNCQUlBQ0FBNUJBUUFBQUF4TUFBQUJJQVBBQUFBQUFJSUFEY3RXUUM4NEswQU93UUJBQUE4QkFFQUFEa0VCQUFBQURFeEFBQUVnQkFBQUFBQUFnZ0FCSXc3QUQ3T25BQTdCQUVBQUR3RUFRQUFPUVFFQUFBQU1USUFBQVNBRVFBQUFBQUNDQUQrbkcwQWJVWk5BRHNFQVFBQVBBUUJBQUE1QkFRQUFBQXhNd0FBQklBU0FBQUFBQUlJQUkyM1N3QkI0MUFBT3dRQkFBQThCQUVBQURrRUJBQUFBREUwQUFBRWdCTUFBQUFBQWdnQTVkOXNBTHpnclFBN0JBRUFBRHdFQVFBQU9RUUVBQUFBTVRVQUFBU0FGQUFBQUFBQ0NBQnRnVmtBcmJJeEFEc0VBUUFBUEFRQkFBQTVCQVFBQUFBeE5nQUFCSUFWQUFBQUFBSUlBTjk2YXdBYnZqa0FPd1FCQUFBOEJBRUFBRGtFQkFBQUFERTNBQUFFZ0JZQUFBQUFBZ2dBRzZwSkFFQkZQUUE3QkFFQUFEd0VBUUFBT1FRRUFBQUFNVGdBQUFTQUZ3QUFBQUFDQ0FBOHVYWUFQczZjQURzRUFRQUFQQVFCQUFBQ0JBSUFFUUE1QkFRQUFBQXhPUUFBQklBWUFBQUFBQUlJQUNtSlZ3QUFBQjRBT3dRQkFBQThCQUVBQUFJRUFnQUpBRGtFQkFBQUFESXdBQUFFZ0JrQUFBQUFBZ2dBTnkxWkFGdmJ6d0E3QkFFQUFEd0VBUUFBT1FRRUFBQUFNakVBQUFTQUdnQUFBQUFDQ0FEbDMyd0FXOXZQQURzRUFRQUFQQVFCQUFBNUJBUUFBQUF5TWdBQUJJQWJBQUFBQUFJSUFQLy9IUUM4NEswQU93UUJBQUE4QkFFQUFEa0VCQUFBQURJekFBQUVnQndBQUFBQUFnZ0FQTGwyQUF2ZXZnQTdCQUVBQUR3RUFRQUFPUVFFQUFBQU1qUUFBQVdBSFFBQUFBUUdCQUFGQUFBQUJRWUVBQVFBQUFBQUJnSUFBZ0FMQmhBQUpRQUFBQ0VBQUFBZkFBQUFBQUFBQUFBQUJZQWVBQUFBQkFZRUFBWUFBQUFGQmdRQUJ3QUFBQUFHQWdBQ0FBc0dFQUFBQUFBQU5RQUFBQjhBQUFBakFBQUFBQUFGZ0I4QUFBQUVCZ1FBQndBQUFBVUdCQUFFQUFBQUFBQUZnQ0FBQUFBRUJnUUFDQUFBQUFVR0JBQU1BQUFBQUFBRmdDRUFBQUFFQmdRQUNRQUFBQVVHQkFBRkFBQUFBQUFGZ0NJQUFBQUVCZ1FBQ2dBQUFBVUdCQUFJQUFBQUFBQUZnQ01BQUFBRUJnUUFDd0FBQUFVR0JBQUhBQUFBQUFBRmdDUUFBQUFFQmdRQURBQUFBQVVHQkFBUUFBQUFBQUFGZ0NVQUFBQUVCZ1FBRFFBQUFBVUdCQUFGQUFBQUFBQUZnQ1lBQUFBRUJnUUFEZ0FBQUFVR0JBQUlBQUFBQUFZQ0FBSUFBQUFGZ0NjQUFBQUVCZ1FBRHdBQUFBVUdCQUFLQUFBQUFBWUNBQUlBQ3dZUUFDc0FBQUFBQUFBQUlnQUFBREVBQUFBQUFBV0FLQUFBQUFRR0JBQVFBQUFBQlFZRUFBc0FBQUFBQUFXQUtRQUFBQVFHQkFBUkFBQUFCUVlFQUEwQUFBQUFCZ0lBQWdBTEJoQUFMUUFBQUFBQUFBQWxBQUFBS2dBQUFBQUFCWUFxQUFBQUJBWUVBQklBQUFBRkJnUUFEUUFBQUFBQUJZQXJBQUFBQkFZRUFCTUFBQUFGQmdRQUR3QUFBQUFBQllBc0FBQUFCQVlFQUJRQUFBQUZCZ1FBRmdBQUFBQUFCWUF0QUFBQUJBWUVBQlVBQUFBRkJnUUFFUUFBQUFBQUJZQXVBQUFBQkFZRUFCWUFBQUFGQmdRQUVnQUFBQUFHQWdBQ0FBc0dFQUFBQUFBQUxBQUFBQ29BQUFBQUFBQUFBQUFGZ0M4QUFBQUVCZ1FBRndBQUFBVUdCQUFUQUFBQUFBQUZnREFBQUFBRUJnUUFHQUFBQUFVR0JBQVVBQUFBQUFBRmdERUFBQUFFQmdRQUdRQUFBQVVHQkFBS0FBQUFBQUFGZ0RJQUFBQUVCZ1FBR2dBQUFBVUdCQUFaQUFBQUFBWUNBQUlBQ3dZUUFBQUFBQUEwQUFBQU1RQUFBQUFBQUFBQUFBV0FNd0FBQUFRR0JBQWJBQUFBQlFZRUFBd0FBQUFBQUFXQU5BQUFBQVFHQkFBY0FBQUFCUVlFQUJvQUFBQUFBQVdBTlFBQUFBUUdCQUFHQUFBQUJRWUVBQWtBQUFBQUFBV0FOZ0FBQUFRR0JBQVZBQUFBQlFZRUFCUUFBQUFBQmdJQUFnQUxCaEFBQUFBQUFDMEFBQUFzQUFBQU1BQUFBQUFBQllBM0FBQUFCQVlFQUJ3QUFBQUZCZ1FBRXdBQUFBQUdBZ0FDQUFzR0VBQUFBQUFBTkFBQUFDc0FBQUF2QUFBQUFBQUFBQUFBQUFBQUFBPT0=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QzIwSDI1TjNPMlN8Q2hlbU9mZmljZTFQaWN0dXJlIDE1N3xWbXBEUkRBeE1EQUVBd0lCQUFBQUFBQUFBQUFBQUFDQUFRQUFBQU1BS2dBQUFFTlRJRU5FV0NCa2NtbDJaWElnTXk0d0lDOGdTblZ1SURFNUlERTFPak00T2pBNElESXdNVElFQWhBQVkyZ1ovd0FBSGdBQkFPTC9nckt1QUFFSkNBQUFBQUFBQUFBQUFBSUpDQUFBQUFBQUFBQUFBQVVJQkFBQUFCNEFBQU15QUFnQS8vLy8vLy8vQUFBQUFBQUEvLzhBQUFBQUFBQUFBUC8vLy8vLy93QUFBQUQvL3dBQUFBRC8vLy8vLy84QUFQLy9BWUFDQUFBQUE0QURBQUFBQklBRUFBQUFBQUlJQUE4YmJnQk9KRXNBT3dRQkFBQThCQUVBQUFJRUFnQUhBRGtFQXdBQUFEQUFBQVNBQlFBQUFBQUNDQUJtOUhjQWRheHBBRHNFQVFBQVBBUUJBQUE1QkFNQUFBQXhBQUFFZ0FZQUFBQUFBZ2dBNGhsZUFPRzJWZ0E3QkFFQUFEd0VBUUFBT1FRREFBQUFNZ0FBQklBSEFBQUFBQUlJQUxsQlpBQjFyR2tBT3dRQkFBQThCQUVBQUFJRUFnQVFBRGtFQXdBQUFETUFBQVNBQ0FBQUFBQUNDQUE5SEg0QTRiWldBRHNFQVFBQVBBUUJBQUE1QkFNQUFBQTBBQUFFZ0FrQUFBQUFBZ2dBeHBhbEFJemVnZ0E3QkFFQUFEd0VBUUFBT1FRREFBQUFOUUFBQklBS0FBQUFBQUlJQUFDS21BQ0tHSFFBT3dRQkFBQThCQUVBQUFJRUFnQUhBRGtFQXdBQUFEWUFBQVNBQ3dBQUFBQUNDQUExUUlVQUhFaDRBRHNFQVFBQVBBUUJBQUE1QkFNQUFBQTNBQUFFZ0F3QUFBQUFBZ2dBUHZXNEFQdXVmZ0E3QkFFQUFEd0VBUUFBQWdRQ0FBY0FPUVFEQUFBQU9BQUFCSUFOQUFBQUFBSUlBRmRqU3dEbHVGQUFPd1FCQUFBOEJBRUFBRGtFQXdBQUFEa0FBQVNBRGdBQUFBQUNDQUFIWnBFQVdNWlNBRHNFQVFBQVBBUUJBQUE1QkFRQUFBQXhNQUFBQklBUEFBQUFBQUlJQUtpY25nQlNUV0VBT3dRQkFBQThCQUVBQURrRUJBQUFBREV4QUFBRWdCQUFBQUFBQWdnQXk1aWZBQmlWbFFBN0JBRUFBRHdFQVFBQUFnUUNBQWdBT1FRRUFBQUFNVElBQUFTQUVRQUFBQUFDQ0FDZ1hVY0FTWVE5QURzRUFRQUFQQVFCQUFBNUJBUUFBQUF4TXdBQUJJQVNBQUFBQUFJSUFCU25OQUJ5WERjQU93UUJBQUE4QkFFQUFEa0VCQUFBQURFMEFBQUVnQk1BQUFBQUFnZ0FNaGZHQUZCZ2pRQTdCQUVBQUR3RUFRQUFPUVFFQUFBQU1UVUFBQVNBRkFBQUFBQUNDQUNMdGpBQTFpY2tBRHNFQVFBQVBBUUJBQUFDQkFJQUNBQTVCQVFBQUFBeE5nQUFCSUFWQUFBQUFBSUlBRjNjUEFEYTJsMEFPd1FCQUFBOEJBRUFBRGtFQkFBQUFERTNBQUFFZ0JZQUFBQUFBZ2dBckU4cUFON2NWd0E3QkFFQUFEd0VBUUFBT1FRRUFBQUFNVGdBQUFTQUZ3QUFBQUFDQ0FBalh5WUFaMzVFQURzRUFRQUFQQVFCQUFBNUJBUUFBQUF4T1FBQUJJQVlBQUFBQUFJSUFQLy9IUUFBQUI0QU93UUJBQUE4QkFFQUFEa0VCQUFBQURJd0FBQUVnQmtBQUFBQUFnZ0FOaG5BQU53V29BQTdCQUVBQUR3RUFRQUFPUVFFQUFBQU1qRUFBQVNBR2dBQUFBQUNDQUNwZGRrQWEwV0pBRHNFQVFBQVBBUUJBQUE1QkFRQUFBQXlNZ0FBQklBYkFBQUFBQUlJQUNvN3pRQ0NzcTRBT3dRQkFBQThCQUVBQURrRUJBQUFBREl6QUFBRWdCd0FBQUFBQWdnQW5aZm1BR1hNbHdBN0JBRUFBRHdFQVFBQU9RUUVBQUFBTWpRQUFBU0FIUUFBQUFBQ0NBREhiK0FBVEsycUFEc0VBUUFBUEFRQkFBQTVCQVFBQUFBeU5RQUFCWUFlQUFBQUJBWUVBQVVBQUFBRkJnUUFDQUFBQUFBR0FnQUNBQXNHRUFBa0FBQUFOd0FBQUNFQUFBQW5BQUFBQUFBRmdCOEFBQUFFQmdRQUJnQUFBQVVHQkFBRUFBQUFBQVlDQUFJQUN3WVFBQ1lBQUFBZ0FBQUFJUUFBQUFBQUFBQUFBQVdBSUFBQUFBUUdCQUFIQUFBQUJRWUVBQVlBQUFBQUFBV0FJUUFBQUFRR0JBQUlBQUFBQlFZRUFBUUFBQUFBQUFXQUlnQUFBQVFHQkFBSkFBQUFCUVlFQUFvQUFBQUFBQVdBSXdBQUFBUUdCQUFLQUFBQUJRWUVBQThBQUFBQUFBV0FKQUFBQUFRR0JBQUxBQUFBQlFZRUFBVUFBQUFBQUFXQUpRQUFBQVFHQkFBTUFBQUFCUVlFQUFrQUFBQUFBQVdBSmdBQUFBUUdCQUFOQUFBQUJRWUVBQVlBQUFBQUFBV0FKd0FBQUFRR0JBQU9BQUFBQlFZRUFBZ0FBQUFBQUFXQUtBQUFBQVFHQkFBUEFBQUFCUVlFQUE0QUFBQUFBQVdBS1FBQUFBUUdCQUFRQUFBQUJRWUVBQWtBQUFBQUJnSUFBZ0FBQUFXQUtnQUFBQVFHQkFBUkFBQUFCUVlFQUEwQUFBQUFCZ0lBQWdBTEJoQUFLd0FBQUFBQUFBQW1BQUFBTGdBQUFBQUFCWUFyQUFBQUJBWUVBQklBQUFBRkJnUUFFUUFBQUFBQUJZQXNBQUFBQkFZRUFCTUFBQUFGQmdRQURBQUFBQUFBQllBdEFBQUFCQVlFQUJRQUFBQUZCZ1FBRWdBQUFBQUFCWUF1QUFBQUJBWUVBQlVBQUFBRkJnUUFEUUFBQUFBQUJZQXZBQUFBQkFZRUFCWUFBQUFGQmdRQUZRQUFBQUFHQWdBQ0FBc0dFQUFBQUFBQU1BQUFBQzRBQUFBQUFBQUFBQUFGZ0RBQUFBQUVCZ1FBRndBQUFBVUdCQUFXQUFBQUFBQUZnREVBQUFBRUJnUUFHQUFBQUFVR0JBQVVBQUFBQUFBRmdESUFBQUFFQmdRQUdRQUFBQVVHQkFBVEFBQUFBQUFGZ0RNQUFBQUVCZ1FBR2dBQUFBVUdCQUFUQUFBQUFBQUZnRFFBQUFBRUJnUUFHd0FBQUFVR0JBQVpBQUFBQUFBRmdEVUFBQUFFQmdRQUhBQUFBQVVHQkFBYUFBQUFBQUFGZ0RZQUFBQUVCZ1FBSFFBQUFBVUdCQUFjQUFBQUFBQUZnRGNBQUFBRUJnUUFCUUFBQUFVR0JBQUhBQUFBQUFBRmdEZ0FBQUFFQmdRQUNnQUFBQVVHQkFBTEFBQUFBQUFGZ0RrQUFBQUVCZ1FBRWdBQUFBVUdCQUFYQUFBQUFBWUNBQUlBQ3dZUUFDMEFBQUFyQUFBQU1BQUFBQUFBQUFBQUFBV0FPZ0FBQUFRR0JBQWRBQUFBQlFZRUFCc0FBQUFBQUFBQUFBQUFBQUFB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QzIxSDIwQ2xOM09TfENoZW1PZmZpY2UxUGljdHVyZSAyMzB8Vm1wRFJEQXhNREFFQXdJQkFBQUFBQUFBQUFBQUFBQ0FBUUFBQUFNQUtnQUFBRU5USUVORVdDQmtjbWwyWlhJZ015NHdJQzhnU25WdUlERTVJREUxT2pNNE9qRXhJREl3TVRJRUFoQUErYTBIL3dBQUhnQUJBT0wvcGNLZkFBRUpDQUFBQUFBQUFBQUFBQUlKQ0FBQUFBQUFBQUFBQUFVSUJBQUFBQjRBQUFNeUFBZ0EvLy8vLy8vL0FBQUFBQUFBLy84QUFBQUFBQUFBQVAvLy8vLy8vd0FBQUFELy93QUFBQUQvLy8vLy8vOEFBUC8vQVlBQ0FBQUFBNEFEQUFBQUJJQUVBQUFBQUFJSUFJQ3hlQUNJM0RFQU93UUJBQUE4QkFFQUFBSUVBZ0FIQURrRUF3QUFBREFBQUFTQUJRQUFBQUFDQ0FEWGlvSUFwaVZRQURzRUFRQUFQQVFCQUFBNUJBTUFBQUF4QUFBRWdBWUFBQUFBQWdnQVU3Qm9BQnR2UFFBN0JBRUFBRHdFQVFBQU9RUURBQUFBTWdBQUJJQUhBQUFBQUFJSUFDblliZ0NtSlZBQU93UUJBQUE4QkFFQUFBSUVBZ0FRQURrRUF3QUFBRE1BQUFTQUNBQUFBQUFDQ0FBUlY3QUFQMWhwQURzRUFRQUFQQVFCQUFBNUJBTUFBQUEwQUFBRWdBa0FBQUFBQWdnQXJiS0lBQnR2UFFBN0JBRUFBRHdFQVFBQU9RUURBQUFBTlFBQUJJQUtBQUFBQUFJSUFIQWdvd0E4a2xvQU93UUJBQUE4QkFFQUFBSUVBZ0FIQURrRUF3QUFBRFlBQUFTQUN3QUFBQUFDQ0FDdWk4TUFyU2hsQURzRUFRQUFQQVFCQUFBQ0JBSUFCd0E1QkFNQUFBQTNBQUFFZ0F3QUFBQUFBZ2dBcHRhUEFNN0JYZ0E3QkFFQUFEd0VBUUFBT1FRREFBQUFPQUFBQklBTkFBQUFBQUlJQUtLdDBBQ0IyWE1BT3dRQkFBQThCQUVBQURrRUF3QUFBRGtBQUFTQURnQUFBQUFDQ0FCNC9Kc0F0MVE1QURzRUFRQUFQQVFCQUFBNUJBUUFBQUF4TUFBQUJJQVBBQUFBQUFJSUFEL2k0d0FldjI4QU93UUJBQUE4QkFFQUFEa0VCQUFBQURFeEFBQUVnQkFBQUFBQUFnZ0F4L2xWQUhKY053QTdCQUVBQUR3RUFRQUFPUVFFQUFBQU1USUFBQVNBRVFBQUFBQUNDQUFaTTZrQXNkdEhBRHNFQVFBQVBBUUJBQUE1QkFRQUFBQXhNd0FBQklBU0FBQUFBQUlJQURzdnFnREtEbndBT3dRQkFBQThCQUVBQUFJRUFnQUlBRGtFQkFBQUFERTBBQUFFZ0JNQUFBQUFBZ2dBRGk3eEFQSnZmZ0E3QkFFQUFEd0VBUUFBT1FRRUFBQUFNVFVBQUFTQUZBQUFBQUFDQ0FDbnI4b0FPNldHQURzRUFRQUFQQVFCQUFBNUJBUUFBQUF4TmdBQUJJQVZBQUFBQUFJSUFCRDBVUUNvRWlRQU93UUJBQUE4QkFFQUFEa0VCQUFBQURFM0FBQUVnQllBQUFBQUFnZ0F6bkpIQURscFJBQTdCQUVBQUR3RUFRQUFPUVFFQUFBQU1UZ0FBQVNBRndBQUFBQUNDQUFWQ3VvQWtnaGRBRHNFQVFBQVBBUUJBQUFDQkFJQUVRQTVCQVFBQUFBeE9RQUFCSUFZQUFBQUFBSUlBRGdHNndCK0pwRUFPd1FCQUFBOEJBRUFBRGtFQkFBQUFESXdBQUFFZ0JrQUFBQUFBZ2dBbTlIWEFEVXNsUUE3QkFFQUFEd0VBUUFBT1FRRUFBQUFNakVBQUFTQUdnQUFBQUFDQ0FDcUV6OEFBQUFlQURzRUFRQUFQQVFCQUFBNUJBUUFBQUF5TWdBQUJJQWJBQUFBQUFJSUFCM21OQUE5YXo0QU93UUJBQUE4QkFFQUFEa0VCQUFBQURJekFBQUVnQndBQUFBQUFnZ0F1Y3N3QU1ZTUt3QTdCQUVBQUR3RUFRQUFPUVFFQUFBQU1qUUFBQVNBSFFBQUFBQUNDQUFIVXZnQXBjS2ZBRHNFQVFBQVBBUUJBQUE1QkFRQUFBQXlOUUFBQklBZUFBQUFBQUlJQVAvL0hRREtEaVVBT3dRQkFBQThCQUVBQURrRUJBQUFBREkyQUFBRmdCOEFBQUFFQmdRQUJRQUFBQVVHQkFBSkFBQUFBQVlDQUFJQUN3WVFBQ1lBQUFBNUFBQUFJd0FBQUNnQUFBQUFBQVdBSUFBQUFBUUdCQUFHQUFBQUJRWUVBQVFBQUFBQUJnSUFBZ0FMQmhBQUtnQUFBQ0VBQUFBakFBQUFBQUFBQUFBQUJZQWhBQUFBQkFZRUFBY0FBQUFGQmdRQUJnQUFBQUFBQllBaUFBQUFCQVlFQUFnQUFBQUZCZ1FBQ2dBQUFBQUFCWUFqQUFBQUJBWUVBQWtBQUFBRkJnUUFCQUFBQUFBQUJZQWtBQUFBQkFZRUFBb0FBQUFGQmdRQUVRQUFBQUFBQllBbEFBQUFCQVlFQUFzQUFBQUZCZ1FBQ0FBQUFBQUFCWUFtQUFBQUJBWUVBQXdBQUFBRkJnUUFCUUFBQUFBQUJZQW5BQUFBQkFZRUFBMEFBQUFGQmdRQUN3QUFBQUFBQllBb0FBQUFCQVlFQUE0QUFBQUZCZ1FBQ1FBQUFBQUFCWUFwQUFBQUJBWUVBQThBQUFBRkJnUUFEUUFBQUFBQUJZQXFBQUFBQkFZRUFCQUFBQUFGQmdRQUJnQUFBQUFBQllBckFBQUFCQVlFQUJFQUFBQUZCZ1FBRGdBQUFBQUFCWUFzQUFBQUJBWUVBQklBQUFBRkJnUUFDQUFBQUFBR0FnQUNBQUFBQllBdEFBQUFCQVlFQUJNQUFBQUZCZ1FBRHdBQUFBQUdBZ0FDQUFzR0VBQUFBQUFBUEFBQUFDa0FBQUF4QUFBQUFBQUZnQzRBQUFBRUJnUUFGQUFBQUFVR0JBQU5BQUFBQUFZQ0FBSUFDd1lRQURNQUFBQUFBQUFBSndBQUFDa0FBQUFBQUFXQUx3QUFBQVFHQkFBVkFBQUFCUVlFQUJBQUFBQUFCZ0lBQWdBTEJoQUFOQUFBQUFBQUFBQXFBQUFBTUFBQUFBQUFCWUF3QUFBQUJBWUVBQllBQUFBRkJnUUFFQUFBQUFBQUJZQXhBQUFBQkFZRUFCY0FBQUFGQmdRQUR3QUFBQUFBQllBeUFBQUFCQVlFQUJnQUFBQUZCZ1FBR1FBQUFBQUdBZ0FDQUFzR0VBQTNBQUFBUEFBQUFETUFBQUFBQUFBQUFBQUZnRE1BQUFBRUJnUUFHUUFBQUFVR0JBQVVBQUFBQUFBRmdEUUFBQUFFQmdRQUdnQUFBQVVHQkFBVkFBQUFBQUFGZ0RVQUFBQUVCZ1FBR3dBQUFBVUdCQUFXQUFBQUFBWUNBQUlBQ3dZUUFBQUFBQUEyQUFBQU1BQUFBQUFBQUFBQUFBV0FOZ0FBQUFRR0JBQWNBQUFBQlFZRUFCc0FBQUFBQUFXQU53QUFBQVFHQkFBZEFBQUFCUVlFQUJnQUFBQUFBQVdBT0FBQUFBUUdCQUFlQUFBQUJRWUVBQndBQUFBQUFBV0FPUUFBQUFRR0JBQUZBQUFBQlFZRUFBY0FBQUFBQUFXQU9nQUFBQVFHQkFBS0FBQUFCUVlFQUF3QUFBQUFBQVdBT3dBQUFBUUdCQUFhQUFBQUJRWUVBQndBQUFBQUJnSUFBZ0FMQmhBQUFBQUFBRFFBQUFBMkFBQUFPQUFBQUFBQUJZQThBQUFBQkFZRUFCZ0FBQUFGQmdRQUV3QUFBQUFBQUFBQUFBQUFBQUE9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QzE2SDE2TjJPU3xDaGVtT2ZmaWNlMVBpY3R1cmUgMTB8Vm1wRFJEQXhNREFFQXdJQkFBQUFBQUFBQUFBQUFBQ0FBUUFBQUFNQUtnQUFBRU5USUVORVdDQmtjbWwyWlhJZ015NHdJQzhnU25WdUlERTVJREUxT2pNNE9qQXhJREl3TVRJRUFoQUFSTkNSL3dBQUhnQUJBT0wvdnFhOEFBRUpDQUFBQUFBQUFBQUFBQUlKQ0FBQUFBQUFBQUFBQUFVSUJBQUFBQjRBQUFNeUFBZ0EvLy8vLy8vL0FBQUFBQUFBLy84QUFBQUFBQUFBQVAvLy8vLy8vd0FBQUFELy93QUFBQUQvLy8vLy8vOEFBUC8vQVlBQ0FBQUFBNEFEQUFBQUJJQUVBQUFBQUFJSUFFTUxUQUJsa1hBQU93UUJBQUE4QkFFQUFEa0VBd0FBQURBQUFBU0FCUUFBQUFBQ0NBRGJBbGtBUkc1VEFEc0VBUUFBUEFRQkFBQUNCQUlBQndBNUJBTUFBQUF4QUFBRWdBWUFBQUFBQWdnQVcyVkZBUGMyVVFBN0JBRUFBRHdFQVFBQU9RUURBQUFBTWdBQUJJQUhBQUFBQUFJSUFHNWFQUURFV21NQU93UUJBQUE4QkFFQUFBSUVBZ0FRQURrRUF3QUFBRE1BQUFTQUNBQUFBQUFDQ0FCdE1sMEFhaDJPQURzRUFRQUFQQVFCQUFBQ0JBSUFCd0E1QkFNQUFBQTBBQUFFZ0FrQUFBQUFBZ2dBYlRKZEFPQ2laZ0E3QkFFQUFEd0VBUUFBT1FRREFBQUFOUUFBQklBS0FBQUFBQUlJQUcweVhRQVkwS0VBT3dRQkFBQThCQUVBQURrRUF3QUFBRFlBQUFTQUN3QUFBQUFDQ0FCREMwd0FFMFNFQURzRUFRQUFQQVFCQUFBNUJBTUFBQUEzQUFBRWdBd0FBQUFBQWdnQVF3dE1BRytwcXdBN0JBRUFBRHdFQVFBQU9RUURBQUFBT0FBQUJJQU5BQUFBQUFJSUFKVllPQUJ2cWFzQU93UUJBQUE4QkFFQUFEa0VBd0FBQURrQUFBU0FEZ0FBQUFBQ0NBRHNNVUlBdnFhOEFEc0VBUUFBUEFRQkFBQTVCQVFBQUFBeE1BQUFCSUFQQUFBQUFBSUlBTHd2YmdCbGtYQUFPd1FCQUFBOEJBRUFBRGtFQkFBQUFERXhBQUFFZ0JBQUFBQUFBZ2dBdkM5dUFCTkVoQUE3QkFFQUFEd0VBUUFBT1FRRUFBQUFNVElBQUFTQUVRQUFBQUFDQ0FBRWpEc0FwemxBQURzRUFRQUFQQVFCQUFBNUJBUUFBQUF4TXdBQUJJQVNBQUFBQUFJSUFMd3ZiZ0J2cWFzQU93UUJBQUE4QkFFQUFBSUVBZ0FJQURrRUJBQUFBREUwQUFBRWdCTUFBQUFBQWdnQVZ0a25BS2M1UUFBN0JBRUFBRHdFQVFBQU9RUUVBQUFBTVRVQUFBU0FGQUFBQUFBQ0NBQmJaVVVBV0R3dkFEc0VBUUFBUEFRQkFBQTVCQVFBQUFBeE5nQUFCSUFWQUFBQUFBSUlBQVNNT3dBQUFCNEFPd1FCQUFBOEJBRUFBRGtFQkFBQUFERTNBQUFFZ0JZQUFBQUFBZ2dBLy84ZEFGZzhMd0E3QkFFQUFEd0VBUUFBT1FRRUFBQUFNVGdBQUFTQUZ3QUFBQUFDQ0FCVzJTY0FBQUFlQURzRUFRQUFQQVFCQUFBNUJBUUFBQUF4T1FBQUJZQVlBQUFBQkFZRUFBVUFBQUFGQmdRQUNRQUFBQUFBQllBWkFBQUFCQVlFQUFZQUFBQUZCZ1FBQndBQUFBQUFCWUFhQUFBQUJBWUVBQWNBQUFBRkJnUUFCQUFBQUFBQUJZQWJBQUFBQkFZRUFBZ0FBQUFGQmdRQUN3QUFBQUFBQllBY0FBQUFCQVlFQUFrQUFBQUZCZ1FBQkFBQUFBQUdBZ0FDQUFzR0VBQWlBQUFBR0FBQUFCb0FBQUFlQUFBQUFBQUZnQjBBQUFBRUJnUUFDZ0FBQUFVR0JBQUlBQUFBQUFBRmdCNEFBQUFFQmdRQUN3QUFBQVVHQkFBRUFBQUFBQUFGZ0I4QUFBQUVCZ1FBREFBQUFBVUdCQUFLQUFBQUFBQUZnQ0FBQUFBRUJnUUFEUUFBQUFVR0JBQU1BQUFBQUFBRmdDRUFBQUFFQmdRQURnQUFBQVVHQkFBTUFBQUFBQUFGZ0NJQUFBQUVCZ1FBRHdBQUFBVUdCQUFKQUFBQUFBQUZnQ01BQUFBRUJnUUFFQUFBQUFVR0JBQUlBQUFBQUFBRmdDUUFBQUFFQmdRQUVRQUFBQVVHQkFBR0FBQUFBQUFGZ0NVQUFBQUVCZ1FBRWdBQUFBVUdCQUFLQUFBQUFBWUNBQUlBQUFBRmdDWUFBQUFFQmdRQUV3QUFBQVVHQkFBUkFBQUFBQUFGZ0NjQUFBQUVCZ1FBRkFBQUFBVUdCQUFSQUFBQUFBWUNBQUlBQ3dZUUFDZ0FBQUFBQUFBQUpBQUFBQ1lBQUFBQUFBV0FLQUFBQUFRR0JBQVZBQUFBQlFZRUFCUUFBQUFBQUFXQUtRQUFBQVFHQkFBV0FBQUFCUVlFQUJNQUFBQUFCZ0lBQWdBTEJoQUFBQUFBQUM0QUFBQW1BQUFBQUFBQUFBQUFCWUFxQUFBQUJBWUVBQmNBQUFBRkJnUUFGUUFBQUFBR0FnQUNBQXNHRUFBQUFBQUFMZ0FBQUNnQUFBQUFBQUFBQUFBRmdDc0FBQUFFQmdRQUJnQUFBQVVHQkFBRkFBQUFBQVlDQUFJQUN3WVFBQ1FBQUFBWkFBQUFHQUFBQUFBQUFBQUFBQVdBTEFBQUFBUUdCQUFQQUFBQUJRWUVBQkFBQUFBQUFBV0FMUUFBQUFRR0JBQU9BQUFBQlFZRUFBMEFBQUFBQUFXQUxnQUFBQVFHQkFBWEFBQUFCUVlFQUJZQUFBQUFBQUFBQUFBQUFBQUE=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>QzIwSDE3Rk4yTzNTfENoZW1PZmZpY2UxUGljdHVyZSAxOTN8Vm1wRFJEQXhNREFFQXdJQkFBQUFBQUFBQUFBQUFBQ0FBUUFBQUFNQUtnQUFBRU5USUVORVdDQmtjbWwyWlhJZ015NHdJQzhnU25WdUlERTVJREUxT2pNNE9qQTVJREl3TVRJRUFoQUE4czQxLy8vL0hRQUNBT0wvWHZPekFBRUpDQUFBQUFBQUFBQUFBQUlKQ0FBQUFBQUFBQUFBQUFVSUJBQUFBQjRBQUFNeUFBZ0EvLy8vLy8vL0FBQUFBQUFBLy84QUFBQUFBQUFBQVAvLy8vLy8vd0FBQUFELy93QUFBQUQvLy8vLy8vOEFBUC8vQVlBQ0FBQUFBNEFEQUFBQUJJQUVBQUFBQUFJSUFJOElYUUNacTVvQU93UUJBQUE4QkFFQUFBSUVBZ0FIQURrRUF3QUFBREFBQUFTQUJRQUFBQUFDQ0FCRVhGMEFHZzZIQURzRUFRQUFQQVFCQUFBNUJBTUFBQUF4QUFBRWdBWUFBQUFBQWdnQS9TZHdBRlZrZ1FBN0JBRUFBRHdFQVFBQUFnUUNBQkFBT1FRREFBQUFNZ0FBQklBSEFBQUFBQUlJQU1mVGJ3Q2xKNkVBT3dRQkFBQThCQUVBQURrRUF3QUFBRE1BQUFTQUNBQUFBQUFDQ0FDUXVuc0FlU2FSQURzRUFRQUFQQVFCQUFBNUJBTUFBQUEwQUFBRWdBa0FBQUFBQWdnQWw5SzJBQkdBYndBN0JBRUFBRHdFQVFBQU9RUURBQUFBTlFBQUJJQUtBQUFBQUFJSUFFazRyUURDZ2w0QU93UUJBQUE4QkFFQUFEa0VBd0FBQURZQUFBU0FDd0FBQUFBQ0NBQVQ1S3dBSEVrOEFEc0VBUUFBUEFRQkFBQTVCQU1BQUFBM0FBQUVnQXdBQUFBQUFnZ0FZWDYyQUQweFRRQTdCQUVBQUR3RUFRQUFPUVFEQUFBQU9BQUFCSUFOQUFBQUFBSUlBQ0NhVFFDc1VYc0FPd1FCQUFBOEJBRUFBRGtFQXdBQUFEa0FBQVNBRGdBQUFBQUNDQUNUUnBrQUpJZzhBRHNFQVFBQVBBUUJBQUE1QkFRQUFBQXhNQUFBQklBUEFBQUFBQUlJQUN0NXNnQ1JraWtBT3dRQkFBQThCQUVBQUFJRUFnQUlBRGtFQkFBQUFERXhBQUFFZ0JBQUFBQUFBZ2dBMnJXU0FFOGxLZ0E3QkFFQUFEd0VBUUFBQWdRQ0FBZ0FPUVFFQUFBQU1USUFBQVNBRVFBQUFBQUNDQUNyaktJQS8vOGRBRHNFQVFBQVBBUUJBQUE1QkFRQUFBQXhNd0FBQklBU0FBQUFBQUlJQUE0eHlnQVJnRzhBT3dRQkFBQThCQUVBQUFJRUFnQUlBRGtFQkFBQUFERTBBQUFFZ0JNQUFBQUFBZ2dBbklXWkFIaldYZ0E3QkFFQUFEd0VBUUFBT1FRRUFBQUFNVFVBQUFTQUZBQUFBQUFDQ0FBOWJZOEFLZGxOQURzRUFRQUFQQVFCQUFBNUJBUUFBQUF4TmdBQUJJQVZBQUFBQUFJSUFFRDVyQUJnZllBQU93UUJBQUE4QkFFQUFBSUVBZ0FIQURrRUJBQUFBREUzQUFBRWdCWUFBQUFBQWdnQVBXMlBBSUZsa1FBN0JBRUFBRHdFQVFBQU9RUUVBQUFBTVRnQUFBU0FGd0FBQUFBQ0NBREF2RThBckxObkFEc0VBUUFBUEFRQkFBQTVCQVFBQUFBeE9RQUFCSUFZQUFBQUFBSUlBS1poT3dDUkhZTUFPd1FCQUFBOEJBRUFBRGtFQkFBQUFESXdBQUFFZ0JrQUFBQUFBZ2dBOWF3dEFDUERZd0E3QkFFQUFEd0VBUUFBT1FRRUFBQUFNakVBQUFTQUdnQUFBQUFDQ0FDVFJwa0FZSDJBQURzRUFRQUFQQVFCQUFBNUJBUUFBQUF5TWdBQUJJQWJBQUFBQUFJSUFLaDFLd0FqWVhjQU93UUJBQUE4QkFFQUFEa0VCQUFBQURJekFBQUVnQndBQUFBQUFnZ0FuUG8vQUdUTld3QTdCQUVBQUR3RUFRQUFPUVFFQUFBQU1qUUFBQVNBSFFBQUFBQUNDQUQrL3gwQWlQRlhBRHNFQVFBQVBBUUJBQUFDQkFJQUNRQTVCQVFBQUFBeU5RQUFCSUFlQUFBQUFBSUlBTUxSZFFCZTg3TUFPd1FCQUFBOEJBRUFBRGtFQkFBQUFESTJBQUFGZ0I4QUFBQUVCZ1FBQlFBQUFBVUdCQUFFQUFBQUFBWUNBQUlBQ3dZUUFDY0FBQUFnQUFBQUlRQUFBQUFBQUFBQUFBV0FJQUFBQUFRR0JBQUdBQUFBQlFZRUFBVUFBQUFBQUFXQUlRQUFBQVFHQkFBSEFBQUFCUVlFQUFRQUFBQUFBQVdBSWdBQUFBUUdCQUFJQUFBQUJRWUVBQWNBQUFBQUJnSUFBZ0FMQmhBQU1BQUFBRGtBQUFBaEFBQUFPQUFBQUFBQUJZQWpBQUFBQkFZRUFBa0FBQUFGQmdRQUZRQUFBQUFBQllBa0FBQUFCQVlFQUFvQUFBQUZCZ1FBQ1FBQUFBQUFCWUFsQUFBQUJBWUVBQXNBQUFBRkJnUUFEQUFBQUFBR0FnQUNBQXNHRUFBcEFBQUFPd0FBQUNZQUFBQUFBQUFBQUFBRmdDWUFBQUFFQmdRQURBQUFBQVVHQkFBS0FBQUFBQUFGZ0NjQUFBQUVCZ1FBRFFBQUFBVUdCQUFGQUFBQUFBQUZnQ2dBQUFBRUJnUUFEZ0FBQUFVR0JBQVVBQUFBQUFZQ0FBSUFDd1lRQUNvQUFBQTdBQUFBTGdBQUFBQUFBQUFBQUFXQUtRQUFBQVFHQkFBUEFBQUFCUVlFQUFzQUFBQUFBQVdBS2dBQUFBUUdCQUFRQUFBQUJRWUVBQTRBQUFBQUFBV0FLd0FBQUFRR0JBQVJBQUFBQlFZRUFBOEFBQUFBQUFXQUxBQUFBQVFHQkFBU0FBQUFCUVlFQUFrQUFBQUFCZ0lBQWdBQUFBV0FMUUFBQUFRR0JBQVRBQUFBQlFZRUFBb0FBQUFBQmdJQUFnQUxCaEFBTGdBQUFBQUFBQUFrQUFBQUpnQUFBQUFBQllBdUFBQUFCQVlFQUJRQUFBQUZCZ1FBRXdBQUFBQUFCWUF2QUFBQUJBWUVBQlVBQUFBRkJnUUFHZ0FBQUFBQUJZQXdBQUFBQkFZRUFCWUFBQUFGQmdRQUNBQUFBQUFBQllBeEFBQUFCQVlFQUJjQUFBQUZCZ1FBRFFBQUFBQUFCWUF5QUFBQUJBWUVBQmdBQUFBRkJnUUFEUUFBQUFBR0FnQUNBQXNHRUFBMUFBQUFBQUFBQUNjQUFBQXhBQUFBQUFBRmdETUFBQUFFQmdRQUdRQUFBQVVHQkFBYkFBQUFBQVlDQUFJQUN3WVFBRGNBQUFBNkFBQUFOUUFBQUFBQUFBQUFBQVdBTkFBQUFBUUdCQUFhQUFBQUJRWUVBQllBQUFBQUFBV0FOUUFBQUFRR0JBQWJBQUFBQlFZRUFCZ0FBQUFBQUFXQU5nQUFBQVFHQkFBY0FBQUFCUVlFQUJjQUFBQUFCZ0lBQWdBTEJoQUFBQUFBQURvQUFBQXhBQUFBQUFBQUFBQUFCWUEzQUFBQUJBWUVBQjBBQUFBRkJnUUFHUUFBQUFBQUJZQTRBQUFBQkFZRUFCNEFBQUFGQmdRQUJ3QUFBQUFBQllBNUFBQUFCQVlFQUFZQUFBQUZCZ1FBQ0FBQUFBQUFCWUE2QUFBQUJBWUVBQndBQUFBRkJnUUFHUUFBQUFBQUJZQTdBQUFBQkFZRUFBNEFBQUFGQmdRQUN3QUFBQUFBQllBOEFBQUFCQVlFQUJFQUFBQUZCZ1FBRUFBQUFBQUFBQUFBQUFBQUFBQT0=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QzE5SDE1Q2xGMk4yT1N8Q2hlbU9mZmljZTFQaWN0dXJlIDIxNXxWbXBEUkRBeE1EQUVBd0lCQUFBQUFBQUFBQUFBQUFDQUFRQUFBQU1BS2dBQUFFTlRJRU5FV0NCa2NtbDJaWElnTXk0d0lDOGdTblZ1SURFNUlERTFPak00T2pFeElESXdNVElFQWhBQTZaSU8vd0FBSGdBQkFPTC85cXlFQUFFSkNBQUFBQUFBQUFBQUFBSUpDQUFBQUFBQUFBQUFBQVVJQkFBQUFCNEFBQU15QUFnQS8vLy8vLy8vQUFBQUFBQUEvLzhBQUFBQUFBQUFBUC8vLy8vLy93QUFBQUQvL3dBQUFBRC8vLy8vLy84QUFQLy9BWUFDQUFBQUE0QURBQUFBQklBRUFBQUFBQUlJQU9YelhBQXdaV3NBT3dRQkFBQThCQUVBQUFJRUFnQUhBRGtFQXdBQUFEQUFBQVNBQlFBQUFBQUNDQUR1TWwwQWdySlhBRHNFQVFBQVBBUUJBQUE1QkFNQUFBQXhBQUFFZ0FZQUFBQUFBZ2dBSnY1dkFPc2RVZ0E3QkFFQUFEd0VBUUFBQWdRQ0FCQUFPUVFEQUFBQU1nQUFCSUFIQUFBQUFBSUlBSEdxYndBUHpIRUFPd1FCQUFBOEJBRUFBRGtFQXdBQUFETUFBQVNBQ0FBQUFBQUNDQUM1a0hzQUVPQmhBRHNFQVFBQVBBUUJBQUE1QkFNQUFBQTBBQUFFZ0FrQUFBQUFBZ2dBdXdmS0FLYzVRQUE3QkFFQUFEd0VBUUFBT1FRREFBQUFOUUFBQklBS0FBQUFBQUlJQUJhVXRnQ25PVUFBT3dRQkFBQThCQUVBQURrRUF3QUFBRFlBQUFTQUN3QUFBQUFDQ0FESmNFMEFRd3RNQURzRUFRQUFQQVFCQUFBNUJBTUFBQUEzQUFBRWdBd0FBQUFBQWdnQTVNdlRBQ29uTHdBN0JBRUFBRHdFQVFBQU9RUURBQUFBT0FBQUJJQU5BQUFBQUFJSUFPMEsxQURSWUZFQU93UUJBQUE4QkFFQUFEa0VBd0FBQURrQUFBU0FEZ0FBQUFBQ0NBQ1JwYXdBQkZFdkFEc0VBUUFBUEFRQkFBQUNCQUlBQ0FBNUJBUUFBQUF4TUFBQUJJQVBBQUFBQUFJSUFMKzZyQUQzTmxFQU93UUJBQUE4QkFFQUFBSUVBZ0FIQURrRUJBQUFBREV4QUFBRWdCQUFBQUFBQWdnQXVpNlBBQmdmWWdBN0JBRUFBRHdFQVFBQU9RUUVBQUFBTVRJQUFBU0FFUUFBQUFBQ0NBQVdxRThBYjRJNEFEc0VBUUFBUEFRQkFBQTVCQVFBQUFBeE13QUFCSUFTQUFBQUFBSUlBUHhNT3dBbjExTUFPd1FCQUFBOEJBRUFBRGtFQkFBQUFERTBBQUFFZ0JNQUFBQUFBZ2dBSk1JdEFPYVJOQUE3QkFFQUFEd0VBUUFBT1FRRUFBQUFNVFVBQUFTQUZBQUFBQUFDQ0FDN0I4b0FBQUFlQURzRUFRQUFQQVFCQUFBQ0JBSUFDUUE1QkFRQUFBQXhOZ0FBQklBVkFBQUFBQUlJQU1OR3lnQlBjMklBT3dRQkFBQThCQUVBQUFJRUFnQUpBRGtFQkFBQUFERTNBQUFFZ0JZQUFBQUFBZ2dBRVFpWkFQYzJVUUE3QkFFQUFEd0VBUUFBT1FRRUFBQUFNVGdBQUFTQUZ3QUFBQUFDQ0FBcWRpc0FaaTlJQURzRUFRQUFQQVFCQUFBNUJBUUFBQUF4T1FBQUJJQVlBQUFBQUFJSUFQTGxQd0NtbXl3QU93UUJBQUE4QkFFQUFEa0VCQUFBQURJd0FBQUVnQmtBQUFBQUFnZ0EvLzhkQUV2QUtBQTdCQUVBQUR3RUFRQUFBZ1FDQUJFQU9RUUVBQUFBTWpFQUFBU0FHZ0FBQUFBQ0NBRHJwM1VBOXF5RUFEc0VBUUFBUEFRQkFBQTVCQVFBQUFBeU1nQUFCSUFiQUFBQUFBSUlBQmR0OFFDbk9VQUFPd1FCQUFBOEJBRUFBRGtFQkFBQUFESXpBQUFFZ0J3QUFBQUFBZ2dBWkdubkFDb25Md0E3QkFFQUFEd0VBUUFBT1FRRUFBQUFNalFBQUFTQUhRQUFBQUFDQ0FDYXZlY0EwV0JSQURzRUFRQUFQQVFCQUFBNUJBUUFBQUF5TlFBQUJZQWVBQUFBQkFZRUFBVUFBQUFGQmdRQUJBQUFBQUFHQWdBQ0FBc0dFQUFrQUFBQUh3QUFBQ0FBQUFBQUFBQUFBQUFGZ0I4QUFBQUVCZ1FBQmdBQUFBVUdCQUFGQUFBQUFBQUZnQ0FBQUFBRUJnUUFCd0FBQUFVR0JBQUVBQUFBQUFBRmdDRUFBQUFFQmdRQUNBQUFBQVVHQkFBSEFBQUFBQVlDQUFJQUN3WVFBQ2tBQUFBM0FBQUFJQUFBQURNQUFBQUFBQVdBSWdBQUFBUUdCQUFKQUFBQUJRWUVBQW9BQUFBQUFBV0FJd0FBQUFRR0JBQUtBQUFBQlFZRUFBOEFBQUFBQUFXQUpBQUFBQVFHQkFBTEFBQUFCUVlFQUFVQUFBQUFBQVdBSlFBQUFBUUdCQUFNQUFBQUJRWUVBQWtBQUFBQUJnSUFBZ0FMQmhBQU5RQUFBQzBBQUFBaUFBQUFKZ0FBQUFBQUJZQW1BQUFBQkFZRUFBMEFBQUFGQmdRQUNRQUFBQUFBQllBbkFBQUFCQVlFQUE0QUFBQUZCZ1FBQ2dBQUFBQUdBZ0FDQUFBQUJZQW9BQUFBQkFZRUFBOEFBQUFGQmdRQUZnQUFBQUFBQllBcEFBQUFCQVlFQUJBQUFBQUZCZ1FBQ0FBQUFBQUFCWUFxQUFBQUJBWUVBQkVBQUFBRkJnUUFDd0FBQUFBQUJZQXJBQUFBQkFZRUFCSUFBQUFGQmdRQUN3QUFBQUFHQWdBQ0FBc0dFQUF3QUFBQUFBQUFBQ1FBQUFBcUFBQUFBQUFGZ0N3QUFBQUVCZ1FBRXdBQUFBVUdCQUFYQUFBQUFBWUNBQUlBQ3dZUUFESUFBQUE0QUFBQU1BQUFBQUFBQUFBQUFBV0FMUUFBQUFRR0JBQVVBQUFBQlFZRUFBd0FBQUFBQUFXQUxnQUFBQVFHQkFBVkFBQUFCUVlFQUEwQUFBQUFBQVdBTHdBQUFBUUdCQUFXQUFBQUJRWUVBQkFBQUFBQUFBV0FNQUFBQUFRR0JBQVhBQUFBQlFZRUFCSUFBQUFBQUFXQU1RQUFBQVFHQkFBWUFBQUFCUVlFQUJFQUFBQUFCZ0lBQWdBTEJoQUFBQUFBQURnQUFBQXFBQUFBQUFBQUFBQUFCWUF5QUFBQUJBWUVBQmtBQUFBRkJnUUFFd0FBQUFBQUJZQXpBQUFBQkFZRUFCb0FBQUFGQmdRQUJ3QUFBQUFBQllBMEFBQUFCQVlFQUJzQUFBQUZCZ1FBSFFBQUFBQUFCWUExQUFBQUJBWUVBQndBQUFBRkJnUUFEQUFBQUFBQUJZQTJBQUFBQkFZRUFCMEFBQUFGQmdRQURRQUFBQUFHQWdBQ0FBc0dFQUFBQUFBQU5BQUFBQ1lBQUFBdUFBQUFBQUFGZ0RjQUFBQUVCZ1FBQmdBQUFBVUdCQUFJQUFBQUFBQUZnRGdBQUFBRUJnUUFHQUFBQUFVR0JBQVRBQUFBQUFBRmdEa0FBQUFFQmdRQUd3QUFBQVVHQkFBY0FBQUFBQVlDQUFJQUN3WVFBQUFBQUFBMEFBQUFOUUFBQUFBQUFBQUFBQUFBQUFBQUFBQUE=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>QzE3SDE1Q2xOMk9TMnxDaGVtT2ZmaWNlMVBpY3R1cmUgMTM0fFZtcERSREF4TURBRUF3SUJBQUFBQUFBQUFBQUFBQUNBQVFBQUFBTUFLZ0FBQUVOVElFTkVXQ0JrY21sMlpYSWdNeTR3SUM4Z1NuVnVJREU1SURFMU9qTTRPakEySURJd01USUVBaEFBZ3BvWC8vLy9IUUFDQU9ML2VkZDVBQUVKQ0FBQUFBQUFBQUFBQUFJSkNBQUFBQUFBQUFBQUFBVUlCQUFBQUI0QUFBTXlBQWdBLy8vLy8vLy9BQUFBQUFBQS8vOEFBQUFBQUFBQUFQLy8vLy8vL3dBQUFBRC8vd0FBQUFELy8vLy8vLzhBQVAvL0FZQUNBQUFBQTRBREFBQUFCSUFFQUFBQUFBSUlBR0h6WEFDMGoyQUFPd1FCQUFBOEJBRUFBQUlFQWdBSEFEa0VBd0FBQURBQUFBU0FCUUFBQUFBQ0NBQ1lSMTBBTlBKTUFEc0VBUUFBUEFRQkFBQTVCQU1BQUFBeEFBQUVnQVlBQUFBQUFnZ0FJdjV2QUc5SVJ3QTdCQUVBQUR3RUFRQUFBZ1FDQUJBQU9RUURBQUFBTWdBQUJJQUhBQUFBQUFJSUFCcS9id0RBQzJjQU93UUJBQUE4QkFFQUFEa0VBd0FBQURNQUFBU0FDQUFBQUFBQ0NBRGpwWHNBbEFwWEFEc0VBUUFBUEFRQkFBQTVCQU1BQUFBMEFBQUVnQWtBQUFBQUFnZ0FNd2ZLQU5sNE5RQTdCQUVBQUR3RUFRQUFPUVFEQUFBQU5RQUFCSUFLQUFBQUFBSUlBTHlvdGdEWmVEVUFPd1FCQUFBOEJBRUFBRGtFQXdBQUFEWUFBQVNBQ3dBQUFBQUNDQURHbWRVQVdXVkZBRHNFQVFBQVBBUUJBQUFDQkFJQUVBQTVCQU1BQUFBM0FBQUVnQXdBQUFBQUFnZ0FjNFZOQUhSS1FRQTdCQUVBQUR3RUFRQUFPUVFEQUFBQU9BQUFCSUFOQUFBQUFBSUlBUFN1MVFEL1lpVUFPd1FCQUFBOEJBRUFBRGtFQXdBQUFEa0FBQVNBRGdBQUFBQUNDQUJJRWVnQU9KRS9BRHNFQVFBQVBBUUJBQUE1QkFRQUFBQXhNQUFBQklBUEFBQUFBQUlJQUdiUHJBQ0tleVFBT3dRQkFBQThCQUVBQUFJRUFnQUlBRGtFQkFBQUFERXhBQUFFZ0JBQUFBQUFBZ2dBZm1Yb0FJS2ZLd0E3QkFFQUFEd0VBUUFBT1FRRUFBQUFNVElBQUFTQUVRQUFBQUFDQ0FCbXo2d0FlMkZHQURzRUFRQUFQQVFCQUFBQ0JBSUFCd0E1QkFRQUFBQXhNd0FBQklBU0FBQUFBQUlJQUdKRGp3REtYbGNBT3dRQkFBQThCQUVBQURrRUJBQUFBREUwQUFBRWdCTUFBQUFBQWdnQWs2ZFBBQ1BDTFFBN0JBRUFBRHdFQVFBQU9RUUVBQUFBTVRVQUFBU0FGQUFBQUFBQ0NBQW9ZanNBMlJaSkFEc0VBUUFBUEFRQkFBQTVCQVFBQUFBeE5nQUFCSUFWQUFBQUFBSUlBQ1BDTFFCc3ZDa0FPd1FCQUFBOEJBRUFBRGtFQkFBQUFERTNBQUFFZ0JZQUFBQUFBZ2dBdVJ5WkFIdGhSZ0E3QkFFQUFEd0VBUUFBT1FRRUFBQUFNVGdBQUFTQUZ3QUFBQUFDQ0FDb2RTc0E2MWs5QURzRUFRQUFQQVFCQUFBNUJBUUFBQUF4T1FBQUJJQVlBQUFBQUFJSUFHN2xQd0JhMnlFQU93UUJBQUE4QkFFQUFEa0VCQUFBQURJd0FBQUVnQmtBQUFBQUFnZ0EvdjhkQVAvL0hRQTdCQUVBQUR3RUFRQUFBZ1FDQUJFQU9RUUVBQUFBTWpFQUFBU0FHZ0FBQUFBQ0NBRG5wM1VBZWRkNUFEc0VBUUFBUEFRQkFBQTVCQVFBQUFBeU1nQUFCWUFiQUFBQUJBWUVBQVVBQUFBRkJnUUFCQUFBQUFBR0FnQUNBQXNHRUFBaUFBQUFIQUFBQUIwQUFBQUFBQUFBQUFBRmdCd0FBQUFFQmdRQUJnQUFBQVVHQkFBRkFBQUFBQUFGZ0IwQUFBQUVCZ1FBQndBQUFBVUdCQUFFQUFBQUFBQUZnQjRBQUFBRUJnUUFDQUFBQUFVR0JBQUhBQUFBQUFZQ0FBSUFDd1lRQUNnQUFBQXhBQUFBSFFBQUFEQUFBQUFBQUFXQUh3QUFBQVFHQkFBSkFBQUFCUVlFQUFvQUFBQUFBQVdBSUFBQUFBUUdCQUFLQUFBQUJRWUVBQkVBQUFBQUFBV0FJUUFBQUFRR0JBQUxBQUFBQlFZRUFBa0FBQUFBQUFXQUlnQUFBQVFHQkFBTUFBQUFCUVlFQUFVQUFBQUFBQVdBSXdBQUFBUUdCQUFOQUFBQUJRWUVBQWtBQUFBQUJnSUFBZ0FMQmhBQUpnQUFBQUFBQUFBZkFBQUFJUUFBQUFBQUJZQWtBQUFBQkFZRUFBNEFBQUFGQmdRQUN3QUFBQUFBQllBbEFBQUFCQVlFQUE4QUFBQUZCZ1FBQ2dBQUFBQUdBZ0FDQUFBQUJZQW1BQUFBQkFZRUFCQUFBQUFGQmdRQURRQUFBQUFBQllBbkFBQUFCQVlFQUJFQUFBQUZCZ1FBRmdBQUFBQUFCWUFvQUFBQUJBWUVBQklBQUFBRkJnUUFDQUFBQUFBQUJZQXBBQUFBQkFZRUFCTUFBQUFGQmdRQURBQUFBQUFBQllBcUFBQUFCQVlFQUJRQUFBQUZCZ1FBREFBQUFBQUdBZ0FDQUFzR0VBQXRBQUFBQUFBQUFDSUFBQUFwQUFBQUFBQUZnQ3NBQUFBRUJnUUFGUUFBQUFVR0JBQVhBQUFBQUFZQ0FBSUFDd1lRQUM4QUFBQXlBQUFBTFFBQUFBQUFBQUFBQUFXQUxBQUFBQVFHQkFBV0FBQUFCUVlFQUJJQUFBQUFBQVdBTFFBQUFBUUdCQUFYQUFBQUJRWUVBQlFBQUFBQUFBV0FMZ0FBQUFRR0JBQVlBQUFBQlFZRUFCTUFBQUFBQmdJQUFnQUxCaEFBQUFBQUFESUFBQUFwQUFBQUFBQUFBQUFBQllBdkFBQUFCQVlFQUJrQUFBQUZCZ1FBRlFBQUFBQUFCWUF3QUFBQUJBWUVBQm9BQUFBRkJnUUFCd0FBQUFBQUJZQXhBQUFBQkFZRUFBWUFBQUFGQmdRQUNBQUFBQUFBQllBeUFBQUFCQVlFQUJnQUFBQUZCZ1FBRlFBQUFBQUFCWUF6QUFBQUJBWUVBQTRBQUFBRkJnUUFFQUFBQUFBR0FnQUNBQXNHRUFBQUFBQUFKQUFBQUNZQUFBQUFBQUFBQUFBQUFBQUFBQUFBQUE9PQ==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QzIwSDE5Q2xOMk8yU3xDaGVtT2ZmaWNlMVBpY3R1cmUgMjAyfFZtcERSREF4TURBRUF3SUJBQUFBQUFBQUFBQUFBQUNBQVFBQUFBTUFLZ0FBQUVOVElFTkVXQ0JrY21sMlpYSWdNeTR3SUM4Z1NuVnVJREU1SURFMU9qTTRPakV3SURJd01USUVBaEFBa0drTy93QUFIZ0FCQU9ML2ZkZDVBQUVKQ0FBQUFBQUFBQUFBQUFJSkNBQUFBQUFBQUFBQUFBVUlCQUFBQUI0QUFBTXlBQWdBLy8vLy8vLy9BQUFBQUFBQS8vOEFBQUFBQUFBQUFQLy8vLy8vL3dBQUFBRC8vd0FBQUFELy8vLy8vLzhBQVAvL0FZQUNBQUFBQTRBREFBQUFCSUFFQUFBQUFBSUlBR1R6WEFDM2oyQUFPd1FCQUFBOEJBRUFBQUlFQWdBSEFEa0VBd0FBQURBQUFBU0FCUUFBQUFBQ0NBQ2JSMTBBTi9KTUFEc0VBUUFBUEFRQkFBQTVCQU1BQUFBeEFBQUVnQVlBQUFBQUFnZ0FKdjV2QUhKSVJ3QTdCQUVBQUR3RUFRQUFBZ1FDQUJBQU9RUURBQUFBTWdBQUJJQUhBQUFBQUFJSUFCNi9id0RFQzJjQU93UUJBQUE4QkFFQUFEa0VBd0FBQURNQUFBU0FDQUFBQUFBQ0NBQm1wWHNBbGdwWEFEc0VBUUFBUEFRQkFBQTVCQU1BQUFBMEFBQUVnQWtBQUFBQUFnZ0FjRnZLQU50NE5RQTdCQUVBQUR3RUFRQUFPUVFEQUFBQU5RQUFCSUFLQUFBQUFBSUlBSldUdGdEYmVEVUFPd1FCQUFBOEJBRUFBRGtFQXdBQUFEWUFBQVNBQ3dBQUFBQUNDQUIyaFUwQWRrcEJBRHNFQVFBQVBBUUJBQUE1QkFNQUFBQTNBQUFFZ0F3QUFBQUFBZ2dBa2VEVEFETzFSZ0E3QkFFQUFEd0VBUUFBT1FRREFBQUFPQUFBQklBTkFBQUFBQUlJQUViNXJBQ0xleVFBT3dRQkFBQThCQUVBQUFJRUFnQUlBRGtFQXdBQUFEa0FBQVNBRGdBQUFBQUNDQUJzejZ3QWZXRkdBRHNFQVFBQVBBUUJBQUFDQkFJQUJ3QTVCQVFBQUFBeE1BQUFCSUFQQUFBQUFBSUlBR2REandETlhsY0FPd1FCQUFBOEJBRUFBRGtFQkFBQUFERXhBQUFFZ0JBQUFBQUFBZ2dBcUdFN0FOd1dTUUE3QkFFQUFEd0VBUUFBT1FRRUFBQUFNVElBQUFTQUVRQUFBQUFDQ0FDVnAwOEFKTUl0QURzRUFRQUFQQVFCQUFBNUJBUUFBQUF4TXdBQUJJQVNBQUFBQUFJSUFDVENMUUJ0dkNrQU93UUJBQUE4QkFFQUFEa0VCQUFBQURFMEFBQUVnQk1BQUFBQUFnZ0FrQWVaQUgxaFJnQTdCQUVBQUR3RUFRQUFPUVFFQUFBQU1UVUFBQVNBRkFBQUFBQUNDQUJ4NVQ4QVc5c2hBRHNFQVFBQVBBUUJBQUE1QkFRQUFBQXhOZ0FBQklBVkFBQUFBQUlJQUtsMUt3RHRXVDBBT3dRQkFBQThCQUVBQURrRUJBQUFBREUzQUFBRWdCWUFBQUFBQWdnQS8vOGRBQUFBSGdBN0JBRUFBRHdFQVFBQUFnUUNBQkVBT1FRRUFBQUFNVGdBQUFTQUZ3QUFBQUFDQ0FCckN0UUF3czhrQURzRUFRQUFQQVFCQUFBNUJBUUFBQUF4T1FBQUJJQVlBQUFBQUFJSUFBenl5UUNDc2xjQU93UUJBQUE4QkFFQUFBSUVBZ0FJQURrRUJBQUFBREl3QUFBRWdCa0FBQUFBQWdnQTY2ZDFBSDNYZVFBN0JBRUFBRHdFQVFBQU9RUUVBQUFBTWpFQUFBU0FHZ0FBQUFBQ0NBQVJmdWNBajk5R0FEc0VBUUFBUEFRQkFBQTVCQVFBQUFBeU1nQUFCSUFiQUFBQUFBSUlBSU1WdGdDb2lGY0FPd1FCQUFBOEJBRUFBRGtFQkFBQUFESXpBQUFFZ0J3QUFBQUFBZ2dBRVg3bkFONW1KQUE3QkFFQUFEd0VBUUFBT1FRRUFBQUFNalFBQUFTQUhRQUFBQUFDQ0FCd2x2RUFFYzAxQURzRUFRQUFQQVFCQUFBNUJBUUFBQUF5TlFBQUJZQWVBQUFBQkFZRUFBVUFBQUFGQmdRQUJBQUFBQUFHQWdBQ0FBc0dFQUFrQUFBQUh3QUFBQ0FBQUFBQUFBQUFBQUFGZ0I4QUFBQUVCZ1FBQmdBQUFBVUdCQUFGQUFBQUFBQUZnQ0FBQUFBRUJnUUFCd0FBQUFVR0JBQUVBQUFBQUFBRmdDRUFBQUFFQmdRQUNBQUFBQVVHQkFBSEFBQUFBQVlDQUFJQUN3WVFBQ2dBQUFBM0FBQUFJQUFBQURJQUFBQUFBQVdBSWdBQUFBUUdCQUFKQUFBQUJRWUVBQW9BQUFBQUFBV0FJd0FBQUFRR0JBQUtBQUFBQlFZRUFBNEFBQUFBQUFXQUpBQUFBQVFHQkFBTEFBQUFCUVlFQUFVQUFBQUFBQVdBSlFBQUFBUUdCQUFNQUFBQUJRWUVBQWtBQUFBQUFBV0FKZ0FBQUFRR0JBQU5BQUFBQlFZRUFBb0FBQUFBQmdJQUFnQUFBQVdBSndBQUFBUUdCQUFPQUFBQUJRWUVBQk1BQUFBQUFBV0FLQUFBQUFRR0JBQVBBQUFBQlFZRUFBZ0FBQUFBQUFXQUtRQUFBQVFHQkFBUUFBQUFCUVlFQUFzQUFBQUFCZ0lBQWdBTEJoQUFMZ0FBQUFBQUFBQWtBQUFBS2dBQUFBQUFCWUFxQUFBQUJBWUVBQkVBQUFBRkJnUUFDd0FBQUFBQUJZQXJBQUFBQkFZRUFCSUFBQUFGQmdRQUZBQUFBQUFBQllBc0FBQUFCQVlFQUJNQUFBQUZCZ1FBRHdBQUFBQUFCWUF0QUFBQUJBWUVBQlFBQUFBRkJnUUFFUUFBQUFBR0FnQUNBQXNHRUFBQUFBQUFLd0FBQUNvQUFBQUFBQUFBQUFBRmdDNEFBQUFFQmdRQUZRQUFBQVVHQkFBUUFBQUFBQUFGZ0M4QUFBQUVCZ1FBRmdBQUFBVUdCQUFTQUFBQUFBQUZnREFBQUFBRUJnUUFGd0FBQUFVR0JBQUpBQUFBQUFZQ0FBSUFDd1lRQURVQUFBQUFBQUFBSWdBQUFDVUFBQUFBQUFXQU1RQUFBQVFHQkFBWUFBQUFCUVlFQUF3QUFBQUFBQVdBTWdBQUFBUUdCQUFaQUFBQUJRWUVBQWNBQUFBQUFBV0FNd0FBQUFRR0JBQWFBQUFBQlFZRUFBd0FBQUFBQmdJQUFnQUxCaEFBQUFBQUFEa0FBQUFsQUFBQU1RQUFBQUFBQllBMEFBQUFCQVlFQUJzQUFBQUZCZ1FBR0FBQUFBQUFCWUExQUFBQUJBWUVBQndBQUFBRkJnUUFGd0FBQUFBQUJZQTJBQUFBQkFZRUFCMEFBQUFGQmdRQUhBQUFBQUFHQWdBQ0FBc0dFQUFBQUFBQU9RQUFBRFVBQUFBQUFBQUFBQUFGZ0RjQUFBQUVCZ1FBQmdBQUFBVUdCQUFJQUFBQUFBQUZnRGdBQUFBRUJnUUFFZ0FBQUFVR0JBQVZBQUFBQUFZQ0FBSUFDd1lRQUM4QUFBQXJBQUFBTGdBQUFBQUFBQUFBQUFXQU9RQUFBQVFHQkFBZEFBQUFCUVlFQUJvQUFBQUFBQUFBQUFBQUFBQUE=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QzE2SDE5Q2xOMk8yU3xDaGVtT2ZmaWNlMVBpY3R1cmUgNzZ8Vm1wRFJEQXhNREFFQXdJQkFBQUFBQUFBQUFBQUFBQ0FBUUFBQUFNQUtnQUFBRU5USUVORVdDQmtjbWwyWlhJZ015NHdJQzhnU25WdUlERTVJREUxT2pNNE9qQTBJREl3TVRJRUFoQUFORDhPL3dBQUhnQUJBT0wvSElPRUFBRUpDQUFBQUFBQUFBQUFBQUlKQ0FBQUFBQUFBQUFBQUFVSUJBQUFBQjRBQUFNeUFBZ0EvLy8vLy8vL0FBQUFBQUFBLy84QUFBQUFBQUFBQVAvLy8vLy8vd0FBQUFELy93QUFBQUQvLy8vLy8vOEFBUC8vQVlBQ0FBQUFBNEFEQUFBQUJJQUVBQUFBQUFJSUFKSUlYUURXTzJzQU93UUJBQUE4QkFFQUFBSUVBZ0FIQURrRUF3QUFBREFBQUFTQUJRQUFBQUFDQ0FDYlIxMEFLWWxYQURzRUFRQUFQQVFCQUFBNUJBTUFBQUF4QUFBRWdBWUFBQUFBQWdnQVZCTndBR1RmVVFBN0JBRUFBRHdFQVFBQUFnUUNBQkFBT1FRREFBQUFNZ0FBQklBSEFBQUFBQUlJQUI2L2J3QzFvbkVBT3dRQkFBQThCQUVBQURrRUF3QUFBRE1BQUFTQUNBQUFBQUFDQ0FEbnBYc0FOYlpoQURzRUFRQUFQQVFCQUFBNUJBTUFBQUEwQUFBRWdBa0FBQUFBQWdnQWRvVk5BR2poU3dBN0JBRUFBRHdFQVFBQU9RUURBQUFBTlFBQUJJQUtBQUFBQUFJSUFQQzl0Z0RNRDBBQU93UUJBQUE4QkFFQUFEa0VBd0FBQURZQUFBU0FDd0FBQUFBQ0NBQjBEcTBBZlJJdkFEc0VBUUFBUEFRQkFBQUNCQUlBQ0FBNUJBTUFBQUEzQUFBRWdBd0FBQUFBQWdnQWxWaVBBRDcxWVFBN0JBRUFBRHdFQVFBQU9RUURBQUFBT0FBQUJJQU5BQUFBQUFJSUFDcGlPd0JNclZNQU93UUJBQUE4QkFFQUFEa0VBd0FBQURrQUFBU0FEZ0FBQUFBQ0NBRER2RThBbFZnNEFEc0VBUUFBUEFRQkFBQTVCQVFBQUFBeE1BQUFCSUFQQUFBQUFBSUlBSm5rckFBY0RWRUFPd1FCQUFBOEJBRUFBQUlFQWdBSEFEa0VCQUFBQURFeEFBQUVnQkFBQUFBQUFnZ0FKTUl0QUY5VE5BQTdCQUVBQUR3RUFRQUFPUVFFQUFBQU1USUFBQVNBRVFBQUFBQUNDQUMrSEprQUhBMVJBRHNFQVFBQVBBUUJBQUE1QkFRQUFBQXhNd0FBQklBU0FBQUFBQUlJQUovNlB3QWZYU3dBT3dRQkFBQThCQUVBQURrRUJBQUFBREUwQUFBRWdCTUFBQUFBQWdnQXFYVXJBTi93UndBN0JBRUFBRHdFQVFBQU9RUUVBQUFBTVRVQUFBU0FGQUFBQUFBQ0NBRC8veDBBdzRFb0FEc0VBUUFBUEFRQkFBQUNCQUlBRVFBNUJBUUFBQUF4TmdBQUJJQVZBQUFBQUFJSUFCbTlkUUFjZzRRQU93UUJBQUE4QkFFQUFEa0VCQUFBQURFM0FBQUVnQllBQUFBQUFnZ0FsakhLQU13UFFBQTdCQUVBQUR3RUFRQUFPUVFFQUFBQU1UZ0FBQVNBRndBQUFBQUNDQUMvOWRNQWZSSXZBRHNFQVFBQVBBUUJBQUFDQkFJQUNBQTVCQVFBQUFBeE9RQUFCSUFZQUFBQUFBSUlBR3lvNXdCOUVpOEFPd1FCQUFBOEJBRUFBRGtFQkFBQUFESXdBQUFFZ0JrQUFBQUFBZ2dBek1EeEFBQUFIZ0E3QkFFQUFEd0VBUUFBT1FRRUFBQUFNakVBQUFXQUdnQUFBQVFHQkFBRkFBQUFCUVlFQUFRQUFBQUFCZ0lBQWdBTEJoQUFIZ0FBQUJzQUFBQWNBQUFBQUFBQUFBQUFCWUFiQUFBQUJBWUVBQVlBQUFBRkJnUUFCUUFBQUFBQUJZQWNBQUFBQkFZRUFBY0FBQUFGQmdRQUJBQUFBQUFBQllBZEFBQUFCQVlFQUFnQUFBQUZCZ1FBQndBQUFBQUdBZ0FDQUFzR0VBQWhBQUFBTHdBQUFCd0FBQUFxQUFBQUFBQUZnQjRBQUFBRUJnUUFDUUFBQUFVR0JBQUZBQUFBQUFBRmdCOEFBQUFFQmdRQUNnQUFBQVVHQkFBUEFBQUFBQUFGZ0NBQUFBQUVCZ1FBQ3dBQUFBVUdCQUFLQUFBQUFBWUNBQUlBQUFBRmdDRUFBQUFFQmdRQURBQUFBQVVHQkFBSUFBQUFBQUFGZ0NJQUFBQUVCZ1FBRFFBQUFBVUdCQUFKQUFBQUFBWUNBQUlBQ3dZUUFDZ0FBQUFBQUFBQUhnQUFBQ01BQUFBQUFBV0FJd0FBQUFRR0JBQU9BQUFBQlFZRUFBa0FBQUFBQUFXQUpBQUFBQVFHQkFBUEFBQUFCUVlFQUJFQUFBQUFBQVdBSlFBQUFBUUdCQUFRQUFBQUJRWUVBQklBQUFBQUFBV0FKZ0FBQUFRR0JBQVJBQUFBQlFZRUFBd0FBQUFBQUFXQUp3QUFBQVFHQkFBU0FBQUFCUVlFQUE0QUFBQUFCZ0lBQWdBTEJoQUFBQUFBQUNVQUFBQWpBQUFBQUFBQUFBQUFCWUFvQUFBQUJBWUVBQk1BQUFBRkJnUUFEUUFBQUFBQUJZQXBBQUFBQkFZRUFCUUFBQUFGQmdRQUVBQUFBQUFBQllBcUFBQUFCQVlFQUJVQUFBQUZCZ1FBQndBQUFBQUFCWUFyQUFBQUJBWUVBQllBQUFBRkJnUUFDZ0FBQUFBQUJZQXNBQUFBQkFZRUFCY0FBQUFGQmdRQUZnQUFBQUFBQllBdEFBQUFCQVlFQUJnQUFBQUZCZ1FBRndBQUFBQUFCWUF1QUFBQUJBWUVBQmtBQUFBRkJnUUFHQUFBQUFBQUJZQXZBQUFBQkFZRUFBWUFBQUFGQmdRQUNBQUFBQUFBQllBd0FBQUFCQVlFQUJBQUFBQUZCZ1FBRXdBQUFBQUdBZ0FDQUFzR0VBQXBBQUFBSlFBQUFDZ0FBQUFBQUFBQUFBQUFBQUFBQUFBQUFBPT0=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>QzIxSDIxRk4yT1N8Q2hlbU9mZmljZTFQaWN0dXJlIDE0N3xWbXBEUkRBeE1EQUVBd0lCQUFBQUFBQUFBQUFBQUFDQUFRQUFBQU1BS2dBQUFFTlRJRU5FV0NCa2NtbDJaWElnTXk0d0lDOGdTblZ1SURFNUlERTFPak00T2pBM0lESXdNVElFQWhBQVBPRDYvZ0FBSGdBQkFPTC9XQUY2QUFFSkNBQUFBQUFBQUFBQUFBSUpDQUFBQUFBQUFBQUFBQVVJQkFBQUFCNEFBQU15QUFnQS8vLy8vLy8vQUFBQUFBQUEvLzhBQUFBQUFBQUFBUC8vLy8vLy93QUFBQUQvL3dBQUFBRC8vLy8vLy84QUFQLy9BWUFDQUFBQUE0QURBQUFBQklBRUFBQUFBQUlJQU9YelhBRGxwR0FBT3dRQkFBQThCQUVBQUFJRUFnQUhBRGtFQXdBQUFEQUFBQVNBQlFBQUFBQUNDQUNiUjEwQVpRZE5BRHNFQVFBQVBBUUJBQUE1QkFNQUFBQXhBQUFFZ0FZQUFBQUFBZ2dBSnY1dkFLQmRSd0E3QkFFQUFEd0VBUUFBQWdRQ0FCQUFPUVFEQUFBQU1nQUFCSUFIQUFBQUFBSUlBSEdxYndEeUlHY0FPd1FCQUFBOEJBRUFBRGtFQXdBQUFETUFBQVNBQ0FBQUFBQUNDQUM1a0hzQXhCOVhBRHNFQVFBQVBBUUJBQUE1QkFNQUFBQTBBQUFFZ0FrQUFBQUFBZ2dBZG9WTkFLUmZRUUE3QkFFQUFEd0VBUUFBT1FRREFBQUFOUUFBQklBS0FBQUFBQUlJQUJhVXRnQUpqalVBT3dRQkFBQThCQUVBQURrRUF3QUFBRFlBQUFTQUN3QUFBQUFDQ0FCc3o2d0FESHdrQURzRUFRQUFQQVFCQUFBQ0JBSUFDQUE1QkFNQUFBQTNBQUFFZ0F3QUFBQUFBZ2dBWjBPUEFQdHpWd0E3QkFFQUFEd0VBUUFBT1FRREFBQUFPQUFBQklBTkFBQUFBQUlJQUJMaDB3Q3Jka1lBT3dRQkFBQThCQUVBQURrRUF3QUFBRGtBQUFTQURnQUFBQUFDQ0FBV3FFOEFVdGN0QURzRUFRQUFQQVFCQUFBNUJBUUFBQUF4TUFBQUJJQVBBQUFBQUFJSUFDcGlPd0FLTEVrQU93UUJBQUE4QkFFQUFEa0VCQUFBQURFeEFBQUVnQkFBQUFBQUFnZ0FiTStzQUt0MlJnQTdCQUVBQUR3RUFRQUFBZ1FDQUFjQU9RUUVBQUFBTVRJQUFBU0FFUUFBQUFBQ0NBQzdCOG9BQ1k0MUFEc0VBUUFBUEFRQkFBQTVCQVFBQUFBeE13QUFCSUFTQUFBQUFBSUlBSnE5NXdDcmRrWUFPd1FCQUFBOEJBRUFBRGtFQkFBQUFERTBBQUFFZ0JNQUFBQUFBZ2dBSk1JdEFKdlJLUUE3QkFFQUFEd0VBUUFBT1FRRUFBQUFNVFVBQUFTQUZBQUFBQUFDQ0FBUkNKa0FxM1pHQURzRUFRQUFQQVFCQUFBNUJBUUFBQUF4TmdBQUJJQVZBQUFBQUFJSUFDcDJLd0FiYnowQU93UUJBQUE4QkFFQUFEa0VCQUFBQURFM0FBQUVnQllBQUFBQUFnZ0FuL28vQUlud0lRQTdCQUVBQUR3RUFRQUFPUVFFQUFBQU1UZ0FBQVNBRndBQUFBQUNDQUQvL3gwQUFBQWVBRHNFQVFBQVBBUUJBQUFDQkFJQUNRQTVCQVFBQUFBeE9RQUFCSUFZQUFBQUFBSUlBT2xYOFFEVm5WY0FPd1FCQUFBOEJBRUFBRGtFQkFBQUFESXdBQUFFZ0JrQUFBQUFBZ2dBNjZkMUFGZ0JlZ0E3QkFFQUFEd0VBUUFBT1FRRUFBQUFNakVBQUFTQUdnQUFBQUFDQ0FEdEN0UUFVN0JvQURzRUFRQUFQQVFCQUFBNUJBUUFBQUF5TWdBQUJJQWJBQUFBQUFJSUFMc0h5Z0N3eDFjQU93UUJBQUE4QkFFQUFEa0VCQUFBQURJekFBQUVnQndBQUFBQUFnZ0FrbjduQUZPd2FBQTdCQUVBQUR3RUFRQUFPUVFFQUFBQU1qUUFBQVNBSFFBQUFBQUNDQURFSHdVQjFaMVhBRHNFQVFBQVBBUUJBQUE1QkFRQUFBQXlOUUFBQllBZUFBQUFCQVlFQUFVQUFBQUZCZ1FBQkFBQUFBQUdBZ0FDQUFzR0VBQWlBQUFBSHdBQUFDQUFBQUFBQUFBQUFBQUZnQjhBQUFBRUJnUUFCZ0FBQUFVR0JBQUZBQUFBQUFBRmdDQUFBQUFFQmdRQUJ3QUFBQVVHQkFBRUFBQUFBQUFGZ0NFQUFBQUVCZ1FBQ0FBQUFBVUdCQUFIQUFBQUFBWUNBQUlBQ3dZUUFDVUFBQUEzQUFBQUlBQUFBRElBQUFBQUFBV0FJZ0FBQUFRR0JBQUpBQUFBQlFZRUFBVUFBQUFBQUFXQUl3QUFBQVFHQkFBS0FBQUFCUVlFQUJBQUFBQUFBQVdBSkFBQUFBUUdCQUFMQUFBQUJRWUVBQW9BQUFBQUJnSUFBZ0FBQUFXQUpRQUFBQVFHQkFBTUFBQUFCUVlFQUFnQUFBQUFBQVdBSmdBQUFBUUdCQUFOQUFBQUJRWUVBQkVBQUFBQUFBV0FKd0FBQUFRR0JBQU9BQUFBQlFZRUFBa0FBQUFBQUFXQUtBQUFBQVFHQkFBUEFBQUFCUVlFQUFrQUFBQUFCZ0lBQWdBTEJoQUFMZ0FBQUFBQUFBQWlBQUFBSndBQUFBQUFCWUFwQUFBQUJBWUVBQkFBQUFBRkJnUUFGQUFBQUFBQUJZQXFBQUFBQkFZRUFCRUFBQUFGQmdRQUNnQUFBQUFBQllBckFBQUFCQVlFQUJJQUFBQUZCZ1FBRFFBQUFBQUdBZ0FDQUFzR0VBQXhBQUFBQUFBQUFDWUFBQUEwQUFBQUFBQUZnQ3dBQUFBRUJnUUFFd0FBQUFVR0JBQVZBQUFBQUFZQ0FBSUFDd1lRQURBQUFBQTRBQUFBTGdBQUFBQUFBQUFBQUFXQUxRQUFBQVFHQkFBVUFBQUFCUVlFQUF3QUFBQUFBQVdBTGdBQUFBUUdCQUFWQUFBQUJRWUVBQThBQUFBQUFBV0FMd0FBQUFRR0JBQVdBQUFBQlFZRUFBNEFBQUFBQmdJQUFnQUxCaEFBQUFBQUFEZ0FBQUFuQUFBQUFBQUFBQUFBQllBd0FBQUFCQVlFQUJjQUFBQUZCZ1FBRXdBQUFBQUFCWUF4QUFBQUJBWUVBQmdBQUFBRkJnUUFFZ0FBQUFBQUJZQXlBQUFBQkFZRUFCa0FBQUFGQmdRQUJ3QUFBQUFBQllBekFBQUFCQVlFQUJvQUFBQUZCZ1FBR3dBQUFBQUdBZ0FDQUFzR0VBQUFBQUFBTlFBQUFEUUFBQUFBQUFBQUFBQUZnRFFBQUFBRUJnUUFHd0FBQUFVR0JBQU5BQUFBQUFBRmdEVUFBQUFFQmdRQUhBQUFBQVVHQkFBYUFBQUFBQUFGZ0RZQUFBQUVCZ1FBSFFBQUFBVUdCQUFZQUFBQUFBQUZnRGNBQUFBRUJnUUFCZ0FBQUFVR0JBQUlBQUFBQUFBRmdEZ0FBQUFFQmdRQUZnQUFBQVVHQkFBVEFBQUFBQUFGZ0RrQUFBQUVCZ1FBR0FBQUFBVUdCQUFjQUFBQUFBWUNBQUlBQ3dZUUFEWUFBQUF4QUFBQU5RQUFBQUFBQUFBQUFBQUFBQUFBQUFBQQ==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>QzE5SDE1Q2xOMk8zU3xDaGVtT2ZmaWNlMVBpY3R1cmUgMjAxfFZtcERSREF4TURBRUF3SUJBQUFBQUFBQUFBQUFBQUNBQVFBQUFBTUFLZ0FBQUVOVElFTkVXQ0JrY21sMlpYSWdNeTR3SUM4Z1NuVnVJREU1SURFMU9qTTRPakV3SURJd01USUVBaEFBZnlZMS93QUFIZ0FCQU9ML1Y1N0pBQUVKQ0FBQUFBQUFBQUFBQUFJSkNBQUFBQUFBQUFBQUFBVUlCQUFBQUI0QUFBTXlBQWdBLy8vLy8vLy9BQUFBQUFBQS8vOEFBQUFBQUFBQUFQLy8vLy8vL3dBQUFBRC8vd0FBQUFELy8vLy8vLzhBQVAvL0FZQUNBQUFBQTRBREFBQUFCSUFFQUFBQUFBSUlBQnZsY0FEaGU2RUFPd1FCQUFBOEJBRUFBQUlFQWdBSEFEa0VBd0FBQURBQUFBU0FCUUFBQUFBQ0NBQ3N4VjBBM1Q2YkFEc0VBUUFBUEFRQkFBQTVCQU1BQUFBeEFBQUVnQVlBQUFBQUFnZ0E0aGxlQUYyaGh3QTdCQUVBQUR3RUFRQUFBZ1FDQUJBQU9RUURBQUFBTWdBQUJJQUhBQUFBQUFJSUFLMTNmQUMwZXBFQU93UUJBQUE4QkFFQUFEa0VBd0FBQURNQUFBU0FDQUFBQUFBQ0NBQzNqN2NBRllCdkFEc0VBUUFBUEFRQkFBQTVCQU1BQUFBMEFBQUVnQWtBQUFBQUFnZ0F2T0N0QU1hQ1hnQTdCQUVBQUR3RUFRQUFPUVFEQUFBQU5RQUFCSUFLQUFBQUFBSUlBTE9oclFBZVNUd0FPd1FCQUFBOEJBRUFBRGtFQXdBQUFEWUFBQVNBQ3dBQUFBQUNDQUFiNVhBQU5JNkJBRHNFQVFBQVBBUUJBQUE1QkFNQUFBQTNBQUFFZ0F3QUFBQUFBZ2dBQWp5M0FHMUdUUUE3QkFFQUFEd0VBUUFBT1FRREFBQUFPQUFBQklBTkFBQUFBQUlJQUljRFRnQ2U1cVlBT3dRQkFBQThCQUVBQURrRUF3QUFBRGtBQUFTQURnQUFBQUFDQ0FBRjc1a0EwNXc4QURzRUFRQUFQQVFCQUFBNUJBUUFBQUF4TUFBQUJJQVBBQUFBQUFJSUFCMGhzd0EvcHlrQU93UUJBQUE4QkFFQUFBSUVBZ0FJQURrRUJBQUFBREV4QUFBRWdCQUFBQUFBQWdnQXkxMlRBSDQ2S2dBN0JBRUFBRHdFQVFBQUFnUUNBQWdBT1FRRUFBQUFNVElBQUFTQUVRQUFBQUFDQ0FCTFNxTUFBQUFlQURzRUFRQUFQQVFCQUFBNUJBUUFBQUF4TXdBQUJJQVNBQUFBQUFJSUFJSFp5Z0FWZ0c4QU93UUJBQUE4QkFFQUFBSUVBZ0FJQURrRUJBQUFBREUwQUFBRWdCTUFBQUFBQWdnQXUwS2FBSHZXWGdBN0JBRUFBRHdFQVFBQU9RUUVBQUFBTVRVQUFBU0FGQUFBQUFBQ0NBQ3VGWkFBSzlsTkFEc0VBUUFBUEFRQkFBQTVCQVFBQUFBeE5nQUFCSUFWQUFBQUFBSUlBR0MyclFCbGZZQUFPd1FCQUFBOEJBRUFBQUlFQWdBSEFEa0VCQUFBQURFM0FBQUVnQllBQUFBQUFnZ0FReDg4QUREYm5nQTdCQUVBQUR3RUFRQUFPUVFFQUFBQU1UZ0FBQVNBRndBQUFBQUNDQUQ2RUZBQUhvUzZBRHNFQVFBQVBBUUJBQUE1QkFRQUFBQXhPUUFBQklBWUFBQUFBQUlJQUs0VmtBQzBlcEVBT3dRQkFBQThCQUVBQURrRUJBQUFBREl3QUFBRWdCa0FBQUFBQWdnQUJ5c3VBSmIydlFBN0JBRUFBRHdFQVFBQU9RUUVBQUFBTWpFQUFBU0FHZ0FBQUFBQ0NBQUY3NWtBWlgyQUFEc0VBUUFBUEFRQkFBQTVCQVFBQUFBeU1nQUFCSUFiQUFBQUFBSUlBTXdQUUFEZks4WUFPd1FCQUFBOEJBRUFBRGtFQkFBQUFESXpBQUFFZ0J3QUFBQUFBZ2dBNkFnc0FMb3VxZ0E3QkFFQUFEd0VBUUFBT1FRRUFBQUFNalFBQUFTQUhRQUFBQUFDQ0FELy94MEFWNTdKQURzRUFRQUFQQVFCQUFBQ0JBSUFFUUE1QkFRQUFBQXlOUUFBQllBZUFBQUFCQVlFQUFVQUFBQUZCZ1FBQkFBQUFBQUdBZ0FDQUFzR0VBQW1BQUFBSHdBQUFDQUFBQUFBQUFBQUFBQUZnQjhBQUFBRUJnUUFCZ0FBQUFVR0JBQUZBQUFBQUFBRmdDQUFBQUFFQmdRQUJ3QUFBQVVHQkFBRUFBQUFBQUFGZ0NFQUFBQUVCZ1FBQ0FBQUFBVUdCQUFWQUFBQUFBQUZnQ0lBQUFBRUJnUUFDUUFBQUFVR0JBQUlBQUFBQUFBRmdDTUFBQUFFQmdRQUNnQUFBQVVHQkFBTUFBQUFBQVlDQUFJQUN3WVFBQ2dBQUFBNUFBQUFKUUFBQUFBQUFBQUFBQVdBSkFBQUFBUUdCQUFMQUFBQUJRWUVBQWNBQUFBQUJnSUFBZ0FMQmhBQUFBQUFBRGNBQUFBZ0FBQUFNUUFBQUFBQUJZQWxBQUFBQkFZRUFBd0FBQUFGQmdRQUNRQUFBQUFBQllBbUFBQUFCQVlFQUEwQUFBQUZCZ1FBQlFBQUFBQUFCWUFuQUFBQUJBWUVBQTRBQUFBRkJnUUFGQUFBQUFBR0FnQUNBQXNHRUFBcEFBQUFPUUFBQUMwQUFBQUFBQUFBQUFBRmdDZ0FBQUFFQmdRQUR3QUFBQVVHQkFBS0FBQUFBQUFGZ0NrQUFBQUVCZ1FBRUFBQUFBVUdCQUFPQUFBQUFBQUZnQ29BQUFBRUJnUUFFUUFBQUFVR0JBQVBBQUFBQUFBRmdDc0FBQUFFQmdRQUVnQUFBQVVHQkFBSUFBQUFBQVlDQUFJQUFBQUZnQ3dBQUFBRUJnUUFFd0FBQUFVR0JBQUpBQUFBQUFZQ0FBSUFDd1lRQUMwQUFBQUFBQUFBSWdBQUFDVUFBQUFBQUFXQUxRQUFBQVFHQkFBVUFBQUFCUVlFQUJNQUFBQUFBQVdBTGdBQUFBUUdCQUFWQUFBQUJRWUVBQm9BQUFBQUFBV0FMd0FBQUFRR0JBQVdBQUFBQlFZRUFBMEFBQUFBQUFXQU1BQUFBQVFHQkFBWEFBQUFCUVlFQUEwQUFBQUFCZ0lBQWdBTEJoQUFOQUFBQUFBQUFBQW1BQUFBTHdBQUFBQUFCWUF4QUFBQUJBWUVBQmdBQUFBRkJnUUFCd0FBQUFBQUJZQXlBQUFBQkFZRUFCa0FBQUFGQmdRQUd3QUFBQUFHQWdBQ0FBc0dFQUEyQUFBQU9BQUFBRFFBQUFBQUFBQUFBQUFGZ0RNQUFBQUVCZ1FBR2dBQUFBVUdCQUFZQUFBQUFBQUZnRFFBQUFBRUJnUUFHd0FBQUFVR0JBQVhBQUFBQUFBRmdEVUFBQUFFQmdRQUhBQUFBQVVHQkFBV0FBQUFBQVlDQUFJQUN3WVFBQUFBQUFBNEFBQUFMd0FBQUFBQUFBQUFBQVdBTmdBQUFBUUdCQUFkQUFBQUJRWUVBQmtBQUFBQUFBV0FOd0FBQUFRR0JBQUdBQUFBQlFZRUFBc0FBQUFBQUFXQU9BQUFBQVFHQkFBY0FBQUFCUVlFQUJrQUFBQUFBQVdBT1FBQUFBUUdCQUFPQUFBQUJRWUVBQW9BQUFBQUFBV0FPZ0FBQUFRR0JBQVJBQUFBQlFZRUFCQUFBQUFBQUFBQUFBQUFBQUFB</t>
        </r>
      </text>
    </comment>
    <comment ref="B23" authorId="0">
      <text>
        <r>
          <rPr>
            <b/>
            <sz val="9"/>
            <color indexed="81"/>
            <rFont val="Tahoma"/>
            <family val="2"/>
          </rPr>
          <t>QzE4SDEzQ2xGMk4yT1N8Q2hlbU9mZmljZTFQaWN0dXJlIDE3NnxWbXBEUkRBeE1EQUVBd0lCQUFBQUFBQUFBQUFBQUFDQUFRQUFBQU1BS2dBQUFFTlRJRU5FV0NCa2NtbDJaWElnTXk0d0lDOGdTblZ1SURFNUlERTFPak00T2pBNUlESXdNVElFQWhBQTl2b0ovd0FBSGdBQkFPTC9jZVdXQUFFSkNBQUFBQUFBQUFBQUFBSUpDQUFBQUFBQUFBQUFBQVVJQkFBQUFCNEFBQU15QUFnQS8vLy8vLy8vQUFBQUFBQUEvLzhBQUFBQUFBQUFBUC8vLy8vLy93QUFBQUQvL3dBQUFBRC8vLy8vLy84QUFQLy9BWUFDQUFBQUE0QURBQUFBQklBRUFBQUFBQUlJQUFlaFlRQnYrR3NBT3dRQkFBQThCQUVBQURrRUF3QUFBREFBQUFTQUJRQUFBQUFDQ0FESnEzUUFJRXB5QURzRUFRQUFQQVFCQUFBQ0JBSUFCd0E1QkFNQUFBQXhBQUFFZ0FZQUFBQUFBZ2dBQzhyT0FIa2tRQUE3QkFFQUFEd0VBUUFBT1FRREFBQUFNZ0FBQklBSEFBQUFBQUlJQUQ3MVlRRHZXbGdBT3dRQkFBQThCQUVBQUFJRUFnQVFBRGtFQXdBQUFETUFBQVNBQ0FBQUFBQUNDQUJsVnJzQXB6bEFBRHNFQVFBQVBBUUJBQUE1QkFNQUFBQTBBQUFFZ0FrQUFBQUFBZ2dBQ1ZPQUFFWTBZZ0E3QkFFQUFEd0VBUUFBT1FRREFBQUFOUUFBQklBS0FBQUFBQUlJQU1tcmRBREdSMUlBT3dRQkFBQThCQUVBQURrRUF3QUFBRFlBQUFTQUN3QUFBQUFDQ0FEaTNsRUFNS0IzQURzRUFRQUFQQVFCQUFBNUJBTUFBQUEzQUFBRWdBd0FBQUFBQWdnQUswL1lBQ29uTHdBN0JBRUFBRHdFQVFBQU9RUURBQUFBT0FBQUJJQU5BQUFBQUFJSUFHcmkyQUQzTmxFQU93UUJBQUE4QkFFQUFEa0VBd0FBQURrQUFBU0FEZ0FBQUFBQ0NBQkQwRDhBREVGdkFEc0VBUUFBUEFRQkFBQTVCQVFBQUFBeE1BQUFCSUFQQUFBQUFBSUlBQmU4c1FBcUp5OEFPd1FCQUFBOEJBRUFBQUlFQWdBSUFEa0VCQUFBQURFeEFBQUVnQkFBQUFBQUFnZ0FEbjJ4QVBjMlVRQTdCQUVBQUR3RUFRQUFBZ1FDQUFjQU9RUUVBQUFBTVRJQUFBU0FFUUFBQUFBQ0NBQUs4Wk1BUmpSaUFEc0VBUUFBUEFRQkFBQTVCQVFBQUFBeE13QUFCSUFTQUFBQUFBSUlBQjRPTUFCTTZIb0FPd1FCQUFBOEJBRUFBRGtFQkFBQUFERTBBQUFFZ0JNQUFBQUFBZ2dBMUhYT0FBQUFIZ0E3QkFFQUFEd0VBUUFBQWdRQ0FBa0FPUVFFQUFBQU1UVUFBQVNBRkFBQUFBQUNDQUFUQ2M4QVJqUmlBRHNFQVFBQVBBUUJBQUFDQkFJQUVRQTVCQVFBQUFBeE5nQUFCSUFWQUFBQUFBSUlBR0hLblFEM05sRUFPd1FCQUFBOEJBRUFBRGtFQkFBQUFERTNBQUFFZ0JZQUFBQUFBZ2dBLy84ZEFGL2RjZ0E3QkFFQUFEd0VBUUFBQWdRQ0FBa0FPUVFFQUFBQU1UZ0FBQVNBRndBQUFBQUNDQUJWN0ZNQXNEMkxBRHNFQVFBQVBBUUJBQUE1QkFRQUFBQXhPUUFBQklBWUFBQUFBQUlJQUFvRjlnQ2YrajhBT3dRQkFBQThCQUVBQURrRUJBQUFBREl3QUFBRWdCa0FBQUFBQWdnQUtPdERBSEhsbGdBN0JBRUFBRHdFQVFBQU9RUUVBQUFBTWpFQUFBU0FHZ0FBQUFBQ0NBQ3I3T3NBVC8wdUFEc0VBUUFBUEFRQkFBQTVCQVFBQUFBeU1nQUFCSUFiQUFBQUFBSUlBTHhxN0FESklWRUFPd1FCQUFBOEJBRUFBRGtFQkFBQUFESXpBQUFFZ0J3QUFBQUFBZ2dBa1JzeUFGYkZqZ0E3QkFFQUFEd0VBUUFBT1FRRUFBQUFNalFBQUFXQUhRQUFBQVFHQkFBRkFBQUFCUVlFQUFRQUFBQUFCZ0lBQWdBTEJoQUFBQUFBQUNFQUFBQWZBQUFBSXdBQUFBQUFCWUFlQUFBQUJBWUVBQVlBQUFBRkJnUUFDQUFBQUFBQUJZQWZBQUFBQkFZRUFBY0FBQUFGQmdRQUJBQUFBQUFBQllBZ0FBQUFCQVlFQUFnQUFBQUZCZ1FBRUFBQUFBQUFCWUFoQUFBQUJBWUVBQWtBQUFBRkJnUUFCUUFBQUFBQUJZQWlBQUFBQkFZRUFBb0FBQUFGQmdRQUJ3QUFBQUFBQllBakFBQUFCQVlFQUFzQUFBQUZCZ1FBQkFBQUFBQUFCWUFrQUFBQUJBWUVBQXdBQUFBRkJnUUFCZ0FBQUFBR0FnQUNBQXNHRUFBeUFBQUFLd0FBQUI0QUFBQWxBQUFBQUFBRmdDVUFBQUFFQmdRQURRQUFBQVVHQkFBR0FBQUFBQUFGZ0NZQUFBQUVCZ1FBRGdBQUFBVUdCQUFMQUFBQUFBQUZnQ2NBQUFBRUJnUUFEd0FBQUFVR0JBQUlBQUFBQUFZQ0FBSUFBQUFGZ0NnQUFBQUVCZ1FBRUFBQUFBVUdCQUFWQUFBQUFBQUZnQ2tBQUFBRUJnUUFFUUFBQUFVR0JBQUpBQUFBQUFBRmdDb0FBQUFFQmdRQUVnQUFBQVVHQkFBT0FBQUFBQVlDQUFJQUN3WVFBQzRBQUFBMkFBQUFKZ0FBQUFBQUFBQUFBQVdBS3dBQUFBUUdCQUFUQUFBQUJRWUVBQXdBQUFBQUFBV0FMQUFBQUFRR0JBQVVBQUFBQlFZRUFBMEFBQUFBQUFXQUxRQUFBQVFHQkFBVkFBQUFCUVlFQUJFQUFBQUFBQVdBTGdBQUFBUUdCQUFXQUFBQUJRWUVBQklBQUFBQUFBV0FMd0FBQUFRR0JBQVhBQUFBQlFZRUFBc0FBQUFBQmdJQUFnQUxCaEFBTVFBQUFBQUFBQUFqQUFBQUpnQUFBQUFBQllBd0FBQUFCQVlFQUJnQUFBQUZCZ1FBR3dBQUFBQUFCWUF4QUFBQUJBWUVBQmtBQUFBRkJnUUFGd0FBQUFBQUJZQXlBQUFBQkFZRUFCb0FBQUFGQmdRQURBQUFBQUFBQllBekFBQUFCQVlFQUJzQUFBQUZCZ1FBRFFBQUFBQUdBZ0FDQUFzR0VBQUFBQUFBTUFBQUFDVUFBQUFzQUFBQUFBQUZnRFFBQUFBRUJnUUFIQUFBQUFVR0JBQVpBQUFBQUFZQ0FBSUFDd1lRQUFBQUFBQTJBQUFBTVFBQUFBQUFBQUFBQUFXQU5RQUFBQVFHQkFBS0FBQUFCUVlFQUFrQUFBQUFCZ0lBQWdBTEJoQUFBQUFBQUNJQUFBQWhBQUFBS1FBQUFBQUFCWUEyQUFBQUJBWUVBQklBQUFBRkJnUUFIQUFBQUFBQUJZQTNBQUFBQkFZRUFCZ0FBQUFGQmdRQUdnQUFBQUFHQWdBQ0FBc0dFQUFBQUFBQU1BQUFBRElBQUFBQUFBQUFBQUFBQUFBQUFBQUFBQT09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QzE2SDEzRk4yT1MyfENoZW1PZmZpY2UxUGljdHVyZSA2M3xWbXBEUkRBeE1EQUVBd0lCQUFBQUFBQUFBQUFBQUFDQUFRQUFBQU1BS2dBQUFFTlRJRU5FV0NCa2NtbDJaWElnTXk0d0lDOGdTblZ1SURFNUlERTFPak00T2pBeklESXdNVElFQWhBQWhBRVQvd0FBSGdBQkFPTC9QbitGQUFFSkNBQUFBQUFBQUFBQUFBSUpDQUFBQUFBQUFBQUFBQVVJQkFBQUFCNEFBQU15QUFnQS8vLy8vLy8vQUFBQUFBQUEvLzhBQUFBQUFBQUFBUC8vLy8vLy93QUFBQUQvL3dBQUFBRC8vLy8vLy84QUFQLy9BWUFDQUFBQUE0QURBQUFBQklBRUFBQUFBQUlJQUlpaFlRQnFwMW9BT3dRQkFBQThCQUVBQURrRUF3QUFBREFBQUFTQUJRQUFBQUFDQ0FESnEzUUFidVJnQURzRUFRQUFQQVFCQUFBQ0JBSUFCd0E1QkFNQUFBQXhBQUFFZ0FZQUFBQUFBZ2dBUHZWaEFPb0pSd0E3QkFFQUFEd0VBUUFBQWdRQ0FCQUFPUVFEQUFBQU1nQUFCSUFIQUFBQUFBSUlBRENnemdCUC9TNEFPd1FCQUFBOEJBRUFBRGtFQXdBQUFETUFBQVNBQ0FBQUFBQUNDQUM1UWJzQVQvMHVBRHNFQVFBQVBBUUJBQUE1QkFNQUFBQTBBQUFFZ0FrQUFBQUFBZ2dBWEQ2QUFFSGpVQUE3QkFFQUFEd0VBUUFBT1FRREFBQUFOUUFBQklBS0FBQUFBQUlJQU1tcmRBREI5a0FBT3dRQkFBQThCQUVBQURrRUF3QUFBRFlBQUFTQUN3QUFBQUFDQ0FCazMxRUEvVGxtQURzRUFRQUFQQVFCQUFBNUJBTUFBQUEzQUFBRWdBd0FBQUFBQWdnQWxSM2FBTS9wUGdBN0JBRUFBRHdFQVFBQUFnUUNBQkFBT1FRREFBQUFPQUFBQklBTkFBQUFBQUlJQVBGSDJnQjE1eDRBT3dRQkFBQThCQUVBQURrRUF3QUFBRGtBQUFTQURnQUFBQUFDQ0FCR3F1d0FyaFU1QURzRUFRQUFQQVFCQUFBNUJBUUFBQUF4TUFBQUJJQVBBQUFBQUFJSUFNVFFQd0FJOEYwQU93UUJBQUE4QkFFQUFEa0VCQUFBQURFeEFBQUVnQkFBQUFBQUFnZ0FZbWl4QUFBQUhnQTdCQUVBQUR3RUFRQUFBZ1FDQUFnQU9RUUVBQUFBTVRJQUFBU0FFUUFBQUFBQ0NBQjgvdXdBK0NNbEFEc0VBUUFBUEFRQkFBQTVCQVFBQUFBeE13QUFCSUFTQUFBQUFBSUlBR0pvc1FEeTVUOEFPd1FCQUFBOEJBRUFBQUlFQWdBSEFEa0VCQUFBQURFMEFBQUVnQk1BQUFBQUFnZ0FYZHlUQUVIalVBQTdCQUVBQUR3RUFRQUFPUVFFQUFBQU1UVUFBQVNBRkFBQUFBQUNDQUNmRGpBQW1vSnBBRHNFQVFBQVBBUUJBQUE1QkFRQUFBQXhOZ0FBQklBVkFBQUFBQUlJQUxTMW5RRHk1VDhBT3dRQkFBQThCQUVBQURrRUJBQUFBREUzQUFBRWdCWUFBQUFBQWdnQS8vOGRBQ3gzWVFBN0JBRUFBRHdFQVFBQUFnUUNBQWtBT1FRRUFBQUFNVGdBQUFTQUZ3QUFBQUFDQ0FCVjdGTUFxK3g1QURzRUFRQUFQQVFCQUFBNUJBUUFBQUF4T1FBQUJJQVlBQUFBQUFJSUFDanJRd0ErZjRVQU93UUJBQUE4QkFFQUFEa0VCQUFBQURJd0FBQUVnQmtBQUFBQUFnZ0FFaHd5QUNOZmZRQTdCQUVBQUR3RUFRQUFPUVFFQUFBQU1qRUFBQVdBR2dBQUFBUUdCQUFGQUFBQUJRWUVBQVFBQUFBQUJnSUFBZ0FMQmhBQUFBQUFBQjRBQUFBYkFBQUFJQUFBQUFBQUJZQWJBQUFBQkFZRUFBWUFBQUFGQmdRQUJBQUFBQUFBQllBY0FBQUFCQVlFQUFjQUFBQUZCZ1FBQ0FBQUFBQUFCWUFkQUFBQUJBWUVBQWdBQUFBRkJnUUFFZ0FBQUFBQUJZQWVBQUFBQkFZRUFBa0FBQUFGQmdRQUJRQUFBQUFBQllBZkFBQUFCQVlFQUFvQUFBQUZCZ1FBQmdBQUFBQUFCWUFnQUFBQUJBWUVBQXNBQUFBRkJnUUFCQUFBQUFBQUJZQWhBQUFBQkFZRUFBd0FBQUFGQmdRQUJ3QUFBQUFBQllBaUFBQUFCQVlFQUEwQUFBQUZCZ1FBQndBQUFBQUdBZ0FDQUFzR0VBQW1BQUFBQUFBQUFCd0FBQUFoQUFBQUFBQUZnQ01BQUFBRUJnUUFEZ0FBQUFVR0JBQU1BQUFBQUFBRmdDUUFBQUFFQmdRQUR3QUFBQVVHQkFBTEFBQUFBQUFGZ0NVQUFBQUVCZ1FBRUFBQUFBVUdCQUFJQUFBQUFBWUNBQUlBQUFBRmdDWUFBQUFFQmdRQUVRQUFBQVVHQkFBTkFBQUFBQUFGZ0NjQUFBQUVCZ1FBRWdBQUFBVUdCQUFWQUFBQUFBQUZnQ2dBQUFBRUJnUUFFd0FBQUFVR0JBQUpBQUFBQUFBRmdDa0FBQUFFQmdRQUZBQUFBQVVHQkFBUEFBQUFBQVlDQUFJQUN3WVFBQ3NBQUFBd0FBQUFKQUFBQUFBQUFBQUFBQVdBS2dBQUFBUUdCQUFWQUFBQUJRWUVBQk1BQUFBQUFBV0FLd0FBQUFRR0JBQVdBQUFBQlFZRUFCUUFBQUFBQUFXQUxBQUFBQVFHQkFBWEFBQUFCUVlFQUFzQUFBQUFCZ0lBQWdBTEJoQUFMUUFBQUFBQUFBQWdBQUFBSkFBQUFBQUFCWUF0QUFBQUJBWUVBQmdBQUFBRkJnUUFGd0FBQUFBQUJZQXVBQUFBQkFZRUFCa0FBQUFGQmdRQUdBQUFBQUFHQWdBQ0FBc0dFQUFBQUFBQU1BQUFBQzBBQUFBQUFBQUFBQUFGZ0M4QUFBQUVCZ1FBQ2dBQUFBVUdCQUFKQUFBQUFBWUNBQUlBQ3dZUUFBQUFBQUFmQUFBQUhnQUFBQ2dBQUFBQUFBV0FNQUFBQUFRR0JBQVVBQUFBQlFZRUFCa0FBQUFBQUFXQU1RQUFBQVFHQkFBT0FBQUFCUVlFQUJFQUFBQUFCZ0lBQWdBTEJoQUFBQUFBQUNNQUFBQW1BQUFBQUFBQUFBQUFBQUFBQUFBQUFBQT0=</t>
        </r>
      </text>
    </comment>
    <comment ref="B25" authorId="0">
      <text>
        <r>
          <rPr>
            <b/>
            <sz val="9"/>
            <color indexed="81"/>
            <rFont val="Tahoma"/>
            <family val="2"/>
          </rPr>
          <t>QzE5SDE3Rk4yTzJTfENoZW1PZmZpY2UxUGljdHVyZSAxMTZ8Vm1wRFJEQXhNREFFQXdJQkFBQUFBQUFBQUFBQUFBQ0FBUUFBQUFNQUtnQUFBRU5USUVORVdDQmtjbWwyWlhJZ015NHdJQzhnU25WdUlERTVJREUxT2pNNE9qQTJJREl3TVRJRUFoQUFtdEFKL3dBQUhnQUJBT0wvUG4rRkFBRUpDQUFBQUFBQUFBQUFBQUlKQ0FBQUFBQUFBQUFBQUFVSUJBQUFBQjRBQUFNeUFBZ0EvLy8vLy8vL0FBQUFBQUFBLy84QUFBQUFBQUFBQVAvLy8vLy8vd0FBQUFELy93QUFBQUQvLy8vLy8vOEFBUC8vQVlBQ0FBQUFBNEFEQUFBQUJJQUVBQUFBQUFJSUFBZWhZUUNZdkZvQU93UUJBQUE4QkFFQUFEa0VBd0FBQURBQUFBU0FCUUFBQUFBQ0NBREpxM1FBRy9sZ0FEc0VBUUFBUEFRQkFBQUNCQUlBQndBNUJBTUFBQUF4QUFBRWdBWUFBQUFBQWdnQUVPQmhBSmNlUndBN0JBRUFBRHdFQVFBQUFnUUNBQkFBT1FRREFBQUFNZ0FBQklBSEFBQUFBQUlJQU9YenpnQlAvUzRBT3dRQkFBQThCQUVBQURrRUF3QUFBRE1BQUFTQUNBQUFBQUFDQ0FDTExMc0FULzB1QURzRUFRQUFQQVFCQUFBNUJBTUFBQUEwQUFBRWdBa0FBQUFBQWdnQVhENkFBRUhqVUFBN0JBRUFBRHdFQVFBQU9RUURBQUFBTlFBQUJJQUtBQUFBQUFJSUFNbXJkQUR2QzBFQU93UUJBQUE4QkFFQUFEa0VBd0FBQURZQUFBU0FDd0FBQUFBQ0NBRGkzbEVBSzA5bUFEc0VBUUFBUEFRQkFBQTVCQU1BQUFBM0FBQUVnQXdBQUFBQUFnZ0FoM25ZQUtjNVFBQTdCQUVBQUR3RUFRQUFPUVFEQUFBQU9BQUFCSUFOQUFBQUFBSUlBTVRRUHdDMEJGNEFPd1FCQUFBOEJBRUFBRGtFQXdBQUFEa0FBQVNBRGdBQUFBQUNDQUE4a3JFQUxSVWVBRHNFQVFBQVBBUUJBQUFDQkFJQUNBQTVCQVFBQUFBeE1BQUFCSUFQQUFBQUFBSUlBT0Zuc1FDZitqOEFPd1FCQUFBOEJBRUFBQUlFQWdBSEFEa0VCQUFBQURFeEFBQUVnQkFBQUFBQUFnZ0EzTnVUQUVIalVBQTdCQUVBQUR3RUFRQUFPUVFFQUFBQU1USUFBQVNBRVFBQUFBQUNDQUNmRGpBQVI1ZHBBRHNFQVFBQVBBUUJBQUE1QkFRQUFBQXhNd0FBQklBU0FBQUFBQUlJQURPMW5RQ2YrajhBT3dRQkFBQThCQUVBQURrRUJBQUFBREUwQUFBRWdCTUFBQUFBQWdnQS8vOGRBRnFNWVFBN0JBRUFBRHdFQVFBQUFnUUNBQWtBT1FRRUFBQUFNVFVBQUFTQUZBQUFBQUFDQ0FCaG85Z0FObFFlQURzRUFRQUFQQVFCQUFBNUJBUUFBQUF4TmdBQUJJQVZBQUFBQUFJSUFBS0x6Z0QzTmxFQU93UUJBQUE4QkFFQUFBSUVBZ0FJQURrRUJBQUFBREUzQUFBRWdCWUFBQUFBQWdnQVZleFRBS3ZzZVFBN0JBRUFBRHdFQVFBQU9RUUVBQUFBTVRnQUFBU0FGd0FBQUFBQ0NBQW82ME1BUG4rRkFEc0VBUUFBUEFRQkFBQTVCQVFBQUFBeE9RQUFCSUFZQUFBQUFBSUlBQWNYN0FDd2VFQUFPd1FCQUFBOEJBRUFBRGtFQkFBQUFESXdBQUFFZ0JrQUFBQUFBZ2dBa1JzeUFDTmZmUUE3QkFFQUFEd0VBUUFBT1FRRUFBQUFNakVBQUFTQUdnQUFBQUFDQ0FCNnJyb0FTaUpSQURzRUFRQUFQQVFCQUFBNUJBUUFBQUF5TWdBQUJJQWJBQUFBQUFJSUFBY1g3QUFBQUI0QU93UUJBQUE4QkFFQUFEa0VCQUFBQURJekFBQUVnQndBQUFBQUFnZ0FaaS8yQUlWUkx3QTdCQUVBQUR3RUFRQUFPUVFFQUFBQU1qUUFBQVdBSFFBQUFBUUdCQUFGQUFBQUJRWUVBQVFBQUFBQUJnSUFBZ0FMQmhBQUFBQUFBQ0VBQUFBZUFBQUFJd0FBQUFBQUJZQWVBQUFBQkFZRUFBWUFBQUFGQmdRQUJBQUFBQUFBQllBZkFBQUFCQVlFQUFjQUFBQUZCZ1FBQ0FBQUFBQUFCWUFnQUFBQUJBWUVBQWdBQUFBRkJnUUFEd0FBQUFBQUJZQWhBQUFBQkFZRUFBa0FBQUFGQmdRQUJRQUFBQUFBQllBaUFBQUFCQVlFQUFvQUFBQUZCZ1FBQmdBQUFBQUFCWUFqQUFBQUJBWUVBQXNBQUFBRkJnUUFCQUFBQUFBQUJZQWtBQUFBQkFZRUFBd0FBQUFGQmdRQUJ3QUFBQUFBQllBbEFBQUFCQVlFQUEwQUFBQUZCZ1FBQ3dBQUFBQUFCWUFtQUFBQUJBWUVBQTRBQUFBRkJnUUFDQUFBQUFBR0FnQUNBQUFBQllBbkFBQUFCQVlFQUE4QUFBQUZCZ1FBRWdBQUFBQUFCWUFvQUFBQUJBWUVBQkFBQUFBRkJnUUFDUUFBQUFBQUJZQXBBQUFBQkFZRUFCRUFBQUFGQmdRQURRQUFBQUFHQWdBQ0FBc0dFQUFyQUFBQU5nQUFBQ1VBQUFBQUFBQUFBQUFGZ0NvQUFBQUVCZ1FBRWdBQUFBVUdCQUFRQUFBQUFBQUZnQ3NBQUFBRUJnUUFFd0FBQUFVR0JBQVJBQUFBQUFBRmdDd0FBQUFFQmdRQUZBQUFBQVVHQkFBSEFBQUFBQVlDQUFJQUN3WVFBRE1BQUFBQUFBQUFId0FBQUNRQUFBQUFBQVdBTFFBQUFBUUdCQUFWQUFBQUJRWUVBQXdBQUFBQUFBV0FMZ0FBQUFRR0JBQVdBQUFBQlFZRUFBc0FBQUFBQmdJQUFnQUxCaEFBTHdBQUFBQUFBQUFqQUFBQUpRQUFBQUFBQllBdkFBQUFCQVlFQUJjQUFBQUZCZ1FBRmdBQUFBQUFCWUF3QUFBQUJBWUVBQmdBQUFBRkJnUUFEQUFBQUFBR0FnQUNBQXNHRUFBQUFBQUFOd0FBQUNRQUFBQXRBQUFBQUFBRmdERUFBQUFFQmdRQUdRQUFBQVVHQkFBWEFBQUFBQVlDQUFJQUN3WVFBQUFBQUFBMkFBQUFMd0FBQUFBQUFBQUFBQVdBTWdBQUFBUUdCQUFhQUFBQUJRWUVBQlVBQUFBQUFBV0FNd0FBQUFRR0JBQWJBQUFBQlFZRUFCUUFBQUFBQUFXQU5BQUFBQVFHQkFBY0FBQUFCUVlFQUJzQUFBQUFCZ0lBQWdBTEJoQUFBQUFBQURjQUFBQXpBQUFBQUFBQUFBQUFCWUExQUFBQUJBWUVBQW9BQUFBRkJnUUFDUUFBQUFBR0FnQUNBQXNHRUFBQUFBQUFJZ0FBQUNFQUFBQW9BQUFBQUFBRmdEWUFBQUFFQmdRQUVRQUFBQVVHQkFBWkFBQUFBQUFGZ0RjQUFBQUVCZ1FBSEFBQUFBVUdCQUFZQUFBQUFBQUFBQUFBQUFBQUFBPT0=</t>
        </r>
      </text>
    </comment>
    <comment ref="B26" authorId="0">
      <text>
        <r>
          <rPr>
            <b/>
            <sz val="9"/>
            <color indexed="81"/>
            <rFont val="Tahoma"/>
            <family val="2"/>
          </rPr>
          <t>QzE2SDE5Rk4yT1N8Q2hlbU9mZmljZTFQaWN0dXJlIDIwfFZtcERSREF4TURBRUF3SUJBQUFBQUFBQUFBQUFBQUNBQVFBQUFBTUFLZ0FBQUVOVElFTkVXQ0JrY21sMlpYSWdNeTR3SUM4Z1NuVnVJREU1SURFMU9qTTRPakF4SURJd01USUVBaEFBbjF3bi93QUFIZ0FCQU9ML1hhR0hBQUVKQ0FBQUFBQUFBQUFBQUFJSkNBQUFBQUFBQUFBQUFBVUlCQUFBQUI0QUFBTXlBQWdBLy8vLy8vLy9BQUFBQUFBQS8vOEFBQUFBQUFBQUFQLy8vLy8vL3dBQUFBRC8vd0FBQUFELy8vLy8vLzhBQVAvL0FZQUNBQUFBQTRBREFBQUFCSUFFQUFBQUFBSUlBQWVoWVFDS3lWd0FPd1FCQUFBOEJBRUFBRGtFQXdBQUFEQUFBQVNBQlFBQUFBQUNDQURKcTNRQU9odGpBRHNFQVFBQVBBUUJBQUFDQkFJQUJ3QTVCQU1BQUFBeEFBQUVnQVlBQUFBQUFnZ0FFT0JoQUlnclNRQTdCQUVBQUR3RUFRQUFBZ1FDQUJBQU9RUURBQUFBTWdBQUJJQUhBQUFBQUFJSUFGdytnQURmQkZNQU93UUJBQUE4QkFFQUFEa0VBd0FBQURNQUFBU0FDQUFBQUFBQ0NBQ0xMTHNBYmg4eEFEc0VBUUFBUEFRQkFBQTVCQU1BQUFBMEFBQUVnQWtBQUFBQUFnZ0F5YXQwQUE0dVF3QTdCQUVBQUR3RUFRQUFPUVFEQUFBQU5RQUFCSUFLQUFBQUFBSUlBT0xlVVFESmNHZ0FPd1FCQUFBOEJBRUFBRGtFQXdBQUFEWUFBQVNBQ3dBQUFBQUNDQUF3b000QWJoOHhBRHNFQVFBQVBBUUJBQUE1QkFNQUFBQTNBQUFFZ0F3QUFBQUFBZ2dBeE5BL0FLWVJZQUE3QkFFQUFEd0VBUUFBT1FRREFBQUFPQUFBQklBTkFBQUFBQUlJQU9GbnNRRHhEQ0FBT3dRQkFBQThCQUVBQUFJRUFnQUlBRGtFQXdBQUFEa0FBQVNBRGdBQUFBQUNDQURoWjdFQXZoeENBRHNFQVFBQVBBUUJBQUFDQkFJQUJ3QTVCQVFBQUFBeE1BQUFCSUFQQUFBQUFBSUlBTnpia3dEZkJGTUFPd1FCQUFBOEJBRUFBRGtFQkFBQUFERXhBQUFFZ0JBQUFBQUFBZ2dBY2ZrdkFHZTVhd0E3QkFFQUFEd0VBUUFBT1FRRUFBQUFNVElBQUFTQUVRQUFBQUFDQ0FDR29KMEF2aHhDQURzRUFRQUFQQVFCQUFBNUJBUUFBQUF4TXdBQUJJQVNBQUFBQUFJSUFQLy9IUUI2cm1NQU93UUJBQUE4QkFFQUFBSUVBZ0FKQURrRUJBQUFBREUwQUFBRWdCTUFBQUFBQWdnQVZleFRBTW9PZkFBN0JBRUFBRHdFQVFBQU9RUUVBQUFBTVRVQUFBU0FGQUFBQUFBQ0NBQW82ME1BWGFHSEFEc0VBUUFBUEFRQkFBQTVCQVFBQUFBeE5nQUFCSUFWQUFBQUFBSUlBRmxrMkFCTk55QUFPd1FCQUFBOEJBRUFBRGtFQkFBQUFERTNBQUFFZ0JZQUFBQUFBZ2dBWWFQWUFMNGNRZ0E3QkFFQUFEd0VBUUFBT1FRRUFBQUFNVGdBQUFTQUZ3QUFBQUFDQ0FBZ1Nza0FBQUFlQURzRUFRQUFQQVFCQUFBNUJBUUFBQUF4T1FBQUJJQVlBQUFBQUFJSUFPUUdNZ0JDZ1g4QU93UUJBQUE4QkFFQUFEa0VCQUFBQURJd0FBQUZnQmtBQUFBRUJnUUFCUUFBQUFVR0JBQUVBQUFBQUFZQ0FBSUFDd1lRQUFBQUFBQWJBQUFBR2dBQUFCNEFBQUFBQUFXQUdnQUFBQVFHQkFBR0FBQUFCUVlFQUFRQUFBQUFBQVdBR3dBQUFBUUdCQUFIQUFBQUJRWUVBQVVBQUFBQUFBV0FIQUFBQUFRR0JBQUlBQUFBQlFZRUFBNEFBQUFBQUFXQUhRQUFBQVFHQkFBSkFBQUFCUVlFQUFZQUFBQUFBQVdBSGdBQUFBUUdCQUFLQUFBQUJRWUVBQVFBQUFBQUFBV0FId0FBQUFRR0JBQUxBQUFBQlFZRUFBZ0FBQUFBQUFXQUlBQUFBQVFHQkFBTUFBQUFCUVlFQUFvQUFBQUFBQVdBSVFBQUFBUUdCQUFOQUFBQUJRWUVBQWdBQUFBQUJnSUFBZ0FBQUFXQUlnQUFBQVFHQkFBT0FBQUFCUVlFQUJFQUFBQUFBQVdBSXdBQUFBUUdCQUFQQUFBQUJRWUVBQWNBQUFBQUFBV0FKQUFBQUFRR0JBQVFBQUFBQlFZRUFBd0FBQUFBQmdJQUFnQUxCaEFBSmdBQUFDNEFBQUFnQUFBQUFBQUFBQUFBQllBbEFBQUFCQVlFQUJFQUFBQUZCZ1FBRHdBQUFBQUFCWUFtQUFBQUJBWUVBQklBQUFBRkJnUUFFQUFBQUFBQUJZQW5BQUFBQkFZRUFCTUFBQUFGQmdRQUNnQUFBQUFHQWdBQ0FBc0dFQUFvQUFBQUFBQUFBQjRBQUFBZ0FBQUFBQUFGZ0NnQUFBQUVCZ1FBRkFBQUFBVUdCQUFUQUFBQUFBQUZnQ2tBQUFBRUJnUUFGUUFBQUFVR0JBQUxBQUFBQUFBRmdDb0FBQUFFQmdRQUZnQUFBQVVHQkFBTEFBQUFBQUFGZ0NzQUFBQUVCZ1FBRndBQUFBVUdCQUFMQUFBQUFBQUZnQ3dBQUFBRUJnUUFHQUFBQUFVR0JBQVVBQUFBQUFZQ0FBSUFDd1lRQUFBQUFBQXVBQUFBS0FBQUFBQUFBQUFBQUFXQUxRQUFBQVFHQkFBSkFBQUFCUVlFQUFjQUFBQUFCZ0lBQWdBTEJoQUFBQUFBQUIwQUFBQWJBQUFBSXdBQUFBQUFCWUF1QUFBQUJBWUVBQkFBQUFBRkJnUUFHQUFBQUFBQUFBQUFBQUFBQUFBPQ==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QzE2SDEyQnJGTjJPMlN8Q2hlbU9mZmljZTFQaWN0dXJlIDIyM3xWbXBEUkRBeE1EQUVBd0lCQUFBQUFBQUFBQUFBQUFDQUFRQUFBQU1BS2dBQUFFTlRJRU5FV0NCa2NtbDJaWElnTXk0d0lDOGdTblZ1SURFNUlERTFPak00T2pFeElESXdNVElFQWhBQWp3WUgvd0FBSGdBQkFPTC94MitKQUFFSkNBQUFBQUFBQUFBQUFBSUpDQUFBQUFBQUFBQUFBQVVJQkFBQUFCNEFBQU15QUFnQS8vLy8vLy8vQUFBQUFBQUEvLzhBQUFBQUFBQUFBUC8vLy8vLy93QUFBQUQvL3dBQUFBRC8vLy8vLy84QUFQLy9BWUFDQUFBQUE0QURBQUFBQklBRUFBQUFBQUlJQUFsbmNBQWtPR0VBT3dRQkFBQThCQUVBQUFJRUFnQUhBRGtFQXdBQUFEQUFBQVNBQlFBQUFBQUNDQUIrc0YwQWV5VmJBRHNFQVFBQVBBUUJBQUE1QkFNQUFBQXhBQUFFZ0FZQUFBQUFBZ2dBTHU3S0FLc25Md0E3QkFFQUFEd0VBUUFBT1FRREFBQUFNZ0FBQklBSEFBQUFBQUlJQUg2d1hRRE9ja2NBT3dRQkFBQThCQUVBQUFJRUFnQVFBRGtFQXdBQUFETUFBQVNBQ0FBQUFBQUNDQUFVYk5ZQWhUMC9BRHNFQVFBQVBBUUJBQUFDQkFJQUNBQTVCQU1BQUFBMEFBQUVnQWtBQUFBQUFnZ0FjZzNwQUFwQU9RQTdCQUVBQUR3RUFRQUFPUVFEQUFBQU5RQUFCSUFLQUFBQUFBSUlBSGo4dGdDckp5OEFPd1FCQUFBOEJBRUFBRGtFQXdBQUFEWUFBQVNBQ3dBQUFBQUNDQUR2bGRZQVdGQWZBRHNFQVFBQVBBUUJBQUE1QkFNQUFBQTNBQUFFZ0F3QUFBQUFBZ2dBYnVSN0FFb2lVUUE3QkFFQUFEd0VBUUFBT1FRREFBQUFPQUFBQklBTkFBQUFBQUlJQUM4OWNBRDNTa0VBT3dRQkFBQThCQUVBQURrRUF3QUFBRGtBQUFTQURnQUFBQUFDQ0FDWDQrZ0FMM2dsQURzRUFRQUFQQVFCQUFBNUJBUUFBQUF4TUFBQUJJQVBBQUFBQUFJSUFDdlpUUURnb21ZQU93UUJBQUE4QkFFQUFEa0VCQUFBQURFeEFBQUVnQkFBQUFBQUFnZ0FJU090QUFBQUhnQTdCQUVBQUR3RUFRQUFBZ1FDQUFnQU9RUUVBQUFBTVRJQUFBU0FFUUFBQUFBQ0NBQWhJNjBBK2lSQUFEc0VBUUFBUEFRQkFBQUNCQUlBQndBNUJBUUFBQUF4TXdBQUJJQVNBQUFBQUFJSUFBM0xPd0R6bDE0QU93UUJBQUE4QkFFQUFEa0VCQUFBQURFMEFBQUVnQk1BQUFBQUFnZ0FudVpQQUxRcmVnQTdCQUVBQUR3RUFRQUFPUVFFQUFBQU1UVUFBQVNBRkFBQUFBQUNDQUJ4K2ZnQXBoRkZBRHNFQVFBQVBBUUJBQUFDQkFJQUl3QTVCQVFBQUFBeE5nQUFCSUFWQUFBQUFBSUlBQnlYandCS0lsRUFPd1FCQUFBOEJBRUFBRGtFQkFBQUFERTNBQUFFZ0JZQUFBQUFBZ2dBTFFFdUFEVGRmUUE3QkFFQUFEd0VBUUFBT1FRRUFBQUFNVGdBQUFTQUZ3QUFBQUFDQ0FEUG1wa0EraVJBQURzRUFRQUFQQVFCQUFBNUJBUUFBQUF4T1FBQUJJQVlBQUFBQUFJSUFJemVLd0NHS21vQU93UUJBQUE4QkFFQUFEa0VCQUFBQURJd0FBQUVnQmtBQUFBQUFnZ0FjZVUvQUhUVGhRQTdCQUVBQUR3RUFRQUFPUVFFQUFBQU1qRUFBQVNBR2dBQUFBQUNDQUQvL3gwQXgyK0pBRHNFQVFBQVBBUUJBQUFDQkFJQUNRQTVCQVFBQUFBeU1nQUFCWUFiQUFBQUJBWUVBQVVBQUFBRkJnUUFCQUFBQUFBR0FnQUNBQXNHRUFBbEFBQUFIUUFBQUNJQUFBQUFBQUFBQUFBRmdCd0FBQUFFQmdRQUJnQUFBQVVHQkFBS0FBQUFBQUFGZ0IwQUFBQUVCZ1FBQndBQUFBVUdCQUFGQUFBQUFBQUZnQjRBQUFBRUJnUUFDQUFBQUFVR0JBQUdBQUFBQUFBRmdCOEFBQUFFQmdRQUNRQUFBQVVHQkFBSUFBQUFBQUFGZ0NBQUFBQUVCZ1FBQ2dBQUFBVUdCQUFSQUFBQUFBQUZnQ0VBQUFBRUJnUUFDd0FBQUFVR0JBQUdBQUFBQUFZQ0FBSUFDd1lRQUFBQUFBQWtBQUFBSGdBQUFCd0FBQUFBQUFXQUlnQUFBQVFHQkFBTUFBQUFCUVlFQUFRQUFBQUFBQVdBSXdBQUFBUUdCQUFOQUFBQUJRWUVBQXdBQUFBQUJnSUFBZ0FMQmhBQUFBQUFBREVBQUFBaUFBQUFLd0FBQUFBQUJZQWtBQUFBQkFZRUFBNEFBQUFGQmdRQUN3QUFBQUFBQllBbEFBQUFCQVlFQUE4QUFBQUZCZ1FBQlFBQUFBQUFCWUFtQUFBQUJBWUVBQkFBQUFBRkJnUUFDZ0FBQUFBR0FnQUNBQUFBQllBbkFBQUFCQVlFQUJFQUFBQUZCZ1FBRndBQUFBQUFCWUFvQUFBQUJBWUVBQklBQUFBRkJnUUFEd0FBQUFBQUJZQXBBQUFBQkFZRUFCTUFBQUFGQmdRQUR3QUFBQUFHQWdBQ0FBc0dFQUF2QUFBQUFBQUFBQ1VBQUFBb0FBQUFBQUFGZ0NvQUFBQUVCZ1FBRkFBQUFBVUdCQUFKQUFBQUFBQUZnQ3NBQUFBRUJnUUFGUUFBQUFVR0JBQU1BQUFBQUFBRmdDd0FBQUFFQmdRQUZnQUFBQVVHQkFBWkFBQUFBQVlDQUFJQUN3WVFBREFBQUFBeUFBQUFMd0FBQUFBQUFBQUFBQVdBTFFBQUFBUUdCQUFYQUFBQUJRWUVBQlVBQUFBQUFBV0FMZ0FBQUFRR0JBQVlBQUFBQlFZRUFCSUFBQUFBQmdJQUFnQUxCaEFBQUFBQUFESUFBQUFvQUFBQUFBQUFBQUFBQllBdkFBQUFCQVlFQUJrQUFBQUZCZ1FBRXdBQUFBQUFCWUF3QUFBQUJBWUVBQm9BQUFBRkJnUUFGZ0FBQUFBQUJZQXhBQUFBQkFZRUFBY0FBQUFGQmdRQURRQUFBQUFBQllBeUFBQUFCQVlFQUJnQUFBQUZCZ1FBRmdBQUFBQUFCWUF6QUFBQUJBWUVBQWtBQUFBRkJnUUFEZ0FBQUFBR0FnQUNBQXNHRUFBcUFBQUFId0FBQUNRQUFBQUFBQUFBQUFBQUFBQUFBQUFBQUE9PQ==</t>
        </r>
      </text>
    </comment>
    <comment ref="B28" authorId="0">
      <text>
        <r>
          <rPr>
            <b/>
            <sz val="9"/>
            <color indexed="81"/>
            <rFont val="Tahoma"/>
            <family val="2"/>
          </rPr>
          <t>QzE5SDE0RjROMk9TfENoZW1PZmZpY2UxUGljdHVyZSAyMTh8Vm1wRFJEQXhNREFFQXdJQkFBQUFBQUFBQUFBQUFBQ0FBUUFBQUFNQUtnQUFBRU5USUVORVdDQmtjbWwyWlhJZ015NHdJQzhnU25WdUlERTVJREUxT2pNNE9qRXhJREl3TVRJRUFoQUFob3o2L2dBQUhnQUJBT0wvUHJxc0FBRUpDQUFBQUFBQUFBQUFBQUlKQ0FBQUFBQUFBQUFBQUFVSUJBQUFBQjRBQUFNeUFBZ0EvLy8vLy8vL0FBQUFBQUFBLy84QUFBQUFBQUFBQVAvLy8vLy8vd0FBQUFELy93QUFBQUQvLy8vLy8vOEFBUC8vQVlBQ0FBQUFBNEFEQUFBQUJJQUVBQUFBQUFJSUFBbG5jQURJbDRRQU93UUJBQUE4QkFFQUFBSUVBZ0FIQURrRUF3QUFBREFBQUFTQUJRQUFBQUFDQ0FEUm0xMEFJSVYrQURzRUFRQUFQQVFCQUFBNUJBTUFBQUF4QUFBRWdBWUFBQUFBQWdnQUMxVHlBSXUyTUFBN0JBRUFBRHdFQVFBQU9RUURBQUFBTWdBQUJJQUhBQUFBQUFJSUFOR2JYUUJ5MG1vQU93UUJBQUE4QkFFQUFBSUVBZ0FRQURrRUF3QUFBRE1BQUFTQUNBQUFBQUFDQ0FEdzVIc0E3b0YwQURzRUFRQUFQQVFCQUFBNUJBTUFBQUEwQUFBRWdBa0FBQUFBQWdnQXkrZTJBQ0Z5VWdBN0JBRUFBRHdFQVFBQU9RUURBQUFBTlFBQUJJQUtBQUFBQUFJSUFLczc2QURTZEVFQU93UUJBQUE4QkFFQUFEa0VBd0FBQURZQUFBU0FDd0FBQUFBQ0NBQXZQWEFBbktwa0FEc0VBUUFBUEFRQkFBQTVCQU1BQUFBM0FBQUVnQXdBQUFBQUFnZ0FubkRLQVBSY1VnQTdCQUVBQUR3RUFRQUFPUVFEQUFBQU9BQUFCSUFOQUFBQUFBSUlBTml5MUFEU2RFRUFPd1FCQUFBOEJBRUFBRGtFQXdBQUFEa0FBQVNBRGdBQUFBQUNDQUNzMlUwQTJPMkpBRHNFQVFBQVBBUUJBQUE1QkFRQUFBQXhNQUFBQklBUEFBQUFBQUlJQUgxTnJRQ2tYMEVBT3dRQkFBQThCQUVBQUFJRUFnQUlBRGtFQkFBQUFERXhBQUFFZ0JBQUFBQUFBZ2dBZEE2dEFIRnZZd0E3QkFFQUFEd0VBUUFBQWdRQ0FBY0FPUVFFQUFBQU1USUFBQVNBRVFBQUFBQUNDQURXWXZrQUFBQWVBRHNFQVFBQVBBUUJBQUFDQkFJQUNRQTVCQVFBQUFBeE13QUFCSUFTQUFBQUFBSUlBSHB6QlFGY2VUVUFPd1FCQUFBOEJBRUFBQUlFQWdBSkFEa0VCQUFBQURFMEFBQUVnQk1BQUFBQUFnZ0FSbS9nQUY4WUtBQTdCQUVBQUR3RUFRQUFBZ1FDQUFrQU9RUUVBQUFBTVRVQUFBU0FGQUFBQUFBQ0NBQU55enNBYXVLQkFEc0VBUUFBUEFRQkFBQTVCQVFBQUFBeE5nQUFCSUFWQUFBQUFBSUlBSjdtVHdCWWk1MEFPd1FCQUFBOEJBRUFBRGtFQkFBQUFERTNBQUFFZ0JZQUFBQUFBZ2dBYjRLUEFPNkJkQUE3QkFFQUFEd0VBUUFBT1FRRUFBQUFNVGdBQUFTQUZ3QUFBQUFDQ0FBdEFTNEEyVHloQURzRUFRQUFQQVFCQUFBNUJBUUFBQUF4T1FBQUJJQVlBQUFBQUFJSUFNK2FtUUJ4YjJNQU93UUJBQUE4QkFFQUFEa0VCQUFBQURJd0FBQUVnQmtBQUFBQUFnZ0FuL28vQUJrenFRQTdCQUVBQUR3RUFRQUFPUVFFQUFBQU1qRUFBQVNBR2dBQUFBQUNDQUM2OHlzQUs0cU5BRHNFQVFBQVBBUUJBQUE1QkFRQUFBQXlNZ0FBQklBYkFBQUFBQUlJQVAvL0hRQSt1cXdBT3dRQkFBQThCQUVBQUFJRUFnQUpBRGtFQkFBQUFESXpBQUFFZ0J3QUFBQUFBZ2dBQWhYeUFGakdVZ0E3QkFFQUFEd0VBUUFBT1FRRUFBQUFNalFBQUFTQUhRQUFBQUFDQ0FEK2lOUUFjVzlqQURzRUFRQUFQQVFCQUFBNUJBUUFBQUF5TlFBQUJJQWVBQUFBQUFJSUFLczc2QUNudzJNQU93UUJBQUE4QkFFQUFEa0VCQUFBQURJMkFBQUZnQjhBQUFBRUJnUUFCUUFBQUFVR0JBQUVBQUFBQUFZQ0FBSUFDd1lRQUNnQUFBQWhBQUFBSWdBQUFBQUFBQUFBQUFXQUlBQUFBQVFHQkFBR0FBQUFCUVlFQUFvQUFBQUFBQVdBSVFBQUFBUUdCQUFIQUFBQUJRWUVBQVVBQUFBQUFBV0FJZ0FBQUFRR0JBQUlBQUFBQlFZRUFBUUFBQUFBQUFXQUl3QUFBQVFHQkFBSkFBQUFCUVlFQUJBQUFBQUFBQVdBSkFBQUFBUUdCQUFLQUFBQUJRWUVBQTBBQUFBQUFBV0FKUUFBQUFRR0JBQUxBQUFBQlFZRUFBZ0FBQUFBQmdJQUFnQUxCaEFBQUFBQUFEa0FBQUFpQUFBQU1BQUFBQUFBQllBbUFBQUFCQVlFQUF3QUFBQUZCZ1FBQ1FBQUFBQUFCWUFuQUFBQUJBWUVBQTBBQUFBRkJnUUFEQUFBQUFBR0FnQUNBQXNHRUFBa0FBQUFBQUFBQUNZQUFBQTNBQUFBQUFBRmdDZ0FBQUFFQmdRQURnQUFBQVVHQkFBRkFBQUFBQUFGZ0NrQUFBQUVCZ1FBRHdBQUFBVUdCQUFKQUFBQUFBWUNBQUlBQUFBRmdDb0FBQUFFQmdRQUVBQUFBQVVHQkFBWUFBQUFBQUFGZ0NzQUFBQUVCZ1FBRVFBQUFBVUdCQUFHQUFBQUFBQUZnQ3dBQUFBRUJnUUFFZ0FBQUFVR0JBQUdBQUFBQUFBRmdDMEFBQUFFQmdRQUV3QUFBQVVHQkFBR0FBQUFBQUFGZ0M0QUFBQUVCZ1FBRkFBQUFBVUdCQUFPQUFBQUFBQUZnQzhBQUFBRUJnUUFGUUFBQUFVR0JBQU9BQUFBQUFZQ0FBSUFDd1lRQURNQUFBQUFBQUFBS0FBQUFDNEFBQUFBQUFXQU1BQUFBQVFHQkFBV0FBQUFCUVlFQUFnQUFBQUFBQVdBTVFBQUFBUUdCQUFYQUFBQUJRWUVBQmtBQUFBQUJnSUFBZ0FMQmhBQU5RQUFBRG9BQUFBekFBQUFBQUFBQUFBQUJZQXlBQUFBQkFZRUFCZ0FBQUFGQmdRQUZnQUFBQUFBQllBekFBQUFCQVlFQUJrQUFBQUZCZ1FBRlFBQUFBQUFCWUEwQUFBQUJBWUVBQm9BQUFBRkJnUUFGQUFBQUFBR0FnQUNBQXNHRUFBQUFBQUFPZ0FBQUM0QUFBQUFBQUFBQUFBRmdEVUFBQUFFQmdRQUd3QUFBQVVHQkFBWEFBQUFBQUFGZ0RZQUFBQUVCZ1FBSEFBQUFBVUdCQUFlQUFBQUFBQUZnRGNBQUFBRUJnUUFIUUFBQUFVR0JBQU1BQUFBQUFBRmdEZ0FBQUFFQmdRQUhnQUFBQVVHQkFBZEFBQUFBQVlDQUFJQUN3WVFBQUFBQUFBMkFBQUFOd0FBQUFBQUFBQUFBQVdBT1FBQUFBUUdCQUFIQUFBQUJRWUVBQXNBQUFBQUFBV0FPZ0FBQUFRR0JBQWFBQUFBQlFZRUFCY0FBQUFBQUFXQU93QUFBQVFHQkFBS0FBQUFCUVlFQUJ3QUFBQUFCZ0lBQWdBTEJoQUFJQUFBQUNRQUFBQTJBQUFBQUFBQUFBQUFBQUFBQUFBQUFBQT0=</t>
        </r>
      </text>
    </comment>
    <comment ref="B29" authorId="0">
      <text>
        <r>
          <rPr>
            <b/>
            <sz val="9"/>
            <color indexed="81"/>
            <rFont val="Tahoma"/>
            <family val="2"/>
          </rPr>
          <t>QzE5SDE2Q2xGTjJPMlN8Q2hlbU9mZmljZTFQaWN0dXJlIDIxMXxWbXBEUkRBeE1EQUVBd0lCQUFBQUFBQUFBQUFBQUFDQUFRQUFBQU1BS2dBQUFFTlRJRU5FV0NCa2NtbDJaWElnTXk0d0lDOGdTblZ1SURFNUlERTFPak00T2pFd0lESXdNVElFQWhBQUZWamMvZ0FBSGdBQkFPTC93NEdhQUFFSkNBQUFBQUFBQUFBQUFBSUpDQUFBQUFBQUFBQUFBQVVJQkFBQUFCNEFBQU15QUFnQS8vLy8vLy8vQUFBQUFBQUEvLzhBQUFBQUFBQUFBUC8vLy8vLy93QUFBQUQvL3dBQUFBRC8vLy8vLy84QUFQLy9BWUFDQUFBQUE0QURBQUFBQklBRUFBQUFBQUlJQUYxU2NBQk9YM0lBT3dRQkFBQThCQUVBQUFJRUFnQUhBRGtFQXdBQUFEQUFBQVNBQlFBQUFBQUNDQURSbTEwQXBreHNBRHNFQVFBQVBBUUJBQUE1QkFNQUFBQXhBQUFFZ0FZQUFBQUFBZ2dBMFp0ZEFQaVpXQUE3QkFFQUFEd0VBUUFBQWdRQ0FCQUFPUVFEQUFBQU1nQUFCSUFIQUFBQUFBSUlBTUxQZXdCMFNXSUFPd1FCQUFBOEJBRUFBRGtFQXdBQUFETUFBQVNBQ0FBQUFBQUNDQUNDS0hBQUlYSlNBRHNFQVFBQVBBUUJBQUE1QkFNQUFBQTBBQUFFZ0FrQUFBQUFBZ2dBck5sTkFGNjFkd0E3QkFFQUFEd0VBUUFBT1FRREFBQUFOUUFBQklBS0FBQUFBQUlJQUI3VHRnRFZUa0FBT3dRQkFBQThCQUVBQURrRUF3QUFBRFlBQUFTQUN3QUFBQUFDQ0FEUU9LMEFoVkV2QURzRUFRQUFQQVFCQUFBQ0JBSUFDQUE1QkFNQUFBQTNBQUFFZ0F3QUFBQUFBZ2dBelB0UEFONVNpd0E3QkFFQUFEd0VBUUFBT1FRREFBQUFPQUFBQklBTkFBQUFBQUlJQUEzTE93RHdxVzhBT3dRQkFBQThCQUVBQURrRUF3QUFBRGtBQUFTQURnQUFBQUFDQ0FESCthd0FKRXhSQURzRUFRQUFQQVFCQUFBQ0JBSUFCd0E1QkFRQUFBQXhNQUFBQklBUEFBQUFBQUlJQU5peTFBQ0ZVUzhBT3dRQkFBQThCQUVBQUFJRUFnQUlBRGtFQkFBQUFERXhBQUFFZ0JBQUFBQUFBZ2dBdzIyUEFIUkpZZ0E3QkFFQUFEd0VBUUFBT1FRRUFBQUFNVElBQUFTQUVRQUFBQUFDQ0FDQjJjb0ExVTVBQURzRUFRQUFQQVFCQUFBNUJBUUFBQUF4TXdBQUJJQVNBQUFBQUFJSUFORVI2QUNGVVM4QU93UUJBQUE4QkFFQUFEa0VCQUFBQURFMEFBQUVnQk1BQUFBQUFnZ0FMUUV1QUY0RWp3QTdCQUVBQUR3RUFRQUFPUVFFQUFBQU1UVUFBQVNBRkFBQUFBQUNDQUExdGc4QkllZ3VBRHNFQVFBQVBBUUJBQUE1QkFRQUFBQXhOZ0FBQklBVkFBQUFBQUlJQVBSd21RQWtURkVBT3dRQkFBQThCQUVBQURrRUJBQUFBREUzQUFBRWdCWUFBQUFBQWdnQURkOHJBTEJSZXdBN0JBRUFBRHdFQVFBQU9RUUVBQUFBTVRnQUFBU0FGd0FBQUFBQ0NBQ2YrajhBY2VXV0FEc0VBUUFBUEFRQkFBQTVCQVFBQUFBeE9RQUFCSUFZQUFBQUFBSUlBUC8vSFFERGdab0FPd1FCQUFBOEJBRUFBQUlFQWdBSkFEa0VCQUFBQURJd0FBQUVnQmtBQUFBQUFnZ0E2NmNqQVNIb0xnQTdCQUVBQUR3RUFRQUFBZ1FDQUJFQU9RUUVBQUFBTWpFQUFBU0FHZ0FBQUFBQ0NBQUNGZklBQUFBZUFEc0VBUUFBUEFRQkFBQTVCQVFBQUFBeU1nQUFCSUFiQUFBQUFBSUlBTjArOGdDbk9VQUFPd1FCQUFBOEJBRUFBRGtFQkFBQUFESXpBQUFFZ0J3QUFBQUFBZ2dBM3R3RkFhYzVRQUE3QkFFQUFEd0VBUUFBT1FRRUFBQUFNalFBQUFTQUhRQUFBQUFDQ0FEZTNBVUJBQUFlQURzRUFRQUFQQVFCQUFBNUJBUUFBQUF5TlFBQUJZQWVBQUFBQkFZRUFBVUFBQUFGQmdRQUJBQUFBQUFHQWdBQ0FBc0dFQUFpQUFBQUh3QUFBQ0FBQUFBQUFBQUFBQUFGZ0I4QUFBQUVCZ1FBQmdBQUFBVUdCQUFGQUFBQUFBQUZnQ0FBQUFBRUJnUUFCd0FBQUFVR0JBQUVBQUFBQUFBRmdDRUFBQUFFQmdRQUNBQUFBQVVHQkFBSEFBQUFBQVlDQUFJQUN3WVFBQUFBQUFBM0FBQUFJQUFBQUNrQUFBQUFBQVdBSWdBQUFBUUdCQUFKQUFBQUJRWUVBQVVBQUFBQUFBV0FJd0FBQUFRR0JBQUtBQUFBQlFZRUFBNEFBQUFBQUFXQUpBQUFBQVFHQkFBTEFBQUFCUVlFQUFvQUFBQUFCZ0lBQWdBQUFBV0FKUUFBQUFRR0JBQU1BQUFBQlFZRUFBa0FBQUFBQmdJQUFnQUxCaEFBTUFBQUFBQUFBQUFpQUFBQUpnQUFBQUFBQllBbUFBQUFCQVlFQUEwQUFBQUZCZ1FBQ1FBQUFBQUFCWUFuQUFBQUJBWUVBQTRBQUFBRkJnUUFGUUFBQUFBQUJZQW9BQUFBQkFZRUFBOEFBQUFGQmdRQUVRQUFBQUFBQllBcEFBQUFCQVlFQUJBQUFBQUZCZ1FBQndBQUFBQUFCWUFxQUFBQUJBWUVBQkVBQUFBRkJnUUFDZ0FBQUFBQUJZQXJBQUFBQkFZRUFCSUFBQUFGQmdRQUR3QUFBQUFBQllBc0FBQUFCQVlFQUJNQUFBQUZCZ1FBRmdBQUFBQUFCWUF0QUFBQUJBWUVBQlFBQUFBRkJnUUFIQUFBQUFBQUJZQXVBQUFBQkFZRUFCVUFBQUFGQmdRQUVBQUFBQUFBQllBdkFBQUFCQVlFQUJZQUFBQUZCZ1FBRFFBQUFBQUdBZ0FDQUFzR0VBQUFBQUFBTEFBQUFDWUFBQUFBQUFBQUFBQUZnREFBQUFBRUJnUUFGd0FBQUFVR0JBQU1BQUFBQUFBRmdERUFBQUFFQmdRQUdBQUFBQVVHQkFBVEFBQUFBQUFGZ0RJQUFBQUVCZ1FBR1FBQUFBVUdCQUFVQUFBQUFBQUZnRE1BQUFBRUJnUUFHZ0FBQUFVR0JBQVNBQUFBQUFZQ0FBSUFDd1lRQURZQUFBQUFBQUFBS3dBQUFEUUFBQUFBQUFXQU5BQUFBQVFHQkFBYkFBQUFCUVlFQUJJQUFBQUFBQVdBTlFBQUFBUUdCQUFjQUFBQUJRWUVBQnNBQUFBQUJnSUFBZ0FMQmhBQUFBQUFBQzBBQUFBMEFBQUFBQUFBQUFBQUJZQTJBQUFBQkFZRUFCMEFBQUFGQmdRQUdnQUFBQUFBQllBM0FBQUFCQVlFQUFZQUFBQUZCZ1FBQ0FBQUFBQUFCWUE0QUFBQUJBWUVBQk1BQUFBRkJnUUFGd0FBQUFBR0FnQUNBQXNHRUFBeEFBQUFMQUFBQURBQUFBQUFBQUFBQUFBRmdEa0FBQUFFQmdRQUhRQUFBQVVHQkFBVUFBQUFBQVlDQUFJQUN3WVFBRFlBQUFBQUFBQUFNZ0FBQUMwQUFBQUFBQUFBQUFBQUFBQUE=</t>
        </r>
      </text>
    </comment>
    <comment ref="B30" authorId="0">
      <text>
        <r>
          <rPr>
            <b/>
            <sz val="9"/>
            <color indexed="81"/>
            <rFont val="Tahoma"/>
            <family val="2"/>
          </rPr>
          <t>QzE4SDE1RjNONE98Q2hlbU9mZmljZTFQaWN0dXJlIDEyOHxWbXBEUkRBeE1EQUVBd0lCQUFBQUFBQUFBQUFBQUFDQUFRQUFBQU1BS2dBQUFFTlRJRU5FV0NCa2NtbDJaWElnTXk0d0lDOGdTblZ1SURFNUlERTFPak00T2pBMklESXdNVElFQWhBQXFPcVYvd0FBSGdBQUFPTC9yeW55QUFFSkNBQUFBQUFBQUFBQUFBSUpDQUFBQUFBQUFBQUFBQVVJQkFBQUFCNEFBQU15QUFnQS8vLy8vLy8vQUFBQUFBQUEvLzhBQUFBQUFBQUFBUC8vLy8vLy93QUFBQUQvL3dBQUFBRC8vLy8vLy84QUFQLy9BWUFDQUFBQUE0QURBQUFBQklBRUFBQUFBQUlJQUVCRlBRQU5HcW9BT3dRQkFBQThCQUVBQUFJRUFnQUhBRGtFQXdBQUFEQUFBQVNBQlFBQUFBQUNDQUFWOWtzQUFqeTNBRHNFQVFBQVBBUUJBQUE1QkFNQUFBQXhBQUFFZ0FZQUFBQUFBZ2dBa2doZEFLdGlyUUE3QkFFQUFEd0VBUUFBQWdRQ0FBY0FPUVFEQUFBQU1nQUFCSUFIQUFBQUFBSUlBQWtZV1FEYnh6RUFPd1FCQUFBOEJBRUFBRGtFQXdBQUFETUFBQVNBQ0FBQUFBQUNDQUFBMlZnQURpNmFBRHNFQVFBQVBBUUJBQUFDQkFJQUJ3QTVCQU1BQUFBMEFBQUVnQWtBQUFBQUFnZ0FXMlZGQUpzZ21BQTdCQUVBQUR3RUFRQUFPUVFEQUFBQU5RQUFCSUFLQUFBQUFBSUlBRnRsUlFEYnh6RUFPd1FCQUFBOEJBRUFBRGtFQXdBQUFEWUFBQVNBQ3dBQUFBQUNDQUFFakRzQUs4VkNBRHNFQVFBQVBBUUJBQUE1QkFNQUFBQTNBQUFFZ0F3QUFBQUFBZ2dBVzJWRkFGWHNVd0E3QkFFQUFEd0VBUUFBT1FRREFBQUFPQUFBQklBTkFBQUFBQUlJQUFTTU93QngrWVlBT3dRQkFBQThCQUVBQURrRUF3QUFBRGtBQUFTQURnQUFBQUFDQ0FEMTAwa0FyKzdLQURzRUFRQUFQQVFCQUFBNUJBUUFBQUF4TUFBQUJJQVBBQUFBQUFJSUFBa1lXUUJWN0ZNQU93UUJBQUE4QkFFQUFBSUVBZ0FJQURrRUJBQUFBREV4QUFBRWdCQUFBQUFBQWdnQUJJdzdBTkwrWkFBN0JBRUFBRHdFQVFBQUFnUUNBQWNBT1FRRUFBQUFNVElBQUFTQUVRQUFBQUFDQ0FCWUZXb0FoTzRuQURzRUFRQUFQQVFCQUFBQ0JBSUFDUUE1QkFRQUFBQXhNd0FBQklBU0FBQUFBQUlJQUFrWVdRQUFBQjRBT3dRQkFBQThCQUVBQUFJRUFnQUpBRGtFQkFBQUFERTBBQUFFZ0JNQUFBQUFBZ2dBWVBGaUFDdkZRZ0E3QkFFQUFEd0VBUUFBQWdRQ0FBa0FPUVFFQUFBQU1UVUFBQVNBRkFBQUFBQUNDQUJiWlVVQUl2eDFBRHNFQVFBQVBBUUJBQUE1QkFRQUFBQXhOZ0FBQklBVkFBQUFBQUlJQUFTTU93QXdvQ0FBT3dRQkFBQThCQUVBQURrRUJBQUFBREUzQUFBRWdCWUFBQUFBQWdnQVZ0a25BQ3ZGUWdBN0JBRUFBRHdFQVFBQU9RUUVBQUFBTVRnQUFBU0FGd0FBQUFBQ0NBQ0UyamNBd3MvU0FEc0VBUUFBUEFRQkFBQTVCQVFBQUFBeE9RQUFCSUFZQUFBQUFBSUlBQ1BWV1FCQ2dkWUFPd1FCQUFBOEJBRUFBRGtFQkFBQUFESXdBQUFFZ0JrQUFBQUFBZ2dBVnRrbkFEQ2dJQUE3QkFFQUFEd0VBUUFBT1FRRUFBQUFNakVBQUFTQUdnQUFBQUFDQ0FBQUFCNEEyOGN4QURzRUFRQUFQQVFCQUFBNUJBUUFBQUF5TWdBQUJJQWJBQUFBQUFJSUFMREhWd0RuOU9rQU93UUJBQUE4QkFFQUFEa0VCQUFBQURJekFBQUVnQndBQUFBQUFnZ0FQK0kxQUcrQzVnQTdCQUVBQUR3RUFRQUFPUVFFQUFBQU1qUUFBQVNBSFFBQUFBQUNDQUEremtVQXJ5bnlBRHNFQVFBQVBBUUJBQUE1QkFRQUFBQXlOUUFBQllBZUFBQUFCQVlFQUFVQUFBQUZCZ1FBQkFBQUFBQUdBZ0FDQUFzR0VBQW5BQUFBSHdBQUFDSUFBQUFBQUFBQUFBQUZnQjhBQUFBRUJnUUFCZ0FBQUFVR0JBQUZBQUFBQUFBRmdDQUFBQUFFQmdRQUJ3QUFBQVVHQkFBS0FBQUFBQUFGZ0NFQUFBQUVCZ1FBQ0FBQUFBVUdCQUFKQUFBQUFBWUNBQUlBQ3dZUUFBQUFBQUEzQUFBQUlnQUFBQ1lBQUFBQUFBV0FJZ0FBQUFRR0JBQUpBQUFBQlFZRUFBUUFBQUFBQUFXQUl3QUFBQVFHQkFBS0FBQUFCUVlFQUFzQUFBQUFBQVdBSkFBQUFBUUdCQUFMQUFBQUJRWUVBQXdBQUFBQUFBV0FKUUFBQUFRR0JBQU1BQUFBQlFZRUFCQUFBQUFBQUFXQUpnQUFBQVFHQkFBTkFBQUFCUVlFQUFrQUFBQUFBQVdBSndBQUFBUUdCQUFPQUFBQUJRWUVBQVVBQUFBQUFBV0FLQUFBQUFRR0JBQVBBQUFBQlFZRUFBd0FBQUFBQmdJQUFnQUFBQVdBS1FBQUFBUUdCQUFRQUFBQUJRWUVBQlFBQUFBQUFBV0FLZ0FBQUFRR0JBQVJBQUFBQlFZRUFBY0FBQUFBQUFXQUt3QUFBQVFHQkFBU0FBQUFCUVlFQUFjQUFBQUFBQVdBTEFBQUFBUUdCQUFUQUFBQUJRWUVBQWNBQUFBQUFBV0FMUUFBQUFRR0JBQVVBQUFBQlFZRUFBMEFBQUFBQUFXQUxnQUFBQVFHQkFBVkFBQUFCUVlFQUFvQUFBQUFCZ0lBQWdBTEJoQUFPUUFBQUFBQUFBQWdBQUFBSXdBQUFBQUFCWUF2QUFBQUJBWUVBQllBQUFBRkJnUUFDd0FBQUFBR0FnQUNBQXNHRUFBQUFBQUFNd0FBQUNNQUFBQWtBQUFBQUFBRmdEQUFBQUFFQmdRQUZ3QUFBQVVHQkFBT0FBQUFBQVlDQUFJQUN3WVFBRFVBQUFBQUFBQUFKd0FBQURFQUFBQUFBQVdBTVFBQUFBUUdCQUFZQUFBQUJRWUVBQTRBQUFBQUFBV0FNZ0FBQUFRR0JBQVpBQUFBQlFZRUFCb0FBQUFBQmdJQUFnQUxCaEFBQUFBQUFEa0FBQUF6QUFBQUFBQUFBQUFBQllBekFBQUFCQVlFQUJvQUFBQUZCZ1FBRmdBQUFBQUFCWUEwQUFBQUJBWUVBQnNBQUFBRkJnUUFHQUFBQUFBR0FnQUNBQXNHRUFBQUFBQUFOZ0FBQURFQUFBQUFBQUFBQUFBRmdEVUFBQUFFQmdRQUhBQUFBQVVHQkFBWEFBQUFBQUFGZ0RZQUFBQUVCZ1FBSFFBQUFBVUdCQUFiQUFBQUFBQUZnRGNBQUFBRUJnUUFCZ0FBQUFVR0JBQUlBQUFBQUFBRmdEZ0FBQUFFQmdRQUhBQUFBQVVHQkFBZEFBQUFBQVlDQUFJQUN3WVFBQUFBQUFBMUFBQUFOZ0FBQUFBQUFBQUFBQVdBT1FBQUFBUUdCQUFWQUFBQUJRWUVBQmtBQUFBQUFBQUFBQUFBQUFBQQ==</t>
        </r>
      </text>
    </comment>
    <comment ref="B31" authorId="0">
      <text>
        <r>
          <rPr>
            <b/>
            <sz val="9"/>
            <color indexed="81"/>
            <rFont val="Tahoma"/>
            <family val="2"/>
          </rPr>
          <t>QzE3SDE1Q2xONE98Q2hlbU9mZmljZTFQaWN0dXJlIDUwfFZtcERSREF4TURBRUF3SUJBQUFBQUFBQUFBQUFBQUNBQVFBQUFBTUFLZ0FBQUVOVElFTkVXQ0JrY21sMlpYSWdNeTR3SUM4Z1NuVnVJREU1SURFMU9qTTRPakF5SURJd01USUVBaEFBUU9LaS93QUFIZ0FCQU9ML3BGL3ZBQUVKQ0FBQUFBQUFBQUFBQUFJSkNBQUFBQUFBQUFBQUFBVUlCQUFBQUI0QUFBTXlBQWdBLy8vLy8vLy9BQUFBQUFBQS8vOEFBQUFBQUFBQUFQLy8vLy8vL3dBQUFBRC8vd0FBQUFELy8vLy8vLzhBQVAvL0FZQUNBQUFBQTRBREFBQUFCSUFFQUFBQUFBSUlBSnh2UFFBQ1VLY0FPd1FCQUFBOEJBRUFBQUlFQWdBSEFEa0VBd0FBQURBQUFBU0FCUUFBQUFBQ0NBQ1c5a3NBMFp1MEFEc0VBUUFBUEFRQkFBQTVCQU1BQUFBeEFBQUVnQVlBQUFBQUFnZ0F3QjFkQUhyQ3FnQTdCQUVBQUR3RUFRQUFBZ1FDQUFjQU9RUURBQUFBTWdBQUJJQUhBQUFBQUFJSUFGd0RXUUN3ZUpjQU93UUJBQUE4QkFFQUFBSUVBZ0FIQURrRUF3QUFBRE1BQUFTQUNBQUFBQUFDQ0FDdVVFVUFrRmFWQURzRUFRQUFQQVFCQUFBNUJBTUFBQUEwQUFBRWdBa0FBQUFBQWdnQUJJdzdBS2M1UUFBN0JBRUFBRHdFQVFBQU9RUURBQUFBTlFBQUJJQUtBQUFBQUFJSUFLNVFSUUQzTmxFQU93UUJBQUE4QkFFQUFEa0VBd0FBQURZQUFBU0FDd0FBQUFBQ0NBQ3VVRVVBVC8wdUFEc0VBUUFBUEFRQkFBQTVCQU1BQUFBM0FBQUVnQXdBQUFBQUFnZ0FCSXc3QUVGWmhBQTdCQUVBQUR3RUFRQUFPUVFEQUFBQU9BQUFCSUFOQUFBQUFBSUlBRkgrU1FCUk9jZ0FPd1FCQUFBOEJBRUFBRGtFQXdBQUFEa0FBQVNBRGdBQUFBQUNDQUJjQTFrQTl6WlJBRHNFQVFBQVBBUUJBQUFDQkFJQUNBQTVCQVFBQUFBeE1BQUFCSUFQQUFBQUFBSUlBQVNNT3dCR05HSUFPd1FCQUFBOEJBRUFBQUlFQWdBSEFEa0VCQUFBQURFeEFBQUVnQkFBQUFBQUFnZ0FybEJGQVBGYmN3QTdCQUVBQUR3RUFRQUFPUVFFQUFBQU1USUFBQVNBRVFBQUFBQUNDQUJjQTFrQVQvMHVBRHNFQVFBQVBBUUJBQUFDQkFJQUVRQTVCQVFBQUFBeE13QUFCSUFTQUFBQUFBSUlBRmJaSndDbk9VQUFPd1FCQUFBOEJBRUFBRGtFQkFBQUFERTBBQUFFZ0JNQUFBQUFBZ2dBQkl3N0FBQUFIZ0E3QkFFQUFEd0VBUUFBT1FRRUFBQUFNVFVBQUFTQUZBQUFBQUFDQ0FCUjZsa0E1TXZUQURzRUFRQUFQQVFCQUFBNUJBUUFBQUF4TmdBQUJJQVZBQUFBQUFJSUFJd1pPQUNSTDlBQU93UUJBQUE4QkFFQUFEa0VCQUFBQURFM0FBQUVnQllBQUFBQUFnZ0EvLzhkQUUvOUxnQTdCQUVBQUR3RUFRQUFPUVFFQUFBQU1UZ0FBQVNBRndBQUFBQUNDQUF4eUZjQXQxVG5BRHNFQVFBQVBBUUJBQUE1QkFRQUFBQXhPUUFBQklBWUFBQUFBQUlJQUpzTU5nQVJ6ZU1BT3dRQkFBQThCQUVBQURrRUJBQUFBREl3QUFBRWdCa0FBQUFBQWdnQVZ0a25BQUFBSGdBN0JBRUFBRHdFQVFBQU9RUUVBQUFBTWpFQUFBU0FHZ0FBQUFBQ0NBQy96a1VBcEYvdkFEc0VBUUFBUEFRQkFBQTVCQVFBQUFBeU1nQUFCWUFiQUFBQUJBWUVBQVVBQUFBRkJnUUFCQUFBQUFBR0FnQUNBQXNHRUFBakFBQUFIQUFBQUI0QUFBQUFBQUFBQUFBRmdCd0FBQUFFQmdRQUJnQUFBQVVHQkFBRkFBQUFBQUFGZ0IwQUFBQUVCZ1FBQndBQUFBVUdCQUFJQUFBQUFBWUNBQUlBQ3dZUUFBQUFBQUF4QUFBQUhnQUFBQ0lBQUFBQUFBV0FIZ0FBQUFRR0JBQUlBQUFBQlFZRUFBUUFBQUFBQUFXQUh3QUFBQVFHQkFBSkFBQUFCUVlFQUFvQUFBQUFBQVdBSUFBQUFBUUdCQUFLQUFBQUJRWUVBQThBQUFBQUFBV0FJUUFBQUFRR0JBQUxBQUFBQlFZRUFBa0FBQUFBQmdJQUFnQUxCaEFBS1FBQUFDY0FBQUFmQUFBQUtBQUFBQUFBQllBaUFBQUFCQVlFQUF3QUFBQUZCZ1FBQ0FBQUFBQUFCWUFqQUFBQUJBWUVBQTBBQUFBRkJnUUFCUUFBQUFBQUJZQWtBQUFBQkFZRUFBNEFBQUFGQmdRQUNnQUFBQUFHQWdBQ0FBQUFCWUFsQUFBQUJBWUVBQThBQUFBRkJnUUFFQUFBQUFBQUJZQW1BQUFBQkFZRUFCQUFBQUFGQmdRQURBQUFBQUFBQllBbkFBQUFCQVlFQUJFQUFBQUZCZ1FBQ3dBQUFBQUFCWUFvQUFBQUJBWUVBQklBQUFBRkJnUUFDUUFBQUFBQUJZQXBBQUFBQkFZRUFCTUFBQUFGQmdRQUN3QUFBQUFBQllBcUFBQUFCQVlFQUJRQUFBQUZCZ1FBRFFBQUFBQUFCWUFyQUFBQUJBWUVBQlVBQUFBRkJnUUFEUUFBQUFBR0FnQUNBQXNHRUFBdUFBQUFBQUFBQUNNQUFBQXFBQUFBQUFBRmdDd0FBQUFFQmdRQUZnQUFBQVVHQkFBU0FBQUFBQVlDQUFJQUN3WVFBQUFBQUFBdkFBQUFLQUFBQUFBQUFBQUFBQVdBTFFBQUFBUUdCQUFYQUFBQUJRWUVBQlFBQUFBQUJnSUFBZ0FMQmhBQUFBQUFBRElBQUFBcUFBQUFBQUFBQUFBQUJZQXVBQUFBQkFZRUFCZ0FBQUFGQmdRQUZRQUFBQUFBQllBdkFBQUFCQVlFQUJrQUFBQUZCZ1FBRmdBQUFBQUFCWUF3QUFBQUJBWUVBQm9BQUFBRkJnUUFHQUFBQUFBR0FnQUNBQXNHRUFBQUFBQUFNZ0FBQUM0QUFBQUFBQUFBQUFBRmdERUFBQUFFQmdRQUJnQUFBQVVHQkFBSEFBQUFBQUFGZ0RJQUFBQUVCZ1FBR2dBQUFBVUdCQUFYQUFBQUFBQUZnRE1BQUFBRUJnUUFHUUFBQUFVR0JBQVRBQUFBQUFZQ0FBSUFDd1lRQUFBQUFBQXZBQUFBS1FBQUFBQUFBQUFBQUFBQUFBQUFBQUFB</t>
        </r>
      </text>
    </comment>
    <comment ref="B32" authorId="0">
      <text>
        <r>
          <rPr>
            <b/>
            <sz val="9"/>
            <color indexed="81"/>
            <rFont val="Tahoma"/>
            <family val="2"/>
          </rPr>
          <t>QzE3SDE0RjJONE98Q2hlbU9mZmljZTFQaWN0dXJlIDUyfFZtcERSREF4TURBRUF3SUJBQUFBQUFBQUFBQUFBQUNBQVFBQUFBTUFLZ0FBQUVOVElFTkVXQ0JrY21sMlpYSWdNeTR3SUM4Z1NuVnVJREU1SURFMU9qTTRPakF5SURJd01USUVBaEFBZm9oNC93QUFIZ0FCQU9ML1VoS3NBQUVKQ0FBQUFBQUFBQUFBQUFJSkNBQUFBQUFBQUFBQUFBVUlCQUFBQUI0QUFBTXlBQWdBLy8vLy8vLy9BQUFBQUFBQS8vOEFBQUFBQUFBQUFQLy8vLy8vL3dBQUFBRC8vd0FBQUFELy8vLy8vLzhBQVAvL0FZQUNBQUFBQTRBREFBQUFCSUFFQUFBQUFBSUlBS3dBYWdEYUtYVUFPd1FCQUFBOEJBRUFBQUlFQWdBSEFEa0VBd0FBQURBQUFBU0FCUUFBQUFBQ0NBRDErbVVBZjUySUFEc0VBUUFBUEFRQkFBQTVCQU1BQUFBeEFBQUVnQVlBQUFBQUFnZ0FjZzEzQUtoaGtnQTdCQUVBQUR3RUFRQUFBZ1FDQUFjQU9RUURBQUFBTWdBQUJJQUhBQUFBQUFJSUFHeVVoUUMwUDRVQU93UUJBQUE4QkFFQUFBSUVBZ0FIQURrRUF3QUFBRE1BQUFTQUNBQUFBQUFDQ0FBc25uMEFRa1p6QURzRUFRQUFQQVFCQUFBNUJBTUFBQUEwQUFBRWdBa0FBQUFBQWdnQUxKNTlBUHdSTHdBN0JBRUFBRHdFQVFBQU9RUURBQUFBTlFBQUJJQUtBQUFBQUFJSUFIN3JhUUQ4RVM4QU93UUJBQUE4QkFFQUFEa0VBd0FBQURZQUFBU0FDd0FBQUFBQ0NBQ28xMU1Ba242UUFEc0VBUUFBUEFRQkFBQTVCQU1BQUFBM0FBQUVnQXdBQUFBQUFnZ0FnbmVIQUJnZllnQTdCQUVBQUR3RUFRQUFPUVFEQUFBQU9BQUFCSUFOQUFBQUFBSUlBQ2NTWUFCTEQwQUFPd1FCQUFBOEJBRUFBRGtFQXdBQUFEa0FBQVNBRGdBQUFBQUNDQUNDZDRjQUFBQWVBRHNFQVFBQVBBUUJBQUFDQkFJQUNBQTVCQVFBQUFBeE1BQUFCSUFQQUFBQUFBSUlBSUozaHdCTEQwQUFPd1FCQUFBOEJBRUFBQUlFQWdBSEFEa0VCQUFBQURFeEFBQUVnQkFBQUFBQUFnZ0FWZ0JFQVAvcmhBQTdCQUVBQUR3RUFRQUFPUVFFQUFBQU1USUFBQVNBRVFBQUFBQUNDQUJrMzFFQUVoeWtBRHNFQVFBQVBBUUJBQUE1QkFRQUFBQXhNd0FBQklBU0FBQUFBQUlJQUhsZlRBQkxEMEFBT3dRQkFBQThCQUVBQURrRUJBQUFBREUwQUFBRWdCTUFBQUFBQWdnQUxKNTlBUGMyVVFBN0JBRUFBRHdFQVFBQU9RUUVBQUFBTVRVQUFBU0FGQUFBQUFBQ0NBQngrUzhBdjMrZ0FEc0VBUUFBUEFRQkFBQTVCQVFBQUFBeE5nQUFCSUFWQUFBQUFBSUlBT1FHTWdEczlvd0FPd1FCQUFBOEJBRUFBRGtFQkFBQUFERTNBQUFFZ0JZQUFBQUFBZ2dBOHVVL0FGSVNyQUE3QkFFQUFEd0VBUUFBT1FRRUFBQUFNVGdBQUFTQUZ3QUFBQUFDQ0FBaWhrSUE5elpSQURzRUFRQUFQQVFCQUFBQ0JBSUFDUUE1QkFRQUFBQXhPUUFBQklBWUFBQUFBQUlJQVAvL0hRRGFuNmdBT3dRQkFBQThCQUVBQUFJRUFnQUpBRGtFQkFBQUFESXdBQUFFZ0JrQUFBQUFBZ2dBSnhKZ0FBQUFIZ0E3QkFFQUFEd0VBUUFBT1FRRUFBQUFNakVBQUFTQUdnQUFBQUFDQ0FCNVgwd0FBQUFlQURzRUFRQUFQQVFCQUFBNUJBUUFBQUF5TWdBQUJJQWJBQUFBQUFJSUFDS0dRZ0Q4RVM4QU93UUJBQUE4QkFFQUFEa0VCQUFBQURJekFBQUZnQndBQUFBRUJnUUFCUUFBQUFVR0JBQUVBQUFBQUFZQ0FBSUFDd1lRQUNJQUFBQWRBQUFBSHdBQUFBQUFBQUFBQUFXQUhRQUFBQVFHQkFBR0FBQUFCUVlFQUFVQUFBQUFBQVdBSGdBQUFBUUdCQUFIQUFBQUJRWUVBQWdBQUFBQUJnSUFBZ0FMQmhBQUFBQUFBRE1BQUFBZkFBQUFJd0FBQUFBQUJZQWZBQUFBQkFZRUFBZ0FBQUFGQmdRQUJBQUFBQUFBQllBZ0FBQUFCQVlFQUFrQUFBQUZCZ1FBRHdBQUFBQUFCWUFoQUFBQUJBWUVBQW9BQUFBRkJnUUFDUUFBQUFBQUJZQWlBQUFBQkFZRUFBc0FBQUFGQmdRQUJRQUFBQUFBQllBakFBQUFCQVlFQUF3QUFBQUZCZ1FBQ0FBQUFBQUFCWUFrQUFBQUJBWUVBQTBBQUFBRkJnUUFDZ0FBQUFBR0FnQUNBQXNHRUFBcEFBQUFBQUFBQUNFQUFBQXdBQUFBQUFBRmdDVUFBQUFFQmdRQURnQUFBQVVHQkFBSkFBQUFBQVlDQUFJQUFBQUZnQ1lBQUFBRUJnUUFEd0FBQUFVR0JBQVRBQUFBQUFBRmdDY0FBQUFFQmdRQUVBQUFBQVVHQkFBTEFBQUFBQVlDQUFJQUN3WVFBQ3dBQUFBQUFBQUFJZ0FBQUNnQUFBQUFBQVdBS0FBQUFBUUdCQUFSQUFBQUJRWUVBQXNBQUFBQUFBV0FLUUFBQUFRR0JBQVNBQUFBQlFZRUFBMEFBQUFBQUFXQUtnQUFBQVFHQkFBVEFBQUFCUVlFQUF3QUFBQUFBQVdBS3dBQUFBUUdCQUFVQUFBQUJRWUVBQllBQUFBQUFBV0FMQUFBQUFRR0JBQVZBQUFBQlFZRUFCQUFBQUFBQUFXQUxRQUFBQVFHQkFBV0FBQUFCUVlFQUJFQUFBQUFCZ0lBQWdBTEJoQUFBQUFBQUNzQUFBQW9BQUFBQUFBQUFBQUFCWUF1QUFBQUJBWUVBQmNBQUFBRkJnUUFFZ0FBQUFBQUJZQXZBQUFBQkFZRUFCZ0FBQUFGQmdRQUZBQUFBQUFBQllBd0FBQUFCQVlFQUJrQUFBQUZCZ1FBQ2dBQUFBQUFCWUF4QUFBQUJBWUVBQm9BQUFBRkJnUUFHUUFBQUFBR0FnQUNBQXNHRUFBQUFBQUFNZ0FBQURBQUFBQUFBQUFBQUFBRmdESUFBQUFFQmdRQUd3QUFBQVVHQkFBYUFBQUFBQUFGZ0RNQUFBQUVCZ1FBQmdBQUFBVUdCQUFIQUFBQUFBQUZnRFFBQUFBRUJnUUFGUUFBQUFVR0JBQVVBQUFBQUFZQ0FBSUFDd1lRQUFBQUFBQXNBQUFBS3dBQUFDOEFBQUFBQUFXQU5RQUFBQVFHQkFBYkFBQUFCUVlFQUJJQUFBQUFCZ0lBQWdBTEJoQUFBQUFBQURJQUFBQXBBQUFBTGdBQUFBQUFBQUFBQUFBQUFBQT0=</t>
        </r>
      </text>
    </comment>
    <comment ref="B33" authorId="0">
      <text>
        <r>
          <rPr>
            <b/>
            <sz val="9"/>
            <color indexed="81"/>
            <rFont val="Tahoma"/>
            <family val="2"/>
          </rPr>
          <t>QzE3SDE2Q2xONU98Q2hlbU9mZmljZTFQaWN0dXJlIDgzfFZtcERSREF4TURBRUF3SUJBQUFBQUFBQUFBQUFBQUNBQVFBQUFBTUFLZ0FBQUVOVElFTkVXQ0JrY21sMlpYSWdNeTR3SUM4Z1NuVnVJREU1SURFMU9qTTRPakEwSURJd01USUVBaEFBSFplSy93QUFIZ0FCQU9ML0oySE9BQUVKQ0FBQUFBQUFBQUFBQUFJSkNBQUFBQUFBQUFBQUFBVUlCQUFBQUI0QUFBTXlBQWdBLy8vLy8vLy9BQUFBQUFBQS8vOEFBQUFBQUFBQUFQLy8vLy8vL3dBQUFBRC8vd0FBQUFELy8vLy8vLzhBQVAvL0FZQUNBQUFBQTRBREFBQUFCSUFFQUFBQUFBSUlBTGtHV0FCMzZGUUFPd1FCQUFBOEJBRUFBQUlFQWdBSEFEa0VBd0FBQURBQUFBU0FCUUFBQUFBQ0NBQlY3Rk1BMjdOQkFEc0VBUUFBUEFRQkFBQTVCQU1BQUFBeEFBQUVnQVlBQUFBQUFnZ0FwT2xrQUlUYU53QTdCQUVBQUR3RUFRQUFBZ1FDQUFjQU9RUURBQUFBTWdBQUJJQUhBQUFBQUFJSUFIbWFjd0NtRVVVQU93UUJBQUE4QkFFQUFBSUVBZ0FIQURrRUF3QUFBRE1BQUFTQUNBQUFBQUFDQ0FDTWoyc0FHQXRYQURzRUFRQUFQQVFCQUFBNUJBTUFBQUEwQUFBRWdBa0FBQUFBQWdnQWpJOXJBREFxbXdBN0JBRUFBRHdFQVFBQU9RUURBQUFBTlFBQUJJQUtBQUFBQUFJSUFON2NWd0F3S3BzQU93UUJBQUE4QkFFQUFBSUVBZ0FIQURrRUF3QUFBRFlBQUFTQUN3QUFBQUFDQ0FDSEEwNEFyanlzQURzRUFRQUFQQVFCQUFBNUJBTUFBQUEzQUFBRWdBd0FBQUFBQWdnQTQyaDFBQlFkYUFBN0JBRUFBRHdFQVFBQU9RUURBQUFBT0FBQUJJQU5BQUFBQUFJSUFKQUhRZ0RBa3prQU93UUJBQUE4QkFFQUFEa0VBd0FBQURrQUFBU0FEZ0FBQUFBQ0NBRGphSFVBcmp5c0FEc0VBUUFBUEFRQkFBQUNCQUlBQ0FBNUJBUUFBQUF4TUFBQUJJQVBBQUFBQUFJSUFON2NWd0Q5T2IwQU93UUJBQUE4QkFFQUFEa0VCQUFBQURFeEFBQUVnQkFBQUFBQUFnZ0E0MmgxQUFZRGlnQTdCQUVBQUR3RUFRQUFBZ1FDQUFjQU9RUUVBQUFBTVRJQUFBU0FFUUFBQUFBQ0NBQ01qMnNBdHdWNUFEc0VBUUFBUEFRQkFBQTVCQVFBQUFBeE13QUFCSUFTQUFBQUFBSUlBSXlQYXdEOU9iMEFPd1FCQUFBOEJBRUFBQUlFQWdBUkFEa0VCQUFBQURFMEFBQUVnQk1BQUFBQUFnZ0FobVU2QUs0OHJBQTdCQUVBQUR3RUFRQUFPUVFFQUFBQU1UVUFBQVNBRkFBQUFBQUNDQUJqQmpJQXJsQkZBRHNFQVFBQVBBUUJBQUE1QkFRQUFBQXhOZ0FBQklBVkFBQUFBQUlJQUovNlB3QWFJQ1lBT3dRQkFBQThCQUVBQURrRUJBQUFBREUzQUFBRWdCWUFBQUFBQWdnQWh3Tk9BQ2RoemdBN0JBRUFBRHdFQVFBQU9RUUVBQUFBTVRnQUFBU0FGd0FBQUFBQ0NBQXZqREFBL1RtOUFEc0VBUUFBUEFRQkFBQTVCQVFBQUFBeE9RQUFCSUFZQUFBQUFBSUlBQzBCTGdBQUFCNEFPd1FCQUFBOEJBRUFBRGtFQkFBQUFESXdBQUFFZ0JrQUFBQUFBZ2dBOFF3Z0FFQkZQUUE3QkFFQUFEd0VBUUFBT1FRRUFBQUFNakVBQUFTQUdnQUFBQUFDQ0FDR1pUb0FKMkhPQURzRUFRQUFQQVFCQUFBNUJBUUFBQUF5TWdBQUJJQWJBQUFBQUFJSUFQLy9IUUNTa2lrQU93UUJBQUE4QkFFQUFEa0VCQUFBQURJekFBQUZnQndBQUFBRUJnUUFCUUFBQUFVR0JBQUVBQUFBQUFZQ0FBSUFDd1lRQUNRQUFBQWRBQUFBSHdBQUFBQUFBQUFBQUFXQUhRQUFBQVFHQkFBR0FBQUFCUVlFQUFVQUFBQUFBQVdBSGdBQUFBUUdCQUFIQUFBQUJRWUVBQWdBQUFBQUJnSUFBZ0FMQmhBQUFBQUFBRE1BQUFBZkFBQUFJd0FBQUFBQUJZQWZBQUFBQkFZRUFBZ0FBQUFGQmdRQUJBQUFBQUFBQllBZ0FBQUFCQVlFQUFrQUFBQUZCZ1FBRUFBQUFBQUFCWUFoQUFBQUJBWUVBQW9BQUFBRkJnUUFDUUFBQUFBQUJZQWlBQUFBQkFZRUFBc0FBQUFGQmdRQUNnQUFBQUFBQllBakFBQUFCQVlFQUF3QUFBQUZCZ1FBQ0FBQUFBQUFCWUFrQUFBQUJBWUVBQTBBQUFBRkJnUUFCUUFBQUFBQUJZQWxBQUFBQkFZRUFBNEFBQUFGQmdRQUNRQUFBQUFHQWdBQ0FBQUFCWUFtQUFBQUJBWUVBQThBQUFBRkJnUUFDd0FBQUFBQUJZQW5BQUFBQkFZRUFCQUFBQUFGQmdRQUVRQUFBQUFBQllBb0FBQUFCQVlFQUJFQUFBQUZCZ1FBREFBQUFBQUFCWUFwQUFBQUJBWUVBQklBQUFBRkJnUUFEd0FBQUFBQUJZQXFBQUFBQkFZRUFCTUFBQUFGQmdRQUN3QUFBQUFHQWdBQ0FBc0dFQUF1QUFBQUFBQUFBQ0lBQUFBbUFBQUFBQUFGZ0NzQUFBQUVCZ1FBRkFBQUFBVUdCQUFOQUFBQUFBWUNBQUlBQ3dZUUFEQUFBQUFBQUFBQUpBQUFBQ3dBQUFBQUFBV0FMQUFBQUFRR0JBQVZBQUFBQlFZRUFBMEFBQUFBQUFXQUxRQUFBQVFHQkFBV0FBQUFCUVlFQUE4QUFBQUFCZ0lBQWdBTEJoQUFBQUFBQURVQUFBQW1BQUFBS1FBQUFBQUFCWUF1QUFBQUJBWUVBQmNBQUFBRkJnUUFFd0FBQUFBQUJZQXZBQUFBQkFZRUFCZ0FBQUFGQmdRQUZRQUFBQUFHQWdBQ0FBc0dFQUFBQUFBQU1nQUFBQ3dBQUFBQUFBQUFBQUFGZ0RBQUFBQUVCZ1FBR1FBQUFBVUdCQUFVQUFBQUFBQUZnREVBQUFBRUJnUUFHZ0FBQUFVR0JBQVhBQUFBQUFZQ0FBSUFDd1lRQUFBQUFBQTFBQUFBTGdBQUFBQUFBQUFBQUFXQU1nQUFBQVFHQkFBYkFBQUFCUVlFQUJnQUFBQUFBQVdBTXdBQUFBUUdCQUFHQUFBQUJRWUVBQWNBQUFBQUFBV0FOQUFBQUFRR0JBQVpBQUFBQlFZRUFCc0FBQUFBQmdJQUFnQUxCaEFBQUFBQUFEQUFBQUF5QUFBQUFBQUFBQUFBQllBMUFBQUFCQVlFQUJZQUFBQUZCZ1FBR2dBQUFBQUFBQUFBQUFBQUFBQT0=</t>
        </r>
      </text>
    </comment>
    <comment ref="B34" authorId="0">
      <text>
        <r>
          <rPr>
            <b/>
            <sz val="9"/>
            <color indexed="81"/>
            <rFont val="Tahoma"/>
            <family val="2"/>
          </rPr>
          <t>QzE5SDI0TjJPMlN8Q2hlbU9mZmljZTFQaWN0dXJlIDg5fFZtcERSREF4TURBRUF3SUJBQUFBQUFBQUFBQUFBQUNBQVFBQUFBTUFLZ0FBQUVOVElFTkVXQ0JrY21sMlpYSWdNeTR3SUM4Z1NuVnVJREU1SURFMU9qTTRPakEwSURJd01USUVBaEFBVDVxVS93QUFIZ0FCQU9ML1I5TG5BQUVKQ0FBQUFBQUFBQUFBQUFJSkNBQUFBQUFBQUFBQUFBVUlCQUFBQUI0QUFBTXlBQWdBLy8vLy8vLy9BQUFBQUFBQS8vOEFBQUFBQUFBQUFQLy8vLy8vL3dBQUFBRC8vd0FBQUFELy8vLy8vLzhBQVAvL0FZQUNBQUFBQTRBREFBQUFCSUFFQUFBQUFBSUlBTDVYVGdEaExJb0FPd1FCQUFBOEJBRUFBQUlFQWdBSEFEa0VBd0FBQURBQUFBU0FCUUFBQUFBQ0NBQ0NzandBOERPVEFEc0VBUUFBUEFRQkFBQTVCQU1BQUFBeEFBQUVnQVlBQUFBQUFnZ0FScjR1QUJCcWhRQTdCQUVBQUR3RUFRQUFBZ1FDQUJBQU9RUURBQUFBTWdBQUJJQUhBQUFBQUFJSUFDbE9Td0E4dVhZQU93UUJBQUE4QkFFQUFEa0VBd0FBQURNQUFBU0FDQUFBQUFBQ0NBQ2djVGNBMWNSekFEc0VBUUFBUEFRQkFBQTVCQU1BQUFBMEFBQUVnQWtBQUFBQUFnZ0FyaFU1QURKbUx3QTdCQUVBQUR3RUFRQUFPUVFEQUFBQU5RQUFCSUFLQUFBQUFBSUlBQk4vT1FDVnA2WUFPd1FCQUFBOEJBRUFBRGtFQXdBQUFEWUFBQVNBQ3dBQUFBQUNDQUJnZXk4QUFBQWVBRHNFQVFBQVBBUUJBQUFDQkFJQUNBQTVCQU1BQUFBM0FBQUVnQXdBQUFBQUFnZ0FScjR1QUtjNVFBQTdCQUVBQUR3RUFRQUFBZ1FDQUFjQU9RUURBQUFBT0FBQUJJQU5BQUFBQUFJSUFDMEJMZ0FoWG1JQU93UUJBQUE4QkFFQUFEa0VBd0FBQURrQUFBU0FEZ0FBQUFBQ0NBQ3ZzMHdBbDg4dkFEc0VBUUFBUEFRQkFBQTVCQVFBQUFBeE1BQUFCSUFQQUFBQUFBSUlBSE53SndCZ3RxMEFPd1FCQUFBOEJBRUFBRGtFQkFBQUFERXhBQUFFZ0JBQUFBQUFBZ2dBTHdKSkFCMGhzd0E3QkFFQUFEd0VBUUFBT1FRRUFBQUFNVElBQUFTQUVRQUFBQUFDQ0FEcGF6TUE0STdOQURzRUFRQUFQQVFCQUFBNUJBUUFBQUF4TXdBQUJJQVNBQUFBQUFJSUFNTnRPQURhbjFFQU93UUJBQUE4QkFFQUFEa0VCQUFBQURFMEFBQUVnQk1BQUFBQUFnZ0FtdmhGQU9kcXhnQTdCQUVBQUR3RUFRQUFPUVFFQUFBQU1UVUFBQVNBRkFBQUFBQUNDQURlWmlRQUt3REJBRHNFQVFBQVBBUUJBQUE1QkFRQUFBQXhOZ0FBQklBVkFBQUFBQUlJQUFrWVdRQXUybWdBT3dRQkFBQThCQUVBQURrRUJBQUFBREUzQUFBRWdCWUFBQUFBQWdnQXFFMHdBSHpENEFBN0JBRUFBRHdFQVFBQUFnUUNBQWdBT1FRRUFBQUFNVGdBQUFTQUZ3QUFBQUFDQ0FBbXIxZ0FjZzBnQURzRUFRQUFQQVFCQUFBNUJBUUFBQUF4T1FBQUJJQVlBQUFBQUFJSUFBenlWd0NmK2o4QU93UUJBQUE4QkFFQUFEa0VCQUFBQURJd0FBQUVnQmtBQUFBQUFnZ0EvLzhkQUVmUzV3QTdCQUVBQUR3RUFRQUFPUVFFQUFBQU1qRUFBQVNBR2dBQUFBQUNDQUN4WldzQUJzZ21BRHNFQVFBQVBBUUJBQUE1QkFRQUFBQXlNZ0FBQklBYkFBQUFBQUlJQUhMU2FnQ3JPem9BT3dRQkFBQThCQUVBQURrRUJBQUFBREl6QUFBRmdCd0FBQUFFQmdRQUJRQUFBQVVHQkFBRUFBQUFBQVlDQUFJQUN3WVFBQ0VBQUFBZEFBQUFIZ0FBQUFBQUFBQUFBQVdBSFFBQUFBUUdCQUFHQUFBQUJRWUVBQVVBQUFBQUFBV0FIZ0FBQUFRR0JBQUhBQUFBQlFZRUFBUUFBQUFBQUFXQUh3QUFBQVFHQkFBSUFBQUFCUVlFQUFjQUFBQUFCZ0lBQWdBTEJoQUFKQUFBQURNQUFBQWVBQUFBTEFBQUFBQUFCWUFnQUFBQUJBWUVBQWtBQUFBRkJnUUFEQUFBQUFBQUJZQWhBQUFBQkFZRUFBb0FBQUFGQmdRQUJRQUFBQUFBQllBaUFBQUFCQVlFQUFzQUFBQUZCZ1FBQ1FBQUFBQUdBZ0FDQUFBQUJZQWpBQUFBQkFZRUFBd0FBQUFGQmdRQUVnQUFBQUFBQllBa0FBQUFCQVlFQUEwQUFBQUZCZ1FBQ0FBQUFBQUFCWUFsQUFBQUJBWUVBQTRBQUFBRkJnUUFDUUFBQUFBQUJZQW1BQUFBQkFZRUFBOEFBQUFGQmdRQUNnQUFBQUFBQllBbkFBQUFCQVlFQUJBQUFBQUZCZ1FBQ2dBQUFBQUdBZ0FDQUFzR0VBQXFBQUFBQUFBQUFDRUFBQUFtQUFBQUFBQUZnQ2dBQUFBRUJnUUFFUUFBQUFVR0JBQVRBQUFBQUFZQ0FBSUFDd1lRQUMwQUFBQTBBQUFBS2dBQUFBQUFBQUFBQUFXQUtRQUFBQVFHQkFBU0FBQUFCUVlFQUEwQUFBQUFBQVdBS2dBQUFBUUdCQUFUQUFBQUJRWUVBQkFBQUFBQUFBV0FLd0FBQUFRR0JBQVVBQUFBQlFZRUFBOEFBQUFBQmdJQUFnQUxCaEFBQUFBQUFEUUFBQUFtQUFBQUFBQUFBQUFBQllBc0FBQUFCQVlFQUJVQUFBQUZCZ1FBQndBQUFBQUFCWUF0QUFBQUJBWUVBQllBQUFBRkJnUUFFUUFBQUFBQUJZQXVBQUFBQkFZRUFCY0FBQUFGQmdRQURnQUFBQUFBQllBdkFBQUFCQVlFQUJnQUFBQUZCZ1FBRGdBQUFBQUFCWUF3QUFBQUJBWUVBQmtBQUFBRkJnUUFGZ0FBQUFBQUJZQXhBQUFBQkFZRUFCb0FBQUFGQmdRQUZ3QUFBQUFBQllBeUFBQUFCQVlFQUJzQUFBQUZCZ1FBR0FBQUFBQUFCWUF6QUFBQUJBWUVBQVlBQUFBRkJnUUFDQUFBQUFBQUJZQTBBQUFBQkFZRUFCUUFBQUFGQmdRQUVRQUFBQUFBQllBMUFBQUFCQVlFQUJzQUFBQUZCZ1FBR2dBQUFBQUFBQUFBQUFBQUFBQT0=</t>
        </r>
      </text>
    </comment>
    <comment ref="B35" authorId="0">
      <text>
        <r>
          <rPr>
            <b/>
            <sz val="9"/>
            <color indexed="81"/>
            <rFont val="Tahoma"/>
            <family val="2"/>
          </rPr>
          <t>QzE4SDE4TjJPMlN8Q2hlbU9mZmljZTFQaWN0dXJlIDQ5fFZtcERSREF4TURBRUF3SUJBQUFBQUFBQUFBQUFBQUNBQVFBQUFBTUFLZ0FBQUVOVElFTkVXQ0JrY21sMlpYSWdNeTR3SUM4Z1NuVnVJREU1SURFMU9qTTRPakF5SURJd01USUVBaEFBWkZXYi93QUFIZ0FCQU9ML1YrM2dBQUVKQ0FBQUFBQUFBQUFBQUFJSkNBQUFBQUFBQUFBQUFBVUlCQUFBQUI0QUFBTXlBQWdBLy8vLy8vLy9BQUFBQUFBQS8vOEFBQUFBQUFBQUFQLy8vLy8vL3dBQUFBRC8vd0FBQUFELy8vLy8vLzhBQVAvL0FZQUNBQUFBQTRBREFBQUFCSUFFQUFBQUFBSUlBSXdGU0FDRkFvb0FPd1FCQUFBOEJBRUFBQUlFQWdBSEFEa0VBd0FBQURBQUFBU0FCUUFBQUFBQ0NBQlFZRFlBNS9TU0FEc0VBUUFBUEFRQkFBQTVCQU1BQUFBeEFBQUVnQVlBQUFBQUFnZ0FRb0VvQURWQWhRQTdCQUVBQUR3RUFRQUFBZ1FDQUJBQU9RUURBQUFBTWdBQUJJQUhBQUFBQUFJSUFQZjdSQURnam5ZQU93UUJBQUE4QkFFQUFEa0VBd0FBQURNQUFBU0FDQUFBQUFBQ0NBQ2NOREVBZVpwekFEc0VBUUFBUEFRQkFBQTVCQU1BQUFBMEFBQUVnQWtBQUFBQUFnZ0FmV0ZHQUpmUEx3QTdCQUVBQUR3RUFRQUFPUVFEQUFBQU5RQUFCSUFLQUFBQUFBSUlBS3JZTWdBeVppOEFPd1FCQUFBOEJBRUFBRGtFQXdBQUFEWUFBQVNBQ3dBQUFBQUNDQUNPUVRNQWpXaW1BRHNFQVFBQVBBUUJBQUE1QkFNQUFBQTNBQUFFZ0F3QUFBQUFBZ2dBMnA5UkFIa2tRQUE3QkFFQUFEd0VBUUFBQWdRQ0FBZ0FPUVFEQUFBQU9BQUFCSUFOQUFBQUFBSUlBQmt6VWdCTk55QUFPd1FCQUFBOEJBRUFBRGtFQXdBQUFEa0FBQVNBRGdBQUFBQUNDQUJjUGlrQUFBQWVBRHNFQVFBQVBBUUJBQUFDQkFJQUNBQTVCQVFBQUFBeE1BQUFCSUFQQUFBQUFBSUlBRzZWWkFDck96b0FPd1FCQUFBOEJBRUFBRGtFQkFBQUFERXhBQUFFZ0JBQUFBQUFBZ2dBbktwa0FQNklKZ0E3QkFFQUFEd0VBUUFBT1FRRUFBQUFNVElBQUFTQUVRQUFBQUFDQ0FCQ2dTZ0FwemxBQURzRUFRQUFQQVFCQUFBQ0JBSUFCd0E1QkFRQUFBQXhNd0FBQklBU0FBQUFBQUlJQUNuRUp3QkdOR0lBT3dRQkFBQThCQUVBQURrRUJBQUFBREUwQUFBRWdCTUFBQUFBQWdnQS9hOUNBQlRpc2dBN0JBRUFBRHdFQVFBQU9RUUVBQUFBTVRVQUFBU0FGQUFBQUFBQ0NBQnZNeUVBVjNldEFEc0VBUUFBUEFRQkFBQTVCQVFBQUFBeE5nQUFCSUFWQUFBQUFBSUlBSkViTWdBdGkxRUFPd1FCQUFBOEJBRUFBRGtFQkFBQUFERTNBQUFFZ0JZQUFBQUFBZ2dBTWxJL0FPZHF4Z0E3QkFFQUFEd0VBUUFBT1FRRUFBQUFNVGdBQUFTQUZ3QUFBQUFDQ0FELy94MEFLd0RCQURzRUFRQUFQQVFCQUFBNUJBUUFBQUF4T1FBQUJJQVlBQUFBQUFJSUFMY1pMUUN5ZWMwQU93UUJBQUE4QkFFQUFEa0VCQUFBQURJd0FBQUVnQmtBQUFBQUFnZ0ExOFZTQUZPd2FBQTdCQUVBQUR3RUFRQUFPUVFFQUFBQU1qRUFBQVNBR2dBQUFBQUNDQUJJNWlrQVYrM2dBRHNFQVFBQVBBUUJBQUE1QkFRQUFBQXlNZ0FBQllBYkFBQUFCQVlFQUFVQUFBQUZCZ1FBQkFBQUFBQUdBZ0FDQUFzR0VBQWhBQUFBSEFBQUFCMEFBQUFBQUFBQUFBQUZnQndBQUFBRUJnUUFCZ0FBQUFVR0JBQUZBQUFBQUFBRmdCMEFBQUFFQmdRQUJ3QUFBQVVHQkFBRUFBQUFBQUFGZ0I0QUFBQUVCZ1FBQ0FBQUFBVUdCQUFIQUFBQUFBWUNBQUlBQ3dZUUFDZ0FBQUF4QUFBQUhRQUFBQzhBQUFBQUFBV0FId0FBQUFRR0JBQUpBQUFBQlFZRUFBb0FBQUFBQUFXQUlBQUFBQVFHQkFBS0FBQUFCUVlFQUJFQUFBQUFBQVdBSVFBQUFBUUdCQUFMQUFBQUJRWUVBQVVBQUFBQUFBV0FJZ0FBQUFRR0JBQU1BQUFBQlFZRUFBa0FBQUFBQUFXQUl3QUFBQVFHQkFBTkFBQUFCUVlFQUFrQUFBQUFCZ0lBQWdBTEJoQUFKZ0FBQUFBQUFBQWZBQUFBSWdBQUFBQUFCWUFrQUFBQUJBWUVBQTRBQUFBRkJnUUFDZ0FBQUFBR0FnQUNBQUFBQllBbEFBQUFCQVlFQUE4QUFBQUZCZ1FBREFBQUFBQUFCWUFtQUFBQUJBWUVBQkFBQUFBRkJnUUFEUUFBQUFBQUJZQW5BQUFBQkFZRUFCRUFBQUFGQmdRQUZRQUFBQUFBQllBb0FBQUFCQVlFQUJJQUFBQUZCZ1FBQ0FBQUFBQUFCWUFwQUFBQUJBWUVBQk1BQUFBRkJnUUFDd0FBQUFBR0FnQUNBQXNHRUFBc0FBQUFBQUFBQUNFQUFBQXFBQUFBQUFBRmdDb0FBQUFFQmdRQUZBQUFBQVVHQkFBTEFBQUFBQUFGZ0NzQUFBQUVCZ1FBRlFBQUFBVUdCQUFTQUFBQUFBQUZnQ3dBQUFBRUJnUUFGZ0FBQUFVR0JBQVRBQUFBQUFBRmdDMEFBQUFFQmdRQUZ3QUFBQVVHQkFBVUFBQUFBQVlDQUFJQUN3WVFBQUFBQUFBdUFBQUFLZ0FBQUFBQUFBQUFBQVdBTGdBQUFBUUdCQUFZQUFBQUJRWUVBQmNBQUFBQUFBV0FMd0FBQUFRR0JBQVpBQUFBQlFZRUFBY0FBQUFBQUFXQU1BQUFBQVFHQkFBYUFBQUFCUVlFQUJnQUFBQUFBQVdBTVFBQUFBUUdCQUFHQUFBQUJRWUVBQWdBQUFBQUFBV0FNZ0FBQUFRR0JBQVdBQUFBQlFZRUFCZ0FBQUFBQmdJQUFnQUxCaEFBQUFBQUFDd0FBQUF1QUFBQU1BQUFBQUFBQllBekFBQUFCQVlFQUJBQUFBQUZCZ1FBRHdBQUFBQUdBZ0FDQUFzR0VBQUFBQUFBSmdBQUFDVUFBQUFBQUFBQUFBQUFBQUFBQUFBQUFBPT0=</t>
        </r>
      </text>
    </comment>
    <comment ref="B36" authorId="0">
      <text>
        <r>
          <rPr>
            <b/>
            <sz val="9"/>
            <color indexed="81"/>
            <rFont val="Tahoma"/>
            <family val="2"/>
          </rPr>
          <t>QzE5SDE5TjNPU3xDaGVtT2ZmaWNlMVBpY3R1cmUgNzJ8Vm1wRFJEQXhNREFFQXdJQkFBQUFBQUFBQUFBQUFBQ0FBUUFBQUFNQUtnQUFBRU5USUVORVdDQmtjbWwyWlhJZ015NHdJQzhnU25WdUlERTVJREUxT2pNNE9qQXpJREl3TVRJRUFoQUFwNXQrL3dBQUhnQUJBT0wvenhETkFBRUpDQUFBQUFBQUFBQUFBQUlKQ0FBQUFBQUFBQUFBQUFVSUJBQUFBQjRBQUFNeUFBZ0EvLy8vLy8vL0FBQUFBQUFBLy84QUFBQUFBQUFBQVAvLy8vLy8vd0FBQUFELy93QUFBQUQvLy8vLy8vOEFBUC8vQVlBQ0FBQUFBNEFEQUFBQUJJQUVBQUFBQUFJSUFINTFOZ0RuOUpJQU93UUJBQUE4QkFFQUFEa0VBd0FBQURBQUFBU0FCUUFBQUFBQ0NBQzVHa2dBVisySkFEc0VBUUFBUEFRQkFBQUNCQUlBQndBNUJBTUFBQUF4QUFBRWdBWUFBQUFBQWdnQWNKWW9BQWNyaFFBN0JBRUFBRHdFQVFBQUFnUUNBQkFBT1FRREFBQUFNZ0FBQklBSEFBQUFBQUlJQUhqOFJBQ3llWFlBT3dRQkFBQThCQUVBQURrRUF3QUFBRE1BQUFTQUNBQUFBQUFDQ0FDY05ERUFTNFZ6QURzRUFRQUFQQVFCQUFBNUJBTUFBQUEwQUFBRWdBa0FBQUFBQWdnQUQwSXpBRjlUcGdBN0JBRUFBRHdFQVFBQU9RUURBQUFBTlFBQUJJQUtBQUFBQUFJSUFLcllNZ0FFVVM4QU93UUJBQUE4QkFFQUFEa0VBd0FBQURZQUFBU0FDd0FBQUFBQ0NBQ3Jka1lBYWJvdkFEc0VBUUFBUEFRQkFBQTVCQU1BQUFBM0FBQUVnQXdBQUFBQUFnZ0FpbE1wQUFBQUhnQTdCQUVBQUR3RUFRQUFBZ1FDQUFnQU9RUURBQUFBT0FBQUJJQU5BQUFBQUFJSUFQLy9IUURHbHNBQU93UUJBQUE4QkFFQUFBSUVBZ0FIQURrRUF3QUFBRGtBQUFTQURnQUFBQUFDQ0FCd2xpZ0FlU1JBQURzRUFRQUFQQVFCQUFBQ0JBSUFCd0E1QkFRQUFBQXhNQUFBQklBUEFBQUFBQUlJQUNuRUp3QkdOR0lBT3dRQkFBQThCQUVBQURrRUJBQUFBREV4QUFBRWdCQUFBQUFBQWdnQThkRlBBRzRMUVFBN0JBRUFBRHdFQVFBQU9RUUVBQUFBTVRJQUFBU0FFUUFBQUFBQ0NBQzRvMUFBeHRFZUFEc0VBUUFBUEFRQkFBQTVCQVFBQUFBeE13QUFCSUFTQUFBQUFBSUlBSlFKSVFBcVlxMEFPd1FCQUFBOEJBRUFBRGtFQkFBQUFERTBBQUFFZ0JNQUFBQUFBZ2dBdmpBeUFQOTFVUUE3QkFFQUFEd0VBUUFBT1FRRUFBQUFNVFVBQUFTQUZBQUFBQUFDQ0FCTW1XTUFmNGxCQURzRUFRQUFQQVFCQUFBNUJBUUFBQUF4TmdBQUJJQVZBQUFBQUFJSUFHVldaQURYVHg4QU93UUJBQUE4QkFFQUFEa0VCQUFBQURFM0FBQUVnQllBQUFBQUFnZ0FxN0Z0QUYyaE1BQTdCQUVBQUR3RUFRQUFPUVFFQUFBQU1UZ0FBQVNBRndBQUFBQUNDQUJZeGxJQTBxOW9BRHNFQVFBQVBBUUJBQUE1QkFRQUFBQXhPUUFBQklBWUFBQUFBQUlJQVAydlFnRGVqYklBT3dRQkFBQThCQUVBQURrRUJBQUFBREl3QUFBRWdCa0FBQUFBQWdnQU1Oc3NBTThRelFBN0JBRUFBRHdFQVFBQU9RUUVBQUFBTWpFQUFBU0FHZ0FBQUFBQ0NBQlpaSUVBYmg4eEFEc0VBUUFBUEFRQkFBQTVCQVFBQUFBeU1nQUFCSUFiQUFBQUFBSUlBR2ltUHdDREFjWUFPd1FCQUFBOEJBRUFBRGtFQkFBQUFESXpBQUFGZ0J3QUFBQUVCZ1FBQlFBQUFBVUdCQUFFQUFBQUFBWUNBQUlBQ3dZUUFBQUFBQUFlQUFBQUhRQUFBQ0FBQUFBQUFBV0FIUUFBQUFRR0JBQUdBQUFBQlFZRUFBUUFBQUFBQUFXQUhnQUFBQVFHQkFBSEFBQUFCUVlFQUFVQUFBQUFBQVdBSHdBQUFBUUdCQUFJQUFBQUJRWUVBQVlBQUFBQUFBV0FJQUFBQUFRR0JBQUpBQUFBQlFZRUFBUUFBQUFBQUFXQUlRQUFBQVFHQkFBS0FBQUFCUVlFQUE0QUFBQUFBQVdBSWdBQUFBUUdCQUFMQUFBQUJRWUVBQW9BQUFBQUFBV0FJd0FBQUFRR0JBQU1BQUFBQlFZRUFBb0FBQUFBQmdJQUFnQUFBQVdBSkFBQUFBUUdCQUFOQUFBQUJRWUVBQklBQUFBQUJnSUFBZ0FMQmhBQUFBQUFBRFFBQUFBcEFBQUFBQUFBQUFBQUJZQWxBQUFBQkFZRUFBNEFBQUFGQmdRQUV3QUFBQUFBQllBbUFBQUFCQVlFQUE4QUFBQUZCZ1FBQ0FBQUFBQUFCWUFuQUFBQUJBWUVBQkFBQUFBRkJnUUFDd0FBQUFBQUJZQW9BQUFBQkFZRUFCRUFBQUFGQmdRQUN3QUFBQUFHQWdBQ0FBc0dFQUFzQUFBQUFBQUFBQ0lBQUFBbkFBQUFBQUFGZ0NrQUFBQUVCZ1FBRWdBQUFBVUdCQUFKQUFBQUFBQUZnQ29BQUFBRUJnUUFFd0FBQUFVR0JBQVBBQUFBQUFBRmdDc0FBQUFFQmdRQUZBQUFBQVVHQkFBUUFBQUFBQVlDQUFJQUN3WVFBQUFBQUFBMUFBQUFKd0FBQUFBQUFBQUFBQVdBTEFBQUFBUUdCQUFWQUFBQUJRWUVBQkVBQUFBQUFBV0FMUUFBQUFRR0JBQVdBQUFBQlFZRUFCVUFBQUFBQmdJQUFnQUxCaEFBTVFBQUFEVUFBQUFzQUFBQUFBQUFBQUFBQllBdUFBQUFCQVlFQUJjQUFBQUZCZ1FBQndBQUFBQUFCWUF2QUFBQUJBWUVBQmdBQUFBRkJnUUFDUUFBQUFBR0FnQUNBQXNHRUFBeUFBQUFBQUFBQUNBQUFBQXBBQUFBQUFBRmdEQUFBQUFFQmdRQUdRQUFBQVVHQkFBYkFBQUFBQVlDQUFJQUN3WVFBQUFBQUFBMEFBQUFNZ0FBQUFBQUFBQUFBQVdBTVFBQUFBUUdCQUFhQUFBQUJRWUVBQllBQUFBQUFBV0FNZ0FBQUFRR0JBQWJBQUFBQlFZRUFCZ0FBQUFBQUFXQU13QUFBQVFHQkFBSUFBQUFCUVlFQUFjQUFBQUFCZ0lBQWdBTEJoQUFKZ0FBQUI4QUFBQWVBQUFBTGdBQUFBQUFCWUEwQUFBQUJBWUVBQmtBQUFBRkJnUUFEUUFBQUFBQUJZQTFBQUFBQkFZRUFCWUFBQUFGQmdRQUZBQUFBQUFBQUFBQUFBQUFBQUE9</t>
        </r>
      </text>
    </comment>
    <comment ref="B37" authorId="0">
      <text>
        <r>
          <rPr>
            <b/>
            <sz val="9"/>
            <color indexed="81"/>
            <rFont val="Tahoma"/>
            <family val="2"/>
          </rPr>
          <t>QzE4SDE3TjNPU3xDaGVtT2ZmaWNlMVBpY3R1cmUgNDV8Vm1wRFJEQXhNREFFQXdJQkFBQUFBQUFBQUFBQUFBQ0FBUUFBQUFNQUtnQUFBRU5USUVORVdDQmtjbWwyWlhJZ015NHdJQzhnU25WdUlERTVJREUxT2pNNE9qQXlJREl3TVRJRUFoQUFEeTQrL3dBQUhnQUJBT0wvTHArekFBRUpDQUFBQUFBQUFBQUFBQUlKQ0FBQUFBQUFBQUFBQUFVSUJBQUFBQjRBQUFNeUFBZ0EvLy8vLy8vL0FBQUFBQUFBLy84QUFBQUFBQUFBQVAvLy8vLy8vd0FBQUFELy93QUFBQUQvLy8vLy8vOEFBUC8vQVlBQ0FBQUFBNEFEQUFBQUJJQUVBQUFBQUFJSUFDNnpUQUJVaVV3QU93UUJBQUE4QkFFQUFEa0VBd0FBQURBQUFBU0FCUUFBQUFBQ0NBQ2x3a2dBOEwxZkFEc0VBUUFBUEFRQkFBQUNCQUlBQndBNUJBTUFBQUF4QUFBRWdBWUFBQUFBQWdnQTFDWmdBUDRTU2dBN0JBRUFBRHdFQVFBQUFnUUNBQkFBT1FRREFBQUFNZ0FBQklBSEFBQUFBQUlJQUU3cFBnQnJnRDRBT3dRQkFBQThCQUVBQURrRUF3QUFBRE1BQUFTQUNBQUFBQUFDQ0FEUDZWa0FQMWhwQURzRUFRQUFQQVFCQUFBNUJBTUFBQUEwQUFBRWdBa0FBQUFBQWdnQVp3aURBSWdyb0FBN0JBRUFBRHdFQVFBQU9RUURBQUFBTlFBQUJJQUtBQUFBQUFJSUFCeGNhQUNlSVZ3QU93UUJBQUE4QkFFQUFEa0VBd0FBQURZQUFBU0FDd0FBQUFBQ0NBQ015cElBNUJxVUFEc0VBUUFBUEFRQkFBQTVCQU1BQUFBM0FBQUVnQXdBQUFBQUFnZ0E0bFNGQUM2ZnN3QTdCQUVBQUR3RUFRQUFBZ1FDQUFnQU9RUURBQUFBT0FBQUJJQU5BQUFBQUFJSUFFZ2hOZ0FBQUI0QU93UUJBQUE4QkFFQUFBSUVBZ0FIQURrRUF3QUFBRGtBQUFTQURnQUFBQUFDQ0FBYjVYQUFwRitZQURzRUFRQUFQQVFCQUFBQ0JBSUFCd0E1QkFRQUFBQXhNQUFBQklBUEFBQUFBQUlJQUZudXBBQWMwcHNBT3dRQkFBQThCQUVBQURrRUJBQUFBREV4QUFBRWdCQUFBQUFBQWdnQVd5cVFBSktTZ0FBN0JBRUFBRHdFQVFBQU9RUUVBQUFBTVRJQUFBU0FFUUFBQUFBQ0NBQktObHdBN1FwOUFEc0VBUUFBUEFRQkFBQTVCQVFBQUFBeE13QUFCSUFTQUFBQUFBSUlBUHJWUXdEZ3lTc0FPd1FCQUFBOEJBRUFBRGtFQkFBQUFERTBBQUFFZ0JNQUFBQUFBZ2dBNmtSdUFQL3JoQUE3QkFFQUFEd0VBUUFBT1FRRUFBQUFNVFVBQUFTQUZBQUFBQUFDQ0FCK3NMUUFwdGFQQURzRUFRQUFQQVFCQUFBNUJBUUFBQUF4TmdBQUJJQVZBQUFBQUFJSUFJRHNud0RKcTNRQU93UUJBQUE4QkFFQUFEa0VCQUFBQURFM0FBQUVnQllBQUFBQUFnZ0F6QSt5QU5OTmZBQTdCQUVBQUR3RUFRQUFPUVFFQUFBQU1UZ0FBQVNBRndBQUFBQUNDQUM2OHlzQVZnQkVBRHNFQVFBQVBBUUJBQUE1QkFRQUFBQXhPUUFBQklBWUFBQUFBQUlJQUxRckl3Q3I3Q0lBT3dRQkFBQThCQUVBQURrRUJBQUFBREl3QUFBRWdCa0FBQUFBQWdnQThkSEJBRlFUY0FBN0JBRUFBRHdFQVFBQU9RUUVBQUFBTWpFQUFBU0FHZ0FBQUFBQ0NBRC8veDBBYmZjMUFEc0VBUUFBUEFRQkFBQTVCQVFBQUFBeU1nQUFCWUFiQUFBQUJBWUVBQVVBQUFBRkJnUUFCQUFBQUFBR0FnQUNBQXNHRUFBQUFBQUFIZ0FBQUJ3QUFBQWRBQUFBQUFBRmdCd0FBQUFFQmdRQUJnQUFBQVVHQkFBRUFBQUFBQUFGZ0IwQUFBQUVCZ1FBQndBQUFBVUdCQUFFQUFBQUFBQUZnQjRBQUFBRUJnUUFDQUFBQUFVR0JBQUZBQUFBQUFBRmdCOEFBQUFFQmdRQUNRQUFBQVVHQkFBT0FBQUFBQUFGZ0NBQUFBQUVCZ1FBQ2dBQUFBVUdCQUFHQUFBQUFBQUZnQ0VBQUFBRUJnUUFDd0FBQUFVR0JBQUpBQUFBQUFBRmdDSUFBQUFFQmdRQURBQUFBQVVHQkFBSkFBQUFBQVlDQUFJQUFBQUZnQ01BQUFBRUJnUUFEUUFBQUFVR0JBQVNBQUFBQUFZQ0FBSUFDd1lRQUFBQUFBQXlBQUFBS0FBQUFBQUFBQUFBQUFXQUpBQUFBQVFHQkFBT0FBQUFCUVlFQUJNQUFBQUFBQVdBSlFBQUFBUUdCQUFQQUFBQUJRWUVBQXNBQUFBQUFBV0FKZ0FBQUFRR0JBQVFBQUFBQlFZRUFBc0FBQUFBQmdJQUFnQUxCaEFBS3dBQUFBQUFBQUFoQUFBQUpRQUFBQUFBQllBbkFBQUFCQVlFQUJFQUFBQUZCZ1FBQ0FBQUFBQUFCWUFvQUFBQUJBWUVBQklBQUFBRkJnUUFCd0FBQUFBQUJZQXBBQUFBQkFZRUFCTUFBQUFGQmdRQUVRQUFBQUFBQllBcUFBQUFCQVlFQUJRQUFBQUZCZ1FBRHdBQUFBQUdBZ0FDQUFzR0VBQUFBQUFBTXdBQUFDVUFBQUFBQUFBQUFBQUZnQ3NBQUFBRUJnUUFGUUFBQUFVR0JBQVFBQUFBQUFBRmdDd0FBQUFFQmdRQUZnQUFBQVVHQkFBVkFBQUFBQVlDQUFJQUN3WVFBQzhBQUFBekFBQUFLd0FBQUFBQUFBQUFBQVdBTFFBQUFBUUdCQUFYQUFBQUJRWUVBQWNBQUFBQUJnSUFBZ0FMQmhBQU1BQUFBQUFBQUFBZEFBQUFLQUFBQUFBQUJZQXVBQUFBQkFZRUFCZ0FBQUFGQmdRQUdnQUFBQUFHQWdBQ0FBc0dFQUFBQUFBQU1nQUFBREFBQUFBQUFBQUFBQUFGZ0M4QUFBQUVCZ1FBR1FBQUFBVUdCQUFXQUFBQUFBQUZnREFBQUFBRUJnUUFHZ0FBQUFVR0JBQVhBQUFBQUFBRmdERUFBQUFFQmdRQUNnQUFBQVVHQkFBSUFBQUFBQVlDQUFJQUN3WVFBQUFBQUFBZ0FBQUFIZ0FBQUNjQUFBQUFBQVdBTWdBQUFBUUdCQUFOQUFBQUJRWUVBQmdBQUFBQUFBV0FNd0FBQUFRR0JBQVVBQUFBQlFZRUFCWUFBQUFBQUFBQUFBQUFBQUFB</t>
        </r>
      </text>
    </comment>
  </commentList>
</comments>
</file>

<file path=xl/sharedStrings.xml><?xml version="1.0" encoding="utf-8"?>
<sst xmlns="http://schemas.openxmlformats.org/spreadsheetml/2006/main" count="118" uniqueCount="88">
  <si>
    <t>Structure</t>
  </si>
  <si>
    <t>Compound ID</t>
  </si>
  <si>
    <t>WEHI-0051810</t>
  </si>
  <si>
    <t>WEHI-1201486</t>
  </si>
  <si>
    <t>WEHI-1203394</t>
  </si>
  <si>
    <t>WEHI-1201161</t>
  </si>
  <si>
    <t>WEHI-1201166</t>
  </si>
  <si>
    <t>WEHI-1195238</t>
  </si>
  <si>
    <t>WEHI-1204312</t>
  </si>
  <si>
    <t>WEHI-1204301</t>
  </si>
  <si>
    <t>WEHI-1203791</t>
  </si>
  <si>
    <t>WEHI-1201169</t>
  </si>
  <si>
    <t>WEHI-1203794</t>
  </si>
  <si>
    <t>WEHI-1203392</t>
  </si>
  <si>
    <t>WEHI-0052293</t>
  </si>
  <si>
    <t>WEHI-1204303</t>
  </si>
  <si>
    <t>WEHI-1203387</t>
  </si>
  <si>
    <t>WEHI-1203814</t>
  </si>
  <si>
    <t>WEHI-1204300</t>
  </si>
  <si>
    <t>WEHI-0084234</t>
  </si>
  <si>
    <t>WEHI-0095338</t>
  </si>
  <si>
    <t>WEHI-1203393</t>
  </si>
  <si>
    <t>WEHI-1201171</t>
  </si>
  <si>
    <t>WEHI-1203787</t>
  </si>
  <si>
    <t>WEHI-1203385</t>
  </si>
  <si>
    <t>WEHI-0078860</t>
  </si>
  <si>
    <t>WEHI-1203388</t>
  </si>
  <si>
    <t>WEHI-1201483</t>
  </si>
  <si>
    <t>WEHI-1203391</t>
  </si>
  <si>
    <t>WEHI-1203383</t>
  </si>
  <si>
    <t>WEHI-1203390</t>
  </si>
  <si>
    <t>WEHI-1203386</t>
  </si>
  <si>
    <t>WEHI-0084873</t>
  </si>
  <si>
    <t>WEHI-1203397</t>
  </si>
  <si>
    <t>WEHI-1203384</t>
  </si>
  <si>
    <t>WEHI-1203396</t>
  </si>
  <si>
    <t>WEHI-1203395</t>
  </si>
  <si>
    <t>WEHI-1201484</t>
  </si>
  <si>
    <t>9% at the top dose</t>
  </si>
  <si>
    <r>
      <t>Retest IC</t>
    </r>
    <r>
      <rPr>
        <b/>
        <vertAlign val="subscript"/>
        <sz val="12"/>
        <rFont val="Arial"/>
        <family val="2"/>
      </rPr>
      <t>50</t>
    </r>
    <r>
      <rPr>
        <b/>
        <sz val="12"/>
        <rFont val="Arial"/>
        <family val="2"/>
      </rPr>
      <t xml:space="preserve"> </t>
    </r>
    <r>
      <rPr>
        <b/>
        <i/>
        <sz val="12"/>
        <rFont val="Arial"/>
        <family val="2"/>
      </rPr>
      <t>T.b.brucei</t>
    </r>
    <r>
      <rPr>
        <b/>
        <sz val="12"/>
        <rFont val="Arial"/>
        <family val="2"/>
      </rPr>
      <t xml:space="preserve"> (µM)</t>
    </r>
  </si>
  <si>
    <r>
      <t>Restest IC</t>
    </r>
    <r>
      <rPr>
        <b/>
        <vertAlign val="subscript"/>
        <sz val="12"/>
        <rFont val="Arial"/>
        <family val="2"/>
      </rPr>
      <t>50</t>
    </r>
    <r>
      <rPr>
        <b/>
        <sz val="12"/>
        <rFont val="Arial"/>
        <family val="2"/>
      </rPr>
      <t xml:space="preserve"> HEK (µM)</t>
    </r>
  </si>
  <si>
    <t>&gt;41.7</t>
  </si>
  <si>
    <t>Entry number</t>
  </si>
  <si>
    <t>37.5% at the top dose</t>
  </si>
  <si>
    <t>Yes, but did not pass selectivity criteria</t>
  </si>
  <si>
    <t>Yes, did not pass medicinal chemistry analysis</t>
  </si>
  <si>
    <t>No</t>
  </si>
  <si>
    <t>Yes, parent compound</t>
  </si>
  <si>
    <r>
      <t>C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</si>
  <si>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</si>
  <si>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21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21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</si>
  <si>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21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</si>
  <si>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BrN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</si>
  <si>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</si>
  <si>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</si>
  <si>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</si>
  <si>
    <r>
      <t>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FN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</si>
  <si>
    <r>
      <t>C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</si>
  <si>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ClFN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</si>
  <si>
    <r>
      <t>C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25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</si>
  <si>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21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</si>
  <si>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</si>
  <si>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FN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</si>
  <si>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ClF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</si>
  <si>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  <r>
      <rPr>
        <vertAlign val="subscript"/>
        <sz val="12"/>
        <color theme="1"/>
        <rFont val="Arial"/>
        <family val="2"/>
      </rPr>
      <t>2</t>
    </r>
  </si>
  <si>
    <r>
      <t>C</t>
    </r>
    <r>
      <rPr>
        <vertAlign val="subscript"/>
        <sz val="12"/>
        <color theme="1"/>
        <rFont val="Arial"/>
        <family val="2"/>
      </rPr>
      <t>20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</si>
  <si>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</si>
  <si>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21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21</t>
    </r>
    <r>
      <rPr>
        <sz val="12"/>
        <color theme="1"/>
        <rFont val="Arial"/>
        <family val="2"/>
      </rPr>
      <t>FN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</si>
  <si>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</si>
  <si>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ClF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</si>
  <si>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13</t>
    </r>
    <r>
      <rPr>
        <sz val="12"/>
        <color theme="1"/>
        <rFont val="Arial"/>
        <family val="2"/>
      </rPr>
      <t>FN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  <r>
      <rPr>
        <vertAlign val="subscript"/>
        <sz val="12"/>
        <color theme="1"/>
        <rFont val="Arial"/>
        <family val="2"/>
      </rPr>
      <t>2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</si>
  <si>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FN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</si>
  <si>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FN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</si>
  <si>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12</t>
    </r>
    <r>
      <rPr>
        <sz val="12"/>
        <color theme="1"/>
        <rFont val="Arial"/>
        <family val="2"/>
      </rPr>
      <t>BrFN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</si>
  <si>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F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</si>
  <si>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ClFN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</si>
  <si>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F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O</t>
    </r>
  </si>
  <si>
    <r>
      <t>C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O</t>
    </r>
  </si>
  <si>
    <r>
      <t>C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14</t>
    </r>
    <r>
      <rPr>
        <sz val="12"/>
        <color theme="1"/>
        <rFont val="Arial"/>
        <family val="2"/>
      </rPr>
      <t>F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O</t>
    </r>
  </si>
  <si>
    <r>
      <t>C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16</t>
    </r>
    <r>
      <rPr>
        <sz val="12"/>
        <color theme="1"/>
        <rFont val="Arial"/>
        <family val="2"/>
      </rPr>
      <t>ClN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O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</si>
  <si>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24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</si>
  <si>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O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S</t>
    </r>
  </si>
  <si>
    <r>
      <t>C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19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OS</t>
    </r>
  </si>
  <si>
    <r>
      <t>C</t>
    </r>
    <r>
      <rPr>
        <vertAlign val="sub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H</t>
    </r>
    <r>
      <rPr>
        <vertAlign val="subscript"/>
        <sz val="12"/>
        <color theme="1"/>
        <rFont val="Arial"/>
        <family val="2"/>
      </rPr>
      <t>17</t>
    </r>
    <r>
      <rPr>
        <sz val="12"/>
        <color theme="1"/>
        <rFont val="Arial"/>
        <family val="2"/>
      </rPr>
      <t>N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OS</t>
    </r>
  </si>
  <si>
    <t>Estimated Selectivity Index</t>
  </si>
  <si>
    <t xml:space="preserve"> Retested?</t>
  </si>
  <si>
    <t>Yes, did not pass selectivity criteria</t>
  </si>
  <si>
    <t>Primary Screening Activity 10.2µM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</si>
</sst>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b/>
      <i/>
      <sz val="12"/>
      <name val="Arial"/>
      <family val="2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indexed="8"/>
      <name val="Arial"/>
      <family val="2"/>
    </font>
    <font>
      <sz val="12"/>
      <color rgb="FF006100"/>
      <name val="Arial"/>
      <family val="2"/>
    </font>
    <font>
      <vertAlign val="subscript"/>
      <sz val="12"/>
      <color theme="1"/>
      <name val="Arial"/>
      <family val="2"/>
    </font>
    <font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9C000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6">
    <xf numFmtId="0" fontId="0" fillId="0" borderId="0"/>
    <xf numFmtId="0" fontId="3" fillId="0" borderId="0"/>
    <xf numFmtId="0" fontId="4" fillId="0" borderId="0"/>
    <xf numFmtId="0" fontId="1" fillId="0" borderId="0"/>
    <xf numFmtId="0" fontId="11" fillId="2" borderId="0" applyNumberFormat="0" applyBorder="0" applyAlignment="0" applyProtection="0"/>
    <xf numFmtId="0" fontId="15" fillId="3" borderId="0" applyNumberFormat="0" applyBorder="0" applyAlignment="0" applyProtection="0"/>
  </cellStyleXfs>
  <cellXfs count="25">
    <xf numFmtId="0" fontId="0" fillId="0" borderId="0" xfId="0"/>
    <xf numFmtId="0" fontId="6" fillId="0" borderId="0" xfId="0" applyFont="1"/>
    <xf numFmtId="0" fontId="6" fillId="0" borderId="1" xfId="0" applyFont="1" applyFill="1" applyBorder="1"/>
    <xf numFmtId="0" fontId="6" fillId="0" borderId="1" xfId="0" applyFont="1" applyBorder="1"/>
    <xf numFmtId="2" fontId="5" fillId="0" borderId="1" xfId="2" applyNumberFormat="1" applyFont="1" applyFill="1" applyBorder="1" applyAlignment="1">
      <alignment horizontal="right"/>
    </xf>
    <xf numFmtId="164" fontId="5" fillId="0" borderId="1" xfId="2" applyNumberFormat="1" applyFont="1" applyFill="1" applyBorder="1" applyAlignment="1">
      <alignment horizontal="right"/>
    </xf>
    <xf numFmtId="2" fontId="6" fillId="0" borderId="1" xfId="0" applyNumberFormat="1" applyFont="1" applyBorder="1"/>
    <xf numFmtId="1" fontId="6" fillId="0" borderId="1" xfId="0" applyNumberFormat="1" applyFont="1" applyBorder="1"/>
    <xf numFmtId="164" fontId="6" fillId="0" borderId="1" xfId="0" applyNumberFormat="1" applyFont="1" applyBorder="1"/>
    <xf numFmtId="0" fontId="7" fillId="0" borderId="0" xfId="0" applyFont="1"/>
    <xf numFmtId="0" fontId="10" fillId="0" borderId="0" xfId="0" applyFont="1"/>
    <xf numFmtId="0" fontId="13" fillId="2" borderId="1" xfId="4" applyFont="1" applyBorder="1"/>
    <xf numFmtId="0" fontId="10" fillId="0" borderId="0" xfId="0" applyFont="1" applyBorder="1"/>
    <xf numFmtId="0" fontId="6" fillId="0" borderId="0" xfId="0" applyFont="1" applyBorder="1"/>
    <xf numFmtId="0" fontId="7" fillId="0" borderId="3" xfId="0" applyFont="1" applyBorder="1"/>
    <xf numFmtId="0" fontId="7" fillId="0" borderId="3" xfId="0" applyFont="1" applyFill="1" applyBorder="1" applyAlignment="1"/>
    <xf numFmtId="0" fontId="12" fillId="0" borderId="1" xfId="1" applyFont="1" applyFill="1" applyBorder="1" applyAlignment="1">
      <alignment horizontal="right" wrapText="1"/>
    </xf>
    <xf numFmtId="0" fontId="12" fillId="0" borderId="1" xfId="1" applyFont="1" applyFill="1" applyBorder="1" applyAlignment="1">
      <alignment wrapText="1"/>
    </xf>
    <xf numFmtId="0" fontId="6" fillId="0" borderId="2" xfId="0" applyFont="1" applyBorder="1"/>
    <xf numFmtId="0" fontId="6" fillId="0" borderId="2" xfId="0" applyFont="1" applyFill="1" applyBorder="1"/>
    <xf numFmtId="0" fontId="12" fillId="0" borderId="2" xfId="1" applyFont="1" applyFill="1" applyBorder="1" applyAlignment="1">
      <alignment horizontal="right" wrapText="1"/>
    </xf>
    <xf numFmtId="0" fontId="12" fillId="0" borderId="2" xfId="1" applyFont="1" applyFill="1" applyBorder="1" applyAlignment="1">
      <alignment wrapText="1"/>
    </xf>
    <xf numFmtId="0" fontId="16" fillId="0" borderId="4" xfId="0" applyFont="1" applyBorder="1"/>
    <xf numFmtId="0" fontId="17" fillId="3" borderId="1" xfId="5" applyFont="1" applyBorder="1"/>
    <xf numFmtId="164" fontId="17" fillId="3" borderId="1" xfId="5" applyNumberFormat="1" applyFont="1" applyBorder="1"/>
  </cellXfs>
  <cellStyles count="6">
    <cellStyle name="Bad" xfId="5" builtinId="27"/>
    <cellStyle name="Good" xfId="4" builtinId="26"/>
    <cellStyle name="Normal" xfId="0" builtinId="0"/>
    <cellStyle name="Normal 2" xfId="2"/>
    <cellStyle name="Normal 3" xfId="3"/>
    <cellStyle name="Normal_Sheet1" xfId="1"/>
  </cellStyles>
  <dxfs count="2">
    <dxf>
      <fill>
        <patternFill>
          <bgColor indexed="52"/>
        </patternFill>
      </fill>
    </dxf>
    <dxf>
      <fill>
        <patternFill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41" Type="http://schemas.openxmlformats.org/officeDocument/2006/relationships/image" Target="../media/image4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</xdr:row>
      <xdr:rowOff>25400</xdr:rowOff>
    </xdr:from>
    <xdr:to>
      <xdr:col>1</xdr:col>
      <xdr:colOff>3516182</xdr:colOff>
      <xdr:row>1</xdr:row>
      <xdr:rowOff>2247900</xdr:rowOff>
    </xdr:to>
    <xdr:pic macro="[1]!Shape_OnAction">
      <xdr:nvPicPr>
        <xdr:cNvPr id="4" name="ChemOffice1Picture 3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17747250"/>
          <a:ext cx="3490782" cy="22225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14</xdr:row>
      <xdr:rowOff>25400</xdr:rowOff>
    </xdr:from>
    <xdr:to>
      <xdr:col>1</xdr:col>
      <xdr:colOff>4214338</xdr:colOff>
      <xdr:row>14</xdr:row>
      <xdr:rowOff>2235200</xdr:rowOff>
    </xdr:to>
    <xdr:pic macro="[1]!Shape_OnAction">
      <xdr:nvPicPr>
        <xdr:cNvPr id="11" name="ChemOffice1Picture 10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19379000"/>
          <a:ext cx="4188938" cy="22098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25</xdr:row>
      <xdr:rowOff>25400</xdr:rowOff>
    </xdr:from>
    <xdr:to>
      <xdr:col>1</xdr:col>
      <xdr:colOff>2843413</xdr:colOff>
      <xdr:row>26</xdr:row>
      <xdr:rowOff>0</xdr:rowOff>
    </xdr:to>
    <xdr:pic macro="[1]!Shape_OnAction">
      <xdr:nvPicPr>
        <xdr:cNvPr id="21" name="ChemOffice1Picture 20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99931925"/>
          <a:ext cx="2818013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8</xdr:row>
      <xdr:rowOff>25400</xdr:rowOff>
    </xdr:from>
    <xdr:to>
      <xdr:col>1</xdr:col>
      <xdr:colOff>4404744</xdr:colOff>
      <xdr:row>8</xdr:row>
      <xdr:rowOff>3594100</xdr:rowOff>
    </xdr:to>
    <xdr:pic macro="[1]!Shape_OnAction">
      <xdr:nvPicPr>
        <xdr:cNvPr id="23" name="ChemOffice1Picture 22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65334150"/>
          <a:ext cx="4379344" cy="35687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9</xdr:row>
      <xdr:rowOff>25400</xdr:rowOff>
    </xdr:from>
    <xdr:to>
      <xdr:col>1</xdr:col>
      <xdr:colOff>4252419</xdr:colOff>
      <xdr:row>9</xdr:row>
      <xdr:rowOff>3594100</xdr:rowOff>
    </xdr:to>
    <xdr:pic macro="[1]!Shape_OnAction">
      <xdr:nvPicPr>
        <xdr:cNvPr id="32" name="ChemOffice1Picture 3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85031850"/>
          <a:ext cx="4227019" cy="35687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7</xdr:row>
      <xdr:rowOff>25400</xdr:rowOff>
    </xdr:from>
    <xdr:to>
      <xdr:col>1</xdr:col>
      <xdr:colOff>4696701</xdr:colOff>
      <xdr:row>7</xdr:row>
      <xdr:rowOff>2616200</xdr:rowOff>
    </xdr:to>
    <xdr:pic macro="[1]!Shape_OnAction">
      <xdr:nvPicPr>
        <xdr:cNvPr id="39" name="ChemOffice1Picture 3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41559750"/>
          <a:ext cx="4671301" cy="25908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36</xdr:row>
      <xdr:rowOff>25400</xdr:rowOff>
    </xdr:from>
    <xdr:to>
      <xdr:col>1</xdr:col>
      <xdr:colOff>4074707</xdr:colOff>
      <xdr:row>36</xdr:row>
      <xdr:rowOff>4330700</xdr:rowOff>
    </xdr:to>
    <xdr:pic macro="[1]!Shape_OnAction">
      <xdr:nvPicPr>
        <xdr:cNvPr id="46" name="ChemOffice1Picture 4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16117875"/>
          <a:ext cx="4049307" cy="43053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34</xdr:row>
      <xdr:rowOff>25400</xdr:rowOff>
    </xdr:from>
    <xdr:to>
      <xdr:col>1</xdr:col>
      <xdr:colOff>5191757</xdr:colOff>
      <xdr:row>34</xdr:row>
      <xdr:rowOff>1930400</xdr:rowOff>
    </xdr:to>
    <xdr:pic macro="[1]!Shape_OnAction">
      <xdr:nvPicPr>
        <xdr:cNvPr id="50" name="ChemOffice1Picture 49"/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97467925"/>
          <a:ext cx="5166357" cy="1905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30</xdr:row>
      <xdr:rowOff>25400</xdr:rowOff>
    </xdr:from>
    <xdr:to>
      <xdr:col>1</xdr:col>
      <xdr:colOff>5509101</xdr:colOff>
      <xdr:row>30</xdr:row>
      <xdr:rowOff>1790700</xdr:rowOff>
    </xdr:to>
    <xdr:pic macro="[1]!Shape_OnAction">
      <xdr:nvPicPr>
        <xdr:cNvPr id="51" name="ChemOffice1Picture 50"/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76779625"/>
          <a:ext cx="5483701" cy="17653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10</xdr:row>
      <xdr:rowOff>25400</xdr:rowOff>
    </xdr:from>
    <xdr:to>
      <xdr:col>1</xdr:col>
      <xdr:colOff>4747476</xdr:colOff>
      <xdr:row>10</xdr:row>
      <xdr:rowOff>2425700</xdr:rowOff>
    </xdr:to>
    <xdr:pic macro="[1]!Shape_OnAction">
      <xdr:nvPicPr>
        <xdr:cNvPr id="52" name="ChemOffice1Picture 5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96490425"/>
          <a:ext cx="4722076" cy="24003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31</xdr:row>
      <xdr:rowOff>25400</xdr:rowOff>
    </xdr:from>
    <xdr:to>
      <xdr:col>1</xdr:col>
      <xdr:colOff>3833526</xdr:colOff>
      <xdr:row>31</xdr:row>
      <xdr:rowOff>3073400</xdr:rowOff>
    </xdr:to>
    <xdr:pic macro="[1]!Shape_OnAction">
      <xdr:nvPicPr>
        <xdr:cNvPr id="53" name="ChemOffice1Picture 52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85409275"/>
          <a:ext cx="3808126" cy="3048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23</xdr:row>
      <xdr:rowOff>25400</xdr:rowOff>
    </xdr:from>
    <xdr:to>
      <xdr:col>1</xdr:col>
      <xdr:colOff>2843413</xdr:colOff>
      <xdr:row>24</xdr:row>
      <xdr:rowOff>0</xdr:rowOff>
    </xdr:to>
    <xdr:pic macro="[1]!Shape_OnAction">
      <xdr:nvPicPr>
        <xdr:cNvPr id="64" name="ChemOffice1Picture 63"/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79624625"/>
          <a:ext cx="2818013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</xdr:row>
      <xdr:rowOff>25400</xdr:rowOff>
    </xdr:from>
    <xdr:to>
      <xdr:col>1</xdr:col>
      <xdr:colOff>5712201</xdr:colOff>
      <xdr:row>2</xdr:row>
      <xdr:rowOff>1981200</xdr:rowOff>
    </xdr:to>
    <xdr:pic macro="[1]!Shape_OnAction">
      <xdr:nvPicPr>
        <xdr:cNvPr id="66" name="ChemOffice1Picture 65"/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20223750"/>
          <a:ext cx="5686801" cy="19558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35</xdr:row>
      <xdr:rowOff>25400</xdr:rowOff>
    </xdr:from>
    <xdr:to>
      <xdr:col>1</xdr:col>
      <xdr:colOff>4684007</xdr:colOff>
      <xdr:row>35</xdr:row>
      <xdr:rowOff>2717800</xdr:rowOff>
    </xdr:to>
    <xdr:pic macro="[1]!Shape_OnAction">
      <xdr:nvPicPr>
        <xdr:cNvPr id="73" name="ChemOffice1Picture 72"/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99620575"/>
          <a:ext cx="4658607" cy="26924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19</xdr:row>
      <xdr:rowOff>25400</xdr:rowOff>
    </xdr:from>
    <xdr:to>
      <xdr:col>1</xdr:col>
      <xdr:colOff>2741863</xdr:colOff>
      <xdr:row>20</xdr:row>
      <xdr:rowOff>28575</xdr:rowOff>
    </xdr:to>
    <xdr:pic macro="[1]!Shape_OnAction">
      <xdr:nvPicPr>
        <xdr:cNvPr id="77" name="ChemOffice1Picture 76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44410700"/>
          <a:ext cx="2716463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32</xdr:row>
      <xdr:rowOff>25400</xdr:rowOff>
    </xdr:from>
    <xdr:to>
      <xdr:col>1</xdr:col>
      <xdr:colOff>4658620</xdr:colOff>
      <xdr:row>32</xdr:row>
      <xdr:rowOff>2552700</xdr:rowOff>
    </xdr:to>
    <xdr:pic macro="[1]!Shape_OnAction">
      <xdr:nvPicPr>
        <xdr:cNvPr id="84" name="ChemOffice1Picture 83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88704925"/>
          <a:ext cx="4633220" cy="25273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33</xdr:row>
      <xdr:rowOff>25400</xdr:rowOff>
    </xdr:from>
    <xdr:to>
      <xdr:col>1</xdr:col>
      <xdr:colOff>5369470</xdr:colOff>
      <xdr:row>33</xdr:row>
      <xdr:rowOff>2095500</xdr:rowOff>
    </xdr:to>
    <xdr:pic macro="[1]!Shape_OnAction">
      <xdr:nvPicPr>
        <xdr:cNvPr id="90" name="ChemOffice1Picture 89"/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95143825"/>
          <a:ext cx="5344070" cy="20701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4</xdr:row>
      <xdr:rowOff>25400</xdr:rowOff>
    </xdr:from>
    <xdr:to>
      <xdr:col>1</xdr:col>
      <xdr:colOff>5636038</xdr:colOff>
      <xdr:row>4</xdr:row>
      <xdr:rowOff>1955800</xdr:rowOff>
    </xdr:to>
    <xdr:pic macro="[1]!Shape_OnAction">
      <xdr:nvPicPr>
        <xdr:cNvPr id="93" name="ChemOffice1Picture 92"/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26986500"/>
          <a:ext cx="5610638" cy="19304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6</xdr:row>
      <xdr:rowOff>25400</xdr:rowOff>
    </xdr:from>
    <xdr:to>
      <xdr:col>1</xdr:col>
      <xdr:colOff>4277807</xdr:colOff>
      <xdr:row>6</xdr:row>
      <xdr:rowOff>3124200</xdr:rowOff>
    </xdr:to>
    <xdr:pic macro="[1]!Shape_OnAction">
      <xdr:nvPicPr>
        <xdr:cNvPr id="113" name="ChemOffice1Picture 112"/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38206950"/>
          <a:ext cx="4252407" cy="30988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24</xdr:row>
      <xdr:rowOff>25400</xdr:rowOff>
    </xdr:from>
    <xdr:to>
      <xdr:col>1</xdr:col>
      <xdr:colOff>2830719</xdr:colOff>
      <xdr:row>25</xdr:row>
      <xdr:rowOff>0</xdr:rowOff>
    </xdr:to>
    <xdr:pic macro="[1]!Shape_OnAction">
      <xdr:nvPicPr>
        <xdr:cNvPr id="117" name="ChemOffice1Picture 116"/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89778275"/>
          <a:ext cx="2805319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11</xdr:row>
      <xdr:rowOff>25400</xdr:rowOff>
    </xdr:from>
    <xdr:to>
      <xdr:col>1</xdr:col>
      <xdr:colOff>4798251</xdr:colOff>
      <xdr:row>11</xdr:row>
      <xdr:rowOff>2451100</xdr:rowOff>
    </xdr:to>
    <xdr:pic macro="[1]!Shape_OnAction">
      <xdr:nvPicPr>
        <xdr:cNvPr id="128" name="ChemOffice1Picture 127"/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99138375"/>
          <a:ext cx="4772851" cy="24257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29</xdr:row>
      <xdr:rowOff>25400</xdr:rowOff>
    </xdr:from>
    <xdr:to>
      <xdr:col>1</xdr:col>
      <xdr:colOff>5623345</xdr:colOff>
      <xdr:row>29</xdr:row>
      <xdr:rowOff>2120900</xdr:rowOff>
    </xdr:to>
    <xdr:pic macro="[1]!Shape_OnAction">
      <xdr:nvPicPr>
        <xdr:cNvPr id="129" name="ChemOffice1Picture 128"/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66283075"/>
          <a:ext cx="5597945" cy="20955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17</xdr:row>
      <xdr:rowOff>25400</xdr:rowOff>
    </xdr:from>
    <xdr:to>
      <xdr:col>1</xdr:col>
      <xdr:colOff>2602232</xdr:colOff>
      <xdr:row>18</xdr:row>
      <xdr:rowOff>28575</xdr:rowOff>
    </xdr:to>
    <xdr:pic macro="[1]!Shape_OnAction">
      <xdr:nvPicPr>
        <xdr:cNvPr id="135" name="ChemOffice1Picture 134"/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34257050"/>
          <a:ext cx="2576832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25400</xdr:rowOff>
    </xdr:from>
    <xdr:to>
      <xdr:col>1</xdr:col>
      <xdr:colOff>5851832</xdr:colOff>
      <xdr:row>3</xdr:row>
      <xdr:rowOff>2120900</xdr:rowOff>
    </xdr:to>
    <xdr:pic macro="[1]!Shape_OnAction">
      <xdr:nvPicPr>
        <xdr:cNvPr id="137" name="ChemOffice1Picture 136"/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24643350"/>
          <a:ext cx="5826432" cy="20955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20</xdr:row>
      <xdr:rowOff>25400</xdr:rowOff>
    </xdr:from>
    <xdr:to>
      <xdr:col>1</xdr:col>
      <xdr:colOff>2526069</xdr:colOff>
      <xdr:row>21</xdr:row>
      <xdr:rowOff>0</xdr:rowOff>
    </xdr:to>
    <xdr:pic macro="[1]!Shape_OnAction">
      <xdr:nvPicPr>
        <xdr:cNvPr id="148" name="ChemOffice1Picture 147"/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49487525"/>
          <a:ext cx="2500669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12</xdr:row>
      <xdr:rowOff>25400</xdr:rowOff>
    </xdr:from>
    <xdr:to>
      <xdr:col>1</xdr:col>
      <xdr:colOff>3846219</xdr:colOff>
      <xdr:row>13</xdr:row>
      <xdr:rowOff>28575</xdr:rowOff>
    </xdr:to>
    <xdr:pic macro="[1]!Shape_OnAction">
      <xdr:nvPicPr>
        <xdr:cNvPr id="158" name="ChemOffice1Picture 157"/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01814900"/>
          <a:ext cx="3820819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22</xdr:row>
      <xdr:rowOff>25400</xdr:rowOff>
    </xdr:from>
    <xdr:to>
      <xdr:col>1</xdr:col>
      <xdr:colOff>3275001</xdr:colOff>
      <xdr:row>23</xdr:row>
      <xdr:rowOff>0</xdr:rowOff>
    </xdr:to>
    <xdr:pic macro="[1]!Shape_OnAction">
      <xdr:nvPicPr>
        <xdr:cNvPr id="177" name="ChemOffice1Picture 176"/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69470975"/>
          <a:ext cx="3249601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15</xdr:row>
      <xdr:rowOff>25400</xdr:rowOff>
    </xdr:from>
    <xdr:to>
      <xdr:col>1</xdr:col>
      <xdr:colOff>3973157</xdr:colOff>
      <xdr:row>15</xdr:row>
      <xdr:rowOff>4660900</xdr:rowOff>
    </xdr:to>
    <xdr:pic macro="[1]!Shape_OnAction">
      <xdr:nvPicPr>
        <xdr:cNvPr id="194" name="ChemOffice1Picture 193"/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24293900"/>
          <a:ext cx="3947757" cy="46355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21</xdr:row>
      <xdr:rowOff>25400</xdr:rowOff>
    </xdr:from>
    <xdr:to>
      <xdr:col>1</xdr:col>
      <xdr:colOff>4633232</xdr:colOff>
      <xdr:row>21</xdr:row>
      <xdr:rowOff>4686300</xdr:rowOff>
    </xdr:to>
    <xdr:pic macro="[1]!Shape_OnAction">
      <xdr:nvPicPr>
        <xdr:cNvPr id="202" name="ChemOffice1Picture 201"/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59641175"/>
          <a:ext cx="4607832" cy="46609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18</xdr:row>
      <xdr:rowOff>25400</xdr:rowOff>
    </xdr:from>
    <xdr:to>
      <xdr:col>1</xdr:col>
      <xdr:colOff>2602232</xdr:colOff>
      <xdr:row>19</xdr:row>
      <xdr:rowOff>28575</xdr:rowOff>
    </xdr:to>
    <xdr:pic macro="[1]!Shape_OnAction">
      <xdr:nvPicPr>
        <xdr:cNvPr id="203" name="ChemOffice1Picture 202"/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39333875"/>
          <a:ext cx="2576832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5</xdr:row>
      <xdr:rowOff>25400</xdr:rowOff>
    </xdr:from>
    <xdr:to>
      <xdr:col>1</xdr:col>
      <xdr:colOff>5877220</xdr:colOff>
      <xdr:row>5</xdr:row>
      <xdr:rowOff>2057400</xdr:rowOff>
    </xdr:to>
    <xdr:pic macro="[1]!Shape_OnAction">
      <xdr:nvPicPr>
        <xdr:cNvPr id="204" name="ChemOffice1Picture 203"/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31348950"/>
          <a:ext cx="5851820" cy="2032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21</xdr:row>
      <xdr:rowOff>0</xdr:rowOff>
    </xdr:from>
    <xdr:to>
      <xdr:col>1</xdr:col>
      <xdr:colOff>3668507</xdr:colOff>
      <xdr:row>21</xdr:row>
      <xdr:rowOff>28575</xdr:rowOff>
    </xdr:to>
    <xdr:pic macro="[1]!Shape_OnAction">
      <xdr:nvPicPr>
        <xdr:cNvPr id="206" name="ChemOffice1Picture 205"/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54564350"/>
          <a:ext cx="3643107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28</xdr:row>
      <xdr:rowOff>25400</xdr:rowOff>
    </xdr:from>
    <xdr:to>
      <xdr:col>1</xdr:col>
      <xdr:colOff>3363857</xdr:colOff>
      <xdr:row>29</xdr:row>
      <xdr:rowOff>0</xdr:rowOff>
    </xdr:to>
    <xdr:pic macro="[1]!Shape_OnAction">
      <xdr:nvPicPr>
        <xdr:cNvPr id="212" name="ChemOffice1Picture 211"/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40546525"/>
          <a:ext cx="3338457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16</xdr:row>
      <xdr:rowOff>25400</xdr:rowOff>
    </xdr:from>
    <xdr:to>
      <xdr:col>1</xdr:col>
      <xdr:colOff>2805332</xdr:colOff>
      <xdr:row>17</xdr:row>
      <xdr:rowOff>28575</xdr:rowOff>
    </xdr:to>
    <xdr:pic macro="[1]!Shape_OnAction">
      <xdr:nvPicPr>
        <xdr:cNvPr id="216" name="ChemOffice1Picture 215"/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29180225"/>
          <a:ext cx="2779932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27</xdr:row>
      <xdr:rowOff>25400</xdr:rowOff>
    </xdr:from>
    <xdr:to>
      <xdr:col>1</xdr:col>
      <xdr:colOff>3871607</xdr:colOff>
      <xdr:row>28</xdr:row>
      <xdr:rowOff>0</xdr:rowOff>
    </xdr:to>
    <xdr:pic macro="[1]!Shape_OnAction">
      <xdr:nvPicPr>
        <xdr:cNvPr id="219" name="ChemOffice1Picture 218"/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30392875"/>
          <a:ext cx="3846207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26</xdr:row>
      <xdr:rowOff>25400</xdr:rowOff>
    </xdr:from>
    <xdr:to>
      <xdr:col>1</xdr:col>
      <xdr:colOff>2983044</xdr:colOff>
      <xdr:row>27</xdr:row>
      <xdr:rowOff>0</xdr:rowOff>
    </xdr:to>
    <xdr:pic macro="[1]!Shape_OnAction">
      <xdr:nvPicPr>
        <xdr:cNvPr id="224" name="ChemOffice1Picture 223"/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20239225"/>
          <a:ext cx="2957644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13</xdr:row>
      <xdr:rowOff>25400</xdr:rowOff>
    </xdr:from>
    <xdr:to>
      <xdr:col>1</xdr:col>
      <xdr:colOff>3452713</xdr:colOff>
      <xdr:row>14</xdr:row>
      <xdr:rowOff>0</xdr:rowOff>
    </xdr:to>
    <xdr:pic macro="[1]!Shape_OnAction">
      <xdr:nvPicPr>
        <xdr:cNvPr id="231" name="ChemOffice1Picture 230"/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06891725"/>
          <a:ext cx="3427313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24</xdr:row>
      <xdr:rowOff>0</xdr:rowOff>
    </xdr:from>
    <xdr:to>
      <xdr:col>1</xdr:col>
      <xdr:colOff>2843413</xdr:colOff>
      <xdr:row>24</xdr:row>
      <xdr:rowOff>28575</xdr:rowOff>
    </xdr:to>
    <xdr:pic macro="[1]!Shape_OnAction">
      <xdr:nvPicPr>
        <xdr:cNvPr id="258" name="ChemOffice1Picture 257"/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84701450"/>
          <a:ext cx="2818013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25</xdr:row>
      <xdr:rowOff>0</xdr:rowOff>
    </xdr:from>
    <xdr:to>
      <xdr:col>1</xdr:col>
      <xdr:colOff>2830719</xdr:colOff>
      <xdr:row>25</xdr:row>
      <xdr:rowOff>28575</xdr:rowOff>
    </xdr:to>
    <xdr:pic macro="[1]!Shape_OnAction">
      <xdr:nvPicPr>
        <xdr:cNvPr id="264" name="ChemOffice1Picture 263"/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94855100"/>
          <a:ext cx="2805319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23</xdr:row>
      <xdr:rowOff>0</xdr:rowOff>
    </xdr:from>
    <xdr:to>
      <xdr:col>1</xdr:col>
      <xdr:colOff>3275001</xdr:colOff>
      <xdr:row>23</xdr:row>
      <xdr:rowOff>28575</xdr:rowOff>
    </xdr:to>
    <xdr:pic macro="[1]!Shape_OnAction">
      <xdr:nvPicPr>
        <xdr:cNvPr id="271" name="ChemOffice1Picture 270"/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74547800"/>
          <a:ext cx="3249601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28</xdr:row>
      <xdr:rowOff>0</xdr:rowOff>
    </xdr:from>
    <xdr:to>
      <xdr:col>1</xdr:col>
      <xdr:colOff>3871607</xdr:colOff>
      <xdr:row>28</xdr:row>
      <xdr:rowOff>28575</xdr:rowOff>
    </xdr:to>
    <xdr:pic macro="[1]!Shape_OnAction">
      <xdr:nvPicPr>
        <xdr:cNvPr id="281" name="ChemOffice1Picture 280"/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35469700"/>
          <a:ext cx="3846207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27</xdr:row>
      <xdr:rowOff>0</xdr:rowOff>
    </xdr:from>
    <xdr:to>
      <xdr:col>1</xdr:col>
      <xdr:colOff>2983044</xdr:colOff>
      <xdr:row>27</xdr:row>
      <xdr:rowOff>28575</xdr:rowOff>
    </xdr:to>
    <xdr:pic macro="[1]!Shape_OnAction">
      <xdr:nvPicPr>
        <xdr:cNvPr id="285" name="ChemOffice1Picture 284"/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25316050"/>
          <a:ext cx="2957644" cy="508000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26</xdr:row>
      <xdr:rowOff>0</xdr:rowOff>
    </xdr:from>
    <xdr:to>
      <xdr:col>1</xdr:col>
      <xdr:colOff>2843413</xdr:colOff>
      <xdr:row>26</xdr:row>
      <xdr:rowOff>28575</xdr:rowOff>
    </xdr:to>
    <xdr:pic macro="[1]!Shape_OnAction">
      <xdr:nvPicPr>
        <xdr:cNvPr id="290" name="ChemOffice1Picture 289"/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15162400"/>
          <a:ext cx="2818013" cy="508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CambridgeSoft/ChemOffice2010/ChemDraw%20for%20Excel/ChemDrawExcel12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mOffice1"/>
      <sheetName val="ChemDrawExcel12"/>
    </sheetNames>
    <definedNames>
      <definedName name="Shape_OnAction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7" Type="http://schemas.openxmlformats.org/officeDocument/2006/relationships/comments" Target="../comments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7"/>
  <sheetViews>
    <sheetView tabSelected="1" zoomScale="50" zoomScaleNormal="50" workbookViewId="0">
      <selection activeCell="A37" sqref="A37"/>
    </sheetView>
  </sheetViews>
  <sheetFormatPr defaultRowHeight="15.75" x14ac:dyDescent="0.25"/>
  <cols>
    <col min="1" max="1" width="19.5703125" style="12" bestFit="1" customWidth="1"/>
    <col min="2" max="2" width="81.140625" style="12" customWidth="1"/>
    <col min="3" max="3" width="26.5703125" style="13" customWidth="1"/>
    <col min="4" max="4" width="51.85546875" style="13" bestFit="1" customWidth="1"/>
    <col min="5" max="5" width="49.140625" style="13" customWidth="1"/>
    <col min="6" max="6" width="42.140625" style="13" bestFit="1" customWidth="1"/>
    <col min="7" max="7" width="33.28515625" style="13" bestFit="1" customWidth="1"/>
    <col min="8" max="8" width="39" style="13" bestFit="1" customWidth="1"/>
    <col min="9" max="9" width="9.140625" style="1"/>
    <col min="10" max="16384" width="9.140625" style="10"/>
  </cols>
  <sheetData>
    <row r="1" spans="1:8" s="9" customFormat="1" ht="19.5" thickBot="1" x14ac:dyDescent="0.4">
      <c r="A1" s="14" t="s">
        <v>42</v>
      </c>
      <c r="B1" s="15" t="s">
        <v>0</v>
      </c>
      <c r="C1" s="15" t="s">
        <v>1</v>
      </c>
      <c r="D1" s="14" t="s">
        <v>87</v>
      </c>
      <c r="E1" s="22" t="s">
        <v>85</v>
      </c>
      <c r="F1" s="14" t="s">
        <v>39</v>
      </c>
      <c r="G1" s="14" t="s">
        <v>40</v>
      </c>
      <c r="H1" s="14" t="s">
        <v>84</v>
      </c>
    </row>
    <row r="2" spans="1:8" ht="195" customHeight="1" thickTop="1" x14ac:dyDescent="0.35">
      <c r="A2" s="3">
        <v>1</v>
      </c>
      <c r="B2" s="2" t="s">
        <v>48</v>
      </c>
      <c r="C2" s="2" t="s">
        <v>2</v>
      </c>
      <c r="D2" s="16">
        <v>100</v>
      </c>
      <c r="E2"/>
      <c r="F2" s="3" t="s">
        <v>38</v>
      </c>
      <c r="G2" s="3"/>
      <c r="H2" s="3"/>
    </row>
    <row r="3" spans="1:8" ht="174" customHeight="1" x14ac:dyDescent="0.35">
      <c r="A3" s="3">
        <v>2</v>
      </c>
      <c r="B3" s="2" t="s">
        <v>49</v>
      </c>
      <c r="C3" s="2" t="s">
        <v>14</v>
      </c>
      <c r="D3" s="16">
        <v>-9</v>
      </c>
      <c r="E3" s="17" t="s">
        <v>46</v>
      </c>
      <c r="F3" s="3"/>
      <c r="G3" s="3"/>
      <c r="H3" s="3"/>
    </row>
    <row r="4" spans="1:8" ht="185.1" customHeight="1" x14ac:dyDescent="0.35">
      <c r="A4" s="3">
        <v>3</v>
      </c>
      <c r="B4" s="2" t="s">
        <v>50</v>
      </c>
      <c r="C4" s="2" t="s">
        <v>25</v>
      </c>
      <c r="D4" s="16">
        <v>2</v>
      </c>
      <c r="E4" s="17" t="s">
        <v>46</v>
      </c>
      <c r="F4" s="3"/>
      <c r="G4" s="3"/>
      <c r="H4" s="3"/>
    </row>
    <row r="5" spans="1:8" ht="171.95" customHeight="1" x14ac:dyDescent="0.35">
      <c r="A5" s="3">
        <v>4</v>
      </c>
      <c r="B5" s="2" t="s">
        <v>51</v>
      </c>
      <c r="C5" s="2" t="s">
        <v>19</v>
      </c>
      <c r="D5" s="16">
        <v>97</v>
      </c>
      <c r="E5" s="23" t="s">
        <v>44</v>
      </c>
      <c r="F5" s="4">
        <v>5.806</v>
      </c>
      <c r="G5" s="5">
        <v>41.7</v>
      </c>
      <c r="H5" s="6">
        <f>G5/F5</f>
        <v>7.182225284188771</v>
      </c>
    </row>
    <row r="6" spans="1:8" ht="180" customHeight="1" x14ac:dyDescent="0.35">
      <c r="A6" s="3">
        <v>5</v>
      </c>
      <c r="B6" s="2" t="s">
        <v>52</v>
      </c>
      <c r="C6" s="2" t="s">
        <v>32</v>
      </c>
      <c r="D6" s="16">
        <v>48</v>
      </c>
      <c r="E6" s="17" t="s">
        <v>46</v>
      </c>
      <c r="F6" s="3"/>
      <c r="G6" s="3"/>
      <c r="H6" s="3"/>
    </row>
    <row r="7" spans="1:8" ht="264" customHeight="1" x14ac:dyDescent="0.35">
      <c r="A7" s="3">
        <v>6</v>
      </c>
      <c r="B7" s="2" t="s">
        <v>53</v>
      </c>
      <c r="C7" s="2" t="s">
        <v>20</v>
      </c>
      <c r="D7" s="16">
        <v>12</v>
      </c>
      <c r="E7" s="17" t="s">
        <v>46</v>
      </c>
      <c r="F7" s="3"/>
      <c r="G7" s="3"/>
      <c r="H7" s="3"/>
    </row>
    <row r="8" spans="1:8" ht="224.1" customHeight="1" x14ac:dyDescent="0.35">
      <c r="A8" s="3">
        <v>7</v>
      </c>
      <c r="B8" s="2" t="s">
        <v>54</v>
      </c>
      <c r="C8" s="2" t="s">
        <v>7</v>
      </c>
      <c r="D8" s="16">
        <v>-2</v>
      </c>
      <c r="E8" s="17" t="s">
        <v>46</v>
      </c>
      <c r="F8" s="3"/>
      <c r="G8" s="3"/>
      <c r="H8" s="3"/>
    </row>
    <row r="9" spans="1:8" ht="300.95" customHeight="1" x14ac:dyDescent="0.35">
      <c r="A9" s="3">
        <v>8</v>
      </c>
      <c r="B9" s="2" t="s">
        <v>55</v>
      </c>
      <c r="C9" s="2" t="s">
        <v>5</v>
      </c>
      <c r="D9" s="16">
        <v>-5</v>
      </c>
      <c r="E9" s="17" t="s">
        <v>46</v>
      </c>
      <c r="F9" s="3"/>
      <c r="G9" s="3"/>
      <c r="H9" s="3"/>
    </row>
    <row r="10" spans="1:8" ht="300.95" customHeight="1" x14ac:dyDescent="0.35">
      <c r="A10" s="3">
        <v>9</v>
      </c>
      <c r="B10" s="2" t="s">
        <v>56</v>
      </c>
      <c r="C10" s="2" t="s">
        <v>6</v>
      </c>
      <c r="D10" s="16">
        <v>5</v>
      </c>
      <c r="E10" s="17" t="s">
        <v>46</v>
      </c>
      <c r="F10" s="3"/>
      <c r="G10" s="3"/>
      <c r="H10" s="3"/>
    </row>
    <row r="11" spans="1:8" ht="209.1" customHeight="1" x14ac:dyDescent="0.35">
      <c r="A11" s="3">
        <v>10</v>
      </c>
      <c r="B11" s="2" t="s">
        <v>57</v>
      </c>
      <c r="C11" s="2" t="s">
        <v>11</v>
      </c>
      <c r="D11" s="16">
        <v>-2</v>
      </c>
      <c r="E11" s="17" t="s">
        <v>46</v>
      </c>
      <c r="F11" s="3"/>
      <c r="G11" s="3"/>
      <c r="H11" s="3"/>
    </row>
    <row r="12" spans="1:8" ht="210.95" customHeight="1" x14ac:dyDescent="0.35">
      <c r="A12" s="3">
        <v>11</v>
      </c>
      <c r="B12" s="2" t="s">
        <v>58</v>
      </c>
      <c r="C12" s="2" t="s">
        <v>22</v>
      </c>
      <c r="D12" s="16">
        <v>7</v>
      </c>
      <c r="E12" s="17" t="s">
        <v>46</v>
      </c>
      <c r="F12" s="3"/>
      <c r="G12" s="3"/>
      <c r="H12" s="3"/>
    </row>
    <row r="13" spans="1:8" ht="399.95" customHeight="1" x14ac:dyDescent="0.35">
      <c r="A13" s="3">
        <v>12</v>
      </c>
      <c r="B13" s="2" t="s">
        <v>59</v>
      </c>
      <c r="C13" s="2" t="s">
        <v>27</v>
      </c>
      <c r="D13" s="16">
        <v>6</v>
      </c>
      <c r="E13" s="17" t="s">
        <v>46</v>
      </c>
      <c r="F13" s="3"/>
      <c r="G13" s="3"/>
      <c r="H13" s="3"/>
    </row>
    <row r="14" spans="1:8" ht="399.95" customHeight="1" x14ac:dyDescent="0.35">
      <c r="A14" s="3">
        <v>13</v>
      </c>
      <c r="B14" s="2" t="s">
        <v>60</v>
      </c>
      <c r="C14" s="2" t="s">
        <v>37</v>
      </c>
      <c r="D14" s="16">
        <v>3</v>
      </c>
      <c r="E14" s="17" t="s">
        <v>46</v>
      </c>
      <c r="F14" s="3"/>
      <c r="G14" s="3"/>
      <c r="H14" s="3"/>
    </row>
    <row r="15" spans="1:8" ht="194.1" customHeight="1" x14ac:dyDescent="0.35">
      <c r="A15" s="3">
        <v>14</v>
      </c>
      <c r="B15" s="2" t="s">
        <v>61</v>
      </c>
      <c r="C15" s="2" t="s">
        <v>3</v>
      </c>
      <c r="D15" s="16">
        <v>2</v>
      </c>
      <c r="E15" s="17" t="s">
        <v>46</v>
      </c>
      <c r="F15" s="3"/>
      <c r="G15" s="3"/>
      <c r="H15" s="3"/>
    </row>
    <row r="16" spans="1:8" ht="384.95" customHeight="1" x14ac:dyDescent="0.35">
      <c r="A16" s="3">
        <v>15</v>
      </c>
      <c r="B16" s="2" t="s">
        <v>62</v>
      </c>
      <c r="C16" s="2" t="s">
        <v>29</v>
      </c>
      <c r="D16" s="16">
        <v>3</v>
      </c>
      <c r="E16" s="17" t="s">
        <v>46</v>
      </c>
      <c r="F16" s="3"/>
      <c r="G16" s="3"/>
      <c r="H16" s="3"/>
    </row>
    <row r="17" spans="1:8" ht="399.95" customHeight="1" x14ac:dyDescent="0.35">
      <c r="A17" s="3">
        <v>16</v>
      </c>
      <c r="B17" s="2" t="s">
        <v>63</v>
      </c>
      <c r="C17" s="2" t="s">
        <v>34</v>
      </c>
      <c r="D17" s="16">
        <v>25</v>
      </c>
      <c r="E17" s="17" t="s">
        <v>46</v>
      </c>
      <c r="F17" s="3"/>
      <c r="G17" s="3"/>
      <c r="H17" s="3"/>
    </row>
    <row r="18" spans="1:8" ht="399.95" customHeight="1" x14ac:dyDescent="0.35">
      <c r="A18" s="3">
        <v>17</v>
      </c>
      <c r="B18" s="2" t="s">
        <v>64</v>
      </c>
      <c r="C18" s="2" t="s">
        <v>24</v>
      </c>
      <c r="D18" s="16">
        <v>13</v>
      </c>
      <c r="E18" s="17" t="s">
        <v>46</v>
      </c>
      <c r="F18" s="3"/>
      <c r="G18" s="3"/>
      <c r="H18" s="3"/>
    </row>
    <row r="19" spans="1:8" ht="399.95" customHeight="1" x14ac:dyDescent="0.35">
      <c r="A19" s="3">
        <v>18</v>
      </c>
      <c r="B19" s="2" t="s">
        <v>65</v>
      </c>
      <c r="C19" s="2" t="s">
        <v>31</v>
      </c>
      <c r="D19" s="16">
        <v>3</v>
      </c>
      <c r="E19" s="17" t="s">
        <v>46</v>
      </c>
      <c r="F19" s="3"/>
      <c r="G19" s="3"/>
      <c r="H19" s="3"/>
    </row>
    <row r="20" spans="1:8" ht="399.95" customHeight="1" x14ac:dyDescent="0.35">
      <c r="A20" s="3">
        <v>19</v>
      </c>
      <c r="B20" s="2" t="s">
        <v>66</v>
      </c>
      <c r="C20" s="2" t="s">
        <v>16</v>
      </c>
      <c r="D20" s="16">
        <v>8</v>
      </c>
      <c r="E20" s="17" t="s">
        <v>46</v>
      </c>
      <c r="F20" s="3"/>
      <c r="G20" s="3"/>
      <c r="H20" s="3"/>
    </row>
    <row r="21" spans="1:8" ht="399.95" customHeight="1" x14ac:dyDescent="0.35">
      <c r="A21" s="3">
        <v>20</v>
      </c>
      <c r="B21" s="2" t="s">
        <v>67</v>
      </c>
      <c r="C21" s="2" t="s">
        <v>26</v>
      </c>
      <c r="D21" s="16">
        <v>-3</v>
      </c>
      <c r="E21" s="17" t="s">
        <v>46</v>
      </c>
      <c r="F21" s="3"/>
      <c r="G21" s="3"/>
      <c r="H21" s="3"/>
    </row>
    <row r="22" spans="1:8" ht="387" customHeight="1" x14ac:dyDescent="0.35">
      <c r="A22" s="3">
        <v>21</v>
      </c>
      <c r="B22" s="2" t="s">
        <v>68</v>
      </c>
      <c r="C22" s="2" t="s">
        <v>30</v>
      </c>
      <c r="D22" s="16">
        <v>-7</v>
      </c>
      <c r="E22" s="17" t="s">
        <v>46</v>
      </c>
      <c r="F22" s="3"/>
      <c r="G22" s="3"/>
      <c r="H22" s="3"/>
    </row>
    <row r="23" spans="1:8" ht="399.95" customHeight="1" x14ac:dyDescent="0.35">
      <c r="A23" s="3">
        <v>22</v>
      </c>
      <c r="B23" s="2" t="s">
        <v>69</v>
      </c>
      <c r="C23" s="2" t="s">
        <v>28</v>
      </c>
      <c r="D23" s="16">
        <v>2</v>
      </c>
      <c r="E23" s="17" t="s">
        <v>46</v>
      </c>
      <c r="F23" s="3"/>
      <c r="G23" s="3"/>
      <c r="H23" s="3"/>
    </row>
    <row r="24" spans="1:8" ht="399.95" customHeight="1" x14ac:dyDescent="0.35">
      <c r="A24" s="3">
        <v>23</v>
      </c>
      <c r="B24" s="2" t="s">
        <v>70</v>
      </c>
      <c r="C24" s="2" t="s">
        <v>13</v>
      </c>
      <c r="D24" s="16">
        <v>100</v>
      </c>
      <c r="E24" s="23" t="s">
        <v>45</v>
      </c>
      <c r="F24" s="3">
        <v>4.3200000000000002E-2</v>
      </c>
      <c r="G24" s="3" t="s">
        <v>41</v>
      </c>
      <c r="H24" s="7">
        <f>41.67/0.0432</f>
        <v>964.58333333333337</v>
      </c>
    </row>
    <row r="25" spans="1:8" ht="399.95" customHeight="1" x14ac:dyDescent="0.35">
      <c r="A25" s="3">
        <v>24</v>
      </c>
      <c r="B25" s="2" t="s">
        <v>71</v>
      </c>
      <c r="C25" s="2" t="s">
        <v>21</v>
      </c>
      <c r="D25" s="16">
        <v>2</v>
      </c>
      <c r="E25" s="17" t="s">
        <v>46</v>
      </c>
      <c r="F25" s="3" t="s">
        <v>43</v>
      </c>
      <c r="G25" s="3"/>
      <c r="H25" s="3"/>
    </row>
    <row r="26" spans="1:8" ht="399.95" customHeight="1" x14ac:dyDescent="0.35">
      <c r="A26" s="3">
        <v>25</v>
      </c>
      <c r="B26" s="2" t="s">
        <v>72</v>
      </c>
      <c r="C26" s="2" t="s">
        <v>4</v>
      </c>
      <c r="D26" s="16">
        <v>100</v>
      </c>
      <c r="E26" s="11" t="s">
        <v>47</v>
      </c>
      <c r="F26" s="3">
        <v>0.441</v>
      </c>
      <c r="G26" s="3">
        <v>41.7</v>
      </c>
      <c r="H26" s="8">
        <f>G26/F26</f>
        <v>94.557823129251702</v>
      </c>
    </row>
    <row r="27" spans="1:8" ht="399.95" customHeight="1" x14ac:dyDescent="0.35">
      <c r="A27" s="3">
        <v>26</v>
      </c>
      <c r="B27" s="2" t="s">
        <v>73</v>
      </c>
      <c r="C27" s="2" t="s">
        <v>36</v>
      </c>
      <c r="D27" s="16">
        <v>85</v>
      </c>
      <c r="E27" s="24" t="s">
        <v>86</v>
      </c>
      <c r="F27" s="3">
        <v>8.39</v>
      </c>
      <c r="G27" s="3">
        <v>41.7</v>
      </c>
      <c r="H27" s="6">
        <f>G27/F27</f>
        <v>4.970202622169249</v>
      </c>
    </row>
    <row r="28" spans="1:8" ht="399.95" customHeight="1" x14ac:dyDescent="0.35">
      <c r="A28" s="3">
        <v>27</v>
      </c>
      <c r="B28" s="2" t="s">
        <v>74</v>
      </c>
      <c r="C28" s="2" t="s">
        <v>35</v>
      </c>
      <c r="D28" s="16">
        <v>-4</v>
      </c>
      <c r="E28" s="17" t="s">
        <v>46</v>
      </c>
      <c r="F28" s="3"/>
      <c r="G28" s="3"/>
      <c r="H28" s="3"/>
    </row>
    <row r="29" spans="1:8" ht="399.95" customHeight="1" x14ac:dyDescent="0.35">
      <c r="A29" s="3">
        <v>28</v>
      </c>
      <c r="B29" s="2" t="s">
        <v>75</v>
      </c>
      <c r="C29" s="2" t="s">
        <v>33</v>
      </c>
      <c r="D29" s="16">
        <v>9</v>
      </c>
      <c r="E29" s="17" t="s">
        <v>46</v>
      </c>
      <c r="F29" s="3"/>
      <c r="G29" s="3"/>
      <c r="H29" s="3"/>
    </row>
    <row r="30" spans="1:8" ht="185.1" customHeight="1" x14ac:dyDescent="0.35">
      <c r="A30" s="3">
        <v>29</v>
      </c>
      <c r="B30" s="2" t="s">
        <v>76</v>
      </c>
      <c r="C30" s="2" t="s">
        <v>23</v>
      </c>
      <c r="D30" s="16">
        <v>8</v>
      </c>
      <c r="E30" s="17" t="s">
        <v>46</v>
      </c>
      <c r="F30" s="3"/>
      <c r="G30" s="3"/>
      <c r="H30" s="3"/>
    </row>
    <row r="31" spans="1:8" ht="159" customHeight="1" x14ac:dyDescent="0.35">
      <c r="A31" s="3">
        <v>30</v>
      </c>
      <c r="B31" s="2" t="s">
        <v>77</v>
      </c>
      <c r="C31" s="2" t="s">
        <v>10</v>
      </c>
      <c r="D31" s="16">
        <v>1</v>
      </c>
      <c r="E31" s="17" t="s">
        <v>46</v>
      </c>
      <c r="F31" s="3"/>
      <c r="G31" s="3"/>
      <c r="H31" s="3"/>
    </row>
    <row r="32" spans="1:8" ht="260.10000000000002" customHeight="1" x14ac:dyDescent="0.35">
      <c r="A32" s="3">
        <v>31</v>
      </c>
      <c r="B32" s="2" t="s">
        <v>78</v>
      </c>
      <c r="C32" s="2" t="s">
        <v>12</v>
      </c>
      <c r="D32" s="16">
        <v>99.5</v>
      </c>
      <c r="E32" s="11" t="s">
        <v>47</v>
      </c>
      <c r="F32" s="3">
        <v>1.93</v>
      </c>
      <c r="G32" s="3">
        <v>41.7</v>
      </c>
      <c r="H32" s="8">
        <f>G32/F32</f>
        <v>21.606217616580313</v>
      </c>
    </row>
    <row r="33" spans="1:8" ht="219" customHeight="1" x14ac:dyDescent="0.35">
      <c r="A33" s="3">
        <v>32</v>
      </c>
      <c r="B33" s="2" t="s">
        <v>79</v>
      </c>
      <c r="C33" s="2" t="s">
        <v>17</v>
      </c>
      <c r="D33" s="16">
        <v>-3</v>
      </c>
      <c r="E33" s="17" t="s">
        <v>46</v>
      </c>
      <c r="F33" s="3"/>
      <c r="G33" s="3"/>
      <c r="H33" s="3"/>
    </row>
    <row r="34" spans="1:8" ht="183" customHeight="1" x14ac:dyDescent="0.35">
      <c r="A34" s="3">
        <v>33</v>
      </c>
      <c r="B34" s="2" t="s">
        <v>80</v>
      </c>
      <c r="C34" s="2" t="s">
        <v>18</v>
      </c>
      <c r="D34" s="16">
        <v>26</v>
      </c>
      <c r="E34" s="17" t="s">
        <v>46</v>
      </c>
      <c r="F34" s="3"/>
      <c r="G34" s="3"/>
      <c r="H34" s="3"/>
    </row>
    <row r="35" spans="1:8" ht="170.1" customHeight="1" x14ac:dyDescent="0.35">
      <c r="A35" s="3">
        <v>34</v>
      </c>
      <c r="B35" s="2" t="s">
        <v>81</v>
      </c>
      <c r="C35" s="2" t="s">
        <v>9</v>
      </c>
      <c r="D35" s="16">
        <v>0</v>
      </c>
      <c r="E35" s="17" t="s">
        <v>46</v>
      </c>
      <c r="F35" s="3"/>
      <c r="G35" s="3"/>
      <c r="H35" s="3"/>
    </row>
    <row r="36" spans="1:8" ht="231.95" customHeight="1" x14ac:dyDescent="0.35">
      <c r="A36" s="3">
        <v>35</v>
      </c>
      <c r="B36" s="2" t="s">
        <v>82</v>
      </c>
      <c r="C36" s="2" t="s">
        <v>15</v>
      </c>
      <c r="D36" s="16">
        <v>2</v>
      </c>
      <c r="E36" s="17" t="s">
        <v>46</v>
      </c>
      <c r="F36" s="3"/>
      <c r="G36" s="3"/>
      <c r="H36" s="3"/>
    </row>
    <row r="37" spans="1:8" ht="359.1" customHeight="1" x14ac:dyDescent="0.35">
      <c r="A37" s="18">
        <v>36</v>
      </c>
      <c r="B37" s="19" t="s">
        <v>83</v>
      </c>
      <c r="C37" s="19" t="s">
        <v>8</v>
      </c>
      <c r="D37" s="20">
        <v>-1</v>
      </c>
      <c r="E37" s="21" t="s">
        <v>46</v>
      </c>
      <c r="F37" s="18"/>
      <c r="G37" s="18"/>
      <c r="H37" s="18"/>
    </row>
  </sheetData>
  <conditionalFormatting sqref="E2 E26 E32 E38:E1048576">
    <cfRule type="cellIs" dxfId="1" priority="1" stopIfTrue="1" operator="greaterThanOrEqual">
      <formula>40</formula>
    </cfRule>
    <cfRule type="cellIs" dxfId="0" priority="2" stopIfTrue="1" operator="between">
      <formula>20</formula>
      <formula>30</formula>
    </cfRule>
  </conditionalFormatting>
  <pageMargins left="0.7" right="0.7" top="0.75" bottom="0.75" header="0.3" footer="0.3"/>
  <pageSetup paperSize="9" orientation="portrait" r:id="rId1"/>
  <customProperties>
    <customPr name="chemdrawexceldocument" r:id="rId2"/>
    <customPr name="sheettype" r:id="rId3"/>
    <customPr name="version" r:id="rId4"/>
  </customProperties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ChemOffice1</vt:lpstr>
    </vt:vector>
  </TitlesOfParts>
  <Company>Monash University Faculty of Pharmacy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Baell</dc:creator>
  <cp:lastModifiedBy>Melissa Sykes</cp:lastModifiedBy>
  <dcterms:created xsi:type="dcterms:W3CDTF">2012-06-19T05:37:15Z</dcterms:created>
  <dcterms:modified xsi:type="dcterms:W3CDTF">2012-07-02T04:47:18Z</dcterms:modified>
</cp:coreProperties>
</file>