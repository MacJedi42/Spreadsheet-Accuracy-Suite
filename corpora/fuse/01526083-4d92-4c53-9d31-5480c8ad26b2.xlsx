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fileVersion appName="xl" lastEdited="5" lowestEdited="4" rupBuild="20910"/>
  <workbookPr autoCompressPictures="0"/>
  <bookViews>
    <workbookView xWindow="28240" yWindow="300" windowWidth="29400" windowHeight="18500"/>
  </bookViews>
  <sheets>
    <sheet name="Main Analysis" sheetId="2" r:id="rId1"/>
    <sheet name="Full Data" sheetId="4" r:id="rId2"/>
    <sheet name="Typical Academic Library" sheetId="6" r:id="rId3"/>
    <sheet name="Special &amp; Public Breakout" sheetId="7" r:id="rId4"/>
    <sheet name="Share Responsibilities Coded" sheetId="5" r:id="rId5"/>
  </sheets>
  <definedNames>
    <definedName name="_xlnm.Print_Titles" localSheetId="1">'Full Data'!$A:$A</definedName>
  </definedNames>
  <calcPr calcId="140001" concurrentCalc="0"/>
  <extLst>
    <ext xmlns:mx="http://schemas.microsoft.com/office/mac/excel/2008/main" uri="{7523E5D3-25F3-A5E0-1632-64F254C22452}">
      <mx:ArchID Flags="2"/>
    </ext>
  </extLst>
</workbook>
</file>

<file path=xl/calcChain.xml><?xml version="1.0" encoding="utf-8"?>
<calcChain xmlns="http://schemas.openxmlformats.org/spreadsheetml/2006/main">
  <c r="B340" i="2" l="1"/>
  <c r="B338" i="2"/>
  <c r="B336" i="2"/>
  <c r="B334" i="2"/>
  <c r="B101" i="2"/>
  <c r="B121" i="2"/>
  <c r="B116" i="2"/>
  <c r="B111" i="2"/>
  <c r="B106" i="2"/>
  <c r="B93" i="2"/>
  <c r="B88" i="2"/>
  <c r="B80" i="2"/>
  <c r="B75" i="2"/>
  <c r="B67" i="2"/>
  <c r="B62" i="2"/>
  <c r="B54" i="2"/>
  <c r="B49" i="2"/>
  <c r="B44" i="2"/>
  <c r="B29" i="2"/>
  <c r="B30" i="2"/>
  <c r="B28" i="2"/>
  <c r="B26" i="2"/>
  <c r="B21" i="2"/>
  <c r="B20" i="2"/>
  <c r="B19" i="2"/>
  <c r="B18" i="2"/>
  <c r="D12" i="2"/>
  <c r="C12" i="2"/>
  <c r="B12" i="2"/>
  <c r="A12" i="2"/>
  <c r="B23" i="2"/>
  <c r="B32" i="2"/>
</calcChain>
</file>

<file path=xl/sharedStrings.xml><?xml version="1.0" encoding="utf-8"?>
<sst xmlns="http://schemas.openxmlformats.org/spreadsheetml/2006/main" count="1090" uniqueCount="405">
  <si>
    <t>Special</t>
  </si>
  <si>
    <t>Around 200.</t>
  </si>
  <si>
    <t>educational technology, user support</t>
  </si>
  <si>
    <t>We maintain our own servers.  Depending on your level of customization, you're going to want to be able to work closely with the server administrator or webmaster so you can tweak rewrite rules, mysql performance, php configuration, etc, as well as do backups and restarte the server when necessary.</t>
  </si>
  <si>
    <t>They maintain the library's ezproxy configuration, the Library's Ex Libris Metalib server, and legacy non-drupal php and perl code.</t>
  </si>
  <si>
    <t>all professional staff have access to their own bio pages. Department heads have control over pages that are pertinient to them.</t>
  </si>
  <si>
    <t xml:space="preserve">It is critical to have PHP skills. We are stretched thin because we have only one person with real programming skills, and he has competing duties. Jquery is another useful skill that we are trying to develop in Web Services.
</t>
  </si>
  <si>
    <t>Library Systems, Administration</t>
  </si>
  <si>
    <t>All staff have limited access, different levels</t>
  </si>
  <si>
    <t>Everything else dealing with our web presence, including static HTML/CSS, design, CONTENTdm, application development.</t>
  </si>
  <si>
    <t>unrelated to IT</t>
  </si>
  <si>
    <t>7b) If they have shared responsibilities beyond Drupal development and maintenance, what are their other areas of focus?</t>
  </si>
  <si>
    <t>Server administration is done by a separate sibling department in our org chart.</t>
  </si>
  <si>
    <t>Other IT</t>
  </si>
  <si>
    <t>20+</t>
  </si>
  <si>
    <t>PHP, CSS, HTML, sql, ajax</t>
  </si>
  <si>
    <t>4 (currently -- plans to expand)</t>
  </si>
  <si>
    <t>On the Systems side, maintenance of staff computers; maintenance of the Voyager catalog, ILLIAD, eRes, and more systems; and more than I think of right now.
On the Web Services side, overall maintenance of the web presence, including some content updates, graphic design, and support of digitization efforts.</t>
  </si>
  <si>
    <t>branch library</t>
  </si>
  <si>
    <t>Technology Helpdesk every third week.</t>
  </si>
  <si>
    <t>PHP, CSS, HTML, Graphic Design, Server Administration, javascript, java, ruby, etc</t>
  </si>
  <si>
    <t xml:space="preserve">Catalogue api usage; server maintenance; general scripting; </t>
  </si>
  <si>
    <t>Allow designers and developers freedom (work from home/coffee shops, flex time, etc). Avoid committee thinking, but include your web team on decision making processes that will affect your web presence. Do not pile unrelated work onto your web team due to staffing shortages in other areas. Outsourcing may seem attractive as far as budget is concerned, but you will be one of many clients to a contractor who cannot invest the time to understand your culture like full-time staff can. If you do decide to contract, don't ask for speculative work ("Design something for us and we'll pay you if we like it"). It's evil. Oh, and pay well. :)</t>
  </si>
  <si>
    <t>Library instruction, reference services</t>
  </si>
  <si>
    <t xml:space="preserve">we're in the initial stages of migrating our site onto Drupal, so there's a heavy focus on the system.  We're also trying to do hiring, so our staff levels in support of Drupal aren't stable at this point.
</t>
  </si>
  <si>
    <t>Staff users tend to find change frustrating. The idea of separating content from presentation is foreign to a lot of staff. Aim to use as few modules as possible (which tends to still be a large number but if you can avoid module overload, it is highly suggestible). Due to the very nature of drupal it supports gradual change and implementation, so I would suggest that you focus on the must haves, and then slowly bring in additional features. Even you have a large staff, this may not be as much of an issue but scope creep tends to make the initial rollout (and migration of old web content) potentially painful.</t>
  </si>
  <si>
    <t>Less than 5 hours per week</t>
  </si>
  <si>
    <t>You can never have all the staff you really need, but there are a couple of areas that we miss in our organization they are:
1. Usability person: Someone with a little expertise in designing interfaces for better usability
2. Designer - someone to make things look nice
3. Liason to students/facutly: Somebody to set up a sustainable system for getting regular feedback and testing from our user community</t>
  </si>
  <si>
    <t>We have about 17 Drupal sites with the entire library system.  Most sites run on servers hosted by central IT dept but with Library IT support</t>
  </si>
  <si>
    <t>CSS, HTML</t>
  </si>
  <si>
    <t>CSS, HTML, Server Administration</t>
  </si>
  <si>
    <t xml:space="preserve">9a) If more than one person can make content changes to the website, what number of library staff have permission to maintain content on the site? </t>
  </si>
  <si>
    <t>Similar issues apply to all content management scenarios - pasting in crappy code, adding animated gifs, etc.  Good procedures and policies from your previous scenario will help.  Also - Drupal is more complicated even for the content editors, so expect that they'll need training and that you may need to do some work around permissions.</t>
  </si>
  <si>
    <t>CSS, HTML, Graphic Design</t>
  </si>
  <si>
    <t>helpdesk, ILS (Evergreen) enhancement, custom one-off web apps</t>
  </si>
  <si>
    <t>PHP, CSS, HTML, Server Administration, perl, python, javascript</t>
  </si>
  <si>
    <t>Minimally</t>
  </si>
  <si>
    <t>other systems (wordpress, mrbs, etc.); ref desk, library &amp; campus committees</t>
  </si>
  <si>
    <t>Web Services (library department)</t>
  </si>
  <si>
    <t>2a) If your Drupal site is customized, do you do template customization and module development in-house?</t>
  </si>
  <si>
    <t>Internal library programming projects</t>
  </si>
  <si>
    <t>all librarians if they choose (mostly on their areas), and selected staff</t>
  </si>
  <si>
    <t xml:space="preserve">content management
</t>
  </si>
  <si>
    <t>That last question (9c) doesn't quite make sense. 99% of people who use Microsoft Word do it incorrectly, without regard to document well-formedness. These people will almost certainly be incapable of creating properly formed web pages in Drupal as well. It's not about *difficulty*; it's about understanding the nature of proper content creation. 
I would have a content expert create the initial Drupal site, and give training on creating well-formed web documents before setting general library staff loose on the website.</t>
  </si>
  <si>
    <t xml:space="preserve">6) If you do have permanent staff with responsibilities in Drupal development and maintenance, in which department do they reside?  </t>
  </si>
  <si>
    <t>system management
Reference
E-resources
marketing</t>
  </si>
  <si>
    <t>highly variable depending on what's happening</t>
  </si>
  <si>
    <t>Library Systems, Web Services</t>
  </si>
  <si>
    <t>Our department is kinda a sibling to Library Systems and Technical Services</t>
  </si>
  <si>
    <t>mixed -- main pages done by webmaster, librarians manage own content</t>
  </si>
  <si>
    <t>10) What other issues should we take into consideration when developing our staffing model?  Please share any other comments you have here.</t>
  </si>
  <si>
    <t>100 and over</t>
  </si>
  <si>
    <t>1,000 - 2,999</t>
  </si>
  <si>
    <t>I highly recommend this excellent presentation given by Emily Morton Owens at LITA National Forum a couple of weeks ago: 
http://connect.ala.org/files/79651/editorial_and_technological_workflow_tools_pdf_56609.pdf
It has been very helpful to me in working out content management issues on our Drupal site, which we just launched in August.</t>
  </si>
  <si>
    <t>Reference</t>
  </si>
  <si>
    <t>3,000 - 9,999</t>
  </si>
  <si>
    <t>500,000 and over</t>
  </si>
  <si>
    <t>9b) If more than one person can make content changes to the website, do library staff have different levels of permissions (for example, some can only draft content while others can edit and publish?)</t>
  </si>
  <si>
    <t>Reference and instruction</t>
  </si>
  <si>
    <t>Other web applications in the library. i.e., ContentDM</t>
  </si>
  <si>
    <t>anyone who has a need to do so</t>
  </si>
  <si>
    <t>instructional and elearning design, training, web conferencing, multimedia development</t>
  </si>
  <si>
    <t xml:space="preserve">7) If you do have permanent library staff with responsibilities in Drupal development and maintenance, do they have shared responsibilities, or are they solely devoted to Drupal development and maintenance? </t>
  </si>
  <si>
    <t>Library IT</t>
  </si>
  <si>
    <t>Public</t>
  </si>
  <si>
    <t>Only webmaster makes changes.</t>
  </si>
  <si>
    <t>The answer to 7 is 'both'.  I have one FTE devoted to Drupal and 2 additional FTE who work in Drupal, but do other non-drupal work, as well, including the proxy server, a Metalib install, and non-Drupal PHP applications.</t>
  </si>
  <si>
    <t>Web master: Building coordinator, merit staff coordinator, oversees student employment program
Systems:  database development projects for Metalib and Xerxes</t>
  </si>
  <si>
    <t>10,000 - 24,999</t>
  </si>
  <si>
    <t>The specific Drupal experience of a particular developer is the biggest factor in staffing. One experienced Drupalista equals about three or more newbies.</t>
  </si>
  <si>
    <t xml:space="preserve">Bibliographer: order books in one area and teach some library instruction sessions. Responsible for all library Web Services including ILLiad Web interface, CONTENTdm Web interface and all custom applications and web pages. </t>
  </si>
  <si>
    <t>Campus IT staff</t>
  </si>
  <si>
    <t>Currently more than 20 because are still migrating</t>
  </si>
  <si>
    <t>PHP, CSS, HTML</t>
  </si>
  <si>
    <t>Moving toward distributed editing</t>
  </si>
  <si>
    <t>16-20 hours per week</t>
  </si>
  <si>
    <t>Library Web Systems</t>
  </si>
  <si>
    <t xml:space="preserve">There is a significant learning curve -- but a LOT of potential with Drupal.  And it's worth it --- so much you can do once you get started!  </t>
  </si>
  <si>
    <t>More difficult</t>
  </si>
  <si>
    <t>All areas of computer support</t>
  </si>
  <si>
    <t>Drupal hasn't been 100% adopted yet. When it is, about 25 people will have permission.</t>
  </si>
  <si>
    <t>Library Systems, Technical Services</t>
  </si>
  <si>
    <t>Shared responsibilities</t>
  </si>
  <si>
    <t xml:space="preserve">9c) In your opinion, is content updating more/less difficult than using Microsoft Word, or about the same?  </t>
  </si>
  <si>
    <t>Less difficult</t>
  </si>
  <si>
    <t>Library ILS, ezproxy, SFX, server administration, digital library, contentdm</t>
  </si>
  <si>
    <t>About the same</t>
  </si>
  <si>
    <t>Server OS support, i.e., software patching, and maintaining our virtual server</t>
  </si>
  <si>
    <t>everyone has libguides permission.  8 people on the library website (this could grow according to need)</t>
  </si>
  <si>
    <t>Drupal is not easy to learn, and requires heavy development to get a quality site. However, it is easier than trying to create a 2.0 site in-house.</t>
  </si>
  <si>
    <t>3) Do you feel that your current level of staffing is sufficient to support your current and planned Drupal projects?</t>
  </si>
  <si>
    <t>1) Are you an academic, public, or special library?</t>
  </si>
  <si>
    <t>New Media</t>
  </si>
  <si>
    <t>Academic</t>
  </si>
  <si>
    <t>10+</t>
  </si>
  <si>
    <t>Library Systems</t>
  </si>
  <si>
    <t>Under 1,000</t>
  </si>
  <si>
    <t>PHP, CSS, HTML, Graphic Design, Server Administration, Accessibility training</t>
  </si>
  <si>
    <t>work across departments so people can handle their own content</t>
  </si>
  <si>
    <t>6-10 hours per week</t>
  </si>
  <si>
    <t>Do not know</t>
  </si>
  <si>
    <t xml:space="preserve">8) If you do NOT have permanent library staff with Drupal expertise, how do you support Drupal development and maintenance? </t>
  </si>
  <si>
    <t>25,000 -99,999</t>
  </si>
  <si>
    <t>2) Is your Drupal website minimally, moderately, or heavily customized?</t>
  </si>
  <si>
    <t>Drupal only</t>
  </si>
  <si>
    <t>Distributed around library.</t>
  </si>
  <si>
    <t>No</t>
  </si>
  <si>
    <t>Heavily</t>
  </si>
  <si>
    <t xml:space="preserve">simplete text editing is distrubted, but changes to navigation and search tools are done by web services. </t>
  </si>
  <si>
    <t>7a) If they are solely devoted to Drupal development and maintenance, do they receive support from other departments in the library or organization?  (For exanple, server administation is done by city or campus IT.) If yes, please tell us what type of support.</t>
  </si>
  <si>
    <t>PHP, CSS, HTML, Graphic Design, Server Administration, database administration, usability testing</t>
  </si>
  <si>
    <t>Server administration by campus IT. Since IT does not have any linux experience, we also have an off-campus paid linux consultant for occasional server maintenance.</t>
  </si>
  <si>
    <t>PHP, CSS, HTML, Server Administration</t>
  </si>
  <si>
    <t>Supporting all Library web applications development (excluding applications referred to as enterprise systems) and server administration.</t>
  </si>
  <si>
    <t>Have someone who loves Drupal (and there are folks who are crazy about it) enough to really get into and waylay the naysayers.</t>
  </si>
  <si>
    <t xml:space="preserve"> - overall maintenance of libraries' web presence, web services,
- programming for other web services &amp; internal databases
- maintaining ILS
- server administration for other library servers</t>
  </si>
  <si>
    <t>don't assume that just because librarians can make changes, that they all will want to. Some may want to leave it to others, which could/should be accomodated
have other testing instances of drupal for the developers to play on, and also (another one) for the real keen non-systems staff
training done once is not done once and for all, must be repeated and iterative</t>
  </si>
  <si>
    <t>7c) If you have library staff with responsibility for Drupal, and they also have responsibilities in other areas, how many hours a week do they devote to the library website (including maintenance like server backup, account administration, software updates, etc.)?</t>
  </si>
  <si>
    <t>PHP, CSS, HTML, Server Administration, Drupal skills</t>
  </si>
  <si>
    <t>10,000 - 19,999</t>
  </si>
  <si>
    <t>9) Do you distribute website editing around the library, or does only your web manager make content changes to the website?</t>
  </si>
  <si>
    <t>Time for developing and giving training is essential.  Developing training guides and sessions is time consuming but very important to do.  I haven't had as much time to focus on this as I would like.  I'm mainly responsible for our site but ask for PHP work from our database person.  He has assisted with creating custom templates and figuring out module patches.  He may eventually create simple modules if we have a need.  We have a network person who works with me on servers and maintains the server side of the Drupal installations.</t>
  </si>
  <si>
    <t>Non-Drupal website/application development, database design and administration, scripting languages, help desk support</t>
  </si>
  <si>
    <t>PHP, CSS, HTML, Graphic Design, Server Administration, SQL, multimedia</t>
  </si>
  <si>
    <t>Over 20,000</t>
  </si>
  <si>
    <t>Distribution is possible, but webmaster ends up making most changes</t>
  </si>
  <si>
    <t>Technology</t>
  </si>
  <si>
    <t>Distributed, but with understanding that web developer will fill in gaps if requested</t>
  </si>
  <si>
    <t>Yes</t>
  </si>
  <si>
    <t>Moderately</t>
  </si>
  <si>
    <t>bloggers only; about 12.</t>
  </si>
  <si>
    <t>4) Do you have permanent library staff with responsibilities in Drupal development and maintenance? If not, please go to question 8.</t>
  </si>
  <si>
    <t>Other dynamic content systems, web server account management</t>
  </si>
  <si>
    <t>Computer Services</t>
  </si>
  <si>
    <t>The question doesn't make sense for us. We have 3 people who work on Drupal. 100% of their time is spent on the library website. But the library website is not all Drupal.</t>
  </si>
  <si>
    <t>PHP, CSS, HTML, Graphic Design, Server Administration</t>
  </si>
  <si>
    <t>PHP, CSS, HTML, Graphic Design</t>
  </si>
  <si>
    <t xml:space="preserve">time to train, learn and make mistakes
lots of free resources out there, training videos, podcasts, etc to take advantage of
make time for creating and delivering in house training if you are going to have multiple authors/editors </t>
  </si>
  <si>
    <t>11-15 hours per week</t>
  </si>
  <si>
    <t>You need more than one person with the skills necessary to implement and customize Drupal.</t>
  </si>
  <si>
    <t xml:space="preserve">5) If you do have permanent library staff with responsibilities in Drupal development and maintenance, what skills do they have? </t>
  </si>
  <si>
    <t>More than 20 hours per week</t>
  </si>
  <si>
    <t xml:space="preserve">You can outsource theme development, but having an in house person with a good understanding of PHP is important, even if you're not doing custom module development.  </t>
  </si>
  <si>
    <t>1a) For academic libraries: what is your institution’s full-time equivalent (FTE)?</t>
  </si>
  <si>
    <t>1b) For public libraries: what is the population in your legal service area?</t>
  </si>
  <si>
    <t>1c) For special libraries: how many people do you serve?</t>
  </si>
  <si>
    <t>Size</t>
  </si>
  <si>
    <t>Large (over 100)</t>
  </si>
  <si>
    <t>Total #</t>
  </si>
  <si>
    <t>Very small (Under 10,000)</t>
  </si>
  <si>
    <t>Small (10,000 - 24,999)</t>
  </si>
  <si>
    <t>Medium (25,000 -99,999)</t>
  </si>
  <si>
    <t>Large (100,000 - 499,999)</t>
  </si>
  <si>
    <t>Very large (500,000 and over)</t>
  </si>
  <si>
    <t>Very small (Under 1,000)</t>
  </si>
  <si>
    <t>Small (1,000 - 2,999)</t>
  </si>
  <si>
    <t>Medium (3,000 - 9,999)</t>
  </si>
  <si>
    <t>Large (10,000 - 19,999)</t>
  </si>
  <si>
    <t>Very large (Over 20,000)</t>
  </si>
  <si>
    <t>Customization level</t>
  </si>
  <si>
    <t>Minimal</t>
  </si>
  <si>
    <t>Moderate</t>
  </si>
  <si>
    <t>Heavy</t>
  </si>
  <si>
    <t>v. small</t>
  </si>
  <si>
    <t>small</t>
  </si>
  <si>
    <t>medium</t>
  </si>
  <si>
    <t>large</t>
  </si>
  <si>
    <t>v. large</t>
  </si>
  <si>
    <t>Very small (1-9)</t>
  </si>
  <si>
    <t>Small (10-49)</t>
  </si>
  <si>
    <t>Medium (50-99)</t>
  </si>
  <si>
    <t>Customization in house?</t>
  </si>
  <si>
    <t>Current level of staff sufficient?</t>
  </si>
  <si>
    <t>Permanent Drupal staff?</t>
  </si>
  <si>
    <t>If permament Drupal staff, what skills?</t>
  </si>
  <si>
    <t>PHP</t>
  </si>
  <si>
    <t>CSS</t>
  </si>
  <si>
    <t>HTML</t>
  </si>
  <si>
    <t>Graphic Design</t>
  </si>
  <si>
    <t>Server Adminsitration</t>
  </si>
  <si>
    <t>Other</t>
  </si>
  <si>
    <t>If permament Drupal staff, in which department?</t>
  </si>
  <si>
    <t>Technical Services</t>
  </si>
  <si>
    <t>IT/IS of larger org</t>
  </si>
  <si>
    <t>If permament Drupal staff, shared or Drupal only?</t>
  </si>
  <si>
    <t>Shared</t>
  </si>
  <si>
    <t>If shared, what other responsibilities?</t>
  </si>
  <si>
    <t>How many hours/week on lib website?</t>
  </si>
  <si>
    <t xml:space="preserve">Other: </t>
  </si>
  <si>
    <t>If NO Drupal lib staff, how support?</t>
  </si>
  <si>
    <t>Distributed editing?</t>
  </si>
  <si>
    <t>What # can add content to web?</t>
  </si>
  <si>
    <t>For content, use different editing permissions?</t>
  </si>
  <si>
    <t>For content, editing more, less, same difficulty as MS Word?</t>
  </si>
  <si>
    <t>More</t>
  </si>
  <si>
    <t>Less</t>
  </si>
  <si>
    <t>Same</t>
  </si>
  <si>
    <t>Other comments?</t>
  </si>
  <si>
    <t>Drupal Survey Questions</t>
  </si>
  <si>
    <t>(also called Library IT, Library Web Systems, Web Services)</t>
  </si>
  <si>
    <t>(dual, in both Lib Systems and Tech Services)</t>
  </si>
  <si>
    <t>(dual, in both Systems and Tech Services)</t>
  </si>
  <si>
    <t>[In Dept] unrelated to IT</t>
  </si>
  <si>
    <t xml:space="preserve">If Drupal-only, receive support from other depts? </t>
  </si>
  <si>
    <t xml:space="preserve">Comments: </t>
  </si>
  <si>
    <t>Server admin by sibling dept in org chart</t>
  </si>
  <si>
    <t>Have 17 Drupal instances, most run on central IT dept servers with Library IT support</t>
  </si>
  <si>
    <t>content management</t>
  </si>
  <si>
    <t>campus IT staff (small academic moderate customization)</t>
  </si>
  <si>
    <t>Anyone with need</t>
  </si>
  <si>
    <t>Approx. 200</t>
  </si>
  <si>
    <t>All lib'ns plus selected staff</t>
  </si>
  <si>
    <t>25 (once Drupal adopted)</t>
  </si>
  <si>
    <t>12 (bloggers only)</t>
  </si>
  <si>
    <t>All professional staff for own bios, dept heads for pertinent pages</t>
  </si>
  <si>
    <t>All staff at different levels</t>
  </si>
  <si>
    <t>Everyone libguides, 8 on website</t>
  </si>
  <si>
    <t>4 with plans to expand</t>
  </si>
  <si>
    <t>(plus 1 N/A)</t>
  </si>
  <si>
    <t>Do Not Know</t>
  </si>
  <si>
    <t xml:space="preserve">Database admin, usability testing, JavaScript, Java, Ruby, SQL,  </t>
  </si>
  <si>
    <t>Ajax,multimedia, Perl, Python, accessibility training</t>
  </si>
  <si>
    <t>Sibling to Lib Sys and Tech Svcs, New Media, Reference, branch library, admin, Web Svcs</t>
  </si>
  <si>
    <t xml:space="preserve">The answer to 7 is 'both'.  I have one FTE devoted to Drupal </t>
  </si>
  <si>
    <t>and 2 additional FTE who work in Drupal, but do other non-</t>
  </si>
  <si>
    <t xml:space="preserve">drupal work, as well, including the proxy server, a </t>
  </si>
  <si>
    <t>Metalib install, and non-Drupal PHP applications.</t>
  </si>
  <si>
    <t>** poorly worded question; many just listed the support they get from other depts even if shared responsibilites, which may have been the better question to ask</t>
  </si>
  <si>
    <t xml:space="preserve">The answer to 7 is 'both'.  I have one FTE devoted to Drupal and 2 additional FTE who work in Drupal, but do other non-drupal work, as well, including </t>
  </si>
  <si>
    <t>the proxy server, a Metalib install, and non-Drupal PHP applications.</t>
  </si>
  <si>
    <t xml:space="preserve">On the Systems side, maintenance of staff computers; maintenance of the Voyager catalog, ILLIAD, eRes, and more systems; and more than I think </t>
  </si>
  <si>
    <t xml:space="preserve">of right now.  On the Web Services side, overall maintenance of the web presence, including some content updates, graphic design, and support of </t>
  </si>
  <si>
    <t>digitization efforts.</t>
  </si>
  <si>
    <t xml:space="preserve">Web master: Building coordinator, merit staff coordinator, oversees student employment program. Systems:  database development projects for </t>
  </si>
  <si>
    <t>Metalib and Xerxes</t>
  </si>
  <si>
    <t>system management.  Reference. E-resources.  marketing</t>
  </si>
  <si>
    <t>We run about 10 different servers, 2 of which host drupal sites.  We run a variety of Drupal sites, including our intranet, primary website, and an online</t>
  </si>
  <si>
    <t xml:space="preserve">Bibliographer: order books in one area and teach some library instruction sessions. Responsible for all library Web Services including ILLiad Web </t>
  </si>
  <si>
    <t xml:space="preserve">interface, CONTENTdm Web interface and all custom applications and web pages. </t>
  </si>
  <si>
    <t xml:space="preserve"> - overall maintenance of libraries' web presence, web services, - programming for other web services &amp; internal databases - maintaining ILS</t>
  </si>
  <si>
    <t>server administration for other library servers</t>
  </si>
  <si>
    <r>
      <rPr>
        <b/>
        <sz val="8"/>
        <rFont val="Arial"/>
        <family val="2"/>
      </rPr>
      <t>Comment:</t>
    </r>
    <r>
      <rPr>
        <sz val="8"/>
        <rFont val="Arial"/>
        <family val="2"/>
      </rPr>
      <t xml:space="preserve"> Currently more than 20 because </t>
    </r>
  </si>
  <si>
    <t>still migrating</t>
  </si>
  <si>
    <r>
      <rPr>
        <b/>
        <sz val="8"/>
        <rFont val="Arial"/>
        <family val="2"/>
      </rPr>
      <t xml:space="preserve">Comment: </t>
    </r>
    <r>
      <rPr>
        <sz val="8"/>
        <rFont val="Arial"/>
        <family val="2"/>
      </rPr>
      <t xml:space="preserve">highly variable depending on </t>
    </r>
  </si>
  <si>
    <t>what's happening</t>
  </si>
  <si>
    <r>
      <rPr>
        <b/>
        <sz val="8"/>
        <rFont val="Arial"/>
        <family val="2"/>
      </rPr>
      <t xml:space="preserve">Comment: </t>
    </r>
    <r>
      <rPr>
        <sz val="8"/>
        <rFont val="Arial"/>
        <family val="2"/>
      </rPr>
      <t xml:space="preserve">The question doesn't make sense </t>
    </r>
  </si>
  <si>
    <t xml:space="preserve">for us. We have 3 people who work on Drupal. </t>
  </si>
  <si>
    <t xml:space="preserve">100% of their time is spent on the library </t>
  </si>
  <si>
    <t>website. But the lib website is not all Drupal.</t>
  </si>
  <si>
    <r>
      <rPr>
        <b/>
        <sz val="8"/>
        <rFont val="Arial"/>
        <family val="2"/>
      </rPr>
      <t>Comment:</t>
    </r>
    <r>
      <rPr>
        <sz val="8"/>
        <rFont val="Arial"/>
        <family val="2"/>
      </rPr>
      <t xml:space="preserve"> Moving towards distributed.</t>
    </r>
  </si>
  <si>
    <r>
      <rPr>
        <b/>
        <sz val="8"/>
        <rFont val="Arial"/>
        <family val="2"/>
      </rPr>
      <t xml:space="preserve">Comment: </t>
    </r>
    <r>
      <rPr>
        <sz val="8"/>
        <rFont val="Arial"/>
        <family val="2"/>
      </rPr>
      <t>Only webmaster makes changes.</t>
    </r>
  </si>
  <si>
    <r>
      <rPr>
        <b/>
        <sz val="8"/>
        <rFont val="Arial"/>
        <family val="2"/>
      </rPr>
      <t xml:space="preserve">Comment: </t>
    </r>
    <r>
      <rPr>
        <sz val="8"/>
        <rFont val="Arial"/>
        <family val="2"/>
      </rPr>
      <t xml:space="preserve">Distribution is possible, but webmaster ends up making most </t>
    </r>
  </si>
  <si>
    <t>changes</t>
  </si>
  <si>
    <r>
      <t xml:space="preserve">Comment: </t>
    </r>
    <r>
      <rPr>
        <sz val="8"/>
        <rFont val="Arial"/>
        <family val="2"/>
      </rPr>
      <t xml:space="preserve">Distributed with understanding that web developer will fill in </t>
    </r>
  </si>
  <si>
    <t>gaps if requested</t>
  </si>
  <si>
    <r>
      <rPr>
        <b/>
        <sz val="8"/>
        <rFont val="Arial"/>
        <family val="2"/>
      </rPr>
      <t xml:space="preserve">Comment: </t>
    </r>
    <r>
      <rPr>
        <sz val="8"/>
        <rFont val="Arial"/>
        <family val="2"/>
      </rPr>
      <t>Simple text editing distributed, but changes to navigation and</t>
    </r>
  </si>
  <si>
    <t xml:space="preserve"> search tools done by Web Services</t>
  </si>
  <si>
    <r>
      <t xml:space="preserve">Comment: </t>
    </r>
    <r>
      <rPr>
        <sz val="8"/>
        <rFont val="Arial"/>
        <family val="2"/>
      </rPr>
      <t>Mixed, main pages by webmaster, librarians manage own</t>
    </r>
  </si>
  <si>
    <t xml:space="preserve"> content</t>
  </si>
  <si>
    <t xml:space="preserve">Allow designers and developers freedom (work from home/coffee shops, flex time, etc). Avoid committee thinking, but include your web team on decision making processes </t>
  </si>
  <si>
    <t xml:space="preserve">that will affect your web presence. Do not pile unrelated work onto your web team due to staffing shortages in other areas. Outsourcing may seem attractive as far as </t>
  </si>
  <si>
    <t xml:space="preserve">budget is concerned, but you will be one of many clients to a contractor who cannot invest the time to understand your culture like full-time staff can. If you do decide to </t>
  </si>
  <si>
    <t>contract, don't ask for speculative work ("Design something for us and we'll pay you if we like it"). It's evil. Oh, and pay well. :)</t>
  </si>
  <si>
    <t xml:space="preserve">don't assume that just because librarians can make changes, that they all will want to. Some may want to leave it to others, which could/should be accomodated. have other </t>
  </si>
  <si>
    <t xml:space="preserve">testing instances of drupal for the developers to play on, and also (another one) for the real keen non-systems staff. training done once is not done once and for all, must be </t>
  </si>
  <si>
    <t>repeated and iterative</t>
  </si>
  <si>
    <t xml:space="preserve">Similar issues apply to all content management scenarios - pasting in crappy code, adding animated gifs, etc.  Good procedures and policies from your previous scenario will </t>
  </si>
  <si>
    <t>help.  Also - Drupal is more complicated even for the content editors, so expect that they'll need training and that you may need to do some work around permissions.</t>
  </si>
  <si>
    <t xml:space="preserve">That last question (9c) doesn't quite make sense. 99% of people who use Microsoft Word do it incorrectly, without regard to document well-formedness. These people will </t>
  </si>
  <si>
    <t xml:space="preserve">almost certainly be incapable of creating properly formed web pages in Drupal as well. It's not about *difficulty*; it's about understanding the nature of proper content creation. </t>
  </si>
  <si>
    <t>I would have a content expert create the initial Drupal site, and give training on creating well-formed web documents before setting general library staff loose on the website.</t>
  </si>
  <si>
    <t xml:space="preserve">It is critical to have PHP skills. We are stretched thin because we have only one person with real programming skills, and he has competing duties. Jquery is another useful </t>
  </si>
  <si>
    <t>skill that we are trying to develop in Web Services.</t>
  </si>
  <si>
    <t>I highly recommend this excellent presentation given by Emily Morton Owens at LITA National Forum a couple of weeks ago:</t>
  </si>
  <si>
    <t xml:space="preserve"> http://connect.ala.org/files/79651/editorial_and_technological_workflow_tools_pdf_56609.pdf .  It has been very helpful to me in working out content management issues on </t>
  </si>
  <si>
    <t>our Drupal site, which we just launched in August.</t>
  </si>
  <si>
    <t xml:space="preserve">we're in the initial stages of migrating our site onto Drupal, so there's a heavy focus on the system.  We're also trying to do hiring, so our staff levels in support of Drupal 
</t>
  </si>
  <si>
    <t>aren't stable at this point.</t>
  </si>
  <si>
    <t xml:space="preserve">We maintain our own servers.  Depending on your level of customization, you're going to want to be able to work closely with the server administrator or webmaster so you </t>
  </si>
  <si>
    <t>can tweak rewrite rules, mysql performance, php configuration, etc, as well as do backups and restarte the server when necessary.</t>
  </si>
  <si>
    <t xml:space="preserve">time to train, learn and make mistakes. lots of free resources out there, training videos, podcasts, etc to take advantage of. make time for creating and delivering in house </t>
  </si>
  <si>
    <t xml:space="preserve">training if you are going to have multiple authors/editors </t>
  </si>
  <si>
    <t xml:space="preserve">Staff users tend to find change frustrating. The idea of separating content from presentation is foreign to a lot of staff. Aim to use as few modules as possible (which tends </t>
  </si>
  <si>
    <t xml:space="preserve">to still be a large number but if you can avoid module overload, it is highly suggestible). Due to the very nature of drupal it supports gradual change and implementation, so I </t>
  </si>
  <si>
    <t xml:space="preserve">would suggest that you focus on the must haves, and then slowly bring in additional features. Even you have a large staff, this may not be as much of an issue but scope </t>
  </si>
  <si>
    <t>creep tends to make the initial rollout (and migration of old web content) potentially painful.</t>
  </si>
  <si>
    <t xml:space="preserve">Time for developing and giving training is essential.  Developing training guides and sessions is time consuming but very important to do.  I haven't had as much time to focus </t>
  </si>
  <si>
    <t xml:space="preserve">on this as I would like.  I'm mainly responsible for our site but ask for PHP work from our database person.  He has assisted with creating custom templates and figuring out </t>
  </si>
  <si>
    <t xml:space="preserve">module patches.  He may eventually create simple modules if we have a need.  We have a network person who works with me on servers and maintains the server side of </t>
  </si>
  <si>
    <t>the Drupal installations.</t>
  </si>
  <si>
    <t xml:space="preserve">You can never have all the staff you really need, but there are a couple of areas that we miss in our organization they are: 1. Usability person: Someone with a little expertise </t>
  </si>
  <si>
    <t xml:space="preserve">in designing interfaces for better usability. 2. Designer - someone to make things look nice. 3. Liason to students/facutly: Somebody to set up a sustainable system for getting </t>
  </si>
  <si>
    <t xml:space="preserve">regular feedback and testing from our user community. </t>
  </si>
  <si>
    <t xml:space="preserve">Special </t>
  </si>
  <si>
    <t xml:space="preserve">Public </t>
  </si>
  <si>
    <t xml:space="preserve">Academic </t>
  </si>
  <si>
    <t>Type of Library</t>
  </si>
  <si>
    <t xml:space="preserve">community for our campus. We manage ILLiad, SFX, EZProxy, online Chat (just the technical side of this), LibAnswers, LibGuides. </t>
  </si>
  <si>
    <t xml:space="preserve">Java web applications, Ruby apps, system architecture development, external program support.  I do a lot of work in the international </t>
  </si>
  <si>
    <t>Java web applications, Ruby apps, system architecture development, external program support.  I do a lot of work in the international information systems and some of my time is on a contract with [a large organization]</t>
  </si>
  <si>
    <t>information systems andsome of my time is on a contract with [a large organization]</t>
  </si>
  <si>
    <t xml:space="preserve">We run about 10 different servers, 2 of which host drupal sites.  We run a variety of Drupal sites, including our intranet, primary website, and an online community for our campus.  We manage ILLiad, SFX, EZProxy, online Chat (just the technical side of this), LibAnswers, LibGuides. </t>
  </si>
  <si>
    <t>Northeastern University Libraries, November 2010</t>
  </si>
  <si>
    <t xml:space="preserve">       Technology, Computer Services</t>
  </si>
  <si>
    <t>Moderate customization</t>
  </si>
  <si>
    <t>Have permanent staff with Drupal expertise</t>
  </si>
  <si>
    <t xml:space="preserve">Spend over 16 hours a week on lib website, up to 20+ hours/week </t>
  </si>
  <si>
    <t>Not enough staff (although medium, heavy customizers were more satisfied)</t>
  </si>
  <si>
    <t>S, W</t>
  </si>
  <si>
    <t>P, W</t>
  </si>
  <si>
    <t>P, S</t>
  </si>
  <si>
    <t>S</t>
  </si>
  <si>
    <t>P, S, W</t>
  </si>
  <si>
    <t>I</t>
  </si>
  <si>
    <t>SD</t>
  </si>
  <si>
    <t>W</t>
  </si>
  <si>
    <t>SD, I</t>
  </si>
  <si>
    <t>P</t>
  </si>
  <si>
    <t>Systems*</t>
  </si>
  <si>
    <t>Programming**</t>
  </si>
  <si>
    <t>Service Desk*</t>
  </si>
  <si>
    <t>*Includes reference and computer help desk</t>
  </si>
  <si>
    <t>Instruction**</t>
  </si>
  <si>
    <t>**Includes online instructional design and eductional technology</t>
  </si>
  <si>
    <t>Web-specific***</t>
  </si>
  <si>
    <t>***Includes other sites/intranet, HTML/CSS, non-Drupal sites, WordPress</t>
  </si>
  <si>
    <t>Technical: P=Programming, S=Systems, W=Web-specific services and apps</t>
  </si>
  <si>
    <t>Public: SD = Service Desk/direct patron contact, I = Instruction</t>
  </si>
  <si>
    <t>Technical (called out in 21 of 26 answers)</t>
  </si>
  <si>
    <t>Public (called out in 10 of 26 answers)</t>
  </si>
  <si>
    <t xml:space="preserve">*Includes duties like admin/maintenance of web server, </t>
  </si>
  <si>
    <t xml:space="preserve">proxy server, digital repository, ILL system, ILS, </t>
  </si>
  <si>
    <t>federated search, databases.</t>
  </si>
  <si>
    <t>**Includes other library programming projects, other scripting</t>
  </si>
  <si>
    <t xml:space="preserve"> languages, application development, catalog </t>
  </si>
  <si>
    <t>APIs, and database design</t>
  </si>
  <si>
    <t>Typical academic staff situation:</t>
  </si>
  <si>
    <t>Drupal staff has other responsibilities (see breakdown on next tab)</t>
  </si>
  <si>
    <t xml:space="preserve">Drupal staff in library dept. variously called Systems/IT/Web Systems/Web Services </t>
  </si>
  <si>
    <t>Allow distributed editing, almost all using range of permissions to control access</t>
  </si>
  <si>
    <t>Minimal customization</t>
  </si>
  <si>
    <t>6-10 hours/week</t>
  </si>
  <si>
    <t>Highly variable</t>
  </si>
  <si>
    <t>Not answered</t>
  </si>
  <si>
    <t>E-learning and instructional design</t>
  </si>
  <si>
    <t>PHP, CSS, HTML Server Admin</t>
  </si>
  <si>
    <t>Non-IT Dept</t>
  </si>
  <si>
    <t>Lib Systems</t>
  </si>
  <si>
    <t>Content management</t>
  </si>
  <si>
    <t>Time spent on website</t>
  </si>
  <si>
    <t>Types of other duties</t>
  </si>
  <si>
    <t>Which dept?</t>
  </si>
  <si>
    <t>What kind of skills?</t>
  </si>
  <si>
    <t>Permanent lib staff who does Drupal?</t>
  </si>
  <si>
    <t>Sufficiently staffed?</t>
  </si>
  <si>
    <t>In-house development of modules and templates?</t>
  </si>
  <si>
    <t>Level of customization</t>
  </si>
  <si>
    <t>Editors have differing Drupal permission levels?</t>
  </si>
  <si>
    <t>(2 total)</t>
  </si>
  <si>
    <t>(4 total)</t>
  </si>
  <si>
    <t>PHP, CSS, HTML, Server Admin</t>
  </si>
  <si>
    <t>Catalog  API, server maintenance, general scripting</t>
  </si>
  <si>
    <t>More than 20 hours/week</t>
  </si>
  <si>
    <t>Moving towards this model</t>
  </si>
  <si>
    <t>Shared/other duties?</t>
  </si>
  <si>
    <t>system management, Reference, E-resources, marketing</t>
  </si>
  <si>
    <t>N/A</t>
  </si>
  <si>
    <t>Less than 5 hours/week</t>
  </si>
  <si>
    <t>helpdesk, ILS enhancement, custom one-off web apps</t>
  </si>
  <si>
    <t>Medium (25,000 - 99,000)</t>
  </si>
  <si>
    <t>Very Large (500,000 +)</t>
  </si>
  <si>
    <t>Small (Over 20,000)*</t>
  </si>
  <si>
    <t>*mis-match in numbers because respondent answered under academic classification rather than public; we categorized this as small</t>
  </si>
  <si>
    <t>NOTE: The survey generated enough data to make generalizations about a "typical" academic library only.</t>
  </si>
  <si>
    <t>See Special &amp; Public Breakout (next tab) for individual library profiles in those categories.</t>
  </si>
  <si>
    <t>Analysis of question 7b:</t>
  </si>
  <si>
    <t>If shared responsibilities, what other areas of focus?</t>
  </si>
  <si>
    <t>NOTE: This is just an initial attempt at coding responses; some responses were unclear, and discarded for that reason.</t>
  </si>
  <si>
    <t>Yes suff'nt staff</t>
  </si>
  <si>
    <t>No suff'nt staff</t>
  </si>
  <si>
    <t>Yes perm'nt Drupal</t>
  </si>
  <si>
    <t>No perm'nt Drupal</t>
  </si>
  <si>
    <t>Yes in-house cust'n templates/modules</t>
  </si>
  <si>
    <t>No in-house cust'n templates/modules</t>
  </si>
  <si>
    <t xml:space="preserve">Yes in-house </t>
  </si>
  <si>
    <t xml:space="preserve">No in-house </t>
  </si>
  <si>
    <t>5 total</t>
  </si>
  <si>
    <t>11 total</t>
  </si>
  <si>
    <t>4 total</t>
  </si>
  <si>
    <t>2 total</t>
  </si>
  <si>
    <t>1 total</t>
  </si>
  <si>
    <t xml:space="preserve">**One public library answered "over 20,000" using the academic classification rather than public; </t>
  </si>
  <si>
    <t>we categorized this as small</t>
  </si>
  <si>
    <t>**One public library answered "over 20,000" using the academic classification rather than public;</t>
  </si>
  <si>
    <t xml:space="preserve"> we categorized this as small, below.</t>
  </si>
  <si>
    <t>Have the following skills, in order of commonality: CSS &amp; HTML, PHP, Server Admin, Graphic Design and other</t>
  </si>
  <si>
    <t xml:space="preserve">   (incl. database admin, usability testing, JavaScript, Java, Ruby, SQL, Ajax, multimedia, Perl, Python, </t>
  </si>
  <si>
    <t xml:space="preserve">   accessibility training)</t>
  </si>
  <si>
    <r>
      <rPr>
        <b/>
        <sz val="9"/>
        <rFont val="Arial"/>
        <family val="2"/>
      </rPr>
      <t>**Note about numbers:</t>
    </r>
    <r>
      <rPr>
        <sz val="9"/>
        <rFont val="Arial"/>
        <family val="2"/>
      </rPr>
      <t xml:space="preserve"> one academic library left a blank response to this question, and one </t>
    </r>
  </si>
  <si>
    <t>academic library had "both" (see comment above) so was counted twice</t>
  </si>
  <si>
    <t xml:space="preserve">The following survey was sent to three email lists (Drupal4Lib, Web4Lib, and Code4Lib) </t>
  </si>
  <si>
    <t>on 10/20/2010 and 11/01/2010.</t>
  </si>
  <si>
    <t>Please see http://www.lib.neu.edu/ALADrupalPoster2011 if you have questions.</t>
  </si>
  <si>
    <t>* Uses Carnegie Classification</t>
  </si>
  <si>
    <t>Academic*</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</si>
</sst>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m/d/yyyy;@"/>
  </numFmts>
  <fonts count="31" x14ac:knownFonts="1">
    <font>
      <sz val="10"/>
      <name val="Arial"/>
      <family val="2"/>
    </font>
    <font>
      <b/>
      <sz val="10"/>
      <name val="Arial"/>
      <family val="2"/>
    </font>
    <font>
      <b/>
      <sz val="8"/>
      <name val="Arial"/>
      <family val="2"/>
    </font>
    <font>
      <sz val="8"/>
      <name val="Arial"/>
      <family val="2"/>
    </font>
    <font>
      <b/>
      <i/>
      <sz val="10"/>
      <name val="Arial"/>
      <family val="2"/>
    </font>
    <font>
      <b/>
      <i/>
      <sz val="10"/>
      <color rgb="FFC00000"/>
      <name val="Arial"/>
      <family val="2"/>
    </font>
    <font>
      <u/>
      <sz val="10"/>
      <color theme="10"/>
      <name val="Arial"/>
      <family val="2"/>
    </font>
    <font>
      <sz val="9"/>
      <name val="Arial"/>
      <family val="2"/>
    </font>
    <font>
      <b/>
      <i/>
      <sz val="9"/>
      <color rgb="FFC00000"/>
      <name val="Arial"/>
      <family val="2"/>
    </font>
    <font>
      <b/>
      <sz val="9"/>
      <name val="Arial"/>
      <family val="2"/>
    </font>
    <font>
      <b/>
      <sz val="10"/>
      <color rgb="FFC00000"/>
      <name val="Arial"/>
      <family val="2"/>
    </font>
    <font>
      <sz val="10"/>
      <color rgb="FFC00000"/>
      <name val="Arial"/>
      <family val="2"/>
    </font>
    <font>
      <i/>
      <sz val="8"/>
      <name val="Arial"/>
      <family val="2"/>
    </font>
    <font>
      <b/>
      <i/>
      <sz val="8"/>
      <color rgb="FFC00000"/>
      <name val="Arial"/>
      <family val="2"/>
    </font>
    <font>
      <b/>
      <i/>
      <sz val="12"/>
      <color rgb="FF0070C0"/>
      <name val="Arial"/>
      <family val="2"/>
    </font>
    <font>
      <b/>
      <i/>
      <sz val="14"/>
      <name val="Arial"/>
      <family val="2"/>
    </font>
    <font>
      <b/>
      <i/>
      <sz val="8"/>
      <name val="Arial"/>
      <family val="2"/>
    </font>
    <font>
      <i/>
      <sz val="9"/>
      <name val="Arial"/>
      <family val="2"/>
    </font>
    <font>
      <b/>
      <sz val="9"/>
      <color theme="8" tint="-0.249977111117893"/>
      <name val="Arial"/>
      <family val="2"/>
    </font>
    <font>
      <b/>
      <sz val="9"/>
      <color rgb="FFFF0000"/>
      <name val="Arial"/>
      <family val="2"/>
    </font>
    <font>
      <b/>
      <sz val="9"/>
      <color rgb="FF0070C0"/>
      <name val="Arial"/>
      <family val="2"/>
    </font>
    <font>
      <b/>
      <sz val="10"/>
      <color rgb="FFFF0000"/>
      <name val="Arial"/>
      <family val="2"/>
    </font>
    <font>
      <b/>
      <sz val="10"/>
      <color theme="8" tint="-0.249977111117893"/>
      <name val="Arial"/>
      <family val="2"/>
    </font>
    <font>
      <b/>
      <i/>
      <sz val="14"/>
      <color rgb="FFC00000"/>
      <name val="Arial"/>
      <family val="2"/>
    </font>
    <font>
      <b/>
      <i/>
      <sz val="11"/>
      <color rgb="FFC00000"/>
      <name val="Arial"/>
      <family val="2"/>
    </font>
    <font>
      <b/>
      <i/>
      <sz val="11"/>
      <color rgb="FF0070C0"/>
      <name val="Arial"/>
      <family val="2"/>
    </font>
    <font>
      <b/>
      <i/>
      <sz val="14"/>
      <color rgb="FF0070C0"/>
      <name val="Arial"/>
      <family val="2"/>
    </font>
    <font>
      <sz val="14"/>
      <name val="Arial"/>
      <family val="2"/>
    </font>
    <font>
      <u/>
      <sz val="10"/>
      <color theme="11"/>
      <name val="Arial"/>
      <family val="2"/>
    </font>
    <font>
      <b/>
      <i/>
      <sz val="18"/>
      <name val="Arial"/>
    </font>
    <font>
      <b/>
      <i/>
      <sz val="9"/>
      <name val="Arial"/>
    </font>
  </fonts>
  <fills count="6">
    <fill>
      <patternFill patternType="none"/>
    </fill>
    <fill>
      <patternFill patternType="gray125"/>
    </fill>
    <fill>
      <patternFill patternType="solid">
        <fgColor theme="6" tint="0.79998168889431442"/>
        <bgColor indexed="64"/>
      </patternFill>
    </fill>
    <fill>
      <patternFill patternType="solid">
        <fgColor theme="2"/>
        <bgColor indexed="64"/>
      </patternFill>
    </fill>
    <fill>
      <patternFill patternType="solid">
        <fgColor theme="9" tint="0.79998168889431442"/>
        <bgColor indexed="64"/>
      </patternFill>
    </fill>
    <fill>
      <patternFill patternType="solid">
        <fgColor theme="4" tint="0.79998168889431442"/>
        <bgColor indexed="64"/>
      </patternFill>
    </fill>
  </fills>
  <borders count="11">
    <border>
      <left/>
      <right/>
      <top/>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3">
    <xf numFmtId="0" fontId="0" fillId="0" borderId="0">
      <alignment vertical="center"/>
    </xf>
    <xf numFmtId="0" fontId="6" fillId="0" borderId="0" applyNumberFormat="0" applyFill="0" applyBorder="0" applyAlignment="0" applyProtection="0">
      <alignment vertical="top"/>
      <protection locked="0"/>
    </xf>
    <xf numFmtId="0" fontId="28" fillId="0" borderId="0" applyNumberFormat="0" applyFill="0" applyBorder="0" applyAlignment="0" applyProtection="0">
      <alignment vertical="center"/>
    </xf>
  </cellStyleXfs>
  <cellXfs count="127">
    <xf numFmtId="0" fontId="0" fillId="0" borderId="0" xfId="0">
      <alignment vertical="center"/>
    </xf>
    <xf numFmtId="0" fontId="0" fillId="0" borderId="0" xfId="0" applyAlignment="1">
      <alignment horizontal="left" vertical="center"/>
    </xf>
    <xf numFmtId="0" fontId="2" fillId="2" borderId="2" xfId="0" applyNumberFormat="1" applyFont="1" applyFill="1" applyBorder="1" applyAlignment="1">
      <alignment vertical="center" wrapText="1"/>
    </xf>
    <xf numFmtId="0" fontId="3" fillId="0" borderId="1" xfId="0" applyNumberFormat="1" applyFont="1" applyFill="1" applyBorder="1" applyAlignment="1">
      <alignment horizontal="left" wrapText="1"/>
    </xf>
    <xf numFmtId="0" fontId="3" fillId="0" borderId="1" xfId="0" applyNumberFormat="1" applyFont="1" applyFill="1" applyBorder="1" applyAlignment="1">
      <alignment wrapText="1"/>
    </xf>
    <xf numFmtId="164" fontId="3" fillId="0" borderId="1" xfId="0" applyNumberFormat="1" applyFont="1" applyFill="1" applyBorder="1" applyAlignment="1">
      <alignment wrapText="1"/>
    </xf>
    <xf numFmtId="0" fontId="1" fillId="0" borderId="0" xfId="0" applyFont="1">
      <alignment vertical="center"/>
    </xf>
    <xf numFmtId="0" fontId="4" fillId="0" borderId="0" xfId="0" applyFont="1">
      <alignment vertical="center"/>
    </xf>
    <xf numFmtId="0" fontId="5" fillId="0" borderId="0" xfId="0" applyFont="1">
      <alignment vertical="center"/>
    </xf>
    <xf numFmtId="0" fontId="1" fillId="2" borderId="0" xfId="0" applyFont="1" applyFill="1">
      <alignment vertical="center"/>
    </xf>
    <xf numFmtId="0" fontId="0" fillId="0" borderId="0" xfId="0" applyFont="1">
      <alignment vertical="center"/>
    </xf>
    <xf numFmtId="0" fontId="3" fillId="0" borderId="0" xfId="0" applyFont="1">
      <alignment vertical="center"/>
    </xf>
    <xf numFmtId="0" fontId="3" fillId="0" borderId="0" xfId="0" applyNumberFormat="1" applyFont="1" applyFill="1" applyBorder="1" applyAlignment="1"/>
    <xf numFmtId="0" fontId="3" fillId="0" borderId="0" xfId="0" applyNumberFormat="1" applyFont="1" applyFill="1" applyBorder="1" applyAlignment="1">
      <alignment wrapText="1"/>
    </xf>
    <xf numFmtId="0" fontId="0" fillId="0" borderId="0" xfId="0" applyBorder="1">
      <alignment vertical="center"/>
    </xf>
    <xf numFmtId="0" fontId="7" fillId="0" borderId="0" xfId="0" applyNumberFormat="1" applyFont="1" applyFill="1" applyBorder="1" applyAlignment="1"/>
    <xf numFmtId="0" fontId="7" fillId="0" borderId="0" xfId="0" applyFont="1" applyBorder="1" applyAlignment="1">
      <alignment vertical="center"/>
    </xf>
    <xf numFmtId="0" fontId="8" fillId="0" borderId="0" xfId="0" applyFont="1" applyBorder="1" applyAlignment="1">
      <alignment vertical="center"/>
    </xf>
    <xf numFmtId="0" fontId="9" fillId="0" borderId="0" xfId="0" applyFont="1" applyBorder="1" applyAlignment="1">
      <alignment vertical="center"/>
    </xf>
    <xf numFmtId="0" fontId="1" fillId="0" borderId="0" xfId="0" applyFont="1" applyBorder="1">
      <alignment vertical="center"/>
    </xf>
    <xf numFmtId="0" fontId="10" fillId="0" borderId="0" xfId="0" applyFont="1">
      <alignment vertical="center"/>
    </xf>
    <xf numFmtId="0" fontId="11" fillId="0" borderId="0" xfId="0" applyFont="1">
      <alignment vertical="center"/>
    </xf>
    <xf numFmtId="0" fontId="0" fillId="0" borderId="0" xfId="0" applyAlignment="1">
      <alignment vertical="center" wrapText="1"/>
    </xf>
    <xf numFmtId="0" fontId="5" fillId="0" borderId="0" xfId="0" applyFont="1" applyAlignment="1">
      <alignment vertical="center" wrapText="1"/>
    </xf>
    <xf numFmtId="0" fontId="0" fillId="0" borderId="0" xfId="0" applyFont="1" applyAlignment="1">
      <alignment vertical="center" wrapText="1"/>
    </xf>
    <xf numFmtId="0" fontId="0" fillId="0" borderId="0" xfId="0" applyBorder="1" applyAlignment="1">
      <alignment vertical="center"/>
    </xf>
    <xf numFmtId="0" fontId="12" fillId="0" borderId="0" xfId="0" applyFont="1">
      <alignment vertical="center"/>
    </xf>
    <xf numFmtId="0" fontId="3" fillId="0" borderId="0" xfId="0" applyFont="1" applyBorder="1">
      <alignment vertical="center"/>
    </xf>
    <xf numFmtId="0" fontId="2" fillId="0" borderId="0" xfId="0" applyFont="1">
      <alignment vertical="center"/>
    </xf>
    <xf numFmtId="0" fontId="5" fillId="0" borderId="0" xfId="0" applyFont="1" applyAlignment="1">
      <alignment horizontal="center" vertical="center"/>
    </xf>
    <xf numFmtId="0" fontId="1" fillId="0" borderId="0" xfId="0" applyFont="1" applyAlignment="1">
      <alignment horizontal="center" vertical="center"/>
    </xf>
    <xf numFmtId="0" fontId="10" fillId="0" borderId="0" xfId="0" applyFont="1" applyAlignment="1">
      <alignment horizontal="center" vertical="center"/>
    </xf>
    <xf numFmtId="0" fontId="4" fillId="0" borderId="0" xfId="0" applyFont="1" applyAlignment="1">
      <alignment horizontal="center" vertical="center"/>
    </xf>
    <xf numFmtId="0" fontId="6" fillId="0" borderId="0" xfId="1" applyAlignment="1" applyProtection="1">
      <alignment horizontal="center" vertical="center"/>
    </xf>
    <xf numFmtId="0" fontId="0" fillId="0" borderId="0" xfId="0" applyAlignment="1">
      <alignment horizontal="center" vertical="center"/>
    </xf>
    <xf numFmtId="0" fontId="11" fillId="0" borderId="0" xfId="0" applyFont="1" applyAlignment="1">
      <alignment horizontal="center" vertical="center"/>
    </xf>
    <xf numFmtId="0" fontId="3" fillId="0" borderId="0" xfId="0" applyFont="1" applyAlignment="1">
      <alignment horizontal="center" vertical="center"/>
    </xf>
    <xf numFmtId="0" fontId="1" fillId="0" borderId="0" xfId="0" applyFont="1" applyBorder="1" applyAlignment="1">
      <alignment horizontal="center" vertical="center"/>
    </xf>
    <xf numFmtId="0" fontId="3" fillId="0" borderId="0" xfId="0" applyNumberFormat="1" applyFont="1" applyFill="1" applyBorder="1" applyAlignment="1">
      <alignment horizontal="center"/>
    </xf>
    <xf numFmtId="0" fontId="5" fillId="0" borderId="0" xfId="0" applyFont="1" applyBorder="1" applyAlignment="1">
      <alignment horizontal="center" vertical="center"/>
    </xf>
    <xf numFmtId="0" fontId="7" fillId="0" borderId="0" xfId="0" applyFont="1" applyBorder="1" applyAlignment="1">
      <alignment horizontal="center" vertical="center"/>
    </xf>
    <xf numFmtId="0" fontId="8" fillId="0" borderId="0" xfId="0" applyFont="1" applyBorder="1" applyAlignment="1">
      <alignment horizontal="center" vertical="center"/>
    </xf>
    <xf numFmtId="0" fontId="0" fillId="0" borderId="0" xfId="0" applyFont="1" applyAlignment="1">
      <alignment horizontal="center" vertical="center"/>
    </xf>
    <xf numFmtId="0" fontId="0" fillId="0" borderId="0" xfId="0" applyBorder="1" applyAlignment="1">
      <alignment horizontal="center" vertical="center"/>
    </xf>
    <xf numFmtId="0" fontId="2" fillId="0" borderId="0" xfId="0" applyFont="1" applyAlignment="1">
      <alignment horizontal="center" vertical="center"/>
    </xf>
    <xf numFmtId="0" fontId="9" fillId="0" borderId="0" xfId="0" applyFont="1" applyBorder="1" applyAlignment="1">
      <alignment horizontal="center" vertical="center"/>
    </xf>
    <xf numFmtId="0" fontId="3" fillId="0" borderId="0" xfId="0" applyFont="1" applyAlignment="1">
      <alignment horizontal="center" vertical="center" wrapText="1"/>
    </xf>
    <xf numFmtId="0" fontId="3" fillId="0" borderId="0" xfId="0" applyFont="1" applyAlignment="1">
      <alignment vertical="center" wrapText="1"/>
    </xf>
    <xf numFmtId="0" fontId="13" fillId="0" borderId="0" xfId="0" applyFont="1" applyAlignment="1">
      <alignment horizontal="center" vertical="center" wrapText="1"/>
    </xf>
    <xf numFmtId="0" fontId="13" fillId="0" borderId="0" xfId="0" applyFont="1" applyAlignment="1">
      <alignment vertical="center" wrapText="1"/>
    </xf>
    <xf numFmtId="0" fontId="13" fillId="0" borderId="0" xfId="0" applyFont="1" applyAlignment="1">
      <alignment horizontal="center" vertical="center"/>
    </xf>
    <xf numFmtId="0" fontId="13" fillId="0" borderId="0" xfId="0" applyFont="1">
      <alignment vertical="center"/>
    </xf>
    <xf numFmtId="0" fontId="3" fillId="0" borderId="0" xfId="0" applyFont="1" applyBorder="1" applyAlignment="1">
      <alignment vertical="center"/>
    </xf>
    <xf numFmtId="0" fontId="1" fillId="0" borderId="0" xfId="0" applyFont="1" applyAlignment="1">
      <alignment horizontal="left" vertical="center"/>
    </xf>
    <xf numFmtId="0" fontId="7" fillId="0" borderId="0" xfId="0" applyNumberFormat="1" applyFont="1" applyFill="1" applyBorder="1" applyAlignment="1">
      <alignment horizontal="left"/>
    </xf>
    <xf numFmtId="0" fontId="7" fillId="0" borderId="0" xfId="0" applyFont="1" applyAlignment="1">
      <alignment horizontal="left" vertical="center"/>
    </xf>
    <xf numFmtId="0" fontId="1" fillId="0" borderId="0" xfId="0" applyFont="1" applyAlignment="1">
      <alignment vertical="center"/>
    </xf>
    <xf numFmtId="0" fontId="0" fillId="0" borderId="0" xfId="0" applyAlignment="1">
      <alignment vertical="center"/>
    </xf>
    <xf numFmtId="0" fontId="14" fillId="0" borderId="0" xfId="0" applyFont="1">
      <alignment vertical="center"/>
    </xf>
    <xf numFmtId="0" fontId="2" fillId="0" borderId="0" xfId="0" applyNumberFormat="1" applyFont="1" applyFill="1" applyBorder="1" applyAlignment="1">
      <alignment vertical="center" wrapText="1"/>
    </xf>
    <xf numFmtId="0" fontId="0" fillId="0" borderId="0" xfId="0" applyAlignment="1">
      <alignment horizontal="center" vertical="center"/>
    </xf>
    <xf numFmtId="0" fontId="15" fillId="0" borderId="0" xfId="0" applyFont="1">
      <alignment vertical="center"/>
    </xf>
    <xf numFmtId="0" fontId="15" fillId="0" borderId="0" xfId="0" applyFont="1" applyAlignment="1">
      <alignment horizontal="center" vertical="center"/>
    </xf>
    <xf numFmtId="0" fontId="16" fillId="0" borderId="0" xfId="0" applyFont="1">
      <alignment vertical="center"/>
    </xf>
    <xf numFmtId="0" fontId="16" fillId="0" borderId="0" xfId="0" applyFont="1" applyAlignment="1">
      <alignment horizontal="center" vertical="center"/>
    </xf>
    <xf numFmtId="0" fontId="17" fillId="0" borderId="0" xfId="0" applyFont="1" applyBorder="1" applyAlignment="1">
      <alignment vertical="center"/>
    </xf>
    <xf numFmtId="0" fontId="0" fillId="0" borderId="0" xfId="0" applyAlignment="1">
      <alignment horizontal="center" vertical="center"/>
    </xf>
    <xf numFmtId="0" fontId="18" fillId="0" borderId="0" xfId="0" applyFont="1" applyBorder="1" applyAlignment="1">
      <alignment horizontal="center" vertical="center"/>
    </xf>
    <xf numFmtId="0" fontId="19" fillId="0" borderId="0" xfId="0" applyNumberFormat="1" applyFont="1" applyFill="1" applyBorder="1" applyAlignment="1"/>
    <xf numFmtId="0" fontId="19" fillId="0" borderId="0" xfId="0" applyFont="1">
      <alignment vertical="center"/>
    </xf>
    <xf numFmtId="0" fontId="20" fillId="0" borderId="0" xfId="0" applyFont="1">
      <alignment vertical="center"/>
    </xf>
    <xf numFmtId="0" fontId="21" fillId="0" borderId="0" xfId="0" applyFont="1">
      <alignment vertical="center"/>
    </xf>
    <xf numFmtId="0" fontId="22" fillId="0" borderId="0" xfId="0" applyFont="1">
      <alignment vertical="center"/>
    </xf>
    <xf numFmtId="0" fontId="23" fillId="0" borderId="0" xfId="0" applyFont="1">
      <alignment vertical="center"/>
    </xf>
    <xf numFmtId="0" fontId="0" fillId="0" borderId="0" xfId="0" applyAlignment="1">
      <alignment horizontal="center" vertical="center"/>
    </xf>
    <xf numFmtId="0" fontId="24" fillId="0" borderId="0" xfId="0" applyFont="1">
      <alignment vertical="center"/>
    </xf>
    <xf numFmtId="0" fontId="7" fillId="0" borderId="0" xfId="0" applyFont="1" applyBorder="1">
      <alignment vertical="center"/>
    </xf>
    <xf numFmtId="0" fontId="7" fillId="0" borderId="0" xfId="0" applyNumberFormat="1" applyFont="1" applyFill="1" applyBorder="1" applyAlignment="1">
      <alignment wrapText="1"/>
    </xf>
    <xf numFmtId="0" fontId="7" fillId="0" borderId="0" xfId="0" applyFont="1" applyFill="1" applyBorder="1">
      <alignment vertical="center"/>
    </xf>
    <xf numFmtId="0" fontId="7" fillId="0" borderId="0" xfId="0" applyFont="1" applyBorder="1" applyAlignment="1">
      <alignment vertical="center" wrapText="1"/>
    </xf>
    <xf numFmtId="0" fontId="0" fillId="0" borderId="0" xfId="0" applyAlignment="1">
      <alignment horizontal="center" vertical="center"/>
    </xf>
    <xf numFmtId="0" fontId="25" fillId="0" borderId="0" xfId="0" applyFont="1">
      <alignment vertical="center"/>
    </xf>
    <xf numFmtId="0" fontId="26" fillId="0" borderId="0" xfId="0" applyFont="1">
      <alignment vertical="center"/>
    </xf>
    <xf numFmtId="0" fontId="27" fillId="0" borderId="0" xfId="0" applyFont="1">
      <alignment vertical="center"/>
    </xf>
    <xf numFmtId="0" fontId="27" fillId="0" borderId="0" xfId="0" applyFont="1" applyAlignment="1">
      <alignment horizontal="center" vertical="center"/>
    </xf>
    <xf numFmtId="0" fontId="23" fillId="0" borderId="0" xfId="0" applyFont="1" applyAlignment="1">
      <alignment horizontal="center" vertical="center"/>
    </xf>
    <xf numFmtId="0" fontId="0" fillId="0" borderId="0" xfId="0" applyAlignment="1">
      <alignment horizontal="center" vertical="center"/>
    </xf>
    <xf numFmtId="0" fontId="1" fillId="3" borderId="4" xfId="0" applyFont="1" applyFill="1" applyBorder="1">
      <alignment vertical="center"/>
    </xf>
    <xf numFmtId="0" fontId="1" fillId="2" borderId="4" xfId="0" applyFont="1" applyFill="1" applyBorder="1">
      <alignment vertical="center"/>
    </xf>
    <xf numFmtId="0" fontId="1" fillId="5" borderId="4" xfId="0" applyFont="1" applyFill="1" applyBorder="1">
      <alignment vertical="center"/>
    </xf>
    <xf numFmtId="0" fontId="1" fillId="5" borderId="5" xfId="0" applyFont="1" applyFill="1" applyBorder="1">
      <alignment vertical="center"/>
    </xf>
    <xf numFmtId="0" fontId="0" fillId="3" borderId="0" xfId="0" applyFill="1" applyBorder="1" applyAlignment="1">
      <alignment horizontal="center" vertical="center"/>
    </xf>
    <xf numFmtId="0" fontId="0" fillId="4" borderId="0" xfId="0" applyFill="1" applyBorder="1" applyAlignment="1">
      <alignment horizontal="center" vertical="center"/>
    </xf>
    <xf numFmtId="0" fontId="0" fillId="2" borderId="0" xfId="0" applyFill="1" applyBorder="1" applyAlignment="1">
      <alignment horizontal="center" vertical="center"/>
    </xf>
    <xf numFmtId="0" fontId="0" fillId="5" borderId="0" xfId="0" applyFill="1" applyBorder="1" applyAlignment="1">
      <alignment horizontal="center" vertical="center"/>
    </xf>
    <xf numFmtId="0" fontId="0" fillId="5" borderId="7" xfId="0" applyFill="1" applyBorder="1" applyAlignment="1">
      <alignment horizontal="center" vertical="center"/>
    </xf>
    <xf numFmtId="0" fontId="0" fillId="3" borderId="9" xfId="0" applyFill="1" applyBorder="1" applyAlignment="1">
      <alignment horizontal="center" vertical="center"/>
    </xf>
    <xf numFmtId="0" fontId="0" fillId="4" borderId="9" xfId="0" applyFill="1" applyBorder="1" applyAlignment="1">
      <alignment horizontal="center" vertical="center"/>
    </xf>
    <xf numFmtId="0" fontId="0" fillId="2" borderId="9" xfId="0" applyFill="1" applyBorder="1" applyAlignment="1">
      <alignment horizontal="center" vertical="center"/>
    </xf>
    <xf numFmtId="0" fontId="0" fillId="5" borderId="9" xfId="0" applyFill="1" applyBorder="1" applyAlignment="1">
      <alignment horizontal="center" vertical="center"/>
    </xf>
    <xf numFmtId="0" fontId="0" fillId="5" borderId="10" xfId="0" applyFill="1" applyBorder="1" applyAlignment="1">
      <alignment horizontal="center" vertical="center"/>
    </xf>
    <xf numFmtId="0" fontId="1" fillId="4" borderId="0" xfId="0" applyFont="1" applyFill="1" applyBorder="1" applyAlignment="1">
      <alignment horizontal="center" vertical="center"/>
    </xf>
    <xf numFmtId="0" fontId="1" fillId="2" borderId="0" xfId="0" applyFont="1" applyFill="1" applyBorder="1" applyAlignment="1">
      <alignment horizontal="center" vertical="center"/>
    </xf>
    <xf numFmtId="0" fontId="1" fillId="0" borderId="6" xfId="0" applyFont="1" applyBorder="1">
      <alignment vertical="center"/>
    </xf>
    <xf numFmtId="0" fontId="1" fillId="0" borderId="8" xfId="0" applyFont="1" applyBorder="1">
      <alignment vertical="center"/>
    </xf>
    <xf numFmtId="0" fontId="1" fillId="4" borderId="4" xfId="0" applyFont="1" applyFill="1" applyBorder="1" applyAlignment="1">
      <alignment horizontal="center" vertical="center"/>
    </xf>
    <xf numFmtId="0" fontId="1" fillId="2" borderId="4" xfId="0" applyFont="1" applyFill="1" applyBorder="1" applyAlignment="1">
      <alignment horizontal="center" vertical="center"/>
    </xf>
    <xf numFmtId="0" fontId="1" fillId="5" borderId="4" xfId="0" applyFont="1" applyFill="1" applyBorder="1" applyAlignment="1">
      <alignment horizontal="center" vertical="center"/>
    </xf>
    <xf numFmtId="0" fontId="1" fillId="5" borderId="5" xfId="0" applyFont="1" applyFill="1" applyBorder="1" applyAlignment="1">
      <alignment horizontal="center" vertical="center"/>
    </xf>
    <xf numFmtId="0" fontId="4" fillId="0" borderId="3" xfId="0" applyFont="1" applyBorder="1">
      <alignment vertical="center"/>
    </xf>
    <xf numFmtId="0" fontId="0" fillId="0" borderId="9" xfId="0" applyBorder="1" applyAlignment="1">
      <alignment horizontal="center" vertical="center"/>
    </xf>
    <xf numFmtId="0" fontId="4" fillId="0" borderId="4" xfId="0" applyFont="1" applyBorder="1" applyAlignment="1">
      <alignment horizontal="center" vertical="center"/>
    </xf>
    <xf numFmtId="0" fontId="0" fillId="0" borderId="6" xfId="0" applyFont="1" applyBorder="1">
      <alignment vertical="center"/>
    </xf>
    <xf numFmtId="0" fontId="0" fillId="0" borderId="8" xfId="0" applyFont="1" applyBorder="1">
      <alignment vertical="center"/>
    </xf>
    <xf numFmtId="0" fontId="4" fillId="0" borderId="4" xfId="0" applyFont="1" applyBorder="1">
      <alignment vertical="center"/>
    </xf>
    <xf numFmtId="0" fontId="0" fillId="0" borderId="0" xfId="0" applyFont="1" applyBorder="1">
      <alignment vertical="center"/>
    </xf>
    <xf numFmtId="0" fontId="0" fillId="0" borderId="9" xfId="0" applyFont="1" applyBorder="1">
      <alignment vertical="center"/>
    </xf>
    <xf numFmtId="0" fontId="1" fillId="0" borderId="9" xfId="0" applyFont="1" applyBorder="1" applyAlignment="1">
      <alignment horizontal="center" vertical="center"/>
    </xf>
    <xf numFmtId="0" fontId="0" fillId="0" borderId="3" xfId="0" applyBorder="1">
      <alignment vertical="center"/>
    </xf>
    <xf numFmtId="0" fontId="1" fillId="4" borderId="4" xfId="0" applyFont="1" applyFill="1" applyBorder="1" applyAlignment="1">
      <alignment vertical="center" wrapText="1"/>
    </xf>
    <xf numFmtId="0" fontId="0" fillId="0" borderId="0" xfId="0" applyAlignment="1">
      <alignment horizontal="center" vertical="center"/>
    </xf>
    <xf numFmtId="0" fontId="9" fillId="0" borderId="0" xfId="0" applyFont="1" applyBorder="1">
      <alignment vertical="center"/>
    </xf>
    <xf numFmtId="0" fontId="0" fillId="0" borderId="0" xfId="0" applyAlignment="1">
      <alignment horizontal="left" vertical="center"/>
    </xf>
    <xf numFmtId="0" fontId="0" fillId="0" borderId="0" xfId="0" applyFill="1" applyBorder="1" applyAlignment="1">
      <alignment vertical="center"/>
    </xf>
    <xf numFmtId="0" fontId="29" fillId="0" borderId="0" xfId="0" applyFont="1">
      <alignment vertical="center"/>
    </xf>
    <xf numFmtId="0" fontId="30" fillId="0" borderId="0" xfId="0" applyFont="1">
      <alignment vertical="center"/>
    </xf>
    <xf numFmtId="0" fontId="6" fillId="2" borderId="2" xfId="1" applyNumberFormat="1" applyFill="1" applyBorder="1" applyAlignment="1" applyProtection="1">
      <alignment vertical="center" wrapText="1"/>
    </xf>
  </cellXfs>
  <cellStyles count="3">
    <cellStyle name="Followed Hyperlink" xfId="2" builtinId="9" hidden="1"/>
    <cellStyle name="Hyperlink" xfId="1" builtinId="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DDDDDD"/>
      <rgbColor rgb="00EEEEEE"/>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11" Type="http://schemas.openxmlformats.org/officeDocument/2006/relationships/customXml" Target="../customXml/item2.xml"/><Relationship Id="rId12" Type="http://schemas.openxmlformats.org/officeDocument/2006/relationships/customXml" Target="../customXml/item3.xml"/><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 Id="rId9" Type="http://schemas.openxmlformats.org/officeDocument/2006/relationships/calcChain" Target="calcChain.xml"/><Relationship Id="rId10"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classifications.carnegiefoundation.org/descriptions/size_setting.ph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27"/>
  <sheetViews>
    <sheetView tabSelected="1" workbookViewId="0">
      <selection activeCell="A3" sqref="A3"/>
    </sheetView>
  </sheetViews>
  <sheetFormatPr baseColWidth="10" defaultColWidth="8.83203125" defaultRowHeight="12" x14ac:dyDescent="0"/>
  <cols>
    <col min="1" max="1" width="27.33203125" customWidth="1"/>
    <col min="2" max="2" width="9.6640625" style="34" customWidth="1"/>
    <col min="3" max="3" width="10.33203125" style="34" customWidth="1"/>
    <col min="4" max="4" width="11.5" style="34" customWidth="1"/>
    <col min="5" max="5" width="10.5" style="34" customWidth="1"/>
    <col min="6" max="6" width="14.6640625" customWidth="1"/>
    <col min="11" max="11" width="11.5" customWidth="1"/>
  </cols>
  <sheetData>
    <row r="1" spans="1:5" s="61" customFormat="1" ht="21">
      <c r="A1" s="124" t="s">
        <v>302</v>
      </c>
      <c r="B1" s="62"/>
      <c r="C1" s="62"/>
      <c r="D1" s="62"/>
      <c r="E1" s="62"/>
    </row>
    <row r="2" spans="1:5" s="63" customFormat="1" ht="11">
      <c r="A2" s="125" t="s">
        <v>402</v>
      </c>
      <c r="B2" s="64"/>
      <c r="C2" s="64"/>
      <c r="D2" s="64"/>
      <c r="E2" s="64"/>
    </row>
    <row r="3" spans="1:5">
      <c r="B3" s="60"/>
      <c r="C3" s="60"/>
      <c r="D3" s="60"/>
      <c r="E3" s="60"/>
    </row>
    <row r="4" spans="1:5" ht="17">
      <c r="A4" s="61" t="s">
        <v>400</v>
      </c>
    </row>
    <row r="5" spans="1:5" ht="17">
      <c r="A5" s="61" t="s">
        <v>401</v>
      </c>
    </row>
    <row r="6" spans="1:5">
      <c r="B6" s="120"/>
      <c r="C6" s="120"/>
      <c r="D6" s="120"/>
      <c r="E6" s="120"/>
    </row>
    <row r="8" spans="1:5" s="8" customFormat="1" ht="15">
      <c r="A8" s="58" t="s">
        <v>296</v>
      </c>
      <c r="B8" s="29"/>
      <c r="C8" s="29"/>
      <c r="D8" s="29"/>
      <c r="E8" s="29"/>
    </row>
    <row r="10" spans="1:5" s="6" customFormat="1">
      <c r="A10" s="6" t="s">
        <v>148</v>
      </c>
      <c r="B10" s="30" t="s">
        <v>293</v>
      </c>
      <c r="C10" s="30" t="s">
        <v>294</v>
      </c>
      <c r="D10" s="30" t="s">
        <v>295</v>
      </c>
      <c r="E10" s="30"/>
    </row>
    <row r="12" spans="1:5" s="6" customFormat="1">
      <c r="A12" s="20">
        <f>SUM(B12:D12)</f>
        <v>29</v>
      </c>
      <c r="B12" s="31">
        <f>COUNTIF('Full Data'!B2:AD2,"special")</f>
        <v>2</v>
      </c>
      <c r="C12" s="31">
        <f>COUNTIF('Full Data'!B2:AD2,"Public")</f>
        <v>4</v>
      </c>
      <c r="D12" s="31">
        <f>COUNTIF('Full Data'!B2:AD2,"Academic")</f>
        <v>23</v>
      </c>
      <c r="E12" s="30"/>
    </row>
    <row r="15" spans="1:5" s="7" customFormat="1" ht="15">
      <c r="A15" s="58" t="s">
        <v>146</v>
      </c>
      <c r="B15" s="32"/>
      <c r="C15" s="32"/>
      <c r="D15" s="32"/>
      <c r="E15" s="32"/>
    </row>
    <row r="17" spans="1:5" s="6" customFormat="1">
      <c r="A17" s="6" t="s">
        <v>404</v>
      </c>
      <c r="C17" s="30"/>
      <c r="D17" s="33" t="s">
        <v>403</v>
      </c>
      <c r="E17" s="30"/>
    </row>
    <row r="18" spans="1:5">
      <c r="A18" t="s">
        <v>154</v>
      </c>
      <c r="B18" s="34">
        <f>COUNTIF('Full Data'!B3:AD3,"Under 1,000")</f>
        <v>1</v>
      </c>
    </row>
    <row r="19" spans="1:5">
      <c r="A19" t="s">
        <v>155</v>
      </c>
      <c r="B19" s="34">
        <f>COUNTIF('Full Data'!B3:AD3,"1,000 - 2,999")</f>
        <v>2</v>
      </c>
    </row>
    <row r="20" spans="1:5">
      <c r="A20" t="s">
        <v>156</v>
      </c>
      <c r="B20" s="34">
        <f>COUNTIF('Full Data'!B3:AD3,"3,000 - 9,999")</f>
        <v>4</v>
      </c>
    </row>
    <row r="21" spans="1:5">
      <c r="A21" s="21" t="s">
        <v>157</v>
      </c>
      <c r="B21" s="35">
        <f>COUNTIF('Full Data'!B3:AD3,"10,000 - 19,999")</f>
        <v>11</v>
      </c>
    </row>
    <row r="22" spans="1:5">
      <c r="A22" t="s">
        <v>158</v>
      </c>
      <c r="B22" s="34">
        <v>5</v>
      </c>
      <c r="C22" s="1" t="s">
        <v>393</v>
      </c>
    </row>
    <row r="23" spans="1:5">
      <c r="B23" s="30">
        <f>SUM(B18:B22)</f>
        <v>23</v>
      </c>
      <c r="C23" s="122" t="s">
        <v>394</v>
      </c>
      <c r="D23" s="122"/>
      <c r="E23" s="122"/>
    </row>
    <row r="25" spans="1:5" s="6" customFormat="1">
      <c r="A25" s="6" t="s">
        <v>64</v>
      </c>
      <c r="B25" s="30"/>
      <c r="C25" s="30"/>
      <c r="D25" s="30"/>
      <c r="E25" s="30"/>
    </row>
    <row r="26" spans="1:5">
      <c r="A26" t="s">
        <v>149</v>
      </c>
      <c r="B26" s="34">
        <f>COUNTIF('Full Data'!B4:AD4,"Under 10,000")</f>
        <v>0</v>
      </c>
    </row>
    <row r="27" spans="1:5">
      <c r="A27" t="s">
        <v>150</v>
      </c>
      <c r="B27" s="80">
        <v>2</v>
      </c>
      <c r="C27" s="1" t="s">
        <v>391</v>
      </c>
    </row>
    <row r="28" spans="1:5">
      <c r="A28" s="21" t="s">
        <v>151</v>
      </c>
      <c r="B28" s="35">
        <f>COUNTIF('Full Data'!B4:AD4,"25,000 -99,999")</f>
        <v>1</v>
      </c>
      <c r="C28" s="1" t="s">
        <v>392</v>
      </c>
    </row>
    <row r="29" spans="1:5">
      <c r="A29" t="s">
        <v>152</v>
      </c>
      <c r="B29" s="34">
        <f>COUNTIF('Full Data'!B4:AD4,"100,000 - 499,999")</f>
        <v>0</v>
      </c>
    </row>
    <row r="30" spans="1:5">
      <c r="A30" t="s">
        <v>153</v>
      </c>
      <c r="B30" s="34">
        <f>COUNTIF('Full Data'!B4:AD4,"500,000 and over")</f>
        <v>1</v>
      </c>
    </row>
    <row r="32" spans="1:5">
      <c r="B32" s="30">
        <f>SUM(B26:B31)</f>
        <v>4</v>
      </c>
    </row>
    <row r="34" spans="1:7">
      <c r="A34" s="6" t="s">
        <v>0</v>
      </c>
    </row>
    <row r="35" spans="1:7">
      <c r="A35" t="s">
        <v>168</v>
      </c>
      <c r="B35" s="34">
        <v>0</v>
      </c>
    </row>
    <row r="36" spans="1:7">
      <c r="A36" t="s">
        <v>169</v>
      </c>
      <c r="B36" s="34">
        <v>0</v>
      </c>
    </row>
    <row r="37" spans="1:7">
      <c r="A37" t="s">
        <v>170</v>
      </c>
      <c r="B37" s="34">
        <v>0</v>
      </c>
    </row>
    <row r="38" spans="1:7">
      <c r="A38" s="21" t="s">
        <v>147</v>
      </c>
      <c r="B38" s="35">
        <v>2</v>
      </c>
    </row>
    <row r="39" spans="1:7">
      <c r="B39" s="30">
        <v>2</v>
      </c>
    </row>
    <row r="42" spans="1:7" s="8" customFormat="1" ht="15">
      <c r="A42" s="58" t="s">
        <v>159</v>
      </c>
      <c r="B42" s="29"/>
      <c r="C42" s="29"/>
      <c r="D42" s="29"/>
      <c r="E42" s="29"/>
    </row>
    <row r="44" spans="1:7" s="6" customFormat="1">
      <c r="A44" s="20" t="s">
        <v>160</v>
      </c>
      <c r="B44" s="31">
        <f>COUNTIF('Full Data'!B6:AD6,"Minimally")</f>
        <v>3</v>
      </c>
      <c r="C44" s="30" t="s">
        <v>163</v>
      </c>
      <c r="D44" s="30" t="s">
        <v>164</v>
      </c>
      <c r="E44" s="30" t="s">
        <v>165</v>
      </c>
      <c r="F44" s="30" t="s">
        <v>166</v>
      </c>
      <c r="G44" s="30" t="s">
        <v>167</v>
      </c>
    </row>
    <row r="45" spans="1:7">
      <c r="A45" t="s">
        <v>93</v>
      </c>
      <c r="B45" s="34">
        <v>1</v>
      </c>
      <c r="F45" s="34">
        <v>1</v>
      </c>
      <c r="G45" s="34"/>
    </row>
    <row r="46" spans="1:7">
      <c r="A46" t="s">
        <v>64</v>
      </c>
      <c r="B46" s="34">
        <v>1</v>
      </c>
      <c r="E46" s="34">
        <v>1</v>
      </c>
      <c r="F46" s="34"/>
      <c r="G46" s="34"/>
    </row>
    <row r="47" spans="1:7">
      <c r="A47" t="s">
        <v>0</v>
      </c>
      <c r="B47" s="34">
        <v>1</v>
      </c>
      <c r="F47" s="34">
        <v>1</v>
      </c>
      <c r="G47" s="34"/>
    </row>
    <row r="48" spans="1:7">
      <c r="F48" s="34"/>
      <c r="G48" s="34"/>
    </row>
    <row r="49" spans="1:12" s="6" customFormat="1">
      <c r="A49" s="20" t="s">
        <v>161</v>
      </c>
      <c r="B49" s="31">
        <f>COUNTIF('Full Data'!B6:AD6,"Moderately")</f>
        <v>16</v>
      </c>
      <c r="C49" s="30" t="s">
        <v>163</v>
      </c>
      <c r="D49" s="30" t="s">
        <v>164</v>
      </c>
      <c r="E49" s="30" t="s">
        <v>165</v>
      </c>
      <c r="F49" s="30" t="s">
        <v>166</v>
      </c>
      <c r="G49" s="30" t="s">
        <v>167</v>
      </c>
    </row>
    <row r="50" spans="1:12">
      <c r="A50" t="s">
        <v>93</v>
      </c>
      <c r="B50" s="34">
        <v>12</v>
      </c>
      <c r="D50" s="34">
        <v>2</v>
      </c>
      <c r="F50" s="34">
        <v>8</v>
      </c>
      <c r="G50" s="34">
        <v>2</v>
      </c>
      <c r="L50" s="6"/>
    </row>
    <row r="51" spans="1:12">
      <c r="A51" t="s">
        <v>64</v>
      </c>
      <c r="B51" s="34">
        <v>3</v>
      </c>
      <c r="D51" s="34">
        <v>1</v>
      </c>
      <c r="E51" s="34">
        <v>1</v>
      </c>
      <c r="F51" s="34"/>
      <c r="G51" s="34">
        <v>1</v>
      </c>
      <c r="L51" s="6"/>
    </row>
    <row r="52" spans="1:12">
      <c r="A52" t="s">
        <v>0</v>
      </c>
      <c r="B52" s="34">
        <v>1</v>
      </c>
      <c r="F52" s="34">
        <v>1</v>
      </c>
      <c r="G52" s="34"/>
      <c r="L52" s="6"/>
    </row>
    <row r="53" spans="1:12">
      <c r="F53" s="34"/>
      <c r="G53" s="34"/>
    </row>
    <row r="54" spans="1:12" s="6" customFormat="1">
      <c r="A54" s="20" t="s">
        <v>162</v>
      </c>
      <c r="B54" s="31">
        <f>COUNTIF('Full Data'!B6:AD6,"Heavily")</f>
        <v>10</v>
      </c>
      <c r="C54" s="30" t="s">
        <v>163</v>
      </c>
      <c r="D54" s="30" t="s">
        <v>164</v>
      </c>
      <c r="E54" s="30" t="s">
        <v>165</v>
      </c>
      <c r="F54" s="30" t="s">
        <v>166</v>
      </c>
      <c r="G54" s="30" t="s">
        <v>167</v>
      </c>
    </row>
    <row r="55" spans="1:12">
      <c r="A55" t="s">
        <v>93</v>
      </c>
      <c r="B55" s="34">
        <v>10</v>
      </c>
      <c r="C55" s="34">
        <v>1</v>
      </c>
      <c r="E55" s="34">
        <v>4</v>
      </c>
      <c r="F55" s="34">
        <v>2</v>
      </c>
      <c r="G55" s="34">
        <v>3</v>
      </c>
    </row>
    <row r="56" spans="1:12">
      <c r="A56" t="s">
        <v>64</v>
      </c>
    </row>
    <row r="57" spans="1:12">
      <c r="A57" t="s">
        <v>0</v>
      </c>
    </row>
    <row r="59" spans="1:12">
      <c r="I59" s="6"/>
      <c r="L59" s="6"/>
    </row>
    <row r="60" spans="1:12" s="8" customFormat="1" ht="15">
      <c r="A60" s="58" t="s">
        <v>171</v>
      </c>
      <c r="B60" s="29"/>
      <c r="C60" s="29"/>
      <c r="D60" s="29"/>
      <c r="E60" s="29"/>
      <c r="L60" s="6"/>
    </row>
    <row r="61" spans="1:12">
      <c r="L61" s="6"/>
    </row>
    <row r="62" spans="1:12" s="6" customFormat="1">
      <c r="A62" s="20" t="s">
        <v>128</v>
      </c>
      <c r="B62" s="31">
        <f>COUNTIF('Full Data'!B7:AD7,"Yes")</f>
        <v>24</v>
      </c>
      <c r="C62" s="30" t="s">
        <v>160</v>
      </c>
      <c r="D62" s="30" t="s">
        <v>161</v>
      </c>
      <c r="E62" s="30" t="s">
        <v>162</v>
      </c>
    </row>
    <row r="63" spans="1:12">
      <c r="A63" t="s">
        <v>93</v>
      </c>
      <c r="B63" s="34">
        <v>21</v>
      </c>
      <c r="C63" s="34">
        <v>1</v>
      </c>
      <c r="D63" s="34">
        <v>10</v>
      </c>
      <c r="E63" s="34">
        <v>10</v>
      </c>
      <c r="L63" s="6"/>
    </row>
    <row r="64" spans="1:12">
      <c r="A64" t="s">
        <v>64</v>
      </c>
      <c r="B64" s="34">
        <v>2</v>
      </c>
      <c r="D64" s="34">
        <v>2</v>
      </c>
    </row>
    <row r="65" spans="1:12">
      <c r="A65" t="s">
        <v>0</v>
      </c>
      <c r="B65" s="34">
        <v>1</v>
      </c>
      <c r="D65" s="34">
        <v>1</v>
      </c>
      <c r="I65" s="6"/>
      <c r="J65" s="6"/>
      <c r="L65" s="6"/>
    </row>
    <row r="66" spans="1:12">
      <c r="L66" s="6"/>
    </row>
    <row r="67" spans="1:12" s="6" customFormat="1">
      <c r="A67" s="20" t="s">
        <v>106</v>
      </c>
      <c r="B67" s="31">
        <f>COUNTIF('Full Data'!B7:AD7,"No")</f>
        <v>4</v>
      </c>
      <c r="C67" s="30" t="s">
        <v>160</v>
      </c>
      <c r="D67" s="30" t="s">
        <v>161</v>
      </c>
      <c r="E67" s="30" t="s">
        <v>162</v>
      </c>
    </row>
    <row r="68" spans="1:12">
      <c r="A68" t="s">
        <v>93</v>
      </c>
      <c r="B68" s="34">
        <v>2</v>
      </c>
      <c r="D68" s="34">
        <v>2</v>
      </c>
      <c r="L68" s="6"/>
    </row>
    <row r="69" spans="1:12">
      <c r="A69" t="s">
        <v>64</v>
      </c>
      <c r="B69" s="34">
        <v>2</v>
      </c>
      <c r="C69" s="34">
        <v>1</v>
      </c>
      <c r="D69" s="34">
        <v>1</v>
      </c>
      <c r="L69" s="6"/>
    </row>
    <row r="70" spans="1:12">
      <c r="A70" t="s">
        <v>0</v>
      </c>
      <c r="B70" s="34">
        <v>1</v>
      </c>
      <c r="C70" s="34">
        <v>1</v>
      </c>
      <c r="L70" s="6"/>
    </row>
    <row r="71" spans="1:12">
      <c r="L71" s="6"/>
    </row>
    <row r="72" spans="1:12">
      <c r="L72" s="6"/>
    </row>
    <row r="73" spans="1:12" s="8" customFormat="1" ht="15">
      <c r="A73" s="58" t="s">
        <v>172</v>
      </c>
      <c r="B73" s="29"/>
      <c r="C73" s="29"/>
      <c r="D73" s="29"/>
      <c r="E73" s="29"/>
      <c r="L73"/>
    </row>
    <row r="74" spans="1:12">
      <c r="L74" s="8"/>
    </row>
    <row r="75" spans="1:12" s="6" customFormat="1">
      <c r="A75" s="20" t="s">
        <v>128</v>
      </c>
      <c r="B75" s="31">
        <f>COUNTIF('Full Data'!B8:AD8,"Yes")</f>
        <v>12</v>
      </c>
      <c r="C75" s="30" t="s">
        <v>160</v>
      </c>
      <c r="D75" s="30" t="s">
        <v>161</v>
      </c>
      <c r="E75" s="30" t="s">
        <v>162</v>
      </c>
      <c r="L75"/>
    </row>
    <row r="76" spans="1:12">
      <c r="A76" t="s">
        <v>93</v>
      </c>
      <c r="B76" s="34">
        <v>10</v>
      </c>
      <c r="D76" s="34">
        <v>5</v>
      </c>
      <c r="E76" s="34">
        <v>5</v>
      </c>
      <c r="L76" s="6"/>
    </row>
    <row r="77" spans="1:12">
      <c r="A77" t="s">
        <v>64</v>
      </c>
      <c r="B77" s="34">
        <v>2</v>
      </c>
      <c r="D77" s="34">
        <v>2</v>
      </c>
    </row>
    <row r="78" spans="1:12">
      <c r="A78" t="s">
        <v>0</v>
      </c>
      <c r="B78" s="34">
        <v>0</v>
      </c>
    </row>
    <row r="80" spans="1:12" s="6" customFormat="1">
      <c r="A80" s="20" t="s">
        <v>106</v>
      </c>
      <c r="B80" s="31">
        <f>COUNTIF('Full Data'!B8:AD8,"No")</f>
        <v>17</v>
      </c>
      <c r="C80" s="30" t="s">
        <v>160</v>
      </c>
      <c r="D80" s="30" t="s">
        <v>161</v>
      </c>
      <c r="E80" s="30" t="s">
        <v>162</v>
      </c>
      <c r="L80"/>
    </row>
    <row r="81" spans="1:12">
      <c r="A81" t="s">
        <v>93</v>
      </c>
      <c r="B81" s="34">
        <v>13</v>
      </c>
      <c r="C81" s="34">
        <v>1</v>
      </c>
      <c r="D81" s="34">
        <v>7</v>
      </c>
      <c r="E81" s="34">
        <v>5</v>
      </c>
      <c r="L81" s="6"/>
    </row>
    <row r="82" spans="1:12">
      <c r="A82" t="s">
        <v>64</v>
      </c>
      <c r="B82" s="34">
        <v>2</v>
      </c>
      <c r="C82" s="34">
        <v>1</v>
      </c>
      <c r="D82" s="34">
        <v>1</v>
      </c>
    </row>
    <row r="83" spans="1:12">
      <c r="A83" t="s">
        <v>0</v>
      </c>
      <c r="B83" s="34">
        <v>2</v>
      </c>
      <c r="C83" s="34">
        <v>1</v>
      </c>
      <c r="D83" s="34">
        <v>1</v>
      </c>
    </row>
    <row r="86" spans="1:12" s="8" customFormat="1" ht="15">
      <c r="A86" s="58" t="s">
        <v>173</v>
      </c>
      <c r="B86" s="29"/>
      <c r="C86" s="29"/>
      <c r="D86" s="29"/>
      <c r="E86" s="29"/>
      <c r="L86"/>
    </row>
    <row r="87" spans="1:12">
      <c r="L87" s="8"/>
    </row>
    <row r="88" spans="1:12" s="6" customFormat="1">
      <c r="A88" s="20" t="s">
        <v>128</v>
      </c>
      <c r="B88" s="31">
        <f>COUNTIF('Full Data'!B9:AD9,"Yes")</f>
        <v>28</v>
      </c>
      <c r="C88" s="30"/>
      <c r="D88" s="30"/>
      <c r="E88" s="30"/>
      <c r="L88"/>
    </row>
    <row r="89" spans="1:12">
      <c r="A89" t="s">
        <v>93</v>
      </c>
      <c r="B89" s="34">
        <v>22</v>
      </c>
      <c r="L89" s="6"/>
    </row>
    <row r="90" spans="1:12">
      <c r="A90" t="s">
        <v>64</v>
      </c>
      <c r="B90" s="34">
        <v>4</v>
      </c>
    </row>
    <row r="91" spans="1:12">
      <c r="A91" t="s">
        <v>0</v>
      </c>
      <c r="B91" s="34">
        <v>2</v>
      </c>
    </row>
    <row r="93" spans="1:12" s="6" customFormat="1">
      <c r="A93" s="20" t="s">
        <v>106</v>
      </c>
      <c r="B93" s="31">
        <f>COUNTIF('Full Data'!B9:AD9,"No")</f>
        <v>1</v>
      </c>
      <c r="C93" s="30"/>
      <c r="D93" s="30"/>
      <c r="E93" s="30"/>
      <c r="L93"/>
    </row>
    <row r="94" spans="1:12">
      <c r="A94" t="s">
        <v>93</v>
      </c>
      <c r="B94" s="34">
        <v>1</v>
      </c>
      <c r="L94" s="6"/>
    </row>
    <row r="95" spans="1:12">
      <c r="A95" t="s">
        <v>64</v>
      </c>
      <c r="B95" s="34">
        <v>0</v>
      </c>
    </row>
    <row r="96" spans="1:12">
      <c r="A96" t="s">
        <v>0</v>
      </c>
      <c r="B96" s="34">
        <v>0</v>
      </c>
    </row>
    <row r="99" spans="1:12" s="8" customFormat="1" ht="15">
      <c r="A99" s="58" t="s">
        <v>174</v>
      </c>
      <c r="B99" s="29"/>
      <c r="C99" s="29"/>
      <c r="D99" s="29"/>
      <c r="E99" s="29"/>
      <c r="L99"/>
    </row>
    <row r="100" spans="1:12">
      <c r="L100" s="8"/>
    </row>
    <row r="101" spans="1:12" s="6" customFormat="1">
      <c r="A101" s="20" t="s">
        <v>175</v>
      </c>
      <c r="B101" s="31">
        <f>COUNTIF('Full Data'!10:10,"*PHP*")</f>
        <v>25</v>
      </c>
      <c r="C101" s="30"/>
      <c r="D101" s="30"/>
      <c r="E101" s="30"/>
      <c r="L101"/>
    </row>
    <row r="102" spans="1:12">
      <c r="A102" t="s">
        <v>93</v>
      </c>
      <c r="B102" s="34">
        <v>21</v>
      </c>
      <c r="L102" s="6"/>
    </row>
    <row r="103" spans="1:12">
      <c r="A103" t="s">
        <v>64</v>
      </c>
      <c r="B103" s="34">
        <v>3</v>
      </c>
    </row>
    <row r="104" spans="1:12">
      <c r="A104" t="s">
        <v>0</v>
      </c>
      <c r="B104" s="34">
        <v>1</v>
      </c>
    </row>
    <row r="106" spans="1:12" s="6" customFormat="1">
      <c r="A106" s="20" t="s">
        <v>176</v>
      </c>
      <c r="B106" s="31">
        <f>COUNTIF('Full Data'!10:10,"*CSS*")</f>
        <v>28</v>
      </c>
      <c r="C106" s="30"/>
      <c r="D106" s="30"/>
      <c r="E106" s="30"/>
      <c r="L106"/>
    </row>
    <row r="107" spans="1:12">
      <c r="A107" t="s">
        <v>93</v>
      </c>
      <c r="B107" s="34">
        <v>22</v>
      </c>
      <c r="L107" s="6"/>
    </row>
    <row r="108" spans="1:12">
      <c r="A108" t="s">
        <v>64</v>
      </c>
      <c r="B108" s="34">
        <v>4</v>
      </c>
    </row>
    <row r="109" spans="1:12">
      <c r="A109" t="s">
        <v>0</v>
      </c>
      <c r="B109" s="34">
        <v>2</v>
      </c>
    </row>
    <row r="111" spans="1:12" s="6" customFormat="1">
      <c r="A111" s="20" t="s">
        <v>177</v>
      </c>
      <c r="B111" s="31">
        <f>COUNTIF('Full Data'!10:10,"*HTML*")</f>
        <v>28</v>
      </c>
      <c r="C111" s="30"/>
      <c r="D111" s="30"/>
      <c r="E111" s="30"/>
      <c r="L111"/>
    </row>
    <row r="112" spans="1:12">
      <c r="A112" t="s">
        <v>93</v>
      </c>
      <c r="B112" s="34">
        <v>22</v>
      </c>
      <c r="L112" s="6"/>
    </row>
    <row r="113" spans="1:12">
      <c r="A113" t="s">
        <v>64</v>
      </c>
      <c r="B113" s="34">
        <v>4</v>
      </c>
    </row>
    <row r="114" spans="1:12">
      <c r="A114" t="s">
        <v>0</v>
      </c>
      <c r="B114" s="34">
        <v>2</v>
      </c>
    </row>
    <row r="116" spans="1:12" s="6" customFormat="1">
      <c r="A116" s="20" t="s">
        <v>178</v>
      </c>
      <c r="B116" s="31">
        <f>COUNTIF('Full Data'!10:10,"*Graphic Design*")</f>
        <v>13</v>
      </c>
      <c r="C116" s="30"/>
      <c r="D116" s="30"/>
      <c r="E116" s="30"/>
      <c r="L116"/>
    </row>
    <row r="117" spans="1:12">
      <c r="A117" t="s">
        <v>93</v>
      </c>
      <c r="B117" s="34">
        <v>12</v>
      </c>
      <c r="L117" s="6"/>
    </row>
    <row r="118" spans="1:12">
      <c r="A118" t="s">
        <v>64</v>
      </c>
      <c r="B118" s="34">
        <v>0</v>
      </c>
    </row>
    <row r="119" spans="1:12">
      <c r="A119" t="s">
        <v>0</v>
      </c>
      <c r="B119" s="34">
        <v>1</v>
      </c>
    </row>
    <row r="121" spans="1:12" s="6" customFormat="1">
      <c r="A121" s="20" t="s">
        <v>179</v>
      </c>
      <c r="B121" s="31">
        <f>COUNTIF('Full Data'!10:10,"*Server Administration*")</f>
        <v>20</v>
      </c>
      <c r="C121" s="30"/>
      <c r="D121" s="30"/>
      <c r="E121" s="30"/>
      <c r="L121"/>
    </row>
    <row r="122" spans="1:12">
      <c r="A122" t="s">
        <v>93</v>
      </c>
      <c r="B122" s="34">
        <v>16</v>
      </c>
      <c r="L122" s="6"/>
    </row>
    <row r="123" spans="1:12">
      <c r="A123" t="s">
        <v>64</v>
      </c>
      <c r="B123" s="34">
        <v>3</v>
      </c>
    </row>
    <row r="124" spans="1:12">
      <c r="A124" t="s">
        <v>0</v>
      </c>
      <c r="B124" s="34">
        <v>1</v>
      </c>
    </row>
    <row r="126" spans="1:12" s="6" customFormat="1">
      <c r="A126" s="20" t="s">
        <v>180</v>
      </c>
      <c r="B126" s="31">
        <v>7</v>
      </c>
      <c r="C126" s="56"/>
      <c r="D126" s="55" t="s">
        <v>220</v>
      </c>
      <c r="E126" s="42"/>
      <c r="F126" s="10"/>
      <c r="G126" s="10"/>
      <c r="H126" s="10"/>
      <c r="L126"/>
    </row>
    <row r="127" spans="1:12">
      <c r="A127" t="s">
        <v>93</v>
      </c>
      <c r="B127" s="34">
        <v>5</v>
      </c>
      <c r="C127" s="57"/>
      <c r="D127" s="55" t="s">
        <v>221</v>
      </c>
      <c r="E127" s="42"/>
      <c r="F127" s="10"/>
      <c r="G127" s="10"/>
      <c r="H127" s="10"/>
      <c r="L127" s="6"/>
    </row>
    <row r="128" spans="1:12">
      <c r="A128" t="s">
        <v>64</v>
      </c>
      <c r="B128" s="34">
        <v>1</v>
      </c>
    </row>
    <row r="129" spans="1:12">
      <c r="A129" t="s">
        <v>0</v>
      </c>
      <c r="B129" s="34">
        <v>1</v>
      </c>
    </row>
    <row r="132" spans="1:12" s="8" customFormat="1" ht="15">
      <c r="A132" s="58" t="s">
        <v>181</v>
      </c>
      <c r="B132" s="29"/>
      <c r="C132" s="29"/>
      <c r="D132" s="29"/>
      <c r="E132" s="29"/>
      <c r="L132"/>
    </row>
    <row r="133" spans="1:12">
      <c r="L133" s="8"/>
    </row>
    <row r="134" spans="1:12" s="6" customFormat="1">
      <c r="A134" s="20" t="s">
        <v>95</v>
      </c>
      <c r="B134" s="31">
        <v>19</v>
      </c>
      <c r="C134" s="30"/>
      <c r="D134" s="30"/>
      <c r="E134" s="30"/>
      <c r="L134"/>
    </row>
    <row r="135" spans="1:12">
      <c r="A135" t="s">
        <v>93</v>
      </c>
      <c r="B135" s="34">
        <v>16</v>
      </c>
      <c r="C135" s="55" t="s">
        <v>199</v>
      </c>
      <c r="L135" s="6"/>
    </row>
    <row r="136" spans="1:12">
      <c r="A136" t="s">
        <v>64</v>
      </c>
      <c r="B136" s="34">
        <v>2</v>
      </c>
      <c r="C136" s="1"/>
    </row>
    <row r="137" spans="1:12">
      <c r="A137" t="s">
        <v>0</v>
      </c>
      <c r="B137" s="34">
        <v>1</v>
      </c>
      <c r="C137" s="55" t="s">
        <v>201</v>
      </c>
    </row>
    <row r="138" spans="1:12">
      <c r="C138" s="1"/>
    </row>
    <row r="139" spans="1:12" s="6" customFormat="1">
      <c r="A139" s="20" t="s">
        <v>182</v>
      </c>
      <c r="B139" s="31">
        <v>3</v>
      </c>
      <c r="C139" s="53"/>
      <c r="E139" s="30"/>
      <c r="L139"/>
    </row>
    <row r="140" spans="1:12">
      <c r="A140" t="s">
        <v>93</v>
      </c>
      <c r="B140" s="34">
        <v>2</v>
      </c>
      <c r="C140" s="55" t="s">
        <v>200</v>
      </c>
      <c r="L140" s="6"/>
    </row>
    <row r="141" spans="1:12">
      <c r="A141" t="s">
        <v>64</v>
      </c>
      <c r="B141" s="34">
        <v>0</v>
      </c>
      <c r="C141" s="1"/>
    </row>
    <row r="142" spans="1:12">
      <c r="A142" t="s">
        <v>0</v>
      </c>
      <c r="B142" s="34">
        <v>1</v>
      </c>
      <c r="C142" s="55" t="s">
        <v>201</v>
      </c>
    </row>
    <row r="144" spans="1:12" s="6" customFormat="1">
      <c r="A144" s="20" t="s">
        <v>183</v>
      </c>
      <c r="B144" s="31">
        <v>0</v>
      </c>
      <c r="C144" s="30"/>
      <c r="D144" s="30"/>
      <c r="E144" s="30"/>
      <c r="L144"/>
    </row>
    <row r="145" spans="1:12">
      <c r="A145" t="s">
        <v>93</v>
      </c>
      <c r="B145" s="34">
        <v>0</v>
      </c>
      <c r="L145" s="6"/>
    </row>
    <row r="146" spans="1:12">
      <c r="A146" t="s">
        <v>64</v>
      </c>
      <c r="B146" s="34">
        <v>0</v>
      </c>
    </row>
    <row r="147" spans="1:12">
      <c r="A147" t="s">
        <v>0</v>
      </c>
      <c r="B147" s="34">
        <v>0</v>
      </c>
    </row>
    <row r="149" spans="1:12" s="6" customFormat="1">
      <c r="A149" s="20" t="s">
        <v>180</v>
      </c>
      <c r="B149" s="31">
        <v>8</v>
      </c>
      <c r="C149" s="30"/>
      <c r="D149" s="30"/>
      <c r="E149" s="30"/>
      <c r="L149"/>
    </row>
    <row r="150" spans="1:12">
      <c r="A150" t="s">
        <v>93</v>
      </c>
      <c r="B150" s="34">
        <v>5</v>
      </c>
      <c r="C150" s="55" t="s">
        <v>222</v>
      </c>
      <c r="L150" s="6"/>
    </row>
    <row r="151" spans="1:12">
      <c r="A151" t="s">
        <v>64</v>
      </c>
      <c r="B151" s="34">
        <v>2</v>
      </c>
      <c r="C151" s="55" t="s">
        <v>303</v>
      </c>
    </row>
    <row r="152" spans="1:12">
      <c r="A152" t="s">
        <v>0</v>
      </c>
      <c r="B152" s="34">
        <v>1</v>
      </c>
      <c r="C152" s="55" t="s">
        <v>202</v>
      </c>
    </row>
    <row r="155" spans="1:12" s="8" customFormat="1" ht="15">
      <c r="A155" s="58" t="s">
        <v>184</v>
      </c>
      <c r="B155" s="29"/>
      <c r="C155" s="29"/>
      <c r="D155" s="29"/>
      <c r="E155" s="29"/>
      <c r="L155"/>
    </row>
    <row r="156" spans="1:12">
      <c r="L156" s="8"/>
    </row>
    <row r="157" spans="1:12" s="6" customFormat="1">
      <c r="A157" s="20" t="s">
        <v>185</v>
      </c>
      <c r="B157" s="31">
        <v>27</v>
      </c>
      <c r="C157" s="30"/>
      <c r="D157" s="53" t="s">
        <v>204</v>
      </c>
      <c r="E157" s="54" t="s">
        <v>223</v>
      </c>
      <c r="L157"/>
    </row>
    <row r="158" spans="1:12">
      <c r="A158" t="s">
        <v>93</v>
      </c>
      <c r="B158" s="34">
        <v>21</v>
      </c>
      <c r="D158" s="1"/>
      <c r="E158" s="55" t="s">
        <v>224</v>
      </c>
      <c r="L158" s="6"/>
    </row>
    <row r="159" spans="1:12">
      <c r="A159" t="s">
        <v>64</v>
      </c>
      <c r="B159" s="34">
        <v>4</v>
      </c>
      <c r="D159" s="1"/>
      <c r="E159" s="55" t="s">
        <v>225</v>
      </c>
    </row>
    <row r="160" spans="1:12">
      <c r="A160" t="s">
        <v>0</v>
      </c>
      <c r="B160" s="34">
        <v>2</v>
      </c>
      <c r="D160" s="1"/>
      <c r="E160" s="55" t="s">
        <v>226</v>
      </c>
    </row>
    <row r="162" spans="1:12" s="6" customFormat="1">
      <c r="A162" s="20" t="s">
        <v>104</v>
      </c>
      <c r="B162" s="31">
        <v>2</v>
      </c>
      <c r="C162" s="30"/>
      <c r="D162" s="30"/>
      <c r="E162" s="30"/>
      <c r="L162"/>
    </row>
    <row r="163" spans="1:12">
      <c r="A163" t="s">
        <v>93</v>
      </c>
      <c r="B163" s="34">
        <v>2</v>
      </c>
      <c r="D163" s="55" t="s">
        <v>398</v>
      </c>
      <c r="L163" s="6"/>
    </row>
    <row r="164" spans="1:12">
      <c r="A164" t="s">
        <v>64</v>
      </c>
      <c r="B164" s="34">
        <v>0</v>
      </c>
      <c r="D164" s="1" t="s">
        <v>399</v>
      </c>
    </row>
    <row r="165" spans="1:12">
      <c r="A165" t="s">
        <v>0</v>
      </c>
      <c r="B165" s="34">
        <v>0</v>
      </c>
    </row>
    <row r="167" spans="1:12" ht="15">
      <c r="A167" s="58" t="s">
        <v>203</v>
      </c>
    </row>
    <row r="168" spans="1:12" s="11" customFormat="1">
      <c r="A168" s="26" t="s">
        <v>227</v>
      </c>
      <c r="B168" s="36"/>
      <c r="C168" s="36"/>
      <c r="D168" s="36"/>
      <c r="E168" s="36"/>
      <c r="L168"/>
    </row>
    <row r="169" spans="1:12" s="11" customFormat="1" ht="10">
      <c r="A169" s="26"/>
      <c r="B169" s="36"/>
      <c r="C169" s="36"/>
      <c r="D169" s="36"/>
      <c r="E169" s="36"/>
    </row>
    <row r="170" spans="1:12" s="11" customFormat="1" ht="10">
      <c r="B170" s="36"/>
      <c r="C170" s="36"/>
      <c r="D170" s="36"/>
      <c r="E170" s="36"/>
    </row>
    <row r="171" spans="1:12" s="28" customFormat="1">
      <c r="A171" s="6" t="s">
        <v>128</v>
      </c>
      <c r="B171" s="37">
        <v>4</v>
      </c>
      <c r="C171" s="44"/>
      <c r="D171" s="44"/>
      <c r="E171" s="44"/>
      <c r="L171" s="11"/>
    </row>
    <row r="172" spans="1:12" s="11" customFormat="1" ht="10">
      <c r="A172" s="27" t="s">
        <v>205</v>
      </c>
      <c r="B172" s="36"/>
      <c r="C172" s="36"/>
      <c r="D172" s="36"/>
      <c r="E172" s="36"/>
      <c r="L172" s="28"/>
    </row>
    <row r="173" spans="1:12" s="11" customFormat="1" ht="10">
      <c r="A173" s="27" t="s">
        <v>206</v>
      </c>
      <c r="B173" s="36"/>
      <c r="C173" s="36"/>
      <c r="D173" s="36"/>
      <c r="E173" s="36"/>
    </row>
    <row r="174" spans="1:12" s="11" customFormat="1" ht="10">
      <c r="A174" s="12" t="s">
        <v>111</v>
      </c>
      <c r="B174" s="36"/>
      <c r="C174" s="36"/>
      <c r="D174" s="36"/>
      <c r="E174" s="36"/>
    </row>
    <row r="175" spans="1:12" s="11" customFormat="1" ht="10">
      <c r="A175" s="12" t="s">
        <v>87</v>
      </c>
      <c r="B175" s="36"/>
      <c r="C175" s="36"/>
      <c r="D175" s="36"/>
      <c r="E175" s="36"/>
    </row>
    <row r="176" spans="1:12" s="11" customFormat="1">
      <c r="A176" s="6"/>
      <c r="B176" s="38"/>
      <c r="C176" s="36"/>
      <c r="D176" s="36"/>
      <c r="E176" s="36"/>
    </row>
    <row r="177" spans="1:15" s="11" customFormat="1">
      <c r="A177" s="6"/>
      <c r="B177" s="38"/>
      <c r="C177" s="36"/>
      <c r="D177" s="36"/>
      <c r="E177" s="36"/>
    </row>
    <row r="178" spans="1:15" s="28" customFormat="1">
      <c r="A178" s="6" t="s">
        <v>106</v>
      </c>
      <c r="B178" s="30">
        <v>1</v>
      </c>
      <c r="C178" s="44"/>
      <c r="D178" s="44"/>
      <c r="E178" s="44"/>
      <c r="L178" s="11"/>
    </row>
    <row r="179" spans="1:15" s="28" customFormat="1">
      <c r="A179" s="6"/>
      <c r="B179" s="30"/>
      <c r="C179" s="44"/>
      <c r="D179" s="44"/>
      <c r="E179" s="44"/>
    </row>
    <row r="180" spans="1:15">
      <c r="A180" s="8"/>
      <c r="L180" s="28"/>
    </row>
    <row r="181" spans="1:15" s="8" customFormat="1" ht="15">
      <c r="A181" s="58" t="s">
        <v>186</v>
      </c>
      <c r="B181" s="34"/>
      <c r="C181" s="29"/>
      <c r="D181" s="29"/>
      <c r="E181" s="29"/>
      <c r="L181"/>
    </row>
    <row r="182" spans="1:15" s="14" customFormat="1">
      <c r="B182" s="39"/>
      <c r="C182" s="43"/>
      <c r="D182" s="43"/>
      <c r="E182" s="43"/>
      <c r="L182" s="10"/>
    </row>
    <row r="183" spans="1:15" s="16" customFormat="1">
      <c r="A183" s="15" t="s">
        <v>4</v>
      </c>
      <c r="B183" s="40"/>
      <c r="C183" s="40"/>
      <c r="D183" s="40"/>
      <c r="E183" s="40"/>
      <c r="L183" s="14"/>
    </row>
    <row r="184" spans="1:15" s="16" customFormat="1" ht="11">
      <c r="A184" s="15"/>
      <c r="B184" s="40"/>
      <c r="C184" s="40"/>
      <c r="D184" s="40"/>
      <c r="E184" s="40"/>
    </row>
    <row r="185" spans="1:15" s="16" customFormat="1" ht="11">
      <c r="A185" s="15" t="s">
        <v>59</v>
      </c>
      <c r="B185" s="40"/>
      <c r="C185" s="40"/>
      <c r="D185" s="40"/>
      <c r="E185" s="40"/>
    </row>
    <row r="186" spans="1:15" s="16" customFormat="1" ht="11">
      <c r="A186" s="15"/>
      <c r="B186" s="40"/>
      <c r="C186" s="40"/>
      <c r="D186" s="40"/>
      <c r="E186" s="40"/>
    </row>
    <row r="187" spans="1:15" s="16" customFormat="1" ht="11">
      <c r="A187" s="15" t="s">
        <v>122</v>
      </c>
      <c r="B187" s="40"/>
      <c r="C187" s="40"/>
      <c r="D187" s="40"/>
      <c r="E187" s="40"/>
      <c r="O187" s="65"/>
    </row>
    <row r="188" spans="1:15" s="16" customFormat="1" ht="11">
      <c r="A188" s="15"/>
      <c r="B188" s="40"/>
      <c r="C188" s="40"/>
      <c r="D188" s="40"/>
      <c r="E188" s="40"/>
    </row>
    <row r="189" spans="1:15" s="16" customFormat="1" ht="11">
      <c r="A189" s="15" t="s">
        <v>37</v>
      </c>
      <c r="B189" s="40"/>
      <c r="C189" s="40"/>
      <c r="D189" s="40"/>
      <c r="E189" s="40"/>
      <c r="O189" s="65"/>
    </row>
    <row r="190" spans="1:15" s="16" customFormat="1" ht="11">
      <c r="A190" s="15"/>
      <c r="B190" s="40"/>
      <c r="C190" s="40"/>
      <c r="D190" s="40"/>
      <c r="E190" s="40"/>
    </row>
    <row r="191" spans="1:15" s="16" customFormat="1" ht="11">
      <c r="A191" s="15" t="s">
        <v>298</v>
      </c>
      <c r="B191" s="40"/>
      <c r="C191" s="40"/>
      <c r="D191" s="40"/>
      <c r="E191" s="40"/>
    </row>
    <row r="192" spans="1:15" s="16" customFormat="1" ht="11">
      <c r="A192" s="15" t="s">
        <v>300</v>
      </c>
      <c r="B192" s="40"/>
      <c r="C192" s="40"/>
      <c r="D192" s="40"/>
      <c r="E192" s="40"/>
    </row>
    <row r="193" spans="1:15" s="16" customFormat="1" ht="11">
      <c r="A193" s="15"/>
      <c r="B193" s="40"/>
      <c r="C193" s="40"/>
      <c r="D193" s="40"/>
      <c r="E193" s="40"/>
    </row>
    <row r="194" spans="1:15" s="16" customFormat="1" ht="11">
      <c r="A194" s="15" t="s">
        <v>228</v>
      </c>
      <c r="B194" s="40"/>
      <c r="C194" s="40"/>
      <c r="D194" s="40"/>
      <c r="E194" s="40"/>
    </row>
    <row r="195" spans="1:15" s="16" customFormat="1" ht="11">
      <c r="A195" s="15" t="s">
        <v>229</v>
      </c>
      <c r="B195" s="40"/>
      <c r="C195" s="40"/>
      <c r="D195" s="40"/>
      <c r="E195" s="40"/>
    </row>
    <row r="196" spans="1:15" s="16" customFormat="1" ht="11">
      <c r="A196" s="15"/>
      <c r="B196" s="40"/>
      <c r="C196" s="40"/>
      <c r="D196" s="40"/>
      <c r="E196" s="40"/>
    </row>
    <row r="197" spans="1:15" s="16" customFormat="1" ht="11">
      <c r="A197" s="15" t="s">
        <v>61</v>
      </c>
      <c r="B197" s="40"/>
      <c r="C197" s="40"/>
      <c r="D197" s="40"/>
      <c r="E197" s="40"/>
      <c r="O197" s="65"/>
    </row>
    <row r="198" spans="1:15" s="16" customFormat="1" ht="11">
      <c r="A198" s="15"/>
      <c r="B198" s="40"/>
      <c r="C198" s="40"/>
      <c r="D198" s="40"/>
      <c r="E198" s="40"/>
    </row>
    <row r="199" spans="1:15" s="16" customFormat="1" ht="11">
      <c r="A199" s="15" t="s">
        <v>9</v>
      </c>
      <c r="B199" s="40"/>
      <c r="C199" s="40"/>
      <c r="D199" s="40"/>
      <c r="E199" s="40"/>
    </row>
    <row r="200" spans="1:15" s="16" customFormat="1" ht="11">
      <c r="A200" s="15"/>
      <c r="B200" s="40"/>
      <c r="C200" s="40"/>
      <c r="D200" s="40"/>
      <c r="E200" s="40"/>
    </row>
    <row r="201" spans="1:15" s="16" customFormat="1" ht="11">
      <c r="A201" s="15" t="s">
        <v>207</v>
      </c>
      <c r="B201" s="40"/>
      <c r="C201" s="40"/>
      <c r="D201" s="40"/>
      <c r="E201" s="40"/>
    </row>
    <row r="202" spans="1:15" s="16" customFormat="1" ht="11">
      <c r="A202" s="15"/>
      <c r="B202" s="40"/>
      <c r="C202" s="40"/>
      <c r="D202" s="40"/>
      <c r="E202" s="40"/>
    </row>
    <row r="203" spans="1:15" s="17" customFormat="1" ht="11">
      <c r="A203" s="15" t="s">
        <v>21</v>
      </c>
      <c r="B203" s="40"/>
      <c r="C203" s="41"/>
      <c r="D203" s="41"/>
      <c r="E203" s="41"/>
      <c r="L203" s="16"/>
    </row>
    <row r="204" spans="1:15" s="17" customFormat="1" ht="11">
      <c r="A204" s="15"/>
      <c r="B204" s="40"/>
      <c r="C204" s="41"/>
      <c r="D204" s="41"/>
      <c r="E204" s="41"/>
    </row>
    <row r="205" spans="1:15" s="17" customFormat="1" ht="11">
      <c r="A205" s="15" t="s">
        <v>230</v>
      </c>
      <c r="B205" s="40"/>
      <c r="C205" s="41"/>
      <c r="D205" s="41"/>
      <c r="E205" s="41"/>
      <c r="L205" s="16"/>
    </row>
    <row r="206" spans="1:15" s="17" customFormat="1" ht="11">
      <c r="A206" s="15" t="s">
        <v>231</v>
      </c>
      <c r="B206" s="40"/>
      <c r="C206" s="41"/>
      <c r="D206" s="41"/>
      <c r="E206" s="41"/>
    </row>
    <row r="207" spans="1:15" s="17" customFormat="1" ht="11">
      <c r="A207" s="15" t="s">
        <v>232</v>
      </c>
      <c r="B207" s="40"/>
      <c r="C207" s="41"/>
      <c r="D207" s="41"/>
      <c r="E207" s="41"/>
    </row>
    <row r="208" spans="1:15" s="17" customFormat="1" ht="11">
      <c r="A208" s="15"/>
      <c r="B208" s="40"/>
      <c r="C208" s="41"/>
      <c r="D208" s="41"/>
      <c r="E208" s="41"/>
    </row>
    <row r="209" spans="1:15" s="17" customFormat="1" ht="11">
      <c r="A209" s="15" t="s">
        <v>58</v>
      </c>
      <c r="B209" s="40"/>
      <c r="C209" s="41"/>
      <c r="D209" s="41"/>
      <c r="E209" s="41"/>
      <c r="O209" s="65"/>
    </row>
    <row r="210" spans="1:15" s="17" customFormat="1" ht="11">
      <c r="A210" s="15"/>
      <c r="B210" s="40"/>
      <c r="C210" s="41"/>
      <c r="D210" s="41"/>
      <c r="E210" s="41"/>
    </row>
    <row r="211" spans="1:15" s="17" customFormat="1" ht="11">
      <c r="A211" s="15" t="s">
        <v>85</v>
      </c>
      <c r="B211" s="40"/>
      <c r="C211" s="41"/>
      <c r="D211" s="41"/>
      <c r="E211" s="41"/>
      <c r="L211" s="16"/>
    </row>
    <row r="212" spans="1:15" s="17" customFormat="1" ht="11">
      <c r="A212" s="15"/>
      <c r="B212" s="40"/>
      <c r="C212" s="41"/>
      <c r="D212" s="41"/>
      <c r="E212" s="41"/>
      <c r="L212" s="16"/>
    </row>
    <row r="213" spans="1:15" s="17" customFormat="1" ht="11">
      <c r="A213" s="15" t="s">
        <v>40</v>
      </c>
      <c r="B213" s="40"/>
      <c r="C213" s="41"/>
      <c r="D213" s="41"/>
      <c r="E213" s="41"/>
      <c r="L213" s="16"/>
    </row>
    <row r="214" spans="1:15" s="17" customFormat="1" ht="11">
      <c r="A214" s="15"/>
      <c r="B214" s="40"/>
      <c r="C214" s="41"/>
      <c r="D214" s="41"/>
      <c r="E214" s="41"/>
      <c r="L214" s="16"/>
    </row>
    <row r="215" spans="1:15" s="18" customFormat="1" ht="11">
      <c r="A215" s="15" t="s">
        <v>2</v>
      </c>
      <c r="B215" s="41"/>
      <c r="C215" s="45"/>
      <c r="D215" s="45"/>
      <c r="E215" s="45"/>
      <c r="L215" s="16"/>
      <c r="O215" s="65"/>
    </row>
    <row r="216" spans="1:15" s="18" customFormat="1" ht="11">
      <c r="A216" s="15"/>
      <c r="B216" s="41"/>
      <c r="C216" s="45"/>
      <c r="D216" s="45"/>
      <c r="E216" s="45"/>
    </row>
    <row r="217" spans="1:15" s="18" customFormat="1" ht="11">
      <c r="A217" s="15" t="s">
        <v>23</v>
      </c>
      <c r="B217" s="41"/>
      <c r="C217" s="45"/>
      <c r="D217" s="45"/>
      <c r="E217" s="45"/>
      <c r="O217" s="65"/>
    </row>
    <row r="218" spans="1:15" s="18" customFormat="1" ht="11">
      <c r="A218" s="15"/>
      <c r="B218" s="41"/>
      <c r="C218" s="45"/>
      <c r="D218" s="45"/>
      <c r="E218" s="45"/>
    </row>
    <row r="219" spans="1:15" s="18" customFormat="1" ht="11">
      <c r="A219" s="15" t="s">
        <v>19</v>
      </c>
      <c r="B219" s="41"/>
      <c r="C219" s="45"/>
      <c r="D219" s="45"/>
      <c r="E219" s="45"/>
      <c r="O219" s="65"/>
    </row>
    <row r="220" spans="1:15" s="18" customFormat="1" ht="11">
      <c r="A220" s="15"/>
      <c r="B220" s="41"/>
      <c r="C220" s="45"/>
      <c r="D220" s="45"/>
      <c r="E220" s="45"/>
    </row>
    <row r="221" spans="1:15" s="18" customFormat="1" ht="11">
      <c r="A221" s="15" t="s">
        <v>34</v>
      </c>
      <c r="B221" s="41"/>
      <c r="C221" s="45"/>
      <c r="D221" s="45"/>
      <c r="E221" s="45"/>
      <c r="O221" s="65"/>
    </row>
    <row r="222" spans="1:15" s="18" customFormat="1" ht="11">
      <c r="A222" s="15"/>
      <c r="B222" s="41"/>
      <c r="C222" s="45"/>
      <c r="D222" s="45"/>
      <c r="E222" s="45"/>
    </row>
    <row r="223" spans="1:15" s="18" customFormat="1" ht="11">
      <c r="A223" s="15" t="s">
        <v>233</v>
      </c>
      <c r="B223" s="41"/>
      <c r="C223" s="45"/>
      <c r="D223" s="45"/>
      <c r="E223" s="45"/>
      <c r="O223" s="65"/>
    </row>
    <row r="224" spans="1:15" s="18" customFormat="1" ht="11">
      <c r="A224" s="15" t="s">
        <v>234</v>
      </c>
      <c r="B224" s="41"/>
      <c r="C224" s="45"/>
      <c r="D224" s="45"/>
      <c r="E224" s="45"/>
    </row>
    <row r="225" spans="1:15" s="18" customFormat="1" ht="11">
      <c r="A225" s="15"/>
      <c r="B225" s="41"/>
      <c r="C225" s="45"/>
      <c r="D225" s="45"/>
      <c r="E225" s="45"/>
    </row>
    <row r="226" spans="1:15" s="18" customFormat="1" ht="11">
      <c r="A226" s="15" t="s">
        <v>113</v>
      </c>
      <c r="B226" s="41"/>
      <c r="C226" s="45"/>
      <c r="D226" s="45"/>
      <c r="E226" s="45"/>
    </row>
    <row r="227" spans="1:15" s="18" customFormat="1" ht="11">
      <c r="A227" s="15"/>
      <c r="B227" s="41"/>
      <c r="C227" s="45"/>
      <c r="D227" s="45"/>
      <c r="E227" s="45"/>
    </row>
    <row r="228" spans="1:15" s="18" customFormat="1" ht="11">
      <c r="A228" s="15" t="s">
        <v>235</v>
      </c>
      <c r="B228" s="41"/>
      <c r="C228" s="45"/>
      <c r="D228" s="45"/>
      <c r="E228" s="45"/>
      <c r="O228" s="65"/>
    </row>
    <row r="229" spans="1:15" s="18" customFormat="1" ht="11">
      <c r="A229" s="15"/>
      <c r="B229" s="41"/>
      <c r="C229" s="45"/>
      <c r="D229" s="45"/>
      <c r="E229" s="45"/>
    </row>
    <row r="230" spans="1:15" s="18" customFormat="1" ht="11">
      <c r="A230" s="15" t="s">
        <v>236</v>
      </c>
      <c r="B230" s="41"/>
      <c r="C230" s="45"/>
      <c r="D230" s="45"/>
      <c r="E230" s="45"/>
    </row>
    <row r="231" spans="1:15" s="18" customFormat="1" ht="11">
      <c r="A231" s="15" t="s">
        <v>297</v>
      </c>
      <c r="B231" s="41"/>
      <c r="C231" s="45"/>
      <c r="D231" s="45"/>
      <c r="E231" s="45"/>
    </row>
    <row r="232" spans="1:15" s="18" customFormat="1" ht="11">
      <c r="A232" s="15"/>
      <c r="B232" s="41"/>
      <c r="C232" s="45"/>
      <c r="D232" s="45"/>
      <c r="E232" s="45"/>
    </row>
    <row r="233" spans="1:15" s="18" customFormat="1" ht="11">
      <c r="A233" s="15" t="s">
        <v>237</v>
      </c>
      <c r="B233" s="41"/>
      <c r="C233" s="45"/>
      <c r="D233" s="45"/>
      <c r="E233" s="45"/>
      <c r="O233" s="65"/>
    </row>
    <row r="234" spans="1:15" s="18" customFormat="1" ht="11">
      <c r="A234" s="15" t="s">
        <v>238</v>
      </c>
      <c r="B234" s="41"/>
      <c r="C234" s="45"/>
      <c r="D234" s="45"/>
      <c r="E234" s="45"/>
    </row>
    <row r="235" spans="1:15" s="18" customFormat="1" ht="11">
      <c r="A235" s="15"/>
      <c r="B235" s="41"/>
      <c r="C235" s="45"/>
      <c r="D235" s="45"/>
      <c r="E235" s="45"/>
    </row>
    <row r="236" spans="1:15" s="18" customFormat="1" ht="11">
      <c r="A236" s="15" t="s">
        <v>239</v>
      </c>
      <c r="B236" s="41"/>
      <c r="C236" s="45"/>
      <c r="D236" s="45"/>
      <c r="E236" s="45"/>
    </row>
    <row r="237" spans="1:15" s="18" customFormat="1" ht="11">
      <c r="A237" s="15" t="s">
        <v>240</v>
      </c>
      <c r="B237" s="41"/>
      <c r="C237" s="45"/>
      <c r="D237" s="45"/>
      <c r="E237" s="45"/>
    </row>
    <row r="238" spans="1:15" s="18" customFormat="1" ht="11">
      <c r="A238" s="15"/>
      <c r="B238" s="41"/>
      <c r="C238" s="45"/>
      <c r="D238" s="45"/>
      <c r="E238" s="45"/>
    </row>
    <row r="239" spans="1:15" s="18" customFormat="1" ht="11">
      <c r="A239" s="15" t="s">
        <v>132</v>
      </c>
      <c r="B239" s="41"/>
      <c r="C239" s="45"/>
      <c r="D239" s="45"/>
      <c r="E239" s="45"/>
    </row>
    <row r="240" spans="1:15" s="18" customFormat="1" ht="11">
      <c r="A240" s="15"/>
      <c r="B240" s="41"/>
      <c r="C240" s="45"/>
      <c r="D240" s="45"/>
      <c r="E240" s="45"/>
    </row>
    <row r="241" spans="1:15" s="18" customFormat="1" ht="11">
      <c r="A241" s="15" t="s">
        <v>79</v>
      </c>
      <c r="B241" s="41"/>
      <c r="C241" s="45"/>
      <c r="D241" s="45"/>
      <c r="E241" s="45"/>
      <c r="O241" s="65"/>
    </row>
    <row r="242" spans="1:15" s="19" customFormat="1">
      <c r="A242" s="13"/>
      <c r="B242" s="39"/>
      <c r="C242" s="37"/>
      <c r="D242" s="37"/>
      <c r="E242" s="37"/>
      <c r="L242" s="18"/>
    </row>
    <row r="243" spans="1:15">
      <c r="B243" s="30"/>
      <c r="L243" s="19"/>
    </row>
    <row r="244" spans="1:15" ht="15">
      <c r="A244" s="58" t="s">
        <v>187</v>
      </c>
    </row>
    <row r="245" spans="1:15" ht="15">
      <c r="A245" s="58"/>
    </row>
    <row r="246" spans="1:15">
      <c r="A246" s="20" t="s">
        <v>26</v>
      </c>
      <c r="B246" s="31">
        <v>3</v>
      </c>
      <c r="C246" s="34" t="s">
        <v>160</v>
      </c>
      <c r="D246" s="34" t="s">
        <v>161</v>
      </c>
      <c r="E246" s="34" t="s">
        <v>162</v>
      </c>
    </row>
    <row r="247" spans="1:15">
      <c r="A247" t="s">
        <v>93</v>
      </c>
      <c r="B247" s="34">
        <v>2</v>
      </c>
      <c r="D247" s="34">
        <v>2</v>
      </c>
    </row>
    <row r="248" spans="1:15" s="6" customFormat="1">
      <c r="A248" t="s">
        <v>64</v>
      </c>
      <c r="B248" s="34">
        <v>1</v>
      </c>
      <c r="C248" s="42">
        <v>1</v>
      </c>
      <c r="D248" s="30"/>
      <c r="E248" s="30"/>
      <c r="L248"/>
    </row>
    <row r="249" spans="1:15">
      <c r="A249" t="s">
        <v>0</v>
      </c>
      <c r="B249" s="42">
        <v>0</v>
      </c>
      <c r="L249" s="6"/>
    </row>
    <row r="251" spans="1:15">
      <c r="A251" s="20" t="s">
        <v>99</v>
      </c>
      <c r="B251" s="31">
        <v>4</v>
      </c>
      <c r="C251" s="34" t="s">
        <v>160</v>
      </c>
      <c r="D251" s="34" t="s">
        <v>161</v>
      </c>
      <c r="E251" s="34" t="s">
        <v>162</v>
      </c>
    </row>
    <row r="252" spans="1:15">
      <c r="A252" t="s">
        <v>93</v>
      </c>
      <c r="B252" s="34">
        <v>1</v>
      </c>
      <c r="D252" s="34">
        <v>1</v>
      </c>
    </row>
    <row r="253" spans="1:15" s="6" customFormat="1">
      <c r="A253" t="s">
        <v>64</v>
      </c>
      <c r="B253" s="34">
        <v>2</v>
      </c>
      <c r="C253" s="30"/>
      <c r="D253" s="42">
        <v>2</v>
      </c>
      <c r="E253" s="30"/>
      <c r="L253"/>
    </row>
    <row r="254" spans="1:15">
      <c r="A254" t="s">
        <v>0</v>
      </c>
      <c r="B254" s="42">
        <v>1</v>
      </c>
      <c r="D254" s="34">
        <v>1</v>
      </c>
      <c r="L254" s="6"/>
    </row>
    <row r="256" spans="1:15">
      <c r="A256" s="20" t="s">
        <v>138</v>
      </c>
      <c r="B256" s="31">
        <v>5</v>
      </c>
      <c r="C256" s="34" t="s">
        <v>160</v>
      </c>
      <c r="D256" s="34" t="s">
        <v>161</v>
      </c>
      <c r="E256" s="34" t="s">
        <v>162</v>
      </c>
    </row>
    <row r="257" spans="1:12">
      <c r="A257" t="s">
        <v>93</v>
      </c>
      <c r="B257" s="34">
        <v>5</v>
      </c>
      <c r="D257" s="34">
        <v>3</v>
      </c>
      <c r="E257" s="34">
        <v>2</v>
      </c>
    </row>
    <row r="258" spans="1:12" s="6" customFormat="1">
      <c r="A258" t="s">
        <v>64</v>
      </c>
      <c r="B258" s="34">
        <v>0</v>
      </c>
      <c r="C258" s="30"/>
      <c r="D258" s="30"/>
      <c r="E258" s="30"/>
      <c r="L258"/>
    </row>
    <row r="259" spans="1:12">
      <c r="A259" t="s">
        <v>0</v>
      </c>
      <c r="B259" s="42">
        <v>0</v>
      </c>
      <c r="L259" s="6"/>
    </row>
    <row r="261" spans="1:12">
      <c r="A261" s="20" t="s">
        <v>75</v>
      </c>
      <c r="B261" s="31">
        <v>7</v>
      </c>
      <c r="C261" s="34" t="s">
        <v>160</v>
      </c>
      <c r="D261" s="34" t="s">
        <v>161</v>
      </c>
      <c r="E261" s="34" t="s">
        <v>162</v>
      </c>
    </row>
    <row r="262" spans="1:12">
      <c r="A262" t="s">
        <v>93</v>
      </c>
      <c r="B262" s="34">
        <v>7</v>
      </c>
      <c r="C262" s="34">
        <v>1</v>
      </c>
      <c r="D262" s="34">
        <v>3</v>
      </c>
      <c r="E262" s="34">
        <v>3</v>
      </c>
    </row>
    <row r="263" spans="1:12" s="6" customFormat="1">
      <c r="A263" t="s">
        <v>64</v>
      </c>
      <c r="B263" s="34">
        <v>0</v>
      </c>
      <c r="C263" s="30"/>
      <c r="D263" s="30"/>
      <c r="E263" s="30"/>
      <c r="L263"/>
    </row>
    <row r="264" spans="1:12">
      <c r="A264" t="s">
        <v>0</v>
      </c>
      <c r="B264" s="42">
        <v>0</v>
      </c>
      <c r="L264" s="6"/>
    </row>
    <row r="266" spans="1:12">
      <c r="A266" s="20" t="s">
        <v>141</v>
      </c>
      <c r="B266" s="31">
        <v>8</v>
      </c>
      <c r="C266" s="34" t="s">
        <v>160</v>
      </c>
      <c r="D266" s="34" t="s">
        <v>161</v>
      </c>
      <c r="E266" s="34" t="s">
        <v>162</v>
      </c>
      <c r="F266" s="11" t="s">
        <v>241</v>
      </c>
    </row>
    <row r="267" spans="1:12">
      <c r="A267" t="s">
        <v>93</v>
      </c>
      <c r="B267" s="34">
        <v>7</v>
      </c>
      <c r="D267" s="34">
        <v>3</v>
      </c>
      <c r="E267" s="34">
        <v>4</v>
      </c>
      <c r="F267" s="11" t="s">
        <v>242</v>
      </c>
    </row>
    <row r="268" spans="1:12" s="6" customFormat="1">
      <c r="A268" t="s">
        <v>64</v>
      </c>
      <c r="B268" s="34">
        <v>1</v>
      </c>
      <c r="C268" s="30"/>
      <c r="D268" s="42">
        <v>1</v>
      </c>
      <c r="E268" s="30"/>
      <c r="L268"/>
    </row>
    <row r="269" spans="1:12">
      <c r="A269" t="s">
        <v>0</v>
      </c>
      <c r="B269" s="42">
        <v>0</v>
      </c>
      <c r="L269" s="6"/>
    </row>
    <row r="270" spans="1:12">
      <c r="B270" s="42"/>
    </row>
    <row r="271" spans="1:12">
      <c r="F271" s="11" t="s">
        <v>245</v>
      </c>
    </row>
    <row r="272" spans="1:12" s="8" customFormat="1">
      <c r="A272" s="20" t="s">
        <v>188</v>
      </c>
      <c r="B272" s="31">
        <v>2</v>
      </c>
      <c r="C272" s="34" t="s">
        <v>160</v>
      </c>
      <c r="D272" s="34" t="s">
        <v>161</v>
      </c>
      <c r="E272" s="34" t="s">
        <v>162</v>
      </c>
      <c r="F272" s="11" t="s">
        <v>246</v>
      </c>
      <c r="L272"/>
    </row>
    <row r="273" spans="1:12" s="8" customFormat="1">
      <c r="A273" t="s">
        <v>93</v>
      </c>
      <c r="B273" s="34">
        <v>1</v>
      </c>
      <c r="C273" s="29"/>
      <c r="D273" s="42"/>
      <c r="E273" s="42">
        <v>1</v>
      </c>
      <c r="F273" s="11" t="s">
        <v>247</v>
      </c>
    </row>
    <row r="274" spans="1:12" s="8" customFormat="1">
      <c r="A274" t="s">
        <v>64</v>
      </c>
      <c r="B274" s="34">
        <v>0</v>
      </c>
      <c r="C274" s="29"/>
      <c r="D274" s="29"/>
      <c r="E274" s="29"/>
      <c r="F274" s="11" t="s">
        <v>248</v>
      </c>
    </row>
    <row r="275" spans="1:12">
      <c r="A275" t="s">
        <v>0</v>
      </c>
      <c r="B275" s="34">
        <v>1</v>
      </c>
      <c r="C275" s="42">
        <v>1</v>
      </c>
      <c r="L275" s="8"/>
    </row>
    <row r="276" spans="1:12">
      <c r="F276" s="11" t="s">
        <v>243</v>
      </c>
    </row>
    <row r="277" spans="1:12">
      <c r="F277" s="11" t="s">
        <v>244</v>
      </c>
    </row>
    <row r="278" spans="1:12">
      <c r="F278" s="11"/>
    </row>
    <row r="280" spans="1:12" ht="15">
      <c r="A280" s="58" t="s">
        <v>189</v>
      </c>
      <c r="F280" s="11"/>
    </row>
    <row r="282" spans="1:12" s="8" customFormat="1">
      <c r="A282" t="s">
        <v>208</v>
      </c>
      <c r="B282" s="34"/>
      <c r="C282" s="29"/>
      <c r="D282" s="29"/>
      <c r="E282" s="29"/>
      <c r="L282"/>
    </row>
    <row r="283" spans="1:12">
      <c r="B283" s="29"/>
      <c r="L283" s="8"/>
    </row>
    <row r="284" spans="1:12" s="6" customFormat="1">
      <c r="A284"/>
      <c r="B284" s="34"/>
      <c r="C284" s="30"/>
      <c r="D284" s="30"/>
      <c r="E284" s="30"/>
      <c r="L284"/>
    </row>
    <row r="285" spans="1:12" ht="15">
      <c r="A285" s="58" t="s">
        <v>190</v>
      </c>
      <c r="B285" s="30"/>
      <c r="L285" s="6"/>
    </row>
    <row r="286" spans="1:12">
      <c r="F286" s="11" t="s">
        <v>251</v>
      </c>
    </row>
    <row r="287" spans="1:12">
      <c r="A287" s="20" t="s">
        <v>128</v>
      </c>
      <c r="B287" s="31">
        <v>27</v>
      </c>
      <c r="C287" s="34" t="s">
        <v>160</v>
      </c>
      <c r="D287" s="34" t="s">
        <v>161</v>
      </c>
      <c r="E287" s="34" t="s">
        <v>162</v>
      </c>
      <c r="F287" s="11" t="s">
        <v>252</v>
      </c>
      <c r="G287" s="6"/>
    </row>
    <row r="288" spans="1:12">
      <c r="A288" t="s">
        <v>93</v>
      </c>
      <c r="B288" s="34">
        <v>23</v>
      </c>
      <c r="C288" s="34">
        <v>1</v>
      </c>
      <c r="D288" s="34">
        <v>12</v>
      </c>
      <c r="E288" s="34">
        <v>10</v>
      </c>
      <c r="F288" s="28" t="s">
        <v>253</v>
      </c>
    </row>
    <row r="289" spans="1:13" s="6" customFormat="1">
      <c r="A289" t="s">
        <v>64</v>
      </c>
      <c r="B289" s="34">
        <v>2</v>
      </c>
      <c r="C289" s="30"/>
      <c r="D289" s="42">
        <v>2</v>
      </c>
      <c r="E289" s="30"/>
      <c r="F289" s="11" t="s">
        <v>254</v>
      </c>
      <c r="L289"/>
    </row>
    <row r="290" spans="1:13">
      <c r="A290" t="s">
        <v>0</v>
      </c>
      <c r="B290" s="42">
        <v>2</v>
      </c>
      <c r="C290" s="34">
        <v>1</v>
      </c>
      <c r="D290" s="34">
        <v>1</v>
      </c>
      <c r="F290" s="11" t="s">
        <v>255</v>
      </c>
      <c r="L290" s="6"/>
    </row>
    <row r="291" spans="1:13">
      <c r="B291" s="42"/>
      <c r="F291" s="11" t="s">
        <v>256</v>
      </c>
    </row>
    <row r="292" spans="1:13">
      <c r="F292" s="28" t="s">
        <v>257</v>
      </c>
    </row>
    <row r="293" spans="1:13">
      <c r="F293" s="11" t="s">
        <v>258</v>
      </c>
    </row>
    <row r="294" spans="1:13">
      <c r="F294" s="28"/>
    </row>
    <row r="295" spans="1:13">
      <c r="A295" s="20" t="s">
        <v>106</v>
      </c>
      <c r="B295" s="31">
        <v>2</v>
      </c>
      <c r="C295" s="34" t="s">
        <v>160</v>
      </c>
      <c r="D295" s="34" t="s">
        <v>161</v>
      </c>
      <c r="E295" s="34" t="s">
        <v>162</v>
      </c>
      <c r="G295" s="11"/>
    </row>
    <row r="296" spans="1:13">
      <c r="A296" t="s">
        <v>93</v>
      </c>
      <c r="B296" s="34">
        <v>0</v>
      </c>
      <c r="G296" s="11"/>
    </row>
    <row r="297" spans="1:13">
      <c r="A297" t="s">
        <v>64</v>
      </c>
      <c r="B297" s="34">
        <v>2</v>
      </c>
      <c r="C297" s="34">
        <v>1</v>
      </c>
      <c r="D297" s="34">
        <v>1</v>
      </c>
      <c r="F297" s="11" t="s">
        <v>249</v>
      </c>
    </row>
    <row r="298" spans="1:13" s="8" customFormat="1">
      <c r="A298" t="s">
        <v>0</v>
      </c>
      <c r="B298" s="34">
        <v>0</v>
      </c>
      <c r="C298" s="29"/>
      <c r="D298" s="29"/>
      <c r="E298" s="29"/>
      <c r="F298" s="11" t="s">
        <v>250</v>
      </c>
      <c r="L298"/>
    </row>
    <row r="299" spans="1:13">
      <c r="B299" s="29"/>
      <c r="L299" s="8"/>
    </row>
    <row r="301" spans="1:13" ht="15">
      <c r="A301" s="58" t="s">
        <v>191</v>
      </c>
    </row>
    <row r="302" spans="1:13" s="8" customFormat="1">
      <c r="A302"/>
      <c r="B302" s="34"/>
      <c r="C302" s="29"/>
      <c r="D302" s="29"/>
      <c r="E302" s="29"/>
      <c r="L302"/>
    </row>
    <row r="303" spans="1:13" s="8" customFormat="1">
      <c r="A303" s="6" t="s">
        <v>93</v>
      </c>
      <c r="B303" s="34"/>
      <c r="C303" s="29"/>
      <c r="D303" s="29"/>
      <c r="E303" s="29"/>
    </row>
    <row r="304" spans="1:13" s="23" customFormat="1">
      <c r="A304" s="22" t="s">
        <v>160</v>
      </c>
      <c r="B304" s="46">
        <v>6</v>
      </c>
      <c r="C304" s="48"/>
      <c r="D304" s="48"/>
      <c r="E304" s="48"/>
      <c r="F304" s="48"/>
      <c r="G304" s="48"/>
      <c r="H304" s="48"/>
      <c r="I304" s="48"/>
      <c r="J304" s="48"/>
      <c r="K304" s="49"/>
      <c r="L304" s="8"/>
      <c r="M304" s="49"/>
    </row>
    <row r="305" spans="1:13" s="24" customFormat="1" ht="40">
      <c r="A305" s="24" t="s">
        <v>161</v>
      </c>
      <c r="B305" s="46" t="s">
        <v>209</v>
      </c>
      <c r="C305" s="46">
        <v>15</v>
      </c>
      <c r="D305" s="46" t="s">
        <v>211</v>
      </c>
      <c r="E305" s="46" t="s">
        <v>212</v>
      </c>
      <c r="F305" s="46" t="s">
        <v>214</v>
      </c>
      <c r="G305" s="46">
        <v>9</v>
      </c>
      <c r="H305" s="46">
        <v>8</v>
      </c>
      <c r="I305" s="46" t="s">
        <v>94</v>
      </c>
      <c r="J305" s="46">
        <v>12</v>
      </c>
      <c r="L305" s="49"/>
    </row>
    <row r="306" spans="1:13" s="24" customFormat="1" ht="30">
      <c r="B306" s="46">
        <v>29</v>
      </c>
      <c r="C306" s="46">
        <v>30</v>
      </c>
      <c r="D306" s="46" t="s">
        <v>216</v>
      </c>
      <c r="E306" s="46" t="s">
        <v>217</v>
      </c>
      <c r="F306" s="46"/>
      <c r="G306" s="46"/>
      <c r="H306" s="46"/>
      <c r="I306" s="46"/>
      <c r="J306" s="46"/>
      <c r="K306" s="47"/>
      <c r="M306" s="47"/>
    </row>
    <row r="307" spans="1:13" s="24" customFormat="1" ht="30">
      <c r="A307" s="24" t="s">
        <v>162</v>
      </c>
      <c r="B307" s="46" t="s">
        <v>210</v>
      </c>
      <c r="C307" s="46">
        <v>10</v>
      </c>
      <c r="D307" s="46">
        <v>150</v>
      </c>
      <c r="E307" s="46">
        <v>10</v>
      </c>
      <c r="F307" s="46">
        <v>3</v>
      </c>
      <c r="G307" s="46" t="s">
        <v>215</v>
      </c>
      <c r="H307" s="46">
        <v>30</v>
      </c>
      <c r="I307" s="46">
        <v>20</v>
      </c>
      <c r="J307" s="46"/>
      <c r="K307" s="47"/>
      <c r="L307" s="47"/>
      <c r="M307" s="47"/>
    </row>
    <row r="308" spans="1:13" s="8" customFormat="1">
      <c r="A308"/>
      <c r="B308" s="36"/>
      <c r="C308" s="50"/>
      <c r="D308" s="50"/>
      <c r="E308" s="50"/>
      <c r="F308" s="51"/>
      <c r="G308" s="51"/>
      <c r="H308" s="51"/>
      <c r="I308" s="51"/>
      <c r="J308" s="51"/>
      <c r="K308" s="51"/>
      <c r="L308" s="47"/>
      <c r="M308" s="51"/>
    </row>
    <row r="309" spans="1:13" s="8" customFormat="1">
      <c r="A309" s="6" t="s">
        <v>64</v>
      </c>
      <c r="B309" s="36"/>
      <c r="C309" s="50"/>
      <c r="D309" s="50"/>
      <c r="E309" s="50"/>
      <c r="F309" s="51"/>
      <c r="G309" s="51"/>
      <c r="H309" s="51"/>
      <c r="I309" s="51"/>
      <c r="J309" s="51"/>
      <c r="K309" s="51"/>
      <c r="L309" s="51"/>
      <c r="M309" s="51"/>
    </row>
    <row r="310" spans="1:13" s="8" customFormat="1">
      <c r="A310" t="s">
        <v>160</v>
      </c>
      <c r="B310" s="36">
        <v>1</v>
      </c>
      <c r="C310" s="50"/>
      <c r="D310" s="50"/>
      <c r="E310" s="50"/>
      <c r="F310" s="51"/>
      <c r="G310" s="51"/>
      <c r="H310" s="51"/>
      <c r="I310" s="51"/>
      <c r="J310" s="51"/>
      <c r="K310" s="51"/>
      <c r="L310" s="51"/>
      <c r="M310" s="51"/>
    </row>
    <row r="311" spans="1:13" s="8" customFormat="1" ht="20">
      <c r="A311" t="s">
        <v>161</v>
      </c>
      <c r="B311" s="46" t="s">
        <v>213</v>
      </c>
      <c r="C311" s="36" t="s">
        <v>14</v>
      </c>
      <c r="D311" s="36">
        <v>7</v>
      </c>
      <c r="E311" s="50"/>
      <c r="F311" s="51"/>
      <c r="G311" s="51"/>
      <c r="H311" s="51"/>
      <c r="I311" s="51"/>
      <c r="J311" s="51"/>
      <c r="K311" s="51"/>
      <c r="L311" s="51"/>
      <c r="M311" s="51"/>
    </row>
    <row r="312" spans="1:13" s="8" customFormat="1">
      <c r="A312" t="s">
        <v>162</v>
      </c>
      <c r="B312" s="36"/>
      <c r="C312" s="50"/>
      <c r="D312" s="50"/>
      <c r="E312" s="50"/>
      <c r="F312" s="51"/>
      <c r="G312" s="51"/>
      <c r="H312" s="51"/>
      <c r="I312" s="51"/>
      <c r="J312" s="51"/>
      <c r="K312" s="51"/>
      <c r="L312" s="51"/>
      <c r="M312" s="51"/>
    </row>
    <row r="313" spans="1:13" s="8" customFormat="1">
      <c r="A313"/>
      <c r="B313" s="36"/>
      <c r="C313" s="50"/>
      <c r="D313" s="50"/>
      <c r="E313" s="50"/>
      <c r="F313" s="51"/>
      <c r="G313" s="51"/>
      <c r="H313" s="51"/>
      <c r="I313" s="51"/>
      <c r="J313" s="51"/>
      <c r="K313" s="51"/>
      <c r="L313" s="51"/>
      <c r="M313" s="51"/>
    </row>
    <row r="314" spans="1:13">
      <c r="A314" s="6" t="s">
        <v>0</v>
      </c>
      <c r="B314" s="50"/>
      <c r="C314" s="36"/>
      <c r="D314" s="36"/>
      <c r="E314" s="36"/>
      <c r="F314" s="11"/>
      <c r="G314" s="11"/>
      <c r="H314" s="11"/>
      <c r="I314" s="11"/>
      <c r="J314" s="11"/>
      <c r="K314" s="11"/>
      <c r="L314" s="51"/>
      <c r="M314" s="11"/>
    </row>
    <row r="315" spans="1:13">
      <c r="A315" t="s">
        <v>160</v>
      </c>
      <c r="B315" s="36">
        <v>4</v>
      </c>
      <c r="C315" s="36"/>
      <c r="D315" s="36"/>
      <c r="E315" s="36"/>
      <c r="F315" s="11"/>
      <c r="G315" s="11"/>
      <c r="H315" s="11"/>
      <c r="I315" s="11"/>
      <c r="J315" s="11"/>
      <c r="K315" s="11"/>
      <c r="L315" s="11"/>
      <c r="M315" s="11"/>
    </row>
    <row r="316" spans="1:13">
      <c r="A316" t="s">
        <v>161</v>
      </c>
      <c r="B316" s="50"/>
      <c r="C316" s="36"/>
      <c r="D316" s="36"/>
      <c r="E316" s="36"/>
      <c r="F316" s="11"/>
      <c r="G316" s="11"/>
      <c r="H316" s="11"/>
      <c r="I316" s="11"/>
      <c r="J316" s="11"/>
      <c r="K316" s="11"/>
      <c r="L316" s="11"/>
      <c r="M316" s="11"/>
    </row>
    <row r="317" spans="1:13">
      <c r="A317" t="s">
        <v>162</v>
      </c>
      <c r="B317" s="29"/>
      <c r="L317" s="11"/>
    </row>
    <row r="318" spans="1:13" s="6" customFormat="1">
      <c r="A318"/>
      <c r="B318" s="34"/>
      <c r="C318" s="30"/>
      <c r="D318" s="30"/>
      <c r="E318" s="30"/>
      <c r="L318"/>
    </row>
    <row r="319" spans="1:13" ht="15">
      <c r="A319" s="58" t="s">
        <v>192</v>
      </c>
      <c r="B319" s="30"/>
      <c r="L319" s="6"/>
    </row>
    <row r="321" spans="1:12">
      <c r="A321" s="6" t="s">
        <v>128</v>
      </c>
      <c r="B321" s="30">
        <v>25</v>
      </c>
    </row>
    <row r="322" spans="1:12">
      <c r="A322" t="s">
        <v>93</v>
      </c>
      <c r="B322" s="34">
        <v>22</v>
      </c>
    </row>
    <row r="323" spans="1:12" s="6" customFormat="1">
      <c r="A323" t="s">
        <v>64</v>
      </c>
      <c r="B323" s="34">
        <v>2</v>
      </c>
      <c r="C323" s="30"/>
      <c r="D323" s="30"/>
      <c r="E323" s="30"/>
      <c r="L323"/>
    </row>
    <row r="324" spans="1:12">
      <c r="A324" t="s">
        <v>0</v>
      </c>
      <c r="B324" s="42">
        <v>1</v>
      </c>
      <c r="L324" s="6"/>
    </row>
    <row r="326" spans="1:12">
      <c r="A326" s="6" t="s">
        <v>106</v>
      </c>
      <c r="B326" s="30">
        <v>3</v>
      </c>
    </row>
    <row r="327" spans="1:12">
      <c r="A327" t="s">
        <v>93</v>
      </c>
      <c r="B327" s="34">
        <v>1</v>
      </c>
    </row>
    <row r="328" spans="1:12">
      <c r="A328" t="s">
        <v>64</v>
      </c>
      <c r="B328" s="34">
        <v>1</v>
      </c>
      <c r="C328" s="34" t="s">
        <v>218</v>
      </c>
    </row>
    <row r="329" spans="1:12" s="8" customFormat="1">
      <c r="A329" t="s">
        <v>0</v>
      </c>
      <c r="B329" s="34">
        <v>1</v>
      </c>
      <c r="C329" s="29"/>
      <c r="D329" s="29"/>
      <c r="E329" s="29"/>
      <c r="L329"/>
    </row>
    <row r="330" spans="1:12">
      <c r="B330" s="29"/>
      <c r="L330" s="8"/>
    </row>
    <row r="331" spans="1:12" s="6" customFormat="1">
      <c r="A331"/>
      <c r="B331" s="34"/>
      <c r="C331" s="30"/>
      <c r="D331" s="30"/>
      <c r="E331" s="30"/>
      <c r="L331"/>
    </row>
    <row r="332" spans="1:12" ht="15">
      <c r="A332" s="58" t="s">
        <v>193</v>
      </c>
      <c r="B332" s="30"/>
      <c r="L332" s="6"/>
    </row>
    <row r="333" spans="1:12" s="6" customFormat="1">
      <c r="A333"/>
      <c r="B333" s="34"/>
      <c r="C333" s="30"/>
      <c r="D333" s="30"/>
      <c r="E333" s="30"/>
      <c r="L333"/>
    </row>
    <row r="334" spans="1:12">
      <c r="A334" s="6" t="s">
        <v>194</v>
      </c>
      <c r="B334" s="42">
        <f>COUNTIF('Full Data'!20:20,"More Difficult")</f>
        <v>4</v>
      </c>
      <c r="L334" s="6"/>
    </row>
    <row r="335" spans="1:12" s="6" customFormat="1">
      <c r="A335"/>
      <c r="B335" s="34"/>
      <c r="C335" s="30"/>
      <c r="D335" s="30"/>
      <c r="E335" s="30"/>
      <c r="L335"/>
    </row>
    <row r="336" spans="1:12">
      <c r="A336" s="6" t="s">
        <v>195</v>
      </c>
      <c r="B336" s="42">
        <f>COUNTIF('Full Data'!20:20,"Less Difficult")</f>
        <v>8</v>
      </c>
      <c r="L336" s="6"/>
    </row>
    <row r="338" spans="1:12" s="8" customFormat="1">
      <c r="A338" s="6" t="s">
        <v>196</v>
      </c>
      <c r="B338" s="34">
        <f>COUNTIF('Full Data'!20:20,"About the Same")</f>
        <v>15</v>
      </c>
      <c r="C338" s="29"/>
      <c r="D338" s="29"/>
      <c r="E338" s="29"/>
      <c r="L338"/>
    </row>
    <row r="339" spans="1:12">
      <c r="B339" s="29"/>
      <c r="L339" s="8"/>
    </row>
    <row r="340" spans="1:12">
      <c r="A340" s="6" t="s">
        <v>219</v>
      </c>
      <c r="B340" s="42">
        <f>COUNTIF('Full Data'!20:20,"Do Not Know")</f>
        <v>1</v>
      </c>
    </row>
    <row r="341" spans="1:12">
      <c r="A341" s="6"/>
      <c r="B341" s="42"/>
    </row>
    <row r="343" spans="1:12" ht="15">
      <c r="A343" s="58" t="s">
        <v>197</v>
      </c>
    </row>
    <row r="345" spans="1:12" s="25" customFormat="1">
      <c r="A345" s="12" t="s">
        <v>89</v>
      </c>
      <c r="B345" s="43"/>
      <c r="C345" s="43"/>
      <c r="D345" s="43"/>
      <c r="E345" s="43"/>
      <c r="L345"/>
    </row>
    <row r="346" spans="1:12" s="25" customFormat="1">
      <c r="B346" s="43"/>
      <c r="C346" s="43"/>
      <c r="D346" s="43"/>
      <c r="E346" s="43"/>
    </row>
    <row r="347" spans="1:12" s="25" customFormat="1">
      <c r="A347" s="12" t="s">
        <v>259</v>
      </c>
      <c r="B347" s="43"/>
      <c r="C347" s="43"/>
      <c r="D347" s="43"/>
      <c r="E347" s="43"/>
    </row>
    <row r="348" spans="1:12" s="25" customFormat="1">
      <c r="A348" s="12" t="s">
        <v>260</v>
      </c>
      <c r="B348" s="43"/>
      <c r="C348" s="43"/>
      <c r="D348" s="43"/>
      <c r="E348" s="43"/>
    </row>
    <row r="349" spans="1:12" s="25" customFormat="1">
      <c r="A349" s="12" t="s">
        <v>261</v>
      </c>
      <c r="B349" s="43"/>
      <c r="C349" s="43"/>
      <c r="D349" s="43"/>
      <c r="E349" s="43"/>
    </row>
    <row r="350" spans="1:12" s="25" customFormat="1">
      <c r="A350" s="12" t="s">
        <v>262</v>
      </c>
      <c r="B350" s="43"/>
      <c r="C350" s="43"/>
      <c r="D350" s="43"/>
      <c r="E350" s="43"/>
    </row>
    <row r="351" spans="1:12" s="25" customFormat="1">
      <c r="B351" s="43"/>
      <c r="C351" s="43"/>
      <c r="D351" s="43"/>
      <c r="E351" s="43"/>
    </row>
    <row r="352" spans="1:12" s="25" customFormat="1">
      <c r="A352" s="12" t="s">
        <v>263</v>
      </c>
      <c r="B352" s="43"/>
      <c r="C352" s="43"/>
      <c r="D352" s="43"/>
      <c r="E352" s="43"/>
    </row>
    <row r="353" spans="1:5" s="25" customFormat="1">
      <c r="A353" s="12" t="s">
        <v>264</v>
      </c>
      <c r="B353" s="43"/>
      <c r="C353" s="43"/>
      <c r="D353" s="43"/>
      <c r="E353" s="43"/>
    </row>
    <row r="354" spans="1:5" s="25" customFormat="1">
      <c r="A354" s="52" t="s">
        <v>265</v>
      </c>
      <c r="B354" s="43"/>
      <c r="C354" s="43"/>
      <c r="D354" s="43"/>
      <c r="E354" s="43"/>
    </row>
    <row r="355" spans="1:5" s="25" customFormat="1">
      <c r="A355" s="12"/>
      <c r="B355" s="43"/>
      <c r="C355" s="43"/>
      <c r="D355" s="43"/>
      <c r="E355" s="43"/>
    </row>
    <row r="356" spans="1:5" s="25" customFormat="1">
      <c r="A356" s="12" t="s">
        <v>266</v>
      </c>
      <c r="B356" s="43"/>
      <c r="C356" s="43"/>
      <c r="D356" s="43"/>
      <c r="E356" s="43"/>
    </row>
    <row r="357" spans="1:5" s="25" customFormat="1">
      <c r="A357" s="12" t="s">
        <v>267</v>
      </c>
      <c r="B357" s="43"/>
      <c r="C357" s="43"/>
      <c r="D357" s="43"/>
      <c r="E357" s="43"/>
    </row>
    <row r="358" spans="1:5" s="25" customFormat="1">
      <c r="B358" s="43"/>
      <c r="C358" s="43"/>
      <c r="D358" s="43"/>
      <c r="E358" s="43"/>
    </row>
    <row r="359" spans="1:5" s="25" customFormat="1">
      <c r="A359" s="12" t="s">
        <v>268</v>
      </c>
      <c r="B359" s="43"/>
      <c r="C359" s="43"/>
      <c r="D359" s="43"/>
      <c r="E359" s="43"/>
    </row>
    <row r="360" spans="1:5" s="25" customFormat="1">
      <c r="A360" s="12" t="s">
        <v>269</v>
      </c>
      <c r="B360" s="43"/>
      <c r="C360" s="43"/>
      <c r="D360" s="43"/>
      <c r="E360" s="43"/>
    </row>
    <row r="361" spans="1:5" s="25" customFormat="1">
      <c r="A361" s="12" t="s">
        <v>270</v>
      </c>
      <c r="B361" s="43"/>
      <c r="C361" s="43"/>
      <c r="D361" s="43"/>
      <c r="E361" s="43"/>
    </row>
    <row r="362" spans="1:5" s="25" customFormat="1">
      <c r="A362" s="123"/>
      <c r="B362" s="43"/>
      <c r="C362" s="43"/>
      <c r="D362" s="43"/>
      <c r="E362" s="43"/>
    </row>
    <row r="363" spans="1:5" s="25" customFormat="1">
      <c r="A363" s="12" t="s">
        <v>271</v>
      </c>
      <c r="B363" s="43"/>
      <c r="C363" s="43"/>
      <c r="D363" s="43"/>
      <c r="E363" s="43"/>
    </row>
    <row r="364" spans="1:5" s="25" customFormat="1">
      <c r="A364" s="12" t="s">
        <v>272</v>
      </c>
      <c r="B364" s="43"/>
      <c r="C364" s="43"/>
      <c r="D364" s="43"/>
      <c r="E364" s="43"/>
    </row>
    <row r="365" spans="1:5" s="25" customFormat="1">
      <c r="A365" s="123"/>
      <c r="B365" s="43"/>
      <c r="C365" s="43"/>
      <c r="D365" s="43"/>
      <c r="E365" s="43"/>
    </row>
    <row r="366" spans="1:5" s="25" customFormat="1">
      <c r="A366" s="12" t="s">
        <v>273</v>
      </c>
      <c r="B366" s="43"/>
      <c r="C366" s="43"/>
      <c r="D366" s="43"/>
      <c r="E366" s="43"/>
    </row>
    <row r="367" spans="1:5" s="25" customFormat="1">
      <c r="A367" s="12" t="s">
        <v>274</v>
      </c>
      <c r="B367" s="43"/>
      <c r="C367" s="43"/>
      <c r="D367" s="43"/>
      <c r="E367" s="43"/>
    </row>
    <row r="368" spans="1:5" s="25" customFormat="1">
      <c r="A368" s="12" t="s">
        <v>275</v>
      </c>
      <c r="B368" s="43"/>
      <c r="C368" s="43"/>
      <c r="D368" s="43"/>
      <c r="E368" s="43"/>
    </row>
    <row r="369" spans="1:5" s="25" customFormat="1">
      <c r="A369" s="123"/>
      <c r="B369" s="43"/>
      <c r="C369" s="43"/>
      <c r="D369" s="43"/>
      <c r="E369" s="43"/>
    </row>
    <row r="370" spans="1:5" s="25" customFormat="1">
      <c r="A370" s="12" t="s">
        <v>290</v>
      </c>
      <c r="B370" s="43"/>
      <c r="C370" s="43"/>
      <c r="D370" s="43"/>
      <c r="E370" s="43"/>
    </row>
    <row r="371" spans="1:5" s="25" customFormat="1">
      <c r="A371" s="12" t="s">
        <v>291</v>
      </c>
      <c r="B371" s="43"/>
      <c r="C371" s="43"/>
      <c r="D371" s="43"/>
      <c r="E371" s="43"/>
    </row>
    <row r="372" spans="1:5" s="25" customFormat="1">
      <c r="A372" s="12" t="s">
        <v>292</v>
      </c>
      <c r="B372" s="43"/>
      <c r="C372" s="43"/>
      <c r="D372" s="43"/>
      <c r="E372" s="43"/>
    </row>
    <row r="373" spans="1:5" s="25" customFormat="1">
      <c r="A373" s="123"/>
      <c r="B373" s="43"/>
      <c r="C373" s="43"/>
      <c r="D373" s="43"/>
      <c r="E373" s="43"/>
    </row>
    <row r="374" spans="1:5" s="25" customFormat="1">
      <c r="A374" s="12" t="s">
        <v>139</v>
      </c>
      <c r="B374" s="43"/>
      <c r="C374" s="43"/>
      <c r="D374" s="43"/>
      <c r="E374" s="43"/>
    </row>
    <row r="375" spans="1:5" s="25" customFormat="1">
      <c r="A375" s="123"/>
      <c r="B375" s="43"/>
      <c r="C375" s="43"/>
      <c r="D375" s="43"/>
      <c r="E375" s="43"/>
    </row>
    <row r="376" spans="1:5" s="25" customFormat="1">
      <c r="A376" s="12" t="s">
        <v>286</v>
      </c>
      <c r="B376" s="43"/>
      <c r="C376" s="43"/>
      <c r="D376" s="43"/>
      <c r="E376" s="43"/>
    </row>
    <row r="377" spans="1:5" s="25" customFormat="1">
      <c r="A377" s="12" t="s">
        <v>287</v>
      </c>
      <c r="B377" s="43"/>
      <c r="C377" s="43"/>
      <c r="D377" s="43"/>
      <c r="E377" s="43"/>
    </row>
    <row r="378" spans="1:5" s="25" customFormat="1">
      <c r="A378" s="12" t="s">
        <v>288</v>
      </c>
      <c r="B378" s="43"/>
      <c r="C378" s="43"/>
      <c r="D378" s="43"/>
      <c r="E378" s="43"/>
    </row>
    <row r="379" spans="1:5" s="25" customFormat="1">
      <c r="A379" s="12" t="s">
        <v>289</v>
      </c>
      <c r="B379" s="43"/>
      <c r="C379" s="43"/>
      <c r="D379" s="43"/>
      <c r="E379" s="43"/>
    </row>
    <row r="380" spans="1:5" s="25" customFormat="1">
      <c r="A380" s="123"/>
      <c r="B380" s="43"/>
      <c r="C380" s="43"/>
      <c r="D380" s="43"/>
      <c r="E380" s="43"/>
    </row>
    <row r="381" spans="1:5" s="25" customFormat="1">
      <c r="A381" s="12" t="s">
        <v>282</v>
      </c>
      <c r="B381" s="43"/>
      <c r="C381" s="43"/>
      <c r="D381" s="43"/>
      <c r="E381" s="43"/>
    </row>
    <row r="382" spans="1:5" s="25" customFormat="1">
      <c r="A382" s="12" t="s">
        <v>283</v>
      </c>
      <c r="B382" s="43"/>
      <c r="C382" s="43"/>
      <c r="D382" s="43"/>
      <c r="E382" s="43"/>
    </row>
    <row r="383" spans="1:5" s="25" customFormat="1">
      <c r="A383" s="12" t="s">
        <v>284</v>
      </c>
      <c r="B383" s="43"/>
      <c r="C383" s="43"/>
      <c r="D383" s="43"/>
      <c r="E383" s="43"/>
    </row>
    <row r="384" spans="1:5" s="25" customFormat="1">
      <c r="A384" s="12" t="s">
        <v>285</v>
      </c>
      <c r="B384" s="43"/>
      <c r="C384" s="43"/>
      <c r="D384" s="43"/>
      <c r="E384" s="43"/>
    </row>
    <row r="385" spans="1:5" s="25" customFormat="1">
      <c r="A385" s="123"/>
      <c r="B385" s="43"/>
      <c r="C385" s="43"/>
      <c r="D385" s="43"/>
      <c r="E385" s="43"/>
    </row>
    <row r="386" spans="1:5" s="25" customFormat="1">
      <c r="A386" s="12" t="s">
        <v>280</v>
      </c>
      <c r="B386" s="43"/>
      <c r="C386" s="43"/>
      <c r="D386" s="43"/>
      <c r="E386" s="43"/>
    </row>
    <row r="387" spans="1:5" s="25" customFormat="1">
      <c r="A387" s="12" t="s">
        <v>281</v>
      </c>
      <c r="B387" s="43"/>
      <c r="C387" s="43"/>
      <c r="D387" s="43"/>
      <c r="E387" s="43"/>
    </row>
    <row r="388" spans="1:5" s="25" customFormat="1">
      <c r="A388" s="123"/>
      <c r="B388" s="43"/>
      <c r="C388" s="43"/>
      <c r="D388" s="43"/>
      <c r="E388" s="43"/>
    </row>
    <row r="389" spans="1:5" s="25" customFormat="1">
      <c r="A389" s="12" t="s">
        <v>77</v>
      </c>
      <c r="B389" s="43"/>
      <c r="C389" s="43"/>
      <c r="D389" s="43"/>
      <c r="E389" s="43"/>
    </row>
    <row r="390" spans="1:5" s="25" customFormat="1">
      <c r="A390" s="123"/>
      <c r="B390" s="43"/>
      <c r="C390" s="43"/>
      <c r="D390" s="43"/>
      <c r="E390" s="43"/>
    </row>
    <row r="391" spans="1:5" s="25" customFormat="1">
      <c r="A391" s="12" t="s">
        <v>114</v>
      </c>
      <c r="B391" s="43"/>
      <c r="C391" s="43"/>
      <c r="D391" s="43"/>
      <c r="E391" s="43"/>
    </row>
    <row r="392" spans="1:5" s="25" customFormat="1">
      <c r="A392" s="123"/>
      <c r="B392" s="43"/>
      <c r="C392" s="43"/>
      <c r="D392" s="43"/>
      <c r="E392" s="43"/>
    </row>
    <row r="393" spans="1:5" s="25" customFormat="1">
      <c r="A393" s="12" t="s">
        <v>276</v>
      </c>
      <c r="B393" s="43"/>
      <c r="C393" s="43"/>
      <c r="D393" s="43"/>
      <c r="E393" s="43"/>
    </row>
    <row r="394" spans="1:5" s="25" customFormat="1">
      <c r="A394" s="13" t="s">
        <v>277</v>
      </c>
      <c r="B394" s="43"/>
      <c r="C394" s="43"/>
      <c r="D394" s="43"/>
      <c r="E394" s="43"/>
    </row>
    <row r="395" spans="1:5" s="25" customFormat="1">
      <c r="B395" s="43"/>
      <c r="C395" s="43"/>
      <c r="D395" s="43"/>
      <c r="E395" s="43"/>
    </row>
    <row r="396" spans="1:5" s="25" customFormat="1">
      <c r="A396" s="12" t="s">
        <v>278</v>
      </c>
      <c r="B396" s="43"/>
      <c r="C396" s="43"/>
      <c r="D396" s="43"/>
      <c r="E396" s="43"/>
    </row>
    <row r="397" spans="1:5" s="25" customFormat="1">
      <c r="A397" s="12" t="s">
        <v>279</v>
      </c>
      <c r="B397" s="43"/>
      <c r="C397" s="43"/>
      <c r="D397" s="43"/>
      <c r="E397" s="43"/>
    </row>
    <row r="398" spans="1:5" s="25" customFormat="1">
      <c r="B398" s="43"/>
      <c r="C398" s="43"/>
      <c r="D398" s="43"/>
      <c r="E398" s="43"/>
    </row>
    <row r="399" spans="1:5" s="25" customFormat="1">
      <c r="A399" s="12" t="s">
        <v>98</v>
      </c>
      <c r="B399" s="43"/>
      <c r="C399" s="43"/>
      <c r="D399" s="43"/>
      <c r="E399" s="43"/>
    </row>
    <row r="400" spans="1:5" s="25" customFormat="1">
      <c r="A400" s="12"/>
      <c r="B400" s="43"/>
      <c r="C400" s="43"/>
      <c r="D400" s="43"/>
      <c r="E400" s="43"/>
    </row>
    <row r="401" spans="1:12" s="25" customFormat="1">
      <c r="A401" s="12"/>
      <c r="B401" s="43"/>
      <c r="C401" s="43"/>
      <c r="D401" s="43"/>
      <c r="E401" s="43"/>
    </row>
    <row r="402" spans="1:12" s="25" customFormat="1">
      <c r="A402" s="12"/>
      <c r="B402" s="43"/>
      <c r="C402" s="43"/>
      <c r="D402" s="43"/>
      <c r="E402" s="43"/>
    </row>
    <row r="403" spans="1:12">
      <c r="L403" s="25"/>
    </row>
    <row r="404" spans="1:12">
      <c r="A404" s="6"/>
      <c r="B404" s="6"/>
      <c r="C404" s="6"/>
      <c r="D404" s="6"/>
      <c r="E404" s="6"/>
      <c r="F404" s="6"/>
      <c r="G404" s="6"/>
    </row>
    <row r="405" spans="1:12">
      <c r="B405"/>
      <c r="C405"/>
      <c r="D405" s="6"/>
      <c r="E405"/>
    </row>
    <row r="406" spans="1:12">
      <c r="B406"/>
      <c r="C406"/>
      <c r="D406" s="6"/>
      <c r="E406"/>
    </row>
    <row r="407" spans="1:12">
      <c r="B407"/>
      <c r="C407"/>
      <c r="D407" s="6"/>
      <c r="E407"/>
    </row>
    <row r="408" spans="1:12">
      <c r="B408"/>
      <c r="C408"/>
      <c r="D408"/>
      <c r="E408"/>
    </row>
    <row r="409" spans="1:12">
      <c r="A409" s="6"/>
      <c r="B409" s="6"/>
      <c r="C409" s="6"/>
      <c r="D409" s="6"/>
      <c r="E409" s="6"/>
      <c r="F409" s="6"/>
      <c r="G409" s="6"/>
    </row>
    <row r="410" spans="1:12">
      <c r="B410"/>
      <c r="C410"/>
      <c r="D410"/>
      <c r="E410"/>
    </row>
    <row r="411" spans="1:12">
      <c r="B411"/>
      <c r="C411"/>
      <c r="D411"/>
      <c r="E411"/>
    </row>
    <row r="412" spans="1:12">
      <c r="B412"/>
      <c r="C412"/>
      <c r="D412"/>
      <c r="E412"/>
    </row>
    <row r="413" spans="1:12">
      <c r="B413"/>
      <c r="C413"/>
      <c r="D413"/>
      <c r="E413"/>
    </row>
    <row r="414" spans="1:12">
      <c r="A414" s="6"/>
      <c r="B414"/>
      <c r="C414"/>
      <c r="D414" s="6"/>
      <c r="E414"/>
    </row>
    <row r="415" spans="1:12">
      <c r="A415" s="8"/>
      <c r="B415" s="8"/>
      <c r="C415" s="8"/>
      <c r="D415" s="6"/>
      <c r="E415" s="8"/>
      <c r="F415" s="8"/>
      <c r="G415" s="8"/>
    </row>
    <row r="416" spans="1:12">
      <c r="B416"/>
      <c r="C416"/>
      <c r="D416" s="6"/>
      <c r="E416"/>
    </row>
    <row r="417" spans="1:7">
      <c r="A417" s="6"/>
      <c r="B417" s="6"/>
      <c r="C417" s="6"/>
      <c r="D417" s="6"/>
      <c r="E417" s="6"/>
      <c r="F417" s="6"/>
      <c r="G417" s="6"/>
    </row>
    <row r="418" spans="1:7">
      <c r="B418"/>
      <c r="C418"/>
      <c r="D418" s="6"/>
      <c r="E418"/>
    </row>
    <row r="419" spans="1:7">
      <c r="B419"/>
      <c r="C419"/>
      <c r="D419"/>
      <c r="E419"/>
    </row>
    <row r="420" spans="1:7">
      <c r="A420" s="6"/>
      <c r="B420" s="6"/>
      <c r="C420"/>
      <c r="D420" s="6"/>
      <c r="E420"/>
    </row>
    <row r="421" spans="1:7">
      <c r="B421"/>
      <c r="C421"/>
      <c r="D421" s="6"/>
      <c r="E421"/>
    </row>
    <row r="422" spans="1:7">
      <c r="A422" s="6"/>
      <c r="B422" s="6"/>
      <c r="C422" s="6"/>
      <c r="D422" s="6"/>
      <c r="E422" s="6"/>
      <c r="F422" s="6"/>
      <c r="G422" s="6"/>
    </row>
    <row r="423" spans="1:7">
      <c r="B423"/>
      <c r="C423"/>
      <c r="D423" s="6"/>
      <c r="E423"/>
    </row>
    <row r="424" spans="1:7">
      <c r="B424"/>
      <c r="C424"/>
      <c r="D424" s="6"/>
      <c r="E424"/>
    </row>
    <row r="425" spans="1:7">
      <c r="B425"/>
      <c r="C425"/>
      <c r="D425" s="6"/>
      <c r="E425"/>
    </row>
    <row r="426" spans="1:7">
      <c r="B426"/>
      <c r="C426"/>
      <c r="D426" s="6"/>
      <c r="E426"/>
    </row>
    <row r="427" spans="1:7">
      <c r="B427"/>
      <c r="C427"/>
      <c r="D427" s="6"/>
      <c r="E427"/>
    </row>
  </sheetData>
  <mergeCells count="1">
    <mergeCell ref="C23:E23"/>
  </mergeCells>
  <hyperlinks>
    <hyperlink ref="D17" r:id="rId1" display="*"/>
  </hyperlinks>
  <pageMargins left="0.7" right="0.7" top="0.75" bottom="0.75" header="0.3" footer="0.3"/>
  <pageSetup paperSize="5" orientation="landscape"/>
  <headerFooter>
    <oddHeader>&amp;C&amp;"Copperplate Gothic Bold,Bold Italic"&amp;28DRAFT</oddHeader>
    <oddFooter>&amp;C&amp;"Copperplate Gothic Bold,Bold Italic"&amp;28DRAFT</oddFooter>
  </headerFooter>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3"/>
  <sheetViews>
    <sheetView topLeftCell="A11" workbookViewId="0">
      <selection activeCell="A14" sqref="A14"/>
    </sheetView>
  </sheetViews>
  <sheetFormatPr baseColWidth="10" defaultColWidth="8.83203125" defaultRowHeight="12" x14ac:dyDescent="0"/>
  <cols>
    <col min="1" max="1" width="25.83203125" customWidth="1"/>
    <col min="2" max="2" width="11.1640625" customWidth="1"/>
    <col min="3" max="3" width="13" customWidth="1"/>
    <col min="4" max="4" width="13.5" customWidth="1"/>
    <col min="5" max="5" width="20.5" customWidth="1"/>
    <col min="6" max="6" width="19.1640625" customWidth="1"/>
    <col min="7" max="7" width="17.5" customWidth="1"/>
    <col min="8" max="8" width="13.5" customWidth="1"/>
    <col min="9" max="9" width="13.33203125" customWidth="1"/>
    <col min="10" max="10" width="17.5" customWidth="1"/>
    <col min="11" max="11" width="11.33203125" customWidth="1"/>
    <col min="13" max="13" width="15.83203125" customWidth="1"/>
    <col min="14" max="14" width="9.1640625" customWidth="1"/>
    <col min="15" max="15" width="11.83203125" customWidth="1"/>
    <col min="16" max="18" width="9.1640625" customWidth="1"/>
    <col min="19" max="19" width="14" customWidth="1"/>
    <col min="20" max="20" width="14.33203125" customWidth="1"/>
    <col min="21" max="21" width="11.33203125" customWidth="1"/>
    <col min="23" max="23" width="16.5" customWidth="1"/>
    <col min="24" max="24" width="18.6640625" customWidth="1"/>
    <col min="25" max="25" width="15.33203125" customWidth="1"/>
    <col min="26" max="26" width="13.6640625" customWidth="1"/>
    <col min="27" max="27" width="11.83203125" customWidth="1"/>
    <col min="28" max="28" width="11.5" customWidth="1"/>
    <col min="29" max="29" width="15.1640625" customWidth="1"/>
  </cols>
  <sheetData>
    <row r="1" spans="1:30">
      <c r="A1" s="9" t="s">
        <v>198</v>
      </c>
    </row>
    <row r="2" spans="1:30" ht="39" customHeight="1">
      <c r="A2" s="2" t="s">
        <v>91</v>
      </c>
      <c r="B2" s="3" t="s">
        <v>93</v>
      </c>
      <c r="C2" s="3" t="s">
        <v>93</v>
      </c>
      <c r="D2" s="3" t="s">
        <v>93</v>
      </c>
      <c r="E2" s="3" t="s">
        <v>93</v>
      </c>
      <c r="F2" s="3" t="s">
        <v>93</v>
      </c>
      <c r="G2" s="3" t="s">
        <v>93</v>
      </c>
      <c r="H2" s="3" t="s">
        <v>93</v>
      </c>
      <c r="I2" s="3" t="s">
        <v>0</v>
      </c>
      <c r="J2" s="3" t="s">
        <v>93</v>
      </c>
      <c r="K2" s="3" t="s">
        <v>0</v>
      </c>
      <c r="L2" s="3" t="s">
        <v>64</v>
      </c>
      <c r="M2" s="3" t="s">
        <v>93</v>
      </c>
      <c r="N2" s="3" t="s">
        <v>93</v>
      </c>
      <c r="O2" s="3" t="s">
        <v>93</v>
      </c>
      <c r="P2" s="3" t="s">
        <v>93</v>
      </c>
      <c r="Q2" s="3" t="s">
        <v>93</v>
      </c>
      <c r="R2" s="3" t="s">
        <v>93</v>
      </c>
      <c r="S2" s="3" t="s">
        <v>93</v>
      </c>
      <c r="T2" s="3" t="s">
        <v>93</v>
      </c>
      <c r="U2" s="3" t="s">
        <v>93</v>
      </c>
      <c r="V2" s="3" t="s">
        <v>64</v>
      </c>
      <c r="W2" s="3" t="s">
        <v>93</v>
      </c>
      <c r="X2" s="3" t="s">
        <v>93</v>
      </c>
      <c r="Y2" s="3" t="s">
        <v>64</v>
      </c>
      <c r="Z2" s="3" t="s">
        <v>93</v>
      </c>
      <c r="AA2" s="3" t="s">
        <v>93</v>
      </c>
      <c r="AB2" s="3" t="s">
        <v>93</v>
      </c>
      <c r="AC2" s="3" t="s">
        <v>93</v>
      </c>
      <c r="AD2" s="3" t="s">
        <v>64</v>
      </c>
    </row>
    <row r="3" spans="1:30" ht="44.25" customHeight="1">
      <c r="A3" s="2" t="s">
        <v>143</v>
      </c>
      <c r="B3" s="4" t="s">
        <v>52</v>
      </c>
      <c r="C3" s="4" t="s">
        <v>124</v>
      </c>
      <c r="D3" s="4" t="s">
        <v>119</v>
      </c>
      <c r="E3" s="4" t="s">
        <v>55</v>
      </c>
      <c r="F3" s="4" t="s">
        <v>119</v>
      </c>
      <c r="G3" s="4" t="s">
        <v>124</v>
      </c>
      <c r="H3" s="4" t="s">
        <v>124</v>
      </c>
      <c r="I3" s="4"/>
      <c r="J3" s="4" t="s">
        <v>96</v>
      </c>
      <c r="K3" s="4"/>
      <c r="L3" s="4"/>
      <c r="M3" s="4" t="s">
        <v>119</v>
      </c>
      <c r="N3" s="4" t="s">
        <v>119</v>
      </c>
      <c r="O3" s="4" t="s">
        <v>52</v>
      </c>
      <c r="P3" s="4" t="s">
        <v>55</v>
      </c>
      <c r="Q3" s="4" t="s">
        <v>119</v>
      </c>
      <c r="R3" s="4" t="s">
        <v>55</v>
      </c>
      <c r="S3" s="4" t="s">
        <v>124</v>
      </c>
      <c r="T3" s="4" t="s">
        <v>55</v>
      </c>
      <c r="U3" s="4" t="s">
        <v>119</v>
      </c>
      <c r="V3" s="4"/>
      <c r="W3" s="4" t="s">
        <v>119</v>
      </c>
      <c r="X3" s="4" t="s">
        <v>119</v>
      </c>
      <c r="Y3" s="4" t="s">
        <v>124</v>
      </c>
      <c r="Z3" s="4" t="s">
        <v>119</v>
      </c>
      <c r="AA3" s="4" t="s">
        <v>119</v>
      </c>
      <c r="AB3" s="4" t="s">
        <v>119</v>
      </c>
      <c r="AC3" s="4" t="s">
        <v>124</v>
      </c>
      <c r="AD3" s="4"/>
    </row>
    <row r="4" spans="1:30" ht="46.5" customHeight="1">
      <c r="A4" s="2" t="s">
        <v>144</v>
      </c>
      <c r="B4" s="4"/>
      <c r="C4" s="4"/>
      <c r="D4" s="4"/>
      <c r="E4" s="4"/>
      <c r="F4" s="4"/>
      <c r="G4" s="4"/>
      <c r="H4" s="4"/>
      <c r="I4" s="4"/>
      <c r="J4" s="4"/>
      <c r="K4" s="4"/>
      <c r="L4" s="4" t="s">
        <v>56</v>
      </c>
      <c r="M4" s="4"/>
      <c r="N4" s="4"/>
      <c r="O4" s="4"/>
      <c r="P4" s="4"/>
      <c r="Q4" s="4"/>
      <c r="R4" s="4"/>
      <c r="S4" s="4"/>
      <c r="T4" s="4"/>
      <c r="U4" s="4"/>
      <c r="V4" s="4" t="s">
        <v>102</v>
      </c>
      <c r="W4" s="4"/>
      <c r="X4" s="4"/>
      <c r="Y4" s="4"/>
      <c r="Z4" s="4"/>
      <c r="AA4" s="4"/>
      <c r="AB4" s="4"/>
      <c r="AC4" s="4"/>
      <c r="AD4" s="4" t="s">
        <v>68</v>
      </c>
    </row>
    <row r="5" spans="1:30" ht="38.25" customHeight="1">
      <c r="A5" s="2" t="s">
        <v>145</v>
      </c>
      <c r="B5" s="4"/>
      <c r="C5" s="4"/>
      <c r="D5" s="4"/>
      <c r="E5" s="4"/>
      <c r="F5" s="4"/>
      <c r="G5" s="4"/>
      <c r="H5" s="4"/>
      <c r="I5" s="4" t="s">
        <v>51</v>
      </c>
      <c r="J5" s="4"/>
      <c r="K5" s="4" t="s">
        <v>51</v>
      </c>
      <c r="L5" s="4"/>
      <c r="M5" s="4"/>
      <c r="N5" s="4"/>
      <c r="O5" s="4"/>
      <c r="P5" s="4"/>
      <c r="Q5" s="4"/>
      <c r="R5" s="4"/>
      <c r="S5" s="4"/>
      <c r="T5" s="4"/>
      <c r="U5" s="4"/>
      <c r="V5" s="4"/>
      <c r="W5" s="4"/>
      <c r="X5" s="4"/>
      <c r="Y5" s="4"/>
      <c r="Z5" s="4"/>
      <c r="AA5" s="4"/>
      <c r="AB5" s="4"/>
      <c r="AC5" s="4"/>
      <c r="AD5" s="4"/>
    </row>
    <row r="6" spans="1:30" ht="43.5" customHeight="1">
      <c r="A6" s="2" t="s">
        <v>103</v>
      </c>
      <c r="B6" s="4" t="s">
        <v>129</v>
      </c>
      <c r="C6" s="4" t="s">
        <v>107</v>
      </c>
      <c r="D6" s="4" t="s">
        <v>129</v>
      </c>
      <c r="E6" s="4" t="s">
        <v>107</v>
      </c>
      <c r="F6" s="4" t="s">
        <v>129</v>
      </c>
      <c r="G6" s="4" t="s">
        <v>107</v>
      </c>
      <c r="H6" s="4" t="s">
        <v>107</v>
      </c>
      <c r="I6" s="4" t="s">
        <v>36</v>
      </c>
      <c r="J6" s="4" t="s">
        <v>107</v>
      </c>
      <c r="K6" s="4" t="s">
        <v>129</v>
      </c>
      <c r="L6" s="4" t="s">
        <v>129</v>
      </c>
      <c r="M6" s="4" t="s">
        <v>129</v>
      </c>
      <c r="N6" s="4" t="s">
        <v>129</v>
      </c>
      <c r="O6" s="4" t="s">
        <v>129</v>
      </c>
      <c r="P6" s="4" t="s">
        <v>107</v>
      </c>
      <c r="Q6" s="4" t="s">
        <v>129</v>
      </c>
      <c r="R6" s="4" t="s">
        <v>107</v>
      </c>
      <c r="S6" s="4" t="s">
        <v>129</v>
      </c>
      <c r="T6" s="4" t="s">
        <v>107</v>
      </c>
      <c r="U6" s="4" t="s">
        <v>107</v>
      </c>
      <c r="V6" s="4" t="s">
        <v>129</v>
      </c>
      <c r="W6" s="4" t="s">
        <v>129</v>
      </c>
      <c r="X6" s="4" t="s">
        <v>129</v>
      </c>
      <c r="Y6" s="4" t="s">
        <v>36</v>
      </c>
      <c r="Z6" s="4" t="s">
        <v>129</v>
      </c>
      <c r="AA6" s="4" t="s">
        <v>107</v>
      </c>
      <c r="AB6" s="4" t="s">
        <v>36</v>
      </c>
      <c r="AC6" s="4" t="s">
        <v>129</v>
      </c>
      <c r="AD6" s="4" t="s">
        <v>129</v>
      </c>
    </row>
    <row r="7" spans="1:30" ht="81.75" customHeight="1">
      <c r="A7" s="2" t="s">
        <v>39</v>
      </c>
      <c r="B7" s="4" t="s">
        <v>128</v>
      </c>
      <c r="C7" s="4" t="s">
        <v>128</v>
      </c>
      <c r="D7" s="4" t="s">
        <v>128</v>
      </c>
      <c r="E7" s="4" t="s">
        <v>128</v>
      </c>
      <c r="F7" s="4" t="s">
        <v>128</v>
      </c>
      <c r="G7" s="4" t="s">
        <v>128</v>
      </c>
      <c r="H7" s="4" t="s">
        <v>128</v>
      </c>
      <c r="I7" s="4"/>
      <c r="J7" s="4" t="s">
        <v>128</v>
      </c>
      <c r="K7" s="4" t="s">
        <v>128</v>
      </c>
      <c r="L7" s="4" t="s">
        <v>106</v>
      </c>
      <c r="M7" s="4" t="s">
        <v>128</v>
      </c>
      <c r="N7" s="4" t="s">
        <v>128</v>
      </c>
      <c r="O7" s="4" t="s">
        <v>128</v>
      </c>
      <c r="P7" s="4" t="s">
        <v>128</v>
      </c>
      <c r="Q7" s="4" t="s">
        <v>128</v>
      </c>
      <c r="R7" s="4" t="s">
        <v>128</v>
      </c>
      <c r="S7" s="4" t="s">
        <v>128</v>
      </c>
      <c r="T7" s="4" t="s">
        <v>128</v>
      </c>
      <c r="U7" s="4" t="s">
        <v>128</v>
      </c>
      <c r="V7" s="4" t="s">
        <v>128</v>
      </c>
      <c r="W7" s="4" t="s">
        <v>128</v>
      </c>
      <c r="X7" s="4" t="s">
        <v>128</v>
      </c>
      <c r="Y7" s="4" t="s">
        <v>106</v>
      </c>
      <c r="Z7" s="4" t="s">
        <v>106</v>
      </c>
      <c r="AA7" s="4" t="s">
        <v>128</v>
      </c>
      <c r="AB7" s="4" t="s">
        <v>128</v>
      </c>
      <c r="AC7" s="4" t="s">
        <v>106</v>
      </c>
      <c r="AD7" s="4" t="s">
        <v>128</v>
      </c>
    </row>
    <row r="8" spans="1:30" ht="87.75" customHeight="1">
      <c r="A8" s="2" t="s">
        <v>90</v>
      </c>
      <c r="B8" s="4" t="s">
        <v>128</v>
      </c>
      <c r="C8" s="4" t="s">
        <v>106</v>
      </c>
      <c r="D8" s="4" t="s">
        <v>106</v>
      </c>
      <c r="E8" s="4" t="s">
        <v>106</v>
      </c>
      <c r="F8" s="4" t="s">
        <v>128</v>
      </c>
      <c r="G8" s="4" t="s">
        <v>128</v>
      </c>
      <c r="H8" s="4" t="s">
        <v>106</v>
      </c>
      <c r="I8" s="4" t="s">
        <v>106</v>
      </c>
      <c r="J8" s="4" t="s">
        <v>128</v>
      </c>
      <c r="K8" s="4" t="s">
        <v>106</v>
      </c>
      <c r="L8" s="4" t="s">
        <v>106</v>
      </c>
      <c r="M8" s="4" t="s">
        <v>106</v>
      </c>
      <c r="N8" s="4" t="s">
        <v>128</v>
      </c>
      <c r="O8" s="4" t="s">
        <v>106</v>
      </c>
      <c r="P8" s="4" t="s">
        <v>128</v>
      </c>
      <c r="Q8" s="4" t="s">
        <v>128</v>
      </c>
      <c r="R8" s="4" t="s">
        <v>128</v>
      </c>
      <c r="S8" s="4" t="s">
        <v>106</v>
      </c>
      <c r="T8" s="4" t="s">
        <v>106</v>
      </c>
      <c r="U8" s="4" t="s">
        <v>106</v>
      </c>
      <c r="V8" s="4" t="s">
        <v>128</v>
      </c>
      <c r="W8" s="4" t="s">
        <v>106</v>
      </c>
      <c r="X8" s="4" t="s">
        <v>106</v>
      </c>
      <c r="Y8" s="4" t="s">
        <v>106</v>
      </c>
      <c r="Z8" s="4" t="s">
        <v>106</v>
      </c>
      <c r="AA8" s="4" t="s">
        <v>128</v>
      </c>
      <c r="AB8" s="4" t="s">
        <v>106</v>
      </c>
      <c r="AC8" s="4" t="s">
        <v>128</v>
      </c>
      <c r="AD8" s="4" t="s">
        <v>128</v>
      </c>
    </row>
    <row r="9" spans="1:30" ht="78.75" customHeight="1">
      <c r="A9" s="2" t="s">
        <v>131</v>
      </c>
      <c r="B9" s="4" t="s">
        <v>106</v>
      </c>
      <c r="C9" s="4" t="s">
        <v>128</v>
      </c>
      <c r="D9" s="4" t="s">
        <v>128</v>
      </c>
      <c r="E9" s="4" t="s">
        <v>128</v>
      </c>
      <c r="F9" s="4" t="s">
        <v>128</v>
      </c>
      <c r="G9" s="4" t="s">
        <v>128</v>
      </c>
      <c r="H9" s="4" t="s">
        <v>128</v>
      </c>
      <c r="I9" s="4" t="s">
        <v>128</v>
      </c>
      <c r="J9" s="4" t="s">
        <v>128</v>
      </c>
      <c r="K9" s="4" t="s">
        <v>128</v>
      </c>
      <c r="L9" s="4" t="s">
        <v>128</v>
      </c>
      <c r="M9" s="4" t="s">
        <v>128</v>
      </c>
      <c r="N9" s="4" t="s">
        <v>128</v>
      </c>
      <c r="O9" s="4" t="s">
        <v>128</v>
      </c>
      <c r="P9" s="4" t="s">
        <v>128</v>
      </c>
      <c r="Q9" s="4" t="s">
        <v>128</v>
      </c>
      <c r="R9" s="4" t="s">
        <v>128</v>
      </c>
      <c r="S9" s="4" t="s">
        <v>128</v>
      </c>
      <c r="T9" s="4" t="s">
        <v>128</v>
      </c>
      <c r="U9" s="4" t="s">
        <v>128</v>
      </c>
      <c r="V9" s="4" t="s">
        <v>128</v>
      </c>
      <c r="W9" s="4" t="s">
        <v>128</v>
      </c>
      <c r="X9" s="4" t="s">
        <v>128</v>
      </c>
      <c r="Y9" s="4" t="s">
        <v>128</v>
      </c>
      <c r="Z9" s="4" t="s">
        <v>128</v>
      </c>
      <c r="AA9" s="4" t="s">
        <v>128</v>
      </c>
      <c r="AB9" s="4" t="s">
        <v>128</v>
      </c>
      <c r="AC9" s="4" t="s">
        <v>128</v>
      </c>
      <c r="AD9" s="4" t="s">
        <v>128</v>
      </c>
    </row>
    <row r="10" spans="1:30" ht="93.75" customHeight="1">
      <c r="A10" s="2" t="s">
        <v>140</v>
      </c>
      <c r="B10" s="4"/>
      <c r="C10" s="4" t="s">
        <v>112</v>
      </c>
      <c r="D10" s="4" t="s">
        <v>135</v>
      </c>
      <c r="E10" s="4" t="s">
        <v>110</v>
      </c>
      <c r="F10" s="4" t="s">
        <v>112</v>
      </c>
      <c r="G10" s="4" t="s">
        <v>20</v>
      </c>
      <c r="H10" s="4" t="s">
        <v>136</v>
      </c>
      <c r="I10" s="4" t="s">
        <v>33</v>
      </c>
      <c r="J10" s="4" t="s">
        <v>136</v>
      </c>
      <c r="K10" s="4" t="s">
        <v>118</v>
      </c>
      <c r="L10" s="4" t="s">
        <v>112</v>
      </c>
      <c r="M10" s="4" t="s">
        <v>136</v>
      </c>
      <c r="N10" s="4" t="s">
        <v>15</v>
      </c>
      <c r="O10" s="4" t="s">
        <v>29</v>
      </c>
      <c r="P10" s="4" t="s">
        <v>135</v>
      </c>
      <c r="Q10" s="4" t="s">
        <v>112</v>
      </c>
      <c r="R10" s="4" t="s">
        <v>123</v>
      </c>
      <c r="S10" s="4" t="s">
        <v>112</v>
      </c>
      <c r="T10" s="4" t="s">
        <v>112</v>
      </c>
      <c r="U10" s="4" t="s">
        <v>73</v>
      </c>
      <c r="V10" s="4" t="s">
        <v>35</v>
      </c>
      <c r="W10" s="4" t="s">
        <v>135</v>
      </c>
      <c r="X10" s="4" t="s">
        <v>135</v>
      </c>
      <c r="Y10" s="4" t="s">
        <v>30</v>
      </c>
      <c r="Z10" s="4" t="s">
        <v>112</v>
      </c>
      <c r="AA10" s="4" t="s">
        <v>135</v>
      </c>
      <c r="AB10" s="4" t="s">
        <v>112</v>
      </c>
      <c r="AC10" s="4" t="s">
        <v>97</v>
      </c>
      <c r="AD10" s="4" t="s">
        <v>73</v>
      </c>
    </row>
    <row r="11" spans="1:30" ht="103.5" customHeight="1">
      <c r="A11" s="2" t="s">
        <v>44</v>
      </c>
      <c r="B11" s="4"/>
      <c r="C11" s="4" t="s">
        <v>48</v>
      </c>
      <c r="D11" s="4" t="s">
        <v>95</v>
      </c>
      <c r="E11" s="4" t="s">
        <v>92</v>
      </c>
      <c r="F11" s="4" t="s">
        <v>95</v>
      </c>
      <c r="G11" s="4" t="s">
        <v>63</v>
      </c>
      <c r="H11" s="4" t="s">
        <v>76</v>
      </c>
      <c r="I11" s="4" t="s">
        <v>10</v>
      </c>
      <c r="J11" s="4" t="s">
        <v>95</v>
      </c>
      <c r="K11" s="4" t="s">
        <v>81</v>
      </c>
      <c r="L11" s="4" t="s">
        <v>95</v>
      </c>
      <c r="M11" s="4" t="s">
        <v>47</v>
      </c>
      <c r="N11" s="4" t="s">
        <v>95</v>
      </c>
      <c r="O11" s="4" t="s">
        <v>54</v>
      </c>
      <c r="P11" s="4" t="s">
        <v>95</v>
      </c>
      <c r="Q11" s="4" t="s">
        <v>81</v>
      </c>
      <c r="R11" s="4" t="s">
        <v>18</v>
      </c>
      <c r="S11" s="4" t="s">
        <v>95</v>
      </c>
      <c r="T11" s="4" t="s">
        <v>95</v>
      </c>
      <c r="U11" s="4" t="s">
        <v>95</v>
      </c>
      <c r="V11" s="4" t="s">
        <v>126</v>
      </c>
      <c r="W11" s="4" t="s">
        <v>7</v>
      </c>
      <c r="X11" s="4" t="s">
        <v>95</v>
      </c>
      <c r="Y11" s="4" t="s">
        <v>95</v>
      </c>
      <c r="Z11" s="4" t="s">
        <v>95</v>
      </c>
      <c r="AA11" s="4" t="s">
        <v>38</v>
      </c>
      <c r="AB11" s="4" t="s">
        <v>95</v>
      </c>
      <c r="AC11" s="4" t="s">
        <v>95</v>
      </c>
      <c r="AD11" s="4" t="s">
        <v>133</v>
      </c>
    </row>
    <row r="12" spans="1:30" ht="106.5" customHeight="1">
      <c r="A12" s="2" t="s">
        <v>62</v>
      </c>
      <c r="B12" s="4"/>
      <c r="C12" s="4" t="s">
        <v>82</v>
      </c>
      <c r="D12" s="4" t="s">
        <v>82</v>
      </c>
      <c r="E12" s="4" t="s">
        <v>82</v>
      </c>
      <c r="F12" s="4" t="s">
        <v>82</v>
      </c>
      <c r="G12" s="4" t="s">
        <v>82</v>
      </c>
      <c r="H12" s="4" t="s">
        <v>82</v>
      </c>
      <c r="I12" s="4" t="s">
        <v>82</v>
      </c>
      <c r="J12" s="4" t="s">
        <v>82</v>
      </c>
      <c r="K12" s="4" t="s">
        <v>82</v>
      </c>
      <c r="L12" s="4" t="s">
        <v>82</v>
      </c>
      <c r="M12" s="4" t="s">
        <v>82</v>
      </c>
      <c r="N12" s="4" t="s">
        <v>82</v>
      </c>
      <c r="O12" s="4" t="s">
        <v>82</v>
      </c>
      <c r="P12" s="4" t="s">
        <v>82</v>
      </c>
      <c r="Q12" s="4" t="s">
        <v>82</v>
      </c>
      <c r="R12" s="4" t="s">
        <v>82</v>
      </c>
      <c r="S12" s="4" t="s">
        <v>104</v>
      </c>
      <c r="T12" s="4" t="s">
        <v>82</v>
      </c>
      <c r="U12" s="4" t="s">
        <v>82</v>
      </c>
      <c r="V12" s="4" t="s">
        <v>82</v>
      </c>
      <c r="W12" s="4" t="s">
        <v>82</v>
      </c>
      <c r="X12" s="4" t="s">
        <v>82</v>
      </c>
      <c r="Y12" s="4" t="s">
        <v>82</v>
      </c>
      <c r="Z12" s="4" t="s">
        <v>82</v>
      </c>
      <c r="AA12" s="4" t="s">
        <v>82</v>
      </c>
      <c r="AB12" s="4" t="s">
        <v>82</v>
      </c>
      <c r="AC12" s="4" t="s">
        <v>82</v>
      </c>
      <c r="AD12" s="4" t="s">
        <v>82</v>
      </c>
    </row>
    <row r="13" spans="1:30" ht="165" customHeight="1">
      <c r="A13" s="2" t="s">
        <v>109</v>
      </c>
      <c r="B13" s="4"/>
      <c r="C13" s="4" t="s">
        <v>12</v>
      </c>
      <c r="D13" s="4"/>
      <c r="E13" s="4"/>
      <c r="F13" s="4"/>
      <c r="G13" s="4" t="s">
        <v>28</v>
      </c>
      <c r="H13" s="4" t="s">
        <v>66</v>
      </c>
      <c r="I13" s="4"/>
      <c r="J13" s="4"/>
      <c r="K13" s="4"/>
      <c r="L13" s="4"/>
      <c r="M13" s="4"/>
      <c r="N13" s="4"/>
      <c r="O13" s="4" t="s">
        <v>111</v>
      </c>
      <c r="P13" s="4"/>
      <c r="Q13" s="4"/>
      <c r="R13" s="4"/>
      <c r="S13" s="4" t="s">
        <v>87</v>
      </c>
      <c r="T13" s="4"/>
      <c r="U13" s="4"/>
      <c r="V13" s="4"/>
      <c r="W13" s="4"/>
      <c r="X13" s="4"/>
      <c r="Y13" s="4"/>
      <c r="Z13" s="4"/>
      <c r="AA13" s="4"/>
      <c r="AB13" s="4"/>
      <c r="AC13" s="4" t="s">
        <v>106</v>
      </c>
      <c r="AD13" s="4"/>
    </row>
    <row r="14" spans="1:30" ht="232.5" customHeight="1">
      <c r="A14" s="126" t="s">
        <v>11</v>
      </c>
      <c r="B14" s="4"/>
      <c r="C14" s="4" t="s">
        <v>4</v>
      </c>
      <c r="D14" s="4" t="s">
        <v>59</v>
      </c>
      <c r="E14" s="4" t="s">
        <v>122</v>
      </c>
      <c r="F14" s="4" t="s">
        <v>37</v>
      </c>
      <c r="G14" s="4" t="s">
        <v>299</v>
      </c>
      <c r="H14" s="4" t="s">
        <v>66</v>
      </c>
      <c r="I14" s="4" t="s">
        <v>61</v>
      </c>
      <c r="J14" s="4" t="s">
        <v>9</v>
      </c>
      <c r="K14" s="4" t="s">
        <v>42</v>
      </c>
      <c r="L14" s="4" t="s">
        <v>21</v>
      </c>
      <c r="M14" s="4" t="s">
        <v>17</v>
      </c>
      <c r="N14" s="4" t="s">
        <v>13</v>
      </c>
      <c r="O14" s="4" t="s">
        <v>58</v>
      </c>
      <c r="P14" s="4" t="s">
        <v>85</v>
      </c>
      <c r="Q14" s="4" t="s">
        <v>40</v>
      </c>
      <c r="R14" s="4" t="s">
        <v>2</v>
      </c>
      <c r="S14" s="4"/>
      <c r="T14" s="4" t="s">
        <v>23</v>
      </c>
      <c r="U14" s="4" t="s">
        <v>19</v>
      </c>
      <c r="V14" s="4" t="s">
        <v>34</v>
      </c>
      <c r="W14" s="4" t="s">
        <v>67</v>
      </c>
      <c r="X14" s="4" t="s">
        <v>113</v>
      </c>
      <c r="Y14" s="4" t="s">
        <v>45</v>
      </c>
      <c r="Z14" s="4" t="s">
        <v>301</v>
      </c>
      <c r="AA14" s="4" t="s">
        <v>70</v>
      </c>
      <c r="AB14" s="4" t="s">
        <v>115</v>
      </c>
      <c r="AC14" s="4" t="s">
        <v>132</v>
      </c>
      <c r="AD14" s="4" t="s">
        <v>79</v>
      </c>
    </row>
    <row r="15" spans="1:30" ht="107.25" customHeight="1">
      <c r="A15" s="2" t="s">
        <v>117</v>
      </c>
      <c r="B15" s="4" t="s">
        <v>26</v>
      </c>
      <c r="C15" s="4" t="s">
        <v>141</v>
      </c>
      <c r="D15" s="4" t="s">
        <v>72</v>
      </c>
      <c r="E15" s="4" t="s">
        <v>141</v>
      </c>
      <c r="F15" s="4" t="s">
        <v>141</v>
      </c>
      <c r="G15" s="4" t="s">
        <v>75</v>
      </c>
      <c r="H15" s="4" t="s">
        <v>141</v>
      </c>
      <c r="I15" s="4" t="s">
        <v>46</v>
      </c>
      <c r="J15" s="4" t="s">
        <v>134</v>
      </c>
      <c r="K15" s="4" t="s">
        <v>99</v>
      </c>
      <c r="L15" s="4" t="s">
        <v>141</v>
      </c>
      <c r="M15" s="4" t="s">
        <v>141</v>
      </c>
      <c r="N15" s="4" t="s">
        <v>26</v>
      </c>
      <c r="O15" s="4" t="s">
        <v>138</v>
      </c>
      <c r="P15" s="4" t="s">
        <v>75</v>
      </c>
      <c r="Q15" s="4" t="s">
        <v>75</v>
      </c>
      <c r="R15" s="4" t="s">
        <v>138</v>
      </c>
      <c r="S15" s="4" t="s">
        <v>75</v>
      </c>
      <c r="T15" s="4" t="s">
        <v>75</v>
      </c>
      <c r="U15" s="4" t="s">
        <v>138</v>
      </c>
      <c r="V15" s="4" t="s">
        <v>99</v>
      </c>
      <c r="W15" s="4" t="s">
        <v>99</v>
      </c>
      <c r="X15" s="4" t="s">
        <v>138</v>
      </c>
      <c r="Y15" s="4" t="s">
        <v>26</v>
      </c>
      <c r="Z15" s="4" t="s">
        <v>138</v>
      </c>
      <c r="AA15" s="4" t="s">
        <v>141</v>
      </c>
      <c r="AB15" s="4" t="s">
        <v>75</v>
      </c>
      <c r="AC15" s="4" t="s">
        <v>75</v>
      </c>
      <c r="AD15" s="4" t="s">
        <v>99</v>
      </c>
    </row>
    <row r="16" spans="1:30" ht="87" customHeight="1">
      <c r="A16" s="2" t="s">
        <v>101</v>
      </c>
      <c r="B16" s="4" t="s">
        <v>71</v>
      </c>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row>
    <row r="17" spans="1:30" ht="93" customHeight="1">
      <c r="A17" s="2" t="s">
        <v>120</v>
      </c>
      <c r="B17" s="4" t="s">
        <v>105</v>
      </c>
      <c r="C17" s="4" t="s">
        <v>105</v>
      </c>
      <c r="D17" s="4" t="s">
        <v>125</v>
      </c>
      <c r="E17" s="4" t="s">
        <v>105</v>
      </c>
      <c r="F17" s="4" t="s">
        <v>127</v>
      </c>
      <c r="G17" s="4" t="s">
        <v>105</v>
      </c>
      <c r="H17" s="4" t="s">
        <v>105</v>
      </c>
      <c r="I17" s="4" t="s">
        <v>105</v>
      </c>
      <c r="J17" s="4" t="s">
        <v>105</v>
      </c>
      <c r="K17" s="4" t="s">
        <v>105</v>
      </c>
      <c r="L17" s="4" t="s">
        <v>74</v>
      </c>
      <c r="M17" s="4" t="s">
        <v>108</v>
      </c>
      <c r="N17" s="4" t="s">
        <v>105</v>
      </c>
      <c r="O17" s="4" t="s">
        <v>105</v>
      </c>
      <c r="P17" s="4" t="s">
        <v>105</v>
      </c>
      <c r="Q17" s="4" t="s">
        <v>105</v>
      </c>
      <c r="R17" s="4" t="s">
        <v>105</v>
      </c>
      <c r="S17" s="4" t="s">
        <v>105</v>
      </c>
      <c r="T17" s="4" t="s">
        <v>105</v>
      </c>
      <c r="U17" s="4" t="s">
        <v>105</v>
      </c>
      <c r="V17" s="4" t="s">
        <v>105</v>
      </c>
      <c r="W17" s="4" t="s">
        <v>105</v>
      </c>
      <c r="X17" s="4" t="s">
        <v>105</v>
      </c>
      <c r="Y17" s="4" t="s">
        <v>65</v>
      </c>
      <c r="Z17" s="4" t="s">
        <v>105</v>
      </c>
      <c r="AA17" s="4" t="s">
        <v>105</v>
      </c>
      <c r="AB17" s="4" t="s">
        <v>105</v>
      </c>
      <c r="AC17" s="4" t="s">
        <v>49</v>
      </c>
      <c r="AD17" s="4" t="s">
        <v>105</v>
      </c>
    </row>
    <row r="18" spans="1:30" ht="109.5" customHeight="1">
      <c r="A18" s="2" t="s">
        <v>31</v>
      </c>
      <c r="B18" s="4" t="s">
        <v>60</v>
      </c>
      <c r="C18" s="4" t="s">
        <v>1</v>
      </c>
      <c r="D18" s="4">
        <v>15</v>
      </c>
      <c r="E18" s="4">
        <v>10</v>
      </c>
      <c r="F18" s="4" t="s">
        <v>41</v>
      </c>
      <c r="G18" s="5">
        <v>40308</v>
      </c>
      <c r="H18" s="4">
        <v>150</v>
      </c>
      <c r="I18" s="4">
        <v>4</v>
      </c>
      <c r="J18" s="4" t="s">
        <v>80</v>
      </c>
      <c r="K18" s="5">
        <v>40466</v>
      </c>
      <c r="L18" s="4" t="s">
        <v>130</v>
      </c>
      <c r="M18" s="4" t="s">
        <v>5</v>
      </c>
      <c r="N18" s="4">
        <v>9</v>
      </c>
      <c r="O18" s="4">
        <v>8</v>
      </c>
      <c r="P18" s="4">
        <v>10</v>
      </c>
      <c r="Q18" s="4" t="s">
        <v>94</v>
      </c>
      <c r="R18" s="4">
        <v>3</v>
      </c>
      <c r="S18" s="4">
        <v>12</v>
      </c>
      <c r="T18" s="4" t="s">
        <v>8</v>
      </c>
      <c r="U18" s="4">
        <v>30</v>
      </c>
      <c r="V18" s="4" t="s">
        <v>14</v>
      </c>
      <c r="W18" s="4">
        <v>29</v>
      </c>
      <c r="X18" s="4">
        <v>30</v>
      </c>
      <c r="Y18" s="4"/>
      <c r="Z18" s="4" t="s">
        <v>88</v>
      </c>
      <c r="AA18" s="4">
        <v>20</v>
      </c>
      <c r="AB18" s="4">
        <v>6</v>
      </c>
      <c r="AC18" s="4" t="s">
        <v>16</v>
      </c>
      <c r="AD18" s="4">
        <v>7</v>
      </c>
    </row>
    <row r="19" spans="1:30" ht="112.5" customHeight="1">
      <c r="A19" s="2" t="s">
        <v>57</v>
      </c>
      <c r="B19" s="4" t="s">
        <v>106</v>
      </c>
      <c r="C19" s="4" t="s">
        <v>128</v>
      </c>
      <c r="D19" s="4" t="s">
        <v>128</v>
      </c>
      <c r="E19" s="4" t="s">
        <v>128</v>
      </c>
      <c r="F19" s="4" t="s">
        <v>128</v>
      </c>
      <c r="G19" s="4" t="s">
        <v>128</v>
      </c>
      <c r="H19" s="4" t="s">
        <v>128</v>
      </c>
      <c r="I19" s="4" t="s">
        <v>106</v>
      </c>
      <c r="J19" s="4" t="s">
        <v>128</v>
      </c>
      <c r="K19" s="4" t="s">
        <v>128</v>
      </c>
      <c r="L19" s="4" t="s">
        <v>128</v>
      </c>
      <c r="M19" s="4" t="s">
        <v>128</v>
      </c>
      <c r="N19" s="4" t="s">
        <v>128</v>
      </c>
      <c r="O19" s="4" t="s">
        <v>128</v>
      </c>
      <c r="P19" s="4" t="s">
        <v>128</v>
      </c>
      <c r="Q19" s="4" t="s">
        <v>128</v>
      </c>
      <c r="R19" s="4" t="s">
        <v>128</v>
      </c>
      <c r="S19" s="4" t="s">
        <v>128</v>
      </c>
      <c r="T19" s="4" t="s">
        <v>128</v>
      </c>
      <c r="U19" s="4" t="s">
        <v>128</v>
      </c>
      <c r="V19" s="4" t="s">
        <v>106</v>
      </c>
      <c r="W19" s="4" t="s">
        <v>128</v>
      </c>
      <c r="X19" s="4" t="s">
        <v>128</v>
      </c>
      <c r="Y19" s="4"/>
      <c r="Z19" s="4" t="s">
        <v>128</v>
      </c>
      <c r="AA19" s="4" t="s">
        <v>128</v>
      </c>
      <c r="AB19" s="4" t="s">
        <v>128</v>
      </c>
      <c r="AC19" s="4" t="s">
        <v>128</v>
      </c>
      <c r="AD19" s="4" t="s">
        <v>128</v>
      </c>
    </row>
    <row r="20" spans="1:30" ht="131.25" customHeight="1">
      <c r="A20" s="2" t="s">
        <v>83</v>
      </c>
      <c r="B20" s="4" t="s">
        <v>84</v>
      </c>
      <c r="C20" s="4" t="s">
        <v>84</v>
      </c>
      <c r="D20" s="4" t="s">
        <v>78</v>
      </c>
      <c r="E20" s="4" t="s">
        <v>86</v>
      </c>
      <c r="F20" s="4" t="s">
        <v>86</v>
      </c>
      <c r="G20" s="4" t="s">
        <v>84</v>
      </c>
      <c r="H20" s="4" t="s">
        <v>86</v>
      </c>
      <c r="I20" s="4" t="s">
        <v>100</v>
      </c>
      <c r="J20" s="4" t="s">
        <v>86</v>
      </c>
      <c r="K20" s="4" t="s">
        <v>86</v>
      </c>
      <c r="L20" s="4" t="s">
        <v>86</v>
      </c>
      <c r="M20" s="4" t="s">
        <v>84</v>
      </c>
      <c r="N20" s="4" t="s">
        <v>78</v>
      </c>
      <c r="O20" s="4" t="s">
        <v>86</v>
      </c>
      <c r="P20" s="4" t="s">
        <v>78</v>
      </c>
      <c r="Q20" s="4" t="s">
        <v>84</v>
      </c>
      <c r="R20" s="4" t="s">
        <v>84</v>
      </c>
      <c r="S20" s="4" t="s">
        <v>84</v>
      </c>
      <c r="T20" s="4" t="s">
        <v>86</v>
      </c>
      <c r="U20" s="4" t="s">
        <v>86</v>
      </c>
      <c r="V20" s="4" t="s">
        <v>86</v>
      </c>
      <c r="W20" s="4" t="s">
        <v>86</v>
      </c>
      <c r="X20" s="4" t="s">
        <v>86</v>
      </c>
      <c r="Y20" s="4"/>
      <c r="Z20" s="4" t="s">
        <v>78</v>
      </c>
      <c r="AA20" s="4" t="s">
        <v>84</v>
      </c>
      <c r="AB20" s="4" t="s">
        <v>86</v>
      </c>
      <c r="AC20" s="4" t="s">
        <v>86</v>
      </c>
      <c r="AD20" s="4" t="s">
        <v>86</v>
      </c>
    </row>
    <row r="21" spans="1:30" ht="315" customHeight="1">
      <c r="A21" s="2" t="s">
        <v>50</v>
      </c>
      <c r="B21" s="4"/>
      <c r="C21" s="4"/>
      <c r="D21" s="4" t="s">
        <v>89</v>
      </c>
      <c r="E21" s="4" t="s">
        <v>22</v>
      </c>
      <c r="F21" s="4" t="s">
        <v>116</v>
      </c>
      <c r="G21" s="4" t="s">
        <v>142</v>
      </c>
      <c r="H21" s="4"/>
      <c r="I21" s="4" t="s">
        <v>32</v>
      </c>
      <c r="J21" s="4" t="s">
        <v>43</v>
      </c>
      <c r="K21" s="4"/>
      <c r="L21" s="4" t="s">
        <v>69</v>
      </c>
      <c r="M21" s="4" t="s">
        <v>6</v>
      </c>
      <c r="N21" s="4"/>
      <c r="O21" s="4"/>
      <c r="P21" s="4"/>
      <c r="Q21" s="4"/>
      <c r="R21" s="4"/>
      <c r="S21" s="4" t="s">
        <v>53</v>
      </c>
      <c r="T21" s="4" t="s">
        <v>27</v>
      </c>
      <c r="U21" s="4" t="s">
        <v>139</v>
      </c>
      <c r="V21" s="4"/>
      <c r="W21" s="4" t="s">
        <v>121</v>
      </c>
      <c r="X21" s="4" t="s">
        <v>25</v>
      </c>
      <c r="Y21" s="4" t="s">
        <v>137</v>
      </c>
      <c r="Z21" s="4" t="s">
        <v>77</v>
      </c>
      <c r="AA21" s="4" t="s">
        <v>114</v>
      </c>
      <c r="AB21" s="4" t="s">
        <v>24</v>
      </c>
      <c r="AC21" s="4" t="s">
        <v>3</v>
      </c>
      <c r="AD21" s="4" t="s">
        <v>98</v>
      </c>
    </row>
    <row r="23" spans="1:30">
      <c r="A23" s="59"/>
    </row>
  </sheetData>
  <hyperlinks>
    <hyperlink ref="A14" location="'Share Responsibilities Coded'!A1" display="7b) If they have shared responsibilities beyond Drupal development and maintenance, what are their other areas of focus?"/>
  </hyperlinks>
  <pageMargins left="0.7" right="0.7" top="0.75" bottom="0.75" header="0.3" footer="0.3"/>
  <pageSetup paperSize="5" orientation="landscape" horizontalDpi="1200" verticalDpi="1200"/>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7"/>
  <sheetViews>
    <sheetView topLeftCell="A31" workbookViewId="0">
      <selection activeCell="A11" sqref="A11"/>
    </sheetView>
  </sheetViews>
  <sheetFormatPr baseColWidth="10" defaultColWidth="8.83203125" defaultRowHeight="12" x14ac:dyDescent="0"/>
  <cols>
    <col min="1" max="1" width="23.1640625" customWidth="1"/>
    <col min="2" max="2" width="9.6640625" customWidth="1"/>
    <col min="3" max="3" width="13.33203125" customWidth="1"/>
    <col min="4" max="4" width="12.5" customWidth="1"/>
    <col min="5" max="5" width="18.83203125" customWidth="1"/>
    <col min="6" max="6" width="18.5" customWidth="1"/>
    <col min="7" max="7" width="18.1640625" customWidth="1"/>
    <col min="8" max="8" width="17.33203125" customWidth="1"/>
    <col min="9" max="9" width="18" customWidth="1"/>
    <col min="10" max="10" width="17.6640625" customWidth="1"/>
  </cols>
  <sheetData>
    <row r="1" spans="1:6" s="73" customFormat="1" ht="17">
      <c r="A1" s="73" t="s">
        <v>373</v>
      </c>
    </row>
    <row r="2" spans="1:6" s="75" customFormat="1" ht="13">
      <c r="A2" s="75" t="s">
        <v>374</v>
      </c>
    </row>
    <row r="4" spans="1:6">
      <c r="C4" s="6"/>
    </row>
    <row r="5" spans="1:6">
      <c r="A5" s="6" t="s">
        <v>336</v>
      </c>
      <c r="C5" s="6" t="s">
        <v>307</v>
      </c>
    </row>
    <row r="6" spans="1:6">
      <c r="C6" s="6" t="s">
        <v>305</v>
      </c>
    </row>
    <row r="7" spans="1:6">
      <c r="A7" s="6"/>
      <c r="B7" s="6"/>
      <c r="C7" s="6" t="s">
        <v>338</v>
      </c>
      <c r="D7" s="6"/>
      <c r="E7" s="6"/>
      <c r="F7" s="6"/>
    </row>
    <row r="8" spans="1:6">
      <c r="C8" s="6" t="s">
        <v>337</v>
      </c>
    </row>
    <row r="9" spans="1:6">
      <c r="C9" s="6" t="s">
        <v>306</v>
      </c>
    </row>
    <row r="10" spans="1:6">
      <c r="C10" s="6" t="s">
        <v>339</v>
      </c>
    </row>
    <row r="11" spans="1:6">
      <c r="C11" s="6" t="s">
        <v>395</v>
      </c>
    </row>
    <row r="12" spans="1:6">
      <c r="C12" s="6" t="s">
        <v>396</v>
      </c>
    </row>
    <row r="13" spans="1:6">
      <c r="C13" s="6" t="s">
        <v>397</v>
      </c>
    </row>
    <row r="17" spans="1:10" ht="24">
      <c r="A17" s="118"/>
      <c r="B17" s="87" t="s">
        <v>160</v>
      </c>
      <c r="C17" s="87" t="s">
        <v>161</v>
      </c>
      <c r="D17" s="87" t="s">
        <v>162</v>
      </c>
      <c r="E17" s="119" t="s">
        <v>382</v>
      </c>
      <c r="F17" s="119" t="s">
        <v>383</v>
      </c>
      <c r="G17" s="88" t="s">
        <v>378</v>
      </c>
      <c r="H17" s="88" t="s">
        <v>379</v>
      </c>
      <c r="I17" s="89" t="s">
        <v>380</v>
      </c>
      <c r="J17" s="90" t="s">
        <v>381</v>
      </c>
    </row>
    <row r="18" spans="1:10">
      <c r="A18" s="103" t="s">
        <v>154</v>
      </c>
      <c r="B18" s="91"/>
      <c r="C18" s="91"/>
      <c r="D18" s="91">
        <v>1</v>
      </c>
      <c r="E18" s="92">
        <v>1</v>
      </c>
      <c r="F18" s="92"/>
      <c r="G18" s="93">
        <v>1</v>
      </c>
      <c r="H18" s="93"/>
      <c r="I18" s="94">
        <v>1</v>
      </c>
      <c r="J18" s="95"/>
    </row>
    <row r="19" spans="1:10">
      <c r="A19" s="103" t="s">
        <v>155</v>
      </c>
      <c r="B19" s="91"/>
      <c r="C19" s="91">
        <v>2</v>
      </c>
      <c r="D19" s="91"/>
      <c r="E19" s="92">
        <v>2</v>
      </c>
      <c r="F19" s="92"/>
      <c r="G19" s="93">
        <v>1</v>
      </c>
      <c r="H19" s="93">
        <v>1</v>
      </c>
      <c r="I19" s="94">
        <v>1</v>
      </c>
      <c r="J19" s="95">
        <v>1</v>
      </c>
    </row>
    <row r="20" spans="1:10">
      <c r="A20" s="103" t="s">
        <v>156</v>
      </c>
      <c r="B20" s="91"/>
      <c r="C20" s="91"/>
      <c r="D20" s="91">
        <v>4</v>
      </c>
      <c r="E20" s="92">
        <v>4</v>
      </c>
      <c r="F20" s="92"/>
      <c r="G20" s="93">
        <v>2</v>
      </c>
      <c r="H20" s="93">
        <v>2</v>
      </c>
      <c r="I20" s="94">
        <v>4</v>
      </c>
      <c r="J20" s="95"/>
    </row>
    <row r="21" spans="1:10">
      <c r="A21" s="103" t="s">
        <v>157</v>
      </c>
      <c r="B21" s="91">
        <v>1</v>
      </c>
      <c r="C21" s="91">
        <v>8</v>
      </c>
      <c r="D21" s="91">
        <v>2</v>
      </c>
      <c r="E21" s="92">
        <v>10</v>
      </c>
      <c r="F21" s="92">
        <v>1</v>
      </c>
      <c r="G21" s="93">
        <v>4</v>
      </c>
      <c r="H21" s="93">
        <v>7</v>
      </c>
      <c r="I21" s="94">
        <v>11</v>
      </c>
      <c r="J21" s="95"/>
    </row>
    <row r="22" spans="1:10">
      <c r="A22" s="104" t="s">
        <v>158</v>
      </c>
      <c r="B22" s="96"/>
      <c r="C22" s="96">
        <v>2</v>
      </c>
      <c r="D22" s="96">
        <v>3</v>
      </c>
      <c r="E22" s="97">
        <v>4</v>
      </c>
      <c r="F22" s="97">
        <v>1</v>
      </c>
      <c r="G22" s="98">
        <v>2</v>
      </c>
      <c r="H22" s="98">
        <v>3</v>
      </c>
      <c r="I22" s="99">
        <v>5</v>
      </c>
      <c r="J22" s="100"/>
    </row>
    <row r="23" spans="1:10">
      <c r="A23" s="6"/>
      <c r="B23" s="86"/>
      <c r="C23" s="86"/>
      <c r="D23" s="86"/>
      <c r="E23" s="86"/>
      <c r="F23" s="86"/>
      <c r="G23" s="86"/>
      <c r="H23" s="86"/>
      <c r="I23" s="86"/>
      <c r="J23" s="86"/>
    </row>
    <row r="24" spans="1:10" ht="12.75" customHeight="1"/>
    <row r="27" spans="1:10">
      <c r="A27" s="109" t="s">
        <v>154</v>
      </c>
      <c r="B27" s="114" t="s">
        <v>390</v>
      </c>
      <c r="C27" s="105" t="s">
        <v>384</v>
      </c>
      <c r="D27" s="105" t="s">
        <v>385</v>
      </c>
      <c r="E27" s="106" t="s">
        <v>378</v>
      </c>
      <c r="F27" s="106" t="s">
        <v>379</v>
      </c>
      <c r="G27" s="107" t="s">
        <v>380</v>
      </c>
      <c r="H27" s="108" t="s">
        <v>381</v>
      </c>
    </row>
    <row r="28" spans="1:10">
      <c r="A28" s="115" t="s">
        <v>160</v>
      </c>
      <c r="B28" s="43"/>
      <c r="C28" s="92"/>
      <c r="D28" s="101"/>
      <c r="E28" s="102"/>
      <c r="F28" s="93"/>
      <c r="G28" s="94"/>
      <c r="H28" s="95"/>
    </row>
    <row r="29" spans="1:10">
      <c r="A29" s="115" t="s">
        <v>161</v>
      </c>
      <c r="B29" s="43"/>
      <c r="C29" s="92"/>
      <c r="D29" s="92"/>
      <c r="E29" s="93"/>
      <c r="F29" s="93"/>
      <c r="G29" s="94"/>
      <c r="H29" s="95"/>
    </row>
    <row r="30" spans="1:10">
      <c r="A30" s="116" t="s">
        <v>162</v>
      </c>
      <c r="B30" s="110">
        <v>1</v>
      </c>
      <c r="C30" s="97">
        <v>1</v>
      </c>
      <c r="D30" s="97"/>
      <c r="E30" s="98">
        <v>1</v>
      </c>
      <c r="F30" s="98"/>
      <c r="G30" s="99">
        <v>1</v>
      </c>
      <c r="H30" s="100"/>
    </row>
    <row r="31" spans="1:10">
      <c r="A31" s="6"/>
    </row>
    <row r="32" spans="1:10">
      <c r="A32" s="6"/>
    </row>
    <row r="33" spans="1:8">
      <c r="A33" s="6"/>
    </row>
    <row r="34" spans="1:8">
      <c r="A34" s="6"/>
    </row>
    <row r="36" spans="1:8">
      <c r="A36" s="109" t="s">
        <v>155</v>
      </c>
      <c r="B36" s="114" t="s">
        <v>389</v>
      </c>
      <c r="C36" s="105" t="s">
        <v>384</v>
      </c>
      <c r="D36" s="105" t="s">
        <v>385</v>
      </c>
      <c r="E36" s="106" t="s">
        <v>378</v>
      </c>
      <c r="F36" s="106" t="s">
        <v>379</v>
      </c>
      <c r="G36" s="107" t="s">
        <v>380</v>
      </c>
      <c r="H36" s="108" t="s">
        <v>381</v>
      </c>
    </row>
    <row r="37" spans="1:8">
      <c r="A37" s="115" t="s">
        <v>160</v>
      </c>
      <c r="B37" s="37"/>
      <c r="C37" s="92"/>
      <c r="D37" s="92"/>
      <c r="E37" s="93"/>
      <c r="F37" s="93"/>
      <c r="G37" s="94"/>
      <c r="H37" s="95"/>
    </row>
    <row r="38" spans="1:8">
      <c r="A38" s="115" t="s">
        <v>161</v>
      </c>
      <c r="B38" s="43">
        <v>2</v>
      </c>
      <c r="C38" s="92">
        <v>2</v>
      </c>
      <c r="D38" s="92"/>
      <c r="E38" s="93">
        <v>1</v>
      </c>
      <c r="F38" s="93">
        <v>1</v>
      </c>
      <c r="G38" s="94">
        <v>1</v>
      </c>
      <c r="H38" s="95">
        <v>1</v>
      </c>
    </row>
    <row r="39" spans="1:8">
      <c r="A39" s="116" t="s">
        <v>162</v>
      </c>
      <c r="B39" s="117"/>
      <c r="C39" s="97"/>
      <c r="D39" s="97"/>
      <c r="E39" s="98"/>
      <c r="F39" s="98"/>
      <c r="G39" s="99"/>
      <c r="H39" s="100"/>
    </row>
    <row r="40" spans="1:8">
      <c r="A40" s="6"/>
    </row>
    <row r="41" spans="1:8">
      <c r="A41" s="6"/>
    </row>
    <row r="42" spans="1:8">
      <c r="A42" s="6"/>
    </row>
    <row r="43" spans="1:8">
      <c r="A43" s="6"/>
    </row>
    <row r="45" spans="1:8">
      <c r="A45" s="109" t="s">
        <v>156</v>
      </c>
      <c r="B45" s="114" t="s">
        <v>388</v>
      </c>
      <c r="C45" s="105" t="s">
        <v>384</v>
      </c>
      <c r="D45" s="105" t="s">
        <v>385</v>
      </c>
      <c r="E45" s="106" t="s">
        <v>378</v>
      </c>
      <c r="F45" s="106" t="s">
        <v>379</v>
      </c>
      <c r="G45" s="107" t="s">
        <v>380</v>
      </c>
      <c r="H45" s="108" t="s">
        <v>381</v>
      </c>
    </row>
    <row r="46" spans="1:8">
      <c r="A46" s="115" t="s">
        <v>160</v>
      </c>
      <c r="B46" s="37"/>
      <c r="C46" s="92"/>
      <c r="D46" s="92"/>
      <c r="E46" s="93"/>
      <c r="F46" s="93"/>
      <c r="G46" s="94"/>
      <c r="H46" s="95"/>
    </row>
    <row r="47" spans="1:8">
      <c r="A47" s="115" t="s">
        <v>161</v>
      </c>
      <c r="B47" s="37"/>
      <c r="C47" s="92"/>
      <c r="D47" s="92"/>
      <c r="E47" s="93"/>
      <c r="F47" s="93"/>
      <c r="G47" s="94"/>
      <c r="H47" s="95"/>
    </row>
    <row r="48" spans="1:8">
      <c r="A48" s="116" t="s">
        <v>162</v>
      </c>
      <c r="B48" s="110">
        <v>4</v>
      </c>
      <c r="C48" s="97">
        <v>4</v>
      </c>
      <c r="D48" s="97"/>
      <c r="E48" s="98">
        <v>2</v>
      </c>
      <c r="F48" s="98">
        <v>2</v>
      </c>
      <c r="G48" s="99">
        <v>4</v>
      </c>
      <c r="H48" s="100"/>
    </row>
    <row r="53" spans="1:8">
      <c r="A53" s="109" t="s">
        <v>157</v>
      </c>
      <c r="B53" s="114" t="s">
        <v>387</v>
      </c>
      <c r="C53" s="105" t="s">
        <v>384</v>
      </c>
      <c r="D53" s="105" t="s">
        <v>385</v>
      </c>
      <c r="E53" s="106" t="s">
        <v>378</v>
      </c>
      <c r="F53" s="106" t="s">
        <v>379</v>
      </c>
      <c r="G53" s="107" t="s">
        <v>380</v>
      </c>
      <c r="H53" s="108" t="s">
        <v>381</v>
      </c>
    </row>
    <row r="54" spans="1:8">
      <c r="A54" s="112" t="s">
        <v>160</v>
      </c>
      <c r="B54" s="43">
        <v>1</v>
      </c>
      <c r="C54" s="92">
        <v>1</v>
      </c>
      <c r="D54" s="92"/>
      <c r="E54" s="93"/>
      <c r="F54" s="93">
        <v>1</v>
      </c>
      <c r="G54" s="94">
        <v>1</v>
      </c>
      <c r="H54" s="95"/>
    </row>
    <row r="55" spans="1:8">
      <c r="A55" s="112" t="s">
        <v>161</v>
      </c>
      <c r="B55" s="43">
        <v>8</v>
      </c>
      <c r="C55" s="92">
        <v>7</v>
      </c>
      <c r="D55" s="92">
        <v>1</v>
      </c>
      <c r="E55" s="93">
        <v>3</v>
      </c>
      <c r="F55" s="93">
        <v>5</v>
      </c>
      <c r="G55" s="94">
        <v>8</v>
      </c>
      <c r="H55" s="95"/>
    </row>
    <row r="56" spans="1:8">
      <c r="A56" s="113" t="s">
        <v>162</v>
      </c>
      <c r="B56" s="110">
        <v>2</v>
      </c>
      <c r="C56" s="97">
        <v>2</v>
      </c>
      <c r="D56" s="97"/>
      <c r="E56" s="98">
        <v>1</v>
      </c>
      <c r="F56" s="98">
        <v>1</v>
      </c>
      <c r="G56" s="99">
        <v>2</v>
      </c>
      <c r="H56" s="100"/>
    </row>
    <row r="61" spans="1:8">
      <c r="A61" s="109" t="s">
        <v>158</v>
      </c>
      <c r="B61" s="111" t="s">
        <v>386</v>
      </c>
      <c r="C61" s="105" t="s">
        <v>384</v>
      </c>
      <c r="D61" s="105" t="s">
        <v>385</v>
      </c>
      <c r="E61" s="106" t="s">
        <v>378</v>
      </c>
      <c r="F61" s="106" t="s">
        <v>379</v>
      </c>
      <c r="G61" s="107" t="s">
        <v>380</v>
      </c>
      <c r="H61" s="108" t="s">
        <v>381</v>
      </c>
    </row>
    <row r="62" spans="1:8">
      <c r="A62" s="112" t="s">
        <v>160</v>
      </c>
      <c r="B62" s="43"/>
      <c r="C62" s="92"/>
      <c r="D62" s="92"/>
      <c r="E62" s="93"/>
      <c r="F62" s="93"/>
      <c r="G62" s="94"/>
      <c r="H62" s="95"/>
    </row>
    <row r="63" spans="1:8">
      <c r="A63" s="112" t="s">
        <v>161</v>
      </c>
      <c r="B63" s="43">
        <v>2</v>
      </c>
      <c r="C63" s="92">
        <v>1</v>
      </c>
      <c r="D63" s="92">
        <v>1</v>
      </c>
      <c r="E63" s="93">
        <v>1</v>
      </c>
      <c r="F63" s="93">
        <v>1</v>
      </c>
      <c r="G63" s="94">
        <v>2</v>
      </c>
      <c r="H63" s="95"/>
    </row>
    <row r="64" spans="1:8">
      <c r="A64" s="113" t="s">
        <v>162</v>
      </c>
      <c r="B64" s="110">
        <v>3</v>
      </c>
      <c r="C64" s="97">
        <v>3</v>
      </c>
      <c r="D64" s="97"/>
      <c r="E64" s="98">
        <v>1</v>
      </c>
      <c r="F64" s="98">
        <v>2</v>
      </c>
      <c r="G64" s="99">
        <v>3</v>
      </c>
      <c r="H64" s="100"/>
    </row>
    <row r="65" spans="1:1">
      <c r="A65" s="19"/>
    </row>
    <row r="66" spans="1:1">
      <c r="A66" s="19"/>
    </row>
    <row r="67" spans="1:1">
      <c r="A67" s="19"/>
    </row>
  </sheetData>
  <pageMargins left="0.7" right="0.7" top="0.75" bottom="0.75" header="0.3" footer="0.3"/>
  <pageSetup paperSize="5" orientation="landscape"/>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32"/>
  <sheetViews>
    <sheetView workbookViewId="0">
      <selection activeCell="B11" sqref="B11"/>
    </sheetView>
  </sheetViews>
  <sheetFormatPr baseColWidth="10" defaultColWidth="8.83203125" defaultRowHeight="11" x14ac:dyDescent="0"/>
  <cols>
    <col min="1" max="1" width="8.33203125" style="76" customWidth="1"/>
    <col min="2" max="2" width="42.6640625" style="76" customWidth="1"/>
    <col min="3" max="3" width="34.33203125" style="76" customWidth="1"/>
    <col min="4" max="4" width="30.1640625" style="76" customWidth="1"/>
    <col min="5" max="5" width="32.83203125" style="76" customWidth="1"/>
    <col min="6" max="6" width="28.5" style="76" customWidth="1"/>
    <col min="7" max="7" width="12.5" style="76" customWidth="1"/>
    <col min="8" max="8" width="14" style="76" customWidth="1"/>
    <col min="9" max="16384" width="8.83203125" style="76"/>
  </cols>
  <sheetData>
    <row r="3" spans="1:4">
      <c r="A3" s="121" t="s">
        <v>0</v>
      </c>
      <c r="B3" s="121"/>
    </row>
    <row r="4" spans="1:4">
      <c r="A4" s="121" t="s">
        <v>358</v>
      </c>
      <c r="B4" s="121" t="s">
        <v>146</v>
      </c>
      <c r="C4" s="76" t="s">
        <v>147</v>
      </c>
      <c r="D4" s="76" t="s">
        <v>147</v>
      </c>
    </row>
    <row r="5" spans="1:4">
      <c r="A5" s="121"/>
      <c r="B5" s="121" t="s">
        <v>356</v>
      </c>
      <c r="C5" s="76" t="s">
        <v>340</v>
      </c>
      <c r="D5" s="76" t="s">
        <v>304</v>
      </c>
    </row>
    <row r="6" spans="1:4">
      <c r="A6" s="121"/>
      <c r="B6" s="121" t="s">
        <v>355</v>
      </c>
      <c r="C6" s="76" t="s">
        <v>343</v>
      </c>
      <c r="D6" s="76" t="s">
        <v>128</v>
      </c>
    </row>
    <row r="7" spans="1:4">
      <c r="A7" s="121"/>
      <c r="B7" s="121" t="s">
        <v>354</v>
      </c>
      <c r="C7" s="76" t="s">
        <v>106</v>
      </c>
      <c r="D7" s="76" t="s">
        <v>106</v>
      </c>
    </row>
    <row r="8" spans="1:4">
      <c r="A8" s="121"/>
      <c r="B8" s="121" t="s">
        <v>353</v>
      </c>
      <c r="C8" s="76" t="s">
        <v>128</v>
      </c>
      <c r="D8" s="76" t="s">
        <v>128</v>
      </c>
    </row>
    <row r="9" spans="1:4">
      <c r="A9" s="121"/>
      <c r="B9" s="121" t="s">
        <v>352</v>
      </c>
      <c r="C9" s="76" t="s">
        <v>33</v>
      </c>
      <c r="D9" s="76" t="s">
        <v>345</v>
      </c>
    </row>
    <row r="10" spans="1:4">
      <c r="A10" s="121"/>
      <c r="B10" s="121" t="s">
        <v>351</v>
      </c>
      <c r="C10" s="76" t="s">
        <v>346</v>
      </c>
      <c r="D10" s="76" t="s">
        <v>347</v>
      </c>
    </row>
    <row r="11" spans="1:4">
      <c r="A11" s="121"/>
      <c r="B11" s="121" t="s">
        <v>364</v>
      </c>
      <c r="C11" s="76" t="s">
        <v>128</v>
      </c>
      <c r="D11" s="76" t="s">
        <v>128</v>
      </c>
    </row>
    <row r="12" spans="1:4">
      <c r="A12" s="121"/>
      <c r="B12" s="121" t="s">
        <v>350</v>
      </c>
      <c r="C12" s="76" t="s">
        <v>344</v>
      </c>
      <c r="D12" s="76" t="s">
        <v>348</v>
      </c>
    </row>
    <row r="13" spans="1:4">
      <c r="A13" s="121"/>
      <c r="B13" s="121" t="s">
        <v>349</v>
      </c>
      <c r="C13" s="76" t="s">
        <v>342</v>
      </c>
      <c r="D13" s="76" t="s">
        <v>341</v>
      </c>
    </row>
    <row r="14" spans="1:4">
      <c r="A14" s="121"/>
      <c r="B14" s="121" t="s">
        <v>190</v>
      </c>
      <c r="C14" s="76" t="s">
        <v>128</v>
      </c>
      <c r="D14" s="76" t="s">
        <v>128</v>
      </c>
    </row>
    <row r="15" spans="1:4">
      <c r="A15" s="121"/>
      <c r="B15" s="121" t="s">
        <v>357</v>
      </c>
      <c r="C15" s="76" t="s">
        <v>106</v>
      </c>
      <c r="D15" s="76" t="s">
        <v>128</v>
      </c>
    </row>
    <row r="18" spans="1:6">
      <c r="A18" s="121" t="s">
        <v>294</v>
      </c>
      <c r="B18" s="121"/>
    </row>
    <row r="19" spans="1:6">
      <c r="A19" s="121" t="s">
        <v>359</v>
      </c>
      <c r="B19" s="121" t="s">
        <v>146</v>
      </c>
      <c r="C19" s="76" t="s">
        <v>370</v>
      </c>
      <c r="D19" s="76" t="s">
        <v>369</v>
      </c>
      <c r="E19" s="76" t="s">
        <v>371</v>
      </c>
      <c r="F19" s="77" t="s">
        <v>150</v>
      </c>
    </row>
    <row r="20" spans="1:6">
      <c r="A20" s="121"/>
      <c r="B20" s="121" t="s">
        <v>356</v>
      </c>
      <c r="C20" s="76" t="s">
        <v>161</v>
      </c>
      <c r="D20" s="76" t="s">
        <v>161</v>
      </c>
      <c r="E20" s="76" t="s">
        <v>160</v>
      </c>
      <c r="F20" s="76" t="s">
        <v>161</v>
      </c>
    </row>
    <row r="21" spans="1:6">
      <c r="A21" s="121"/>
      <c r="B21" s="121" t="s">
        <v>355</v>
      </c>
      <c r="C21" s="76" t="s">
        <v>106</v>
      </c>
      <c r="D21" s="76" t="s">
        <v>128</v>
      </c>
      <c r="E21" s="76" t="s">
        <v>106</v>
      </c>
      <c r="F21" s="76" t="s">
        <v>128</v>
      </c>
    </row>
    <row r="22" spans="1:6">
      <c r="A22" s="121"/>
      <c r="B22" s="121" t="s">
        <v>354</v>
      </c>
      <c r="C22" s="76" t="s">
        <v>106</v>
      </c>
      <c r="D22" s="76" t="s">
        <v>128</v>
      </c>
      <c r="E22" s="76" t="s">
        <v>106</v>
      </c>
      <c r="F22" s="76" t="s">
        <v>128</v>
      </c>
    </row>
    <row r="23" spans="1:6">
      <c r="A23" s="121"/>
      <c r="B23" s="121" t="s">
        <v>353</v>
      </c>
      <c r="C23" s="76" t="s">
        <v>128</v>
      </c>
      <c r="D23" s="76" t="s">
        <v>128</v>
      </c>
      <c r="E23" s="76" t="s">
        <v>128</v>
      </c>
      <c r="F23" s="76" t="s">
        <v>128</v>
      </c>
    </row>
    <row r="24" spans="1:6" ht="22">
      <c r="A24" s="121"/>
      <c r="B24" s="121" t="s">
        <v>352</v>
      </c>
      <c r="C24" s="76" t="s">
        <v>360</v>
      </c>
      <c r="D24" s="77" t="s">
        <v>35</v>
      </c>
      <c r="E24" s="77" t="s">
        <v>30</v>
      </c>
      <c r="F24" s="77" t="s">
        <v>73</v>
      </c>
    </row>
    <row r="25" spans="1:6">
      <c r="A25" s="121"/>
      <c r="B25" s="121" t="s">
        <v>351</v>
      </c>
      <c r="C25" s="76" t="s">
        <v>95</v>
      </c>
      <c r="D25" s="77" t="s">
        <v>126</v>
      </c>
      <c r="E25" s="77" t="s">
        <v>95</v>
      </c>
      <c r="F25" s="77" t="s">
        <v>133</v>
      </c>
    </row>
    <row r="26" spans="1:6">
      <c r="A26" s="121"/>
      <c r="B26" s="121" t="s">
        <v>364</v>
      </c>
      <c r="C26" s="76" t="s">
        <v>128</v>
      </c>
      <c r="D26" s="76" t="s">
        <v>128</v>
      </c>
      <c r="E26" s="76" t="s">
        <v>128</v>
      </c>
      <c r="F26" s="76" t="s">
        <v>128</v>
      </c>
    </row>
    <row r="27" spans="1:6" ht="22">
      <c r="A27" s="121"/>
      <c r="B27" s="121" t="s">
        <v>350</v>
      </c>
      <c r="C27" s="78" t="s">
        <v>361</v>
      </c>
      <c r="D27" s="77" t="s">
        <v>368</v>
      </c>
      <c r="E27" s="77" t="s">
        <v>365</v>
      </c>
      <c r="F27" s="77" t="s">
        <v>79</v>
      </c>
    </row>
    <row r="28" spans="1:6">
      <c r="A28" s="121"/>
      <c r="B28" s="121" t="s">
        <v>349</v>
      </c>
      <c r="C28" s="76" t="s">
        <v>362</v>
      </c>
      <c r="D28" s="77" t="s">
        <v>99</v>
      </c>
      <c r="E28" s="77" t="s">
        <v>367</v>
      </c>
      <c r="F28" s="77" t="s">
        <v>99</v>
      </c>
    </row>
    <row r="29" spans="1:6">
      <c r="A29" s="121"/>
      <c r="B29" s="121" t="s">
        <v>190</v>
      </c>
      <c r="C29" s="76" t="s">
        <v>363</v>
      </c>
      <c r="D29" s="77" t="s">
        <v>128</v>
      </c>
      <c r="E29" s="77" t="s">
        <v>106</v>
      </c>
      <c r="F29" s="77" t="s">
        <v>128</v>
      </c>
    </row>
    <row r="30" spans="1:6">
      <c r="A30" s="121"/>
      <c r="B30" s="121" t="s">
        <v>357</v>
      </c>
      <c r="C30" s="76" t="s">
        <v>128</v>
      </c>
      <c r="D30" s="77" t="s">
        <v>106</v>
      </c>
      <c r="E30" s="76" t="s">
        <v>366</v>
      </c>
      <c r="F30" s="77" t="s">
        <v>128</v>
      </c>
    </row>
    <row r="32" spans="1:6" ht="33">
      <c r="E32" s="79" t="s">
        <v>372</v>
      </c>
    </row>
  </sheetData>
  <pageMargins left="0.7" right="0.7" top="0.75" bottom="0.75" header="0.3" footer="0.3"/>
  <pageSetup paperSize="5" orientation="landscape"/>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73"/>
  <sheetViews>
    <sheetView workbookViewId="0"/>
  </sheetViews>
  <sheetFormatPr baseColWidth="10" defaultColWidth="8.83203125" defaultRowHeight="12" x14ac:dyDescent="0"/>
  <cols>
    <col min="2" max="2" width="13.5" customWidth="1"/>
    <col min="5" max="5" width="9.83203125" customWidth="1"/>
    <col min="6" max="6" width="11.1640625" customWidth="1"/>
    <col min="8" max="8" width="12.6640625" customWidth="1"/>
  </cols>
  <sheetData>
    <row r="1" spans="1:20" s="83" customFormat="1" ht="17">
      <c r="A1" s="82" t="s">
        <v>375</v>
      </c>
    </row>
    <row r="2" spans="1:20" s="73" customFormat="1" ht="17">
      <c r="A2" s="82" t="s">
        <v>376</v>
      </c>
      <c r="B2" s="84"/>
      <c r="C2" s="85"/>
      <c r="D2" s="85"/>
      <c r="E2" s="85"/>
      <c r="T2" s="83"/>
    </row>
    <row r="3" spans="1:20" s="8" customFormat="1" ht="13">
      <c r="A3" s="81" t="s">
        <v>377</v>
      </c>
      <c r="B3" s="74"/>
      <c r="C3" s="29"/>
      <c r="D3" s="29"/>
      <c r="E3" s="29"/>
      <c r="T3"/>
    </row>
    <row r="4" spans="1:20" s="8" customFormat="1" ht="15">
      <c r="A4" s="58"/>
      <c r="B4" s="66"/>
      <c r="C4" s="29"/>
      <c r="D4" s="29"/>
      <c r="E4" s="29"/>
      <c r="T4"/>
    </row>
    <row r="5" spans="1:20" s="8" customFormat="1">
      <c r="A5" s="69" t="s">
        <v>326</v>
      </c>
      <c r="B5" s="30"/>
      <c r="C5" s="29"/>
      <c r="D5" s="29"/>
      <c r="E5" s="29"/>
      <c r="T5" s="6"/>
    </row>
    <row r="6" spans="1:20" s="8" customFormat="1">
      <c r="A6" s="70" t="s">
        <v>327</v>
      </c>
      <c r="B6" s="30"/>
      <c r="C6" s="29"/>
      <c r="D6" s="29"/>
      <c r="E6" s="29"/>
      <c r="T6" s="6"/>
    </row>
    <row r="7" spans="1:20" s="14" customFormat="1">
      <c r="B7" s="39"/>
      <c r="C7" s="43"/>
      <c r="D7" s="43"/>
      <c r="E7" s="43"/>
    </row>
    <row r="8" spans="1:20" s="16" customFormat="1" ht="11">
      <c r="A8" s="15" t="s">
        <v>4</v>
      </c>
      <c r="B8" s="40"/>
      <c r="C8" s="40"/>
      <c r="D8" s="40"/>
      <c r="E8" s="40"/>
    </row>
    <row r="9" spans="1:20" s="16" customFormat="1" ht="11">
      <c r="A9" s="68" t="s">
        <v>310</v>
      </c>
      <c r="B9" s="40"/>
      <c r="C9" s="40"/>
      <c r="D9" s="40"/>
      <c r="E9" s="40"/>
    </row>
    <row r="10" spans="1:20" s="16" customFormat="1" ht="11">
      <c r="A10" s="15"/>
      <c r="B10" s="40"/>
      <c r="C10" s="40"/>
      <c r="D10" s="40"/>
      <c r="E10" s="40"/>
    </row>
    <row r="11" spans="1:20" s="16" customFormat="1" ht="11">
      <c r="A11" s="15" t="s">
        <v>59</v>
      </c>
      <c r="B11" s="40"/>
      <c r="C11" s="40"/>
      <c r="D11" s="40"/>
      <c r="E11" s="40"/>
    </row>
    <row r="12" spans="1:20" s="16" customFormat="1" ht="11">
      <c r="A12" s="68" t="s">
        <v>308</v>
      </c>
      <c r="B12" s="40"/>
      <c r="C12" s="40"/>
      <c r="D12" s="40"/>
      <c r="E12" s="40"/>
    </row>
    <row r="13" spans="1:20" s="16" customFormat="1" ht="11">
      <c r="A13" s="15"/>
      <c r="B13" s="40"/>
      <c r="C13" s="40"/>
      <c r="D13" s="40"/>
      <c r="E13" s="40"/>
      <c r="N13" s="65"/>
    </row>
    <row r="14" spans="1:20" s="16" customFormat="1" ht="11">
      <c r="A14" s="15" t="s">
        <v>122</v>
      </c>
      <c r="B14" s="40"/>
      <c r="C14" s="40"/>
      <c r="D14" s="40"/>
      <c r="E14" s="40"/>
    </row>
    <row r="15" spans="1:20" s="16" customFormat="1" ht="11">
      <c r="A15" s="68" t="s">
        <v>309</v>
      </c>
      <c r="B15" s="67" t="s">
        <v>314</v>
      </c>
      <c r="C15" s="40"/>
      <c r="D15" s="40"/>
      <c r="E15" s="40"/>
    </row>
    <row r="16" spans="1:20" s="16" customFormat="1" ht="11">
      <c r="A16" s="15"/>
      <c r="B16" s="40"/>
      <c r="C16" s="40"/>
      <c r="D16" s="40"/>
      <c r="E16" s="40"/>
    </row>
    <row r="17" spans="1:14" s="16" customFormat="1" ht="11">
      <c r="A17" s="15" t="s">
        <v>37</v>
      </c>
      <c r="B17" s="40"/>
      <c r="C17" s="40"/>
      <c r="D17" s="40"/>
      <c r="E17" s="40"/>
    </row>
    <row r="18" spans="1:14" s="16" customFormat="1" ht="11">
      <c r="A18" s="68" t="s">
        <v>311</v>
      </c>
      <c r="B18" s="67" t="s">
        <v>314</v>
      </c>
      <c r="C18" s="40"/>
      <c r="D18" s="40"/>
      <c r="E18" s="40"/>
    </row>
    <row r="19" spans="1:14" s="16" customFormat="1" ht="11">
      <c r="A19" s="15"/>
      <c r="B19" s="40"/>
      <c r="C19" s="40"/>
      <c r="D19" s="40"/>
      <c r="E19" s="40"/>
      <c r="N19" s="65"/>
    </row>
    <row r="20" spans="1:14" s="16" customFormat="1" ht="11">
      <c r="A20" s="15" t="s">
        <v>298</v>
      </c>
      <c r="B20" s="40"/>
      <c r="C20" s="40"/>
      <c r="D20" s="40"/>
      <c r="E20" s="40"/>
    </row>
    <row r="21" spans="1:14" s="16" customFormat="1" ht="11">
      <c r="A21" s="15" t="s">
        <v>300</v>
      </c>
      <c r="B21" s="40"/>
      <c r="C21" s="40"/>
      <c r="D21" s="40"/>
      <c r="E21" s="40"/>
      <c r="N21" s="65"/>
    </row>
    <row r="22" spans="1:14" s="16" customFormat="1" ht="11">
      <c r="A22" s="68" t="s">
        <v>312</v>
      </c>
      <c r="B22" s="40"/>
      <c r="C22" s="40"/>
      <c r="D22" s="40"/>
      <c r="E22" s="40"/>
      <c r="N22" s="65"/>
    </row>
    <row r="23" spans="1:14" s="16" customFormat="1" ht="11">
      <c r="A23" s="15"/>
      <c r="B23" s="40"/>
      <c r="C23" s="40"/>
      <c r="D23" s="40"/>
      <c r="E23" s="40"/>
    </row>
    <row r="24" spans="1:14" s="16" customFormat="1" ht="11">
      <c r="A24" s="15" t="s">
        <v>228</v>
      </c>
      <c r="B24" s="40"/>
      <c r="C24" s="40"/>
      <c r="D24" s="40"/>
      <c r="E24" s="40"/>
    </row>
    <row r="25" spans="1:14" s="16" customFormat="1" ht="11">
      <c r="A25" s="15" t="s">
        <v>229</v>
      </c>
      <c r="B25" s="40"/>
      <c r="C25" s="40"/>
      <c r="D25" s="40"/>
      <c r="E25" s="40"/>
    </row>
    <row r="26" spans="1:14" s="16" customFormat="1" ht="11">
      <c r="A26" s="68" t="s">
        <v>310</v>
      </c>
      <c r="B26" s="40"/>
      <c r="C26" s="40"/>
      <c r="D26" s="40"/>
      <c r="E26" s="40"/>
    </row>
    <row r="27" spans="1:14" s="16" customFormat="1" ht="11">
      <c r="A27" s="15"/>
      <c r="B27" s="40"/>
      <c r="C27" s="40"/>
      <c r="D27" s="40"/>
      <c r="E27" s="40"/>
    </row>
    <row r="28" spans="1:14" s="16" customFormat="1" ht="11">
      <c r="A28" s="15" t="s">
        <v>61</v>
      </c>
      <c r="B28" s="40"/>
      <c r="C28" s="40"/>
      <c r="D28" s="40"/>
      <c r="E28" s="40"/>
    </row>
    <row r="29" spans="1:14" s="16" customFormat="1" ht="11">
      <c r="A29" s="15"/>
      <c r="B29" s="67" t="s">
        <v>313</v>
      </c>
      <c r="C29" s="40"/>
      <c r="D29" s="40"/>
      <c r="E29" s="40"/>
    </row>
    <row r="30" spans="1:14" s="16" customFormat="1" ht="11">
      <c r="A30" s="15"/>
      <c r="B30" s="40"/>
      <c r="C30" s="40"/>
      <c r="D30" s="40"/>
      <c r="E30" s="40"/>
    </row>
    <row r="31" spans="1:14" s="16" customFormat="1" ht="11">
      <c r="A31" s="15" t="s">
        <v>9</v>
      </c>
      <c r="B31" s="40"/>
      <c r="C31" s="40"/>
      <c r="D31" s="40"/>
      <c r="E31" s="40"/>
    </row>
    <row r="32" spans="1:14" s="16" customFormat="1" ht="11">
      <c r="A32" s="68" t="s">
        <v>309</v>
      </c>
      <c r="B32" s="40"/>
      <c r="C32" s="40"/>
      <c r="D32" s="40"/>
      <c r="E32" s="40"/>
    </row>
    <row r="33" spans="1:17" s="16" customFormat="1" ht="11">
      <c r="A33" s="15"/>
      <c r="B33" s="40"/>
      <c r="C33" s="40"/>
      <c r="D33" s="40"/>
      <c r="E33" s="40"/>
    </row>
    <row r="34" spans="1:17" s="16" customFormat="1" ht="11">
      <c r="A34" s="15" t="s">
        <v>207</v>
      </c>
      <c r="B34" s="40"/>
      <c r="C34" s="40"/>
      <c r="D34" s="40"/>
      <c r="E34" s="40"/>
    </row>
    <row r="35" spans="1:17" s="16" customFormat="1" ht="11">
      <c r="A35" s="68" t="s">
        <v>315</v>
      </c>
      <c r="B35" s="40"/>
      <c r="C35" s="40"/>
      <c r="D35" s="40"/>
      <c r="E35" s="40"/>
    </row>
    <row r="36" spans="1:17" s="16" customFormat="1" ht="11">
      <c r="A36" s="15"/>
      <c r="B36" s="40"/>
      <c r="C36" s="40"/>
      <c r="D36" s="40"/>
      <c r="E36" s="40"/>
    </row>
    <row r="37" spans="1:17" s="17" customFormat="1" ht="11">
      <c r="A37" s="15" t="s">
        <v>21</v>
      </c>
      <c r="B37" s="40"/>
      <c r="C37" s="41"/>
      <c r="D37" s="41"/>
      <c r="E37" s="41"/>
      <c r="N37" s="16"/>
      <c r="Q37" s="16"/>
    </row>
    <row r="38" spans="1:17" s="17" customFormat="1" ht="11">
      <c r="A38" s="68" t="s">
        <v>310</v>
      </c>
      <c r="B38" s="40"/>
      <c r="C38" s="41"/>
      <c r="D38" s="41"/>
      <c r="E38" s="41"/>
      <c r="N38" s="16"/>
      <c r="Q38" s="16"/>
    </row>
    <row r="39" spans="1:17" s="17" customFormat="1" ht="11">
      <c r="A39" s="15"/>
      <c r="B39" s="40"/>
      <c r="C39" s="41"/>
      <c r="D39" s="41"/>
      <c r="E39" s="41"/>
      <c r="N39" s="16"/>
      <c r="Q39" s="16"/>
    </row>
    <row r="40" spans="1:17" s="17" customFormat="1" ht="11">
      <c r="A40" s="15"/>
      <c r="B40" s="40"/>
      <c r="C40" s="41"/>
      <c r="D40" s="41"/>
      <c r="E40" s="41"/>
      <c r="N40" s="16"/>
      <c r="Q40" s="16"/>
    </row>
    <row r="41" spans="1:17" s="17" customFormat="1" ht="11">
      <c r="A41" s="15" t="s">
        <v>230</v>
      </c>
      <c r="B41" s="40"/>
      <c r="C41" s="41"/>
      <c r="D41" s="41"/>
      <c r="E41" s="41"/>
      <c r="N41" s="16"/>
      <c r="O41" s="16"/>
      <c r="P41" s="16"/>
      <c r="Q41" s="16"/>
    </row>
    <row r="42" spans="1:17" s="17" customFormat="1" ht="11">
      <c r="A42" s="15" t="s">
        <v>231</v>
      </c>
      <c r="B42" s="40"/>
      <c r="C42" s="41"/>
      <c r="D42" s="41"/>
      <c r="E42" s="41"/>
      <c r="N42" s="16"/>
      <c r="Q42" s="16"/>
    </row>
    <row r="43" spans="1:17" s="17" customFormat="1" ht="11">
      <c r="A43" s="15" t="s">
        <v>232</v>
      </c>
      <c r="B43" s="40"/>
      <c r="C43" s="41"/>
      <c r="D43" s="41"/>
      <c r="E43" s="41"/>
      <c r="N43" s="16"/>
      <c r="Q43" s="16"/>
    </row>
    <row r="44" spans="1:17" s="17" customFormat="1" ht="11">
      <c r="A44" s="68" t="s">
        <v>308</v>
      </c>
      <c r="B44" s="40"/>
      <c r="C44" s="41"/>
      <c r="D44" s="41"/>
      <c r="E44" s="41"/>
      <c r="N44" s="16"/>
      <c r="Q44" s="16"/>
    </row>
    <row r="45" spans="1:17" s="17" customFormat="1" ht="11">
      <c r="A45" s="15"/>
      <c r="B45" s="40"/>
      <c r="C45" s="41"/>
      <c r="D45" s="41"/>
      <c r="E45" s="41"/>
      <c r="N45" s="16"/>
    </row>
    <row r="46" spans="1:17" s="17" customFormat="1" ht="11">
      <c r="A46" s="15" t="s">
        <v>58</v>
      </c>
      <c r="B46" s="40"/>
      <c r="C46" s="41"/>
      <c r="D46" s="41"/>
      <c r="E46" s="41"/>
    </row>
    <row r="47" spans="1:17" s="17" customFormat="1" ht="11">
      <c r="A47" s="15"/>
      <c r="B47" s="67" t="s">
        <v>316</v>
      </c>
      <c r="C47" s="41"/>
      <c r="D47" s="41"/>
      <c r="E47" s="41"/>
    </row>
    <row r="48" spans="1:17" s="17" customFormat="1" ht="11">
      <c r="A48" s="15"/>
      <c r="B48" s="40"/>
      <c r="C48" s="41"/>
      <c r="D48" s="41"/>
      <c r="E48" s="41"/>
    </row>
    <row r="49" spans="1:5" s="17" customFormat="1" ht="11">
      <c r="A49" s="15" t="s">
        <v>85</v>
      </c>
      <c r="B49" s="40"/>
      <c r="C49" s="41"/>
      <c r="D49" s="41"/>
      <c r="E49" s="41"/>
    </row>
    <row r="50" spans="1:5" s="17" customFormat="1" ht="11">
      <c r="A50" s="68" t="s">
        <v>311</v>
      </c>
      <c r="B50" s="40"/>
      <c r="C50" s="41"/>
      <c r="D50" s="41"/>
      <c r="E50" s="41"/>
    </row>
    <row r="51" spans="1:5" s="17" customFormat="1" ht="11">
      <c r="A51" s="15"/>
      <c r="B51" s="40"/>
      <c r="C51" s="41"/>
      <c r="D51" s="41"/>
      <c r="E51" s="41"/>
    </row>
    <row r="52" spans="1:5" s="17" customFormat="1" ht="11">
      <c r="A52" s="15" t="s">
        <v>40</v>
      </c>
      <c r="B52" s="40"/>
      <c r="C52" s="41"/>
      <c r="D52" s="41"/>
      <c r="E52" s="41"/>
    </row>
    <row r="53" spans="1:5" s="17" customFormat="1" ht="11">
      <c r="A53" s="68" t="s">
        <v>317</v>
      </c>
      <c r="B53" s="40"/>
      <c r="C53" s="41"/>
      <c r="D53" s="41"/>
      <c r="E53" s="41"/>
    </row>
    <row r="54" spans="1:5" s="17" customFormat="1" ht="11">
      <c r="A54" s="15"/>
      <c r="B54" s="40"/>
      <c r="C54" s="41"/>
      <c r="D54" s="41"/>
      <c r="E54" s="41"/>
    </row>
    <row r="55" spans="1:5" s="18" customFormat="1" ht="11">
      <c r="A55" s="15" t="s">
        <v>2</v>
      </c>
      <c r="B55" s="41"/>
      <c r="C55" s="45"/>
      <c r="D55" s="45"/>
      <c r="E55" s="45"/>
    </row>
    <row r="56" spans="1:5" s="18" customFormat="1" ht="11">
      <c r="A56" s="15"/>
      <c r="B56" s="67" t="s">
        <v>316</v>
      </c>
      <c r="C56" s="45"/>
      <c r="D56" s="45"/>
      <c r="E56" s="45"/>
    </row>
    <row r="57" spans="1:5" s="18" customFormat="1" ht="11">
      <c r="A57" s="15"/>
      <c r="B57" s="41"/>
      <c r="C57" s="45"/>
      <c r="D57" s="45"/>
      <c r="E57" s="45"/>
    </row>
    <row r="58" spans="1:5" s="18" customFormat="1" ht="11">
      <c r="A58" s="15" t="s">
        <v>23</v>
      </c>
      <c r="B58" s="41"/>
      <c r="C58" s="45"/>
      <c r="D58" s="45"/>
      <c r="E58" s="45"/>
    </row>
    <row r="59" spans="1:5" s="18" customFormat="1" ht="11">
      <c r="A59" s="15"/>
      <c r="B59" s="67" t="s">
        <v>316</v>
      </c>
      <c r="C59" s="45"/>
      <c r="D59" s="45"/>
      <c r="E59" s="45"/>
    </row>
    <row r="60" spans="1:5" s="18" customFormat="1" ht="11">
      <c r="A60" s="15"/>
      <c r="B60" s="41"/>
      <c r="C60" s="45"/>
      <c r="D60" s="45"/>
      <c r="E60" s="45"/>
    </row>
    <row r="61" spans="1:5" s="18" customFormat="1" ht="11">
      <c r="A61" s="15" t="s">
        <v>19</v>
      </c>
      <c r="B61" s="41"/>
      <c r="C61" s="45"/>
      <c r="D61" s="45"/>
      <c r="E61" s="45"/>
    </row>
    <row r="62" spans="1:5" s="18" customFormat="1" ht="11">
      <c r="A62" s="15"/>
      <c r="B62" s="67" t="s">
        <v>314</v>
      </c>
      <c r="C62" s="45"/>
      <c r="D62" s="45"/>
      <c r="E62" s="45"/>
    </row>
    <row r="63" spans="1:5" s="18" customFormat="1" ht="11">
      <c r="A63" s="15"/>
      <c r="B63" s="41"/>
      <c r="C63" s="45"/>
      <c r="D63" s="45"/>
      <c r="E63" s="45"/>
    </row>
    <row r="64" spans="1:5" s="18" customFormat="1" ht="11">
      <c r="A64" s="15" t="s">
        <v>34</v>
      </c>
      <c r="B64" s="41"/>
      <c r="C64" s="45"/>
      <c r="D64" s="45"/>
      <c r="E64" s="45"/>
    </row>
    <row r="65" spans="1:5" s="18" customFormat="1" ht="11">
      <c r="A65" s="68" t="s">
        <v>308</v>
      </c>
      <c r="B65" s="67" t="s">
        <v>314</v>
      </c>
      <c r="C65" s="45"/>
      <c r="D65" s="45"/>
      <c r="E65" s="45"/>
    </row>
    <row r="66" spans="1:5" s="18" customFormat="1" ht="11">
      <c r="A66" s="68"/>
      <c r="B66" s="67"/>
      <c r="C66" s="45"/>
      <c r="D66" s="45"/>
      <c r="E66" s="45"/>
    </row>
    <row r="67" spans="1:5" s="18" customFormat="1" ht="11">
      <c r="A67" s="15"/>
      <c r="B67" s="41"/>
      <c r="C67" s="45"/>
      <c r="D67" s="45"/>
      <c r="E67" s="45"/>
    </row>
    <row r="68" spans="1:5" s="18" customFormat="1" ht="11">
      <c r="A68" s="15" t="s">
        <v>233</v>
      </c>
      <c r="B68" s="41"/>
      <c r="C68" s="45"/>
      <c r="D68" s="45"/>
      <c r="E68" s="45"/>
    </row>
    <row r="69" spans="1:5" s="18" customFormat="1" ht="11">
      <c r="A69" s="15" t="s">
        <v>234</v>
      </c>
      <c r="B69" s="41"/>
      <c r="C69" s="45"/>
      <c r="D69" s="45"/>
      <c r="E69" s="45"/>
    </row>
    <row r="70" spans="1:5" s="18" customFormat="1" ht="11">
      <c r="A70" s="68" t="s">
        <v>311</v>
      </c>
      <c r="B70" s="41"/>
      <c r="C70" s="45"/>
      <c r="D70" s="45"/>
      <c r="E70" s="45"/>
    </row>
    <row r="71" spans="1:5" s="18" customFormat="1" ht="11">
      <c r="A71" s="15"/>
      <c r="B71" s="41"/>
      <c r="C71" s="45"/>
      <c r="D71" s="45"/>
      <c r="E71" s="45"/>
    </row>
    <row r="72" spans="1:5" s="18" customFormat="1" ht="11">
      <c r="A72" s="15" t="s">
        <v>113</v>
      </c>
      <c r="B72" s="41"/>
      <c r="C72" s="45"/>
      <c r="D72" s="45"/>
      <c r="E72" s="45"/>
    </row>
    <row r="73" spans="1:5" s="18" customFormat="1" ht="11">
      <c r="A73" s="68" t="s">
        <v>308</v>
      </c>
      <c r="B73" s="41"/>
      <c r="C73" s="45"/>
      <c r="D73" s="45"/>
      <c r="E73" s="45"/>
    </row>
    <row r="74" spans="1:5" s="18" customFormat="1" ht="11">
      <c r="A74" s="15"/>
      <c r="B74" s="41"/>
      <c r="C74" s="45"/>
      <c r="D74" s="45"/>
      <c r="E74" s="45"/>
    </row>
    <row r="75" spans="1:5" s="18" customFormat="1" ht="11">
      <c r="A75" s="15" t="s">
        <v>235</v>
      </c>
      <c r="B75" s="41"/>
      <c r="C75" s="45"/>
      <c r="D75" s="45"/>
      <c r="E75" s="45"/>
    </row>
    <row r="76" spans="1:5" s="18" customFormat="1" ht="11">
      <c r="A76" s="68" t="s">
        <v>311</v>
      </c>
      <c r="B76" s="67" t="s">
        <v>314</v>
      </c>
      <c r="C76" s="45"/>
      <c r="D76" s="45"/>
      <c r="E76" s="45"/>
    </row>
    <row r="77" spans="1:5" s="18" customFormat="1" ht="11">
      <c r="A77" s="15"/>
      <c r="B77" s="41"/>
      <c r="C77" s="45"/>
      <c r="D77" s="45"/>
      <c r="E77" s="45"/>
    </row>
    <row r="78" spans="1:5" s="18" customFormat="1" ht="11">
      <c r="A78" s="15" t="s">
        <v>236</v>
      </c>
      <c r="B78" s="41"/>
      <c r="C78" s="45"/>
      <c r="D78" s="45"/>
      <c r="E78" s="45"/>
    </row>
    <row r="79" spans="1:5" s="18" customFormat="1" ht="11">
      <c r="A79" s="15" t="s">
        <v>297</v>
      </c>
      <c r="B79" s="41"/>
      <c r="C79" s="45"/>
      <c r="D79" s="45"/>
      <c r="E79" s="45"/>
    </row>
    <row r="80" spans="1:5" s="18" customFormat="1" ht="11">
      <c r="A80" s="68" t="s">
        <v>308</v>
      </c>
      <c r="B80" s="41"/>
      <c r="C80" s="45"/>
      <c r="D80" s="45"/>
      <c r="E80" s="45"/>
    </row>
    <row r="81" spans="1:5" s="18" customFormat="1" ht="11">
      <c r="A81" s="15"/>
      <c r="B81" s="41"/>
      <c r="C81" s="45"/>
      <c r="D81" s="45"/>
      <c r="E81" s="45"/>
    </row>
    <row r="82" spans="1:5" s="18" customFormat="1" ht="11">
      <c r="A82" s="15" t="s">
        <v>237</v>
      </c>
      <c r="B82" s="41"/>
      <c r="C82" s="45"/>
      <c r="D82" s="45"/>
      <c r="E82" s="45"/>
    </row>
    <row r="83" spans="1:5" s="18" customFormat="1" ht="11">
      <c r="A83" s="15" t="s">
        <v>238</v>
      </c>
      <c r="B83" s="41"/>
      <c r="C83" s="45"/>
      <c r="D83" s="45"/>
      <c r="E83" s="45"/>
    </row>
    <row r="84" spans="1:5" s="18" customFormat="1" ht="11">
      <c r="A84" s="68" t="s">
        <v>315</v>
      </c>
      <c r="B84" s="67" t="s">
        <v>313</v>
      </c>
      <c r="C84" s="45"/>
      <c r="D84" s="45"/>
      <c r="E84" s="45"/>
    </row>
    <row r="85" spans="1:5" s="18" customFormat="1" ht="11">
      <c r="A85" s="15"/>
      <c r="B85" s="41"/>
      <c r="C85" s="45"/>
      <c r="D85" s="45"/>
      <c r="E85" s="45"/>
    </row>
    <row r="86" spans="1:5" s="18" customFormat="1" ht="11">
      <c r="A86" s="15" t="s">
        <v>239</v>
      </c>
      <c r="B86" s="41"/>
      <c r="C86" s="45"/>
      <c r="D86" s="45"/>
      <c r="E86" s="45"/>
    </row>
    <row r="87" spans="1:5" s="18" customFormat="1" ht="11">
      <c r="A87" s="15" t="s">
        <v>240</v>
      </c>
      <c r="B87" s="41"/>
      <c r="C87" s="45"/>
      <c r="D87" s="45"/>
      <c r="E87" s="45"/>
    </row>
    <row r="88" spans="1:5" s="18" customFormat="1" ht="11">
      <c r="A88" s="68" t="s">
        <v>309</v>
      </c>
      <c r="B88" s="41"/>
      <c r="C88" s="45"/>
      <c r="D88" s="45"/>
      <c r="E88" s="45"/>
    </row>
    <row r="89" spans="1:5" s="18" customFormat="1" ht="11">
      <c r="A89" s="15"/>
      <c r="B89" s="41"/>
      <c r="C89" s="45"/>
      <c r="D89" s="45"/>
      <c r="E89" s="45"/>
    </row>
    <row r="90" spans="1:5" s="18" customFormat="1" ht="11">
      <c r="A90" s="15" t="s">
        <v>132</v>
      </c>
      <c r="B90" s="41"/>
      <c r="C90" s="45"/>
      <c r="D90" s="45"/>
      <c r="E90" s="45"/>
    </row>
    <row r="91" spans="1:5" s="18" customFormat="1" ht="11">
      <c r="A91" s="68" t="s">
        <v>311</v>
      </c>
      <c r="B91" s="41"/>
      <c r="C91" s="45"/>
      <c r="D91" s="45"/>
      <c r="E91" s="45"/>
    </row>
    <row r="92" spans="1:5" s="18" customFormat="1" ht="11">
      <c r="A92" s="15"/>
      <c r="B92" s="41"/>
      <c r="C92" s="45"/>
      <c r="D92" s="45"/>
      <c r="E92" s="45"/>
    </row>
    <row r="93" spans="1:5" s="18" customFormat="1" ht="11">
      <c r="A93" s="15" t="s">
        <v>79</v>
      </c>
      <c r="B93" s="41"/>
      <c r="C93" s="45"/>
      <c r="D93" s="45"/>
      <c r="E93" s="45"/>
    </row>
    <row r="94" spans="1:5">
      <c r="A94" s="68" t="s">
        <v>311</v>
      </c>
    </row>
    <row r="97" spans="1:11">
      <c r="B97" s="71" t="s">
        <v>328</v>
      </c>
      <c r="D97" s="71"/>
      <c r="E97" s="71"/>
      <c r="H97" s="72" t="s">
        <v>329</v>
      </c>
      <c r="J97" s="72"/>
      <c r="K97" s="72"/>
    </row>
    <row r="99" spans="1:11">
      <c r="B99" t="s">
        <v>318</v>
      </c>
      <c r="C99">
        <v>15</v>
      </c>
      <c r="H99" t="s">
        <v>320</v>
      </c>
      <c r="I99">
        <v>8</v>
      </c>
    </row>
    <row r="100" spans="1:11">
      <c r="B100" t="s">
        <v>319</v>
      </c>
      <c r="C100">
        <v>8</v>
      </c>
      <c r="H100" t="s">
        <v>322</v>
      </c>
      <c r="I100">
        <v>5</v>
      </c>
    </row>
    <row r="101" spans="1:11">
      <c r="B101" t="s">
        <v>324</v>
      </c>
      <c r="C101">
        <v>11</v>
      </c>
    </row>
    <row r="103" spans="1:11">
      <c r="A103" t="s">
        <v>330</v>
      </c>
      <c r="H103" t="s">
        <v>321</v>
      </c>
    </row>
    <row r="104" spans="1:11">
      <c r="B104" t="s">
        <v>331</v>
      </c>
    </row>
    <row r="105" spans="1:11">
      <c r="B105" t="s">
        <v>332</v>
      </c>
    </row>
    <row r="106" spans="1:11">
      <c r="A106" t="s">
        <v>333</v>
      </c>
      <c r="H106" t="s">
        <v>323</v>
      </c>
    </row>
    <row r="107" spans="1:11">
      <c r="B107" t="s">
        <v>334</v>
      </c>
    </row>
    <row r="108" spans="1:11">
      <c r="B108" t="s">
        <v>335</v>
      </c>
    </row>
    <row r="109" spans="1:11">
      <c r="A109" t="s">
        <v>325</v>
      </c>
    </row>
    <row r="114" spans="1:12">
      <c r="A114" s="10"/>
      <c r="B114" s="14"/>
      <c r="C114" s="14"/>
      <c r="D114" s="14"/>
      <c r="E114" s="14"/>
      <c r="F114" s="14"/>
      <c r="G114" s="14"/>
      <c r="H114" s="14"/>
      <c r="I114" s="14"/>
      <c r="J114" s="14"/>
      <c r="K114" s="14"/>
      <c r="L114" s="14"/>
    </row>
    <row r="115" spans="1:12">
      <c r="A115" s="14"/>
      <c r="B115" s="16"/>
      <c r="C115" s="16"/>
      <c r="D115" s="16"/>
      <c r="E115" s="16"/>
      <c r="F115" s="16"/>
      <c r="G115" s="16"/>
      <c r="H115" s="16"/>
      <c r="I115" s="16"/>
      <c r="J115" s="16"/>
      <c r="K115" s="16"/>
      <c r="L115" s="16"/>
    </row>
    <row r="116" spans="1:12">
      <c r="A116" s="16"/>
      <c r="B116" s="16"/>
      <c r="C116" s="16"/>
      <c r="D116" s="16"/>
      <c r="E116" s="16"/>
      <c r="F116" s="16"/>
      <c r="G116" s="16"/>
      <c r="H116" s="16"/>
      <c r="I116" s="16"/>
      <c r="J116" s="16"/>
      <c r="K116" s="16"/>
      <c r="L116" s="16"/>
    </row>
    <row r="117" spans="1:12">
      <c r="A117" s="16"/>
      <c r="B117" s="16"/>
      <c r="C117" s="16"/>
      <c r="D117" s="16"/>
      <c r="E117" s="16"/>
      <c r="F117" s="16"/>
      <c r="G117" s="16"/>
      <c r="H117" s="16"/>
      <c r="I117" s="16"/>
      <c r="J117" s="16"/>
      <c r="K117" s="16"/>
      <c r="L117" s="16"/>
    </row>
    <row r="118" spans="1:12">
      <c r="A118" s="16"/>
      <c r="B118" s="16"/>
      <c r="C118" s="16"/>
      <c r="D118" s="16"/>
      <c r="E118" s="16"/>
      <c r="F118" s="16"/>
      <c r="G118" s="16"/>
      <c r="H118" s="16"/>
      <c r="I118" s="16"/>
      <c r="J118" s="16"/>
      <c r="K118" s="16"/>
      <c r="L118" s="16"/>
    </row>
    <row r="119" spans="1:12">
      <c r="A119" s="16"/>
      <c r="B119" s="16"/>
      <c r="C119" s="16"/>
      <c r="D119" s="65"/>
      <c r="E119" s="16"/>
      <c r="F119" s="16"/>
      <c r="G119" s="16"/>
      <c r="H119" s="16"/>
      <c r="I119" s="16"/>
      <c r="J119" s="16"/>
      <c r="K119" s="16"/>
      <c r="L119" s="16"/>
    </row>
    <row r="120" spans="1:12">
      <c r="A120" s="16"/>
      <c r="B120" s="16"/>
      <c r="C120" s="16"/>
      <c r="D120" s="16"/>
      <c r="E120" s="16"/>
      <c r="F120" s="16"/>
      <c r="G120" s="16"/>
      <c r="H120" s="16"/>
      <c r="I120" s="16"/>
      <c r="J120" s="16"/>
      <c r="K120" s="16"/>
      <c r="L120" s="16"/>
    </row>
    <row r="121" spans="1:12">
      <c r="A121" s="16"/>
      <c r="B121" s="16"/>
      <c r="C121" s="16"/>
      <c r="D121" s="65"/>
      <c r="E121" s="16"/>
      <c r="F121" s="16"/>
      <c r="G121" s="16"/>
      <c r="H121" s="16"/>
      <c r="I121" s="16"/>
      <c r="J121" s="16"/>
      <c r="K121" s="16"/>
      <c r="L121" s="16"/>
    </row>
    <row r="122" spans="1:12">
      <c r="A122" s="16"/>
      <c r="B122" s="16"/>
      <c r="C122" s="16"/>
      <c r="D122" s="16"/>
      <c r="E122" s="16"/>
      <c r="F122" s="16"/>
      <c r="G122" s="16"/>
      <c r="H122" s="16"/>
      <c r="I122" s="16"/>
      <c r="J122" s="16"/>
      <c r="K122" s="16"/>
      <c r="L122" s="16"/>
    </row>
    <row r="123" spans="1:12">
      <c r="A123" s="16"/>
      <c r="B123" s="16"/>
      <c r="C123" s="16"/>
      <c r="D123" s="16"/>
      <c r="E123" s="16"/>
      <c r="F123" s="16"/>
      <c r="G123" s="16"/>
      <c r="H123" s="16"/>
      <c r="I123" s="16"/>
      <c r="J123" s="16"/>
      <c r="K123" s="16"/>
      <c r="L123" s="16"/>
    </row>
    <row r="124" spans="1:12">
      <c r="A124" s="16"/>
      <c r="B124" s="16"/>
      <c r="C124" s="16"/>
      <c r="D124" s="16"/>
      <c r="E124" s="16"/>
      <c r="F124" s="16"/>
      <c r="G124" s="16"/>
      <c r="H124" s="16"/>
      <c r="I124" s="16"/>
      <c r="J124" s="16"/>
      <c r="K124" s="16"/>
      <c r="L124" s="16"/>
    </row>
    <row r="125" spans="1:12">
      <c r="A125" s="16"/>
      <c r="B125" s="16"/>
      <c r="C125" s="16"/>
      <c r="D125" s="16"/>
      <c r="E125" s="16"/>
      <c r="F125" s="16"/>
      <c r="G125" s="16"/>
      <c r="H125" s="16"/>
      <c r="I125" s="16"/>
      <c r="J125" s="16"/>
      <c r="K125" s="16"/>
      <c r="L125" s="16"/>
    </row>
    <row r="126" spans="1:12">
      <c r="A126" s="16"/>
      <c r="B126" s="16"/>
      <c r="C126" s="16"/>
      <c r="D126" s="16"/>
      <c r="E126" s="16"/>
      <c r="F126" s="16"/>
      <c r="G126" s="16"/>
      <c r="H126" s="16"/>
      <c r="I126" s="16"/>
      <c r="J126" s="16"/>
      <c r="K126" s="16"/>
      <c r="L126" s="16"/>
    </row>
    <row r="127" spans="1:12">
      <c r="A127" s="16"/>
      <c r="B127" s="16"/>
      <c r="C127" s="16"/>
      <c r="D127" s="16"/>
      <c r="E127" s="16"/>
      <c r="F127" s="16"/>
      <c r="G127" s="16"/>
      <c r="H127" s="16"/>
      <c r="I127" s="16"/>
      <c r="J127" s="16"/>
      <c r="K127" s="16"/>
      <c r="L127" s="16"/>
    </row>
    <row r="128" spans="1:12">
      <c r="A128" s="16"/>
      <c r="B128" s="16"/>
      <c r="C128" s="16"/>
      <c r="D128" s="16"/>
      <c r="E128" s="16"/>
      <c r="F128" s="16"/>
      <c r="G128" s="16"/>
      <c r="H128" s="16"/>
      <c r="I128" s="16"/>
      <c r="J128" s="16"/>
      <c r="K128" s="16"/>
      <c r="L128" s="16"/>
    </row>
    <row r="129" spans="1:12">
      <c r="A129" s="16"/>
      <c r="B129" s="16"/>
      <c r="C129" s="16"/>
      <c r="D129" s="65"/>
      <c r="E129" s="16"/>
      <c r="F129" s="16"/>
      <c r="G129" s="16"/>
      <c r="H129" s="16"/>
      <c r="I129" s="16"/>
      <c r="J129" s="16"/>
      <c r="K129" s="16"/>
      <c r="L129" s="16"/>
    </row>
    <row r="130" spans="1:12">
      <c r="A130" s="16"/>
      <c r="B130" s="16"/>
      <c r="C130" s="16"/>
      <c r="D130" s="16"/>
      <c r="E130" s="16"/>
      <c r="F130" s="16"/>
      <c r="G130" s="16"/>
      <c r="H130" s="16"/>
      <c r="I130" s="16"/>
      <c r="J130" s="16"/>
      <c r="K130" s="16"/>
      <c r="L130" s="16"/>
    </row>
    <row r="131" spans="1:12">
      <c r="A131" s="16"/>
      <c r="B131" s="16"/>
      <c r="C131" s="16"/>
      <c r="D131" s="16"/>
      <c r="E131" s="16"/>
      <c r="F131" s="16"/>
      <c r="G131" s="16"/>
      <c r="H131" s="16"/>
      <c r="I131" s="16"/>
      <c r="J131" s="16"/>
      <c r="K131" s="16"/>
      <c r="L131" s="16"/>
    </row>
    <row r="132" spans="1:12">
      <c r="A132" s="16"/>
      <c r="B132" s="16"/>
      <c r="C132" s="16"/>
      <c r="D132" s="16"/>
      <c r="E132" s="16"/>
      <c r="F132" s="16"/>
      <c r="G132" s="16"/>
      <c r="H132" s="16"/>
      <c r="I132" s="16"/>
      <c r="J132" s="16"/>
      <c r="K132" s="16"/>
      <c r="L132" s="16"/>
    </row>
    <row r="133" spans="1:12">
      <c r="A133" s="16"/>
      <c r="B133" s="16"/>
      <c r="C133" s="16"/>
      <c r="D133" s="16"/>
      <c r="E133" s="16"/>
      <c r="F133" s="16"/>
      <c r="G133" s="16"/>
      <c r="H133" s="16"/>
      <c r="I133" s="16"/>
      <c r="J133" s="16"/>
      <c r="K133" s="16"/>
      <c r="L133" s="16"/>
    </row>
    <row r="134" spans="1:12">
      <c r="A134" s="16"/>
      <c r="B134" s="16"/>
      <c r="C134" s="16"/>
      <c r="D134" s="16"/>
      <c r="E134" s="16"/>
      <c r="F134" s="16"/>
      <c r="G134" s="16"/>
      <c r="H134" s="16"/>
      <c r="I134" s="16"/>
      <c r="J134" s="16"/>
      <c r="K134" s="16"/>
      <c r="L134" s="16"/>
    </row>
    <row r="135" spans="1:12">
      <c r="A135" s="16"/>
      <c r="B135" s="17"/>
      <c r="C135" s="17"/>
      <c r="D135" s="17"/>
      <c r="E135" s="17"/>
      <c r="F135" s="17"/>
      <c r="G135" s="17"/>
      <c r="H135" s="17"/>
      <c r="I135" s="17"/>
      <c r="J135" s="17"/>
      <c r="K135" s="17"/>
      <c r="L135" s="17"/>
    </row>
    <row r="136" spans="1:12">
      <c r="A136" s="17"/>
      <c r="B136" s="17"/>
      <c r="C136" s="17"/>
      <c r="D136" s="17"/>
      <c r="E136" s="17"/>
      <c r="F136" s="17"/>
      <c r="G136" s="17"/>
      <c r="H136" s="17"/>
      <c r="I136" s="17"/>
      <c r="J136" s="17"/>
      <c r="K136" s="17"/>
      <c r="L136" s="17"/>
    </row>
    <row r="137" spans="1:12">
      <c r="A137" s="16"/>
      <c r="B137" s="17"/>
      <c r="C137" s="17"/>
      <c r="D137" s="17"/>
      <c r="E137" s="17"/>
      <c r="F137" s="17"/>
      <c r="G137" s="17"/>
      <c r="H137" s="17"/>
      <c r="I137" s="17"/>
      <c r="J137" s="17"/>
      <c r="K137" s="17"/>
      <c r="L137" s="17"/>
    </row>
    <row r="138" spans="1:12">
      <c r="A138" s="17"/>
      <c r="B138" s="17"/>
      <c r="C138" s="17"/>
      <c r="D138" s="17"/>
      <c r="E138" s="17"/>
      <c r="F138" s="17"/>
      <c r="G138" s="17"/>
      <c r="H138" s="17"/>
      <c r="I138" s="17"/>
      <c r="J138" s="17"/>
      <c r="K138" s="17"/>
      <c r="L138" s="17"/>
    </row>
    <row r="139" spans="1:12">
      <c r="A139" s="17"/>
      <c r="B139" s="17"/>
      <c r="C139" s="17"/>
      <c r="D139" s="17"/>
      <c r="E139" s="17"/>
      <c r="F139" s="17"/>
      <c r="G139" s="17"/>
      <c r="H139" s="17"/>
      <c r="I139" s="17"/>
      <c r="J139" s="17"/>
      <c r="K139" s="17"/>
      <c r="L139" s="17"/>
    </row>
    <row r="140" spans="1:12">
      <c r="A140" s="17"/>
      <c r="B140" s="17"/>
      <c r="C140" s="17"/>
      <c r="D140" s="17"/>
      <c r="E140" s="17"/>
      <c r="F140" s="17"/>
      <c r="G140" s="17"/>
      <c r="H140" s="17"/>
      <c r="I140" s="17"/>
      <c r="J140" s="17"/>
      <c r="K140" s="17"/>
      <c r="L140" s="17"/>
    </row>
    <row r="141" spans="1:12">
      <c r="A141" s="17"/>
      <c r="B141" s="17"/>
      <c r="C141" s="17"/>
      <c r="D141" s="65"/>
      <c r="E141" s="17"/>
      <c r="F141" s="17"/>
      <c r="G141" s="17"/>
      <c r="H141" s="17"/>
      <c r="I141" s="17"/>
      <c r="J141" s="17"/>
      <c r="K141" s="17"/>
      <c r="L141" s="17"/>
    </row>
    <row r="142" spans="1:12">
      <c r="A142" s="17"/>
      <c r="B142" s="17"/>
      <c r="C142" s="17"/>
      <c r="D142" s="17"/>
      <c r="E142" s="17"/>
      <c r="F142" s="17"/>
      <c r="G142" s="17"/>
      <c r="H142" s="17"/>
      <c r="I142" s="17"/>
      <c r="J142" s="17"/>
      <c r="K142" s="17"/>
      <c r="L142" s="17"/>
    </row>
    <row r="143" spans="1:12">
      <c r="A143" s="16"/>
      <c r="B143" s="17"/>
      <c r="C143" s="17"/>
      <c r="D143" s="17"/>
      <c r="E143" s="17"/>
      <c r="F143" s="17"/>
      <c r="G143" s="17"/>
      <c r="H143" s="17"/>
      <c r="I143" s="17"/>
      <c r="J143" s="17"/>
      <c r="K143" s="17"/>
      <c r="L143" s="17"/>
    </row>
    <row r="144" spans="1:12">
      <c r="A144" s="16"/>
      <c r="B144" s="17"/>
      <c r="C144" s="17"/>
      <c r="D144" s="17"/>
      <c r="E144" s="17"/>
      <c r="F144" s="17"/>
      <c r="G144" s="17"/>
      <c r="H144" s="17"/>
      <c r="I144" s="17"/>
      <c r="J144" s="17"/>
      <c r="K144" s="17"/>
      <c r="L144" s="17"/>
    </row>
    <row r="145" spans="1:12">
      <c r="A145" s="16"/>
      <c r="B145" s="17"/>
      <c r="C145" s="17"/>
      <c r="D145" s="17"/>
      <c r="E145" s="17"/>
      <c r="F145" s="17"/>
      <c r="G145" s="17"/>
      <c r="H145" s="17"/>
      <c r="I145" s="17"/>
      <c r="J145" s="17"/>
      <c r="K145" s="17"/>
      <c r="L145" s="17"/>
    </row>
    <row r="146" spans="1:12">
      <c r="A146" s="16"/>
      <c r="B146" s="17"/>
      <c r="C146" s="17"/>
      <c r="D146" s="17"/>
      <c r="E146" s="17"/>
      <c r="F146" s="17"/>
      <c r="G146" s="17"/>
      <c r="H146" s="17"/>
      <c r="I146" s="17"/>
      <c r="J146" s="17"/>
      <c r="K146" s="17"/>
      <c r="L146" s="17"/>
    </row>
    <row r="147" spans="1:12">
      <c r="A147" s="16"/>
      <c r="B147" s="18"/>
      <c r="C147" s="18"/>
      <c r="D147" s="65"/>
      <c r="E147" s="18"/>
      <c r="F147" s="18"/>
      <c r="G147" s="18"/>
      <c r="H147" s="18"/>
      <c r="I147" s="18"/>
      <c r="J147" s="18"/>
      <c r="K147" s="18"/>
      <c r="L147" s="18"/>
    </row>
    <row r="148" spans="1:12">
      <c r="A148" s="18"/>
      <c r="B148" s="18"/>
      <c r="C148" s="18"/>
      <c r="D148" s="18"/>
      <c r="E148" s="18"/>
      <c r="F148" s="18"/>
      <c r="G148" s="18"/>
      <c r="H148" s="18"/>
      <c r="I148" s="18"/>
      <c r="J148" s="18"/>
      <c r="K148" s="18"/>
      <c r="L148" s="18"/>
    </row>
    <row r="149" spans="1:12">
      <c r="A149" s="18"/>
      <c r="B149" s="18"/>
      <c r="C149" s="18"/>
      <c r="D149" s="65"/>
      <c r="E149" s="18"/>
      <c r="F149" s="18"/>
      <c r="G149" s="18"/>
      <c r="H149" s="18"/>
      <c r="I149" s="18"/>
      <c r="J149" s="18"/>
      <c r="K149" s="18"/>
      <c r="L149" s="18"/>
    </row>
    <row r="150" spans="1:12">
      <c r="A150" s="18"/>
      <c r="B150" s="18"/>
      <c r="C150" s="18"/>
      <c r="D150" s="18"/>
      <c r="E150" s="18"/>
      <c r="F150" s="18"/>
      <c r="G150" s="18"/>
      <c r="H150" s="18"/>
      <c r="I150" s="18"/>
      <c r="J150" s="18"/>
      <c r="K150" s="18"/>
      <c r="L150" s="18"/>
    </row>
    <row r="151" spans="1:12">
      <c r="A151" s="18"/>
      <c r="B151" s="18"/>
      <c r="C151" s="18"/>
      <c r="D151" s="65"/>
      <c r="E151" s="18"/>
      <c r="F151" s="18"/>
      <c r="G151" s="18"/>
      <c r="H151" s="18"/>
      <c r="I151" s="18"/>
      <c r="J151" s="18"/>
      <c r="K151" s="18"/>
      <c r="L151" s="18"/>
    </row>
    <row r="152" spans="1:12">
      <c r="A152" s="18"/>
      <c r="B152" s="18"/>
      <c r="C152" s="18"/>
      <c r="D152" s="18"/>
      <c r="E152" s="18"/>
      <c r="F152" s="18"/>
      <c r="G152" s="18"/>
      <c r="H152" s="18"/>
      <c r="I152" s="18"/>
      <c r="J152" s="18"/>
      <c r="K152" s="18"/>
      <c r="L152" s="18"/>
    </row>
    <row r="153" spans="1:12">
      <c r="A153" s="18"/>
      <c r="B153" s="18"/>
      <c r="C153" s="18"/>
      <c r="D153" s="65"/>
      <c r="E153" s="18"/>
      <c r="F153" s="18"/>
      <c r="G153" s="18"/>
      <c r="H153" s="18"/>
      <c r="I153" s="18"/>
      <c r="J153" s="18"/>
      <c r="K153" s="18"/>
      <c r="L153" s="18"/>
    </row>
    <row r="154" spans="1:12">
      <c r="A154" s="18"/>
      <c r="B154" s="18"/>
      <c r="C154" s="18"/>
      <c r="D154" s="18"/>
      <c r="E154" s="18"/>
      <c r="F154" s="18"/>
      <c r="G154" s="18"/>
      <c r="H154" s="18"/>
      <c r="I154" s="18"/>
      <c r="J154" s="18"/>
      <c r="K154" s="18"/>
      <c r="L154" s="18"/>
    </row>
    <row r="155" spans="1:12">
      <c r="A155" s="18"/>
      <c r="B155" s="18"/>
      <c r="C155" s="18"/>
      <c r="D155" s="65"/>
      <c r="E155" s="18"/>
      <c r="F155" s="18"/>
      <c r="G155" s="18"/>
      <c r="H155" s="18"/>
      <c r="I155" s="18"/>
      <c r="J155" s="18"/>
      <c r="K155" s="18"/>
      <c r="L155" s="18"/>
    </row>
    <row r="156" spans="1:12">
      <c r="A156" s="18"/>
      <c r="B156" s="18"/>
      <c r="C156" s="18"/>
      <c r="D156" s="18"/>
      <c r="E156" s="18"/>
      <c r="F156" s="18"/>
      <c r="G156" s="18"/>
      <c r="H156" s="18"/>
      <c r="I156" s="18"/>
      <c r="J156" s="18"/>
      <c r="K156" s="18"/>
      <c r="L156" s="18"/>
    </row>
    <row r="157" spans="1:12">
      <c r="A157" s="18"/>
      <c r="B157" s="18"/>
      <c r="C157" s="18"/>
      <c r="D157" s="18"/>
      <c r="E157" s="18"/>
      <c r="F157" s="18"/>
      <c r="G157" s="18"/>
      <c r="H157" s="18"/>
      <c r="I157" s="18"/>
      <c r="J157" s="18"/>
      <c r="K157" s="18"/>
      <c r="L157" s="18"/>
    </row>
    <row r="158" spans="1:12">
      <c r="A158" s="18"/>
      <c r="B158" s="18"/>
      <c r="C158" s="18"/>
      <c r="D158" s="18"/>
      <c r="E158" s="18"/>
      <c r="F158" s="18"/>
      <c r="G158" s="18"/>
      <c r="H158" s="18"/>
      <c r="I158" s="18"/>
      <c r="J158" s="18"/>
      <c r="K158" s="18"/>
      <c r="L158" s="18"/>
    </row>
    <row r="159" spans="1:12">
      <c r="A159" s="18"/>
      <c r="B159" s="18"/>
      <c r="C159" s="18"/>
      <c r="D159" s="18"/>
      <c r="E159" s="18"/>
      <c r="F159" s="18"/>
      <c r="G159" s="18"/>
      <c r="H159" s="18"/>
      <c r="I159" s="18"/>
      <c r="J159" s="18"/>
      <c r="K159" s="18"/>
      <c r="L159" s="18"/>
    </row>
    <row r="160" spans="1:12">
      <c r="A160" s="18"/>
      <c r="B160" s="18"/>
      <c r="C160" s="18"/>
      <c r="D160" s="65"/>
      <c r="E160" s="18"/>
      <c r="F160" s="18"/>
      <c r="G160" s="18"/>
      <c r="H160" s="18"/>
      <c r="I160" s="18"/>
      <c r="J160" s="18"/>
      <c r="K160" s="18"/>
      <c r="L160" s="18"/>
    </row>
    <row r="161" spans="1:12">
      <c r="A161" s="18"/>
      <c r="B161" s="18"/>
      <c r="C161" s="18"/>
      <c r="D161" s="18"/>
      <c r="E161" s="18"/>
      <c r="F161" s="18"/>
      <c r="G161" s="18"/>
      <c r="H161" s="18"/>
      <c r="I161" s="18"/>
      <c r="J161" s="18"/>
      <c r="K161" s="18"/>
      <c r="L161" s="18"/>
    </row>
    <row r="162" spans="1:12">
      <c r="A162" s="18"/>
      <c r="B162" s="18"/>
      <c r="C162" s="18"/>
      <c r="D162" s="18"/>
      <c r="E162" s="18"/>
      <c r="F162" s="18"/>
      <c r="G162" s="18"/>
      <c r="H162" s="18"/>
      <c r="I162" s="18"/>
      <c r="J162" s="18"/>
      <c r="K162" s="18"/>
      <c r="L162" s="18"/>
    </row>
    <row r="163" spans="1:12">
      <c r="A163" s="18"/>
      <c r="B163" s="18"/>
      <c r="C163" s="18"/>
      <c r="D163" s="18"/>
      <c r="E163" s="18"/>
      <c r="F163" s="18"/>
      <c r="G163" s="18"/>
      <c r="H163" s="18"/>
      <c r="I163" s="18"/>
      <c r="J163" s="18"/>
      <c r="K163" s="18"/>
      <c r="L163" s="18"/>
    </row>
    <row r="164" spans="1:12">
      <c r="A164" s="18"/>
      <c r="B164" s="18"/>
      <c r="C164" s="18"/>
      <c r="D164" s="18"/>
      <c r="E164" s="18"/>
      <c r="F164" s="18"/>
      <c r="G164" s="18"/>
      <c r="H164" s="18"/>
      <c r="I164" s="18"/>
      <c r="J164" s="18"/>
      <c r="K164" s="18"/>
      <c r="L164" s="18"/>
    </row>
    <row r="165" spans="1:12">
      <c r="A165" s="18"/>
      <c r="B165" s="18"/>
      <c r="C165" s="18"/>
      <c r="D165" s="65"/>
      <c r="E165" s="18"/>
      <c r="F165" s="18"/>
      <c r="G165" s="18"/>
      <c r="H165" s="18"/>
      <c r="I165" s="18"/>
      <c r="J165" s="18"/>
      <c r="K165" s="18"/>
      <c r="L165" s="18"/>
    </row>
    <row r="166" spans="1:12">
      <c r="A166" s="18"/>
      <c r="B166" s="18"/>
      <c r="C166" s="18"/>
      <c r="D166" s="18"/>
      <c r="E166" s="18"/>
      <c r="F166" s="18"/>
      <c r="G166" s="18"/>
      <c r="H166" s="18"/>
      <c r="I166" s="18"/>
      <c r="J166" s="18"/>
      <c r="K166" s="18"/>
      <c r="L166" s="18"/>
    </row>
    <row r="167" spans="1:12">
      <c r="A167" s="18"/>
      <c r="B167" s="18"/>
      <c r="C167" s="18"/>
      <c r="D167" s="18"/>
      <c r="E167" s="18"/>
      <c r="F167" s="18"/>
      <c r="G167" s="18"/>
      <c r="H167" s="18"/>
      <c r="I167" s="18"/>
      <c r="J167" s="18"/>
      <c r="K167" s="18"/>
      <c r="L167" s="18"/>
    </row>
    <row r="168" spans="1:12">
      <c r="A168" s="18"/>
      <c r="B168" s="18"/>
      <c r="C168" s="18"/>
      <c r="D168" s="18"/>
      <c r="E168" s="18"/>
      <c r="F168" s="18"/>
      <c r="G168" s="18"/>
      <c r="H168" s="18"/>
      <c r="I168" s="18"/>
      <c r="J168" s="18"/>
      <c r="K168" s="18"/>
      <c r="L168" s="18"/>
    </row>
    <row r="169" spans="1:12">
      <c r="A169" s="18"/>
      <c r="B169" s="18"/>
      <c r="C169" s="18"/>
      <c r="D169" s="18"/>
      <c r="E169" s="18"/>
      <c r="F169" s="18"/>
      <c r="G169" s="18"/>
      <c r="H169" s="18"/>
      <c r="I169" s="18"/>
      <c r="J169" s="18"/>
      <c r="K169" s="18"/>
      <c r="L169" s="18"/>
    </row>
    <row r="170" spans="1:12">
      <c r="A170" s="18"/>
      <c r="B170" s="18"/>
      <c r="C170" s="18"/>
      <c r="D170" s="18"/>
      <c r="E170" s="18"/>
      <c r="F170" s="18"/>
      <c r="G170" s="18"/>
      <c r="H170" s="18"/>
      <c r="I170" s="18"/>
      <c r="J170" s="18"/>
      <c r="K170" s="18"/>
      <c r="L170" s="18"/>
    </row>
    <row r="171" spans="1:12">
      <c r="A171" s="18"/>
      <c r="B171" s="18"/>
      <c r="C171" s="18"/>
      <c r="D171" s="18"/>
      <c r="E171" s="18"/>
      <c r="F171" s="18"/>
      <c r="G171" s="18"/>
      <c r="H171" s="18"/>
      <c r="I171" s="18"/>
      <c r="J171" s="18"/>
      <c r="K171" s="18"/>
      <c r="L171" s="18"/>
    </row>
    <row r="172" spans="1:12">
      <c r="A172" s="18"/>
      <c r="B172" s="18"/>
      <c r="C172" s="18"/>
      <c r="D172" s="18"/>
      <c r="E172" s="18"/>
      <c r="F172" s="18"/>
      <c r="G172" s="18"/>
      <c r="H172" s="18"/>
      <c r="I172" s="18"/>
      <c r="J172" s="18"/>
      <c r="K172" s="18"/>
      <c r="L172" s="18"/>
    </row>
    <row r="173" spans="1:12">
      <c r="A173" s="18"/>
      <c r="B173" s="18"/>
      <c r="C173" s="18"/>
      <c r="D173" s="65"/>
      <c r="E173" s="18"/>
      <c r="F173" s="18"/>
      <c r="G173" s="18"/>
      <c r="H173" s="18"/>
      <c r="I173" s="18"/>
      <c r="J173" s="18"/>
      <c r="K173" s="18"/>
      <c r="L173" s="18"/>
    </row>
  </sheetData>
  <pageMargins left="0.7" right="0.7" top="0.75" bottom="0.75" header="0.3" footer="0.3"/>
  <pageSetup paperSize="5" orientation="landscape"/>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B4D2177DFF1DE409CB614B6A92BEF1F" ma:contentTypeVersion="0" ma:contentTypeDescription="Create a new document." ma:contentTypeScope="" ma:versionID="c1bd8f7ad303edd3910d11e6a998ca77">
  <xsd:schema xmlns:xsd="http://www.w3.org/2001/XMLSchema" xmlns:p="http://schemas.microsoft.com/office/2006/metadata/properties" targetNamespace="http://schemas.microsoft.com/office/2006/metadata/properties" ma:root="true" ma:fieldsID="4aeb20c0e3442673af7ee1078645876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documentManagement/>
</p:properties>
</file>

<file path=customXml/itemProps1.xml><?xml version="1.0" encoding="utf-8"?>
<ds:datastoreItem xmlns:ds="http://schemas.openxmlformats.org/officeDocument/2006/customXml" ds:itemID="{7D8ECAC5-F2CD-4C5A-99DF-742352C0516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E0188990-FAFC-4489-9B5E-CDB5ADAEA29D}">
  <ds:schemaRefs>
    <ds:schemaRef ds:uri="http://schemas.microsoft.com/sharepoint/v3/contenttype/forms"/>
  </ds:schemaRefs>
</ds:datastoreItem>
</file>

<file path=customXml/itemProps3.xml><?xml version="1.0" encoding="utf-8"?>
<ds:datastoreItem xmlns:ds="http://schemas.openxmlformats.org/officeDocument/2006/customXml" ds:itemID="{9F099284-E054-412D-A636-F878DC66C50A}">
  <ds:schemaRefs>
    <ds:schemaRef ds:uri="http://schemas.microsoft.com/office/2006/documentManagement/types"/>
    <ds:schemaRef ds:uri="http://schemas.microsoft.com/office/2006/metadata/properties"/>
    <ds:schemaRef ds:uri="http://purl.org/dc/terms/"/>
    <ds:schemaRef ds:uri="http://purl.org/dc/elements/1.1/"/>
    <ds:schemaRef ds:uri="http://www.w3.org/XML/1998/namespace"/>
    <ds:schemaRef ds:uri="http://schemas.openxmlformats.org/package/2006/metadata/core-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Main Analysis</vt:lpstr>
      <vt:lpstr>Full Data</vt:lpstr>
      <vt:lpstr>Typical Academic Library</vt:lpstr>
      <vt:lpstr>Special &amp; Public Breakout</vt:lpstr>
      <vt:lpstr>Share Responsibilities Coded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Merguerian, Gayane Karen</dc:creator>
  <cp:lastModifiedBy>SPS Application Services</cp:lastModifiedBy>
  <cp:lastPrinted>2011-05-25T15:24:25Z</cp:lastPrinted>
  <dcterms:created xsi:type="dcterms:W3CDTF">2010-11-05T16:52:39Z</dcterms:created>
  <dcterms:modified xsi:type="dcterms:W3CDTF">2011-06-15T17:41:39Z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0x0101000B4D2177DFF1DE409CB614B6A92BEF1F</vt:lpwstr>
  </property>
</Properties>
</file>