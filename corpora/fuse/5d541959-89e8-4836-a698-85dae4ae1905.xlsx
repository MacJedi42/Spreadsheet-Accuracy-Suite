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740" yWindow="-15" windowWidth="7575" windowHeight="9105"/>
  </bookViews>
  <sheets>
    <sheet name="quick cross ref" sheetId="2" r:id="rId1"/>
    <sheet name="data" sheetId="1" r:id="rId2"/>
  </sheets>
  <externalReferences>
    <externalReference r:id="rId3"/>
    <externalReference r:id="rId4"/>
  </externalReferences>
  <definedNames>
    <definedName name="_xlnm._FilterDatabase" localSheetId="1" hidden="1">data!$A$1:$H$2728</definedName>
  </definedNames>
  <calcPr calcId="145621"/>
</workbook>
</file>

<file path=xl/calcChain.xml><?xml version="1.0" encoding="utf-8"?>
<calcChain xmlns="http://schemas.openxmlformats.org/spreadsheetml/2006/main">
  <c r="E1655" i="1" l="1"/>
  <c r="E1744" i="1"/>
  <c r="E1745" i="1"/>
  <c r="E1743" i="1"/>
  <c r="C1063" i="1"/>
  <c r="C1065" i="1"/>
  <c r="C1067" i="1"/>
  <c r="C1069" i="1"/>
  <c r="C1072" i="1"/>
  <c r="C1074" i="1"/>
  <c r="C1076" i="1"/>
  <c r="C1078" i="1"/>
  <c r="C1080" i="1"/>
  <c r="C1082" i="1"/>
  <c r="C1096" i="1"/>
  <c r="C1097" i="1"/>
  <c r="C1099" i="1"/>
  <c r="C1100" i="1"/>
  <c r="C1101" i="1"/>
  <c r="C1129" i="1"/>
  <c r="C1104" i="1"/>
  <c r="C1107" i="1"/>
  <c r="C1109" i="1"/>
  <c r="C1110" i="1"/>
  <c r="C1112" i="1"/>
  <c r="C1113" i="1"/>
  <c r="C1149" i="1"/>
  <c r="C1150" i="1"/>
  <c r="C1151" i="1"/>
  <c r="C1152" i="1"/>
  <c r="C1153" i="1"/>
  <c r="C1154" i="1"/>
  <c r="C1155" i="1"/>
  <c r="C1083" i="1"/>
  <c r="C1141" i="1"/>
  <c r="C1142" i="1"/>
  <c r="C1102" i="1"/>
  <c r="C1125" i="1"/>
  <c r="C1135" i="1"/>
  <c r="C1138" i="1"/>
  <c r="C1084" i="1"/>
  <c r="C1085" i="1"/>
  <c r="C1086" i="1"/>
  <c r="C1087" i="1"/>
  <c r="C1114" i="1"/>
  <c r="C1116" i="1"/>
  <c r="C1117" i="1"/>
  <c r="C1119" i="1"/>
  <c r="C1120" i="1"/>
  <c r="C1121" i="1"/>
  <c r="C1122" i="1"/>
  <c r="C1143" i="1"/>
  <c r="C1144" i="1"/>
  <c r="C1145" i="1"/>
  <c r="C1146" i="1"/>
  <c r="C1094" i="1"/>
  <c r="C1095" i="1"/>
  <c r="C1126" i="1"/>
  <c r="C1128" i="1"/>
  <c r="C1156" i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8" i="2"/>
  <c r="F31" i="2"/>
  <c r="B31" i="2"/>
  <c r="D31" i="2"/>
  <c r="C31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8" i="2"/>
  <c r="C29" i="2"/>
  <c r="D29" i="2"/>
  <c r="B29" i="2"/>
  <c r="C30" i="2"/>
  <c r="D30" i="2"/>
  <c r="B30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C23" i="2"/>
  <c r="D23" i="2"/>
  <c r="C24" i="2"/>
  <c r="D24" i="2"/>
  <c r="C25" i="2"/>
  <c r="D25" i="2"/>
  <c r="C26" i="2"/>
  <c r="D26" i="2"/>
  <c r="C27" i="2"/>
  <c r="D27" i="2"/>
  <c r="C28" i="2"/>
  <c r="D28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</calcChain>
</file>

<file path=xl/sharedStrings.xml><?xml version="1.0" encoding="utf-8"?>
<sst xmlns="http://schemas.openxmlformats.org/spreadsheetml/2006/main" count="15690" uniqueCount="4769">
  <si>
    <t>13A MOULDED 2G DP OUTBOARD SW</t>
  </si>
  <si>
    <t>13A 1G DP SW SKT 2 E TERM CE N</t>
  </si>
  <si>
    <t>13A 1G DP SW SKT 2 E TERM CE R</t>
  </si>
  <si>
    <t>13A 1G SP SW SKT</t>
  </si>
  <si>
    <t>13A 2G SP SW SKT</t>
  </si>
  <si>
    <t>13A 1G DP SW SKT</t>
  </si>
  <si>
    <t>13A 1G DP SW SKT NEON</t>
  </si>
  <si>
    <t>13A 1G DP SW SKT 2 E TERM</t>
  </si>
  <si>
    <t>13A 2G DP SW SKT 2 E TERM</t>
  </si>
  <si>
    <t>13A 2G DP SW SKT 2 E TERM NEON</t>
  </si>
  <si>
    <t>KIT OF PARTS FOR M621</t>
  </si>
  <si>
    <t>KIT OF PARTS FOR M622</t>
  </si>
  <si>
    <t>M621NE55</t>
  </si>
  <si>
    <t>M622NE66</t>
  </si>
  <si>
    <t>5A 1G SP SW SKT</t>
  </si>
  <si>
    <t>15A 1G SP SW SKT</t>
  </si>
  <si>
    <t>(F4015) 15A 1G SP SW SKT NEON</t>
  </si>
  <si>
    <t>(F3609) 2A 3PIN SKT</t>
  </si>
  <si>
    <t>(F3610) 2A 3PIN SK PHONE</t>
  </si>
  <si>
    <t>(F3620) 127V 1G SASO SW SKT</t>
  </si>
  <si>
    <t>(F3622) 127V 2G SASO SW SKT</t>
  </si>
  <si>
    <t>(F3623) 2G SASO SW SK NEON</t>
  </si>
  <si>
    <t>(F3605) 16A 2 PIN UNI SKT</t>
  </si>
  <si>
    <t>(F3616) 16A 2G 2PIN SKT</t>
  </si>
  <si>
    <t>(F3619) 16A 2PIN SKT SP 1W SW</t>
  </si>
  <si>
    <t>13A 2G DP RCD SW SKT 10mA P</t>
  </si>
  <si>
    <t>13A 2G DP RCD SW SKT 10mA P RS</t>
  </si>
  <si>
    <t>13A 2G DP RCD SW SKT 30mA P</t>
  </si>
  <si>
    <t>13A 2G DP RCD SKT 30mA P RED</t>
  </si>
  <si>
    <t>13A 2G DP RCD SW SKT 30mA P RS</t>
  </si>
  <si>
    <t>16A 240V 2P+E CEE SOCK. 613001</t>
  </si>
  <si>
    <t>KIT OF PARTS FOR M315a</t>
  </si>
  <si>
    <t>KIT OF PARTS FOR M461</t>
  </si>
  <si>
    <t>KIT OF PARTS FOR M462</t>
  </si>
  <si>
    <t>KIT OF PARTS FOR M465</t>
  </si>
  <si>
    <t>(FM3210) 13A CON UNIT</t>
  </si>
  <si>
    <t>(FM3209) 13A CON UNIT NEON</t>
  </si>
  <si>
    <t>(FM3210RR) 13A CON UNIT RR</t>
  </si>
  <si>
    <t>13A SW CONNECTION UNIT</t>
  </si>
  <si>
    <t>13A SW CONN UNIT BOILER</t>
  </si>
  <si>
    <t>(FM3200CH) 13A SW CON UNIT CH</t>
  </si>
  <si>
    <t>13A SW CONN UNIT COOKER HOOD</t>
  </si>
  <si>
    <t>(FM3200DW) 13A SW CON UNIT DW</t>
  </si>
  <si>
    <t>(FM3200EF) 13A SW CON UNIT EF</t>
  </si>
  <si>
    <t>(FM3201) 13A SW CON UNIT NEON</t>
  </si>
  <si>
    <t>(FM3201R) 13A SW CON UNIT NEON</t>
  </si>
  <si>
    <t>(FM3201RR) 13A SW FCU NEON RR</t>
  </si>
  <si>
    <t>RS FUSE DP SW CON 332600</t>
  </si>
  <si>
    <t>13A SW FCU NEON WATER HEATER</t>
  </si>
  <si>
    <t>(FM3201WM) 13A SW FCU NEON WM</t>
  </si>
  <si>
    <t>(FM3200R) 13A SW FCU REFRIGTOR</t>
  </si>
  <si>
    <t>(FM3200RR) 13A SW CON UNIT RR</t>
  </si>
  <si>
    <t>RS FUSE DP SWCON 1840045</t>
  </si>
  <si>
    <t>(FM3200WM) 13A SW CON UNIT WM</t>
  </si>
  <si>
    <t>(FM3212) 3A CON UNIT</t>
  </si>
  <si>
    <t>(FM3202) 3A SW CON UNIT</t>
  </si>
  <si>
    <t>LOUNGE PLATE</t>
  </si>
  <si>
    <t>M201N/5A</t>
  </si>
  <si>
    <t>M200N/5A</t>
  </si>
  <si>
    <t>M200N ENGRAVED INDUCTION LOOP</t>
  </si>
  <si>
    <t>1G TV CO-AX OUT</t>
  </si>
  <si>
    <t>1G TV COAXIAL DUAL CLAMP</t>
  </si>
  <si>
    <t>(F3552) 2G TV CO-AX OUT</t>
  </si>
  <si>
    <t>(F3524) 1G TV FM ISO CO-AX</t>
  </si>
  <si>
    <t>(F3525) 2G TV FM DIPLEX CO-AX</t>
  </si>
  <si>
    <t>RS TVFM DB D O-L 1840146</t>
  </si>
  <si>
    <t>(F3700) 1G SAT OUT</t>
  </si>
  <si>
    <t>(F3701) 2G TV SAT OUT</t>
  </si>
  <si>
    <t>(F3702) 2G TV-RAD OUT SCR</t>
  </si>
  <si>
    <t>(F3703) 3G TV SAT RAD SCR</t>
  </si>
  <si>
    <t>(F3704) 1G TV RAD SAT RET OUT</t>
  </si>
  <si>
    <t>(F3594) 1G TEL OUT MASTER</t>
  </si>
  <si>
    <t>(F3595) 1G TEL OUT SECONDARY</t>
  </si>
  <si>
    <t>(F3596) 1G AMERICAN TEL OUT</t>
  </si>
  <si>
    <t>(F3706)2G TV RAD SAT RET PHONE</t>
  </si>
  <si>
    <t>SKY+(TV FM SAT1 SAT2 RET BT)</t>
  </si>
  <si>
    <t>LOUNGE PLATE (K4063WH)</t>
  </si>
  <si>
    <t>M955RR cw Red Rockers</t>
  </si>
  <si>
    <t>GRIDSW PLATE 1 GANG MOULDED</t>
  </si>
  <si>
    <t>GRIDSWITCH PLATE 2 GANG MOULDE</t>
  </si>
  <si>
    <t>GRIDSWITCH PLATE 3G MOULDED</t>
  </si>
  <si>
    <t>GRIDSWITCH PLATE 4 GANG MOULDE</t>
  </si>
  <si>
    <t>GRIDSWITCH PLATE 6 GANG MOULDE</t>
  </si>
  <si>
    <t>GRIDSWITCH PLATE 8 GANG MOULDE</t>
  </si>
  <si>
    <t>1G MODULE RJ 45 CAT 6</t>
  </si>
  <si>
    <t>B11458 PRINTED 2G M GRID COVER</t>
  </si>
  <si>
    <t>(F8200) 1G G PLATE MOULDED</t>
  </si>
  <si>
    <t>RS GRD PL 1/GNG WH 3534786</t>
  </si>
  <si>
    <t>(F8201) 2G G PLATE MOULDED</t>
  </si>
  <si>
    <t>R S GRID PL2G WH MLD 3534792</t>
  </si>
  <si>
    <t>3G G PLATE MOULDED</t>
  </si>
  <si>
    <t>R S GRID PLATE 3-GANG WHITE-MO</t>
  </si>
  <si>
    <t>4G G PLATE MOULDED</t>
  </si>
  <si>
    <t>RS GRD PL 4G WH-MO 3534815</t>
  </si>
  <si>
    <t>6G G PLATE MOULDED</t>
  </si>
  <si>
    <t>8G G PLATE MOULDED</t>
  </si>
  <si>
    <t>(F8207) 12G G PLATE METAL WH</t>
  </si>
  <si>
    <t>(F8208) 18G G PLATE METAL WH</t>
  </si>
  <si>
    <t>(F8209) 24G G PLATE METAL WH</t>
  </si>
  <si>
    <t>(F3660) 1G DATA MOD FRAME</t>
  </si>
  <si>
    <t>(F3661) 2G DATA MOD FRAME</t>
  </si>
  <si>
    <t>(F3662) 4G DATA MOD FRAME</t>
  </si>
  <si>
    <t>1G MODULE PLATE (25 x 50)</t>
  </si>
  <si>
    <t>2G MODULE PLATE (50 x 50)</t>
  </si>
  <si>
    <t>4G MODULE PLATE (100 x 50)</t>
  </si>
  <si>
    <t>2G PATTRESS FOR C CON F2011 F2</t>
  </si>
  <si>
    <t>RS 28mm 1G PTRS 487895</t>
  </si>
  <si>
    <t>RS 28mm 2G PTRS 487902</t>
  </si>
  <si>
    <t>1G PATTRESS 18MM DEEP ARCHITRA</t>
  </si>
  <si>
    <t>RS 18mm 1G PTRS 331893</t>
  </si>
  <si>
    <t>2G PATTRESS 18MM DEEP ARCHITRA</t>
  </si>
  <si>
    <t>1G PATTRESS 32MM DEEP  PVC</t>
  </si>
  <si>
    <t>2G PATTRESS 32MM DEEP  PVC</t>
  </si>
  <si>
    <t>2G 25MM CONVERSION PATTRESS</t>
  </si>
  <si>
    <t>2G PATTRESS 46MM DEEP FOR SHAV</t>
  </si>
  <si>
    <t>RS PTR 45mm FOR US 1840118</t>
  </si>
  <si>
    <t>45A DP CABLE OUTLET WITH CLAMP</t>
  </si>
  <si>
    <t>45A DP CABLE OUTLET WITH TERMI</t>
  </si>
  <si>
    <t>SPLIT COLLAR                 *</t>
  </si>
  <si>
    <t>SHAVER DUAL V 230 110AC</t>
  </si>
  <si>
    <t>(F2465) 10A 1G SW PUSH HP</t>
  </si>
  <si>
    <t>(F2435) 10A 1G SW PUSH SB</t>
  </si>
  <si>
    <t>(F2425) 10A 1G SW PUSH SS</t>
  </si>
  <si>
    <t>(F2464) 10A INT SW HP</t>
  </si>
  <si>
    <t>(F2434) 10A INT SW SB</t>
  </si>
  <si>
    <t>(F2424) 10A INT SW SS</t>
  </si>
  <si>
    <t>(F2461) 10A 1G 2W SW HP</t>
  </si>
  <si>
    <t>10A 1G 2W SW SB</t>
  </si>
  <si>
    <t>10A 1G 2W SW SS</t>
  </si>
  <si>
    <t>(F2462) 10A 2G 2W SW HP</t>
  </si>
  <si>
    <t>10A 2G 2W SW SB</t>
  </si>
  <si>
    <t>10A 2G 2W SW SS</t>
  </si>
  <si>
    <t>(F2463) 10A 3G 2W SW HP</t>
  </si>
  <si>
    <t>10A 3G 2W SW SB</t>
  </si>
  <si>
    <t>(F2423) 10A 3G 2W SW SS</t>
  </si>
  <si>
    <t>(F2870) 10A 1G 2W BRDSW HP</t>
  </si>
  <si>
    <t>(F2850) 10A 1G 2W BRDSW SS</t>
  </si>
  <si>
    <t>(F2876) 10A 3POLE FAN ISO HP</t>
  </si>
  <si>
    <t>(F2866) 10A 3POLE FAN ISO SB</t>
  </si>
  <si>
    <t>(F2856) 10A 3POLE FAN ISO SS</t>
  </si>
  <si>
    <t>20A DP SW NEON RR SS</t>
  </si>
  <si>
    <t>(FM2243) 20A DP SW HP</t>
  </si>
  <si>
    <t>(FM2244) 20A DP SW NEON HP</t>
  </si>
  <si>
    <t>(FM2232) 20A DP SW NEON SB</t>
  </si>
  <si>
    <t>(FM2222) 20A DP SW NEON SS</t>
  </si>
  <si>
    <t>(FM2221) 20A DP SW SS</t>
  </si>
  <si>
    <t>20A DP SW N WATER HEATER</t>
  </si>
  <si>
    <t>2 MOD EURO DATA PLATE MG</t>
  </si>
  <si>
    <t>(F2140) 50A DP SWITCH HP</t>
  </si>
  <si>
    <t>(F2141) 50A DP SWITCH NEON HP</t>
  </si>
  <si>
    <t>(F2131) 50A DP SWITCH NEON SB</t>
  </si>
  <si>
    <t>(F2121) 50A DP SWITCH NEON SS</t>
  </si>
  <si>
    <t>(F2120) 50A DP SWITCH SS</t>
  </si>
  <si>
    <t>(F2170) 50A DP SWITCH NEON HP</t>
  </si>
  <si>
    <t>(F2160) 50A DP SWITCH NEON SB</t>
  </si>
  <si>
    <t>(F2150) 50A DP SWITCH NEON SS</t>
  </si>
  <si>
    <t>(F2125)50A DP SW NEON AIR C SS</t>
  </si>
  <si>
    <t>(F2060) 45A DP CCU NEON HP</t>
  </si>
  <si>
    <t>(F2065) 45A DP CCU NEON SB</t>
  </si>
  <si>
    <t>(F2050) 45A DP CCU NEON SS</t>
  </si>
  <si>
    <t>(F2171) 50A DP SW NEON CKR HP</t>
  </si>
  <si>
    <t>(F2151) 50A DP SW NEON CKR SS</t>
  </si>
  <si>
    <t>(F2162) 50A DP SW NEON A-C SB</t>
  </si>
  <si>
    <t>(F2152) 50A DP SW NEON A-C SS</t>
  </si>
  <si>
    <t>13A CON UNIT RED FUSE DRAW SS</t>
  </si>
  <si>
    <t>13A SW CONN UNIT NEON RR SS</t>
  </si>
  <si>
    <t>1000W 1G 1W ROTARY TUNGSTEN NO</t>
  </si>
  <si>
    <t>500W 1G 1W ROTARY TUNGSTEN NON</t>
  </si>
  <si>
    <t>500W 2G 1W ROTARY TUNGSTEN NON</t>
  </si>
  <si>
    <t>500W 3G 1W ROTARY TUNGSTEN NON</t>
  </si>
  <si>
    <t>1500W 1 G 2W PUSH TUNGSTEN NON</t>
  </si>
  <si>
    <t>500W 1 G FAN CONTROLLER NON-EU</t>
  </si>
  <si>
    <t>(F3051) 13A 1G SKT HP</t>
  </si>
  <si>
    <t>(F3021) 13A 1G SKT SS</t>
  </si>
  <si>
    <t>(F3052) 13A 2G SKT HP</t>
  </si>
  <si>
    <t>(F3022) 13A 2G SKT SS</t>
  </si>
  <si>
    <t>13A 1G SOCKET FLOOR MOUNT SS</t>
  </si>
  <si>
    <t>13A 2G SOCKET FLOOR MOUNT SS</t>
  </si>
  <si>
    <t>13A 1G DP SW SKT 2 E TERM HP</t>
  </si>
  <si>
    <t>13A 1G DP SW SKT 2 E TERM SB</t>
  </si>
  <si>
    <t>13A 1G DP SW SKT 2 E TERM SS</t>
  </si>
  <si>
    <t>13A 2G DP SW SKT 2 E TERM HP</t>
  </si>
  <si>
    <t>13A 2G DP SW SKT 2 E TERM SB</t>
  </si>
  <si>
    <t>13A 2G DP SW SKT 2 E TERM SS</t>
  </si>
  <si>
    <t>A062SB 20A 2W 2G SW</t>
  </si>
  <si>
    <t>A063SB 20A 2W 3G SW</t>
  </si>
  <si>
    <t>A063SB 2W 3G inc INT SW</t>
  </si>
  <si>
    <t>4 MOD EURO DATA PLATE-A874SS</t>
  </si>
  <si>
    <t>(F3082) 5A 1G SKT HP</t>
  </si>
  <si>
    <t>(F3081) 5A 1G SKT SB</t>
  </si>
  <si>
    <t>(F3080) 5A 1G SKT SS</t>
  </si>
  <si>
    <t>5A 1G SP SW SKT HP</t>
  </si>
  <si>
    <t>5A 1G SP SW SKT SB</t>
  </si>
  <si>
    <t>5A 1G SP SW SKT SS</t>
  </si>
  <si>
    <t>15A 1G SP SW SKT HP</t>
  </si>
  <si>
    <t>15A 1G SP SW SKT SB</t>
  </si>
  <si>
    <t>15A 1G SP SW SKT SS</t>
  </si>
  <si>
    <t>13A 2G DP RCD SW SKT 10mA P SS</t>
  </si>
  <si>
    <t>13A 2G DP RCD SW SKT 30mA P SS</t>
  </si>
  <si>
    <t>(FM3273) 13A CON UNIT HP</t>
  </si>
  <si>
    <t>(FM3277) 13A CON UNIT NEON HP</t>
  </si>
  <si>
    <t>13A FUSED CONN UNIT CW NEON OP</t>
  </si>
  <si>
    <t>(FM3236) 13A CON UNIT NEON SB</t>
  </si>
  <si>
    <t>(FM3227) 13A CON UNIT NEON SS</t>
  </si>
  <si>
    <t>(FM3263) 13A CON UNIT NEON SB</t>
  </si>
  <si>
    <t>(FM3222) 13A CON UNIT SS</t>
  </si>
  <si>
    <t>(FM3271) 13A SW CON UNIT HP</t>
  </si>
  <si>
    <t>(FM3274) 13A SW FCU NEON HP</t>
  </si>
  <si>
    <t>(FM3234) 13A SW FCU NEON SB</t>
  </si>
  <si>
    <t>13A SW FCU NEON SS</t>
  </si>
  <si>
    <t>13A SW CONN UNIT RR SS</t>
  </si>
  <si>
    <t>13A SW CON UNIT SB</t>
  </si>
  <si>
    <t>13A SW CON UNIT SS</t>
  </si>
  <si>
    <t>A201SS ENGRAVED INDUCTION LOOP</t>
  </si>
  <si>
    <t>(F3545) 1G TV CO-AX OUTLET HP</t>
  </si>
  <si>
    <t>(F3544) 1G TV CO-AX OUTLET SB</t>
  </si>
  <si>
    <t>(F3543) 1G TV CO-AX OUTLET SS</t>
  </si>
  <si>
    <t>(F3530) 1G TV-FM ISO CO-AX HP</t>
  </si>
  <si>
    <t>(F3529) 1G TV-FM ISO CO-AX SS</t>
  </si>
  <si>
    <t>(F3536)2G TV FM DIPLX CO-AX SB</t>
  </si>
  <si>
    <t>(F3534)2G TV FM DIPLX CO-AX SS</t>
  </si>
  <si>
    <t>(F3730) 1G SAT OUTLET  SB</t>
  </si>
  <si>
    <t>(F3720) 1G SAT OUTLET  SS</t>
  </si>
  <si>
    <t>(F3761) 2G TV-SAT CO-AX HP</t>
  </si>
  <si>
    <t>(F3731) 2G TV-SAT CO-AX SB</t>
  </si>
  <si>
    <t>(F3721) 2G TV-SAT CO-AX SS</t>
  </si>
  <si>
    <t>(F3584) 1G TEL OUT MASTER HP</t>
  </si>
  <si>
    <t>(F3582) 1G TEL OUT MASTER SB</t>
  </si>
  <si>
    <t>(F3580) 1G TEL OUT MASTER SS</t>
  </si>
  <si>
    <t>(F3585) 1G TEL SECONDARY HP</t>
  </si>
  <si>
    <t>(F3583) 1G TEL SECONDARY SB</t>
  </si>
  <si>
    <t>(F3581) 1G TEL SECONDARY SS</t>
  </si>
  <si>
    <t>2 MOD EURO DATA PLATE SS</t>
  </si>
  <si>
    <t>LOUNGE PLATE (K4060HP)</t>
  </si>
  <si>
    <t>LOUNGE PLATE (K4060SS)</t>
  </si>
  <si>
    <t>LOUNGE PLATE (K4063HP)</t>
  </si>
  <si>
    <t>LOUNGE PLATE (K4063SS)</t>
  </si>
  <si>
    <t>(F8240) 1G G PLATE HP</t>
  </si>
  <si>
    <t>(F8230) 1G G PLATE SB</t>
  </si>
  <si>
    <t>1G G PLATE SS</t>
  </si>
  <si>
    <t>2G G PLATE HP</t>
  </si>
  <si>
    <t>2G G PLATE SB</t>
  </si>
  <si>
    <t>2G G PLATE SS</t>
  </si>
  <si>
    <t>(F8242) 3G G PLATE HP</t>
  </si>
  <si>
    <t>(F8232) 3G G PLATE SB</t>
  </si>
  <si>
    <t>(F8212) 3G G PLATE SS</t>
  </si>
  <si>
    <t>(F8243) 4G G PLATE HP</t>
  </si>
  <si>
    <t>(F8233) 4G G PLATE SB</t>
  </si>
  <si>
    <t>(F8213) 4G G PLATE SS</t>
  </si>
  <si>
    <t>(F8244) 6G G PLATE HP</t>
  </si>
  <si>
    <t>(F8234) 6G G PLATE SB</t>
  </si>
  <si>
    <t>(F8214) 6G G PLATE SS</t>
  </si>
  <si>
    <t>(F8245) 8G G PLATE HP</t>
  </si>
  <si>
    <t>(F8235) 8G G PLATE SB</t>
  </si>
  <si>
    <t>(F8215) 8G G PLATE SS</t>
  </si>
  <si>
    <t>(F8246) 9G G PLATE HP</t>
  </si>
  <si>
    <t>(F8236) 9G G PLATE SB</t>
  </si>
  <si>
    <t>(F8216) 9G G PLATE SS</t>
  </si>
  <si>
    <t>(F8247) 12G G PLATE HP</t>
  </si>
  <si>
    <t>(F8237) 12G G PLATE SB</t>
  </si>
  <si>
    <t>(F8217) 12G G PLATE SS</t>
  </si>
  <si>
    <t>(F8248) 18G G PLATE HP</t>
  </si>
  <si>
    <t>(F8238) 18G G PLATE SB</t>
  </si>
  <si>
    <t>(F8218) 18G G PLATE SS</t>
  </si>
  <si>
    <t>(F8249) 24G G PLATE HP</t>
  </si>
  <si>
    <t>(F8239) 24G G PLATE SB</t>
  </si>
  <si>
    <t>(F8219) 24G G PLATE SS</t>
  </si>
  <si>
    <t>(F3664) 1G DATA MOD FRAME HP</t>
  </si>
  <si>
    <t>(F3665) 1G DATA MOD FRAME SB</t>
  </si>
  <si>
    <t>1G DATA MOD FRAME SS</t>
  </si>
  <si>
    <t>2G DATA MOD FRAME SS</t>
  </si>
  <si>
    <t>(F3673) 4G DATA MOD FRAME SS</t>
  </si>
  <si>
    <t>GRID PLATE FIXING SCREW</t>
  </si>
  <si>
    <t>GRID PLATE 1 GANG FLUSH SSB</t>
  </si>
  <si>
    <t>GRID PLATE 1 GANG FLUSH HP</t>
  </si>
  <si>
    <t>GRID PLATE 2 GANG FLUSH SSB</t>
  </si>
  <si>
    <t>GRID PLATE 2 GANG FLUSH HP</t>
  </si>
  <si>
    <t>GRID PLATE 3 GANG FLUSH SSB</t>
  </si>
  <si>
    <t>GRID PLATE 3 GANG FLUSH HP</t>
  </si>
  <si>
    <t>GRID PLATE 4 GANG FLUSH SSB</t>
  </si>
  <si>
    <t>GRID PLATE 4 GANG FLUSH HP</t>
  </si>
  <si>
    <t>GRID PLATE 6 GANG FLUSH SSB</t>
  </si>
  <si>
    <t>GRID PLATE 6 GANG FLUSH HP</t>
  </si>
  <si>
    <t>GRID PLATE 8 GANG FLUSH SSB</t>
  </si>
  <si>
    <t>GRID PLATE 8 GANG FLUSH HP</t>
  </si>
  <si>
    <t>GRID PLATE 9 GANG FLUSH SSB</t>
  </si>
  <si>
    <t>GRID PLATE 9 GANG FLUSH HP</t>
  </si>
  <si>
    <t>GRID PLATE 12 GANG FLUSH SSB</t>
  </si>
  <si>
    <t>(F5071) 1G BLANK PLATE HP</t>
  </si>
  <si>
    <t>(F5031) 1G BLANK PLATE SB</t>
  </si>
  <si>
    <t>(F5021) 1G BLANK PLATE SS</t>
  </si>
  <si>
    <t>(F5072) 2G BLANK PLATE HP</t>
  </si>
  <si>
    <t>(F5032) 2G BLANK PLATE SB</t>
  </si>
  <si>
    <t>(F5022) 2G BLANK PLATE SS</t>
  </si>
  <si>
    <t>A064SB 20A 2 WAY 4GANG SWITCH</t>
  </si>
  <si>
    <t>DIMMER MODULE CONTROL UNIT.</t>
  </si>
  <si>
    <t>10A 1G 1W SW</t>
  </si>
  <si>
    <t>10A 1G 1W SW BLK</t>
  </si>
  <si>
    <t>10A 2G 1W SWITCH BLK</t>
  </si>
  <si>
    <t>10A 3G 1W SW</t>
  </si>
  <si>
    <t>10A 3G 1W SW BLK</t>
  </si>
  <si>
    <t>10A 4G 1W SW</t>
  </si>
  <si>
    <t>10A 1G SW PUSH BLK</t>
  </si>
  <si>
    <t>10A 1G SW PUSH LIGHT</t>
  </si>
  <si>
    <t>10A INT SW</t>
  </si>
  <si>
    <t>10A INT SW BLK</t>
  </si>
  <si>
    <t>10A INT SWITCH</t>
  </si>
  <si>
    <t>10A 1G 2W SW</t>
  </si>
  <si>
    <t>10A 1G 2W SW BLK</t>
  </si>
  <si>
    <t>10A 2G 2W SW</t>
  </si>
  <si>
    <t>10A 2G 2W SW BLK</t>
  </si>
  <si>
    <t>10A 3G 2W SW</t>
  </si>
  <si>
    <t>10A 3G 2W SW BLK</t>
  </si>
  <si>
    <t>10A 4G 2W SW</t>
  </si>
  <si>
    <t>10A 4G 2W SW BLK</t>
  </si>
  <si>
    <t>10A 6G 2W SW</t>
  </si>
  <si>
    <t>10A 6G 2W SW BLK</t>
  </si>
  <si>
    <t>10A 2G 2W H BRDSW</t>
  </si>
  <si>
    <t>10A 2G 2W H BRDSW BLK</t>
  </si>
  <si>
    <t>10A 1G 2W BRD SW COPA INT</t>
  </si>
  <si>
    <t>10A 1G 2W BRD SW COPA INT BLK</t>
  </si>
  <si>
    <t>10A 1G 2W BRDSW</t>
  </si>
  <si>
    <t>10A 1G 1W BRDSW PUSH</t>
  </si>
  <si>
    <t>10A 1G 1W BRDSW PUSH BLK</t>
  </si>
  <si>
    <t>10A INT BRDSW</t>
  </si>
  <si>
    <t>10A INT BROAD SW BLK</t>
  </si>
  <si>
    <t>10A 3POLE BRDFAN ISO</t>
  </si>
  <si>
    <t>10A 3POLE BRDFAN ISO BLK</t>
  </si>
  <si>
    <t>10A 3POLE BRD ISOLATOR</t>
  </si>
  <si>
    <t>RINGNUT M10x0.75 BRASS  D105</t>
  </si>
  <si>
    <t>CP045SV PRINTED LIGHT</t>
  </si>
  <si>
    <t>C045WH PRINTED LIGHT</t>
  </si>
  <si>
    <t>CP045BM PRINTED LIGHT SYMBOL</t>
  </si>
  <si>
    <t>C022B PUSH cw 2 PUSH MODULES</t>
  </si>
  <si>
    <t>C022 PUSH cw 2 PUSH MODULES</t>
  </si>
  <si>
    <t>1G-2W SWITCH MODULE BLACK INTE</t>
  </si>
  <si>
    <t>20A DP SW INTERIOR</t>
  </si>
  <si>
    <t>20A DP SW NEON INTERIOR</t>
  </si>
  <si>
    <t>20A DP SWITCH NEON</t>
  </si>
  <si>
    <t>20A DP SWITCH</t>
  </si>
  <si>
    <t>20A DP SWITCH NEON WH</t>
  </si>
  <si>
    <t>50A DP SWITCH NEON</t>
  </si>
  <si>
    <t>50A DP SWITCH NEON BLK</t>
  </si>
  <si>
    <t>A9111SS</t>
  </si>
  <si>
    <t>1000W 1G 2W PUSH TUNGSTEN SS</t>
  </si>
  <si>
    <t>A9132HP</t>
  </si>
  <si>
    <t>250W 2G 2W PUSH TUNGSTEN HP</t>
  </si>
  <si>
    <t>A9132SS</t>
  </si>
  <si>
    <t>250W 2G 2W PUSH TUNGSTEN SS</t>
  </si>
  <si>
    <t>A9141HP</t>
  </si>
  <si>
    <t>400W 1G 2W PUSH TUNGSTEN HP</t>
  </si>
  <si>
    <t>A9141SB</t>
  </si>
  <si>
    <t>400W 1G 2W PUSH TUNGSTEN SB</t>
  </si>
  <si>
    <t>A9141SS</t>
  </si>
  <si>
    <t>400W 1G 2W PUSH TUNGSTEN SS</t>
  </si>
  <si>
    <t>P9101</t>
  </si>
  <si>
    <t>P9111</t>
  </si>
  <si>
    <t>P9131</t>
  </si>
  <si>
    <t>P9132</t>
  </si>
  <si>
    <t>P9141</t>
  </si>
  <si>
    <t>P9142</t>
  </si>
  <si>
    <t>10A 1G 1W SWITCH</t>
  </si>
  <si>
    <t>A521HP</t>
  </si>
  <si>
    <t>A521NHP</t>
  </si>
  <si>
    <t>A521NSB</t>
  </si>
  <si>
    <t>A521NSS</t>
  </si>
  <si>
    <t>A521RRSS</t>
  </si>
  <si>
    <t>A521SB</t>
  </si>
  <si>
    <t>A521SS</t>
  </si>
  <si>
    <t>F3006</t>
  </si>
  <si>
    <t>F8026EL</t>
  </si>
  <si>
    <t>F8027</t>
  </si>
  <si>
    <t>20A DP KEY GRIDSWITCH</t>
  </si>
  <si>
    <t>F8027EL</t>
  </si>
  <si>
    <t>F8027RR</t>
  </si>
  <si>
    <t>20A DP KEY GRIDSWITCH RED RKR</t>
  </si>
  <si>
    <t>F8028</t>
  </si>
  <si>
    <t>20A 2W KEY GRIDSWITCH BIAS</t>
  </si>
  <si>
    <t>F8029</t>
  </si>
  <si>
    <t>F8029RR</t>
  </si>
  <si>
    <t>F8030</t>
  </si>
  <si>
    <t>20A DP GRIDSWITCH PUSH TO MAKE</t>
  </si>
  <si>
    <t>F8030RR</t>
  </si>
  <si>
    <t>F8031</t>
  </si>
  <si>
    <t>F8032</t>
  </si>
  <si>
    <t>16A SP GRIDSWITCH TWIN MODULE</t>
  </si>
  <si>
    <t>F8033</t>
  </si>
  <si>
    <t>F8033B</t>
  </si>
  <si>
    <t>F8047</t>
  </si>
  <si>
    <t>F8060</t>
  </si>
  <si>
    <t>GRID BLANK PLATE</t>
  </si>
  <si>
    <t>F8061</t>
  </si>
  <si>
    <t>GRID RED NEON INDICATOR</t>
  </si>
  <si>
    <t>F8061B</t>
  </si>
  <si>
    <t>F8062</t>
  </si>
  <si>
    <t>GRID AMBER NEON INDICATOR</t>
  </si>
  <si>
    <t>F8063</t>
  </si>
  <si>
    <t>F8064</t>
  </si>
  <si>
    <t>40-250W GRID DIMMER</t>
  </si>
  <si>
    <t>F8065</t>
  </si>
  <si>
    <t>80-400W GRID DIMMER</t>
  </si>
  <si>
    <t>F8066</t>
  </si>
  <si>
    <t>100-630W GRID DIMMER 2 MODULE</t>
  </si>
  <si>
    <t>F8067</t>
  </si>
  <si>
    <t>F8068</t>
  </si>
  <si>
    <t>F8070</t>
  </si>
  <si>
    <t>F8071</t>
  </si>
  <si>
    <t>GRID TV CO-AX OUTLET</t>
  </si>
  <si>
    <t>F8072</t>
  </si>
  <si>
    <t>F8072A13</t>
  </si>
  <si>
    <t>F8072A3</t>
  </si>
  <si>
    <t>F8072RR</t>
  </si>
  <si>
    <t>F8073</t>
  </si>
  <si>
    <t>F8074</t>
  </si>
  <si>
    <t>F8076</t>
  </si>
  <si>
    <t>GRID BUZZER UNIT 240V</t>
  </si>
  <si>
    <t>F8078</t>
  </si>
  <si>
    <t>1-10V SLIDE GRID DIMMER</t>
  </si>
  <si>
    <t>F8083</t>
  </si>
  <si>
    <t>F8090</t>
  </si>
  <si>
    <t>F8099</t>
  </si>
  <si>
    <t>GRID REPLACEMENT KEY</t>
  </si>
  <si>
    <t>F8100</t>
  </si>
  <si>
    <t>F8101</t>
  </si>
  <si>
    <t>3 &amp; 4 GANG GRID PLATE</t>
  </si>
  <si>
    <t>F8102</t>
  </si>
  <si>
    <t>6 GANG GRID PLATE</t>
  </si>
  <si>
    <t>F8103</t>
  </si>
  <si>
    <t>1 GANG GRID PLATE ARCHITRAVE</t>
  </si>
  <si>
    <t>F8110</t>
  </si>
  <si>
    <t>3 &amp; 4 GANG PHASE BARRIER</t>
  </si>
  <si>
    <t>F8111</t>
  </si>
  <si>
    <t>6 GANG PHASE BARRIER</t>
  </si>
  <si>
    <t>F8342</t>
  </si>
  <si>
    <t>M325</t>
  </si>
  <si>
    <t>M325N</t>
  </si>
  <si>
    <t>A325NSS</t>
  </si>
  <si>
    <t>A325NHP</t>
  </si>
  <si>
    <t>A325NSB</t>
  </si>
  <si>
    <t>M321</t>
  </si>
  <si>
    <t>M321N</t>
  </si>
  <si>
    <t>M323</t>
  </si>
  <si>
    <t>M323N</t>
  </si>
  <si>
    <t>M324N</t>
  </si>
  <si>
    <t>M322N</t>
  </si>
  <si>
    <t>M327N</t>
  </si>
  <si>
    <t>M326N</t>
  </si>
  <si>
    <t>A321SS</t>
  </si>
  <si>
    <t>A321NSS</t>
  </si>
  <si>
    <t>A324NSS</t>
  </si>
  <si>
    <t>A321NSB</t>
  </si>
  <si>
    <t>A321HP</t>
  </si>
  <si>
    <t>A321NHP</t>
  </si>
  <si>
    <t>A322NSS</t>
  </si>
  <si>
    <t>A326NSS</t>
  </si>
  <si>
    <t>A327NSS</t>
  </si>
  <si>
    <t>A322NSB</t>
  </si>
  <si>
    <t>A327NSB</t>
  </si>
  <si>
    <t>A322NHP</t>
  </si>
  <si>
    <t>A326NHP</t>
  </si>
  <si>
    <t>M011</t>
  </si>
  <si>
    <t>M021</t>
  </si>
  <si>
    <t>M022</t>
  </si>
  <si>
    <t>M023</t>
  </si>
  <si>
    <t>M024</t>
  </si>
  <si>
    <t>M017</t>
  </si>
  <si>
    <t>M012</t>
  </si>
  <si>
    <t>M013</t>
  </si>
  <si>
    <t>M014</t>
  </si>
  <si>
    <t>M015</t>
  </si>
  <si>
    <t>M026</t>
  </si>
  <si>
    <t>M021A</t>
  </si>
  <si>
    <t>M022A</t>
  </si>
  <si>
    <t>M015L</t>
  </si>
  <si>
    <t>A021SS</t>
  </si>
  <si>
    <t>A022SS</t>
  </si>
  <si>
    <t>A023SS</t>
  </si>
  <si>
    <t>A017SS</t>
  </si>
  <si>
    <t>A015SS</t>
  </si>
  <si>
    <t>A021SB</t>
  </si>
  <si>
    <t>A022SB</t>
  </si>
  <si>
    <t>A023SB</t>
  </si>
  <si>
    <t>A017SB</t>
  </si>
  <si>
    <t>A015SB</t>
  </si>
  <si>
    <t>A021HP</t>
  </si>
  <si>
    <t>A022HP</t>
  </si>
  <si>
    <t>A023HP</t>
  </si>
  <si>
    <t>A017HP</t>
  </si>
  <si>
    <t>A015HP</t>
  </si>
  <si>
    <t>M041</t>
  </si>
  <si>
    <t>M032</t>
  </si>
  <si>
    <t>M042</t>
  </si>
  <si>
    <t>M045</t>
  </si>
  <si>
    <t>M047</t>
  </si>
  <si>
    <t>M048</t>
  </si>
  <si>
    <t>M049</t>
  </si>
  <si>
    <t>M043</t>
  </si>
  <si>
    <t>M043N</t>
  </si>
  <si>
    <t>A041SS</t>
  </si>
  <si>
    <t>A048SS</t>
  </si>
  <si>
    <t>A522HP</t>
  </si>
  <si>
    <t>A522NHP</t>
  </si>
  <si>
    <t>A522NSB</t>
  </si>
  <si>
    <t>A522NSS</t>
  </si>
  <si>
    <t>A522RRSS</t>
  </si>
  <si>
    <t>A522SB</t>
  </si>
  <si>
    <t>A522SS</t>
  </si>
  <si>
    <t>Item No</t>
  </si>
  <si>
    <t>F2414RS</t>
  </si>
  <si>
    <t>F2490</t>
  </si>
  <si>
    <t>M015P</t>
  </si>
  <si>
    <t>M021P</t>
  </si>
  <si>
    <t>M025AP</t>
  </si>
  <si>
    <t>M041P</t>
  </si>
  <si>
    <t>M045P</t>
  </si>
  <si>
    <t>M301NRS</t>
  </si>
  <si>
    <t>M301NWM</t>
  </si>
  <si>
    <t>SP090103</t>
  </si>
  <si>
    <t>M321NS</t>
  </si>
  <si>
    <t>SP090015</t>
  </si>
  <si>
    <t>SP090016</t>
  </si>
  <si>
    <t>F1032CWRS</t>
  </si>
  <si>
    <t>F1132CWRS</t>
  </si>
  <si>
    <t>F1141CWRS</t>
  </si>
  <si>
    <t>F2320RS</t>
  </si>
  <si>
    <t>M203N</t>
  </si>
  <si>
    <t>M9111</t>
  </si>
  <si>
    <t>M9511</t>
  </si>
  <si>
    <t>M9551</t>
  </si>
  <si>
    <t>M9552</t>
  </si>
  <si>
    <t>M9553</t>
  </si>
  <si>
    <t>M9621</t>
  </si>
  <si>
    <t>M9751</t>
  </si>
  <si>
    <t>M111RS</t>
  </si>
  <si>
    <t>M112RS</t>
  </si>
  <si>
    <t>M120</t>
  </si>
  <si>
    <t>M130</t>
  </si>
  <si>
    <t>M551RED</t>
  </si>
  <si>
    <t>M552RED</t>
  </si>
  <si>
    <t>M611</t>
  </si>
  <si>
    <t>M612</t>
  </si>
  <si>
    <t>M621</t>
  </si>
  <si>
    <t>M621N</t>
  </si>
  <si>
    <t>M621RS</t>
  </si>
  <si>
    <t>M622</t>
  </si>
  <si>
    <t>M622N</t>
  </si>
  <si>
    <t>M622RS</t>
  </si>
  <si>
    <t>M622RSB</t>
  </si>
  <si>
    <t>SP090008</t>
  </si>
  <si>
    <t>SP090009</t>
  </si>
  <si>
    <t>SP100008</t>
  </si>
  <si>
    <t>SP100009</t>
  </si>
  <si>
    <t>M315A</t>
  </si>
  <si>
    <t>M585</t>
  </si>
  <si>
    <t>M585RS</t>
  </si>
  <si>
    <t>M586</t>
  </si>
  <si>
    <t>M586RED</t>
  </si>
  <si>
    <t>M586RS</t>
  </si>
  <si>
    <t>PSOCKET6</t>
  </si>
  <si>
    <t>SP090010</t>
  </si>
  <si>
    <t>SP090011</t>
  </si>
  <si>
    <t>SP090012</t>
  </si>
  <si>
    <t>SP090013</t>
  </si>
  <si>
    <t>SP090014</t>
  </si>
  <si>
    <t>M201NRS</t>
  </si>
  <si>
    <t>M201RS</t>
  </si>
  <si>
    <t>M951</t>
  </si>
  <si>
    <t>SP100011</t>
  </si>
  <si>
    <t>SP100012</t>
  </si>
  <si>
    <t>SP100096</t>
  </si>
  <si>
    <t>M351D</t>
  </si>
  <si>
    <t>M354RS</t>
  </si>
  <si>
    <t>M368</t>
  </si>
  <si>
    <t>M955</t>
  </si>
  <si>
    <t>M956</t>
  </si>
  <si>
    <t>SP100033</t>
  </si>
  <si>
    <t>CT4720</t>
  </si>
  <si>
    <t>CT4721</t>
  </si>
  <si>
    <t>CT4722</t>
  </si>
  <si>
    <t>CT4723</t>
  </si>
  <si>
    <t>CT4724</t>
  </si>
  <si>
    <t>CT4725</t>
  </si>
  <si>
    <t>F3681</t>
  </si>
  <si>
    <t>F8054</t>
  </si>
  <si>
    <t>M801RS</t>
  </si>
  <si>
    <t>M802RS</t>
  </si>
  <si>
    <t>M803RS</t>
  </si>
  <si>
    <t>M804RS</t>
  </si>
  <si>
    <t>M881</t>
  </si>
  <si>
    <t>M882</t>
  </si>
  <si>
    <t>M884</t>
  </si>
  <si>
    <t>F3819</t>
  </si>
  <si>
    <t>F4501RS</t>
  </si>
  <si>
    <t>F4502RS</t>
  </si>
  <si>
    <t>F4505RS</t>
  </si>
  <si>
    <t>F4510</t>
  </si>
  <si>
    <t>F4570RS</t>
  </si>
  <si>
    <t>M1837SALES</t>
  </si>
  <si>
    <t>A301NRRSS</t>
  </si>
  <si>
    <t>X872MG</t>
  </si>
  <si>
    <t>A200RRSS</t>
  </si>
  <si>
    <t>A201NRRSS</t>
  </si>
  <si>
    <t>A9511HP</t>
  </si>
  <si>
    <t>A9511SB</t>
  </si>
  <si>
    <t>A9511SS</t>
  </si>
  <si>
    <t>A9551HP</t>
  </si>
  <si>
    <t>A9551SB</t>
  </si>
  <si>
    <t>A9551SS</t>
  </si>
  <si>
    <t>A9552HP</t>
  </si>
  <si>
    <t>A9552SB</t>
  </si>
  <si>
    <t>A9552SS</t>
  </si>
  <si>
    <t>A9553HP</t>
  </si>
  <si>
    <t>A9553SB</t>
  </si>
  <si>
    <t>A9553SS</t>
  </si>
  <si>
    <t>A9621HP</t>
  </si>
  <si>
    <t>A9621SB</t>
  </si>
  <si>
    <t>A9621SS</t>
  </si>
  <si>
    <t>A9751HP</t>
  </si>
  <si>
    <t>A9751SB</t>
  </si>
  <si>
    <t>A9751SS</t>
  </si>
  <si>
    <t>F3025</t>
  </si>
  <si>
    <t>F3026</t>
  </si>
  <si>
    <t>SP090058</t>
  </si>
  <si>
    <t>SP090059</t>
  </si>
  <si>
    <t>SP090060</t>
  </si>
  <si>
    <t>SP100013</t>
  </si>
  <si>
    <t>A585SS</t>
  </si>
  <si>
    <t>A586SS</t>
  </si>
  <si>
    <t>A200NRRSS</t>
  </si>
  <si>
    <t>A201RRSS</t>
  </si>
  <si>
    <t>SP100095</t>
  </si>
  <si>
    <t>A872SS</t>
  </si>
  <si>
    <t>A955HP</t>
  </si>
  <si>
    <t>A955SS</t>
  </si>
  <si>
    <t>A956BHP</t>
  </si>
  <si>
    <t>A956HP</t>
  </si>
  <si>
    <t>A956SS</t>
  </si>
  <si>
    <t>B1525SALES</t>
  </si>
  <si>
    <t>CT4720BC</t>
  </si>
  <si>
    <t>CT4720PS</t>
  </si>
  <si>
    <t>CT4721BC</t>
  </si>
  <si>
    <t>CT4721PS</t>
  </si>
  <si>
    <t>CT4722BC</t>
  </si>
  <si>
    <t>CT4722PS</t>
  </si>
  <si>
    <t>CT4723BC</t>
  </si>
  <si>
    <t>CT4723PS</t>
  </si>
  <si>
    <t>CT4724BC</t>
  </si>
  <si>
    <t>CT4724PS</t>
  </si>
  <si>
    <t>CT4725BC</t>
  </si>
  <si>
    <t>CT4725PS</t>
  </si>
  <si>
    <t>CT4726BC</t>
  </si>
  <si>
    <t>CT4726PS</t>
  </si>
  <si>
    <t>CT4727BC</t>
  </si>
  <si>
    <t>SP080060</t>
  </si>
  <si>
    <t>DMCU</t>
  </si>
  <si>
    <t>C011</t>
  </si>
  <si>
    <t>C011B</t>
  </si>
  <si>
    <t>C011WH</t>
  </si>
  <si>
    <t>C012</t>
  </si>
  <si>
    <t>C012B</t>
  </si>
  <si>
    <t>C012WH</t>
  </si>
  <si>
    <t>C013</t>
  </si>
  <si>
    <t>C013B</t>
  </si>
  <si>
    <t>C013WH</t>
  </si>
  <si>
    <t>C014</t>
  </si>
  <si>
    <t>C014B</t>
  </si>
  <si>
    <t>C014WH</t>
  </si>
  <si>
    <t>C015</t>
  </si>
  <si>
    <t>C015B</t>
  </si>
  <si>
    <t>C015LWH</t>
  </si>
  <si>
    <t>C015WH</t>
  </si>
  <si>
    <t>C017</t>
  </si>
  <si>
    <t>C017B</t>
  </si>
  <si>
    <t>C017WH</t>
  </si>
  <si>
    <t>C021</t>
  </si>
  <si>
    <t>C021B</t>
  </si>
  <si>
    <t>C021WH</t>
  </si>
  <si>
    <t>C022</t>
  </si>
  <si>
    <t>C022B</t>
  </si>
  <si>
    <t>C022WH</t>
  </si>
  <si>
    <t>C023</t>
  </si>
  <si>
    <t>C023B</t>
  </si>
  <si>
    <t>C023WH</t>
  </si>
  <si>
    <t>C024</t>
  </si>
  <si>
    <t>C024B</t>
  </si>
  <si>
    <t>C024WH</t>
  </si>
  <si>
    <t>C026</t>
  </si>
  <si>
    <t>C026B</t>
  </si>
  <si>
    <t>C026WH</t>
  </si>
  <si>
    <t>C032</t>
  </si>
  <si>
    <t>C032B</t>
  </si>
  <si>
    <t>C032WH</t>
  </si>
  <si>
    <t>C041</t>
  </si>
  <si>
    <t>C041B</t>
  </si>
  <si>
    <t>C041WH</t>
  </si>
  <si>
    <t>C045</t>
  </si>
  <si>
    <t>C045B</t>
  </si>
  <si>
    <t>C045WH</t>
  </si>
  <si>
    <t>C047</t>
  </si>
  <si>
    <t>C047B</t>
  </si>
  <si>
    <t>C047WH</t>
  </si>
  <si>
    <t>C048</t>
  </si>
  <si>
    <t>C048B</t>
  </si>
  <si>
    <t>C048WH</t>
  </si>
  <si>
    <t>C049WH</t>
  </si>
  <si>
    <t>FNB001</t>
  </si>
  <si>
    <t>SP090051</t>
  </si>
  <si>
    <t>SP090052</t>
  </si>
  <si>
    <t>SP100006</t>
  </si>
  <si>
    <t>SP100017</t>
  </si>
  <si>
    <t>SP100028</t>
  </si>
  <si>
    <t>SP110001</t>
  </si>
  <si>
    <t>SP110003</t>
  </si>
  <si>
    <t>U021BINT</t>
  </si>
  <si>
    <t>C301</t>
  </si>
  <si>
    <t>C301B</t>
  </si>
  <si>
    <t>C301N</t>
  </si>
  <si>
    <t>C301NB</t>
  </si>
  <si>
    <t>C301NWH</t>
  </si>
  <si>
    <t>C301WH</t>
  </si>
  <si>
    <t>C303NWH</t>
  </si>
  <si>
    <t>C303WH</t>
  </si>
  <si>
    <t>C321N</t>
  </si>
  <si>
    <t>C321NB</t>
  </si>
  <si>
    <t>C321NWH</t>
  </si>
  <si>
    <t>C322N</t>
  </si>
  <si>
    <t>C322NB</t>
  </si>
  <si>
    <t>C322NWH</t>
  </si>
  <si>
    <t>C323NWH</t>
  </si>
  <si>
    <t>C324NWH</t>
  </si>
  <si>
    <t>C325</t>
  </si>
  <si>
    <t>C325B</t>
  </si>
  <si>
    <t>C325N</t>
  </si>
  <si>
    <t>C325NB</t>
  </si>
  <si>
    <t>C325NWH</t>
  </si>
  <si>
    <t>C325WH</t>
  </si>
  <si>
    <t>C326NWH</t>
  </si>
  <si>
    <t>C9131</t>
  </si>
  <si>
    <t>C9131WH</t>
  </si>
  <si>
    <t>C9132</t>
  </si>
  <si>
    <t>C9132WH</t>
  </si>
  <si>
    <t>C9133</t>
  </si>
  <si>
    <t>C9133WH</t>
  </si>
  <si>
    <t>C9134</t>
  </si>
  <si>
    <t>C9134WH</t>
  </si>
  <si>
    <t>C9141</t>
  </si>
  <si>
    <t>C9141WH</t>
  </si>
  <si>
    <t>C9551</t>
  </si>
  <si>
    <t>C9551WH</t>
  </si>
  <si>
    <t>C9552</t>
  </si>
  <si>
    <t>C9552WH</t>
  </si>
  <si>
    <t>C9751</t>
  </si>
  <si>
    <t>C9751WH</t>
  </si>
  <si>
    <t>C111</t>
  </si>
  <si>
    <t>C111B</t>
  </si>
  <si>
    <t>C111WH</t>
  </si>
  <si>
    <t>CP621BL</t>
  </si>
  <si>
    <t>CP621BM</t>
  </si>
  <si>
    <t>CP621GL</t>
  </si>
  <si>
    <t>CP621NBL</t>
  </si>
  <si>
    <t>CP621NBM</t>
  </si>
  <si>
    <t>CP621NGL</t>
  </si>
  <si>
    <t>CP621NSV</t>
  </si>
  <si>
    <t>CP621NWH</t>
  </si>
  <si>
    <t>CP621SV</t>
  </si>
  <si>
    <t>CP621WH</t>
  </si>
  <si>
    <t>CP622BL</t>
  </si>
  <si>
    <t>CP622BM</t>
  </si>
  <si>
    <t>CP622GL</t>
  </si>
  <si>
    <t>CP622NBL</t>
  </si>
  <si>
    <t>CP622NBM</t>
  </si>
  <si>
    <t>CP622NGL</t>
  </si>
  <si>
    <t>CP622NSV</t>
  </si>
  <si>
    <t>CP622NWH</t>
  </si>
  <si>
    <t>CP622SV</t>
  </si>
  <si>
    <t>CP622WH</t>
  </si>
  <si>
    <t>C461B</t>
  </si>
  <si>
    <t>C521</t>
  </si>
  <si>
    <t>C521B</t>
  </si>
  <si>
    <t>C532</t>
  </si>
  <si>
    <t>C532B</t>
  </si>
  <si>
    <t>C532WH</t>
  </si>
  <si>
    <t>C551</t>
  </si>
  <si>
    <t>C551B</t>
  </si>
  <si>
    <t>C551WH</t>
  </si>
  <si>
    <t>C552</t>
  </si>
  <si>
    <t>C552B</t>
  </si>
  <si>
    <t>C552WH</t>
  </si>
  <si>
    <t>C621</t>
  </si>
  <si>
    <t>C621B</t>
  </si>
  <si>
    <t>C621N</t>
  </si>
  <si>
    <t>C621NB</t>
  </si>
  <si>
    <t>C621NWH</t>
  </si>
  <si>
    <t>C621WH</t>
  </si>
  <si>
    <t>C622</t>
  </si>
  <si>
    <t>C622B</t>
  </si>
  <si>
    <t>C622N</t>
  </si>
  <si>
    <t>C622NB</t>
  </si>
  <si>
    <t>C622NWH</t>
  </si>
  <si>
    <t>C622WH</t>
  </si>
  <si>
    <t>C305</t>
  </si>
  <si>
    <t>C305B</t>
  </si>
  <si>
    <t>C305WH</t>
  </si>
  <si>
    <t>C315</t>
  </si>
  <si>
    <t>C315B</t>
  </si>
  <si>
    <t>C315WH</t>
  </si>
  <si>
    <t>C370B</t>
  </si>
  <si>
    <t>C461</t>
  </si>
  <si>
    <t>C461WH</t>
  </si>
  <si>
    <t>C200</t>
  </si>
  <si>
    <t>C200B</t>
  </si>
  <si>
    <t>C200N</t>
  </si>
  <si>
    <t>C200NB</t>
  </si>
  <si>
    <t>C200NWH</t>
  </si>
  <si>
    <t>C200WH</t>
  </si>
  <si>
    <t>C201</t>
  </si>
  <si>
    <t>C201B</t>
  </si>
  <si>
    <t>C201N</t>
  </si>
  <si>
    <t>C201NB</t>
  </si>
  <si>
    <t>C201NBOWH</t>
  </si>
  <si>
    <t>C201NCHWH</t>
  </si>
  <si>
    <t>C201NDWWH</t>
  </si>
  <si>
    <t>C201NEFWH</t>
  </si>
  <si>
    <t>C201NFFWH</t>
  </si>
  <si>
    <t>C201NHBWH</t>
  </si>
  <si>
    <t>C201NHEWH</t>
  </si>
  <si>
    <t>C201NRWH</t>
  </si>
  <si>
    <t>C201NTDWH</t>
  </si>
  <si>
    <t>C201NWH</t>
  </si>
  <si>
    <t>C201NWMWH</t>
  </si>
  <si>
    <t>C201RWH</t>
  </si>
  <si>
    <t>C201TDWH</t>
  </si>
  <si>
    <t>C201WH</t>
  </si>
  <si>
    <t>C201WMWH</t>
  </si>
  <si>
    <t>SP100048</t>
  </si>
  <si>
    <t>SP100049</t>
  </si>
  <si>
    <t>SP100050</t>
  </si>
  <si>
    <t>SP100051</t>
  </si>
  <si>
    <t>SP100052</t>
  </si>
  <si>
    <t>C351</t>
  </si>
  <si>
    <t>C351B</t>
  </si>
  <si>
    <t>C351WH</t>
  </si>
  <si>
    <t>C352</t>
  </si>
  <si>
    <t>C352B</t>
  </si>
  <si>
    <t>C352WH</t>
  </si>
  <si>
    <t>C353</t>
  </si>
  <si>
    <t>C353B</t>
  </si>
  <si>
    <t>C353WH</t>
  </si>
  <si>
    <t>C354</t>
  </si>
  <si>
    <t>C354B</t>
  </si>
  <si>
    <t>C354WH</t>
  </si>
  <si>
    <t>C355</t>
  </si>
  <si>
    <t>C355B</t>
  </si>
  <si>
    <t>C355WH</t>
  </si>
  <si>
    <t>C356</t>
  </si>
  <si>
    <t>C356B</t>
  </si>
  <si>
    <t>C356WH</t>
  </si>
  <si>
    <t>C359</t>
  </si>
  <si>
    <t>C359B</t>
  </si>
  <si>
    <t>C359WH</t>
  </si>
  <si>
    <t>C360</t>
  </si>
  <si>
    <t>C360B</t>
  </si>
  <si>
    <t>C360WH</t>
  </si>
  <si>
    <t>C361</t>
  </si>
  <si>
    <t>C361B</t>
  </si>
  <si>
    <t>C361WH</t>
  </si>
  <si>
    <t>C362</t>
  </si>
  <si>
    <t>C362B</t>
  </si>
  <si>
    <t>CM011HP</t>
  </si>
  <si>
    <t>CM011PB</t>
  </si>
  <si>
    <t>CM011SB</t>
  </si>
  <si>
    <t>CM011SS</t>
  </si>
  <si>
    <t>CM012HP</t>
  </si>
  <si>
    <t>CM012PB</t>
  </si>
  <si>
    <t>CM012SB</t>
  </si>
  <si>
    <t>CM012SS</t>
  </si>
  <si>
    <t>CM013HP</t>
  </si>
  <si>
    <t>CM013PB</t>
  </si>
  <si>
    <t>CM013SB</t>
  </si>
  <si>
    <t>CM013SS</t>
  </si>
  <si>
    <t>CM014HP</t>
  </si>
  <si>
    <t>CM014PB</t>
  </si>
  <si>
    <t>CM014SB</t>
  </si>
  <si>
    <t>CM014SS</t>
  </si>
  <si>
    <t>CM015HP</t>
  </si>
  <si>
    <t>CM015LHP</t>
  </si>
  <si>
    <t>CM015LPB</t>
  </si>
  <si>
    <t>CM015LSS</t>
  </si>
  <si>
    <t>CM015PB</t>
  </si>
  <si>
    <t>CM015SB</t>
  </si>
  <si>
    <t>CM015SS</t>
  </si>
  <si>
    <t>CM026HP</t>
  </si>
  <si>
    <t>CM026PB</t>
  </si>
  <si>
    <t>CM026SB</t>
  </si>
  <si>
    <t>CM026SS</t>
  </si>
  <si>
    <t>CM045HP</t>
  </si>
  <si>
    <t>CM045PB</t>
  </si>
  <si>
    <t>CM045SB</t>
  </si>
  <si>
    <t>CM045SS</t>
  </si>
  <si>
    <t>CM048HP</t>
  </si>
  <si>
    <t>CM048PB</t>
  </si>
  <si>
    <t>CM048SB</t>
  </si>
  <si>
    <t>CM048SS</t>
  </si>
  <si>
    <t>CM049HP</t>
  </si>
  <si>
    <t>CM049PB</t>
  </si>
  <si>
    <t>CM049SB</t>
  </si>
  <si>
    <t>CM049SS</t>
  </si>
  <si>
    <t>CM111HP</t>
  </si>
  <si>
    <t>CM111PB</t>
  </si>
  <si>
    <t>CM111SB</t>
  </si>
  <si>
    <t>CM111SS</t>
  </si>
  <si>
    <t>CM200HP</t>
  </si>
  <si>
    <t>CM200NHP</t>
  </si>
  <si>
    <t>CM200NPB</t>
  </si>
  <si>
    <t>CM200NSB</t>
  </si>
  <si>
    <t>CM200NSS</t>
  </si>
  <si>
    <t>CM200PB</t>
  </si>
  <si>
    <t>CM200SB</t>
  </si>
  <si>
    <t>CM200SS</t>
  </si>
  <si>
    <t>CM201HP</t>
  </si>
  <si>
    <t>CM201NCHHP</t>
  </si>
  <si>
    <t>CM201NCHPB</t>
  </si>
  <si>
    <t>CM201NCHSB</t>
  </si>
  <si>
    <t>CM201NCHSS</t>
  </si>
  <si>
    <t>CM201NEFHP</t>
  </si>
  <si>
    <t>CM201NEFPB</t>
  </si>
  <si>
    <t>CM201NEFSB</t>
  </si>
  <si>
    <t>CM201NEFSS</t>
  </si>
  <si>
    <t>CM201NHEHP</t>
  </si>
  <si>
    <t>CM201NHEPB</t>
  </si>
  <si>
    <t>CM201NHESB</t>
  </si>
  <si>
    <t>CM201NHESS</t>
  </si>
  <si>
    <t>CM201NHP</t>
  </si>
  <si>
    <t>CM201NPB</t>
  </si>
  <si>
    <t>CM201NRHP</t>
  </si>
  <si>
    <t>CM201NRPB</t>
  </si>
  <si>
    <t>CM201NRSB</t>
  </si>
  <si>
    <t>CM201NRSS</t>
  </si>
  <si>
    <t>CM201NSB</t>
  </si>
  <si>
    <t>CM201NSS</t>
  </si>
  <si>
    <t>CM201NWMHP</t>
  </si>
  <si>
    <t>CM201NWMSS</t>
  </si>
  <si>
    <t>CM201PB</t>
  </si>
  <si>
    <t>CM201RHP</t>
  </si>
  <si>
    <t>CM201RPB</t>
  </si>
  <si>
    <t>CM201RSB</t>
  </si>
  <si>
    <t>CM201RSS</t>
  </si>
  <si>
    <t>CM201SB</t>
  </si>
  <si>
    <t>CM201SS</t>
  </si>
  <si>
    <t>CM201TDHP</t>
  </si>
  <si>
    <t>CM201TDPB</t>
  </si>
  <si>
    <t>CM201TDSB</t>
  </si>
  <si>
    <t>CM201TDSS</t>
  </si>
  <si>
    <t>CM201WMHP</t>
  </si>
  <si>
    <t>CM201WMSB</t>
  </si>
  <si>
    <t>CM201WMSS</t>
  </si>
  <si>
    <t>CM301HP</t>
  </si>
  <si>
    <t>CM301NHP</t>
  </si>
  <si>
    <t>CM301NPB</t>
  </si>
  <si>
    <t>CM301NSB</t>
  </si>
  <si>
    <t>CM301NSS</t>
  </si>
  <si>
    <t>CM301PB</t>
  </si>
  <si>
    <t>CM301SB</t>
  </si>
  <si>
    <t>CM301SS</t>
  </si>
  <si>
    <t>CM303HP</t>
  </si>
  <si>
    <t>CM303NDWSS</t>
  </si>
  <si>
    <t>CM303NHP</t>
  </si>
  <si>
    <t>CM303NOVSS</t>
  </si>
  <si>
    <t>CM303NPB</t>
  </si>
  <si>
    <t>CM303NSB</t>
  </si>
  <si>
    <t>CM303NSS</t>
  </si>
  <si>
    <t>CM303PB</t>
  </si>
  <si>
    <t>CM303SB</t>
  </si>
  <si>
    <t>CM303SS</t>
  </si>
  <si>
    <t>CM305HP</t>
  </si>
  <si>
    <t>CM305PB</t>
  </si>
  <si>
    <t>CM305SB</t>
  </si>
  <si>
    <t>CM305SS</t>
  </si>
  <si>
    <t>CM315HP</t>
  </si>
  <si>
    <t>CM315PB</t>
  </si>
  <si>
    <t>CM315SB</t>
  </si>
  <si>
    <t>CM315SS</t>
  </si>
  <si>
    <t>F8001</t>
  </si>
  <si>
    <t>10A 2W GRIDSWITCH</t>
  </si>
  <si>
    <t>F8001RR</t>
  </si>
  <si>
    <t>F8002</t>
  </si>
  <si>
    <t>10A 2W GRIDSWITCH  BELL  PUSH</t>
  </si>
  <si>
    <t>F8004</t>
  </si>
  <si>
    <t>10A 2W GRIDSWITCH PUSH</t>
  </si>
  <si>
    <t>F8005</t>
  </si>
  <si>
    <t>10A 2W GRIDSWITCH PUSH RED</t>
  </si>
  <si>
    <t>F8020</t>
  </si>
  <si>
    <t>20A 1W GRIDSWITCH</t>
  </si>
  <si>
    <t>F8020RR</t>
  </si>
  <si>
    <t>F8021</t>
  </si>
  <si>
    <t>20A 2W GRIDSWITCH</t>
  </si>
  <si>
    <t>F8021RR</t>
  </si>
  <si>
    <t>F8022</t>
  </si>
  <si>
    <t>20A INTERMEDIATE GRIDSWITCH</t>
  </si>
  <si>
    <t>F8023</t>
  </si>
  <si>
    <t>20A DP GRIDSWITCH</t>
  </si>
  <si>
    <t>F8023BO</t>
  </si>
  <si>
    <t>20A DP GRIDSWITCH  BOILER</t>
  </si>
  <si>
    <t>F8023CH</t>
  </si>
  <si>
    <t>20A DP GRIDSWITCH  COOKER HOOD</t>
  </si>
  <si>
    <t>F8023CHG</t>
  </si>
  <si>
    <t>M351</t>
  </si>
  <si>
    <t>1G TV CO-AXIAL OUTLET</t>
  </si>
  <si>
    <t>M352</t>
  </si>
  <si>
    <t>M357</t>
  </si>
  <si>
    <t>6&amp;8G GRID BOX</t>
  </si>
  <si>
    <t>F8343</t>
  </si>
  <si>
    <t>9&amp;12G GRID BOX</t>
  </si>
  <si>
    <t>F8344</t>
  </si>
  <si>
    <t>18G GRID BOX</t>
  </si>
  <si>
    <t>F8345</t>
  </si>
  <si>
    <t>24G GRID BOX</t>
  </si>
  <si>
    <t>F8351</t>
  </si>
  <si>
    <t>F8352</t>
  </si>
  <si>
    <t>9&amp;12G GRID BOX NO KNOCKOUTS</t>
  </si>
  <si>
    <t>FM8340</t>
  </si>
  <si>
    <t>FM8341</t>
  </si>
  <si>
    <t>FM8349</t>
  </si>
  <si>
    <t>FM8350</t>
  </si>
  <si>
    <t>A532SB</t>
  </si>
  <si>
    <t>A532SS</t>
  </si>
  <si>
    <t>A532HP</t>
  </si>
  <si>
    <t>X360MG</t>
  </si>
  <si>
    <t>X361MG</t>
  </si>
  <si>
    <t>X851MG</t>
  </si>
  <si>
    <t>X852MG</t>
  </si>
  <si>
    <t>X854MG</t>
  </si>
  <si>
    <t>X391MG</t>
  </si>
  <si>
    <t>X392MG</t>
  </si>
  <si>
    <t>X801MG</t>
  </si>
  <si>
    <t>X802MG</t>
  </si>
  <si>
    <t>X803MG</t>
  </si>
  <si>
    <t>X804MG</t>
  </si>
  <si>
    <t>X806MG</t>
  </si>
  <si>
    <t>X808MG</t>
  </si>
  <si>
    <t>X809MG</t>
  </si>
  <si>
    <t>X812MG</t>
  </si>
  <si>
    <t>X818MG</t>
  </si>
  <si>
    <t>X824MG</t>
  </si>
  <si>
    <t>X801SS</t>
  </si>
  <si>
    <t>X802SS</t>
  </si>
  <si>
    <t>X803SS</t>
  </si>
  <si>
    <t>X804SS</t>
  </si>
  <si>
    <t>U522BINT</t>
  </si>
  <si>
    <t>U522INT</t>
  </si>
  <si>
    <t>U522PAN</t>
  </si>
  <si>
    <t>T Price oct 04</t>
  </si>
  <si>
    <t>pack qty</t>
  </si>
  <si>
    <t>A391HP</t>
  </si>
  <si>
    <t>A392HP</t>
  </si>
  <si>
    <t>M801</t>
  </si>
  <si>
    <t>M802</t>
  </si>
  <si>
    <t>M803</t>
  </si>
  <si>
    <t>M804</t>
  </si>
  <si>
    <t>M806</t>
  </si>
  <si>
    <t>M808</t>
  </si>
  <si>
    <t>M812</t>
  </si>
  <si>
    <t>M818</t>
  </si>
  <si>
    <t>M824</t>
  </si>
  <si>
    <t>A801SS</t>
  </si>
  <si>
    <t>A802SS</t>
  </si>
  <si>
    <t>A803SS</t>
  </si>
  <si>
    <t>A804SS</t>
  </si>
  <si>
    <t>A806SS</t>
  </si>
  <si>
    <t>A808SS</t>
  </si>
  <si>
    <t>A809SS</t>
  </si>
  <si>
    <t>A812SS</t>
  </si>
  <si>
    <t>A818SS</t>
  </si>
  <si>
    <t>A824SS</t>
  </si>
  <si>
    <t>A801SB</t>
  </si>
  <si>
    <t>A802SB</t>
  </si>
  <si>
    <t>A803SB</t>
  </si>
  <si>
    <t>A804SB</t>
  </si>
  <si>
    <t>A806SB</t>
  </si>
  <si>
    <t>A808SB</t>
  </si>
  <si>
    <t>A809SB</t>
  </si>
  <si>
    <t>A812SB</t>
  </si>
  <si>
    <t>A818SB</t>
  </si>
  <si>
    <t>A824SB</t>
  </si>
  <si>
    <t>A801HP</t>
  </si>
  <si>
    <t>A802HP</t>
  </si>
  <si>
    <t>A803HP</t>
  </si>
  <si>
    <t>A804HP</t>
  </si>
  <si>
    <t>A806HP</t>
  </si>
  <si>
    <t>A808HP</t>
  </si>
  <si>
    <t>A809HP</t>
  </si>
  <si>
    <t>A812HP</t>
  </si>
  <si>
    <t>A818HP</t>
  </si>
  <si>
    <t>A824HP</t>
  </si>
  <si>
    <t>X321MG</t>
  </si>
  <si>
    <t>X321NMG</t>
  </si>
  <si>
    <t>M301</t>
  </si>
  <si>
    <t>M303</t>
  </si>
  <si>
    <t>M301N</t>
  </si>
  <si>
    <t>M303N</t>
  </si>
  <si>
    <t>A301SS</t>
  </si>
  <si>
    <t>A301NSS</t>
  </si>
  <si>
    <t>A303NSS</t>
  </si>
  <si>
    <t>A304NSS</t>
  </si>
  <si>
    <t>A301NSB</t>
  </si>
  <si>
    <t>A303NSB</t>
  </si>
  <si>
    <t>X301MG</t>
  </si>
  <si>
    <t>X301NMG</t>
  </si>
  <si>
    <t>A301HP</t>
  </si>
  <si>
    <t>A301NHP</t>
  </si>
  <si>
    <t>A303NHP</t>
  </si>
  <si>
    <t>X021MG</t>
  </si>
  <si>
    <t>X022MG</t>
  </si>
  <si>
    <t>X023MG</t>
  </si>
  <si>
    <t>X017MG</t>
  </si>
  <si>
    <t>X015MG</t>
  </si>
  <si>
    <t>X041MG</t>
  </si>
  <si>
    <t>X048MG</t>
  </si>
  <si>
    <t>X049MG</t>
  </si>
  <si>
    <t>X111MG</t>
  </si>
  <si>
    <t>X112MG</t>
  </si>
  <si>
    <t>X305MG</t>
  </si>
  <si>
    <t>M201</t>
  </si>
  <si>
    <t>M201CH</t>
  </si>
  <si>
    <t>M201DW</t>
  </si>
  <si>
    <t>M201EF</t>
  </si>
  <si>
    <t>M201R</t>
  </si>
  <si>
    <t>M201RR</t>
  </si>
  <si>
    <t>M201WM</t>
  </si>
  <si>
    <t>M201N</t>
  </si>
  <si>
    <t>M201NR</t>
  </si>
  <si>
    <t>M201NRR</t>
  </si>
  <si>
    <t>M201NWH</t>
  </si>
  <si>
    <t>M201NWM</t>
  </si>
  <si>
    <t>M204</t>
  </si>
  <si>
    <t>M200N</t>
  </si>
  <si>
    <t>M200</t>
  </si>
  <si>
    <t>M200RR</t>
  </si>
  <si>
    <t>M203</t>
  </si>
  <si>
    <t>A201SS</t>
  </si>
  <si>
    <t>A200SS</t>
  </si>
  <si>
    <t>A201NSS</t>
  </si>
  <si>
    <t>A200NSS</t>
  </si>
  <si>
    <t>A201SB</t>
  </si>
  <si>
    <t>A201NSB</t>
  </si>
  <si>
    <t>A200NSB</t>
  </si>
  <si>
    <t>X201MG</t>
  </si>
  <si>
    <t>X201RRMG</t>
  </si>
  <si>
    <t>X201NMG</t>
  </si>
  <si>
    <t>X201NRRMG</t>
  </si>
  <si>
    <t>X200MG</t>
  </si>
  <si>
    <t>X200RRMG</t>
  </si>
  <si>
    <t>X200NMG</t>
  </si>
  <si>
    <t>X200NRRMG</t>
  </si>
  <si>
    <t>A200SB</t>
  </si>
  <si>
    <t>A201HP</t>
  </si>
  <si>
    <t>A200HP</t>
  </si>
  <si>
    <t>A201NHP</t>
  </si>
  <si>
    <t>A200NHP</t>
  </si>
  <si>
    <t>M532RED</t>
  </si>
  <si>
    <t>Description</t>
  </si>
  <si>
    <t>20A DP SWITCH WH</t>
  </si>
  <si>
    <t>20A DP CONTROL SWITCH</t>
  </si>
  <si>
    <t>5A 1G SOCKET</t>
  </si>
  <si>
    <t>15A 1G SOCKET</t>
  </si>
  <si>
    <t>45A DP COOKER CONTROL UNIT</t>
  </si>
  <si>
    <t>1G SAT OUTLET</t>
  </si>
  <si>
    <t>2G TV SAT OUTLET</t>
  </si>
  <si>
    <t>1G TELEPHONE OUTLET SECONDARY</t>
  </si>
  <si>
    <t>M370</t>
  </si>
  <si>
    <t>6A 3 POLE FAN ISOLATOR</t>
  </si>
  <si>
    <t>6A 3 POLE ISOLATOR</t>
  </si>
  <si>
    <t>F8023HH</t>
  </si>
  <si>
    <t>20A DP GRIDSWITCH  HOB HOOD</t>
  </si>
  <si>
    <t>F8023LI</t>
  </si>
  <si>
    <t>20A DP GRIDSWITCH  LIGHTS</t>
  </si>
  <si>
    <t>F8023MW</t>
  </si>
  <si>
    <t>20A DP GRIDSWITCH  MICROWAVE</t>
  </si>
  <si>
    <t>F8023OV</t>
  </si>
  <si>
    <t>20A DP GRIDSWITCH  OVEN</t>
  </si>
  <si>
    <t>F8023PH</t>
  </si>
  <si>
    <t>F8023RR</t>
  </si>
  <si>
    <t>F8023TD</t>
  </si>
  <si>
    <t>F8023TR</t>
  </si>
  <si>
    <t>20A DP GRIDSWITCH  TOWEL RAIL</t>
  </si>
  <si>
    <t>F8023WD</t>
  </si>
  <si>
    <t>F8023WDR</t>
  </si>
  <si>
    <t>F8023WH</t>
  </si>
  <si>
    <t>F8023WM</t>
  </si>
  <si>
    <t>F8024</t>
  </si>
  <si>
    <t>20A 2W GRIDSWITCH CENTRE OFF</t>
  </si>
  <si>
    <t>F8024RR</t>
  </si>
  <si>
    <t>F8025</t>
  </si>
  <si>
    <t>20A DP GRIDSWITCH WITH NEON</t>
  </si>
  <si>
    <t>F8025BO</t>
  </si>
  <si>
    <t>F8025CH</t>
  </si>
  <si>
    <t>F8025CHG</t>
  </si>
  <si>
    <t>F8025DW</t>
  </si>
  <si>
    <t>F8025EF</t>
  </si>
  <si>
    <t>F8025FF</t>
  </si>
  <si>
    <t>F8025FG</t>
  </si>
  <si>
    <t>F8025FZ</t>
  </si>
  <si>
    <t>F8025HB</t>
  </si>
  <si>
    <t>F8025HE</t>
  </si>
  <si>
    <t>F8025IH</t>
  </si>
  <si>
    <t>F8025MW</t>
  </si>
  <si>
    <t>F8025OV</t>
  </si>
  <si>
    <t>F8025PH</t>
  </si>
  <si>
    <t>F8025TD</t>
  </si>
  <si>
    <t>F8025TR</t>
  </si>
  <si>
    <t>F8025WD</t>
  </si>
  <si>
    <t>F8025WDR</t>
  </si>
  <si>
    <t>F8025WH</t>
  </si>
  <si>
    <t>F8025WM</t>
  </si>
  <si>
    <t>F8026</t>
  </si>
  <si>
    <t>20A 2W KEY GRIDSWITCH</t>
  </si>
  <si>
    <t>M571N</t>
  </si>
  <si>
    <t>M571RR</t>
  </si>
  <si>
    <t>M572</t>
  </si>
  <si>
    <t>M572RR</t>
  </si>
  <si>
    <t>M9031</t>
  </si>
  <si>
    <t>250W 1G 1W ROTARY TUNGSTEN</t>
  </si>
  <si>
    <t>M9032</t>
  </si>
  <si>
    <t>250W 2G 1W ROTARY TUNGSTEN</t>
  </si>
  <si>
    <t>M9041</t>
  </si>
  <si>
    <t>400W 1G 1W ROTARY TUNGSTEN</t>
  </si>
  <si>
    <t>M9101</t>
  </si>
  <si>
    <t>1-10V ANALOGUE 1G 1W</t>
  </si>
  <si>
    <t>M9131</t>
  </si>
  <si>
    <t>250W 1G 2W PUSH TUNGSTEN</t>
  </si>
  <si>
    <t>M9132</t>
  </si>
  <si>
    <t>250W 2G 2W PUSH TUNGSTEN</t>
  </si>
  <si>
    <t>M9133</t>
  </si>
  <si>
    <t>250W 3G 2W PUSH TUNGSTEN</t>
  </si>
  <si>
    <t>M9134</t>
  </si>
  <si>
    <t>250W 4G 2W PUSH TUNGSTEN</t>
  </si>
  <si>
    <t>M9141</t>
  </si>
  <si>
    <t>400W 1G 2W PUSH TUNGSTEN</t>
  </si>
  <si>
    <t>M9142</t>
  </si>
  <si>
    <t>400W 2G 2W PUSH TUNGSTEN</t>
  </si>
  <si>
    <t>M9143</t>
  </si>
  <si>
    <t>400W 3G 2W PUSH TUNGSTEN</t>
  </si>
  <si>
    <t>M9144</t>
  </si>
  <si>
    <t>400W 4G 2W PUSH TUNGSTEN</t>
  </si>
  <si>
    <t>HA0303</t>
  </si>
  <si>
    <t>RINGNUT BRASS M10</t>
  </si>
  <si>
    <t>HA0307</t>
  </si>
  <si>
    <t>HA0309</t>
  </si>
  <si>
    <t>HA0310</t>
  </si>
  <si>
    <t>KNOB ROTARY WHITE SMALL</t>
  </si>
  <si>
    <t>250W 1G 1W DIMMER ROTARY WHITE</t>
  </si>
  <si>
    <t>A551SS</t>
  </si>
  <si>
    <t>F1267</t>
  </si>
  <si>
    <t>F1268</t>
  </si>
  <si>
    <t>F1269</t>
  </si>
  <si>
    <t>F1340</t>
  </si>
  <si>
    <t>50A DP CEILING PULL SWITCH</t>
  </si>
  <si>
    <t>F1350</t>
  </si>
  <si>
    <t>F1350PC</t>
  </si>
  <si>
    <t>PULL CORD AND ACORN FOR F1350</t>
  </si>
  <si>
    <t>F1351</t>
  </si>
  <si>
    <t>F1400</t>
  </si>
  <si>
    <t>F1450</t>
  </si>
  <si>
    <t>F1451</t>
  </si>
  <si>
    <t>F1491</t>
  </si>
  <si>
    <t>F1530</t>
  </si>
  <si>
    <t>F1902</t>
  </si>
  <si>
    <t>10A OPTIONS MODULE 1W SWITCH</t>
  </si>
  <si>
    <t>F1905</t>
  </si>
  <si>
    <t>F1911LF</t>
  </si>
  <si>
    <t>F3205</t>
  </si>
  <si>
    <t>20A FLEX OUTLET PLATE</t>
  </si>
  <si>
    <t>F3368</t>
  </si>
  <si>
    <t>13A 3PIN NON STANDARD PLUG</t>
  </si>
  <si>
    <t>F3440</t>
  </si>
  <si>
    <t>EURO ADAPTOR</t>
  </si>
  <si>
    <t>F3691</t>
  </si>
  <si>
    <t>1G MODULE RJ 45 CATEGORY 5E</t>
  </si>
  <si>
    <t>F3694</t>
  </si>
  <si>
    <t>VOICE DATA BLANK MODULE</t>
  </si>
  <si>
    <t>F3696</t>
  </si>
  <si>
    <t>F3697</t>
  </si>
  <si>
    <t>F4500</t>
  </si>
  <si>
    <t>1G PATTRESS 16MM DEEP</t>
  </si>
  <si>
    <t>F4501</t>
  </si>
  <si>
    <t>1G PATTRESS 28MM DEEP</t>
  </si>
  <si>
    <t>F4502</t>
  </si>
  <si>
    <t>2G PATTRESS 28MM DEEP</t>
  </si>
  <si>
    <t>F4505</t>
  </si>
  <si>
    <t>F4506</t>
  </si>
  <si>
    <t>F4507</t>
  </si>
  <si>
    <t>F4508</t>
  </si>
  <si>
    <t>F4511</t>
  </si>
  <si>
    <t>2G PATTRESS 40MM DEEP</t>
  </si>
  <si>
    <t>F4530</t>
  </si>
  <si>
    <t>F4531</t>
  </si>
  <si>
    <t>2G METAL BOX 47MM DEEP</t>
  </si>
  <si>
    <t>F4533</t>
  </si>
  <si>
    <t>F4554</t>
  </si>
  <si>
    <t>1G METAL BOX 16MM DEEP</t>
  </si>
  <si>
    <t>F4556</t>
  </si>
  <si>
    <t>F4559</t>
  </si>
  <si>
    <t>F4567</t>
  </si>
  <si>
    <t>2G METAL BOX 35MM DEEP</t>
  </si>
  <si>
    <t>F4570</t>
  </si>
  <si>
    <t>1G PATTRESS 45MM DEEP</t>
  </si>
  <si>
    <t>F4581</t>
  </si>
  <si>
    <t>F4582</t>
  </si>
  <si>
    <t>F5002</t>
  </si>
  <si>
    <t>LAMPHOLDER SKIRT HOME OFFICE</t>
  </si>
  <si>
    <t>F5006</t>
  </si>
  <si>
    <t>LAMPHOLDER SKIRT SHORT</t>
  </si>
  <si>
    <t>F5099</t>
  </si>
  <si>
    <t>F8000</t>
  </si>
  <si>
    <t>10A 1W GRIDSWITCH</t>
  </si>
  <si>
    <t>F8000RR</t>
  </si>
  <si>
    <t>A391SS</t>
  </si>
  <si>
    <t>A392SS</t>
  </si>
  <si>
    <t>A391SB</t>
  </si>
  <si>
    <t>A392SB</t>
  </si>
  <si>
    <t>Quick Cross Reference Lookup</t>
  </si>
  <si>
    <t>A552SS</t>
  </si>
  <si>
    <t>10A 2G 1W SWITCH</t>
  </si>
  <si>
    <t>10A 3G 1W SWITCH</t>
  </si>
  <si>
    <t>10A 4G 1W SWITCH</t>
  </si>
  <si>
    <t>10A 1G 2W SWITCH</t>
  </si>
  <si>
    <t>10A 2G 2W SWITCH</t>
  </si>
  <si>
    <t>10A 3G 2W SWITCH</t>
  </si>
  <si>
    <t>10A 4G 2W SWITCH</t>
  </si>
  <si>
    <t>10A 6G 2W SWITCH</t>
  </si>
  <si>
    <t>1G BLANK PLATE SS</t>
  </si>
  <si>
    <t>2G BLANK PLATE SS</t>
  </si>
  <si>
    <t>U521BINT</t>
  </si>
  <si>
    <t>U521INT</t>
  </si>
  <si>
    <t>M304N</t>
  </si>
  <si>
    <t>M201BO</t>
  </si>
  <si>
    <t>M201CKH</t>
  </si>
  <si>
    <t>U105HP</t>
  </si>
  <si>
    <t>U105SS</t>
  </si>
  <si>
    <t>U105WH</t>
  </si>
  <si>
    <t>U106SS</t>
  </si>
  <si>
    <t>U106WH</t>
  </si>
  <si>
    <t>X315MG</t>
  </si>
  <si>
    <t>X522RRMG</t>
  </si>
  <si>
    <t>M521RED</t>
  </si>
  <si>
    <t>A361HP</t>
  </si>
  <si>
    <t>1G BLANK PLATE</t>
  </si>
  <si>
    <t>2G BLANK PLATE</t>
  </si>
  <si>
    <t>M521N</t>
  </si>
  <si>
    <t>M521RR</t>
  </si>
  <si>
    <t>M522RR</t>
  </si>
  <si>
    <t>M532</t>
  </si>
  <si>
    <t>M532N</t>
  </si>
  <si>
    <t>M532RR</t>
  </si>
  <si>
    <t>M551</t>
  </si>
  <si>
    <t>M551N</t>
  </si>
  <si>
    <t>M551RR</t>
  </si>
  <si>
    <t>M552</t>
  </si>
  <si>
    <t>M552RR</t>
  </si>
  <si>
    <t>X521MG</t>
  </si>
  <si>
    <t>X521NMG</t>
  </si>
  <si>
    <t>X521RRMG</t>
  </si>
  <si>
    <t>X522MG</t>
  </si>
  <si>
    <t>X522NMG</t>
  </si>
  <si>
    <t>X532MG</t>
  </si>
  <si>
    <t>X532RRMG</t>
  </si>
  <si>
    <t>X551MG</t>
  </si>
  <si>
    <t>X551NMG</t>
  </si>
  <si>
    <t>X552MG</t>
  </si>
  <si>
    <t>X552NMG</t>
  </si>
  <si>
    <t>HAFNS007</t>
  </si>
  <si>
    <t>NUT M10x0.75 Zn &amp; YEL PAS</t>
  </si>
  <si>
    <t>F8023DW</t>
  </si>
  <si>
    <t>20A DP GRIDSWITCH  DISH WASHER</t>
  </si>
  <si>
    <t>F8023EF</t>
  </si>
  <si>
    <t>20A DP GRIDSWITCH  EXTRACT FAN</t>
  </si>
  <si>
    <t>F8023FF</t>
  </si>
  <si>
    <t>F8023FG</t>
  </si>
  <si>
    <t>20A DP GRIDSWITCH  FRIDGE</t>
  </si>
  <si>
    <t>F8023FS</t>
  </si>
  <si>
    <t>F8023FZ</t>
  </si>
  <si>
    <t>20A DP GRIDSWITCH  FREEZER</t>
  </si>
  <si>
    <t>F8023HB</t>
  </si>
  <si>
    <t>F8023HE</t>
  </si>
  <si>
    <t>20A DP GRIDSWITCH  HEATER</t>
  </si>
  <si>
    <t>F8023HG</t>
  </si>
  <si>
    <t>20A DP GRIDSWITCH  HEATING</t>
  </si>
  <si>
    <t>HA5111</t>
  </si>
  <si>
    <t>1000W 1G 2W DIMMER PUSH WHITE</t>
  </si>
  <si>
    <t>HA5231</t>
  </si>
  <si>
    <t>250W 2W GRID DIMMER MODULE</t>
  </si>
  <si>
    <t>HA5231LV</t>
  </si>
  <si>
    <t>HA5241</t>
  </si>
  <si>
    <t>400W 2W GRID DIMMER MODULE</t>
  </si>
  <si>
    <t>HA5241LV</t>
  </si>
  <si>
    <t>HA5261</t>
  </si>
  <si>
    <t>HA5291</t>
  </si>
  <si>
    <t>1-10V GRID DIMMER MODULE</t>
  </si>
  <si>
    <t>F1000</t>
  </si>
  <si>
    <t>LAMPHOLDER SHORT SKIRT</t>
  </si>
  <si>
    <t>F1001</t>
  </si>
  <si>
    <t>LAMPHOLDER HOME OFFICE SKIRT</t>
  </si>
  <si>
    <t>F1025</t>
  </si>
  <si>
    <t>BATTEN L HOLDER 2T SHORT SKIRT</t>
  </si>
  <si>
    <t>F1026</t>
  </si>
  <si>
    <t>F1030</t>
  </si>
  <si>
    <t>F1031</t>
  </si>
  <si>
    <t>F1045</t>
  </si>
  <si>
    <t>F1046</t>
  </si>
  <si>
    <t>F1091</t>
  </si>
  <si>
    <t>F1200</t>
  </si>
  <si>
    <t>F1250</t>
  </si>
  <si>
    <t>F1251</t>
  </si>
  <si>
    <t>F1260</t>
  </si>
  <si>
    <t>F1261</t>
  </si>
  <si>
    <t>F1262</t>
  </si>
  <si>
    <t>F1263</t>
  </si>
  <si>
    <t>F1264</t>
  </si>
  <si>
    <t>F1266</t>
  </si>
  <si>
    <t>F2045</t>
  </si>
  <si>
    <t>F2046</t>
  </si>
  <si>
    <t>F2414</t>
  </si>
  <si>
    <t>F2419</t>
  </si>
  <si>
    <t>F2455</t>
  </si>
  <si>
    <t>FIND A LITE KIT</t>
  </si>
  <si>
    <t>F2630</t>
  </si>
  <si>
    <t>F2631</t>
  </si>
  <si>
    <t>F2632</t>
  </si>
  <si>
    <t>F2633</t>
  </si>
  <si>
    <t>A048SB</t>
  </si>
  <si>
    <t>A041HP</t>
  </si>
  <si>
    <t>A048HP</t>
  </si>
  <si>
    <t>M111</t>
  </si>
  <si>
    <t>M112</t>
  </si>
  <si>
    <t>M305</t>
  </si>
  <si>
    <t>M314</t>
  </si>
  <si>
    <t>A111SS</t>
  </si>
  <si>
    <t>A112SS</t>
  </si>
  <si>
    <t>A111HP</t>
  </si>
  <si>
    <t>A112HP</t>
  </si>
  <si>
    <t>A305SS</t>
  </si>
  <si>
    <t>A305SB</t>
  </si>
  <si>
    <t>A305HP</t>
  </si>
  <si>
    <t>M391</t>
  </si>
  <si>
    <t>M353</t>
  </si>
  <si>
    <t>M354</t>
  </si>
  <si>
    <t>A353SS</t>
  </si>
  <si>
    <t>A353HP</t>
  </si>
  <si>
    <t>A354SS</t>
  </si>
  <si>
    <t>A354SB</t>
  </si>
  <si>
    <t>A351SS</t>
  </si>
  <si>
    <t>A351SB</t>
  </si>
  <si>
    <t>A351HP</t>
  </si>
  <si>
    <t>M392</t>
  </si>
  <si>
    <t>A360SS</t>
  </si>
  <si>
    <t>A361SS</t>
  </si>
  <si>
    <t>A360SB</t>
  </si>
  <si>
    <t>A361SB</t>
  </si>
  <si>
    <t>A360HP</t>
  </si>
  <si>
    <t>M360</t>
  </si>
  <si>
    <t>M361</t>
  </si>
  <si>
    <t>M362</t>
  </si>
  <si>
    <t>A370SB</t>
  </si>
  <si>
    <t>A370SS</t>
  </si>
  <si>
    <t>A370HP</t>
  </si>
  <si>
    <t>M461</t>
  </si>
  <si>
    <t>M421</t>
  </si>
  <si>
    <t>M422</t>
  </si>
  <si>
    <t>M462</t>
  </si>
  <si>
    <t>M465</t>
  </si>
  <si>
    <t>M451</t>
  </si>
  <si>
    <t>M452</t>
  </si>
  <si>
    <t>M452N</t>
  </si>
  <si>
    <t>M851</t>
  </si>
  <si>
    <t>M852</t>
  </si>
  <si>
    <t>M854</t>
  </si>
  <si>
    <t>A851SS</t>
  </si>
  <si>
    <t>A851HP</t>
  </si>
  <si>
    <t>A851SB</t>
  </si>
  <si>
    <t>A852SS</t>
  </si>
  <si>
    <t>A854SS</t>
  </si>
  <si>
    <t>M355</t>
  </si>
  <si>
    <t>M356</t>
  </si>
  <si>
    <t>M358</t>
  </si>
  <si>
    <t>M359</t>
  </si>
  <si>
    <t>M366</t>
  </si>
  <si>
    <t>A355SS</t>
  </si>
  <si>
    <t>A356SS</t>
  </si>
  <si>
    <t>A355SB</t>
  </si>
  <si>
    <t>A356SB</t>
  </si>
  <si>
    <t>A356HP</t>
  </si>
  <si>
    <t>M306</t>
  </si>
  <si>
    <t>M315</t>
  </si>
  <si>
    <t>M315N</t>
  </si>
  <si>
    <t>A306SS</t>
  </si>
  <si>
    <t>A306SB</t>
  </si>
  <si>
    <t>A306HP</t>
  </si>
  <si>
    <t>A315SS</t>
  </si>
  <si>
    <t>A315SB</t>
  </si>
  <si>
    <t>A315HP</t>
  </si>
  <si>
    <t>F2634</t>
  </si>
  <si>
    <t>F2635</t>
  </si>
  <si>
    <t>13A 1G SPLASHPROOF SOCKET IP54</t>
  </si>
  <si>
    <t>F2636</t>
  </si>
  <si>
    <t>F2640</t>
  </si>
  <si>
    <t>F2641</t>
  </si>
  <si>
    <t>F2642</t>
  </si>
  <si>
    <t>13A 1G HOSEPROOF SOCKET IP56</t>
  </si>
  <si>
    <t>F2643</t>
  </si>
  <si>
    <t>13A 2G HOSEPROOF SOCKET IP56</t>
  </si>
  <si>
    <t>F2644</t>
  </si>
  <si>
    <t>F2645</t>
  </si>
  <si>
    <t>F2646</t>
  </si>
  <si>
    <t>F2647</t>
  </si>
  <si>
    <t>F2701</t>
  </si>
  <si>
    <t>15A 1G 2W SWITCH</t>
  </si>
  <si>
    <t>F2702</t>
  </si>
  <si>
    <t>15A 2G 2W SWITCH</t>
  </si>
  <si>
    <t>F2703</t>
  </si>
  <si>
    <t>15A 3G 2W SWITCH</t>
  </si>
  <si>
    <t>Status</t>
  </si>
  <si>
    <t>New (or replacement) Description</t>
  </si>
  <si>
    <t>Replaces</t>
  </si>
  <si>
    <t>COPA Wiring Accessories</t>
  </si>
  <si>
    <t>PREMERA Wiring Accessories</t>
  </si>
  <si>
    <t>P212</t>
  </si>
  <si>
    <t>P450</t>
  </si>
  <si>
    <t>P999</t>
  </si>
  <si>
    <t>PREMERA MIX Modules</t>
  </si>
  <si>
    <t>XTRA Surface Range</t>
  </si>
  <si>
    <t>F3205, E210</t>
  </si>
  <si>
    <t>M011, E011</t>
  </si>
  <si>
    <t>M012, E012</t>
  </si>
  <si>
    <t>M013, E013</t>
  </si>
  <si>
    <t>M015, E015</t>
  </si>
  <si>
    <t>M017, E017</t>
  </si>
  <si>
    <t>M021, E021</t>
  </si>
  <si>
    <t>M022, E022</t>
  </si>
  <si>
    <t>M023, E023</t>
  </si>
  <si>
    <t>M024, E024</t>
  </si>
  <si>
    <t>F2414, M048, E048</t>
  </si>
  <si>
    <t>F2419, M049</t>
  </si>
  <si>
    <t>M111, E111</t>
  </si>
  <si>
    <t>M200, E200</t>
  </si>
  <si>
    <t>M200N, E200N</t>
  </si>
  <si>
    <t>M201, E201</t>
  </si>
  <si>
    <t>M201N, E201N</t>
  </si>
  <si>
    <t>M201NWM, E201NWM</t>
  </si>
  <si>
    <t>M301, E301</t>
  </si>
  <si>
    <t>M301N, E301N</t>
  </si>
  <si>
    <t>M303, E303</t>
  </si>
  <si>
    <t>M303N, E303N</t>
  </si>
  <si>
    <t>M304N, E304N</t>
  </si>
  <si>
    <t>M315,M315A,  E315</t>
  </si>
  <si>
    <t>M321N, E321N</t>
  </si>
  <si>
    <t>M322N, E322N</t>
  </si>
  <si>
    <t>M325, E325</t>
  </si>
  <si>
    <t>M325N, E325N</t>
  </si>
  <si>
    <t>M326N, E326N</t>
  </si>
  <si>
    <t>F2046, E345</t>
  </si>
  <si>
    <t>M351, E351</t>
  </si>
  <si>
    <t>M351D, E351D</t>
  </si>
  <si>
    <t>M355, E355</t>
  </si>
  <si>
    <t>M356, E356</t>
  </si>
  <si>
    <t>M360, E360</t>
  </si>
  <si>
    <t>M361, E361</t>
  </si>
  <si>
    <t>M362, E362</t>
  </si>
  <si>
    <t>M370, E370</t>
  </si>
  <si>
    <t>M391, E391</t>
  </si>
  <si>
    <t>M392, E392</t>
  </si>
  <si>
    <t>M611, E511</t>
  </si>
  <si>
    <t>M612, E512</t>
  </si>
  <si>
    <t>M621, E521</t>
  </si>
  <si>
    <t>M621N. E511N</t>
  </si>
  <si>
    <t>M622, E522</t>
  </si>
  <si>
    <t>M622N, E512N</t>
  </si>
  <si>
    <t>M801, E801, M851,M881</t>
  </si>
  <si>
    <t>M802, E802, M852, M882</t>
  </si>
  <si>
    <t>M803, E803</t>
  </si>
  <si>
    <t>M804, E804, M854, M884</t>
  </si>
  <si>
    <t>M9131, E9131</t>
  </si>
  <si>
    <t>M9132, E9132</t>
  </si>
  <si>
    <t>M9141, E9141</t>
  </si>
  <si>
    <t>M9511, E9511</t>
  </si>
  <si>
    <t>M9551, E9551</t>
  </si>
  <si>
    <t>M9552, E9552</t>
  </si>
  <si>
    <t>M9751, E9751</t>
  </si>
  <si>
    <t>CIRCA Ceiling Accessories</t>
  </si>
  <si>
    <t>PREMERA MIX Boxes</t>
  </si>
  <si>
    <t>LSC Plug-in Lighting</t>
  </si>
  <si>
    <t>13A 1G DP SW SKT NEON 2 E TERM</t>
  </si>
  <si>
    <t>13A NON STANDARD PLUG</t>
  </si>
  <si>
    <t>P902 + F9306</t>
  </si>
  <si>
    <t>P901 +F9025WM</t>
  </si>
  <si>
    <t>P902 + F3783</t>
  </si>
  <si>
    <t>P904,F3783,F3780,F3784</t>
  </si>
  <si>
    <t>P903, 3 x F9064</t>
  </si>
  <si>
    <t>P903, 4 x F9064</t>
  </si>
  <si>
    <t>P903, 3 x F9065</t>
  </si>
  <si>
    <t>P903, 4 x F9065</t>
  </si>
  <si>
    <t>P903, 3 x F9077</t>
  </si>
  <si>
    <t>X901MG, F9004</t>
  </si>
  <si>
    <t>P902 + F9223</t>
  </si>
  <si>
    <t>10AMP GRIDSWITCH 2 WAY BELL PU</t>
  </si>
  <si>
    <t>10AMP GRIDSW 2 WAY FAN</t>
  </si>
  <si>
    <t>20AMP GRIDSWITCH 1 WAY</t>
  </si>
  <si>
    <t>20AMP GRSW 1W WINDOW RKR</t>
  </si>
  <si>
    <t>20AMP GRIDSWITCH 2 WAY</t>
  </si>
  <si>
    <t>20A GRSW 2W WINDOW RKR</t>
  </si>
  <si>
    <t>20AMP GRIDSWITCH INTERMEDIATE</t>
  </si>
  <si>
    <t>20AMP GRIDSWITCH ISOLATOR DP</t>
  </si>
  <si>
    <t>20A GRSW ISOL DP WINDOW RKR</t>
  </si>
  <si>
    <t>20A GRIDSWITCH CENTRE OFF</t>
  </si>
  <si>
    <t>20A GRIDSWITCH DP NEON ROCKER</t>
  </si>
  <si>
    <t>20A GRSW 2W KEY OPERATED</t>
  </si>
  <si>
    <t>F8026 PRINTED  EMG LTG TEST</t>
  </si>
  <si>
    <t>20A GRIDSWITCH DP KEY OPERATED</t>
  </si>
  <si>
    <t>F8027 PRINTED  TEST EM LTG CHR</t>
  </si>
  <si>
    <t>20A GRIDSWITCH DP PUSH TO MAKE</t>
  </si>
  <si>
    <t>20A GRSW 2W CENTRE OFF BIAS</t>
  </si>
  <si>
    <t>16A GRIDSWITCH SP TWIN MODULE</t>
  </si>
  <si>
    <t>BLANK INSERT FOR GRIDPLATE</t>
  </si>
  <si>
    <t>G-MOUNT GREEN FLUORESCENT INDI</t>
  </si>
  <si>
    <t>G-MOUNTING RED NEON INDICATOR</t>
  </si>
  <si>
    <t>GRID 13A FUSED CONNECTION UNIT</t>
  </si>
  <si>
    <t>FUSED C-UNIT {SCREW RET)</t>
  </si>
  <si>
    <t>LABELS GRID WINDOW CONTACTUM</t>
  </si>
  <si>
    <t>10A 1W GRIDSWITCH BLACK INSERT</t>
  </si>
  <si>
    <t>10A 1W GRIDSWITCH RED ROCKER</t>
  </si>
  <si>
    <t>10A 2W GRIDSWITCH BLACK INSERT</t>
  </si>
  <si>
    <t>10A 2W GRIDSW EXTRACT FAN</t>
  </si>
  <si>
    <t>10A 2W GRIDSWITCH RED ROCKER</t>
  </si>
  <si>
    <t>10A 2W GRIDSWITCH BELL PUSH BL</t>
  </si>
  <si>
    <t>10A 2W GRIDSW PUSH BLACK</t>
  </si>
  <si>
    <t>20A 1W GRIDSWITCH BLACK INSERT</t>
  </si>
  <si>
    <t>20A 1W GRIDSWITCH RED ROCKER</t>
  </si>
  <si>
    <t>RS GRD MOD SWT 1W 3534821</t>
  </si>
  <si>
    <t>20A 2W GRIDSWITCH BLACK INSERT</t>
  </si>
  <si>
    <t>20A 2W GRIDSWITCH EXTRACT FAN</t>
  </si>
  <si>
    <t>20A 2W GRIDSWITCH RED ROCKER</t>
  </si>
  <si>
    <t>RS GRD MOD SWT 2W 3534859</t>
  </si>
  <si>
    <t>20A INT GRIDSWITCH BLACK</t>
  </si>
  <si>
    <t>20A DP GRIDSWITCH IN BLACK</t>
  </si>
  <si>
    <t>F8023 BOILER IN BLACK</t>
  </si>
  <si>
    <t>F8023 COOKER HOOD IN BLACK</t>
  </si>
  <si>
    <t>20A DP GRIDSW CENTRAL HEAT BK</t>
  </si>
  <si>
    <t>F8023 DISHWASHER IN BLACK</t>
  </si>
  <si>
    <t>F8023 EXTRACT FAN IN BLACK</t>
  </si>
  <si>
    <t>F8023 FRIDGE FREEZER IN BLACK</t>
  </si>
  <si>
    <t>F8023 FRIDGE IN BLACK</t>
  </si>
  <si>
    <t>20A DP G SW FAN SYM BLACK</t>
  </si>
  <si>
    <t>F8023 FREEZER IN BLACK</t>
  </si>
  <si>
    <t>F8023 HOB IN BLACK</t>
  </si>
  <si>
    <t>20A DP GRIDSW  HEATER BK</t>
  </si>
  <si>
    <t>20A DP GRIDSW HEATING BK</t>
  </si>
  <si>
    <t>20A DP GRIDSW HOB HOOD BK</t>
  </si>
  <si>
    <t>20A DP GRIDSW KICKSPACE BK</t>
  </si>
  <si>
    <t>20A DP GRIDSW  LIGHTS BK</t>
  </si>
  <si>
    <t>20A DP GRIDSW IN BLACK MDR</t>
  </si>
  <si>
    <t>F8023 MICROWAVE IN BLACK</t>
  </si>
  <si>
    <t>20A DP GRIDSWITCH  OVEN BLK</t>
  </si>
  <si>
    <t>20A DP GRIDSW  PLINTH HEAT BK</t>
  </si>
  <si>
    <t>20A DP GRIDSW PELMET LIGHT BK</t>
  </si>
  <si>
    <t>20A DP SW TUMBLE DRYER</t>
  </si>
  <si>
    <t>20A DP GRIDSW  TOWEL RAIL BK</t>
  </si>
  <si>
    <t>20A DP SW WASTE DISP BK</t>
  </si>
  <si>
    <t>20A DP GRIDSW IN BLACK WDR</t>
  </si>
  <si>
    <t>20A DP GRIDSW  WATER HEATER BK</t>
  </si>
  <si>
    <t>20A DP SW WASHING MC BK</t>
  </si>
  <si>
    <t>20A DP GRIDSW  WINDOW OPEN BK</t>
  </si>
  <si>
    <t>20A DP GRIDSW  CENTRAL HEATING</t>
  </si>
  <si>
    <t>20A DP GRIDSWITCH  COFFEE MC</t>
  </si>
  <si>
    <t>20A DP GRIDSWITCH  FRIDGE FREE</t>
  </si>
  <si>
    <t>20A DP GRIDSWITCH WITH FAN SYM</t>
  </si>
  <si>
    <t>20A DP GRIDSWITCH HOB</t>
  </si>
  <si>
    <t>20A DP GRIDSWITCH KICKSPACE</t>
  </si>
  <si>
    <t>20A DP GRIDSWITCH  PLINTH HEAT</t>
  </si>
  <si>
    <t>20A DP GRIDSW PELMET LIGHT</t>
  </si>
  <si>
    <t>20A DP GRIDSWITCH RED ROCKER</t>
  </si>
  <si>
    <t>RS GRD MOD SWT DP 3534843</t>
  </si>
  <si>
    <t>20A DP GRIDSWITCH  SOCKETS</t>
  </si>
  <si>
    <t>20A DP GRIDSWITCH  TUMBLE DRYE</t>
  </si>
  <si>
    <t>20A DP GRIDSWITCH  WASTE DISPO</t>
  </si>
  <si>
    <t>20A DP GRIDSWITCH   WASHER DRY</t>
  </si>
  <si>
    <t>20A DP GRIDSWITCH  WATER HEATE</t>
  </si>
  <si>
    <t>20A DP GRIDSWITCH  WASHING MAC</t>
  </si>
  <si>
    <t>20A 2W GR SW CENTRE OFF KEY OP</t>
  </si>
  <si>
    <t>20A GR SW CENTRE OFF RED RKR</t>
  </si>
  <si>
    <t>20A DP GRID SW NEON BLACK</t>
  </si>
  <si>
    <t>20A DP GRSW NEON  BOILER</t>
  </si>
  <si>
    <t>20A DP GRSW NEON COOKER HOOD</t>
  </si>
  <si>
    <t>20A DP GRIDSWITCH WITH NEON  C</t>
  </si>
  <si>
    <t>20A DP GRSW NEON DISH WASHER</t>
  </si>
  <si>
    <t>20A DP GRSW NEON EXTRACT FAN</t>
  </si>
  <si>
    <t>20A DP GRSW NEON  FRID FREEZER</t>
  </si>
  <si>
    <t>20A DP GRSW NEON  FRIDGE</t>
  </si>
  <si>
    <t>20A DP GRSW NEON  FREEZER</t>
  </si>
  <si>
    <t>20A DP GRSW NEON HOB</t>
  </si>
  <si>
    <t>20A DP GRSW NEON HEATER</t>
  </si>
  <si>
    <t>20A DP GR SW IMMERSION HEATER</t>
  </si>
  <si>
    <t>20A DP GRSW NEON MICROWAVE</t>
  </si>
  <si>
    <t>20A DP GRSW NEON OVEN</t>
  </si>
  <si>
    <t>20A DP GRSW NEON PLINTH HEATER</t>
  </si>
  <si>
    <t>RS GD MD DP SW NE 3534865</t>
  </si>
  <si>
    <t>20A DP GRSW NEON  TUMBLE DRYER</t>
  </si>
  <si>
    <t>20A DP GRSW NEON TOWEL RAIL</t>
  </si>
  <si>
    <t>20A DP GRSW NEON WASTE DISP</t>
  </si>
  <si>
    <t>20A DP GRSW NEON  WASH DRYER</t>
  </si>
  <si>
    <t>20A DP GRSW NEON WATER HEATER</t>
  </si>
  <si>
    <t>20A DP GRSW NEON WASH MACHINE</t>
  </si>
  <si>
    <t>20A 2W KEY GRSW BLK INSERT</t>
  </si>
  <si>
    <t>20A 2W KEY GRIDSW  TEST EM BK</t>
  </si>
  <si>
    <t>20A 2W KEY GRSW TEST EMG LTG</t>
  </si>
  <si>
    <t>RS GDMD DP K-SW 2W 3521960</t>
  </si>
  <si>
    <t>20A DP KEY GRIDSW TEST EMG BK</t>
  </si>
  <si>
    <t>20A DP KEY GRSW TEST EMG LTG C</t>
  </si>
  <si>
    <t>RS GD-MD EMRG LGT 3521954</t>
  </si>
  <si>
    <t>RS GD-MD DP KEY SW 3534887</t>
  </si>
  <si>
    <t>20A 2W KEY GRIDSWITCH BIAS BLA</t>
  </si>
  <si>
    <t>20A DP GRSW PUSH TO BREAK</t>
  </si>
  <si>
    <t>20A DP GRSW PUSH TO BREAK RR</t>
  </si>
  <si>
    <t>20A DP GRSW PUSH TO MAKE BLK</t>
  </si>
  <si>
    <t>20A DP GRSW PUSH TO MAKE RR</t>
  </si>
  <si>
    <t>20A INTERMEDIATE KEY GRIDSWITC</t>
  </si>
  <si>
    <t>20A INT GRID SW BLACK</t>
  </si>
  <si>
    <t>20A 2W GRIDSWITCH CENTRE OFF B</t>
  </si>
  <si>
    <t>20A 2W GRIDSW CTR OFF BIAS RR</t>
  </si>
  <si>
    <t>20A DP GRIDSW WINDOW ROCKER</t>
  </si>
  <si>
    <t>DIMPLEX SWITCH UNIT ASSEMBLY</t>
  </si>
  <si>
    <t>GRID BLANK PLATE BLACK INSERT</t>
  </si>
  <si>
    <t>RS GD-MD BLANK 3534893</t>
  </si>
  <si>
    <t>GRSW RED NEON INDICATOR BLK IN</t>
  </si>
  <si>
    <t>RS GD-MD RED NEON 3534871</t>
  </si>
  <si>
    <t>GRID GREEN FLUORESCENT INDICAT</t>
  </si>
  <si>
    <t>40-250W GRID DIMMER BLACK INSE</t>
  </si>
  <si>
    <t>80-400W GRID DIMMER BLACK INSE</t>
  </si>
  <si>
    <t>50-250VA GRID DIMMER LV</t>
  </si>
  <si>
    <t>50-250VA GRID DIMMER LOW VOLTA</t>
  </si>
  <si>
    <t>50-400VA GRID DIMMER LOW VOLTA</t>
  </si>
  <si>
    <t>16A 2 PIN UNIVERSAL SKT GR MOD</t>
  </si>
  <si>
    <t>16A 2 PIN UNIV SKT GR MOD BLK</t>
  </si>
  <si>
    <t>GRID TV CO-AX OUTLET BLACK INS</t>
  </si>
  <si>
    <t>13A FUSED CON UNIT GRID MODULE</t>
  </si>
  <si>
    <t>13A FUSED C-UNIT GR MOD 13A FU</t>
  </si>
  <si>
    <t>3A FUSED C-UNIT GR MOD 3A FUSE</t>
  </si>
  <si>
    <t>13A CONN UNIT GRID</t>
  </si>
  <si>
    <t>13A CONN UNIT GRID RED</t>
  </si>
  <si>
    <t>RS GD-MD 13A FUSE 3534900</t>
  </si>
  <si>
    <t>20A CORD OUTLET 10MM GRID</t>
  </si>
  <si>
    <t>20A CORD OUT 10MM GR MOD BLK</t>
  </si>
  <si>
    <t>13A C-UNIT SCREW RET GRID MOD</t>
  </si>
  <si>
    <t>13A C-UNIT SCREW RET GR BLK MO</t>
  </si>
  <si>
    <t>1-10V SLIDE GRID DIMMER BLACK</t>
  </si>
  <si>
    <t>COMMERCIAL DIMMING SYSTEM GRID</t>
  </si>
  <si>
    <t>GRIDSW WINDOW</t>
  </si>
  <si>
    <t>F8073E66</t>
  </si>
  <si>
    <t>1710-0-3634 1&amp;2G GRID PLATE</t>
  </si>
  <si>
    <t>BUSH FOR GRID PLATES</t>
  </si>
  <si>
    <t>REPLACEMENT KEY</t>
  </si>
  <si>
    <t>GRID 1 &amp; 2 GANG</t>
  </si>
  <si>
    <t>GRID 3 &amp; 4 GANG</t>
  </si>
  <si>
    <t>GRIDSW BOX 6 &amp; 8 GANG &amp; E TERM</t>
  </si>
  <si>
    <t>GRIDWITCH BOX 9 &amp; 12GANG &amp; E T</t>
  </si>
  <si>
    <t>1&amp;2G GRID BOX SURFACE SM</t>
  </si>
  <si>
    <t>RS 1 2 GANG G SWT BX 3659649</t>
  </si>
  <si>
    <t>3&amp;4G GRID BOX SURFACE SM</t>
  </si>
  <si>
    <t>RS 2GNG SURF MOUNT BX 3659655</t>
  </si>
  <si>
    <t>1&amp;2G GRID BOX NO KNOCKOUTS SUR</t>
  </si>
  <si>
    <t>3&amp;4G GRID BOX NO KNOCKOUTS SUR</t>
  </si>
  <si>
    <t>GRID SECURITY SC MOUL &amp; METAL</t>
  </si>
  <si>
    <t>1 &amp; 2 GANG GRID YOKE</t>
  </si>
  <si>
    <t>RS GRD FRM 1-2 GNG 3534758</t>
  </si>
  <si>
    <t>RS GRD FRM 3-4 GNG 3534764</t>
  </si>
  <si>
    <t>RS GR BK BX 6-8 GNG 3534742</t>
  </si>
  <si>
    <t>GRIDSWITCH BOX DIVIDER</t>
  </si>
  <si>
    <t>GRIDSWITCH BOX 6 &amp; 8 GANG - NO</t>
  </si>
  <si>
    <t>13A 1G SOCKET ROUND PANEL MOUN</t>
  </si>
  <si>
    <t>RS 13A PANEL MT SKT 489425</t>
  </si>
  <si>
    <t>13A 2G DP SW SKT 2 E TERM INT</t>
  </si>
  <si>
    <t>13A 2G DP SW SKT 2 E TERM PAN</t>
  </si>
  <si>
    <t>10A 1G 2W SPLASHPROOF SWITCH I</t>
  </si>
  <si>
    <t>10A 2G 1W SPLASHPROOF SWITCH I</t>
  </si>
  <si>
    <t>10A 2G 2W SPLASHPROOF SWITCH I</t>
  </si>
  <si>
    <t>10A 1G 1W SPLASHPROOF SWITCH I</t>
  </si>
  <si>
    <t>10A 1G DP SPLASHPROOF SWITCH I</t>
  </si>
  <si>
    <t>13A 1G SKT &amp; 10A 1G 2W SWITCH</t>
  </si>
  <si>
    <t>13A 1G S-PROOF 3987089</t>
  </si>
  <si>
    <t>13A 2G S-PROOF 3987102</t>
  </si>
  <si>
    <t>16A 1G SWITCH &amp; 13A 1G SOCKET</t>
  </si>
  <si>
    <t>16A 1G DP SWITCH &amp;  13A 1G SOC</t>
  </si>
  <si>
    <t>13A 1G RCD SOCKET HOSEPROOF IP</t>
  </si>
  <si>
    <t>1G 13A RCD SOCKET 3987118</t>
  </si>
  <si>
    <t>GRID SCREW (NICKEL PL) M3x8</t>
  </si>
  <si>
    <t>FP SCREW (NICKEL PL) M3.5x25</t>
  </si>
  <si>
    <t>EZY ETH CLAMP15D 2.5-6mm CABLE</t>
  </si>
  <si>
    <t>EZY EARTH CLAMP 15D 10mm CABLE</t>
  </si>
  <si>
    <t>EZY ETH CLAMP22D 2.5-6mm CABLE</t>
  </si>
  <si>
    <t>EZY EARTH CLAMP 22D 10mm CABLE</t>
  </si>
  <si>
    <t>16A 1G 1W HOSEPROOF SWITCH IP5</t>
  </si>
  <si>
    <t>16A 1G DP HOSEPROOF SWITCH  NE</t>
  </si>
  <si>
    <t>1G S GRID MODULE ENCLOSURE HOS</t>
  </si>
  <si>
    <t>1-GANG S-GRID MODULE 3987095</t>
  </si>
  <si>
    <t>RS 13A N.STD 13A PLG 3417710</t>
  </si>
  <si>
    <t>1G METAL BOX 25MM DEEP 2 LUGS</t>
  </si>
  <si>
    <t>1G METAL BOX 35MM DEEP (KO'S)</t>
  </si>
  <si>
    <t>1G METAL BOX 35MM DEEP. 4 LUGS</t>
  </si>
  <si>
    <t>1G DRY LINING BOX 35mm DEEP</t>
  </si>
  <si>
    <t>2G DRY LINING BOX 35mm DEEP</t>
  </si>
  <si>
    <t>10 WAY CONNECTION BOX</t>
  </si>
  <si>
    <t>6 AMP 1 WAY CEILING SWITCH</t>
  </si>
  <si>
    <t>6 AMP 2 WAY CEILING SWITCH</t>
  </si>
  <si>
    <t>FLANGE RING 4 1-8  OD 2  ID</t>
  </si>
  <si>
    <t>BATTEN LH 2T HOME OFFICE SKIRT</t>
  </si>
  <si>
    <t>BATTEN L/H 3T SHORT SKIRT</t>
  </si>
  <si>
    <t>BATTEN LH 3T HOME OFFICE SKIRT</t>
  </si>
  <si>
    <t>ANGLE BATTEN LH 3T SHORT SKIRT</t>
  </si>
  <si>
    <t>ANGLE BATTEN LH 3T HOME OFF SK</t>
  </si>
  <si>
    <t>BATTEN LAMPHLODER RS 1839938</t>
  </si>
  <si>
    <t>BATTENHOLDER LOOP IN AND EARTH</t>
  </si>
  <si>
    <t>BATTEN LAMPHOLDER 3T&amp;E HR LEAD</t>
  </si>
  <si>
    <t>CEILING ROSE 3 3 2 TERMINAL &amp;</t>
  </si>
  <si>
    <t>6 INCH PENDANT ASSEMBLY</t>
  </si>
  <si>
    <t>9 INCH PENDANT ASSEMBLY</t>
  </si>
  <si>
    <t>RS 9  PENDANT SET (RS366-0526)</t>
  </si>
  <si>
    <t>F1450 LESS F1200 CEILING ROSE</t>
  </si>
  <si>
    <t>LAMP ACTIVATED PENDANT L/H</t>
  </si>
  <si>
    <t>RS  LA BATTEN RS 1840001</t>
  </si>
  <si>
    <t>RS 10 BATTEN 1840001A</t>
  </si>
  <si>
    <t>6 INCH LAMP ACTIVATED PENDANT</t>
  </si>
  <si>
    <t>9 INCH LAMP ACTIVATED PENDANT</t>
  </si>
  <si>
    <t>LAMP ACTIVATED BATTEN L/H</t>
  </si>
  <si>
    <t>BC3 PENDANT SET FOR LOW E LAMP</t>
  </si>
  <si>
    <t>BC3 LAMPHOLDER FOR LOW ENERGY</t>
  </si>
  <si>
    <t>BC3 BATTEN FOR LOW E LAMPS</t>
  </si>
  <si>
    <t>BC3 ANGLED BATTEN LH FOR LOW E</t>
  </si>
  <si>
    <t>BC3 15W TT LOW ENERGY CFL LAMP</t>
  </si>
  <si>
    <t>BC3 20W TT LOW ENERGY CFL LAMP</t>
  </si>
  <si>
    <t>CFL ELECTRONIC PENDANT (F1286)</t>
  </si>
  <si>
    <t>LAMPHOLDER BODY ASSY</t>
  </si>
  <si>
    <t>MEM DIMMER KNOB HIGH POLISH</t>
  </si>
  <si>
    <t>MEM DIMMER KNOB BRASS</t>
  </si>
  <si>
    <t>MEM DIMMER KNOB STEEL</t>
  </si>
  <si>
    <t>1000W 1G 1W DIMMER ROTARY WHIT</t>
  </si>
  <si>
    <t>1000W 1G 1W DIMMER ROTARY SATI</t>
  </si>
  <si>
    <t>1000W 1G 1W DIMMER WH CLAM</t>
  </si>
  <si>
    <t>1000W 1G 1W DIMMER ROTARY STAI</t>
  </si>
  <si>
    <t>500W 1G 1W DIMMER ROTARY WHITE</t>
  </si>
  <si>
    <t>500W 1G 1W DIMMER ROTARY SATIN</t>
  </si>
  <si>
    <t>500W 1G 1W DIMMER ROTARY STAIN</t>
  </si>
  <si>
    <t>500W 2G 1W DIMMER ROTARY WHITE</t>
  </si>
  <si>
    <t>500W 2G 1W DIMMER ROTARY SATIN</t>
  </si>
  <si>
    <t>500W 2G 1W DIMMER ROTARY STAIN</t>
  </si>
  <si>
    <t>500W 3G 1W DIMMER ROTARY WHITE</t>
  </si>
  <si>
    <t>1500W 1G 2W DIMMER PUSH WHITE</t>
  </si>
  <si>
    <t>1500W 1G 2W DIMMER PUSH STAINL</t>
  </si>
  <si>
    <t>500W 1G FAN CONTROLLER WHITE E</t>
  </si>
  <si>
    <t>1G 1W 500W FAN CONTROL BE</t>
  </si>
  <si>
    <t>KNOB ROTORY ALUMINIUM SMALL</t>
  </si>
  <si>
    <t>KNOB ROTARY BRASS SMALL 6mm</t>
  </si>
  <si>
    <t>250VA 2W GRID DIMMER MODULE LO</t>
  </si>
  <si>
    <t>400VA 2W GRID DIMMER MODULE LV</t>
  </si>
  <si>
    <t>600W 2W GRID DIMMER MODULE 2 M</t>
  </si>
  <si>
    <t>250W 1W UNIVERSAL ROTY DIMMER</t>
  </si>
  <si>
    <t>1000W 1W DIMMER ROTARY MODULE</t>
  </si>
  <si>
    <t>500W ROTARY DIMMER</t>
  </si>
  <si>
    <t>500W 1W FAN SPEED CONTROLLER E</t>
  </si>
  <si>
    <t>HA4510PD</t>
  </si>
  <si>
    <t>10A 1G SW PUSH SWITCH</t>
  </si>
  <si>
    <t>20A DP CONTROL SW</t>
  </si>
  <si>
    <t>20A DP SW NEON</t>
  </si>
  <si>
    <t>20A SW MARKED W HTR</t>
  </si>
  <si>
    <t>20A DP SW NEON AIR CON</t>
  </si>
  <si>
    <t>16A HOTEL CARD SWITCH</t>
  </si>
  <si>
    <t>45A 1G SWITCH NEON</t>
  </si>
  <si>
    <t>45A 1G DP SWITCH</t>
  </si>
  <si>
    <t>45A DP SW NEON 1G SIZE</t>
  </si>
  <si>
    <t>45A DP COOKER CNTRL UNIT NEON</t>
  </si>
  <si>
    <t>45A DP SW NEON 1G 'CKR</t>
  </si>
  <si>
    <t>45A CABLE OUTLET CW TERM BLOCK</t>
  </si>
  <si>
    <t>2A 3 PIN TELEPHONE SKT</t>
  </si>
  <si>
    <t>16A 2 PIN SKT SP SW 1W</t>
  </si>
  <si>
    <t>13A 1G UNSW SOCKET</t>
  </si>
  <si>
    <t>13A 1G SP SW SOCKET</t>
  </si>
  <si>
    <t>13A 1G SP SW SKT NEON</t>
  </si>
  <si>
    <t>13A 2G SP SW SOCKET</t>
  </si>
  <si>
    <t>13A 2G SP SW SKT NEON</t>
  </si>
  <si>
    <t>13A 2G DP SW SKT</t>
  </si>
  <si>
    <t>SHAVER UNIT DUAL V 230 110AC</t>
  </si>
  <si>
    <t>16A 2G UNIVERSAL SKT</t>
  </si>
  <si>
    <t>13A CONNECTION UNIT NEON</t>
  </si>
  <si>
    <t>13A SW CON UNIT</t>
  </si>
  <si>
    <t>13A SW CON UNIT NEON</t>
  </si>
  <si>
    <t>13A SW CON UNIT NEON-BOILER</t>
  </si>
  <si>
    <t>13A SW CON UNIT NEON-D WASHER</t>
  </si>
  <si>
    <t>13A SW CON UNIT NEON-F FREEZER</t>
  </si>
  <si>
    <t>13A SW CON UNIT NEON-HOB</t>
  </si>
  <si>
    <t>13A SW CON UNIT NEON-T DRYER</t>
  </si>
  <si>
    <t>13A SW CON UNIT NEON-W MACHINE</t>
  </si>
  <si>
    <t>E201N PRINTED TUMBLE DRYER</t>
  </si>
  <si>
    <t>E201N PRINTED DISHWASHER</t>
  </si>
  <si>
    <t>E20NTD</t>
  </si>
  <si>
    <t>E201NWH PRINTED WATER HEATER</t>
  </si>
  <si>
    <t>ENQ090112</t>
  </si>
  <si>
    <t>E201NTD PRINTED TUMBLE DRYER</t>
  </si>
  <si>
    <t>1G TV CO-AX OUTLET DUAL CLAMP</t>
  </si>
  <si>
    <t>1G TEL OUT MASTER</t>
  </si>
  <si>
    <t>1G RJ11 TELEPHONE OUTLET</t>
  </si>
  <si>
    <t>1G RJ45 OUTLET</t>
  </si>
  <si>
    <t>2G MODULE DATA PLATE (50x50mm)</t>
  </si>
  <si>
    <t>4G MODULE DATA PLATE(50x100mm)</t>
  </si>
  <si>
    <t>CAB O-LT ADAPTOR PLATE FCU 20A</t>
  </si>
  <si>
    <t>SPARE SCREW CAPS-EMA RANGE</t>
  </si>
  <si>
    <t>3 PIN LSC PLUG 2MTRS  1.00MM</t>
  </si>
  <si>
    <t>3 PIN LSC PLUG 3MTRS  1.00MM</t>
  </si>
  <si>
    <t>3 PIN LSC PLUG 4MTRS  1.00MM</t>
  </si>
  <si>
    <t>3 PIN LSC PLUG 5MTRS  1.00MM</t>
  </si>
  <si>
    <t>3 PIN LSC PLUG 2MTRS  0.75MM</t>
  </si>
  <si>
    <t>3 PIN LSC PLUG 3MTRS  0.75MM</t>
  </si>
  <si>
    <t>3 PIN LSC PLUG 4MTRS  0.75MM</t>
  </si>
  <si>
    <t>CM321NHP</t>
  </si>
  <si>
    <t>CM321NPB</t>
  </si>
  <si>
    <t>CM321NSB</t>
  </si>
  <si>
    <t>CM321NSS</t>
  </si>
  <si>
    <t>CM322NHP</t>
  </si>
  <si>
    <t>CM322NPB</t>
  </si>
  <si>
    <t>CM322NSB</t>
  </si>
  <si>
    <t>CM322NSS</t>
  </si>
  <si>
    <t>CM323NHP</t>
  </si>
  <si>
    <t>CM323NPB</t>
  </si>
  <si>
    <t>CM323NSB</t>
  </si>
  <si>
    <t>CM323NSS</t>
  </si>
  <si>
    <t>CM324NHP</t>
  </si>
  <si>
    <t>CM324NPB</t>
  </si>
  <si>
    <t>CM324NSB</t>
  </si>
  <si>
    <t>CM324NSS</t>
  </si>
  <si>
    <t>CM325HP</t>
  </si>
  <si>
    <t>CM325NHP</t>
  </si>
  <si>
    <t>CM325NPB</t>
  </si>
  <si>
    <t>CM325NSB</t>
  </si>
  <si>
    <t>CM325NSS</t>
  </si>
  <si>
    <t>CM325PB</t>
  </si>
  <si>
    <t>CM325SB</t>
  </si>
  <si>
    <t>CM325SS</t>
  </si>
  <si>
    <t>CM351HP</t>
  </si>
  <si>
    <t>CM351PB</t>
  </si>
  <si>
    <t>CM351SB</t>
  </si>
  <si>
    <t>CM351SS</t>
  </si>
  <si>
    <t>CM352HP</t>
  </si>
  <si>
    <t>CM352PB</t>
  </si>
  <si>
    <t>CM352SB</t>
  </si>
  <si>
    <t>CM352SS</t>
  </si>
  <si>
    <t>CM359HP</t>
  </si>
  <si>
    <t>CM359PB</t>
  </si>
  <si>
    <t>CM359SB</t>
  </si>
  <si>
    <t>CM359SS</t>
  </si>
  <si>
    <t>CM360HP</t>
  </si>
  <si>
    <t>CM360PB</t>
  </si>
  <si>
    <t>CM360SB</t>
  </si>
  <si>
    <t>CM360SS</t>
  </si>
  <si>
    <t>CM370HP</t>
  </si>
  <si>
    <t>CM370PB</t>
  </si>
  <si>
    <t>CM370SB</t>
  </si>
  <si>
    <t>CM370SS</t>
  </si>
  <si>
    <t>CM391HP</t>
  </si>
  <si>
    <t>CM391PB</t>
  </si>
  <si>
    <t>CM391SB</t>
  </si>
  <si>
    <t>CM391SS</t>
  </si>
  <si>
    <t>CM392HP</t>
  </si>
  <si>
    <t>CM392PB</t>
  </si>
  <si>
    <t>CM392SB</t>
  </si>
  <si>
    <t>CM392SS</t>
  </si>
  <si>
    <t>CM511HP</t>
  </si>
  <si>
    <t>CM511PB</t>
  </si>
  <si>
    <t>CM511SB</t>
  </si>
  <si>
    <t>CM511SS</t>
  </si>
  <si>
    <t>CM512HP</t>
  </si>
  <si>
    <t>CM512PB</t>
  </si>
  <si>
    <t>CM512SB</t>
  </si>
  <si>
    <t>CM512SS</t>
  </si>
  <si>
    <t>CM532HP</t>
  </si>
  <si>
    <t>CM532PB</t>
  </si>
  <si>
    <t>CM532SB</t>
  </si>
  <si>
    <t>CM532SS</t>
  </si>
  <si>
    <t>CM621HP</t>
  </si>
  <si>
    <t>CM621NHP</t>
  </si>
  <si>
    <t>CM621NPB</t>
  </si>
  <si>
    <t>CM621NSB</t>
  </si>
  <si>
    <t>CM621NSS</t>
  </si>
  <si>
    <t>CM621PB</t>
  </si>
  <si>
    <t>CM621SB</t>
  </si>
  <si>
    <t>CM621SS</t>
  </si>
  <si>
    <t>CM622HP</t>
  </si>
  <si>
    <t>CM622NHP</t>
  </si>
  <si>
    <t>CM622NPB</t>
  </si>
  <si>
    <t>CM622NSB</t>
  </si>
  <si>
    <t>CM622NSS</t>
  </si>
  <si>
    <t>CM622PB</t>
  </si>
  <si>
    <t>CM622SB</t>
  </si>
  <si>
    <t>CM622SS</t>
  </si>
  <si>
    <t>CM801HP</t>
  </si>
  <si>
    <t>CM801PB</t>
  </si>
  <si>
    <t>CM801SB</t>
  </si>
  <si>
    <t>CM801SS</t>
  </si>
  <si>
    <t>CM802HP</t>
  </si>
  <si>
    <t>CM802PB</t>
  </si>
  <si>
    <t>CM802SB</t>
  </si>
  <si>
    <t>CM802SS</t>
  </si>
  <si>
    <t>CM803HP</t>
  </si>
  <si>
    <t>CM803PB</t>
  </si>
  <si>
    <t>CM803SB</t>
  </si>
  <si>
    <t>CM803SS</t>
  </si>
  <si>
    <t>CM804HP</t>
  </si>
  <si>
    <t>CM804PB</t>
  </si>
  <si>
    <t>CM804SB</t>
  </si>
  <si>
    <t>CM804SS</t>
  </si>
  <si>
    <t>CM851HP</t>
  </si>
  <si>
    <t>CM851PB</t>
  </si>
  <si>
    <t>CM851SB</t>
  </si>
  <si>
    <t>CM851SS</t>
  </si>
  <si>
    <t>CM852HP</t>
  </si>
  <si>
    <t>CM852PB</t>
  </si>
  <si>
    <t>CM852SB</t>
  </si>
  <si>
    <t>CM852SS</t>
  </si>
  <si>
    <t>CM881HP</t>
  </si>
  <si>
    <t>CM881PB</t>
  </si>
  <si>
    <t>CM881SB</t>
  </si>
  <si>
    <t>CM881SS</t>
  </si>
  <si>
    <t>CM882HP</t>
  </si>
  <si>
    <t>CM882PB</t>
  </si>
  <si>
    <t>CM882SB</t>
  </si>
  <si>
    <t>CM882SS</t>
  </si>
  <si>
    <t>CM884HP</t>
  </si>
  <si>
    <t>CM884PB</t>
  </si>
  <si>
    <t>CM884SB</t>
  </si>
  <si>
    <t>CM884SS</t>
  </si>
  <si>
    <t>CM9132HP</t>
  </si>
  <si>
    <t>CM9132PB</t>
  </si>
  <si>
    <t>CM9132SB</t>
  </si>
  <si>
    <t>CM9132SS</t>
  </si>
  <si>
    <t>CM9133HP</t>
  </si>
  <si>
    <t>CM9133PB</t>
  </si>
  <si>
    <t>CM9133SB</t>
  </si>
  <si>
    <t>CM9133SS</t>
  </si>
  <si>
    <t>CM9134HP</t>
  </si>
  <si>
    <t>CM9134PB</t>
  </si>
  <si>
    <t>CM9134SB</t>
  </si>
  <si>
    <t>CM9134SS</t>
  </si>
  <si>
    <t>CP011BL</t>
  </si>
  <si>
    <t>CP011BM</t>
  </si>
  <si>
    <t>CP011GL</t>
  </si>
  <si>
    <t>CP011GY</t>
  </si>
  <si>
    <t>CP011SV</t>
  </si>
  <si>
    <t>CP011WH</t>
  </si>
  <si>
    <t>CP012BL</t>
  </si>
  <si>
    <t>CP012BM</t>
  </si>
  <si>
    <t>CP012GL</t>
  </si>
  <si>
    <t>CP012GY</t>
  </si>
  <si>
    <t>CP012SV</t>
  </si>
  <si>
    <t>CP012WH</t>
  </si>
  <si>
    <t>CP013BL</t>
  </si>
  <si>
    <t>CP013BM</t>
  </si>
  <si>
    <t>CP013GL</t>
  </si>
  <si>
    <t>CP013GY</t>
  </si>
  <si>
    <t>CP013SV</t>
  </si>
  <si>
    <t>CP013WH</t>
  </si>
  <si>
    <t>CP014BL</t>
  </si>
  <si>
    <t>CP014BM</t>
  </si>
  <si>
    <t>CP014GL</t>
  </si>
  <si>
    <t>CP014GY</t>
  </si>
  <si>
    <t>CP014SV</t>
  </si>
  <si>
    <t>CP014WH</t>
  </si>
  <si>
    <t>CP015BL</t>
  </si>
  <si>
    <t>CP015BM</t>
  </si>
  <si>
    <t>CP015GL</t>
  </si>
  <si>
    <t>CP015GY</t>
  </si>
  <si>
    <t>CP015LBL</t>
  </si>
  <si>
    <t>CP015LBM</t>
  </si>
  <si>
    <t>CP015LGL</t>
  </si>
  <si>
    <t>CP015LGY</t>
  </si>
  <si>
    <t>CP015LSV</t>
  </si>
  <si>
    <t>CP015LWH</t>
  </si>
  <si>
    <t>CP015SV</t>
  </si>
  <si>
    <t>CP015WH</t>
  </si>
  <si>
    <t>CP026BL</t>
  </si>
  <si>
    <t>CP026BM</t>
  </si>
  <si>
    <t>CP026GL</t>
  </si>
  <si>
    <t>CP026GY</t>
  </si>
  <si>
    <t>CP026SV</t>
  </si>
  <si>
    <t>CP026WH</t>
  </si>
  <si>
    <t>CP045BL</t>
  </si>
  <si>
    <t>CP045BM</t>
  </si>
  <si>
    <t>CP045GL</t>
  </si>
  <si>
    <t>CP045GY</t>
  </si>
  <si>
    <t>CP045SV</t>
  </si>
  <si>
    <t>CP045WH</t>
  </si>
  <si>
    <t>CP048BL</t>
  </si>
  <si>
    <t>CP048BM</t>
  </si>
  <si>
    <t>CP048GL</t>
  </si>
  <si>
    <t>CP048GY</t>
  </si>
  <si>
    <t>CP048SV</t>
  </si>
  <si>
    <t>CP048WH</t>
  </si>
  <si>
    <t>CP049BL</t>
  </si>
  <si>
    <t>CP049BM</t>
  </si>
  <si>
    <t>CP049GL</t>
  </si>
  <si>
    <t>CP049SV</t>
  </si>
  <si>
    <t>CP049WH</t>
  </si>
  <si>
    <t>CP111BL</t>
  </si>
  <si>
    <t>CP111BM</t>
  </si>
  <si>
    <t>CP111GL</t>
  </si>
  <si>
    <t>CP111GY</t>
  </si>
  <si>
    <t>CP111SV</t>
  </si>
  <si>
    <t>CP111WH</t>
  </si>
  <si>
    <t>CP200BL</t>
  </si>
  <si>
    <t>CP200BM</t>
  </si>
  <si>
    <t>CP200GL</t>
  </si>
  <si>
    <t>CP200GY</t>
  </si>
  <si>
    <t>CP200NBL</t>
  </si>
  <si>
    <t>CP200NBM</t>
  </si>
  <si>
    <t>CP200NGL</t>
  </si>
  <si>
    <t>CP200NGY</t>
  </si>
  <si>
    <t>CP200NSV</t>
  </si>
  <si>
    <t>CP200NWH</t>
  </si>
  <si>
    <t>CP200SV</t>
  </si>
  <si>
    <t>CP200WH</t>
  </si>
  <si>
    <t>CP201BL</t>
  </si>
  <si>
    <t>CP201BM</t>
  </si>
  <si>
    <t>CP201GL</t>
  </si>
  <si>
    <t>CP201GY</t>
  </si>
  <si>
    <t>CP201NBL</t>
  </si>
  <si>
    <t>CP201NBM</t>
  </si>
  <si>
    <t>CP201NCHBL</t>
  </si>
  <si>
    <t>CP201NCHBM</t>
  </si>
  <si>
    <t>CP201NCHGL</t>
  </si>
  <si>
    <t>CP201NCHSV</t>
  </si>
  <si>
    <t>CP201NCHWH</t>
  </si>
  <si>
    <t>CP201NEFBL</t>
  </si>
  <si>
    <t>CP201NEFBM</t>
  </si>
  <si>
    <t>CP201NEFGL</t>
  </si>
  <si>
    <t>CP201NEFSV</t>
  </si>
  <si>
    <t>CP201NEFWH</t>
  </si>
  <si>
    <t>CP201NGL</t>
  </si>
  <si>
    <t>CP201NGY</t>
  </si>
  <si>
    <t>CP201NHEBL</t>
  </si>
  <si>
    <t>CP201NHEBM</t>
  </si>
  <si>
    <t>CP201NHEGL</t>
  </si>
  <si>
    <t>CP201NHESV</t>
  </si>
  <si>
    <t>CP201NHEWH</t>
  </si>
  <si>
    <t>CP201NRBL</t>
  </si>
  <si>
    <t>CP201NRBM</t>
  </si>
  <si>
    <t>CP201NRGL</t>
  </si>
  <si>
    <t>CP201NRSV</t>
  </si>
  <si>
    <t>CP201NRWH</t>
  </si>
  <si>
    <t>CP201NSV</t>
  </si>
  <si>
    <t>CP201NWH</t>
  </si>
  <si>
    <t>CP201NWMBL</t>
  </si>
  <si>
    <t>CP201NWMBM</t>
  </si>
  <si>
    <t>CP201NWMGL</t>
  </si>
  <si>
    <t>CP201NWMWH</t>
  </si>
  <si>
    <t>CP201RBL</t>
  </si>
  <si>
    <t>CP201RBM</t>
  </si>
  <si>
    <t>CP201RGL</t>
  </si>
  <si>
    <t>CP201RSV</t>
  </si>
  <si>
    <t>CP201RWH</t>
  </si>
  <si>
    <t>CP201SV</t>
  </si>
  <si>
    <t>CP201TDBL</t>
  </si>
  <si>
    <t>CP201TDBM</t>
  </si>
  <si>
    <t>CP201TDGL</t>
  </si>
  <si>
    <t>CP201TDSV</t>
  </si>
  <si>
    <t>CP201TDWH</t>
  </si>
  <si>
    <t>CP201WH</t>
  </si>
  <si>
    <t>CP201WMBL</t>
  </si>
  <si>
    <t>CP201WMBM</t>
  </si>
  <si>
    <t>CP201WMGL</t>
  </si>
  <si>
    <t>CP201WMWH</t>
  </si>
  <si>
    <t>CP301BL</t>
  </si>
  <si>
    <t>CP301BM</t>
  </si>
  <si>
    <t>CP301GL</t>
  </si>
  <si>
    <t>CP301GY</t>
  </si>
  <si>
    <t>CP301NBL</t>
  </si>
  <si>
    <t>CP301NBM</t>
  </si>
  <si>
    <t>CP301NGL</t>
  </si>
  <si>
    <t>CP301NGY</t>
  </si>
  <si>
    <t>CP301NSV</t>
  </si>
  <si>
    <t>CP301NWH</t>
  </si>
  <si>
    <t>CP301SV</t>
  </si>
  <si>
    <t>CP301WH</t>
  </si>
  <si>
    <t>CP303BL</t>
  </si>
  <si>
    <t>CP303BM</t>
  </si>
  <si>
    <t>CP303GL</t>
  </si>
  <si>
    <t>CP303NBL</t>
  </si>
  <si>
    <t>CP303NBM</t>
  </si>
  <si>
    <t>CP303NGL</t>
  </si>
  <si>
    <t>CP303NSV</t>
  </si>
  <si>
    <t>CP303NWH</t>
  </si>
  <si>
    <t>CP303SV</t>
  </si>
  <si>
    <t>CP303WH</t>
  </si>
  <si>
    <t>CP305BL</t>
  </si>
  <si>
    <t>CP305BM</t>
  </si>
  <si>
    <t>CP305GL</t>
  </si>
  <si>
    <t>CP305GY</t>
  </si>
  <si>
    <t>CP305SV</t>
  </si>
  <si>
    <t>CP305WH</t>
  </si>
  <si>
    <t>CP315BL</t>
  </si>
  <si>
    <t>CP315BM</t>
  </si>
  <si>
    <t>CP315GL</t>
  </si>
  <si>
    <t>CP315GY</t>
  </si>
  <si>
    <t>CP315SV</t>
  </si>
  <si>
    <t>CP315WH</t>
  </si>
  <si>
    <t>CP321NBL</t>
  </si>
  <si>
    <t>CP321NBM</t>
  </si>
  <si>
    <t>CP321NGL</t>
  </si>
  <si>
    <t>CP321NGY</t>
  </si>
  <si>
    <t>CP321NSV</t>
  </si>
  <si>
    <t>CP321NWH</t>
  </si>
  <si>
    <t>CP322NBL</t>
  </si>
  <si>
    <t>CP322NBM</t>
  </si>
  <si>
    <t>CP322NGL</t>
  </si>
  <si>
    <t>CP322NGY</t>
  </si>
  <si>
    <t>CP322NSV</t>
  </si>
  <si>
    <t>CP322NWH</t>
  </si>
  <si>
    <t>CP323NBL</t>
  </si>
  <si>
    <t>CP323NBM</t>
  </si>
  <si>
    <t>CP323NGL</t>
  </si>
  <si>
    <t>CP323NGY</t>
  </si>
  <si>
    <t>CP323NSV</t>
  </si>
  <si>
    <t>CP323NWH</t>
  </si>
  <si>
    <t>CP324NBL</t>
  </si>
  <si>
    <t>CP324NBM</t>
  </si>
  <si>
    <t>CP324NGL</t>
  </si>
  <si>
    <t>CP324NSV</t>
  </si>
  <si>
    <t>CP324NWH</t>
  </si>
  <si>
    <t>CP325BL</t>
  </si>
  <si>
    <t>CP325BM</t>
  </si>
  <si>
    <t>CP325GL</t>
  </si>
  <si>
    <t>CP325GY</t>
  </si>
  <si>
    <t>CP325NBL</t>
  </si>
  <si>
    <t>CP325NBM</t>
  </si>
  <si>
    <t>CP325NGL</t>
  </si>
  <si>
    <t>CP325NGY</t>
  </si>
  <si>
    <t>CP325NSV</t>
  </si>
  <si>
    <t>CP325NWH</t>
  </si>
  <si>
    <t>CP325SV</t>
  </si>
  <si>
    <t>CP325WH</t>
  </si>
  <si>
    <t>CP351BL</t>
  </si>
  <si>
    <t>CP351BM</t>
  </si>
  <si>
    <t>CP351GL</t>
  </si>
  <si>
    <t>CP351GY</t>
  </si>
  <si>
    <t>CP351SV</t>
  </si>
  <si>
    <t>CP351WH</t>
  </si>
  <si>
    <t>CP352BL</t>
  </si>
  <si>
    <t>CP352BM</t>
  </si>
  <si>
    <t>CP352GL</t>
  </si>
  <si>
    <t>CP352GY</t>
  </si>
  <si>
    <t>CP352SV</t>
  </si>
  <si>
    <t>CP352WH</t>
  </si>
  <si>
    <t>CP359BL</t>
  </si>
  <si>
    <t>CP359BM</t>
  </si>
  <si>
    <t>CP359GL</t>
  </si>
  <si>
    <t>CP359GY</t>
  </si>
  <si>
    <t>CP359SV</t>
  </si>
  <si>
    <t>CP359WH</t>
  </si>
  <si>
    <t>CP360BL</t>
  </si>
  <si>
    <t>CP360BM</t>
  </si>
  <si>
    <t>CP360GL</t>
  </si>
  <si>
    <t>CP360GY</t>
  </si>
  <si>
    <t>CP360SV</t>
  </si>
  <si>
    <t>CP360WH</t>
  </si>
  <si>
    <t>CP370BL</t>
  </si>
  <si>
    <t>CP370BM</t>
  </si>
  <si>
    <t>CP370GL</t>
  </si>
  <si>
    <t>CP370GY</t>
  </si>
  <si>
    <t>CP370SV</t>
  </si>
  <si>
    <t>CP370WH</t>
  </si>
  <si>
    <t>CP391BL</t>
  </si>
  <si>
    <t>CP391BM</t>
  </si>
  <si>
    <t>CP391GL</t>
  </si>
  <si>
    <t>CP391GY</t>
  </si>
  <si>
    <t>CP391SV</t>
  </si>
  <si>
    <t>CP391WH</t>
  </si>
  <si>
    <t>CP392BL</t>
  </si>
  <si>
    <t>CP392BM</t>
  </si>
  <si>
    <t>CP392GL</t>
  </si>
  <si>
    <t>CP392GY</t>
  </si>
  <si>
    <t>CP392SV</t>
  </si>
  <si>
    <t>CP392WH</t>
  </si>
  <si>
    <t>CP511BL</t>
  </si>
  <si>
    <t>CP511BM</t>
  </si>
  <si>
    <t>CP511GL</t>
  </si>
  <si>
    <t>CP511GY</t>
  </si>
  <si>
    <t>CP511SV</t>
  </si>
  <si>
    <t>CP511WH</t>
  </si>
  <si>
    <t>CP512BL</t>
  </si>
  <si>
    <t>CP512BM</t>
  </si>
  <si>
    <t>CP512GL</t>
  </si>
  <si>
    <t>CP512GY</t>
  </si>
  <si>
    <t>CP512SV</t>
  </si>
  <si>
    <t>CP512WH</t>
  </si>
  <si>
    <t>CP532BL</t>
  </si>
  <si>
    <t>CP532BM</t>
  </si>
  <si>
    <t>CP532GL</t>
  </si>
  <si>
    <t>CP532GY</t>
  </si>
  <si>
    <t>CP532SV</t>
  </si>
  <si>
    <t>CP532WH</t>
  </si>
  <si>
    <t>CP621GY</t>
  </si>
  <si>
    <t>CP621NGY</t>
  </si>
  <si>
    <t>CP622GY</t>
  </si>
  <si>
    <t>CP622NGY</t>
  </si>
  <si>
    <t>CP801BL</t>
  </si>
  <si>
    <t>CP801BM</t>
  </si>
  <si>
    <t>CP801GL</t>
  </si>
  <si>
    <t>CP801GY</t>
  </si>
  <si>
    <t>CP801SV</t>
  </si>
  <si>
    <t>CP801WH</t>
  </si>
  <si>
    <t>CP802BL</t>
  </si>
  <si>
    <t>CP802BM</t>
  </si>
  <si>
    <t>CP802GL</t>
  </si>
  <si>
    <t>CP802GY</t>
  </si>
  <si>
    <t>CP802SV</t>
  </si>
  <si>
    <t>CP802WH</t>
  </si>
  <si>
    <t>CP803BL</t>
  </si>
  <si>
    <t>CP803BM</t>
  </si>
  <si>
    <t>CP803GL</t>
  </si>
  <si>
    <t>CP803GY</t>
  </si>
  <si>
    <t>CP803SV</t>
  </si>
  <si>
    <t>CP803WH</t>
  </si>
  <si>
    <t>CP804BL</t>
  </si>
  <si>
    <t>CP804BM</t>
  </si>
  <si>
    <t>CP804GL</t>
  </si>
  <si>
    <t>CP804GY</t>
  </si>
  <si>
    <t>CP804SV</t>
  </si>
  <si>
    <t>CP804WH</t>
  </si>
  <si>
    <t>CP851BL</t>
  </si>
  <si>
    <t>CP851BM</t>
  </si>
  <si>
    <t>CP851GL</t>
  </si>
  <si>
    <t>CP851SV</t>
  </si>
  <si>
    <t>CP851WH</t>
  </si>
  <si>
    <t>CP852BL</t>
  </si>
  <si>
    <t>CP852BM</t>
  </si>
  <si>
    <t>CP852GL</t>
  </si>
  <si>
    <t>CP852SV</t>
  </si>
  <si>
    <t>CP852WH</t>
  </si>
  <si>
    <t>CP881BL</t>
  </si>
  <si>
    <t>CP881BM</t>
  </si>
  <si>
    <t>CP881GL</t>
  </si>
  <si>
    <t>CP881GY</t>
  </si>
  <si>
    <t>CP881SV</t>
  </si>
  <si>
    <t>CP881WH</t>
  </si>
  <si>
    <t>CP882BL</t>
  </si>
  <si>
    <t>CP882BM</t>
  </si>
  <si>
    <t>CP882GL</t>
  </si>
  <si>
    <t>CP882GY</t>
  </si>
  <si>
    <t>CP882SV</t>
  </si>
  <si>
    <t>CP882WH</t>
  </si>
  <si>
    <t>CP884BL</t>
  </si>
  <si>
    <t>CP884BM</t>
  </si>
  <si>
    <t>CP884GL</t>
  </si>
  <si>
    <t>CP884GY</t>
  </si>
  <si>
    <t>CP884SV</t>
  </si>
  <si>
    <t>CP884WH</t>
  </si>
  <si>
    <t>CP9132BL</t>
  </si>
  <si>
    <t>CP9132BM</t>
  </si>
  <si>
    <t>CP9132GL</t>
  </si>
  <si>
    <t>CP9132GY</t>
  </si>
  <si>
    <t>CP9132SV</t>
  </si>
  <si>
    <t>CP9132WH</t>
  </si>
  <si>
    <t>CP9133BL</t>
  </si>
  <si>
    <t>CP9133BM</t>
  </si>
  <si>
    <t>CP9133GL</t>
  </si>
  <si>
    <t>CP9133SV</t>
  </si>
  <si>
    <t>CP9133WH</t>
  </si>
  <si>
    <t>CP9134BL</t>
  </si>
  <si>
    <t>CP9134BM</t>
  </si>
  <si>
    <t>CP9134GL</t>
  </si>
  <si>
    <t>CP9134GY</t>
  </si>
  <si>
    <t>CP9134SV</t>
  </si>
  <si>
    <t>CP9134WH</t>
  </si>
  <si>
    <t>C362WH</t>
  </si>
  <si>
    <t>C363</t>
  </si>
  <si>
    <t>C363B</t>
  </si>
  <si>
    <t>C363WH</t>
  </si>
  <si>
    <t>C801</t>
  </si>
  <si>
    <t>C801WH</t>
  </si>
  <si>
    <t>C802</t>
  </si>
  <si>
    <t>C802WH</t>
  </si>
  <si>
    <t>C803</t>
  </si>
  <si>
    <t>C803WH</t>
  </si>
  <si>
    <t>C804</t>
  </si>
  <si>
    <t>C804WH</t>
  </si>
  <si>
    <t>C851</t>
  </si>
  <si>
    <t>C851B</t>
  </si>
  <si>
    <t>C851WH</t>
  </si>
  <si>
    <t>C852</t>
  </si>
  <si>
    <t>C852WH</t>
  </si>
  <si>
    <t>C881</t>
  </si>
  <si>
    <t>C881B</t>
  </si>
  <si>
    <t>C881WH</t>
  </si>
  <si>
    <t>C882</t>
  </si>
  <si>
    <t>C882B</t>
  </si>
  <si>
    <t>C882WH</t>
  </si>
  <si>
    <t>C884</t>
  </si>
  <si>
    <t>C884B</t>
  </si>
  <si>
    <t>C884WH</t>
  </si>
  <si>
    <t>SP090082</t>
  </si>
  <si>
    <t>SP090083</t>
  </si>
  <si>
    <t>SP090101</t>
  </si>
  <si>
    <t>SP090102</t>
  </si>
  <si>
    <t>SP090148</t>
  </si>
  <si>
    <t>SP090149</t>
  </si>
  <si>
    <t>SP090150</t>
  </si>
  <si>
    <t>SP090167</t>
  </si>
  <si>
    <t>SP090185</t>
  </si>
  <si>
    <t>SP090186</t>
  </si>
  <si>
    <t>SP090187</t>
  </si>
  <si>
    <t>SP090188</t>
  </si>
  <si>
    <t>SP090189</t>
  </si>
  <si>
    <t>SP090190</t>
  </si>
  <si>
    <t>SP100007</t>
  </si>
  <si>
    <t>SP100043</t>
  </si>
  <si>
    <t>SP100044</t>
  </si>
  <si>
    <t>SP100045</t>
  </si>
  <si>
    <t>SP100046</t>
  </si>
  <si>
    <t>SP100070</t>
  </si>
  <si>
    <t>SP100071</t>
  </si>
  <si>
    <t>SP100072</t>
  </si>
  <si>
    <t>SP100073</t>
  </si>
  <si>
    <t>SP110002</t>
  </si>
  <si>
    <t>C370</t>
  </si>
  <si>
    <t>C370WH</t>
  </si>
  <si>
    <t>C391</t>
  </si>
  <si>
    <t>C391WH</t>
  </si>
  <si>
    <t>C392</t>
  </si>
  <si>
    <t>C392WH</t>
  </si>
  <si>
    <t>U940US</t>
  </si>
  <si>
    <t>X021MGRS</t>
  </si>
  <si>
    <t>X048MGRS</t>
  </si>
  <si>
    <t>X301NMGRS</t>
  </si>
  <si>
    <t>X321NMGRS</t>
  </si>
  <si>
    <t>X201MGRS</t>
  </si>
  <si>
    <t>SP090032</t>
  </si>
  <si>
    <t>SP090033</t>
  </si>
  <si>
    <t>SP090075</t>
  </si>
  <si>
    <t>SP090076</t>
  </si>
  <si>
    <t>SP090078</t>
  </si>
  <si>
    <t>X521MGRS</t>
  </si>
  <si>
    <t>X522MGRS</t>
  </si>
  <si>
    <t>X522MGRSB</t>
  </si>
  <si>
    <t>X551MGRS</t>
  </si>
  <si>
    <t>M200NRS</t>
  </si>
  <si>
    <t>X022MGRS</t>
  </si>
  <si>
    <t>X023MGRS</t>
  </si>
  <si>
    <t>X105MG</t>
  </si>
  <si>
    <t>X120MGRS</t>
  </si>
  <si>
    <t>X200MGRS</t>
  </si>
  <si>
    <t>X201MGRSB</t>
  </si>
  <si>
    <t>X201NMGRS</t>
  </si>
  <si>
    <t>X301MGRS</t>
  </si>
  <si>
    <t>X360MGRS</t>
  </si>
  <si>
    <t>X391MGRS</t>
  </si>
  <si>
    <t>X392MGRS</t>
  </si>
  <si>
    <t>X585MG</t>
  </si>
  <si>
    <t>X585MGRS</t>
  </si>
  <si>
    <t>X586MG</t>
  </si>
  <si>
    <t>X586MGRS</t>
  </si>
  <si>
    <t>X801MGRS</t>
  </si>
  <si>
    <t>X808MGRS</t>
  </si>
  <si>
    <t>X874MG</t>
  </si>
  <si>
    <t>CT4724MC</t>
  </si>
  <si>
    <t>CT4725MC</t>
  </si>
  <si>
    <t>CT4726MC</t>
  </si>
  <si>
    <t>CT4727MC</t>
  </si>
  <si>
    <t>X802MGRS</t>
  </si>
  <si>
    <t>X803MGRS</t>
  </si>
  <si>
    <t>X804MGRS</t>
  </si>
  <si>
    <t>SP080057</t>
  </si>
  <si>
    <t>SP080058</t>
  </si>
  <si>
    <t>SP080059</t>
  </si>
  <si>
    <t>SP080061</t>
  </si>
  <si>
    <t>SP080062</t>
  </si>
  <si>
    <t>SP080063</t>
  </si>
  <si>
    <t>SP080064</t>
  </si>
  <si>
    <t>X809SB</t>
  </si>
  <si>
    <t>F1903RRP</t>
  </si>
  <si>
    <t>F1904P</t>
  </si>
  <si>
    <t>D200</t>
  </si>
  <si>
    <t>D200B</t>
  </si>
  <si>
    <t>D210</t>
  </si>
  <si>
    <t>D220</t>
  </si>
  <si>
    <t>F3697B</t>
  </si>
  <si>
    <t>F3780</t>
  </si>
  <si>
    <t>F3780B</t>
  </si>
  <si>
    <t>F3781</t>
  </si>
  <si>
    <t>F3781B</t>
  </si>
  <si>
    <t>F3782</t>
  </si>
  <si>
    <t>F3782B</t>
  </si>
  <si>
    <t>F3783</t>
  </si>
  <si>
    <t>F3783B</t>
  </si>
  <si>
    <t>F3784</t>
  </si>
  <si>
    <t>F3784B</t>
  </si>
  <si>
    <t>F3785</t>
  </si>
  <si>
    <t>F3785B</t>
  </si>
  <si>
    <t>F3786</t>
  </si>
  <si>
    <t>F3786B</t>
  </si>
  <si>
    <t>F3787</t>
  </si>
  <si>
    <t>F3787B</t>
  </si>
  <si>
    <t>F3788</t>
  </si>
  <si>
    <t>F3788B</t>
  </si>
  <si>
    <t>F3789</t>
  </si>
  <si>
    <t>F3789B</t>
  </si>
  <si>
    <t>F3790</t>
  </si>
  <si>
    <t>F3790B</t>
  </si>
  <si>
    <t>CT4600</t>
  </si>
  <si>
    <t>CT4600CL</t>
  </si>
  <si>
    <t>CT4601</t>
  </si>
  <si>
    <t>CT4601CL</t>
  </si>
  <si>
    <t>CT4602</t>
  </si>
  <si>
    <t>CT4603</t>
  </si>
  <si>
    <t>CT4610</t>
  </si>
  <si>
    <t>CT4610CL</t>
  </si>
  <si>
    <t>CT4611</t>
  </si>
  <si>
    <t>CT4611CL</t>
  </si>
  <si>
    <t>CT4612</t>
  </si>
  <si>
    <t>CT4613</t>
  </si>
  <si>
    <t>CT4613CL</t>
  </si>
  <si>
    <t>CT4614</t>
  </si>
  <si>
    <t>CT4615</t>
  </si>
  <si>
    <t>CT4616</t>
  </si>
  <si>
    <t>CT4616EL</t>
  </si>
  <si>
    <t>CT4617</t>
  </si>
  <si>
    <t>CT4617EL</t>
  </si>
  <si>
    <t>CT4618</t>
  </si>
  <si>
    <t>CT4619</t>
  </si>
  <si>
    <t>CT4620</t>
  </si>
  <si>
    <t>CT4630</t>
  </si>
  <si>
    <t>CT4631GRE</t>
  </si>
  <si>
    <t>CT4631RED</t>
  </si>
  <si>
    <t>CT4633</t>
  </si>
  <si>
    <t>CT4634</t>
  </si>
  <si>
    <t>CT4635</t>
  </si>
  <si>
    <t>F8000B</t>
  </si>
  <si>
    <t>F8001B</t>
  </si>
  <si>
    <t>F8001EF</t>
  </si>
  <si>
    <t>F8002B</t>
  </si>
  <si>
    <t>F8004B</t>
  </si>
  <si>
    <t>F8020B</t>
  </si>
  <si>
    <t>F8020RS</t>
  </si>
  <si>
    <t>F8021B</t>
  </si>
  <si>
    <t>F8021EF</t>
  </si>
  <si>
    <t>F8021RS</t>
  </si>
  <si>
    <t>F8022B</t>
  </si>
  <si>
    <t>F8023B</t>
  </si>
  <si>
    <t>F8023BBO</t>
  </si>
  <si>
    <t>F8023BCH</t>
  </si>
  <si>
    <t>F8023BCHG</t>
  </si>
  <si>
    <t>F8023BDW</t>
  </si>
  <si>
    <t>F8023BEF</t>
  </si>
  <si>
    <t>F8023BFF</t>
  </si>
  <si>
    <t>F8023BFG</t>
  </si>
  <si>
    <t>F8023BFS</t>
  </si>
  <si>
    <t>F8023BFZ</t>
  </si>
  <si>
    <t>F8023BHB</t>
  </si>
  <si>
    <t>F8023BHE</t>
  </si>
  <si>
    <t>F8023BHG</t>
  </si>
  <si>
    <t>F8023BHH</t>
  </si>
  <si>
    <t>F8023BKS</t>
  </si>
  <si>
    <t>F8023BLI</t>
  </si>
  <si>
    <t>F8023BMDR</t>
  </si>
  <si>
    <t>F8023BMW</t>
  </si>
  <si>
    <t>F8023BOV</t>
  </si>
  <si>
    <t>F8023BPH</t>
  </si>
  <si>
    <t>F8023BPL</t>
  </si>
  <si>
    <t>F8023BTD</t>
  </si>
  <si>
    <t>F8023BTR</t>
  </si>
  <si>
    <t>F8023BWD</t>
  </si>
  <si>
    <t>F8023BWDR</t>
  </si>
  <si>
    <t>F8023BWH</t>
  </si>
  <si>
    <t>F8023BWM</t>
  </si>
  <si>
    <t>F8023BWO</t>
  </si>
  <si>
    <t>F8023CM</t>
  </si>
  <si>
    <t>F8023KS</t>
  </si>
  <si>
    <t>F8023PL</t>
  </si>
  <si>
    <t>F8023RS</t>
  </si>
  <si>
    <t>F8023SOC</t>
  </si>
  <si>
    <t>F8024B</t>
  </si>
  <si>
    <t>F8024KEY</t>
  </si>
  <si>
    <t>F8025B</t>
  </si>
  <si>
    <t>F8025RS</t>
  </si>
  <si>
    <t>F8026B</t>
  </si>
  <si>
    <t>F8026BEL</t>
  </si>
  <si>
    <t>F8026RS</t>
  </si>
  <si>
    <t>F8027B</t>
  </si>
  <si>
    <t>F8027BEL</t>
  </si>
  <si>
    <t>F8027ELRS</t>
  </si>
  <si>
    <t>F8027RS</t>
  </si>
  <si>
    <t>F8028B</t>
  </si>
  <si>
    <t>F8030B</t>
  </si>
  <si>
    <t>F8031B</t>
  </si>
  <si>
    <t>F8033RR</t>
  </si>
  <si>
    <t>F8052</t>
  </si>
  <si>
    <t>F8060B</t>
  </si>
  <si>
    <t>F8060RS</t>
  </si>
  <si>
    <t>F8061RS</t>
  </si>
  <si>
    <t>F8064B</t>
  </si>
  <si>
    <t>F8065B</t>
  </si>
  <si>
    <t>F8066B</t>
  </si>
  <si>
    <t>F8067B</t>
  </si>
  <si>
    <t>F8068B</t>
  </si>
  <si>
    <t>F8070B</t>
  </si>
  <si>
    <t>F8071B</t>
  </si>
  <si>
    <t>F8072B</t>
  </si>
  <si>
    <t>F8072RS</t>
  </si>
  <si>
    <t>F8073B</t>
  </si>
  <si>
    <t>F8074B</t>
  </si>
  <si>
    <t>F8078B</t>
  </si>
  <si>
    <t>M1737SALES</t>
  </si>
  <si>
    <t>SP100010</t>
  </si>
  <si>
    <t>A8100GRD</t>
  </si>
  <si>
    <t>B7008SALES</t>
  </si>
  <si>
    <t>CT4632</t>
  </si>
  <si>
    <t>CT4700</t>
  </si>
  <si>
    <t>CT4701</t>
  </si>
  <si>
    <t>CT4712</t>
  </si>
  <si>
    <t>CT4713</t>
  </si>
  <si>
    <t>FM8340RS</t>
  </si>
  <si>
    <t>FM8341RS</t>
  </si>
  <si>
    <t>F8100RS</t>
  </si>
  <si>
    <t>F8101RS</t>
  </si>
  <si>
    <t>F8342RS</t>
  </si>
  <si>
    <t>F8346</t>
  </si>
  <si>
    <t>F3006RS</t>
  </si>
  <si>
    <t>F2642RS</t>
  </si>
  <si>
    <t>F2643RS</t>
  </si>
  <si>
    <t>F2646RS</t>
  </si>
  <si>
    <t>B1525</t>
  </si>
  <si>
    <t>B1534SALES</t>
  </si>
  <si>
    <t>EZB15AC</t>
  </si>
  <si>
    <t>EZB15D</t>
  </si>
  <si>
    <t>EZB22AC</t>
  </si>
  <si>
    <t>EZB22ACBULK</t>
  </si>
  <si>
    <t>EZB22D</t>
  </si>
  <si>
    <t>F2647RS</t>
  </si>
  <si>
    <t>F3368RS</t>
  </si>
  <si>
    <t>F1046RS</t>
  </si>
  <si>
    <t>F1090RS</t>
  </si>
  <si>
    <t>F1251RS</t>
  </si>
  <si>
    <t>F1455</t>
  </si>
  <si>
    <t>F1431RS</t>
  </si>
  <si>
    <t>F1431RSB</t>
  </si>
  <si>
    <t>U0895</t>
  </si>
  <si>
    <t>X0995</t>
  </si>
  <si>
    <t>A9900HP</t>
  </si>
  <si>
    <t>A9900PB</t>
  </si>
  <si>
    <t>A9900SS</t>
  </si>
  <si>
    <t>HA1031DX</t>
  </si>
  <si>
    <t>HA5511</t>
  </si>
  <si>
    <t>HA5511BE</t>
  </si>
  <si>
    <t>HA5511C</t>
  </si>
  <si>
    <t>HA5511SS</t>
  </si>
  <si>
    <t>HA5551</t>
  </si>
  <si>
    <t>HA5551BE</t>
  </si>
  <si>
    <t>HA5551SS</t>
  </si>
  <si>
    <t>HA5552</t>
  </si>
  <si>
    <t>HA5552BE</t>
  </si>
  <si>
    <t>HA5552C</t>
  </si>
  <si>
    <t>HA5552SS</t>
  </si>
  <si>
    <t>HA5553</t>
  </si>
  <si>
    <t>HA5621</t>
  </si>
  <si>
    <t>HA5621SS</t>
  </si>
  <si>
    <t>HA5751</t>
  </si>
  <si>
    <t>HA5751BE</t>
  </si>
  <si>
    <t>HA5241BLV</t>
  </si>
  <si>
    <t>HA4031U</t>
  </si>
  <si>
    <t>HA4510</t>
  </si>
  <si>
    <t>HA4550</t>
  </si>
  <si>
    <t>HA4650</t>
  </si>
  <si>
    <t>SP090100</t>
  </si>
  <si>
    <t>SP090115</t>
  </si>
  <si>
    <t>E011</t>
  </si>
  <si>
    <t>E011CM</t>
  </si>
  <si>
    <t>E012</t>
  </si>
  <si>
    <t>E012CM</t>
  </si>
  <si>
    <t>E013</t>
  </si>
  <si>
    <t>E013CM</t>
  </si>
  <si>
    <t>E015</t>
  </si>
  <si>
    <t>E015CM</t>
  </si>
  <si>
    <t>E015PR</t>
  </si>
  <si>
    <t>E017</t>
  </si>
  <si>
    <t>E017CM</t>
  </si>
  <si>
    <t>E021</t>
  </si>
  <si>
    <t>E021CM</t>
  </si>
  <si>
    <t>E022</t>
  </si>
  <si>
    <t>E022CM</t>
  </si>
  <si>
    <t>E023</t>
  </si>
  <si>
    <t>E023CM</t>
  </si>
  <si>
    <t>E024</t>
  </si>
  <si>
    <t>E024CM</t>
  </si>
  <si>
    <t>E048</t>
  </si>
  <si>
    <t>E301</t>
  </si>
  <si>
    <t>E301N</t>
  </si>
  <si>
    <t>E301NCM</t>
  </si>
  <si>
    <t>E303</t>
  </si>
  <si>
    <t>E303N</t>
  </si>
  <si>
    <t>E304N</t>
  </si>
  <si>
    <t>E401</t>
  </si>
  <si>
    <t>E321N</t>
  </si>
  <si>
    <t>E321NCM</t>
  </si>
  <si>
    <t>E322</t>
  </si>
  <si>
    <t>E322N</t>
  </si>
  <si>
    <t>E322NCM</t>
  </si>
  <si>
    <t>E325</t>
  </si>
  <si>
    <t>E325N</t>
  </si>
  <si>
    <t>E325NCM</t>
  </si>
  <si>
    <t>E326N</t>
  </si>
  <si>
    <t>E345</t>
  </si>
  <si>
    <t>E422CM</t>
  </si>
  <si>
    <t>E465CM</t>
  </si>
  <si>
    <t>E9131</t>
  </si>
  <si>
    <t>E9132</t>
  </si>
  <si>
    <t>E9141</t>
  </si>
  <si>
    <t>E9511</t>
  </si>
  <si>
    <t>E9551</t>
  </si>
  <si>
    <t>E9552</t>
  </si>
  <si>
    <t>E9751</t>
  </si>
  <si>
    <t>E111</t>
  </si>
  <si>
    <t>E511CM</t>
  </si>
  <si>
    <t>E511N</t>
  </si>
  <si>
    <t>E512CM</t>
  </si>
  <si>
    <t>E512N</t>
  </si>
  <si>
    <t>E521</t>
  </si>
  <si>
    <t>E522</t>
  </si>
  <si>
    <t>E315</t>
  </si>
  <si>
    <t>E315CM</t>
  </si>
  <si>
    <t>E370</t>
  </si>
  <si>
    <t>E461</t>
  </si>
  <si>
    <t>E461CM</t>
  </si>
  <si>
    <t>E462CM</t>
  </si>
  <si>
    <t>E511</t>
  </si>
  <si>
    <t>E512</t>
  </si>
  <si>
    <t>E200</t>
  </si>
  <si>
    <t>E200N</t>
  </si>
  <si>
    <t>E201</t>
  </si>
  <si>
    <t>E201N</t>
  </si>
  <si>
    <t>E201NBO</t>
  </si>
  <si>
    <t>E201NDW</t>
  </si>
  <si>
    <t>E201NFF</t>
  </si>
  <si>
    <t>E201NHO</t>
  </si>
  <si>
    <t>E201NTD</t>
  </si>
  <si>
    <t>E201NWM</t>
  </si>
  <si>
    <t>SP090026</t>
  </si>
  <si>
    <t>SP090027</t>
  </si>
  <si>
    <t>SP090066</t>
  </si>
  <si>
    <t>SP090073</t>
  </si>
  <si>
    <t>SP090084</t>
  </si>
  <si>
    <t>SP090089</t>
  </si>
  <si>
    <t>SP090105</t>
  </si>
  <si>
    <t>SP090113</t>
  </si>
  <si>
    <t>SP090127</t>
  </si>
  <si>
    <t>SP090133</t>
  </si>
  <si>
    <t>SP090145</t>
  </si>
  <si>
    <t>SP090152</t>
  </si>
  <si>
    <t>SP090160</t>
  </si>
  <si>
    <t>SP090162</t>
  </si>
  <si>
    <t>SP090175</t>
  </si>
  <si>
    <t>SP100004</t>
  </si>
  <si>
    <t>SP100005</t>
  </si>
  <si>
    <t>SP100026</t>
  </si>
  <si>
    <t>SP100030</t>
  </si>
  <si>
    <t>SP100036</t>
  </si>
  <si>
    <t>SP100037</t>
  </si>
  <si>
    <t>SP100038</t>
  </si>
  <si>
    <t>SP100041</t>
  </si>
  <si>
    <t>SP100053</t>
  </si>
  <si>
    <t>SP100085</t>
  </si>
  <si>
    <t>SP100087</t>
  </si>
  <si>
    <t>SP100088</t>
  </si>
  <si>
    <t>E351</t>
  </si>
  <si>
    <t>E351CM</t>
  </si>
  <si>
    <t>E351D</t>
  </si>
  <si>
    <t>E355</t>
  </si>
  <si>
    <t>E355CM</t>
  </si>
  <si>
    <t>E356</t>
  </si>
  <si>
    <t>E360</t>
  </si>
  <si>
    <t>E361</t>
  </si>
  <si>
    <t>E362</t>
  </si>
  <si>
    <t>E362CM</t>
  </si>
  <si>
    <t>E363</t>
  </si>
  <si>
    <t>E801</t>
  </si>
  <si>
    <t>E802</t>
  </si>
  <si>
    <t>E803</t>
  </si>
  <si>
    <t>E804</t>
  </si>
  <si>
    <t>E872</t>
  </si>
  <si>
    <t>E874</t>
  </si>
  <si>
    <t>E210</t>
  </si>
  <si>
    <t>E212</t>
  </si>
  <si>
    <t>E391</t>
  </si>
  <si>
    <t>E391CM</t>
  </si>
  <si>
    <t>E392</t>
  </si>
  <si>
    <t>E999</t>
  </si>
  <si>
    <t>FL321</t>
  </si>
  <si>
    <t>FL331</t>
  </si>
  <si>
    <t>FL341</t>
  </si>
  <si>
    <t>FL351</t>
  </si>
  <si>
    <t>FP320</t>
  </si>
  <si>
    <t>FP321</t>
  </si>
  <si>
    <t>FP330</t>
  </si>
  <si>
    <t>FP331</t>
  </si>
  <si>
    <t>FP340</t>
  </si>
  <si>
    <t>FP341</t>
  </si>
  <si>
    <t>FP351</t>
  </si>
  <si>
    <t>F8501</t>
  </si>
  <si>
    <t>F8502</t>
  </si>
  <si>
    <t>F8534</t>
  </si>
  <si>
    <t>F8540</t>
  </si>
  <si>
    <t>F8570</t>
  </si>
  <si>
    <t>F8571</t>
  </si>
  <si>
    <t>F8572</t>
  </si>
  <si>
    <t>F8573</t>
  </si>
  <si>
    <t>F8580</t>
  </si>
  <si>
    <t>F8581</t>
  </si>
  <si>
    <t>F8582</t>
  </si>
  <si>
    <t>F8583</t>
  </si>
  <si>
    <t>F8584</t>
  </si>
  <si>
    <t>FL421</t>
  </si>
  <si>
    <t>FL431</t>
  </si>
  <si>
    <t>FL441</t>
  </si>
  <si>
    <t>FL451</t>
  </si>
  <si>
    <t>FP421</t>
  </si>
  <si>
    <t>FP431</t>
  </si>
  <si>
    <t>FP441</t>
  </si>
  <si>
    <t>FP451</t>
  </si>
  <si>
    <t>F8601</t>
  </si>
  <si>
    <t>F8602</t>
  </si>
  <si>
    <t>F8603</t>
  </si>
  <si>
    <t>F8635</t>
  </si>
  <si>
    <t>F8640</t>
  </si>
  <si>
    <t>F8641</t>
  </si>
  <si>
    <t>F8670</t>
  </si>
  <si>
    <t>F8671</t>
  </si>
  <si>
    <t>F8672</t>
  </si>
  <si>
    <t>F8681</t>
  </si>
  <si>
    <t>F8682</t>
  </si>
  <si>
    <t>F8684</t>
  </si>
  <si>
    <t>LDU10</t>
  </si>
  <si>
    <t>LDU12</t>
  </si>
  <si>
    <t>LDU6</t>
  </si>
  <si>
    <t>LDU8</t>
  </si>
  <si>
    <t>F8511</t>
  </si>
  <si>
    <t>F8512</t>
  </si>
  <si>
    <t>F8526</t>
  </si>
  <si>
    <t>Replacement alternative Product</t>
  </si>
  <si>
    <t>P048</t>
  </si>
  <si>
    <t>Obsolete - No equivalent</t>
  </si>
  <si>
    <t>P049</t>
  </si>
  <si>
    <t>Inform customer</t>
  </si>
  <si>
    <t>No equivalent</t>
  </si>
  <si>
    <t>P011</t>
  </si>
  <si>
    <t>P012</t>
  </si>
  <si>
    <t>P013</t>
  </si>
  <si>
    <t>P014</t>
  </si>
  <si>
    <t>P015</t>
  </si>
  <si>
    <t>P015L</t>
  </si>
  <si>
    <t>P015P</t>
  </si>
  <si>
    <t>P017</t>
  </si>
  <si>
    <t>P021</t>
  </si>
  <si>
    <t>P021P</t>
  </si>
  <si>
    <t>P022</t>
  </si>
  <si>
    <t>P023</t>
  </si>
  <si>
    <t>P024</t>
  </si>
  <si>
    <t>P026</t>
  </si>
  <si>
    <t>P032</t>
  </si>
  <si>
    <t>P041</t>
  </si>
  <si>
    <t>P041P</t>
  </si>
  <si>
    <t>P042</t>
  </si>
  <si>
    <t>P043N</t>
  </si>
  <si>
    <t>P045</t>
  </si>
  <si>
    <t>P045P</t>
  </si>
  <si>
    <t>P047</t>
  </si>
  <si>
    <t>P404N</t>
  </si>
  <si>
    <t>P401</t>
  </si>
  <si>
    <t>P401N</t>
  </si>
  <si>
    <t>P403</t>
  </si>
  <si>
    <t>P403N</t>
  </si>
  <si>
    <t>P421</t>
  </si>
  <si>
    <t>P421N</t>
  </si>
  <si>
    <t>P422N</t>
  </si>
  <si>
    <t>P423</t>
  </si>
  <si>
    <t>P423N</t>
  </si>
  <si>
    <t>P424N</t>
  </si>
  <si>
    <t>P425</t>
  </si>
  <si>
    <t>P425N</t>
  </si>
  <si>
    <t>P426N</t>
  </si>
  <si>
    <t>P427N</t>
  </si>
  <si>
    <t>P223N</t>
  </si>
  <si>
    <t>P9511</t>
  </si>
  <si>
    <t>P9551</t>
  </si>
  <si>
    <t>P9552</t>
  </si>
  <si>
    <t>P9751</t>
  </si>
  <si>
    <t>P111</t>
  </si>
  <si>
    <t>P112</t>
  </si>
  <si>
    <t>P902 + F9314</t>
  </si>
  <si>
    <t>P902 + F9313</t>
  </si>
  <si>
    <t>P621N</t>
  </si>
  <si>
    <t>P621RED</t>
  </si>
  <si>
    <t>P621RR</t>
  </si>
  <si>
    <t>P622RR</t>
  </si>
  <si>
    <t>P632</t>
  </si>
  <si>
    <t>P632N</t>
  </si>
  <si>
    <t>P632RED</t>
  </si>
  <si>
    <t>P632RR</t>
  </si>
  <si>
    <t>P651</t>
  </si>
  <si>
    <t>P651N</t>
  </si>
  <si>
    <t>P652</t>
  </si>
  <si>
    <t>P652RR</t>
  </si>
  <si>
    <t>P671N</t>
  </si>
  <si>
    <t>P671RR</t>
  </si>
  <si>
    <t>P672</t>
  </si>
  <si>
    <t>P611</t>
  </si>
  <si>
    <t>P612</t>
  </si>
  <si>
    <t>P621</t>
  </si>
  <si>
    <t>P622</t>
  </si>
  <si>
    <t>P622N</t>
  </si>
  <si>
    <t>P902 + F9315</t>
  </si>
  <si>
    <t>P415</t>
  </si>
  <si>
    <t>P902 + F9318 (unswitched)</t>
  </si>
  <si>
    <t>P685</t>
  </si>
  <si>
    <t>P686</t>
  </si>
  <si>
    <t>P686RED</t>
  </si>
  <si>
    <t>P220</t>
  </si>
  <si>
    <t>P220N</t>
  </si>
  <si>
    <t>P220RR</t>
  </si>
  <si>
    <t>P221</t>
  </si>
  <si>
    <t>P221BO</t>
  </si>
  <si>
    <t>P221CH</t>
  </si>
  <si>
    <t>P221CKH</t>
  </si>
  <si>
    <t>P221DW</t>
  </si>
  <si>
    <t>P221EF</t>
  </si>
  <si>
    <t>P221N</t>
  </si>
  <si>
    <t>P221NR</t>
  </si>
  <si>
    <t>P221NRR</t>
  </si>
  <si>
    <t>P221NWH</t>
  </si>
  <si>
    <t>P221NWM</t>
  </si>
  <si>
    <t>P221R</t>
  </si>
  <si>
    <t>P221RR</t>
  </si>
  <si>
    <t>P221WM</t>
  </si>
  <si>
    <t>P223</t>
  </si>
  <si>
    <t>P224</t>
  </si>
  <si>
    <t>P351</t>
  </si>
  <si>
    <t>P351D</t>
  </si>
  <si>
    <t>P352</t>
  </si>
  <si>
    <t>P353</t>
  </si>
  <si>
    <t>P354</t>
  </si>
  <si>
    <t>P355</t>
  </si>
  <si>
    <t>P356</t>
  </si>
  <si>
    <t>P357</t>
  </si>
  <si>
    <t>P360</t>
  </si>
  <si>
    <t>P361</t>
  </si>
  <si>
    <t>P362</t>
  </si>
  <si>
    <t>P901</t>
  </si>
  <si>
    <t>P902</t>
  </si>
  <si>
    <t>P903</t>
  </si>
  <si>
    <t>P904</t>
  </si>
  <si>
    <t>P906</t>
  </si>
  <si>
    <t>P908</t>
  </si>
  <si>
    <t>P912</t>
  </si>
  <si>
    <t>P918</t>
  </si>
  <si>
    <t>P924</t>
  </si>
  <si>
    <t>P345</t>
  </si>
  <si>
    <t>P210</t>
  </si>
  <si>
    <t>P370</t>
  </si>
  <si>
    <t>P391</t>
  </si>
  <si>
    <t>P392</t>
  </si>
  <si>
    <t>B015HP</t>
  </si>
  <si>
    <t>Use COPA SB</t>
  </si>
  <si>
    <t>B015SS</t>
  </si>
  <si>
    <t>B017HP</t>
  </si>
  <si>
    <t>B017SS</t>
  </si>
  <si>
    <t>B021HP</t>
  </si>
  <si>
    <t>B021SS</t>
  </si>
  <si>
    <t>B022HP</t>
  </si>
  <si>
    <t>B022SS</t>
  </si>
  <si>
    <t>B023HP</t>
  </si>
  <si>
    <t>B023SS</t>
  </si>
  <si>
    <t>B048HP</t>
  </si>
  <si>
    <t>B048SS</t>
  </si>
  <si>
    <t>B401NSS</t>
  </si>
  <si>
    <t>B401SS</t>
  </si>
  <si>
    <t>B403NSS</t>
  </si>
  <si>
    <t>B404NSS</t>
  </si>
  <si>
    <t>X902MG</t>
  </si>
  <si>
    <t>B421NSS</t>
  </si>
  <si>
    <t>B422NSS</t>
  </si>
  <si>
    <t>B425NSS</t>
  </si>
  <si>
    <t>B426NSS</t>
  </si>
  <si>
    <t>Use COPA SS</t>
  </si>
  <si>
    <t>Use COPA HP</t>
  </si>
  <si>
    <t>B111SS</t>
  </si>
  <si>
    <t>B112SS</t>
  </si>
  <si>
    <t>B621HP</t>
  </si>
  <si>
    <t>B621NHP</t>
  </si>
  <si>
    <t>B621NSS</t>
  </si>
  <si>
    <t>B621RRSS</t>
  </si>
  <si>
    <t>B621SS</t>
  </si>
  <si>
    <t>B622HP</t>
  </si>
  <si>
    <t>B622NHP</t>
  </si>
  <si>
    <t>B622NSS</t>
  </si>
  <si>
    <t>B622RRSS</t>
  </si>
  <si>
    <t>B622SS</t>
  </si>
  <si>
    <t>B632SS</t>
  </si>
  <si>
    <t>B651SS</t>
  </si>
  <si>
    <t>B652SS</t>
  </si>
  <si>
    <t>B305SS</t>
  </si>
  <si>
    <t>B415SS</t>
  </si>
  <si>
    <t>B685SS</t>
  </si>
  <si>
    <t>B686SS</t>
  </si>
  <si>
    <t>B220NSS</t>
  </si>
  <si>
    <t>B220SS</t>
  </si>
  <si>
    <t>B221HP</t>
  </si>
  <si>
    <t>B221NHP</t>
  </si>
  <si>
    <t>B221NSS</t>
  </si>
  <si>
    <t>B221SS</t>
  </si>
  <si>
    <t>B351SS</t>
  </si>
  <si>
    <t>B354SS</t>
  </si>
  <si>
    <t>B355SS</t>
  </si>
  <si>
    <t>B356SS</t>
  </si>
  <si>
    <t>B360SS</t>
  </si>
  <si>
    <t>B361SS</t>
  </si>
  <si>
    <t>B901HP</t>
  </si>
  <si>
    <t>B901SS</t>
  </si>
  <si>
    <t>B902HP</t>
  </si>
  <si>
    <t>B902SS</t>
  </si>
  <si>
    <t>B903HP</t>
  </si>
  <si>
    <t>B903SS</t>
  </si>
  <si>
    <t>B904HP</t>
  </si>
  <si>
    <t>B904SS</t>
  </si>
  <si>
    <t>B906HP</t>
  </si>
  <si>
    <t>CM906SB</t>
  </si>
  <si>
    <t>B906SS</t>
  </si>
  <si>
    <t>B908HP</t>
  </si>
  <si>
    <t>CM908SB</t>
  </si>
  <si>
    <t>B908SS</t>
  </si>
  <si>
    <t>CM912SB</t>
  </si>
  <si>
    <t>B912SS</t>
  </si>
  <si>
    <t>CM918SB</t>
  </si>
  <si>
    <t>B918SS</t>
  </si>
  <si>
    <t>CM924SB</t>
  </si>
  <si>
    <t>B924SS</t>
  </si>
  <si>
    <t>B370SS</t>
  </si>
  <si>
    <t>B391SS</t>
  </si>
  <si>
    <t>B392SS</t>
  </si>
  <si>
    <t>C401</t>
  </si>
  <si>
    <t>C401B</t>
  </si>
  <si>
    <t>C401N</t>
  </si>
  <si>
    <t>C401NB</t>
  </si>
  <si>
    <t>C401NWH</t>
  </si>
  <si>
    <t>C401WH</t>
  </si>
  <si>
    <t>C403NWH</t>
  </si>
  <si>
    <t>C403WH</t>
  </si>
  <si>
    <t>C421N</t>
  </si>
  <si>
    <t>C421NB</t>
  </si>
  <si>
    <t>C421NWH</t>
  </si>
  <si>
    <t>C422N</t>
  </si>
  <si>
    <t>C422NB</t>
  </si>
  <si>
    <t>C422NWH</t>
  </si>
  <si>
    <t>C423NWH</t>
  </si>
  <si>
    <t>C424NWH</t>
  </si>
  <si>
    <t>C425</t>
  </si>
  <si>
    <t>C425B</t>
  </si>
  <si>
    <t>C425N</t>
  </si>
  <si>
    <t>C425NB</t>
  </si>
  <si>
    <t>C425NWH</t>
  </si>
  <si>
    <t>C425WH</t>
  </si>
  <si>
    <t>C426NWH</t>
  </si>
  <si>
    <t>C632</t>
  </si>
  <si>
    <t>C632B</t>
  </si>
  <si>
    <t>C632WH</t>
  </si>
  <si>
    <t>C651</t>
  </si>
  <si>
    <t>C651B</t>
  </si>
  <si>
    <t>C651WH</t>
  </si>
  <si>
    <t>C652</t>
  </si>
  <si>
    <t>C652B</t>
  </si>
  <si>
    <t>C652WH</t>
  </si>
  <si>
    <t>C415</t>
  </si>
  <si>
    <t>C415B</t>
  </si>
  <si>
    <t>C415WH</t>
  </si>
  <si>
    <t>C220</t>
  </si>
  <si>
    <t>C220B</t>
  </si>
  <si>
    <t>C220N</t>
  </si>
  <si>
    <t>C220NB</t>
  </si>
  <si>
    <t>C220NWH</t>
  </si>
  <si>
    <t>C220WH</t>
  </si>
  <si>
    <t>C221</t>
  </si>
  <si>
    <t>C221B</t>
  </si>
  <si>
    <t>C221N</t>
  </si>
  <si>
    <t>C221NB</t>
  </si>
  <si>
    <t>C221NBOWH</t>
  </si>
  <si>
    <t>C221NCHWH</t>
  </si>
  <si>
    <t>C221NDWWH</t>
  </si>
  <si>
    <t>C221NEFWH</t>
  </si>
  <si>
    <t>C221NFFWH</t>
  </si>
  <si>
    <t>C221NHBWH</t>
  </si>
  <si>
    <t>C221NHEWH</t>
  </si>
  <si>
    <t>C221NRWH</t>
  </si>
  <si>
    <t>C221NTDWH</t>
  </si>
  <si>
    <t>C221NWH</t>
  </si>
  <si>
    <t>C221NWMWH</t>
  </si>
  <si>
    <t>C221RWH</t>
  </si>
  <si>
    <t>C221TDWH</t>
  </si>
  <si>
    <t>C221WH</t>
  </si>
  <si>
    <t>C221WMWH</t>
  </si>
  <si>
    <t>CM220HP</t>
  </si>
  <si>
    <t>CM220NHP</t>
  </si>
  <si>
    <t>CM220NPB</t>
  </si>
  <si>
    <t>CM220NSB</t>
  </si>
  <si>
    <t>CM220NSS</t>
  </si>
  <si>
    <t>CM220PB</t>
  </si>
  <si>
    <t>CM220SB</t>
  </si>
  <si>
    <t>CM220SS</t>
  </si>
  <si>
    <t>CM221HP</t>
  </si>
  <si>
    <t>CM221NCHHP</t>
  </si>
  <si>
    <t>CM221NCHPB</t>
  </si>
  <si>
    <t>CM221NCHSS</t>
  </si>
  <si>
    <t>CM221NEFHP</t>
  </si>
  <si>
    <t>CM221NEFPB</t>
  </si>
  <si>
    <t>CM221NEFSS</t>
  </si>
  <si>
    <t>CM221NHEHP</t>
  </si>
  <si>
    <t>CM221NHEPB</t>
  </si>
  <si>
    <t>CM221NHESS</t>
  </si>
  <si>
    <t>CM221NHP</t>
  </si>
  <si>
    <t>CM221NPB</t>
  </si>
  <si>
    <t>CM221NRHP</t>
  </si>
  <si>
    <t>CM221NRSS</t>
  </si>
  <si>
    <t>CM221NSB</t>
  </si>
  <si>
    <t>CM221NSS</t>
  </si>
  <si>
    <t>CM221NWMHP</t>
  </si>
  <si>
    <t>CM221NWMSS</t>
  </si>
  <si>
    <t>CM221PB</t>
  </si>
  <si>
    <t>CM221RHP</t>
  </si>
  <si>
    <t>CM221RPB</t>
  </si>
  <si>
    <t>CM221RSS</t>
  </si>
  <si>
    <t>CM221SB</t>
  </si>
  <si>
    <t>CM221SS</t>
  </si>
  <si>
    <t>CM221TDHP</t>
  </si>
  <si>
    <t>CM221TDPB</t>
  </si>
  <si>
    <t>CM221TDSS</t>
  </si>
  <si>
    <t>CM221WMHP</t>
  </si>
  <si>
    <t>CM221WMSS</t>
  </si>
  <si>
    <t>CM401HP</t>
  </si>
  <si>
    <t>CM401NHP</t>
  </si>
  <si>
    <t>CM401NPB</t>
  </si>
  <si>
    <t>CM401NSB</t>
  </si>
  <si>
    <t>CM401NSS</t>
  </si>
  <si>
    <t>CM401PB</t>
  </si>
  <si>
    <t>CM401SB</t>
  </si>
  <si>
    <t>CM401SS</t>
  </si>
  <si>
    <t>CM403HP</t>
  </si>
  <si>
    <t>CM403NHP</t>
  </si>
  <si>
    <t>CM403NPB</t>
  </si>
  <si>
    <t>CM403NSB</t>
  </si>
  <si>
    <t>CM403NSS</t>
  </si>
  <si>
    <t>CM403SB</t>
  </si>
  <si>
    <t>CM403SS</t>
  </si>
  <si>
    <t>CM415HP</t>
  </si>
  <si>
    <t>CM415PB</t>
  </si>
  <si>
    <t>CM415SB</t>
  </si>
  <si>
    <t>CM415SS</t>
  </si>
  <si>
    <t>CM421NHP</t>
  </si>
  <si>
    <t>CM421NPB</t>
  </si>
  <si>
    <t>CM421NSB</t>
  </si>
  <si>
    <t>CM421NSS</t>
  </si>
  <si>
    <t>CM422NHP</t>
  </si>
  <si>
    <t>CM422NPB</t>
  </si>
  <si>
    <t>CM422NSB</t>
  </si>
  <si>
    <t>CM422NSS</t>
  </si>
  <si>
    <t>CM423NHP</t>
  </si>
  <si>
    <t>CM423NPB</t>
  </si>
  <si>
    <t>CM423NSB</t>
  </si>
  <si>
    <t>CM423NSS</t>
  </si>
  <si>
    <t>CM424NHP</t>
  </si>
  <si>
    <t>CM424NPB</t>
  </si>
  <si>
    <t>CM424NSB</t>
  </si>
  <si>
    <t>CM424NSS</t>
  </si>
  <si>
    <t>CM425HP</t>
  </si>
  <si>
    <t>CM425NHP</t>
  </si>
  <si>
    <t>CM425NPB</t>
  </si>
  <si>
    <t>CM425NSB</t>
  </si>
  <si>
    <t>CM425NSS</t>
  </si>
  <si>
    <t>CM425PB</t>
  </si>
  <si>
    <t>CM425SB</t>
  </si>
  <si>
    <t>CM425SS</t>
  </si>
  <si>
    <t>CM632HP</t>
  </si>
  <si>
    <t>CM632PB</t>
  </si>
  <si>
    <t>CM632SB</t>
  </si>
  <si>
    <t>CM632SS</t>
  </si>
  <si>
    <t>CM901HP</t>
  </si>
  <si>
    <t>CM901PB</t>
  </si>
  <si>
    <t>CM901SB</t>
  </si>
  <si>
    <t>CM901SS</t>
  </si>
  <si>
    <t>CM902HP</t>
  </si>
  <si>
    <t>CM902PB</t>
  </si>
  <si>
    <t>CM902SB</t>
  </si>
  <si>
    <t>CM902SS</t>
  </si>
  <si>
    <t>CM903HP</t>
  </si>
  <si>
    <t>CM903PB</t>
  </si>
  <si>
    <t>CM903SB</t>
  </si>
  <si>
    <t>CM903SS</t>
  </si>
  <si>
    <t>CM904HP</t>
  </si>
  <si>
    <t>CM904PB</t>
  </si>
  <si>
    <t>CM904SB</t>
  </si>
  <si>
    <t>CM904SS</t>
  </si>
  <si>
    <t>CP220BL</t>
  </si>
  <si>
    <t>CP220BM</t>
  </si>
  <si>
    <t>CP220GL</t>
  </si>
  <si>
    <t>CP220GY</t>
  </si>
  <si>
    <t>CP220NBL</t>
  </si>
  <si>
    <t>CP220NBM</t>
  </si>
  <si>
    <t>CP220NGL</t>
  </si>
  <si>
    <t>CP220NGY</t>
  </si>
  <si>
    <t>CP220NSV</t>
  </si>
  <si>
    <t>CP220NWH</t>
  </si>
  <si>
    <t>CP220SV</t>
  </si>
  <si>
    <t>CP220WH</t>
  </si>
  <si>
    <t>CP221BL</t>
  </si>
  <si>
    <t>CP221BM</t>
  </si>
  <si>
    <t>CP221GL</t>
  </si>
  <si>
    <t>CP221GY</t>
  </si>
  <si>
    <t>CP221NBL</t>
  </si>
  <si>
    <t>CP221NBM</t>
  </si>
  <si>
    <t>CP221NCHWH</t>
  </si>
  <si>
    <t>CP221NEFWH</t>
  </si>
  <si>
    <t>CP221NGL</t>
  </si>
  <si>
    <t>CP221NGY</t>
  </si>
  <si>
    <t>CP221NHEWH</t>
  </si>
  <si>
    <t>CP221NRWH</t>
  </si>
  <si>
    <t>CP221NSV</t>
  </si>
  <si>
    <t>CP221NWH</t>
  </si>
  <si>
    <t>CP221NWMWH</t>
  </si>
  <si>
    <t>CP221RWH</t>
  </si>
  <si>
    <t>CP221SV</t>
  </si>
  <si>
    <t>CP221TDWH</t>
  </si>
  <si>
    <t>CP221WH</t>
  </si>
  <si>
    <t>CP221WMWH</t>
  </si>
  <si>
    <t>CP401BL</t>
  </si>
  <si>
    <t>CP401BM</t>
  </si>
  <si>
    <t>CP401GL</t>
  </si>
  <si>
    <t>CP401GY</t>
  </si>
  <si>
    <t>CP401NBL</t>
  </si>
  <si>
    <t>CP401NBM</t>
  </si>
  <si>
    <t>CP401NGL</t>
  </si>
  <si>
    <t>CP401NGY</t>
  </si>
  <si>
    <t>CP401NSV</t>
  </si>
  <si>
    <t>CP401NWH</t>
  </si>
  <si>
    <t>CP401SV</t>
  </si>
  <si>
    <t>CP401WH</t>
  </si>
  <si>
    <t>CP403NBL</t>
  </si>
  <si>
    <t>CP403NBM</t>
  </si>
  <si>
    <t>CP403NGL</t>
  </si>
  <si>
    <t>CP403NSV</t>
  </si>
  <si>
    <t>CP403NWH</t>
  </si>
  <si>
    <t>CP403WH</t>
  </si>
  <si>
    <t>CP415BL</t>
  </si>
  <si>
    <t>CP415BM</t>
  </si>
  <si>
    <t>CP415GL</t>
  </si>
  <si>
    <t>CP415GY</t>
  </si>
  <si>
    <t>CP415SV</t>
  </si>
  <si>
    <t>CP415WH</t>
  </si>
  <si>
    <t>CP421NBL</t>
  </si>
  <si>
    <t>CP421NBM</t>
  </si>
  <si>
    <t>CP421NGL</t>
  </si>
  <si>
    <t>CP421NGY</t>
  </si>
  <si>
    <t>CP421NSV</t>
  </si>
  <si>
    <t>CP421NWH</t>
  </si>
  <si>
    <t>CP422NBL</t>
  </si>
  <si>
    <t>CP422NBM</t>
  </si>
  <si>
    <t>CP422NGL</t>
  </si>
  <si>
    <t>CP422NGY</t>
  </si>
  <si>
    <t>CP422NSV</t>
  </si>
  <si>
    <t>CP422NWH</t>
  </si>
  <si>
    <t>CP423NBM</t>
  </si>
  <si>
    <t>CP423NGY</t>
  </si>
  <si>
    <t>CP423NSV</t>
  </si>
  <si>
    <t>CP423NWH</t>
  </si>
  <si>
    <t>CP424NBL</t>
  </si>
  <si>
    <t>CP424NBM</t>
  </si>
  <si>
    <t>CP424NGL</t>
  </si>
  <si>
    <t>CP424NSV</t>
  </si>
  <si>
    <t>CP424NWH</t>
  </si>
  <si>
    <t>CP425BL</t>
  </si>
  <si>
    <t>CP425BM</t>
  </si>
  <si>
    <t>CP425GL</t>
  </si>
  <si>
    <t>CP425GY</t>
  </si>
  <si>
    <t>CP425NBL</t>
  </si>
  <si>
    <t>CP425NBM</t>
  </si>
  <si>
    <t>CP425NGL</t>
  </si>
  <si>
    <t>CP425NGY</t>
  </si>
  <si>
    <t>CP425NSV</t>
  </si>
  <si>
    <t>CP425NWH</t>
  </si>
  <si>
    <t>CP425SV</t>
  </si>
  <si>
    <t>CP425WH</t>
  </si>
  <si>
    <t>CP632BL</t>
  </si>
  <si>
    <t>CP632BM</t>
  </si>
  <si>
    <t>CP632GL</t>
  </si>
  <si>
    <t>CP632GY</t>
  </si>
  <si>
    <t>CP632SV</t>
  </si>
  <si>
    <t>CP632WH</t>
  </si>
  <si>
    <t>CP901BL</t>
  </si>
  <si>
    <t>CP901BM</t>
  </si>
  <si>
    <t>CP901GL</t>
  </si>
  <si>
    <t>CP901GY</t>
  </si>
  <si>
    <t>CP901SV</t>
  </si>
  <si>
    <t>CP901WH</t>
  </si>
  <si>
    <t>CP902BL</t>
  </si>
  <si>
    <t>CP902BM</t>
  </si>
  <si>
    <t>CP902GL</t>
  </si>
  <si>
    <t>CP902GY</t>
  </si>
  <si>
    <t>CP902SV</t>
  </si>
  <si>
    <t>CP902WH</t>
  </si>
  <si>
    <t>CP903BL</t>
  </si>
  <si>
    <t>CP903BM</t>
  </si>
  <si>
    <t>CP903GL</t>
  </si>
  <si>
    <t>CP903GY</t>
  </si>
  <si>
    <t>CP903SV</t>
  </si>
  <si>
    <t>CP903WH</t>
  </si>
  <si>
    <t>CP904BL</t>
  </si>
  <si>
    <t>CP904BM</t>
  </si>
  <si>
    <t>CP904GL</t>
  </si>
  <si>
    <t>CP904GY</t>
  </si>
  <si>
    <t>CP904SV</t>
  </si>
  <si>
    <t>CP904WH</t>
  </si>
  <si>
    <t>C901</t>
  </si>
  <si>
    <t>C901WH</t>
  </si>
  <si>
    <t>C902</t>
  </si>
  <si>
    <t>C902WH</t>
  </si>
  <si>
    <t>C903</t>
  </si>
  <si>
    <t>C903WH</t>
  </si>
  <si>
    <t>C904</t>
  </si>
  <si>
    <t>C904WH</t>
  </si>
  <si>
    <t>C901B</t>
  </si>
  <si>
    <t>C902B</t>
  </si>
  <si>
    <t>C904B</t>
  </si>
  <si>
    <t>X401MG</t>
  </si>
  <si>
    <t>X401NMG</t>
  </si>
  <si>
    <t>X421MG</t>
  </si>
  <si>
    <t>X421NMG</t>
  </si>
  <si>
    <t>X621MG</t>
  </si>
  <si>
    <t>X621NMG</t>
  </si>
  <si>
    <t>X621RRMG</t>
  </si>
  <si>
    <t>X622MG</t>
  </si>
  <si>
    <t>X622NMG</t>
  </si>
  <si>
    <t>X622RRMG</t>
  </si>
  <si>
    <t>X632MG</t>
  </si>
  <si>
    <t>X632RRMG</t>
  </si>
  <si>
    <t>X651MG</t>
  </si>
  <si>
    <t>X651NMG</t>
  </si>
  <si>
    <t>X652MG</t>
  </si>
  <si>
    <t>X652NMG</t>
  </si>
  <si>
    <t>X415MG</t>
  </si>
  <si>
    <t>X685MG</t>
  </si>
  <si>
    <t>X686MG</t>
  </si>
  <si>
    <t>X220MG</t>
  </si>
  <si>
    <t>X220NMG</t>
  </si>
  <si>
    <t>X220RRMG</t>
  </si>
  <si>
    <t>X221MG</t>
  </si>
  <si>
    <t>X221NMG</t>
  </si>
  <si>
    <t>X221NRRMG</t>
  </si>
  <si>
    <t>X221RRMG</t>
  </si>
  <si>
    <t>X904MG</t>
  </si>
  <si>
    <t>X901MG</t>
  </si>
  <si>
    <t>X903MG</t>
  </si>
  <si>
    <t>X906MG</t>
  </si>
  <si>
    <t>X908MG</t>
  </si>
  <si>
    <t>X912MG</t>
  </si>
  <si>
    <t>X918MG</t>
  </si>
  <si>
    <t>X924MG</t>
  </si>
  <si>
    <t>F3787 etc</t>
  </si>
  <si>
    <t>F9060</t>
  </si>
  <si>
    <t>F9000</t>
  </si>
  <si>
    <t>F9001B</t>
  </si>
  <si>
    <t>F9001RR</t>
  </si>
  <si>
    <t>F9001</t>
  </si>
  <si>
    <t>F9004</t>
  </si>
  <si>
    <t>F9004B</t>
  </si>
  <si>
    <t>F9020</t>
  </si>
  <si>
    <t>F9020B</t>
  </si>
  <si>
    <t>F9020RR</t>
  </si>
  <si>
    <t>F9021</t>
  </si>
  <si>
    <t>F9021B</t>
  </si>
  <si>
    <t>F9021RR</t>
  </si>
  <si>
    <t>F9022</t>
  </si>
  <si>
    <t>F9022B</t>
  </si>
  <si>
    <t>F9023</t>
  </si>
  <si>
    <t>F9023B</t>
  </si>
  <si>
    <t>F9023BBO</t>
  </si>
  <si>
    <t>F9023BCH</t>
  </si>
  <si>
    <t>F9023BDW</t>
  </si>
  <si>
    <t>F9023BEF</t>
  </si>
  <si>
    <t>F9023BFF</t>
  </si>
  <si>
    <t>F9023BFG</t>
  </si>
  <si>
    <t>F9023BFZ</t>
  </si>
  <si>
    <t>F9023BHB</t>
  </si>
  <si>
    <t>F9023BHH</t>
  </si>
  <si>
    <t>F9023BLI</t>
  </si>
  <si>
    <t>F9023BMW</t>
  </si>
  <si>
    <t>F9023BO</t>
  </si>
  <si>
    <t>F9023BOV</t>
  </si>
  <si>
    <t>F9023BPH</t>
  </si>
  <si>
    <t>F9023BPL</t>
  </si>
  <si>
    <t>F9023BTD</t>
  </si>
  <si>
    <t>F9023BTR</t>
  </si>
  <si>
    <t>F9023BWDR</t>
  </si>
  <si>
    <t>F9023BWH</t>
  </si>
  <si>
    <t>F9023BWM</t>
  </si>
  <si>
    <t>F9023CH</t>
  </si>
  <si>
    <t>F9023DW</t>
  </si>
  <si>
    <t>F9023EF</t>
  </si>
  <si>
    <t>F9023FF</t>
  </si>
  <si>
    <t>F9023FG</t>
  </si>
  <si>
    <t>F9023FZ</t>
  </si>
  <si>
    <t>F9023HB</t>
  </si>
  <si>
    <t>F9023HH</t>
  </si>
  <si>
    <t>F9023LI</t>
  </si>
  <si>
    <t>F9023MW</t>
  </si>
  <si>
    <t>F9023OV</t>
  </si>
  <si>
    <t>F9023PH</t>
  </si>
  <si>
    <t>F9023PL</t>
  </si>
  <si>
    <t>F9023RR</t>
  </si>
  <si>
    <t>F9023TD</t>
  </si>
  <si>
    <t>F9023TR</t>
  </si>
  <si>
    <t>F9023WDR</t>
  </si>
  <si>
    <t>F9023WH</t>
  </si>
  <si>
    <t>F9023WM</t>
  </si>
  <si>
    <t>F9024</t>
  </si>
  <si>
    <t>F9024B</t>
  </si>
  <si>
    <t>F9024RR</t>
  </si>
  <si>
    <t>F9025</t>
  </si>
  <si>
    <t>F9025B</t>
  </si>
  <si>
    <t>F9025BO</t>
  </si>
  <si>
    <t>F9025CH</t>
  </si>
  <si>
    <t>F9025DW</t>
  </si>
  <si>
    <t>F9025EF</t>
  </si>
  <si>
    <t>F9025FF</t>
  </si>
  <si>
    <t>F9025FG</t>
  </si>
  <si>
    <t>F9025HB</t>
  </si>
  <si>
    <t>F9025HE</t>
  </si>
  <si>
    <t>F9025MW</t>
  </si>
  <si>
    <t>F9025PH</t>
  </si>
  <si>
    <t>F9025TD</t>
  </si>
  <si>
    <t>F9025WDR</t>
  </si>
  <si>
    <t>F9025WH</t>
  </si>
  <si>
    <t>F9025WM</t>
  </si>
  <si>
    <t>F9026</t>
  </si>
  <si>
    <t>F9026B</t>
  </si>
  <si>
    <t>F9026BEL</t>
  </si>
  <si>
    <t>F9026EL</t>
  </si>
  <si>
    <t>F9027</t>
  </si>
  <si>
    <t>F9027B</t>
  </si>
  <si>
    <t>F9027BEL</t>
  </si>
  <si>
    <t>F9027EL</t>
  </si>
  <si>
    <t>F9027RR</t>
  </si>
  <si>
    <t>F9028</t>
  </si>
  <si>
    <t>F9028B</t>
  </si>
  <si>
    <t>F9029</t>
  </si>
  <si>
    <t>F9029RR</t>
  </si>
  <si>
    <t>F9030</t>
  </si>
  <si>
    <t>F9030B</t>
  </si>
  <si>
    <t>F9030RR</t>
  </si>
  <si>
    <t>F9031</t>
  </si>
  <si>
    <t>F9031B</t>
  </si>
  <si>
    <t>F9032</t>
  </si>
  <si>
    <t>F9033</t>
  </si>
  <si>
    <t>F9033B</t>
  </si>
  <si>
    <t>F9033RR</t>
  </si>
  <si>
    <t>F9060B</t>
  </si>
  <si>
    <t>F9061</t>
  </si>
  <si>
    <t>F9061B</t>
  </si>
  <si>
    <t>F9062</t>
  </si>
  <si>
    <t>F9063</t>
  </si>
  <si>
    <t>F9064</t>
  </si>
  <si>
    <t>F9064B</t>
  </si>
  <si>
    <t>F9065</t>
  </si>
  <si>
    <t>F9065B</t>
  </si>
  <si>
    <t>F9066</t>
  </si>
  <si>
    <t>F9066B</t>
  </si>
  <si>
    <t>F9072</t>
  </si>
  <si>
    <t>F9072B</t>
  </si>
  <si>
    <t>F9072RR</t>
  </si>
  <si>
    <t>F9073</t>
  </si>
  <si>
    <t>F9073B</t>
  </si>
  <si>
    <t>F9076</t>
  </si>
  <si>
    <t>F9078</t>
  </si>
  <si>
    <t>F9078B</t>
  </si>
  <si>
    <t>P721</t>
  </si>
  <si>
    <t>P722</t>
  </si>
  <si>
    <t>P715</t>
  </si>
  <si>
    <t>P741</t>
  </si>
  <si>
    <t>P751 + P621</t>
  </si>
  <si>
    <t>P771</t>
  </si>
  <si>
    <t>P761 + P621</t>
  </si>
  <si>
    <t>P762 + P622</t>
  </si>
  <si>
    <t>P762 + P586</t>
  </si>
  <si>
    <t>P761 + P901</t>
  </si>
  <si>
    <t>To be set up</t>
  </si>
  <si>
    <t>P901 + F3787</t>
  </si>
  <si>
    <t>RS 10A SW RS 1845090</t>
  </si>
  <si>
    <t>B11737 10A 1G 2W BELL PUSH</t>
  </si>
  <si>
    <t>(F2400) 10A 1G 1W SW</t>
  </si>
  <si>
    <t>(F2407) 10A 3G 1W SW</t>
  </si>
  <si>
    <t>(F2408) 10A 4G 1W SW</t>
  </si>
  <si>
    <t>(F2409) 10A 1G SW PUSH</t>
  </si>
  <si>
    <t>(F2413) 10A 1G 1W SW 'LIGHT'</t>
  </si>
  <si>
    <t>10A 1G SW PUSH</t>
  </si>
  <si>
    <t>(F2405) 10A INT SW</t>
  </si>
  <si>
    <t>(F2401) 10A 1G 2W SW</t>
  </si>
  <si>
    <t>(F2411) 10A 1G 2W SW ARCH</t>
  </si>
  <si>
    <t>10A 1G 2W SW PUSH</t>
  </si>
  <si>
    <t>(F2402) 10A 2G 2W SW</t>
  </si>
  <si>
    <t>(F2412) 10A 2G 2W SW ARCH</t>
  </si>
  <si>
    <t>(F2403) 10A 3G 2W SW</t>
  </si>
  <si>
    <t>(F2404) 10A 4G 2W SW</t>
  </si>
  <si>
    <t>10A 1G 2W ARC PUSH SW PRESS</t>
  </si>
  <si>
    <t>(F2410) 10A 6G 2W SW</t>
  </si>
  <si>
    <t>(F2831) 10A 2G 2W H BRDSW</t>
  </si>
  <si>
    <t>(F2830) 10A 1G 2W BRDSW</t>
  </si>
  <si>
    <t>10A 1G 2W BRDSW PUSH</t>
  </si>
  <si>
    <t>(F2832) 10A 2G 2W BRDSW</t>
  </si>
  <si>
    <t>(F2838) 10A 1G DP BRDSW</t>
  </si>
  <si>
    <t>(F2839) 10A 1G DP BRDSW NEON</t>
  </si>
  <si>
    <t>(F2834) 10A 1G 1W BRDSW PUSH</t>
  </si>
  <si>
    <t>10A 1G 1W BRDSW PUSH PLAIN</t>
  </si>
  <si>
    <t>(F2835) 10A INT BRDSW</t>
  </si>
  <si>
    <t>(F2836) 10A 3POLE BRDFAN ISO</t>
  </si>
  <si>
    <t>(F2837) 10A 3POLE BRDISO</t>
  </si>
  <si>
    <t>20A DP SW NEON AIR CONDITIONER</t>
  </si>
  <si>
    <t>(FM2202) 20A DP SW NEON</t>
  </si>
  <si>
    <t>R S 20A SP SW  RS 332593</t>
  </si>
  <si>
    <t>(FM2202) 20A DP SW NEON W.MACH</t>
  </si>
  <si>
    <t>20A SW MARKED WATER HEATER</t>
  </si>
  <si>
    <t>20A DP SW NEON WATER HEATER</t>
  </si>
  <si>
    <t>(F2100) 50A DP SW</t>
  </si>
  <si>
    <t>(F2101) 50A DP SW NEON</t>
  </si>
  <si>
    <t>(F2101S)50A DP SW NEON  SINGLE</t>
  </si>
  <si>
    <t>(F2110) 50A DP SW NEON 1G</t>
  </si>
  <si>
    <t>(F2102) 50A DP SW 'CKR'</t>
  </si>
  <si>
    <t>(F2103) 50A DP SW NEON CKR</t>
  </si>
  <si>
    <t>(F2105) 50A DP SW NEON 'AC'</t>
  </si>
  <si>
    <t>45A DP CCU UNIT</t>
  </si>
  <si>
    <t>(F2012) 45A DP CCU NEON</t>
  </si>
  <si>
    <t>(F2112) 50A DP SW NEON 1G 'CKR</t>
  </si>
  <si>
    <t>(F2111) 50A DP SW NEON 1G  AC</t>
  </si>
  <si>
    <t>KIT OF PARTS FOR M322N</t>
  </si>
  <si>
    <t>KIT OF PARTS FOR M321NS</t>
  </si>
  <si>
    <t>R S 250W ROTARY DIM 2G 3582325</t>
  </si>
  <si>
    <t>R S 250W PUSH DIM 2G 3582331</t>
  </si>
  <si>
    <t>R S 400W PUSH DIM 1G 3582347</t>
  </si>
  <si>
    <t>R S  400W 1G ROTARY DIMMER MLD</t>
  </si>
  <si>
    <t>3A FUSED CONN UNIT NEON</t>
  </si>
  <si>
    <t>1000W 1G 2W PUSH TUNGSTEN</t>
  </si>
  <si>
    <t>1000W 1G 1W TUNGSTEN NON EURO</t>
  </si>
  <si>
    <t>500W 1G 1W TUNGSTEN NON EURO</t>
  </si>
  <si>
    <t>500W 2G 1W TUNGSTEN NON EURO</t>
  </si>
  <si>
    <t>500W 3G 1W TUNGSTEN NON EURO</t>
  </si>
  <si>
    <t>1500W 1G 2W PUSH TUNGSTEN NON-</t>
  </si>
  <si>
    <t>500W 1G FAN CONTROL  NON-EURO</t>
  </si>
  <si>
    <t>(F3002) 13A 1G SKT</t>
  </si>
  <si>
    <t>13A 1G SKT 487211</t>
  </si>
  <si>
    <t>(F3003) 13A 2G SKT</t>
  </si>
  <si>
    <t>13A 2G SKT 487233</t>
  </si>
  <si>
    <t>(F4103) 13A 1G NON-ST SKT CL E</t>
  </si>
  <si>
    <t>(F4102) 13A 1G SKT CLEAN EARTH</t>
  </si>
  <si>
    <t>13A 1G DP SW SKT 2 E TERM NEON</t>
  </si>
  <si>
    <t>1 GANG DP RED 13A SW SOCKET</t>
  </si>
  <si>
    <t>13A 1G DP SW SKT 2 E TERM RED</t>
  </si>
  <si>
    <t>13A 2G DP SW SKT 2 E TERM RED</t>
  </si>
  <si>
    <t>13A 2G DP SW SKT 2 E TERM OB R</t>
  </si>
  <si>
    <t>13A 2G DP SW SKT 2E TERM OB RK</t>
  </si>
  <si>
    <t>13A MOULDED 2 G DP OUTBOARD SW</t>
  </si>
  <si>
    <t>13A 1G DP SW SKT 2 E TERM N-ST</t>
  </si>
  <si>
    <t>1G DP RED NSCE 13A SW SKT RED</t>
  </si>
  <si>
    <t>3 PIN LSC CEILING ASSEMBLY</t>
  </si>
  <si>
    <t>3 PIN LSC CEILING OUTLET</t>
  </si>
  <si>
    <t>CEILING ROSE COVER WHITE</t>
  </si>
  <si>
    <t>3 PIN LSC RE-WIREABLE PLUG</t>
  </si>
  <si>
    <t>3 PIN ASSEMBLY 2MTRS 0.75MM</t>
  </si>
  <si>
    <t>3 PIN ASSEMBLY 2MTRS 1.00MM</t>
  </si>
  <si>
    <t>3 PIN ASSEMBLY 3MTRS 0.75MM</t>
  </si>
  <si>
    <t>3 PIN ASSEMBLY 3MTRS 1.00MM</t>
  </si>
  <si>
    <t>3PIN ASY 1MTR 1.00MM LSF CABLE</t>
  </si>
  <si>
    <t>4 PIN LSC PLUG 2MTRS  1.00MM</t>
  </si>
  <si>
    <t>4 PIN LSC PLUG 3MTRS  1.00MM</t>
  </si>
  <si>
    <t>4 PIN LSC PLUG 4MTRS  1.00MM</t>
  </si>
  <si>
    <t>4 PIN LSC PLUG 5MTRS  1.00MM</t>
  </si>
  <si>
    <t>4 PIN LSC PLUG 3MTS  1.00MM</t>
  </si>
  <si>
    <t>4 PIN LSC PLUG 4MTS  1.00MM</t>
  </si>
  <si>
    <t>4 PIN LSC PLUG 5MTS  1.00MM</t>
  </si>
  <si>
    <t>4 PIN LSC CEILING ASSEMBLY</t>
  </si>
  <si>
    <t>4 PIN LSC CEILING OUTLET</t>
  </si>
  <si>
    <t>4 PIN LSC CEILING ASSY RED CVR</t>
  </si>
  <si>
    <t>CEILING ROSE COVER RED</t>
  </si>
  <si>
    <t>4 PIN LSC RE-WIREABLE PLUG</t>
  </si>
  <si>
    <t>4 PIN LSC RE-WIREABLE PLUG WHI</t>
  </si>
  <si>
    <t>4 PIN ASSY 2MTS 0.75 HR CABLE</t>
  </si>
  <si>
    <t>4 PIN ASSEMBLY 2MTRS 1.00MM</t>
  </si>
  <si>
    <t>4 PIN ASSEMBLY 3MTRS 1.00MM</t>
  </si>
  <si>
    <t>4PIN ASY 1MTR 1.00MM LSF CABLE</t>
  </si>
  <si>
    <t>10G LSC OUTLET UNIT 4 PIN</t>
  </si>
  <si>
    <t>12G LSC OUTLET UNIT 4 PIN</t>
  </si>
  <si>
    <t>6G LSC OUTLET UNIT 4 PIN</t>
  </si>
  <si>
    <t>8G LSC OUTLET UNIT 4 PIN</t>
  </si>
  <si>
    <t>3 PIN LSC 9 INCH PENDANT</t>
  </si>
  <si>
    <t>3 PIN LSC 12 INCH PENDANT</t>
  </si>
  <si>
    <t>3 PIN LSC 9 INCH LAMPACTIVATED</t>
  </si>
  <si>
    <t>obsolete</t>
  </si>
  <si>
    <t>inform customer</t>
  </si>
  <si>
    <t>The alternative or correct reference no. is:</t>
  </si>
  <si>
    <t>Being replaced by</t>
  </si>
  <si>
    <t>No change</t>
  </si>
  <si>
    <t>New Description</t>
  </si>
  <si>
    <t>10A 3 POLE FAN ISOLATOR</t>
  </si>
  <si>
    <t>10A 3 POLE ISOLATOR</t>
  </si>
  <si>
    <t>10A 1G 1W SW 'LIGHT'</t>
  </si>
  <si>
    <t>10A 1G 2W SW ARCH</t>
  </si>
  <si>
    <t>10A 2G 2W SW ARCH</t>
  </si>
  <si>
    <t>10A 2G 2W BRDSW</t>
  </si>
  <si>
    <t>10A 1G DP BRDSW NEON</t>
  </si>
  <si>
    <t xml:space="preserve"> 20A DP SW NEON</t>
  </si>
  <si>
    <t>50A DP SW</t>
  </si>
  <si>
    <t>50A DP SW NEON</t>
  </si>
  <si>
    <t>50A DP SW NEON 1G</t>
  </si>
  <si>
    <t>50A DP SW 'CKR'</t>
  </si>
  <si>
    <t>50A DP SW NEON CKR</t>
  </si>
  <si>
    <t>50A DP SW NEON 'AC'</t>
  </si>
  <si>
    <t>45A DP CCU NEON</t>
  </si>
  <si>
    <t>50A DP SW NEON 1G 'CKR</t>
  </si>
  <si>
    <t>50A DP SW NEON 1G  AC</t>
  </si>
  <si>
    <t>60-500W FAN CONTROLER - NON-EURO</t>
  </si>
  <si>
    <t>13A 2G SKT</t>
  </si>
  <si>
    <t>13A CON UNIT</t>
  </si>
  <si>
    <t>13A CON UNIT RR</t>
  </si>
  <si>
    <t>13A SW CON UNIT CH</t>
  </si>
  <si>
    <t>13A SW CON UNIT DW</t>
  </si>
  <si>
    <t>13A SW CON UNIT EF</t>
  </si>
  <si>
    <t>13A SW CON UNIT NEON REFRIGERATOR</t>
  </si>
  <si>
    <t>13A SW FCU NEON WM</t>
  </si>
  <si>
    <t>13A SW FCU REFRIGERATOR</t>
  </si>
  <si>
    <t>13A SW CON UNIT WM</t>
  </si>
  <si>
    <t>3A CON UNIT</t>
  </si>
  <si>
    <t>3A SW CON UNIT</t>
  </si>
  <si>
    <t>2G TV CO-AX OUT</t>
  </si>
  <si>
    <t>1G TV FM ISO CO-AX</t>
  </si>
  <si>
    <t>2G TV FM DIPLEX CO-AX</t>
  </si>
  <si>
    <t>1G SAT OUT</t>
  </si>
  <si>
    <t>2G TV SAT OUT</t>
  </si>
  <si>
    <t>2G TV-RAD OUT SCR</t>
  </si>
  <si>
    <t>1G AMERICAN TEL OUT</t>
  </si>
  <si>
    <t>6G G PLATE ASSEMBLY MOULDED</t>
  </si>
  <si>
    <t>8G G PLATE ASSEMBLY MOULDED</t>
  </si>
  <si>
    <t>12G G PLATE ASSEMBLY MOULDED</t>
  </si>
  <si>
    <t>18G G PLATE ASSEMBLY METAL</t>
  </si>
  <si>
    <t>24G G PLATE ASSEMBLY METAL</t>
  </si>
  <si>
    <t>10A 1G SW PUSH HP</t>
  </si>
  <si>
    <t>10A 1G SW PUSH SS</t>
  </si>
  <si>
    <t>10A INT SW HP</t>
  </si>
  <si>
    <t>10A INT SW SS</t>
  </si>
  <si>
    <t>10A 1G 2W SW HP</t>
  </si>
  <si>
    <t>10A 2G 2W SW HP</t>
  </si>
  <si>
    <t>10A 3G 2W SW HP</t>
  </si>
  <si>
    <t>10A 3G 2W SW SS</t>
  </si>
  <si>
    <t>10A 3POLE FAN ISO HP</t>
  </si>
  <si>
    <t>10A 3POLE FAN ISO SS</t>
  </si>
  <si>
    <t>20A DP SW NEON SS</t>
  </si>
  <si>
    <t>20A DP SW SS</t>
  </si>
  <si>
    <t>2 MODULE INCLUDES FRAME</t>
  </si>
  <si>
    <t>50A DP SWITCH NEON SS</t>
  </si>
  <si>
    <t>45A DP CCU NEON SS</t>
  </si>
  <si>
    <t>50A DP SW NEON CKR SS</t>
  </si>
  <si>
    <t>13A 1G SKT SS</t>
  </si>
  <si>
    <t>13A 2G SKT SS</t>
  </si>
  <si>
    <t>5A 1G SKT SS</t>
  </si>
  <si>
    <t>13A CON UNIT NEON SS</t>
  </si>
  <si>
    <t>13A CON UNIT SS</t>
  </si>
  <si>
    <t>13A SW CON UNIT HP</t>
  </si>
  <si>
    <t>13A SW FCU NEON HP</t>
  </si>
  <si>
    <t>1G TV CO-AX OUTLET SS</t>
  </si>
  <si>
    <t>2G TV FM DIPLX CO-AX SS</t>
  </si>
  <si>
    <t>1G SAT OUTLET  SS</t>
  </si>
  <si>
    <t>2G TV-SAT CO-AX SS</t>
  </si>
  <si>
    <t>1G TEL OUT MASTER SS</t>
  </si>
  <si>
    <t>1G TEL SECONDARY SS</t>
  </si>
  <si>
    <t>LOUNGE PLATE 4 SKTS, SAT II, RETURN, SEC BT (K4060HP)</t>
  </si>
  <si>
    <t>LOUNGE PLATE 4 SKTS, SAT II, RETURN, SEC BT (K4060SS)</t>
  </si>
  <si>
    <t>LOUNGE PLATE 4 SKTS, SAT II, RETURN, SEC BT, SPARE</t>
  </si>
  <si>
    <t>1 MODULE COVER PLATE</t>
  </si>
  <si>
    <t>2 MODULE COVER PLATE</t>
  </si>
  <si>
    <t>3 MODULE COVER PLATE</t>
  </si>
  <si>
    <t>4 MODULE COVER PLATE</t>
  </si>
  <si>
    <t>6 MODULE COVER PLATE (2 BANKS)</t>
  </si>
  <si>
    <t>8 MODULE COVER PLATE (2 BANKS)</t>
  </si>
  <si>
    <t>12 MODULE COVER PLATE (3 BANKS)</t>
  </si>
  <si>
    <t>18 MODULE COVER PLATE (3 BANKS)</t>
  </si>
  <si>
    <t>24 MODULE COVER PLATE (4 BANKS)</t>
  </si>
  <si>
    <t>HP COVER FOR C220</t>
  </si>
  <si>
    <t>HP COVER FOR C220N</t>
  </si>
  <si>
    <t>PB COVER FOR C220N</t>
  </si>
  <si>
    <t>SB COVER FOR C220N</t>
  </si>
  <si>
    <t>SS COVER FOR C220N</t>
  </si>
  <si>
    <t>PB COVER FOR C220</t>
  </si>
  <si>
    <t>SB COVER FOR C220</t>
  </si>
  <si>
    <t>SS COVER FOR C220</t>
  </si>
  <si>
    <t>HP COVER FOR C221</t>
  </si>
  <si>
    <t>HP COVER FOR C221N HEATER</t>
  </si>
  <si>
    <t>PB COVER FOR C221N HEATER</t>
  </si>
  <si>
    <t>SS COVER FOR C221N HEATER</t>
  </si>
  <si>
    <t>HP COVER FOR C221N</t>
  </si>
  <si>
    <t>PB COVER FOR C221N</t>
  </si>
  <si>
    <t>SB COVER FOR C221N</t>
  </si>
  <si>
    <t>SS COVER FOR C221N</t>
  </si>
  <si>
    <t>PB COVER FOR C221</t>
  </si>
  <si>
    <t>SB COVER FOR C221</t>
  </si>
  <si>
    <t>SS COVER FOR C221</t>
  </si>
  <si>
    <t>HP COVER FOR C401</t>
  </si>
  <si>
    <t>HP COVER FOR C401N</t>
  </si>
  <si>
    <t>PB COVER FOR C401N</t>
  </si>
  <si>
    <t>SB COVER FOR C401N</t>
  </si>
  <si>
    <t>SS COVER FOR C401N</t>
  </si>
  <si>
    <t>PB COVER FOR C401</t>
  </si>
  <si>
    <t>SB COVER FOR C401</t>
  </si>
  <si>
    <t>SS COVER FOR C401</t>
  </si>
  <si>
    <t>HP COVER FOR C401 WATER HEATER</t>
  </si>
  <si>
    <t>HP CVR FOR C401N WATER HEATER</t>
  </si>
  <si>
    <t>PB CVR FOR C401N WATER HEATER</t>
  </si>
  <si>
    <t>SB CVR FOR C401N WATER HEATER</t>
  </si>
  <si>
    <t>SS CVR FOR C401N WATER HEATER</t>
  </si>
  <si>
    <t>SB COVER FOR C401 WATER HEATER</t>
  </si>
  <si>
    <t>SS COVER FOR C401 WATER HEATER</t>
  </si>
  <si>
    <t>HP COVER FOR C415</t>
  </si>
  <si>
    <t>PB COVER FOR C415</t>
  </si>
  <si>
    <t>SB COVER FOR C415</t>
  </si>
  <si>
    <t>SS COVER FOR C415</t>
  </si>
  <si>
    <t>HP COVER FOR C421N</t>
  </si>
  <si>
    <t>PB COVER FOR C421N</t>
  </si>
  <si>
    <t>SB COVER FOR C421N</t>
  </si>
  <si>
    <t>SS COVER FOR C421N</t>
  </si>
  <si>
    <t>HP COVER FOR C422N</t>
  </si>
  <si>
    <t>PB COVER FOR C422N</t>
  </si>
  <si>
    <t>SB COVER FOR C422N</t>
  </si>
  <si>
    <t>SS COVER FOR C422N</t>
  </si>
  <si>
    <t>HP COVER FOR C421N COOKER</t>
  </si>
  <si>
    <t>PB COVER FOR C421N COOKER</t>
  </si>
  <si>
    <t>SB COVER FOR C421N COOKER</t>
  </si>
  <si>
    <t>SS COVER FOR C421N COOKER</t>
  </si>
  <si>
    <t>HP CVR C421N AIR CONDITIONER</t>
  </si>
  <si>
    <t>PB CVR C421N AIR CONDITIONER</t>
  </si>
  <si>
    <t>SB CVR C421N AIR CONDITIONER</t>
  </si>
  <si>
    <t>SS CVR C421N AIR CONDITIONER</t>
  </si>
  <si>
    <t>HP COVER FOR C425</t>
  </si>
  <si>
    <t>HP COVER FOR C425N</t>
  </si>
  <si>
    <t>PB COVER FOR C425N</t>
  </si>
  <si>
    <t>SB COVER FOR C425N</t>
  </si>
  <si>
    <t>SS COVER FOR C425N</t>
  </si>
  <si>
    <t>PB COVER FOR C425</t>
  </si>
  <si>
    <t>SB COVER FOR C425</t>
  </si>
  <si>
    <t>SS COVER FOR C425</t>
  </si>
  <si>
    <t>HP COVER FOR C632 C652</t>
  </si>
  <si>
    <t>PB COVER FOR C632 C652</t>
  </si>
  <si>
    <t>SB COVER FOR C632 C652</t>
  </si>
  <si>
    <t>SS COVER FOR C632 C652</t>
  </si>
  <si>
    <t>1 MODULE</t>
  </si>
  <si>
    <t>2 MODULE</t>
  </si>
  <si>
    <t>3 MODULE</t>
  </si>
  <si>
    <t>4 MODULE</t>
  </si>
  <si>
    <t>BLUE COVER FOR C220</t>
  </si>
  <si>
    <t>BLACK COVER FOR C220</t>
  </si>
  <si>
    <t>GOLD COVER FOR C220</t>
  </si>
  <si>
    <t>GY CVR FOR C220</t>
  </si>
  <si>
    <t>BLUE COVER FOR C220N</t>
  </si>
  <si>
    <t>BLACK COVER FOR C220N</t>
  </si>
  <si>
    <t>GOLD COVER FOR C220N</t>
  </si>
  <si>
    <t>GY CVR FOR C220N</t>
  </si>
  <si>
    <t>SILVER COVER FOR C220N</t>
  </si>
  <si>
    <t>WHITE COVER FOR C220N</t>
  </si>
  <si>
    <t>SILVER COVER FOR C220</t>
  </si>
  <si>
    <t>WHITE COVER FOR C220</t>
  </si>
  <si>
    <t>BLUE COVER FOR C221</t>
  </si>
  <si>
    <t>BLACK COVER FOR C222</t>
  </si>
  <si>
    <t>GOLD COVER FOR C221</t>
  </si>
  <si>
    <t>GY COVER FOR C221</t>
  </si>
  <si>
    <t>BLUE COVER FOR C221N</t>
  </si>
  <si>
    <t>BLACK COVER FOR C221N</t>
  </si>
  <si>
    <t>GOLD COVER FOR C221N</t>
  </si>
  <si>
    <t>GY COVER FOR C221N</t>
  </si>
  <si>
    <t>SILVER COVER FOR C221N</t>
  </si>
  <si>
    <t>WHITE COVER FOR C221N</t>
  </si>
  <si>
    <t>SILVER COVER FOR C221</t>
  </si>
  <si>
    <t>WHITE COVER FOR C221</t>
  </si>
  <si>
    <t>BLUE COVER FOR C401</t>
  </si>
  <si>
    <t>BLACK COVER FOR C401</t>
  </si>
  <si>
    <t>GOLD COVER FOR C401</t>
  </si>
  <si>
    <t>GY COVER FOR C401</t>
  </si>
  <si>
    <t>BLUE COVER FOR C401N</t>
  </si>
  <si>
    <t>BLACK COVER FOR C401N</t>
  </si>
  <si>
    <t>GOLD COVER FOR C401N</t>
  </si>
  <si>
    <t>GREY COVER FOR C401N</t>
  </si>
  <si>
    <t>SILVER COVER FOR C401N</t>
  </si>
  <si>
    <t>WHITE COVER FOR C401N</t>
  </si>
  <si>
    <t>SILVER COVER FOR C401</t>
  </si>
  <si>
    <t>WHITE COVER FOR C401</t>
  </si>
  <si>
    <t>BL CVR FOR C401N WATER HEATER</t>
  </si>
  <si>
    <t>BK CVR FOR C401N WATER HEATER</t>
  </si>
  <si>
    <t>GL CVR FOR C401N WATER HEATER</t>
  </si>
  <si>
    <t>SV CVR FOR C401N WATER HEATER</t>
  </si>
  <si>
    <t>CVR FOR C401N WATER HEATER</t>
  </si>
  <si>
    <t>COVER FOR C401 WATER HEATER</t>
  </si>
  <si>
    <t>BLUE COVER FOR C415</t>
  </si>
  <si>
    <t>BLACK COVER FOR C415</t>
  </si>
  <si>
    <t>GOLD COVER FOR C415</t>
  </si>
  <si>
    <t>GY CVR FOR C415</t>
  </si>
  <si>
    <t>SILVER COVER FOR C415</t>
  </si>
  <si>
    <t>WHITE COVER FOR C415</t>
  </si>
  <si>
    <t>BLUE COVER FOR C421N</t>
  </si>
  <si>
    <t>BLACK COVER FOR C421N</t>
  </si>
  <si>
    <t>GOLD COVER FOR C421N</t>
  </si>
  <si>
    <t>GY COVER FOR C421N</t>
  </si>
  <si>
    <t>SILVER COVER FOR C421N</t>
  </si>
  <si>
    <t>WHITE COVER FOR C421N</t>
  </si>
  <si>
    <t>BLUE COVER FOR C422N</t>
  </si>
  <si>
    <t>BLACK COVER FOR C422N</t>
  </si>
  <si>
    <t>GOLD COVER FOR C422N</t>
  </si>
  <si>
    <t>GY COVER FOR C422N</t>
  </si>
  <si>
    <t>SILVER COVER FOR C422N</t>
  </si>
  <si>
    <t>WHITE COVER FOR C422N</t>
  </si>
  <si>
    <t>BLUE COVER FOR C425</t>
  </si>
  <si>
    <t>BLACK COVER FOR C425</t>
  </si>
  <si>
    <t>GOLD COVER FOR C425</t>
  </si>
  <si>
    <t>GREY COVER FOR C425</t>
  </si>
  <si>
    <t>BLUE COVER FOR C425N</t>
  </si>
  <si>
    <t>BLACK COVER FOR C425N</t>
  </si>
  <si>
    <t>GOLD COVER FOR C425N</t>
  </si>
  <si>
    <t>GY COVER FOR C425N</t>
  </si>
  <si>
    <t>SILVER COVER FOR C425N</t>
  </si>
  <si>
    <t>WHITE COVER FOR C425N</t>
  </si>
  <si>
    <t>SILVER COVER FOR C425</t>
  </si>
  <si>
    <t>WHITE COVER FOR C425</t>
  </si>
  <si>
    <t>BLUE COVER FOR C632 C652</t>
  </si>
  <si>
    <t>BLACK COVER FOR C632 C652</t>
  </si>
  <si>
    <t>GOLD COVER FOR C632 C652</t>
  </si>
  <si>
    <t>GREY COVER FOR C632 C652</t>
  </si>
  <si>
    <t>SILVER COVER FOR C632 C652</t>
  </si>
  <si>
    <t>WHITE COVER FOR C632 C652</t>
  </si>
  <si>
    <t xml:space="preserve"> 10A INT SW SM</t>
  </si>
  <si>
    <t xml:space="preserve"> 10A 2G 2W SW SM</t>
  </si>
  <si>
    <t xml:space="preserve"> 10A 3G 2W SW SM</t>
  </si>
  <si>
    <t xml:space="preserve"> 10A 1G 2W BRDSW SM</t>
  </si>
  <si>
    <t xml:space="preserve"> 10A 3POLE BRDISO SM</t>
  </si>
  <si>
    <t>20A SW SUR DP SM</t>
  </si>
  <si>
    <t>20A DP SW NEON SM</t>
  </si>
  <si>
    <t>50A DP SWITCH SM</t>
  </si>
  <si>
    <t>50A DP SWITCH NEON SM</t>
  </si>
  <si>
    <t xml:space="preserve"> 13A 1G SKT SM</t>
  </si>
  <si>
    <t xml:space="preserve"> 13A 2G SKT SM</t>
  </si>
  <si>
    <t>1G DP LOCKABLE SKT COMM KEY SM</t>
  </si>
  <si>
    <t xml:space="preserve"> 5A 1G SKT SM</t>
  </si>
  <si>
    <t>13A SW CONN UNIT  NEON SM</t>
  </si>
  <si>
    <t>13A SW CONN UNIT NEON RR</t>
  </si>
  <si>
    <t>1G TEL SK MASTER SM</t>
  </si>
  <si>
    <t>1G TEL SK SECONDARY</t>
  </si>
  <si>
    <t>4 MODULE INCLUDES FRAME</t>
  </si>
  <si>
    <t>1 MODULE INCLUDES FRAME</t>
  </si>
  <si>
    <t>3 MODULE INCLUDES FRAME</t>
  </si>
  <si>
    <t>6 MODULE COVER PLATE (2 BANKS) INCLUDES FRAME</t>
  </si>
  <si>
    <t>8 MODULE COVER PLATE (2 BANKS) INCLUDES FRAME</t>
  </si>
  <si>
    <t>12 MODULE COVER PLATE (3 BANKS) INCLUDES FRAME</t>
  </si>
  <si>
    <t>18 MODULE COVER PLATE (3 BANKS) INCLUDES FRAME</t>
  </si>
  <si>
    <t>24 MODULE COVER PLATE (4 BANKS) INCLUDES FRAME</t>
  </si>
  <si>
    <t>1G BLANK PLATE SM</t>
  </si>
  <si>
    <t>2G BLANK PLATE SM</t>
  </si>
  <si>
    <t>BLANK</t>
  </si>
  <si>
    <t>10A 1 WAY</t>
  </si>
  <si>
    <t>10A 2 WAY</t>
  </si>
  <si>
    <t>10A 2 WAY PUSH TO MAKE</t>
  </si>
  <si>
    <t>20A 1 WAY</t>
  </si>
  <si>
    <t>20A 2 WAY</t>
  </si>
  <si>
    <t>20A INTERMEDIATE SWITCH</t>
  </si>
  <si>
    <t xml:space="preserve">20A DOUBLE POLE </t>
  </si>
  <si>
    <t>20A DOUBLE POLE BOILER</t>
  </si>
  <si>
    <t>20A DOUBLE POLE CENTRAL HEATING</t>
  </si>
  <si>
    <t>20A DOUBLE POLE DISH WASHER</t>
  </si>
  <si>
    <t>20A DOUBLE POLE EXTRACT FAN</t>
  </si>
  <si>
    <t xml:space="preserve">20A DOUBLE POLE FRIDGE FREEZER </t>
  </si>
  <si>
    <t>20A DOUBLE POLE FRIDGE</t>
  </si>
  <si>
    <t>20A DOUBLE POLE FREEZER</t>
  </si>
  <si>
    <t>20A DOUBLE POLE HOB</t>
  </si>
  <si>
    <t>20A DOUBLE POLE HOB HOOD</t>
  </si>
  <si>
    <t xml:space="preserve">20A DOUBLE POLE LIGHT </t>
  </si>
  <si>
    <t>20A DOUBLE POLE M/WAVE OVEN</t>
  </si>
  <si>
    <t>20A DOUBLE POLE OVEN</t>
  </si>
  <si>
    <t>20A DOUBLE POLE PLINTH HEATER</t>
  </si>
  <si>
    <t>20A DOUBLE POLE PILOT LIGHT</t>
  </si>
  <si>
    <t>20A DOUBLE POLE TUMBLE DRYER</t>
  </si>
  <si>
    <t>20A DOUBLE POLE TOWEL RAIL</t>
  </si>
  <si>
    <t>20A DOUBLE POLE WASHER DRYER</t>
  </si>
  <si>
    <t>20A DOUBLE POLE WATER HEATER</t>
  </si>
  <si>
    <t>20A DOUBLE POLE WASHING MACHINE</t>
  </si>
  <si>
    <t xml:space="preserve">20A DOUBLE POLE FREEZER </t>
  </si>
  <si>
    <t>20A DOUBLE POLE WITH WASHING MACHINE</t>
  </si>
  <si>
    <t xml:space="preserve">20A DOUBLE POLE PLINTH HEATER </t>
  </si>
  <si>
    <t>20A DOUBLE POLE RED RKR</t>
  </si>
  <si>
    <t>20A DOUBLE POLE WITH WASHER DRYER</t>
  </si>
  <si>
    <t>20A 2WAY CENTRE OFF</t>
  </si>
  <si>
    <t>20A DOUBLE POLE WITH INDICATOR</t>
  </si>
  <si>
    <t>20A DOUBLE POLE HEATER</t>
  </si>
  <si>
    <t>20A DOUBLE POLE WACHINE MACHINE</t>
  </si>
  <si>
    <t>20A KEY SWITCH 2 WAY</t>
  </si>
  <si>
    <t>20A KEY SWITCH 2 WAY PRINTED WITH EMG LGT TEST CHARGE</t>
  </si>
  <si>
    <t>20A KEY SWITCH DOUBLE POLE</t>
  </si>
  <si>
    <t>20A KEY SWITCH DOUBLE POLE PRINTED WITH EMG LGT TEST CHARGE</t>
  </si>
  <si>
    <t>20A KEY SWITCH 2 WAY CENRE OFF BIAS</t>
  </si>
  <si>
    <t>20A DOUBLE POLE PUSH TO BREAK</t>
  </si>
  <si>
    <t>20A DOUBLE POLE PUSH TO MAKE</t>
  </si>
  <si>
    <t>20A KEY SWITCH INTERMEDIATE</t>
  </si>
  <si>
    <t>16A 1 WAY TWIN SWITCH MODULE</t>
  </si>
  <si>
    <t>20A 2WAY CENTRE OFF BIAS</t>
  </si>
  <si>
    <t>RED NEON 230v</t>
  </si>
  <si>
    <t xml:space="preserve">AMBER NEON 230v </t>
  </si>
  <si>
    <t xml:space="preserve">GREEN NEON 230v </t>
  </si>
  <si>
    <t>250W DIMMER UNIVERSAL</t>
  </si>
  <si>
    <t>400W DIMMER UNIVERSAL</t>
  </si>
  <si>
    <t>1000W DIMMER</t>
  </si>
  <si>
    <t>13A FUSE MODULE</t>
  </si>
  <si>
    <t>CABLE OUTLET</t>
  </si>
  <si>
    <t>BUZZER</t>
  </si>
  <si>
    <t>1-10V DIMMER</t>
  </si>
  <si>
    <t>DIMMER KNOB HIGH POLISH</t>
  </si>
  <si>
    <t>DIMMER KNOB BRASS</t>
  </si>
  <si>
    <t>DIMMER KNOB STEEL</t>
  </si>
  <si>
    <t>16A HOTEL ROOM SWITCH</t>
  </si>
  <si>
    <t>SPARE SCREW CAPS-PREMEMA RANGE</t>
  </si>
  <si>
    <t>Product Sector</t>
  </si>
  <si>
    <t>PREMERA PROOF</t>
  </si>
  <si>
    <t>1G 16A  2W SWITCH + NEON IP66</t>
  </si>
  <si>
    <t>2G 16A 2W SWITCH + NEON IP66</t>
  </si>
  <si>
    <t>1G 10A 2W BELL PUSH + NEON IP66</t>
  </si>
  <si>
    <t xml:space="preserve">1G 20A DP +NEON IP66 </t>
  </si>
  <si>
    <t>1G 13A  SWITCHED SOCKET IP56</t>
  </si>
  <si>
    <t>Existing Item Description</t>
  </si>
  <si>
    <t>Product sector</t>
  </si>
  <si>
    <t>50A DP SW NEON 1G COPA PLATE</t>
  </si>
  <si>
    <t>50A DP SW NEON 1G INT BLK</t>
  </si>
  <si>
    <t>50A 1G DP SWITCH NEON</t>
  </si>
  <si>
    <t>50A DP SWITCH NEON COOKER</t>
  </si>
  <si>
    <t>50A DP SWITCH NEON AIR CON</t>
  </si>
  <si>
    <t>45A DP COOKER CONTROL NEON</t>
  </si>
  <si>
    <t>45A DP SWITCH NEON COOKER</t>
  </si>
  <si>
    <t>400W 1G 2W PUSH TUNGSTEN COPA</t>
  </si>
  <si>
    <t>500W 1G 1W RTY TUNGSTEN COPA</t>
  </si>
  <si>
    <t>500W 2G 1W RTY TUNGSTEN COPA</t>
  </si>
  <si>
    <t>500W 1G FAN CONTROLLER NON EU</t>
  </si>
  <si>
    <t>13A 1G SKT</t>
  </si>
  <si>
    <t>13A 1G SKT BLK</t>
  </si>
  <si>
    <t>13A 1G SKT COPA WITH COVER</t>
  </si>
  <si>
    <t>1G DP LOCKABLE SKT COMM KEY</t>
  </si>
  <si>
    <t>1G DP LOCKABLE SKT NON REM ON</t>
  </si>
  <si>
    <t>BLUE COVER FOR C621</t>
  </si>
  <si>
    <t>BLACK COVER FOR C621</t>
  </si>
  <si>
    <t>GOLD COVER FOR C621</t>
  </si>
  <si>
    <t>SILVER COVER FOR C621N</t>
  </si>
  <si>
    <t>BLACK COVER FOR C621N</t>
  </si>
  <si>
    <t>GOLD COVER FOR C621N</t>
  </si>
  <si>
    <t>WHITE COVER FOR C621N</t>
  </si>
  <si>
    <t>SILVER COVER FOR C621</t>
  </si>
  <si>
    <t>WHITE COVER FOR C621</t>
  </si>
  <si>
    <t>BLUE COVER FOR C622</t>
  </si>
  <si>
    <t>BLACK COVER FOR C622</t>
  </si>
  <si>
    <t>GOLD COVER FOR C622</t>
  </si>
  <si>
    <t>BLUE COVER FOR C622N</t>
  </si>
  <si>
    <t>BLACK COVER FOR C622N</t>
  </si>
  <si>
    <t>GOLD COVER FOR C622N</t>
  </si>
  <si>
    <t>SILVER COVER FOR C622N</t>
  </si>
  <si>
    <t>WHITE COVER FOR C622N</t>
  </si>
  <si>
    <t>SILVER COVER FOR C622</t>
  </si>
  <si>
    <t>WHITE COVER FOR C622</t>
  </si>
  <si>
    <t>16A 2 PIN  UNIVERSAL SKT BLK</t>
  </si>
  <si>
    <t>13A 1G DP SW SKT 2 E TERM INT</t>
  </si>
  <si>
    <t>13A 2G DP SW SKT 2 ET OB INT</t>
  </si>
  <si>
    <t>13A 2G DP SW SKT 2 E TERM OB</t>
  </si>
  <si>
    <t>13A 1G DP SW SKT 2 TERM N-STD</t>
  </si>
  <si>
    <t>13A 2G DP SW SKT 2 TERM N-STD</t>
  </si>
  <si>
    <t>13A 1G DP SW SKT COPA INTERIOR</t>
  </si>
  <si>
    <t>13A 1G DP SW SKT COPA INT BK</t>
  </si>
  <si>
    <t>13A 1G DP SW SKT N COPA INT</t>
  </si>
  <si>
    <t>13A 1G DP SW SKT N COPA INT BK</t>
  </si>
  <si>
    <t>13A 1G DP SW SKT N COPA WH CVR</t>
  </si>
  <si>
    <t>13A 1G DP SW SKT COPA WH CVR</t>
  </si>
  <si>
    <t>13A 2G DP SW SKT COPA INTERIOR</t>
  </si>
  <si>
    <t>13A 2G DP SW SKT COPA INT BK</t>
  </si>
  <si>
    <t>13A 2G DP SW SKT N COPA INT</t>
  </si>
  <si>
    <t>13A 2G DP SW SKT N COPA WH CVR</t>
  </si>
  <si>
    <t>13A 2G DP SW SKT COPA WH CVR</t>
  </si>
  <si>
    <t>5A 1G SOCKET BLK</t>
  </si>
  <si>
    <t>15A 1G SP SW SOCKET</t>
  </si>
  <si>
    <t>15A 1G SP SW SOCKET BLK</t>
  </si>
  <si>
    <t>SHVR DUAL V 240 110AC UNIT BLK</t>
  </si>
  <si>
    <t>16A 2 PIN UNIVERSAL SOCKET</t>
  </si>
  <si>
    <t>16A 2 PIN  UNIVERSAL SOCKET</t>
  </si>
  <si>
    <t>13A CONN UNIT</t>
  </si>
  <si>
    <t>13A CONN UNIT INT</t>
  </si>
  <si>
    <t>13A CONN UNIT NEON INT</t>
  </si>
  <si>
    <t>13A CONN UNIT NEON</t>
  </si>
  <si>
    <t>13A SW CONN UNIT</t>
  </si>
  <si>
    <t>13A SW CONN UNIT INT</t>
  </si>
  <si>
    <t>13A SW CONN UNIT NEON</t>
  </si>
  <si>
    <t>13A SW CONN UNIT NEON INT</t>
  </si>
  <si>
    <t>13A SW CONN UNIT NEON BOILER</t>
  </si>
  <si>
    <t>13A SW CONN UNIT NEON C HTG</t>
  </si>
  <si>
    <t>13A SW CONN UNIT NEON DISH</t>
  </si>
  <si>
    <t>13A SW CONN UNIT NEON EXT FAN</t>
  </si>
  <si>
    <t>13A SW CON UNIT NEON FRIDGE</t>
  </si>
  <si>
    <t>13A SW CONN UNIT NEON HOB</t>
  </si>
  <si>
    <t>13A SW CONN UNIT NEON HEATER</t>
  </si>
  <si>
    <t>13A SW CONN UNIT NEON FRIDGE</t>
  </si>
  <si>
    <t>13A SW CONN UNIT NEON TUMBLE</t>
  </si>
  <si>
    <t>13A SW CONN UNIT NEON WASH MC</t>
  </si>
  <si>
    <t>13A SW CONN UNIT FRIDGE</t>
  </si>
  <si>
    <t>13A SW CONN TUMBLE DRYER</t>
  </si>
  <si>
    <t>13A SW CONN UNIT WASH MC</t>
  </si>
  <si>
    <t>1G TV CO-AX OUTLET</t>
  </si>
  <si>
    <t>1G TV CO-AX OUTLET BLK</t>
  </si>
  <si>
    <t>2G TV CO-AX OUTLET</t>
  </si>
  <si>
    <t>2G TV CO-AX OUTLET BLK</t>
  </si>
  <si>
    <t>1G TV FM ISO CO-AX OUTLET</t>
  </si>
  <si>
    <t>1G TV FM ISO CO-AX OUTLET BLK</t>
  </si>
  <si>
    <t>2G TV FM DIPLEX CO-AX OUTLET</t>
  </si>
  <si>
    <t>2G TV FM DIPLEX CO-AX OUTLET B</t>
  </si>
  <si>
    <t>1G SAT OUTLET BLK</t>
  </si>
  <si>
    <t>2G TV SAT OUTLET BLK</t>
  </si>
  <si>
    <t>1G TV RAD SAT RET OUTLET</t>
  </si>
  <si>
    <t>1G TV RAD SAT RET OUTLET BLK</t>
  </si>
  <si>
    <t>1G TV RAD SAT RET OUTLET COVER</t>
  </si>
  <si>
    <t>1G TEL OUTLET MASTER</t>
  </si>
  <si>
    <t>1G TEL OUTLET MASTER BLK</t>
  </si>
  <si>
    <t>1G TEL OUT SECONDARY</t>
  </si>
  <si>
    <t>1G TEL OUT SECONDARY BLK</t>
  </si>
  <si>
    <t>1G AMERICAN TEL OUTLET</t>
  </si>
  <si>
    <t>1G AMERICAN TEL OUTLET BLK</t>
  </si>
  <si>
    <t>HP CVR FOR C011 C017 C021 C461</t>
  </si>
  <si>
    <t>PB CVR FOR C011 C017 C021 C461</t>
  </si>
  <si>
    <t>SB CVR FOR C011 C017 C021 C461</t>
  </si>
  <si>
    <t>SS CVR FOR C011 C017 C021 C461</t>
  </si>
  <si>
    <t>HP COVER FOR C012  C022</t>
  </si>
  <si>
    <t>PB COVER FOR C012  C022</t>
  </si>
  <si>
    <t>SB COVER FOR C012  C022</t>
  </si>
  <si>
    <t>SS COVER FOR C012  C022</t>
  </si>
  <si>
    <t>HP CV FOR C013/23 C032 C041/47</t>
  </si>
  <si>
    <t>PB CV FOR C013/23 C032 C041/47</t>
  </si>
  <si>
    <t>SB CV FOR C013/23 C032 C041/47</t>
  </si>
  <si>
    <t>SS CV FOR C013/23 C032 C041/47</t>
  </si>
  <si>
    <t>HP COVER FOR C014 C024</t>
  </si>
  <si>
    <t>PB COVER FOR C014  C024</t>
  </si>
  <si>
    <t>SB COVER FOR C014  C024</t>
  </si>
  <si>
    <t>SS COVER FOR C014  C024</t>
  </si>
  <si>
    <t>HP COVER FOR C015 BELL SYMBOL</t>
  </si>
  <si>
    <t>HP COVER FOR C015 LIGHT SYMBOL</t>
  </si>
  <si>
    <t>PB COVER FOR C015 LIGHT SYMBOL</t>
  </si>
  <si>
    <t>SS COVER FOR C015 LIGHT SYMBOL</t>
  </si>
  <si>
    <t>10A 1G SW PUSH COPA PLATE PB</t>
  </si>
  <si>
    <t>10A 1G SW PUSH COPA PLATE SB</t>
  </si>
  <si>
    <t>10A 1G SW PUSH COPA PLATE SS</t>
  </si>
  <si>
    <t>HP COVER FOR C026</t>
  </si>
  <si>
    <t>PB COVER FOR C026</t>
  </si>
  <si>
    <t>SB COVER FOR C026</t>
  </si>
  <si>
    <t>SS COVER FOR C026</t>
  </si>
  <si>
    <t>HP COVER FOR C045 BELL SYMBOL</t>
  </si>
  <si>
    <t>PB COVER FOR C045 BELL SYMBOL</t>
  </si>
  <si>
    <t>SB COVER FOR C045 BELL SYMBOL</t>
  </si>
  <si>
    <t>SS COVER FOR C045 BELL SYMBOL</t>
  </si>
  <si>
    <t>HP COVER FOR C048 FAN ISOLATOR</t>
  </si>
  <si>
    <t>PB COVER FOR C048 FAN ISOLATOR</t>
  </si>
  <si>
    <t>SB COVER FOR C048 FAN ISOLATOR</t>
  </si>
  <si>
    <t>SS COVER FOR C048 FAN ISOLATOR</t>
  </si>
  <si>
    <t>HP COVER FOR C049 ISOLATOR</t>
  </si>
  <si>
    <t>PB COVER FOR C049 ISOLATOR</t>
  </si>
  <si>
    <t>SB COVER FOR C049 ISOLATOR</t>
  </si>
  <si>
    <t>SS COVER FOR C049 ISOLATOR</t>
  </si>
  <si>
    <t>HP COVER FOR C111</t>
  </si>
  <si>
    <t>PB COVER FOR C111</t>
  </si>
  <si>
    <t>SB COVER FOR C111</t>
  </si>
  <si>
    <t>SS COVER FOR C111</t>
  </si>
  <si>
    <t>HP COVER FOR C200</t>
  </si>
  <si>
    <t>HP COVER FOR C200N</t>
  </si>
  <si>
    <t>PB COVER FOR C200N</t>
  </si>
  <si>
    <t>SB COVER FOR C200N</t>
  </si>
  <si>
    <t>SS COVER FOR C200N</t>
  </si>
  <si>
    <t>PB COVER FOR C200</t>
  </si>
  <si>
    <t>SB COVER FOR C200</t>
  </si>
  <si>
    <t>SS COVER FOR C200</t>
  </si>
  <si>
    <t>HP COVER FOR C201</t>
  </si>
  <si>
    <t>HP CVR C201N CENTRAL HEATING</t>
  </si>
  <si>
    <t>PB CVR C201N CENTRAL HEATING</t>
  </si>
  <si>
    <t>SB CVR C201N CENTRAL HEATING</t>
  </si>
  <si>
    <t>SS CVR C201N CENTRAL HEATING</t>
  </si>
  <si>
    <t>HP COVER FOR C201N EXTRACT FAN</t>
  </si>
  <si>
    <t>PB COVER FOR C201N EXTRACT FAN</t>
  </si>
  <si>
    <t>SB COVER FOR C201N EXTRACT FAN</t>
  </si>
  <si>
    <t>SS COVER FOR C201N EXTRACT FAN</t>
  </si>
  <si>
    <t>HP COVER FOR C201N HEATER</t>
  </si>
  <si>
    <t>PB COVER FOR C201N HEATER</t>
  </si>
  <si>
    <t>SB COVER FOR C201N HEATER</t>
  </si>
  <si>
    <t>SS COVER FOR C201N HEATER</t>
  </si>
  <si>
    <t>HP COVER FOR C201N</t>
  </si>
  <si>
    <t>PB COVER FOR C201N</t>
  </si>
  <si>
    <t>HP CVR FOR C201N REFRIGERATOR</t>
  </si>
  <si>
    <t>PB CVR FOR C201N REFRIGERATOR</t>
  </si>
  <si>
    <t>SB CVR FOR C201N REFRIGERATOR</t>
  </si>
  <si>
    <t>SS CVR FOR C201N REFRIGERATOR</t>
  </si>
  <si>
    <t>SB COVER FOR C201N</t>
  </si>
  <si>
    <t>SS COVER FOR C201N</t>
  </si>
  <si>
    <t>HP CVR C201N WASHING MACHINE</t>
  </si>
  <si>
    <t>SS CVR C201N WASHING MACHINE</t>
  </si>
  <si>
    <t>PB COVER FOR C201</t>
  </si>
  <si>
    <t>HP COVER FOR C201 REFRIGERATOR</t>
  </si>
  <si>
    <t>PB COVER FOR C201 REFRIGERATOR</t>
  </si>
  <si>
    <t>SB COVER FOR C201 REFRIGERATOR</t>
  </si>
  <si>
    <t>SS COVER FOR C201 REFRIGERATOR</t>
  </si>
  <si>
    <t>SB COVER FOR C201</t>
  </si>
  <si>
    <t>SS COVER FOR C201</t>
  </si>
  <si>
    <t>HP COVER FOR C201 TUMBLE DRYER</t>
  </si>
  <si>
    <t>PB COVER FOR C201 TUMBLE DRYER</t>
  </si>
  <si>
    <t>SB COVER FOR C201 TUMBLE DRYER</t>
  </si>
  <si>
    <t>SS COVER FOR C201 TUMBLE DRYER</t>
  </si>
  <si>
    <t>HP CVR C201 WASHING MACHINE</t>
  </si>
  <si>
    <t>SB CVR C201 WASHING MACHINE</t>
  </si>
  <si>
    <t>SS CVR C201 WASHING MACHINE</t>
  </si>
  <si>
    <t>HP COVER FOR C301</t>
  </si>
  <si>
    <t>HP COVER FOR C301N</t>
  </si>
  <si>
    <t>PB COVER FOR C301N</t>
  </si>
  <si>
    <t>SB COVER FOR C301N</t>
  </si>
  <si>
    <t>SS COVER FOR C301N</t>
  </si>
  <si>
    <t>PB COVER FOR C301</t>
  </si>
  <si>
    <t>SB COVER FOR C301</t>
  </si>
  <si>
    <t>SS COVER FOR C301</t>
  </si>
  <si>
    <t>HP COVER FOR C301 WATER HEATER</t>
  </si>
  <si>
    <t>SS CVR-C301N OVEN DISH WASH SS</t>
  </si>
  <si>
    <t>HP CVR FOR C301N WATER HEATER</t>
  </si>
  <si>
    <t>SS CVR FOR C301N OVEN SS</t>
  </si>
  <si>
    <t>PB CVR FOR C301N WATER HEATER</t>
  </si>
  <si>
    <t>SB CVR FOR C301N WATER HEATER</t>
  </si>
  <si>
    <t>SS CVR FOR C301N WATER HEATER</t>
  </si>
  <si>
    <t>PB COVER FOR C301 WATER HEATER</t>
  </si>
  <si>
    <t>SB COVER FOR C301 WATER HEATER</t>
  </si>
  <si>
    <t>SS COVER FOR C301 WATER HEATER</t>
  </si>
  <si>
    <t>HP COVER FOR C305</t>
  </si>
  <si>
    <t>PB COVER FOR C305</t>
  </si>
  <si>
    <t>SB COVER FOR C305</t>
  </si>
  <si>
    <t>SS COVER FOR C305</t>
  </si>
  <si>
    <t>HP COVER FOR C315</t>
  </si>
  <si>
    <t>PB COVER FOR C315</t>
  </si>
  <si>
    <t>SB COVER FOR C315</t>
  </si>
  <si>
    <t>SS COVER FOR C315</t>
  </si>
  <si>
    <t>HP COVER FOR C321N</t>
  </si>
  <si>
    <t>PB COVER FOR C321N</t>
  </si>
  <si>
    <t>SB COVER FOR C321N</t>
  </si>
  <si>
    <t>SS COVER FOR C321N</t>
  </si>
  <si>
    <t>HP COVER FOR C322N</t>
  </si>
  <si>
    <t>PB COVER FOR C322N</t>
  </si>
  <si>
    <t>SB COVER FOR C322N</t>
  </si>
  <si>
    <t>SS COVER FOR C322N</t>
  </si>
  <si>
    <t>HP COVER FOR C321N COOKER</t>
  </si>
  <si>
    <t>PB COVER FOR C321N COOKER</t>
  </si>
  <si>
    <t>SB COVER FOR C321N COOKER</t>
  </si>
  <si>
    <t>SS COVER FOR C321N COOKER</t>
  </si>
  <si>
    <t>HP CVR C321N AIR CONDITIONER</t>
  </si>
  <si>
    <t>PB CVR C321N AIR CONDITIONER</t>
  </si>
  <si>
    <t>SB CVR C321N AIR CONDITIONER</t>
  </si>
  <si>
    <t>SS CVR C321N AIR CONDITIONER</t>
  </si>
  <si>
    <t>HP COVER FOR C325</t>
  </si>
  <si>
    <t>HP COVER FOR C325N</t>
  </si>
  <si>
    <t>PB COVER FOR C325N</t>
  </si>
  <si>
    <t>SB COVER FOR C325N</t>
  </si>
  <si>
    <t>SS COVER FOR C325N</t>
  </si>
  <si>
    <t>PB COVER FOR C325</t>
  </si>
  <si>
    <t>SB COVER FOR C325</t>
  </si>
  <si>
    <t>SS COVER FOR C325</t>
  </si>
  <si>
    <t>HP CV C351/3/5  ALL 1G DIMMERS</t>
  </si>
  <si>
    <t>PB CV C351/3/5 ALL 1G DIMMERS</t>
  </si>
  <si>
    <t>SB CV C351/3/5  ALL 1G DIMMERS</t>
  </si>
  <si>
    <t>SS CV C351/3/5  ALL 1G DIMMERS</t>
  </si>
  <si>
    <t>HP COVER FOR C352  C354  C356</t>
  </si>
  <si>
    <t>PB COVER FOR C352 C354 C356</t>
  </si>
  <si>
    <t>SB COVER FOR C352  C354  C356</t>
  </si>
  <si>
    <t>SS COVER FOR C352  C354  C356</t>
  </si>
  <si>
    <t>HP COVER FOR C359</t>
  </si>
  <si>
    <t>PB COVER FOR C359</t>
  </si>
  <si>
    <t>SB COVER FOR C359</t>
  </si>
  <si>
    <t>SS COVER FOR C359</t>
  </si>
  <si>
    <t>HP COVER C360 C361 C362 C363</t>
  </si>
  <si>
    <t>PB COVER C360 C361 C362 C363</t>
  </si>
  <si>
    <t>SB COVER C360 C361 C362 C363</t>
  </si>
  <si>
    <t>SS COVER C360 C361 C362 C363</t>
  </si>
  <si>
    <t>HP COVER FOR C370</t>
  </si>
  <si>
    <t>PB COVER FOR C370</t>
  </si>
  <si>
    <t>SB COVER FOR C370</t>
  </si>
  <si>
    <t>SS COVER FOR C370</t>
  </si>
  <si>
    <t>HP COVER FOR C391</t>
  </si>
  <si>
    <t>PB COVER FOR C391</t>
  </si>
  <si>
    <t>SB COVER FOR C391</t>
  </si>
  <si>
    <t>SS COVER FOR C391</t>
  </si>
  <si>
    <t>HP COVER FOR C392</t>
  </si>
  <si>
    <t>PB COVER FOR C392</t>
  </si>
  <si>
    <t>SB COVER FOR C392</t>
  </si>
  <si>
    <t>SS COVER FOR C392</t>
  </si>
  <si>
    <t>HP COVER FOR C511  C521  C551</t>
  </si>
  <si>
    <t>PB COVER FOR C511 C521 C551</t>
  </si>
  <si>
    <t>SB COVER FOR C511  C521  C551</t>
  </si>
  <si>
    <t>SS COVER FOR C511  C521  C551</t>
  </si>
  <si>
    <t>HP COVER FOR C512  C522</t>
  </si>
  <si>
    <t>PB COVER FOR C512 C522</t>
  </si>
  <si>
    <t>SB COVER FOR C512  C522</t>
  </si>
  <si>
    <t>SS COVER FOR C512  C522</t>
  </si>
  <si>
    <t>HP COVER FOR C532 C552</t>
  </si>
  <si>
    <t>PB COVER FOR C532 C552</t>
  </si>
  <si>
    <t>SB COVER FOR C532 C552</t>
  </si>
  <si>
    <t>SS COVER FOR C532 C552</t>
  </si>
  <si>
    <t>COVER FOR C621</t>
  </si>
  <si>
    <t>COVER FOR C621N</t>
  </si>
  <si>
    <t>COVER FOR C622</t>
  </si>
  <si>
    <t>COVER FOR C622N</t>
  </si>
  <si>
    <t>HP COVER FOR C801</t>
  </si>
  <si>
    <t>PB COVER FOR C801</t>
  </si>
  <si>
    <t>SB COVER FOR C801</t>
  </si>
  <si>
    <t>SS COVER FOR C801</t>
  </si>
  <si>
    <t>HP COVER FOR C802</t>
  </si>
  <si>
    <t>PB COVER FOR C802</t>
  </si>
  <si>
    <t>SB COVER FOR C802</t>
  </si>
  <si>
    <t>SS COVER FOR C802</t>
  </si>
  <si>
    <t>HP COVER FOR C803</t>
  </si>
  <si>
    <t>PB COVER FOR C803</t>
  </si>
  <si>
    <t>SB COVER FOR C803</t>
  </si>
  <si>
    <t>SS COVER FOR C803</t>
  </si>
  <si>
    <t>HP COVER FOR C804</t>
  </si>
  <si>
    <t>PB COVER FOR C804</t>
  </si>
  <si>
    <t>SB COVER FOR C804</t>
  </si>
  <si>
    <t>SS COVER FOR C804</t>
  </si>
  <si>
    <t>HP COVER FOR C851</t>
  </si>
  <si>
    <t>PB COVER FOR C851</t>
  </si>
  <si>
    <t>SB COVER FOR C851</t>
  </si>
  <si>
    <t>SS COVER FOR C851</t>
  </si>
  <si>
    <t>HP COVER FOR C852</t>
  </si>
  <si>
    <t>PB COVER FOR C852</t>
  </si>
  <si>
    <t>SB COVER FOR C852</t>
  </si>
  <si>
    <t>SS COVER FOR C852</t>
  </si>
  <si>
    <t>COVER FOR C881</t>
  </si>
  <si>
    <t>COVER FOR C882</t>
  </si>
  <si>
    <t>COVER FOR C884</t>
  </si>
  <si>
    <t>HP COVER FOR C9132  C9552</t>
  </si>
  <si>
    <t>PB COVER FOR C9132 C9552</t>
  </si>
  <si>
    <t>SB COVER FOR C9132  C9552</t>
  </si>
  <si>
    <t>SS COVER FOR C9132  C9552</t>
  </si>
  <si>
    <t>HP COVER FOR C9133</t>
  </si>
  <si>
    <t>PB COVER FOR C9133</t>
  </si>
  <si>
    <t>SB COVER FOR C9133</t>
  </si>
  <si>
    <t>SS COVER FOR C9133</t>
  </si>
  <si>
    <t>HP COVER FOR C9134</t>
  </si>
  <si>
    <t>PB COVER FOR C9134</t>
  </si>
  <si>
    <t>SB COVER FOR C9134</t>
  </si>
  <si>
    <t>SS COVER FOR C9134</t>
  </si>
  <si>
    <t>BL CVR FOR C011 C017 C021 C461</t>
  </si>
  <si>
    <t>BK CVR FOR C011 C017 C021 C461</t>
  </si>
  <si>
    <t>GL CVR FOR C011 C017 C021 C461</t>
  </si>
  <si>
    <t>GY CVR FOR C011 C017 C021 C461</t>
  </si>
  <si>
    <t>SV CVR FOR C011 C017 C021 C461</t>
  </si>
  <si>
    <t>WH CVR FOR C011 C017 C021 C461</t>
  </si>
  <si>
    <t>BLUE COVER FOR C012  C022</t>
  </si>
  <si>
    <t>BLACK COVER FOR C012  C022</t>
  </si>
  <si>
    <t>GOLD COVER FOR C012  C022</t>
  </si>
  <si>
    <t>GY COVER FOR C012  C022</t>
  </si>
  <si>
    <t>SILVER COVER FOR C012  C022</t>
  </si>
  <si>
    <t>WHITE COVER FOR C012  C022</t>
  </si>
  <si>
    <t>BL CV FOR C013/23 C032 C041/47</t>
  </si>
  <si>
    <t>BM CV FOR C013/23 C032 C041/47</t>
  </si>
  <si>
    <t>GL CV FOR C013/23 C032 C041/47</t>
  </si>
  <si>
    <t>GY CV FOR C013/23 C032 C041/47</t>
  </si>
  <si>
    <t>SV CV FOR C013/23 C032 C041/47</t>
  </si>
  <si>
    <t>WH CV FOR C013/23 C032 C041/47</t>
  </si>
  <si>
    <t>BLUE COVER FOR C014  C024</t>
  </si>
  <si>
    <t>BLACK COVER FOR C014  C024</t>
  </si>
  <si>
    <t>GOLD COVER FOR C014  C024</t>
  </si>
  <si>
    <t>GY CVR FOR C014 C024</t>
  </si>
  <si>
    <t>SILVER COVER FOR C014  C024</t>
  </si>
  <si>
    <t>WHITE COVER FOR C014  C024</t>
  </si>
  <si>
    <t>BL COVER FOR C015 BELL SYMBOL</t>
  </si>
  <si>
    <t>BK COVER FOR C015 BELL SYMBOL</t>
  </si>
  <si>
    <t>GL COVER FOR C015 BELL SYMBOL</t>
  </si>
  <si>
    <t>GY CVR FOR C015GY</t>
  </si>
  <si>
    <t>BL COVER FOR C015 LIGHT SYMBOL</t>
  </si>
  <si>
    <t>BK COVER FOR C015 LIGHT SYMBOL</t>
  </si>
  <si>
    <t>GL COVER FOR C015 LIGHT SYMBOL</t>
  </si>
  <si>
    <t>GY CVR FOR C015 LIGHT SYMBOL</t>
  </si>
  <si>
    <t>SV COVER FOR C015 LIGHT SYMBOL</t>
  </si>
  <si>
    <t>WH COVER FOR C015 LIGHT SYMBOL</t>
  </si>
  <si>
    <t>SV COVER FOR C015 BELL SYMBOL</t>
  </si>
  <si>
    <t>WH COVER FOR C015 BELL SYMBOL</t>
  </si>
  <si>
    <t>BLUE COVER FOR C026</t>
  </si>
  <si>
    <t>BLACK COVER FOR C026</t>
  </si>
  <si>
    <t>GOLD COVER FOR C026</t>
  </si>
  <si>
    <t>GY COVER FOR C026</t>
  </si>
  <si>
    <t>SILVER COVER FOR C026</t>
  </si>
  <si>
    <t>WHITE COVER FOR C026</t>
  </si>
  <si>
    <t>BL COVER FOR C045 BELL SYMBOL</t>
  </si>
  <si>
    <t>BK COVER FOR C045 BELL SYMBOL</t>
  </si>
  <si>
    <t>GL COVER FOR C045 BELL SYMBOL</t>
  </si>
  <si>
    <t>GY COVER FOR C045 BELL SYMBOL</t>
  </si>
  <si>
    <t>SV COVER FOR C045 BELL SYMBOL</t>
  </si>
  <si>
    <t>WH COVER FOR C045 BELL SYMBOL</t>
  </si>
  <si>
    <t>BL COVER FOR C048 FAN ISOLATOR</t>
  </si>
  <si>
    <t>BK COVER FOR C048 FAN ISOLATOR</t>
  </si>
  <si>
    <t>GL COVER FOR C048 FAN ISOLATOR</t>
  </si>
  <si>
    <t>GY COVER FOR C048 FAN ISOLATOR</t>
  </si>
  <si>
    <t>SV COVER FOR C048 FAN ISOLATOR</t>
  </si>
  <si>
    <t>WH COVER FOR C048 FAN ISOLATOR</t>
  </si>
  <si>
    <t>BLUE COVER FOR C049 ISOLATOR</t>
  </si>
  <si>
    <t>BLACK COVER FOR C049 ISOLATOR</t>
  </si>
  <si>
    <t>GOLD COVER FOR C049 ISOLATOR</t>
  </si>
  <si>
    <t>SILVER COVER FOR C049 ISOLATOR</t>
  </si>
  <si>
    <t>WHITE COVER FOR C049 ISOLATOR</t>
  </si>
  <si>
    <t>BLUE COVER FOR C111</t>
  </si>
  <si>
    <t>BLACK COVER FOR C111</t>
  </si>
  <si>
    <t>GOLD COVER FOR C111</t>
  </si>
  <si>
    <t>GY CVR FOR C111</t>
  </si>
  <si>
    <t>SILVER COVER FOR C111</t>
  </si>
  <si>
    <t>WHITE COVER FOR C111</t>
  </si>
  <si>
    <t>BLUE COVER FOR C200</t>
  </si>
  <si>
    <t>BLACK COVER FOR C200</t>
  </si>
  <si>
    <t>GOLD COVER FOR C200</t>
  </si>
  <si>
    <t>GY CVR FOR C200</t>
  </si>
  <si>
    <t>BLUE COVER FOR C200N</t>
  </si>
  <si>
    <t>BLACK COVER FOR C200N</t>
  </si>
  <si>
    <t>GOLD COVER FOR C200N</t>
  </si>
  <si>
    <t>GY CVR FOR C200N</t>
  </si>
  <si>
    <t>SILVER COVER FOR C200N</t>
  </si>
  <si>
    <t>WHITE COVER FOR C200N</t>
  </si>
  <si>
    <t>SILVER COVER FOR C200</t>
  </si>
  <si>
    <t>WHITE COVER FOR C200</t>
  </si>
  <si>
    <t>BLUE COVER FOR C201</t>
  </si>
  <si>
    <t>13A SW CONN UNIT BLACK</t>
  </si>
  <si>
    <t>GOLD COVER FOR C201</t>
  </si>
  <si>
    <t>GY COVER FOR C201</t>
  </si>
  <si>
    <t>BLUE COVER FOR C201N</t>
  </si>
  <si>
    <t>13A SW CONN UNIT NEON BLACK</t>
  </si>
  <si>
    <t>BL CVR C201N CENTRAL HEATING</t>
  </si>
  <si>
    <t>BK CVR C201N CENTRAL HEATING</t>
  </si>
  <si>
    <t>GL CVR C201N CENTRAL HEATING</t>
  </si>
  <si>
    <t>SV CVR C201N CENTRAL HEATING</t>
  </si>
  <si>
    <t>WH CVR C201N CENTRAL HEATING</t>
  </si>
  <si>
    <t>BL COVER FOR C201N EXTRACT FAN</t>
  </si>
  <si>
    <t>BK COVER FOR C201N EXTRACT FAN</t>
  </si>
  <si>
    <t>GL COVER FOR C201N EXTRACT FAN</t>
  </si>
  <si>
    <t>SV COVER FOR C201N EXTRACT FAN</t>
  </si>
  <si>
    <t>WH COVER FOR C201N EXTRACT FAN</t>
  </si>
  <si>
    <t>GOLD COVER FOR C201N</t>
  </si>
  <si>
    <t>GY COVER FOR C201N</t>
  </si>
  <si>
    <t>BLUE COVER FOR C201N HEATER</t>
  </si>
  <si>
    <t>BLACK COVER FOR C201N HEATER</t>
  </si>
  <si>
    <t>GOLD COVER FOR C201N HEATER</t>
  </si>
  <si>
    <t>SILVER COVER FOR C201N HEATER</t>
  </si>
  <si>
    <t>WHITE COVER FOR C201N HEATER</t>
  </si>
  <si>
    <t>BL CVR FOR C201N REFRIGERATOR</t>
  </si>
  <si>
    <t>BK CVR FOR C201N REFRIGERATOR</t>
  </si>
  <si>
    <t>GL CVR FOR C201N REFRIGERATOR</t>
  </si>
  <si>
    <t>SV CVR FOR C201N REFRIGERATOR</t>
  </si>
  <si>
    <t>WH CVR FOR C201N REFRIGERATOR</t>
  </si>
  <si>
    <t>SILVER COVER FOR C201N</t>
  </si>
  <si>
    <t>WHITE COVER FOR C201N</t>
  </si>
  <si>
    <t>BL CVR C201N WASHING MACHINE</t>
  </si>
  <si>
    <t>BK CVR C201N WASHING MACHINE</t>
  </si>
  <si>
    <t>GL CVR C201N WASHING MACHINE</t>
  </si>
  <si>
    <t>WH CVR C201N WASHING MACHINE</t>
  </si>
  <si>
    <t>BL COVER FOR C201 REFRIGERATOR</t>
  </si>
  <si>
    <t>BK COVER FOR C201 REFRIGERATOR</t>
  </si>
  <si>
    <t>GL COVER FOR C201 REFRIGERATOR</t>
  </si>
  <si>
    <t>SV COVER FOR C201 REFRIGERATOR</t>
  </si>
  <si>
    <t>WH COVER FOR C201 REFRIGERATOR</t>
  </si>
  <si>
    <t>SILVER COVER FOR C201</t>
  </si>
  <si>
    <t>BL COVER FOR C201 TUMBLE DRYER</t>
  </si>
  <si>
    <t>BK COVER FOR C201 TUMBLE DRYER</t>
  </si>
  <si>
    <t>GL COVER FOR C201 TUMBLE DRYER</t>
  </si>
  <si>
    <t>SV COVER FOR C201 TUMBLE DRYER</t>
  </si>
  <si>
    <t>WH COVER FOR C201 TUMBLE DRYER</t>
  </si>
  <si>
    <t>WHITE COVER FOR C201</t>
  </si>
  <si>
    <t>BL CVR C201 WASHING MACHINE</t>
  </si>
  <si>
    <t>BK CVR C201 WASHING MACHINE</t>
  </si>
  <si>
    <t>GL CVR C201 WASHING MACHINE</t>
  </si>
  <si>
    <t>WH CVR C201 WASHING MACHINE</t>
  </si>
  <si>
    <t>BLUE COVER FOR C301</t>
  </si>
  <si>
    <t>BLACK COVER FOR C301</t>
  </si>
  <si>
    <t>GOLD COVER FOR C301</t>
  </si>
  <si>
    <t>GY COVER FOR C301</t>
  </si>
  <si>
    <t>BLUE COVER FOR C301N</t>
  </si>
  <si>
    <t>BLACK COVER FOR C301N</t>
  </si>
  <si>
    <t>GOLD COVER FOR C301N</t>
  </si>
  <si>
    <t>GREY COVER FOR C301N</t>
  </si>
  <si>
    <t>SILVER COVER FOR C301N</t>
  </si>
  <si>
    <t>WHITE COVER FOR C301N</t>
  </si>
  <si>
    <t>SILVER COVER FOR C301</t>
  </si>
  <si>
    <t>WHITE COVER FOR C301</t>
  </si>
  <si>
    <t>BL COVER FOR C301 WATER HEATER</t>
  </si>
  <si>
    <t>BK COVER FOR C301 WATER HEATER</t>
  </si>
  <si>
    <t>GL COVER FOR C301 WATER HEATER</t>
  </si>
  <si>
    <t>BL CVR FOR C301N WATER HEATER</t>
  </si>
  <si>
    <t>BK CVR FOR C301N WATER HEATER</t>
  </si>
  <si>
    <t>GL CVR FOR C301N WATER HEATER</t>
  </si>
  <si>
    <t>SV CVR FOR C301N WATER HEATER</t>
  </si>
  <si>
    <t>CVR FOR C301N WATER HEATER</t>
  </si>
  <si>
    <t>SV COVER FOR C301 WATER HEATER</t>
  </si>
  <si>
    <t>COVER FOR C301 WATER HEATER</t>
  </si>
  <si>
    <t>BLUE COVER FOR C305</t>
  </si>
  <si>
    <t>BLACK COVER FOR C305</t>
  </si>
  <si>
    <t>GOLD COVER FOR C305</t>
  </si>
  <si>
    <t>GY CVR FOR C305</t>
  </si>
  <si>
    <t>SILVER COVER FOR C305</t>
  </si>
  <si>
    <t>WHITE COVER FOR C305</t>
  </si>
  <si>
    <t>BLUE COVER FOR C315</t>
  </si>
  <si>
    <t>BLACK COVER FOR C315</t>
  </si>
  <si>
    <t>GOLD COVER FOR C315</t>
  </si>
  <si>
    <t>GY CVR FOR C315</t>
  </si>
  <si>
    <t>SILVER COVER FOR C315</t>
  </si>
  <si>
    <t>WHITE COVER FOR C315</t>
  </si>
  <si>
    <t>BLUE COVER FOR C321N</t>
  </si>
  <si>
    <t>BLACK COVER FOR C321N</t>
  </si>
  <si>
    <t>GOLD COVER FOR C321N</t>
  </si>
  <si>
    <t>GY COVER FOR C321N</t>
  </si>
  <si>
    <t>SILVER COVER FOR C321N</t>
  </si>
  <si>
    <t>WHITE COVER FOR C321N</t>
  </si>
  <si>
    <t>BLUE COVER FOR C322N</t>
  </si>
  <si>
    <t>BLACK COVER FOR C322N</t>
  </si>
  <si>
    <t>GOLD COVER FOR C322N</t>
  </si>
  <si>
    <t>GY COVER FOR C322N</t>
  </si>
  <si>
    <t>SILVER COVER FOR C322N</t>
  </si>
  <si>
    <t>WHITE COVER FOR C322N</t>
  </si>
  <si>
    <t>BLUE COVER FOR C321N COOKER</t>
  </si>
  <si>
    <t>BLACK COVER FOR C321N COOKER</t>
  </si>
  <si>
    <t>GOLD COVER FOR C321N COOKER</t>
  </si>
  <si>
    <t>GY COVER FOR C321N COOKER</t>
  </si>
  <si>
    <t>SILVER COVER FOR C321N COOKER</t>
  </si>
  <si>
    <t>WHITE COVER FOR C321N COOKER</t>
  </si>
  <si>
    <t>BL CVR C321N AIR CONDITIONER</t>
  </si>
  <si>
    <t>BK CVR C321N AIR CONDITIONER</t>
  </si>
  <si>
    <t>GL CVR C321N AIR CONDITIONER</t>
  </si>
  <si>
    <t>SV CVR C321N AIR CONDITIONER</t>
  </si>
  <si>
    <t>WH CVR C321N AIR CONDITIONER</t>
  </si>
  <si>
    <t>BLUE COVER FOR C325</t>
  </si>
  <si>
    <t>BLACK COVER FOR C325</t>
  </si>
  <si>
    <t>GOLD COVER FOR C325</t>
  </si>
  <si>
    <t>GREY COVER FOR C325</t>
  </si>
  <si>
    <t>BLUE COVER FOR C325N</t>
  </si>
  <si>
    <t>BLACK COVER FOR C325N</t>
  </si>
  <si>
    <t>GOLD COVER FOR C325N</t>
  </si>
  <si>
    <t>GY COVER FOR C325N</t>
  </si>
  <si>
    <t>SILVER COVER FOR C325N</t>
  </si>
  <si>
    <t>WHITE COVER FOR C325N</t>
  </si>
  <si>
    <t>SILVER COVER FOR C325</t>
  </si>
  <si>
    <t>WHITE COVER FOR C325</t>
  </si>
  <si>
    <t>BL CV C351/3/5  ALL 1G DIMMERS</t>
  </si>
  <si>
    <t>BM CV C351/3/5  ALL 1G DIMMERS</t>
  </si>
  <si>
    <t>GL CV C351/3/5  ALL 1G DIMMERS</t>
  </si>
  <si>
    <t>GREY CVR C351/3/5 &amp; 1G DIMMERS</t>
  </si>
  <si>
    <t>SV CV C351/3/5  ALL 1G DIMMERS</t>
  </si>
  <si>
    <t>WH CV C351/3/5  ALL 1G DIMMERS</t>
  </si>
  <si>
    <t>BL COVER FOR C352  C354  C356</t>
  </si>
  <si>
    <t>BK COVER FOR C352  C354  C356</t>
  </si>
  <si>
    <t>GL COVER FOR C352  C354  C356</t>
  </si>
  <si>
    <t>GY CVR FOR C352/4/6</t>
  </si>
  <si>
    <t>SV COVER FOR C352  C354  C356</t>
  </si>
  <si>
    <t>WH COVER FOR C352  C354  C356</t>
  </si>
  <si>
    <t>BLUE COVER FOR C359</t>
  </si>
  <si>
    <t>BLACK COVER FOR C359</t>
  </si>
  <si>
    <t>GOLD COVER FOR C359</t>
  </si>
  <si>
    <t>GY CVR FOR C359</t>
  </si>
  <si>
    <t>SILVER COVER FOR C359</t>
  </si>
  <si>
    <t>WHITE COVER FOR C359</t>
  </si>
  <si>
    <t>BLUE CVR C360  C361 C362 C363</t>
  </si>
  <si>
    <t>BLACK CVR C360  C361 C362 C363</t>
  </si>
  <si>
    <t>GOLD CVR C360  C361 C362 C363</t>
  </si>
  <si>
    <t>GY CVR FOR C360 C361</t>
  </si>
  <si>
    <t>SILVER CV C360  C361 C362 C363</t>
  </si>
  <si>
    <t>WHITE CVR C360  C361 C362 C363</t>
  </si>
  <si>
    <t>BLUE COVER FOR C370</t>
  </si>
  <si>
    <t>BLACK COVER FOR C370</t>
  </si>
  <si>
    <t>GOLD COVER FOR C370</t>
  </si>
  <si>
    <t>GY CVR FOR C370</t>
  </si>
  <si>
    <t>SILVER COVER FOR C370</t>
  </si>
  <si>
    <t>WHITE COVER FOR C370</t>
  </si>
  <si>
    <t>BLUE COVER FOR C391</t>
  </si>
  <si>
    <t>BLACK COVER FOR C391</t>
  </si>
  <si>
    <t>GOLD COVER FOR C391</t>
  </si>
  <si>
    <t>GY CVR FOR C391</t>
  </si>
  <si>
    <t>SILVER COVER FOR C391</t>
  </si>
  <si>
    <t>WHITE COVER FOR C391</t>
  </si>
  <si>
    <t>BLUE COVER FOR C392</t>
  </si>
  <si>
    <t>BLACK COVER FOR C392</t>
  </si>
  <si>
    <t>GOLD COVER FOR C392</t>
  </si>
  <si>
    <t>GY CVR FOR C392</t>
  </si>
  <si>
    <t>SILVER COVER FOR C392</t>
  </si>
  <si>
    <t>WHITE COVER FOR C392</t>
  </si>
  <si>
    <t>BL COVER FOR C511  C521  C551</t>
  </si>
  <si>
    <t>BK COVER FOR C511  C521  C551</t>
  </si>
  <si>
    <t>GL COVER FOR C511  C521  C551</t>
  </si>
  <si>
    <t>GY COVER FOR C511  C521  C551</t>
  </si>
  <si>
    <t>SV COVER FOR C511  C521  C551</t>
  </si>
  <si>
    <t>WH COVER FOR C511  C521  C551</t>
  </si>
  <si>
    <t>BL COVER FOR C512  C522</t>
  </si>
  <si>
    <t>BK COVER FOR C512  C522</t>
  </si>
  <si>
    <t>GL COVER FOR C512  C522</t>
  </si>
  <si>
    <t>GY COVER FOR C512  C522</t>
  </si>
  <si>
    <t>SV COVER FOR C512  C522</t>
  </si>
  <si>
    <t>WH COVER FOR C512  C522</t>
  </si>
  <si>
    <t>BLUE COVER FOR C532 C552</t>
  </si>
  <si>
    <t>BLACK COVER FOR C532 C552</t>
  </si>
  <si>
    <t>GOLD COVER FOR C532 C552</t>
  </si>
  <si>
    <t>GREY COVER FOR C532 C552</t>
  </si>
  <si>
    <t>SILVER COVER FOR C532 C552</t>
  </si>
  <si>
    <t>WHITE COVER FOR C532 C552</t>
  </si>
  <si>
    <t>GY CVR FOR C621</t>
  </si>
  <si>
    <t>GY CVR FOR C621N</t>
  </si>
  <si>
    <t>GY CVR FOR C622</t>
  </si>
  <si>
    <t>GY CVR FOR C622N</t>
  </si>
  <si>
    <t>BLUE COVER FOR C801</t>
  </si>
  <si>
    <t>BLACK COVER FOR C801</t>
  </si>
  <si>
    <t>GOLD COVER FOR C801</t>
  </si>
  <si>
    <t>GREY COVER FOR C801</t>
  </si>
  <si>
    <t>SILVER COVER FOR C801</t>
  </si>
  <si>
    <t>WHITE COVER FOR C801</t>
  </si>
  <si>
    <t>BLUE COVER FOR C802</t>
  </si>
  <si>
    <t>BLACK COVER FOR C802</t>
  </si>
  <si>
    <t>GOLD COVER FOR C802</t>
  </si>
  <si>
    <t>GREY COVER FOR C802</t>
  </si>
  <si>
    <t>SILVER COVER FOR C802</t>
  </si>
  <si>
    <t>WHITE COVER FOR C802</t>
  </si>
  <si>
    <t>BLUE COVER FOR C803</t>
  </si>
  <si>
    <t>BLACK COVER FOR C803</t>
  </si>
  <si>
    <t>GOLD COVER FOR C803</t>
  </si>
  <si>
    <t>GREY COVER FOR C803</t>
  </si>
  <si>
    <t>SILVER COVER FOR C803</t>
  </si>
  <si>
    <t>WHITE COVER FOR C803</t>
  </si>
  <si>
    <t>BLUE COVER FOR C804</t>
  </si>
  <si>
    <t>BLACK COVER FOR C804</t>
  </si>
  <si>
    <t>GOLD COVER FOR C804</t>
  </si>
  <si>
    <t>GREY COVER FOR C804</t>
  </si>
  <si>
    <t>SILVER COVER FOR C804</t>
  </si>
  <si>
    <t>WHITE COVER FOR C804</t>
  </si>
  <si>
    <t>BLUE COVER FOR C362 C851</t>
  </si>
  <si>
    <t>BLACK COVER FOR C362 C851</t>
  </si>
  <si>
    <t>GOLD COVER FOR C362 C851</t>
  </si>
  <si>
    <t>SILVER COVER FOR C362 C851</t>
  </si>
  <si>
    <t>WHITE COVER FOR C362 C851</t>
  </si>
  <si>
    <t>BLUE COVER FOR C852</t>
  </si>
  <si>
    <t>BLACK COVER FOR C852</t>
  </si>
  <si>
    <t>GOLD COVER FOR C852</t>
  </si>
  <si>
    <t>SILVER COVER FOR C852</t>
  </si>
  <si>
    <t>WHITE COVER FOR C852</t>
  </si>
  <si>
    <t>BLUE COVER FOR C881</t>
  </si>
  <si>
    <t>BLACK COVER FOR C881</t>
  </si>
  <si>
    <t>GOLD COVER FOR C881</t>
  </si>
  <si>
    <t>GY CVR FOR C881</t>
  </si>
  <si>
    <t>SILVER COVER FOR C881</t>
  </si>
  <si>
    <t>WHITE COVER FOR C881</t>
  </si>
  <si>
    <t>BLUE COVER FOR C882</t>
  </si>
  <si>
    <t>BLACK COVER FOR C882</t>
  </si>
  <si>
    <t>GOLD COVER FOR C882</t>
  </si>
  <si>
    <t>GY CVR FOR C882</t>
  </si>
  <si>
    <t>SILVER COVER FOR C882</t>
  </si>
  <si>
    <t>WHITE COVER FOR C882</t>
  </si>
  <si>
    <t>BLUE COVER FOR C884</t>
  </si>
  <si>
    <t>BLACK COVER FOR C884</t>
  </si>
  <si>
    <t>GOLD COVER FOR C884</t>
  </si>
  <si>
    <t>GY CVR FOR C884</t>
  </si>
  <si>
    <t>SILVER COVER FOR C884</t>
  </si>
  <si>
    <t>WHITE COVER FOR C884</t>
  </si>
  <si>
    <t>BLUE COVER FOR C9132  C9552</t>
  </si>
  <si>
    <t>BLACK COVER FOR C9132  C9552</t>
  </si>
  <si>
    <t>GOLD COVER FOR C9132  C9552</t>
  </si>
  <si>
    <t>GY CVR FOR C9132</t>
  </si>
  <si>
    <t>SILVER COVER FOR C9132  C9552</t>
  </si>
  <si>
    <t>WHITE COVER FOR C9132  C9552</t>
  </si>
  <si>
    <t>BLUE COVER FOR C9133</t>
  </si>
  <si>
    <t>BLACK COVER FOR C9133</t>
  </si>
  <si>
    <t>GOLD COVER FOR C9133</t>
  </si>
  <si>
    <t>SILVER COVER FOR C9133</t>
  </si>
  <si>
    <t>WHITE COVER FOR C9133</t>
  </si>
  <si>
    <t>BLUE COVER FOR C9134</t>
  </si>
  <si>
    <t>BLACK COVER FOR C9134</t>
  </si>
  <si>
    <t>GOLD COVER FOR C9134</t>
  </si>
  <si>
    <t>GY CVR FOR C9134</t>
  </si>
  <si>
    <t>SILVER COVER FOR C9134</t>
  </si>
  <si>
    <t>WHITE COVER FOR C9134</t>
  </si>
  <si>
    <t>1G RJ45 CAT 6 OUTLET INTERIOR</t>
  </si>
  <si>
    <t>1G RJ45 CAT 6 OUTLET CW COVER</t>
  </si>
  <si>
    <t>1G G PLATE MOULDED</t>
  </si>
  <si>
    <t>2G G PLATE MOULDED</t>
  </si>
  <si>
    <t>1G DATA MODULE FRAME</t>
  </si>
  <si>
    <t>1G DATA MODULE FRAME BLK</t>
  </si>
  <si>
    <t>1G DATA MODULE FRAME PLATE</t>
  </si>
  <si>
    <t>2G DATA MODULE FRAME</t>
  </si>
  <si>
    <t>2G DATA MODULE FRAME PLATE</t>
  </si>
  <si>
    <t>1G PLATE (25 x 50) INTERIOR</t>
  </si>
  <si>
    <t>1G PLATE (25 x 50) CW COVER</t>
  </si>
  <si>
    <t>2G PLATE (50 x 50) INTERIOR</t>
  </si>
  <si>
    <t>2G PLATE (50 x 50) CW COVER</t>
  </si>
  <si>
    <t>4G PLATE (100 x 50) INTERIOR</t>
  </si>
  <si>
    <t>4G PLATE (100 x 50) CW COVER</t>
  </si>
  <si>
    <t>CM303NWMSS</t>
  </si>
  <si>
    <t>CM301NDWSS</t>
  </si>
  <si>
    <t>C201NHOWH</t>
  </si>
  <si>
    <t>ENQ100001</t>
  </si>
  <si>
    <t>CP301NTDWH</t>
  </si>
  <si>
    <t>CP301NACWH</t>
  </si>
  <si>
    <t>CP301NEFWH</t>
  </si>
  <si>
    <t>CP301NHEWH</t>
  </si>
  <si>
    <t>CM303NDSS</t>
  </si>
  <si>
    <t>CP045</t>
  </si>
  <si>
    <t>SHAVER DUAL V 240 110AC UNIT</t>
  </si>
  <si>
    <t>CELL CALL PLATE</t>
  </si>
  <si>
    <t>(FM2445) 10A 1G SW PUSH SM</t>
  </si>
  <si>
    <t>(FM2444) 10A INT SW SM</t>
  </si>
  <si>
    <t>10A 1G 2W SW SM</t>
  </si>
  <si>
    <t>RS 10A 1G 2W SF SW MC 3659554</t>
  </si>
  <si>
    <t>(FM2442) 10A 2G 2W SW SM</t>
  </si>
  <si>
    <t>(FM2443) 10A 3G 2W SW SM</t>
  </si>
  <si>
    <t>(FM2890) 10A 1G 2W BRDSW SM</t>
  </si>
  <si>
    <t>(FM2896) 10A 3POLE BRDFAN ISO</t>
  </si>
  <si>
    <t>RS 3PO FAN ISO SU M/C 3659598</t>
  </si>
  <si>
    <t>(FM2897) 10A 3POLE BRDISO SM</t>
  </si>
  <si>
    <t>(FM2241n) 20A SW SUR DP SM</t>
  </si>
  <si>
    <t>(FM2242N) 20A DP SW NEON SM</t>
  </si>
  <si>
    <t>RS 20A DP SW NE M-CLA 3659431</t>
  </si>
  <si>
    <t>(FM2115) 50A DP SWITCH SM</t>
  </si>
  <si>
    <t>(FM2116) 50A DP SWITCH NEON SM</t>
  </si>
  <si>
    <t>RS 52A DP SW NEO S FA 3659447</t>
  </si>
  <si>
    <t>(FM3041) 13A 1G SKT SM</t>
  </si>
  <si>
    <t>(FM3042) 13A 2G SKT SM</t>
  </si>
  <si>
    <t>13A SW CON UNIT SM 3659481</t>
  </si>
  <si>
    <t>X522MG FITTED WITH U0941</t>
  </si>
  <si>
    <t>A522SS FITTED WITH EXTRA PAD</t>
  </si>
  <si>
    <t>A522NSS FITTED WITH EXTRA PAD</t>
  </si>
  <si>
    <t>A522NMG FITTED WITH EXTRA PAD</t>
  </si>
  <si>
    <t>13A 1G DP SW SKT 2 E TERM MG</t>
  </si>
  <si>
    <t>13A 1GDP SW SK 2 ET 4569014</t>
  </si>
  <si>
    <t>13A 2G DP SW SKT 2 E TERM MG</t>
  </si>
  <si>
    <t>13A 2GDP SW SK 2ET 4569020</t>
  </si>
  <si>
    <t>13A 2GDP SW SK 2ET 4569020A</t>
  </si>
  <si>
    <t>13A 2G DP SW SKT 2 E TERM MG R</t>
  </si>
  <si>
    <t>RS 13A UN SW C UN 1840051</t>
  </si>
  <si>
    <t>RS 6A 2G 2W SF SW M-C 3659560</t>
  </si>
  <si>
    <t>10AMP 3G 2W SWT SURF 3659576</t>
  </si>
  <si>
    <t>LOCKABLE SOCKET</t>
  </si>
  <si>
    <t>RS 1G UNSW NON STD 3659380</t>
  </si>
  <si>
    <t>RS 13A SP C U S FA AL 3659453</t>
  </si>
  <si>
    <t>RS 13A SW C U AL 3659481A</t>
  </si>
  <si>
    <t>RS 13A SW SP NE SU AL 3659504</t>
  </si>
  <si>
    <t>RS 20A DP SW SF M-CLA 3659425</t>
  </si>
  <si>
    <t>(FM3084) 5A 1G SKT SM</t>
  </si>
  <si>
    <t>15A 1G SP SW SKT SM</t>
  </si>
  <si>
    <t>R S TELEPHONE LINE JACK MASTER</t>
  </si>
  <si>
    <t>RS 1G BLANK PLA MET 3659605</t>
  </si>
  <si>
    <t>RS 2G BLANK PLA MET 3659611</t>
  </si>
  <si>
    <t>RS GRID PLA 1G MET 3864324</t>
  </si>
  <si>
    <t>RS GR PLA 8-G MET 3864374</t>
  </si>
  <si>
    <t>13A CON UNIT SM</t>
  </si>
  <si>
    <t>13A CON UNIT NEON</t>
  </si>
  <si>
    <t>13A FCU NEON RR</t>
  </si>
  <si>
    <t>13A CONN UNIT RR SM</t>
  </si>
  <si>
    <t>13A SW CON UNIT SM</t>
  </si>
  <si>
    <t>13A SW FCU NEON SM</t>
  </si>
  <si>
    <t>13A SW FCU NEON RR</t>
  </si>
  <si>
    <t>13A SW CON UNIT RR</t>
  </si>
  <si>
    <t>(FM3586) 1G TEL SK MASTER SM</t>
  </si>
  <si>
    <t>(FM3587) 1G TEL SK SECONDARY</t>
  </si>
  <si>
    <t>4 MOD EURO DATA PLATE MG</t>
  </si>
  <si>
    <t>SURFACE METALCLAD GRID PLATE 6</t>
  </si>
  <si>
    <t>SURFACE METALCLAD GRID PLATE 8</t>
  </si>
  <si>
    <t>SURFACE METALCLAD GRID PLATE 9</t>
  </si>
  <si>
    <t>SURF METALCLAD GRID PLATE 12G</t>
  </si>
  <si>
    <t>1G G PLATE SUR SM</t>
  </si>
  <si>
    <t>1G G PLATE SUR SS</t>
  </si>
  <si>
    <t>2G G PLATE SUR SM</t>
  </si>
  <si>
    <t>R S GR PL 2G METAL 3864346</t>
  </si>
  <si>
    <t>(FM8271) 2G G PLATE SUR SS</t>
  </si>
  <si>
    <t>(FM8252) 3G G PLATE SUR SM</t>
  </si>
  <si>
    <t>RS GRID PLA 3/G MET 3864352</t>
  </si>
  <si>
    <t>(FM8272) 3G G PLATE SUR SS</t>
  </si>
  <si>
    <t>(FM8253) 4G G PLATE SUR SM</t>
  </si>
  <si>
    <t>RS GRID PLA 4/G MET 3864368</t>
  </si>
  <si>
    <t>(FM8273) 4G G PLATE SUR SS</t>
  </si>
  <si>
    <t>(FM8254) 6G G PLATE SUR SM</t>
  </si>
  <si>
    <t>(FM8255) 8G G PLATE SUR SM</t>
  </si>
  <si>
    <t>(FM8256) 9G G PLATE SUR SM</t>
  </si>
  <si>
    <t>(FM8257) 12G G PLATE SUR SM</t>
  </si>
  <si>
    <t>(FM8258) 18G G PLATE SUR SM</t>
  </si>
  <si>
    <t>(FM8259) 24G G PLATE SUR SM</t>
  </si>
  <si>
    <t>(FM3667) 1G DATA MOD FRAME SM</t>
  </si>
  <si>
    <t>(FM3672) 2G DATA MOD FRAME SM</t>
  </si>
  <si>
    <t>(FM3677) 4G DATA MOD FRAME SM</t>
  </si>
  <si>
    <t>A061SB 20A 2 WAY 1GANG SWITCH</t>
  </si>
  <si>
    <t>A062SB 20A 2WAY 2GANG LIGHTING</t>
  </si>
  <si>
    <t>A063SB 20A 2WAY 3GANG LIGHTING</t>
  </si>
  <si>
    <t>A067SB 1 GANG PLATED INTERMEDI</t>
  </si>
  <si>
    <t>A301SB 20 D.P. SWITCH OUTLET</t>
  </si>
  <si>
    <t>A9331USB 20A 1WAY 1GANG</t>
  </si>
  <si>
    <t>F8062 24V AMBER NEON INDICATOR</t>
  </si>
  <si>
    <t>(FM5041) 1G BLANK PLATE SM</t>
  </si>
  <si>
    <t>(FM5042) 2G BLANK PLATE SM</t>
  </si>
  <si>
    <t>9G GRID PLATE SURFACE SB</t>
  </si>
  <si>
    <t>10A OPTIONS 2 WAY PUSH RR</t>
  </si>
  <si>
    <t>10A OPTIONS 1W MODULE PUSH</t>
  </si>
  <si>
    <t>10A OPTIONS MODULE INTERMEDIAT</t>
  </si>
  <si>
    <t>10A OPTIONS HALF BROAD 2W LEFT</t>
  </si>
  <si>
    <t>37x22mm KEYSTONE SHUTTER MOD</t>
  </si>
  <si>
    <t>KEYSTONE JACK RJ45 CAT5E</t>
  </si>
  <si>
    <t>KEYSTONE JACK RJ11</t>
  </si>
  <si>
    <t>1G MODULE PHONE SOCKET MASTER</t>
  </si>
  <si>
    <t>1G MODULE PHONE SKT SECONDARY</t>
  </si>
  <si>
    <t>1G MODULE TELEPHONE SOCKET SEC</t>
  </si>
  <si>
    <t>SINGLE IEC CO AX (F) SCREENED</t>
  </si>
  <si>
    <t>SINGLE IEC CO AX (M) SCREENED</t>
  </si>
  <si>
    <t>SINGLE SAT CO F CONN SCREENED</t>
  </si>
  <si>
    <t>TV RAD SAT RET MODULE SCREENED</t>
  </si>
  <si>
    <t>TELEPHONE (BT SECONDARY)</t>
  </si>
  <si>
    <t>TELEPHONE (BT MASTER)</t>
  </si>
  <si>
    <t>RJ11 MODEM</t>
  </si>
  <si>
    <t>RJ45 CAT 6</t>
  </si>
  <si>
    <t>2 x RCA SOCKET</t>
  </si>
  <si>
    <t>2 x LOUDSPEAKER SOCKET</t>
  </si>
  <si>
    <t>1G MODULE BLANK</t>
  </si>
  <si>
    <t>10AMP GRIDSWITCH 1 WAY</t>
  </si>
  <si>
    <t>10A GRSW 1W WINDOW RKR</t>
  </si>
  <si>
    <t>10AMP GRIDSWITCH 2 WAY</t>
  </si>
  <si>
    <t>10AMP GRSW 2W WINDOW RKR</t>
  </si>
  <si>
    <t>C111a</t>
  </si>
  <si>
    <t>C111Ba</t>
  </si>
  <si>
    <t>C111WHa</t>
  </si>
  <si>
    <t>CM111HPa</t>
  </si>
  <si>
    <t>CM111PBa</t>
  </si>
  <si>
    <t>CM111SBa</t>
  </si>
  <si>
    <t>CM111SSa</t>
  </si>
  <si>
    <t>CP111BLa</t>
  </si>
  <si>
    <t>CP111BMa</t>
  </si>
  <si>
    <t>CP111GLa</t>
  </si>
  <si>
    <t>CP111GYa</t>
  </si>
  <si>
    <t>CP111SVa</t>
  </si>
  <si>
    <t>CP111WHa</t>
  </si>
  <si>
    <t>Being phased out - No direct replacement</t>
  </si>
  <si>
    <t>X902MG + F9201</t>
  </si>
  <si>
    <t>Not yet developed</t>
  </si>
  <si>
    <t>Use C918 + CP918WH</t>
  </si>
  <si>
    <t>Use C924 + CP924WH</t>
  </si>
  <si>
    <t>Aura Flush metal</t>
  </si>
  <si>
    <t>Spares</t>
  </si>
  <si>
    <t>SPECTRA</t>
  </si>
  <si>
    <t>Obsolete</t>
  </si>
  <si>
    <t>EMA</t>
  </si>
  <si>
    <t>GALA</t>
  </si>
  <si>
    <t>INTRA</t>
  </si>
  <si>
    <t>HA Dimmers</t>
  </si>
  <si>
    <t>SPECIALS</t>
  </si>
  <si>
    <t>ULTRA</t>
  </si>
  <si>
    <t>1. Just punch in any part number to see if it has changed</t>
  </si>
  <si>
    <t>Punch in the old or new reference no. below</t>
  </si>
  <si>
    <t>M511</t>
  </si>
  <si>
    <t>M512</t>
  </si>
  <si>
    <t>M521</t>
  </si>
  <si>
    <t>M522</t>
  </si>
  <si>
    <t>13A 1G DP SW SKT 1 E TERM</t>
  </si>
  <si>
    <r>
      <t>MEM</t>
    </r>
    <r>
      <rPr>
        <sz val="24"/>
        <color indexed="9"/>
        <rFont val="Calibri"/>
        <family val="2"/>
      </rPr>
      <t>®</t>
    </r>
    <r>
      <rPr>
        <sz val="24"/>
        <color indexed="9"/>
        <rFont val="Arial"/>
        <family val="2"/>
      </rPr>
      <t xml:space="preserve"> series - Wiring Accessories Product Changes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</si>
</sst>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2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24"/>
      <color indexed="9"/>
      <name val="Arial"/>
      <family val="2"/>
    </font>
    <font>
      <b/>
      <i/>
      <sz val="18"/>
      <name val="Arial"/>
      <family val="2"/>
    </font>
    <font>
      <sz val="24"/>
      <color indexed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Border="1"/>
    <xf numFmtId="0" fontId="3" fillId="0" borderId="0" xfId="0" applyFont="1" applyFill="1" applyBorder="1"/>
    <xf numFmtId="2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Fill="1" applyBorder="1"/>
    <xf numFmtId="2" fontId="3" fillId="2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2" fontId="3" fillId="2" borderId="0" xfId="0" applyNumberFormat="1" applyFont="1" applyFill="1" applyBorder="1"/>
    <xf numFmtId="2" fontId="3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Fill="1" applyAlignment="1"/>
    <xf numFmtId="0" fontId="3" fillId="0" borderId="0" xfId="0" applyFont="1"/>
    <xf numFmtId="0" fontId="5" fillId="0" borderId="0" xfId="0" applyFont="1" applyAlignment="1">
      <alignment horizontal="left"/>
    </xf>
    <xf numFmtId="0" fontId="3" fillId="4" borderId="1" xfId="0" applyFont="1" applyFill="1" applyBorder="1"/>
    <xf numFmtId="0" fontId="1" fillId="5" borderId="1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2" fontId="3" fillId="0" borderId="0" xfId="0" applyNumberFormat="1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0" borderId="1" xfId="0" applyFont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4" fontId="4" fillId="3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BF2F5"/>
      <color rgb="FF89CE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42338</xdr:colOff>
      <xdr:row>0</xdr:row>
      <xdr:rowOff>42336</xdr:rowOff>
    </xdr:from>
    <xdr:to>
      <xdr:col>1</xdr:col>
      <xdr:colOff>486838</xdr:colOff>
      <xdr:row>0</xdr:row>
      <xdr:rowOff>747846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38" y="42336"/>
          <a:ext cx="1513417" cy="70551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Frank\Product%20Management\Wiring%20Acc%20road%20map\Premera%20range%20pr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Frank\Product%20Management\Wiring%20Acc%20road%20map\WA%20Cat%20list%20for%20marcoms%20Sept%2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ll details"/>
      <sheetName val="summary"/>
      <sheetName val="price list"/>
      <sheetName val="comparison chart"/>
    </sheetNames>
    <sheetDataSet>
      <sheetData sheetId="0"/>
      <sheetData sheetId="1"/>
      <sheetData sheetId="2"/>
      <sheetData sheetId="3">
        <row r="1">
          <cell r="B1" t="str">
            <v>EMA Part No.</v>
          </cell>
          <cell r="C1" t="str">
            <v>PREMERA Part No.</v>
          </cell>
        </row>
        <row r="2">
          <cell r="B2" t="str">
            <v>E011</v>
          </cell>
          <cell r="C2" t="str">
            <v>P011</v>
          </cell>
        </row>
        <row r="3">
          <cell r="B3" t="str">
            <v>E012</v>
          </cell>
          <cell r="C3" t="str">
            <v>P012</v>
          </cell>
        </row>
        <row r="4">
          <cell r="B4" t="str">
            <v>E013</v>
          </cell>
          <cell r="C4" t="str">
            <v>P013</v>
          </cell>
        </row>
        <row r="5">
          <cell r="C5" t="str">
            <v>P014</v>
          </cell>
        </row>
        <row r="6">
          <cell r="B6" t="str">
            <v>E015</v>
          </cell>
          <cell r="C6" t="str">
            <v>P015</v>
          </cell>
        </row>
        <row r="7">
          <cell r="C7" t="str">
            <v>P015L</v>
          </cell>
        </row>
        <row r="8">
          <cell r="C8" t="str">
            <v>P015P</v>
          </cell>
        </row>
        <row r="9">
          <cell r="B9" t="str">
            <v>E017</v>
          </cell>
          <cell r="C9" t="str">
            <v>P017</v>
          </cell>
        </row>
        <row r="10">
          <cell r="B10" t="str">
            <v>E021</v>
          </cell>
          <cell r="C10" t="str">
            <v>P021</v>
          </cell>
        </row>
        <row r="11">
          <cell r="C11" t="str">
            <v>P021P</v>
          </cell>
        </row>
        <row r="12">
          <cell r="B12" t="str">
            <v>E022</v>
          </cell>
          <cell r="C12" t="str">
            <v>P022</v>
          </cell>
        </row>
        <row r="13">
          <cell r="B13" t="str">
            <v>E023</v>
          </cell>
          <cell r="C13" t="str">
            <v>P023</v>
          </cell>
        </row>
        <row r="14">
          <cell r="B14" t="str">
            <v>E024</v>
          </cell>
          <cell r="C14" t="str">
            <v>P024</v>
          </cell>
        </row>
        <row r="15">
          <cell r="C15" t="str">
            <v>P026</v>
          </cell>
        </row>
        <row r="16">
          <cell r="C16" t="str">
            <v>P032</v>
          </cell>
        </row>
        <row r="17">
          <cell r="C17" t="str">
            <v>P041</v>
          </cell>
        </row>
        <row r="18">
          <cell r="C18" t="str">
            <v>P041P</v>
          </cell>
        </row>
        <row r="19">
          <cell r="C19" t="str">
            <v>P042</v>
          </cell>
        </row>
        <row r="20">
          <cell r="C20" t="str">
            <v>P043N</v>
          </cell>
        </row>
        <row r="21">
          <cell r="C21" t="str">
            <v>P045</v>
          </cell>
        </row>
        <row r="22">
          <cell r="C22" t="str">
            <v>P045P</v>
          </cell>
        </row>
        <row r="23">
          <cell r="C23" t="str">
            <v>P047</v>
          </cell>
        </row>
        <row r="24">
          <cell r="B24" t="str">
            <v>E048</v>
          </cell>
          <cell r="C24" t="str">
            <v>P048</v>
          </cell>
        </row>
        <row r="25">
          <cell r="C25" t="str">
            <v>P049</v>
          </cell>
        </row>
        <row r="26">
          <cell r="B26" t="str">
            <v>E111</v>
          </cell>
          <cell r="C26" t="str">
            <v>P111</v>
          </cell>
        </row>
        <row r="27">
          <cell r="C27" t="str">
            <v>P112</v>
          </cell>
        </row>
        <row r="28">
          <cell r="B28" t="str">
            <v>E210</v>
          </cell>
          <cell r="C28" t="str">
            <v>P210</v>
          </cell>
        </row>
        <row r="29">
          <cell r="B29" t="str">
            <v>E212</v>
          </cell>
          <cell r="C29" t="str">
            <v>P212</v>
          </cell>
        </row>
        <row r="30">
          <cell r="B30" t="str">
            <v>E200</v>
          </cell>
          <cell r="C30" t="str">
            <v>P220</v>
          </cell>
        </row>
        <row r="31">
          <cell r="B31" t="str">
            <v>E200N</v>
          </cell>
          <cell r="C31" t="str">
            <v>P220N</v>
          </cell>
        </row>
        <row r="32">
          <cell r="C32" t="str">
            <v>P220RR</v>
          </cell>
        </row>
        <row r="33">
          <cell r="B33" t="str">
            <v>E201</v>
          </cell>
          <cell r="C33" t="str">
            <v>P221</v>
          </cell>
        </row>
        <row r="34">
          <cell r="C34" t="str">
            <v>P221BO</v>
          </cell>
        </row>
        <row r="35">
          <cell r="C35" t="str">
            <v>P221CH</v>
          </cell>
        </row>
        <row r="36">
          <cell r="C36" t="str">
            <v>P221CKH</v>
          </cell>
        </row>
        <row r="37">
          <cell r="C37" t="str">
            <v>P221DW</v>
          </cell>
        </row>
        <row r="38">
          <cell r="C38" t="str">
            <v>P221EF</v>
          </cell>
        </row>
        <row r="39">
          <cell r="C39" t="str">
            <v>P221GY</v>
          </cell>
        </row>
        <row r="40">
          <cell r="B40" t="str">
            <v>E201N</v>
          </cell>
          <cell r="C40" t="str">
            <v>P221N</v>
          </cell>
        </row>
        <row r="41">
          <cell r="C41" t="str">
            <v>P221NGY</v>
          </cell>
        </row>
        <row r="42">
          <cell r="C42" t="str">
            <v>P221NR</v>
          </cell>
        </row>
        <row r="43">
          <cell r="C43" t="str">
            <v>P221NRR</v>
          </cell>
        </row>
        <row r="44">
          <cell r="C44" t="str">
            <v>P221NWH</v>
          </cell>
        </row>
        <row r="45">
          <cell r="C45" t="str">
            <v>P221NWM</v>
          </cell>
        </row>
        <row r="46">
          <cell r="C46" t="str">
            <v>P221R</v>
          </cell>
        </row>
        <row r="47">
          <cell r="C47" t="str">
            <v>P221RR</v>
          </cell>
        </row>
        <row r="48">
          <cell r="C48" t="str">
            <v>P221WM</v>
          </cell>
        </row>
        <row r="49">
          <cell r="C49" t="str">
            <v>P223</v>
          </cell>
        </row>
        <row r="50">
          <cell r="C50" t="str">
            <v>P223N</v>
          </cell>
        </row>
        <row r="51">
          <cell r="C51" t="str">
            <v>P224</v>
          </cell>
        </row>
        <row r="52">
          <cell r="B52" t="str">
            <v>E345</v>
          </cell>
          <cell r="C52" t="str">
            <v>P345</v>
          </cell>
        </row>
        <row r="53">
          <cell r="B53" t="str">
            <v>E351</v>
          </cell>
          <cell r="C53" t="str">
            <v>P351</v>
          </cell>
        </row>
        <row r="54">
          <cell r="B54" t="str">
            <v>E351D</v>
          </cell>
          <cell r="C54" t="str">
            <v>P351D</v>
          </cell>
        </row>
        <row r="55">
          <cell r="C55" t="str">
            <v>P352</v>
          </cell>
        </row>
        <row r="56">
          <cell r="C56" t="str">
            <v>P353</v>
          </cell>
        </row>
        <row r="57">
          <cell r="C57" t="str">
            <v>P354</v>
          </cell>
        </row>
        <row r="58">
          <cell r="B58" t="str">
            <v>E355</v>
          </cell>
          <cell r="C58" t="str">
            <v>P355</v>
          </cell>
        </row>
        <row r="59">
          <cell r="B59" t="str">
            <v>E356</v>
          </cell>
          <cell r="C59" t="str">
            <v>P356</v>
          </cell>
        </row>
        <row r="60">
          <cell r="C60" t="str">
            <v>P357</v>
          </cell>
        </row>
        <row r="61">
          <cell r="B61" t="str">
            <v>E360</v>
          </cell>
          <cell r="C61" t="str">
            <v>P360</v>
          </cell>
        </row>
        <row r="62">
          <cell r="B62" t="str">
            <v>E361</v>
          </cell>
          <cell r="C62" t="str">
            <v>P361</v>
          </cell>
        </row>
        <row r="63">
          <cell r="B63" t="str">
            <v>E362</v>
          </cell>
          <cell r="C63" t="str">
            <v>P362</v>
          </cell>
        </row>
        <row r="64">
          <cell r="B64" t="str">
            <v>E370</v>
          </cell>
          <cell r="C64" t="str">
            <v>P370</v>
          </cell>
        </row>
        <row r="65">
          <cell r="B65" t="str">
            <v>E391</v>
          </cell>
          <cell r="C65" t="str">
            <v>P391</v>
          </cell>
        </row>
        <row r="66">
          <cell r="B66" t="str">
            <v>E392</v>
          </cell>
          <cell r="C66" t="str">
            <v>P392</v>
          </cell>
        </row>
        <row r="67">
          <cell r="B67" t="str">
            <v>E301</v>
          </cell>
          <cell r="C67" t="str">
            <v>P401</v>
          </cell>
        </row>
        <row r="68">
          <cell r="B68" t="str">
            <v>E301N</v>
          </cell>
          <cell r="C68" t="str">
            <v>P401N</v>
          </cell>
        </row>
        <row r="69">
          <cell r="B69" t="str">
            <v>E303</v>
          </cell>
          <cell r="C69" t="str">
            <v>P403</v>
          </cell>
        </row>
        <row r="70">
          <cell r="B70" t="str">
            <v>E303N</v>
          </cell>
          <cell r="C70" t="str">
            <v>P403N</v>
          </cell>
        </row>
        <row r="71">
          <cell r="B71" t="str">
            <v>E304N</v>
          </cell>
          <cell r="C71" t="str">
            <v>P404N</v>
          </cell>
        </row>
        <row r="72">
          <cell r="B72" t="str">
            <v>E315</v>
          </cell>
          <cell r="C72" t="str">
            <v>P415</v>
          </cell>
        </row>
        <row r="73">
          <cell r="C73" t="str">
            <v>P421</v>
          </cell>
        </row>
        <row r="74">
          <cell r="B74" t="str">
            <v>E321N</v>
          </cell>
          <cell r="C74" t="str">
            <v>P421N</v>
          </cell>
        </row>
        <row r="75">
          <cell r="B75" t="str">
            <v>E322N</v>
          </cell>
          <cell r="C75" t="str">
            <v>P422N</v>
          </cell>
        </row>
        <row r="76">
          <cell r="B76" t="str">
            <v>E322N</v>
          </cell>
          <cell r="C76" t="str">
            <v>P422NGY</v>
          </cell>
        </row>
        <row r="77">
          <cell r="C77" t="str">
            <v>P423</v>
          </cell>
        </row>
        <row r="78">
          <cell r="C78" t="str">
            <v>P423N</v>
          </cell>
        </row>
        <row r="79">
          <cell r="C79" t="str">
            <v>P424N</v>
          </cell>
        </row>
        <row r="80">
          <cell r="B80" t="str">
            <v>E325</v>
          </cell>
          <cell r="C80" t="str">
            <v>P425</v>
          </cell>
        </row>
        <row r="81">
          <cell r="B81" t="str">
            <v>E325N</v>
          </cell>
          <cell r="C81" t="str">
            <v>P425N</v>
          </cell>
        </row>
        <row r="82">
          <cell r="B82" t="str">
            <v>E326N</v>
          </cell>
          <cell r="C82" t="str">
            <v>P426N</v>
          </cell>
        </row>
        <row r="83">
          <cell r="C83" t="str">
            <v>P427N</v>
          </cell>
        </row>
        <row r="84">
          <cell r="B84" t="str">
            <v>E401</v>
          </cell>
          <cell r="C84" t="str">
            <v>P450</v>
          </cell>
        </row>
        <row r="85">
          <cell r="B85" t="str">
            <v>E511</v>
          </cell>
          <cell r="C85" t="str">
            <v>P611</v>
          </cell>
        </row>
        <row r="86">
          <cell r="B86" t="str">
            <v>E512</v>
          </cell>
          <cell r="C86" t="str">
            <v>P612</v>
          </cell>
        </row>
        <row r="87">
          <cell r="B87" t="str">
            <v>E521</v>
          </cell>
          <cell r="C87" t="str">
            <v>P621</v>
          </cell>
        </row>
        <row r="88">
          <cell r="B88" t="str">
            <v>E521</v>
          </cell>
          <cell r="C88" t="str">
            <v>P621GY</v>
          </cell>
        </row>
        <row r="89">
          <cell r="C89" t="str">
            <v>P621N</v>
          </cell>
        </row>
        <row r="90">
          <cell r="C90" t="str">
            <v>P621RED</v>
          </cell>
        </row>
        <row r="91">
          <cell r="C91" t="str">
            <v>P621RR</v>
          </cell>
        </row>
        <row r="92">
          <cell r="B92" t="str">
            <v>E522</v>
          </cell>
          <cell r="C92" t="str">
            <v>P622</v>
          </cell>
        </row>
        <row r="93">
          <cell r="C93" t="str">
            <v>P622N</v>
          </cell>
        </row>
        <row r="94">
          <cell r="C94" t="str">
            <v>P622RR</v>
          </cell>
        </row>
        <row r="95">
          <cell r="C95" t="str">
            <v>P632</v>
          </cell>
        </row>
        <row r="96">
          <cell r="C96" t="str">
            <v>P632GY</v>
          </cell>
        </row>
        <row r="97">
          <cell r="C97" t="str">
            <v>P632N</v>
          </cell>
        </row>
        <row r="98">
          <cell r="C98" t="str">
            <v>P632RED</v>
          </cell>
        </row>
        <row r="99">
          <cell r="C99" t="str">
            <v>P632RR</v>
          </cell>
        </row>
        <row r="100">
          <cell r="C100" t="str">
            <v>P651</v>
          </cell>
        </row>
        <row r="101">
          <cell r="C101" t="str">
            <v>P651N</v>
          </cell>
        </row>
        <row r="102">
          <cell r="C102" t="str">
            <v>P652</v>
          </cell>
        </row>
        <row r="103">
          <cell r="C103" t="str">
            <v>P652RR</v>
          </cell>
        </row>
        <row r="104">
          <cell r="C104" t="str">
            <v>P671N</v>
          </cell>
        </row>
        <row r="105">
          <cell r="C105" t="str">
            <v>P671RR</v>
          </cell>
        </row>
        <row r="106">
          <cell r="C106" t="str">
            <v>P672</v>
          </cell>
        </row>
        <row r="107">
          <cell r="C107" t="str">
            <v>P685</v>
          </cell>
        </row>
        <row r="108">
          <cell r="C108" t="str">
            <v>P686</v>
          </cell>
        </row>
        <row r="109">
          <cell r="C109" t="str">
            <v>P686RED</v>
          </cell>
        </row>
        <row r="110">
          <cell r="B110" t="str">
            <v>E801</v>
          </cell>
          <cell r="C110" t="str">
            <v>P901</v>
          </cell>
        </row>
        <row r="111">
          <cell r="C111" t="str">
            <v>P901GY</v>
          </cell>
        </row>
        <row r="112">
          <cell r="B112" t="str">
            <v>E802</v>
          </cell>
          <cell r="C112" t="str">
            <v>P902</v>
          </cell>
        </row>
        <row r="113">
          <cell r="C113" t="str">
            <v>P902GY</v>
          </cell>
        </row>
        <row r="114">
          <cell r="B114" t="str">
            <v>E803</v>
          </cell>
          <cell r="C114" t="str">
            <v>P903</v>
          </cell>
        </row>
        <row r="115">
          <cell r="C115" t="str">
            <v>P903GY</v>
          </cell>
        </row>
        <row r="116">
          <cell r="B116" t="str">
            <v>E804</v>
          </cell>
          <cell r="C116" t="str">
            <v>P904</v>
          </cell>
        </row>
        <row r="117">
          <cell r="C117" t="str">
            <v>P904GY</v>
          </cell>
        </row>
        <row r="118">
          <cell r="C118" t="str">
            <v>P906</v>
          </cell>
        </row>
        <row r="119">
          <cell r="C119" t="str">
            <v>P906GY</v>
          </cell>
        </row>
        <row r="120">
          <cell r="C120" t="str">
            <v>P908</v>
          </cell>
        </row>
        <row r="121">
          <cell r="C121" t="str">
            <v>P908GY</v>
          </cell>
        </row>
        <row r="122">
          <cell r="C122" t="str">
            <v>P9101</v>
          </cell>
        </row>
        <row r="123">
          <cell r="C123" t="str">
            <v>P9111</v>
          </cell>
        </row>
        <row r="124">
          <cell r="C124" t="str">
            <v>P912</v>
          </cell>
        </row>
        <row r="125">
          <cell r="B125" t="str">
            <v>E9131</v>
          </cell>
          <cell r="C125" t="str">
            <v>P9131</v>
          </cell>
        </row>
        <row r="126">
          <cell r="B126" t="str">
            <v>E9132</v>
          </cell>
          <cell r="C126" t="str">
            <v>P9132</v>
          </cell>
        </row>
        <row r="127">
          <cell r="B127" t="str">
            <v>E9141</v>
          </cell>
          <cell r="C127" t="str">
            <v>P9141</v>
          </cell>
        </row>
        <row r="128">
          <cell r="C128" t="str">
            <v>P9142</v>
          </cell>
        </row>
        <row r="129">
          <cell r="C129" t="str">
            <v>P918</v>
          </cell>
        </row>
        <row r="130">
          <cell r="C130" t="str">
            <v>P924</v>
          </cell>
        </row>
        <row r="131">
          <cell r="B131" t="str">
            <v>E9511</v>
          </cell>
          <cell r="C131" t="str">
            <v>P9511</v>
          </cell>
        </row>
        <row r="132">
          <cell r="C132" t="str">
            <v>P955</v>
          </cell>
        </row>
        <row r="133">
          <cell r="B133" t="str">
            <v>E9551</v>
          </cell>
          <cell r="C133" t="str">
            <v>P9551</v>
          </cell>
        </row>
        <row r="134">
          <cell r="B134" t="str">
            <v>E9552</v>
          </cell>
          <cell r="C134" t="str">
            <v>P9552</v>
          </cell>
        </row>
        <row r="135">
          <cell r="C135" t="str">
            <v>P956</v>
          </cell>
        </row>
        <row r="136">
          <cell r="B136" t="str">
            <v>E9751</v>
          </cell>
          <cell r="C136" t="str">
            <v>P9751</v>
          </cell>
        </row>
        <row r="137">
          <cell r="B137" t="str">
            <v>E999</v>
          </cell>
          <cell r="C137" t="str">
            <v>P999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 for Cat"/>
      <sheetName val="Sheet1"/>
      <sheetName val="Running order"/>
      <sheetName val="Full List"/>
    </sheetNames>
    <sheetDataSet>
      <sheetData sheetId="0">
        <row r="1">
          <cell r="C1" t="str">
            <v>New range Part No.</v>
          </cell>
          <cell r="D1" t="str">
            <v>Cat Sections</v>
          </cell>
          <cell r="E1" t="str">
            <v>Cat run order (within section)</v>
          </cell>
          <cell r="F1" t="str">
            <v>category</v>
          </cell>
          <cell r="G1" t="str">
            <v>Product Name</v>
          </cell>
          <cell r="H1" t="str">
            <v>Product Series</v>
          </cell>
          <cell r="I1" t="str">
            <v>Description</v>
          </cell>
        </row>
        <row r="2">
          <cell r="C2" t="str">
            <v>P011</v>
          </cell>
          <cell r="D2">
            <v>1</v>
          </cell>
          <cell r="E2">
            <v>100</v>
          </cell>
          <cell r="F2" t="str">
            <v>10A switches - 1 Way</v>
          </cell>
          <cell r="G2" t="str">
            <v>PREMERA Wiring Accessories</v>
          </cell>
          <cell r="H2" t="str">
            <v>MEM series</v>
          </cell>
          <cell r="I2" t="str">
            <v>10A 1G 1W SW</v>
          </cell>
        </row>
        <row r="3">
          <cell r="C3" t="str">
            <v>P012</v>
          </cell>
          <cell r="D3">
            <v>1</v>
          </cell>
          <cell r="E3">
            <v>100</v>
          </cell>
          <cell r="F3" t="str">
            <v>10A switches - 1 Way</v>
          </cell>
          <cell r="G3" t="str">
            <v>PREMERA Wiring Accessories</v>
          </cell>
          <cell r="H3" t="str">
            <v>MEM series</v>
          </cell>
          <cell r="I3" t="str">
            <v>10A 2G 1W SWITCH</v>
          </cell>
        </row>
        <row r="4">
          <cell r="C4" t="str">
            <v>P013</v>
          </cell>
          <cell r="D4">
            <v>1</v>
          </cell>
          <cell r="E4">
            <v>100</v>
          </cell>
          <cell r="F4" t="str">
            <v>10A switches - 1 Way</v>
          </cell>
          <cell r="G4" t="str">
            <v>PREMERA Wiring Accessories</v>
          </cell>
          <cell r="H4" t="str">
            <v>MEM series</v>
          </cell>
          <cell r="I4" t="str">
            <v>10A 3G 1W SW</v>
          </cell>
        </row>
        <row r="5">
          <cell r="C5" t="str">
            <v>P014</v>
          </cell>
          <cell r="D5">
            <v>1</v>
          </cell>
          <cell r="E5">
            <v>100</v>
          </cell>
          <cell r="F5" t="str">
            <v>10A switches - 1 Way</v>
          </cell>
          <cell r="G5" t="str">
            <v>PREMERA Wiring Accessories</v>
          </cell>
          <cell r="H5" t="str">
            <v>MEM series</v>
          </cell>
          <cell r="I5" t="str">
            <v>10A 4G 1W SW</v>
          </cell>
        </row>
        <row r="6">
          <cell r="C6" t="str">
            <v>P015</v>
          </cell>
          <cell r="D6">
            <v>1</v>
          </cell>
          <cell r="E6">
            <v>100</v>
          </cell>
          <cell r="F6" t="str">
            <v>10A switches - 1 Way</v>
          </cell>
          <cell r="G6" t="str">
            <v>PREMERA Wiring Accessories</v>
          </cell>
          <cell r="H6" t="str">
            <v>MEM series</v>
          </cell>
          <cell r="I6" t="str">
            <v>10A 1G SW PUSH BELL</v>
          </cell>
        </row>
        <row r="7">
          <cell r="C7" t="str">
            <v>P015L</v>
          </cell>
          <cell r="D7">
            <v>1</v>
          </cell>
          <cell r="E7">
            <v>100</v>
          </cell>
          <cell r="F7" t="str">
            <v>10A switches - 1 Way</v>
          </cell>
          <cell r="G7" t="str">
            <v>PREMERA Wiring Accessories</v>
          </cell>
          <cell r="H7" t="str">
            <v>MEM series</v>
          </cell>
          <cell r="I7" t="str">
            <v>10A 1G 1W SW 'LIGHT'</v>
          </cell>
        </row>
        <row r="8">
          <cell r="C8" t="str">
            <v>P015P</v>
          </cell>
          <cell r="D8">
            <v>1</v>
          </cell>
          <cell r="E8">
            <v>100</v>
          </cell>
          <cell r="F8" t="str">
            <v>10A switches - 1 Way</v>
          </cell>
          <cell r="G8" t="str">
            <v>PREMERA Wiring Accessories</v>
          </cell>
          <cell r="H8" t="str">
            <v>MEM series</v>
          </cell>
          <cell r="I8" t="str">
            <v>10A 1G SW PUSH</v>
          </cell>
        </row>
        <row r="9">
          <cell r="C9" t="str">
            <v>P017</v>
          </cell>
          <cell r="D9">
            <v>1</v>
          </cell>
          <cell r="E9">
            <v>100</v>
          </cell>
          <cell r="F9" t="str">
            <v>10A switches - 1 Way</v>
          </cell>
          <cell r="G9" t="str">
            <v>PREMERA Wiring Accessories</v>
          </cell>
          <cell r="H9" t="str">
            <v>MEM series</v>
          </cell>
          <cell r="I9" t="str">
            <v>10A INT SW</v>
          </cell>
        </row>
        <row r="10">
          <cell r="C10" t="str">
            <v>P021</v>
          </cell>
          <cell r="D10">
            <v>1</v>
          </cell>
          <cell r="E10">
            <v>102</v>
          </cell>
          <cell r="F10" t="str">
            <v>10A switches - 2 Way</v>
          </cell>
          <cell r="G10" t="str">
            <v>PREMERA Wiring Accessories</v>
          </cell>
          <cell r="H10" t="str">
            <v>MEM series</v>
          </cell>
          <cell r="I10" t="str">
            <v>10A 1G 2W SW</v>
          </cell>
        </row>
        <row r="11">
          <cell r="C11" t="str">
            <v>P021P</v>
          </cell>
          <cell r="D11">
            <v>1</v>
          </cell>
          <cell r="E11">
            <v>102</v>
          </cell>
          <cell r="F11" t="str">
            <v>10A switches - 2 Way</v>
          </cell>
          <cell r="G11" t="str">
            <v>PREMERA Wiring Accessories</v>
          </cell>
          <cell r="H11" t="str">
            <v>MEM series</v>
          </cell>
          <cell r="I11" t="str">
            <v>10A 1G 2W SW PUSH</v>
          </cell>
        </row>
        <row r="12">
          <cell r="C12" t="str">
            <v>P022</v>
          </cell>
          <cell r="D12">
            <v>1</v>
          </cell>
          <cell r="E12">
            <v>102</v>
          </cell>
          <cell r="F12" t="str">
            <v>10A switches - 2 Way</v>
          </cell>
          <cell r="G12" t="str">
            <v>PREMERA Wiring Accessories</v>
          </cell>
          <cell r="H12" t="str">
            <v>MEM series</v>
          </cell>
          <cell r="I12" t="str">
            <v>10A 2G 2W SW</v>
          </cell>
        </row>
        <row r="13">
          <cell r="C13" t="str">
            <v>P023</v>
          </cell>
          <cell r="D13">
            <v>1</v>
          </cell>
          <cell r="E13">
            <v>102</v>
          </cell>
          <cell r="F13" t="str">
            <v>10A switches - 2 Way</v>
          </cell>
          <cell r="G13" t="str">
            <v>PREMERA Wiring Accessories</v>
          </cell>
          <cell r="H13" t="str">
            <v>MEM series</v>
          </cell>
          <cell r="I13" t="str">
            <v>10A 3G 2W SW</v>
          </cell>
        </row>
        <row r="14">
          <cell r="C14" t="str">
            <v>P024</v>
          </cell>
          <cell r="D14">
            <v>1</v>
          </cell>
          <cell r="E14">
            <v>102</v>
          </cell>
          <cell r="F14" t="str">
            <v>10A switches - 2 Way</v>
          </cell>
          <cell r="G14" t="str">
            <v>PREMERA Wiring Accessories</v>
          </cell>
          <cell r="H14" t="str">
            <v>MEM series</v>
          </cell>
          <cell r="I14" t="str">
            <v>10A 4G 2W SW</v>
          </cell>
        </row>
        <row r="15">
          <cell r="C15" t="str">
            <v>P026</v>
          </cell>
          <cell r="D15">
            <v>1</v>
          </cell>
          <cell r="E15">
            <v>102</v>
          </cell>
          <cell r="F15" t="str">
            <v>10A switches - 2 Way</v>
          </cell>
          <cell r="G15" t="str">
            <v>PREMERA Wiring Accessories</v>
          </cell>
          <cell r="H15" t="str">
            <v>MEM series</v>
          </cell>
          <cell r="I15" t="str">
            <v>10A 6G 2W SW</v>
          </cell>
        </row>
        <row r="16">
          <cell r="C16" t="str">
            <v>M021A</v>
          </cell>
          <cell r="D16">
            <v>1</v>
          </cell>
          <cell r="E16">
            <v>105</v>
          </cell>
          <cell r="F16" t="str">
            <v>10A architrave switches</v>
          </cell>
          <cell r="G16" t="str">
            <v>PREMERA Wiring Accessories</v>
          </cell>
          <cell r="H16" t="str">
            <v>MEM series</v>
          </cell>
          <cell r="I16" t="str">
            <v>10A 1G 2W SW ARCH</v>
          </cell>
        </row>
        <row r="17">
          <cell r="C17" t="str">
            <v>M022A</v>
          </cell>
          <cell r="D17">
            <v>1</v>
          </cell>
          <cell r="E17">
            <v>105</v>
          </cell>
          <cell r="F17" t="str">
            <v>10A architrave switches</v>
          </cell>
          <cell r="G17" t="str">
            <v>PREMERA Wiring Accessories</v>
          </cell>
          <cell r="H17" t="str">
            <v>MEM series</v>
          </cell>
          <cell r="I17" t="str">
            <v>10A 2G 2W SW ARCH</v>
          </cell>
        </row>
        <row r="18">
          <cell r="C18" t="str">
            <v>M025AP</v>
          </cell>
          <cell r="D18">
            <v>1</v>
          </cell>
          <cell r="E18">
            <v>105</v>
          </cell>
          <cell r="F18" t="str">
            <v>10A architrave switches</v>
          </cell>
          <cell r="G18" t="str">
            <v>PREMERA Wiring Accessories</v>
          </cell>
          <cell r="H18" t="str">
            <v>MEM series</v>
          </cell>
          <cell r="I18" t="str">
            <v>10A 1G 2W ARC PUSH SW PRESS</v>
          </cell>
        </row>
        <row r="19">
          <cell r="C19" t="str">
            <v>P048</v>
          </cell>
          <cell r="D19">
            <v>1</v>
          </cell>
          <cell r="E19">
            <v>200</v>
          </cell>
          <cell r="F19" t="str">
            <v>Fan isoloator</v>
          </cell>
          <cell r="G19" t="str">
            <v>PREMERA Wiring Accessories</v>
          </cell>
          <cell r="H19" t="str">
            <v>MEM series</v>
          </cell>
          <cell r="I19" t="str">
            <v>10A 3 POLE FAN ISOLATOR</v>
          </cell>
        </row>
        <row r="20">
          <cell r="C20" t="str">
            <v>P049</v>
          </cell>
          <cell r="D20">
            <v>1</v>
          </cell>
          <cell r="E20">
            <v>200</v>
          </cell>
          <cell r="F20" t="str">
            <v>Fan isoloator</v>
          </cell>
          <cell r="G20" t="str">
            <v>PREMERA Wiring Accessories</v>
          </cell>
          <cell r="H20" t="str">
            <v>MEM series</v>
          </cell>
          <cell r="I20" t="str">
            <v>10A 3 POLE ISOLATOR</v>
          </cell>
        </row>
        <row r="21">
          <cell r="C21" t="str">
            <v>P032</v>
          </cell>
          <cell r="D21">
            <v>1</v>
          </cell>
          <cell r="E21">
            <v>300</v>
          </cell>
          <cell r="F21" t="str">
            <v>10A broad rocker</v>
          </cell>
          <cell r="G21" t="str">
            <v>PREMERA Wiring Accessories</v>
          </cell>
          <cell r="H21" t="str">
            <v>MEM series</v>
          </cell>
          <cell r="I21" t="str">
            <v>10A 2G 2W H BRDSW</v>
          </cell>
        </row>
        <row r="22">
          <cell r="C22" t="str">
            <v>P041</v>
          </cell>
          <cell r="D22">
            <v>1</v>
          </cell>
          <cell r="E22">
            <v>300</v>
          </cell>
          <cell r="F22" t="str">
            <v>10A broad rocker</v>
          </cell>
          <cell r="G22" t="str">
            <v>PREMERA Wiring Accessories</v>
          </cell>
          <cell r="H22" t="str">
            <v>MEM series</v>
          </cell>
          <cell r="I22" t="str">
            <v>10A 1G 2W BRDSW</v>
          </cell>
        </row>
        <row r="23">
          <cell r="C23" t="str">
            <v>P041P</v>
          </cell>
          <cell r="D23">
            <v>1</v>
          </cell>
          <cell r="E23">
            <v>300</v>
          </cell>
          <cell r="F23" t="str">
            <v>10A broad rocker</v>
          </cell>
          <cell r="G23" t="str">
            <v>PREMERA Wiring Accessories</v>
          </cell>
          <cell r="H23" t="str">
            <v>MEM series</v>
          </cell>
          <cell r="I23" t="str">
            <v>10A 1G 2W BRDSW PUSH</v>
          </cell>
        </row>
        <row r="24">
          <cell r="C24" t="str">
            <v>P042</v>
          </cell>
          <cell r="D24">
            <v>1</v>
          </cell>
          <cell r="E24">
            <v>300</v>
          </cell>
          <cell r="F24" t="str">
            <v>10A broad rocker</v>
          </cell>
          <cell r="G24" t="str">
            <v>PREMERA Wiring Accessories</v>
          </cell>
          <cell r="H24" t="str">
            <v>MEM series</v>
          </cell>
          <cell r="I24" t="str">
            <v>10A 2G 2W BRDSW</v>
          </cell>
        </row>
        <row r="25">
          <cell r="C25" t="str">
            <v>P045</v>
          </cell>
          <cell r="D25">
            <v>1</v>
          </cell>
          <cell r="E25">
            <v>300</v>
          </cell>
          <cell r="F25" t="str">
            <v>10A broad rocker</v>
          </cell>
          <cell r="G25" t="str">
            <v>PREMERA Wiring Accessories</v>
          </cell>
          <cell r="H25" t="str">
            <v>MEM series</v>
          </cell>
          <cell r="I25" t="str">
            <v>10A 1G 1W BRDSW PUSH</v>
          </cell>
        </row>
        <row r="26">
          <cell r="C26" t="str">
            <v>P045P</v>
          </cell>
          <cell r="D26">
            <v>1</v>
          </cell>
          <cell r="E26">
            <v>300</v>
          </cell>
          <cell r="F26" t="str">
            <v>10A broad rocker</v>
          </cell>
          <cell r="G26" t="str">
            <v>PREMERA Wiring Accessories</v>
          </cell>
          <cell r="H26" t="str">
            <v>MEM series</v>
          </cell>
          <cell r="I26" t="str">
            <v>10A 1G 1W BRDSW PUSH PLAIN</v>
          </cell>
        </row>
        <row r="27">
          <cell r="C27" t="str">
            <v>P047</v>
          </cell>
          <cell r="D27">
            <v>1</v>
          </cell>
          <cell r="E27">
            <v>300</v>
          </cell>
          <cell r="F27" t="str">
            <v>10A broad rocker</v>
          </cell>
          <cell r="G27" t="str">
            <v>PREMERA Wiring Accessories</v>
          </cell>
          <cell r="H27" t="str">
            <v>MEM series</v>
          </cell>
          <cell r="I27" t="str">
            <v>10A INT BRDSW</v>
          </cell>
        </row>
        <row r="28">
          <cell r="C28" t="str">
            <v>P043N</v>
          </cell>
          <cell r="D28">
            <v>1</v>
          </cell>
          <cell r="E28">
            <v>305</v>
          </cell>
          <cell r="F28" t="str">
            <v>10A broad rocker - Double Pole</v>
          </cell>
          <cell r="G28" t="str">
            <v>PREMERA Wiring Accessories</v>
          </cell>
          <cell r="H28" t="str">
            <v>MEM series</v>
          </cell>
          <cell r="I28" t="str">
            <v>10A 1G DP BRDSW NEON</v>
          </cell>
        </row>
        <row r="29">
          <cell r="C29" t="str">
            <v>P450</v>
          </cell>
          <cell r="D29">
            <v>1</v>
          </cell>
          <cell r="E29">
            <v>310</v>
          </cell>
          <cell r="F29" t="str">
            <v>16A hotel switch</v>
          </cell>
          <cell r="G29" t="str">
            <v>PREMERA Wiring Accessories</v>
          </cell>
          <cell r="H29" t="str">
            <v>MEM series</v>
          </cell>
          <cell r="I29" t="str">
            <v>16A HOTEL ROOM SWITCH</v>
          </cell>
        </row>
        <row r="30">
          <cell r="C30" t="str">
            <v>P9131</v>
          </cell>
          <cell r="D30">
            <v>1</v>
          </cell>
          <cell r="E30">
            <v>401</v>
          </cell>
          <cell r="F30" t="str">
            <v>Dimmers</v>
          </cell>
          <cell r="G30" t="str">
            <v>PREMERA Wiring Accessories</v>
          </cell>
          <cell r="H30" t="str">
            <v>MEM series</v>
          </cell>
          <cell r="I30" t="str">
            <v>250W 1G 2W PUSH TUNGSTEN</v>
          </cell>
        </row>
        <row r="31">
          <cell r="C31" t="str">
            <v>P9132</v>
          </cell>
          <cell r="D31">
            <v>1</v>
          </cell>
          <cell r="E31">
            <v>402</v>
          </cell>
          <cell r="F31" t="str">
            <v>Dimmers</v>
          </cell>
          <cell r="G31" t="str">
            <v>PREMERA Wiring Accessories</v>
          </cell>
          <cell r="H31" t="str">
            <v>MEM series</v>
          </cell>
          <cell r="I31" t="str">
            <v>250W 2G 2W PUSH TUNGSTEN</v>
          </cell>
        </row>
        <row r="32">
          <cell r="C32" t="str">
            <v>P9141</v>
          </cell>
          <cell r="D32">
            <v>1</v>
          </cell>
          <cell r="E32">
            <v>403</v>
          </cell>
          <cell r="F32" t="str">
            <v>Dimmers</v>
          </cell>
          <cell r="G32" t="str">
            <v>PREMERA Wiring Accessories</v>
          </cell>
          <cell r="H32" t="str">
            <v>MEM series</v>
          </cell>
          <cell r="I32" t="str">
            <v>400W 1G 2W PUSH TUNGSTEN</v>
          </cell>
        </row>
        <row r="33">
          <cell r="C33" t="str">
            <v>P9142</v>
          </cell>
          <cell r="D33">
            <v>1</v>
          </cell>
          <cell r="E33">
            <v>404</v>
          </cell>
          <cell r="F33" t="str">
            <v>Dimmers</v>
          </cell>
          <cell r="G33" t="str">
            <v>PREMERA Wiring Accessories</v>
          </cell>
          <cell r="H33" t="str">
            <v>MEM series</v>
          </cell>
          <cell r="I33" t="str">
            <v>400W 2G 2W PUSH TUNGSTEN</v>
          </cell>
        </row>
        <row r="34">
          <cell r="C34" t="str">
            <v>P9111</v>
          </cell>
          <cell r="D34">
            <v>1</v>
          </cell>
          <cell r="E34">
            <v>405</v>
          </cell>
          <cell r="F34" t="str">
            <v>Dimmers</v>
          </cell>
          <cell r="G34" t="str">
            <v>PREMERA Wiring Accessories</v>
          </cell>
          <cell r="H34" t="str">
            <v>MEM series</v>
          </cell>
          <cell r="I34" t="str">
            <v>1000W 1G 2W PUSH TUNGSTEN</v>
          </cell>
        </row>
        <row r="35">
          <cell r="C35" t="str">
            <v>P9101</v>
          </cell>
          <cell r="D35">
            <v>1</v>
          </cell>
          <cell r="E35">
            <v>406</v>
          </cell>
          <cell r="F35" t="str">
            <v>Dimmers</v>
          </cell>
          <cell r="G35" t="str">
            <v>PREMERA Wiring Accessories</v>
          </cell>
          <cell r="H35" t="str">
            <v>MEM series</v>
          </cell>
          <cell r="I35" t="str">
            <v>1-10V ANALOGUE 1G 1W</v>
          </cell>
        </row>
        <row r="36">
          <cell r="C36" t="str">
            <v>P9551</v>
          </cell>
          <cell r="D36">
            <v>1</v>
          </cell>
          <cell r="E36">
            <v>407</v>
          </cell>
          <cell r="F36" t="str">
            <v>Dimmers</v>
          </cell>
          <cell r="G36" t="str">
            <v>PREMERA Wiring Accessories</v>
          </cell>
          <cell r="H36" t="str">
            <v>MEM series</v>
          </cell>
          <cell r="I36" t="str">
            <v>500W 1G 1W TUNGSTEN NON EURO</v>
          </cell>
        </row>
        <row r="37">
          <cell r="C37" t="str">
            <v>P9552</v>
          </cell>
          <cell r="D37">
            <v>1</v>
          </cell>
          <cell r="E37">
            <v>408</v>
          </cell>
          <cell r="F37" t="str">
            <v>Dimmers</v>
          </cell>
          <cell r="G37" t="str">
            <v>PREMERA Wiring Accessories</v>
          </cell>
          <cell r="H37" t="str">
            <v>MEM series</v>
          </cell>
          <cell r="I37" t="str">
            <v>500W 2G 1W TUNGSTEN NON EURO</v>
          </cell>
        </row>
        <row r="38">
          <cell r="C38" t="str">
            <v>P9511</v>
          </cell>
          <cell r="D38">
            <v>1</v>
          </cell>
          <cell r="E38">
            <v>409</v>
          </cell>
          <cell r="F38" t="str">
            <v>Dimmers</v>
          </cell>
          <cell r="G38" t="str">
            <v>PREMERA Wiring Accessories</v>
          </cell>
          <cell r="H38" t="str">
            <v>MEM series</v>
          </cell>
          <cell r="I38" t="str">
            <v>1000W 1G 1W TUNGSTEN NON EURO</v>
          </cell>
        </row>
        <row r="39">
          <cell r="C39" t="str">
            <v>P9751</v>
          </cell>
          <cell r="D39">
            <v>1</v>
          </cell>
          <cell r="E39">
            <v>410</v>
          </cell>
          <cell r="F39" t="str">
            <v>Dimmers</v>
          </cell>
          <cell r="G39" t="str">
            <v>PREMERA Wiring Accessories</v>
          </cell>
          <cell r="H39" t="str">
            <v>MEM series</v>
          </cell>
          <cell r="I39" t="str">
            <v>60-500W FAN CONTROLER - NON-EURO</v>
          </cell>
        </row>
        <row r="40">
          <cell r="C40" t="str">
            <v>P611</v>
          </cell>
          <cell r="D40">
            <v>1</v>
          </cell>
          <cell r="E40">
            <v>500</v>
          </cell>
          <cell r="F40" t="str">
            <v>13a Switched sockets - Single Pole</v>
          </cell>
          <cell r="G40" t="str">
            <v>PREMERA Wiring Accessories</v>
          </cell>
          <cell r="H40" t="str">
            <v>MEM series</v>
          </cell>
          <cell r="I40" t="str">
            <v>13A 1G SP SW SKT</v>
          </cell>
        </row>
        <row r="41">
          <cell r="C41" t="str">
            <v>P612</v>
          </cell>
          <cell r="D41">
            <v>1</v>
          </cell>
          <cell r="E41">
            <v>500</v>
          </cell>
          <cell r="F41" t="str">
            <v>13a Switched sockets - Single Pole</v>
          </cell>
          <cell r="G41" t="str">
            <v>PREMERA Wiring Accessories</v>
          </cell>
          <cell r="H41" t="str">
            <v>MEM series</v>
          </cell>
          <cell r="I41" t="str">
            <v>13A 2G SP SW SKT</v>
          </cell>
        </row>
        <row r="42">
          <cell r="C42" t="str">
            <v>P621</v>
          </cell>
          <cell r="D42">
            <v>1</v>
          </cell>
          <cell r="E42">
            <v>505</v>
          </cell>
          <cell r="F42" t="str">
            <v>13a Switched sockets - Double Pole</v>
          </cell>
          <cell r="G42" t="str">
            <v>PREMERA Wiring Accessories</v>
          </cell>
          <cell r="H42" t="str">
            <v>MEM series</v>
          </cell>
          <cell r="I42" t="str">
            <v>13A 1G DP SW SKT 2 E TERM</v>
          </cell>
        </row>
        <row r="43">
          <cell r="C43" t="str">
            <v>P621GY</v>
          </cell>
          <cell r="D43">
            <v>1</v>
          </cell>
          <cell r="E43">
            <v>505</v>
          </cell>
          <cell r="F43" t="str">
            <v>13a Switched sockets - Double Pole</v>
          </cell>
          <cell r="G43" t="str">
            <v>PREMERA Wiring Accessories</v>
          </cell>
          <cell r="H43" t="str">
            <v>MEM series</v>
          </cell>
          <cell r="I43" t="str">
            <v>13A 1G DP SW SKT 2 E TERM GREY</v>
          </cell>
        </row>
        <row r="44">
          <cell r="C44" t="str">
            <v>P621N</v>
          </cell>
          <cell r="D44">
            <v>1</v>
          </cell>
          <cell r="E44">
            <v>505</v>
          </cell>
          <cell r="F44" t="str">
            <v>13a Switched sockets - Double Pole</v>
          </cell>
          <cell r="G44" t="str">
            <v>PREMERA Wiring Accessories</v>
          </cell>
          <cell r="H44" t="str">
            <v>MEM series</v>
          </cell>
          <cell r="I44" t="str">
            <v>13A 1G DP SW SKT 2 E TERM NEON</v>
          </cell>
        </row>
        <row r="45">
          <cell r="C45" t="str">
            <v>P621RED</v>
          </cell>
          <cell r="D45">
            <v>1</v>
          </cell>
          <cell r="E45">
            <v>505</v>
          </cell>
          <cell r="F45" t="str">
            <v>13a Switched sockets - Double Pole</v>
          </cell>
          <cell r="G45" t="str">
            <v>PREMERA Wiring Accessories</v>
          </cell>
          <cell r="H45" t="str">
            <v>MEM series</v>
          </cell>
          <cell r="I45" t="str">
            <v>1 GANG DP RED 13A SW SOCKET</v>
          </cell>
        </row>
        <row r="46">
          <cell r="C46" t="str">
            <v>P621RR</v>
          </cell>
          <cell r="D46">
            <v>1</v>
          </cell>
          <cell r="E46">
            <v>505</v>
          </cell>
          <cell r="F46" t="str">
            <v>13a Switched sockets - Double Pole</v>
          </cell>
          <cell r="G46" t="str">
            <v>PREMERA Wiring Accessories</v>
          </cell>
          <cell r="H46" t="str">
            <v>MEM series</v>
          </cell>
          <cell r="I46" t="str">
            <v>13A 1G DP SW SKT 2 E TERM RED</v>
          </cell>
        </row>
        <row r="47">
          <cell r="C47" t="str">
            <v>P622</v>
          </cell>
          <cell r="D47">
            <v>1</v>
          </cell>
          <cell r="E47">
            <v>505</v>
          </cell>
          <cell r="F47" t="str">
            <v>13a Switched sockets - Double Pole</v>
          </cell>
          <cell r="G47" t="str">
            <v>PREMERA Wiring Accessories</v>
          </cell>
          <cell r="H47" t="str">
            <v>MEM series</v>
          </cell>
          <cell r="I47" t="str">
            <v>13A 2G DP SW SKT 2 E TERM</v>
          </cell>
        </row>
        <row r="48">
          <cell r="C48" t="str">
            <v>P622N</v>
          </cell>
          <cell r="D48">
            <v>1</v>
          </cell>
          <cell r="E48">
            <v>505</v>
          </cell>
          <cell r="F48" t="str">
            <v>13a Switched sockets - Double Pole</v>
          </cell>
          <cell r="G48" t="str">
            <v>PREMERA Wiring Accessories</v>
          </cell>
          <cell r="H48" t="str">
            <v>MEM series</v>
          </cell>
          <cell r="I48" t="str">
            <v>13A 2G DP SW SKT 2 E TERM NEON</v>
          </cell>
        </row>
        <row r="49">
          <cell r="C49" t="str">
            <v>P622RR</v>
          </cell>
          <cell r="D49">
            <v>1</v>
          </cell>
          <cell r="E49">
            <v>505</v>
          </cell>
          <cell r="F49" t="str">
            <v>13a Switched sockets - Double Pole</v>
          </cell>
          <cell r="G49" t="str">
            <v>PREMERA Wiring Accessories</v>
          </cell>
          <cell r="H49" t="str">
            <v>MEM series</v>
          </cell>
          <cell r="I49" t="str">
            <v>13A 2G DP SW SKT 2 E TERM RED</v>
          </cell>
        </row>
        <row r="50">
          <cell r="C50" t="str">
            <v>P632</v>
          </cell>
          <cell r="D50">
            <v>1</v>
          </cell>
          <cell r="E50">
            <v>510</v>
          </cell>
          <cell r="F50" t="str">
            <v>13a Switched sockets - DP Outboard</v>
          </cell>
          <cell r="G50" t="str">
            <v>PREMERA Wiring Accessories</v>
          </cell>
          <cell r="H50" t="str">
            <v>MEM series</v>
          </cell>
          <cell r="I50" t="str">
            <v>13A 2G DP SW SKT 2 E TERM OB R</v>
          </cell>
        </row>
        <row r="51">
          <cell r="C51" t="str">
            <v>P632GY</v>
          </cell>
          <cell r="D51">
            <v>1</v>
          </cell>
          <cell r="E51">
            <v>510</v>
          </cell>
          <cell r="F51" t="str">
            <v>13a Switched sockets - DP Outboard</v>
          </cell>
          <cell r="G51" t="str">
            <v>PREMERA Wiring Accessories</v>
          </cell>
          <cell r="H51" t="str">
            <v>MEM series</v>
          </cell>
          <cell r="I51" t="str">
            <v>13A 2G DP SW SKT 2 E TERM OB R GREY</v>
          </cell>
        </row>
        <row r="52">
          <cell r="C52" t="str">
            <v>P632N</v>
          </cell>
          <cell r="D52">
            <v>1</v>
          </cell>
          <cell r="E52">
            <v>510</v>
          </cell>
          <cell r="F52" t="str">
            <v>13a Switched sockets - DP Outboard</v>
          </cell>
          <cell r="G52" t="str">
            <v>PREMERA Wiring Accessories</v>
          </cell>
          <cell r="H52" t="str">
            <v>MEM series</v>
          </cell>
          <cell r="I52" t="str">
            <v>13A 2G DP SW SKT 2E TERM OB RK</v>
          </cell>
        </row>
        <row r="53">
          <cell r="C53" t="str">
            <v>P632RED</v>
          </cell>
          <cell r="D53">
            <v>1</v>
          </cell>
          <cell r="E53">
            <v>510</v>
          </cell>
          <cell r="F53" t="str">
            <v>13a Switched sockets - DP Outboard</v>
          </cell>
          <cell r="G53" t="str">
            <v>PREMERA Wiring Accessories</v>
          </cell>
          <cell r="H53" t="str">
            <v>MEM series</v>
          </cell>
          <cell r="I53" t="str">
            <v>13A MOULDED 2 G DP OUTBOARD SW</v>
          </cell>
        </row>
        <row r="54">
          <cell r="C54" t="str">
            <v>P632RR</v>
          </cell>
          <cell r="D54">
            <v>1</v>
          </cell>
          <cell r="E54">
            <v>510</v>
          </cell>
          <cell r="F54" t="str">
            <v>13a Switched sockets - DP Outboard</v>
          </cell>
          <cell r="G54" t="str">
            <v>PREMERA Wiring Accessories</v>
          </cell>
          <cell r="H54" t="str">
            <v>MEM series</v>
          </cell>
          <cell r="I54" t="str">
            <v>13A 2G DP SW SKT 2 E TERM OB R</v>
          </cell>
        </row>
        <row r="55">
          <cell r="C55" t="str">
            <v>P651</v>
          </cell>
          <cell r="D55">
            <v>1</v>
          </cell>
          <cell r="E55">
            <v>515</v>
          </cell>
          <cell r="F55" t="str">
            <v>13a Switched sockets - Non- Std</v>
          </cell>
          <cell r="G55" t="str">
            <v>PREMERA Wiring Accessories</v>
          </cell>
          <cell r="H55" t="str">
            <v>MEM series</v>
          </cell>
          <cell r="I55" t="str">
            <v>13A 1G DP SW SKT 2 E TERM N-ST</v>
          </cell>
        </row>
        <row r="56">
          <cell r="C56" t="str">
            <v>P651N</v>
          </cell>
          <cell r="D56">
            <v>1</v>
          </cell>
          <cell r="E56">
            <v>515</v>
          </cell>
          <cell r="F56" t="str">
            <v>13a Switched sockets - Non- Std</v>
          </cell>
          <cell r="G56" t="str">
            <v>PREMERA Wiring Accessories</v>
          </cell>
          <cell r="H56" t="str">
            <v>MEM series</v>
          </cell>
          <cell r="I56" t="str">
            <v>13A 1G DP SW SKT 2 E TERM N-ST</v>
          </cell>
        </row>
        <row r="57">
          <cell r="C57" t="str">
            <v>P652</v>
          </cell>
          <cell r="D57">
            <v>1</v>
          </cell>
          <cell r="E57">
            <v>515</v>
          </cell>
          <cell r="F57" t="str">
            <v>13a Switched sockets - Non- Std</v>
          </cell>
          <cell r="G57" t="str">
            <v>PREMERA Wiring Accessories</v>
          </cell>
          <cell r="H57" t="str">
            <v>MEM series</v>
          </cell>
          <cell r="I57" t="str">
            <v>13A 2G DP SW SKT 2 E TERM OB R</v>
          </cell>
        </row>
        <row r="58">
          <cell r="C58" t="str">
            <v>P652RR</v>
          </cell>
          <cell r="D58">
            <v>1</v>
          </cell>
          <cell r="E58">
            <v>515</v>
          </cell>
          <cell r="F58" t="str">
            <v>13a Switched sockets - Non- Std</v>
          </cell>
          <cell r="G58" t="str">
            <v>PREMERA Wiring Accessories</v>
          </cell>
          <cell r="H58" t="str">
            <v>MEM series</v>
          </cell>
          <cell r="I58" t="str">
            <v>13A 2G DP SW SKT 2 E TERM OB R</v>
          </cell>
        </row>
        <row r="59">
          <cell r="C59" t="str">
            <v>P671N</v>
          </cell>
          <cell r="D59">
            <v>1</v>
          </cell>
          <cell r="E59">
            <v>520</v>
          </cell>
          <cell r="F59" t="str">
            <v>13a Switched sockets - Clean Earth</v>
          </cell>
          <cell r="G59" t="str">
            <v>PREMERA Wiring Accessories</v>
          </cell>
          <cell r="H59" t="str">
            <v>MEM series</v>
          </cell>
          <cell r="I59" t="str">
            <v>13A 1G DP SW SKT 2 E TERM CE N</v>
          </cell>
        </row>
        <row r="60">
          <cell r="C60" t="str">
            <v>P671RR</v>
          </cell>
          <cell r="D60">
            <v>1</v>
          </cell>
          <cell r="E60">
            <v>520</v>
          </cell>
          <cell r="F60" t="str">
            <v>13a Switched sockets - Clean Earth</v>
          </cell>
          <cell r="G60" t="str">
            <v>PREMERA Wiring Accessories</v>
          </cell>
          <cell r="H60" t="str">
            <v>MEM series</v>
          </cell>
          <cell r="I60" t="str">
            <v>13A 1G DP SW SKT 2 E TERM CE R</v>
          </cell>
        </row>
        <row r="61">
          <cell r="C61" t="str">
            <v>P672</v>
          </cell>
          <cell r="D61">
            <v>1</v>
          </cell>
          <cell r="E61">
            <v>520</v>
          </cell>
          <cell r="F61" t="str">
            <v>13a Switched sockets - Clean Earth</v>
          </cell>
          <cell r="G61" t="str">
            <v>PREMERA Wiring Accessories</v>
          </cell>
          <cell r="H61" t="str">
            <v>MEM series</v>
          </cell>
          <cell r="I61" t="str">
            <v>13A 2G DP SW SKT 2 E TERM OB R</v>
          </cell>
        </row>
        <row r="62">
          <cell r="C62" t="str">
            <v>P685</v>
          </cell>
          <cell r="D62">
            <v>1</v>
          </cell>
          <cell r="E62">
            <v>600</v>
          </cell>
          <cell r="F62" t="str">
            <v>13a RCD socket</v>
          </cell>
          <cell r="G62" t="str">
            <v>PREMERA Wiring Accessories</v>
          </cell>
          <cell r="H62" t="str">
            <v>MEM series</v>
          </cell>
          <cell r="I62" t="str">
            <v>13A 2G DP RCD SW SKT 10mA P</v>
          </cell>
        </row>
        <row r="63">
          <cell r="C63" t="str">
            <v>P686</v>
          </cell>
          <cell r="D63">
            <v>1</v>
          </cell>
          <cell r="E63">
            <v>600</v>
          </cell>
          <cell r="F63" t="str">
            <v>13a RCD socket</v>
          </cell>
          <cell r="G63" t="str">
            <v>PREMERA Wiring Accessories</v>
          </cell>
          <cell r="H63" t="str">
            <v>MEM series</v>
          </cell>
          <cell r="I63" t="str">
            <v>13A 2G DP RCD SW SKT 30mA P</v>
          </cell>
        </row>
        <row r="64">
          <cell r="C64" t="str">
            <v>P686RED</v>
          </cell>
          <cell r="D64">
            <v>1</v>
          </cell>
          <cell r="E64">
            <v>600</v>
          </cell>
          <cell r="F64" t="str">
            <v>13a RCD socket</v>
          </cell>
          <cell r="G64" t="str">
            <v>PREMERA Wiring Accessories</v>
          </cell>
          <cell r="H64" t="str">
            <v>MEM series</v>
          </cell>
          <cell r="I64" t="str">
            <v>13A 2G DP RCD SKT 30mA P RED</v>
          </cell>
        </row>
        <row r="65">
          <cell r="C65" t="str">
            <v>P955</v>
          </cell>
          <cell r="D65">
            <v>1</v>
          </cell>
          <cell r="E65">
            <v>610</v>
          </cell>
          <cell r="F65" t="str">
            <v>Lounge plates</v>
          </cell>
          <cell r="G65" t="str">
            <v>PREMERA Wiring Accessories</v>
          </cell>
          <cell r="H65" t="str">
            <v>MEM series</v>
          </cell>
          <cell r="I65" t="str">
            <v>LOUNGE PLATE 4 SKTS, SAT II, RETURN, SEC BT METAL WHITE</v>
          </cell>
        </row>
        <row r="66">
          <cell r="C66" t="str">
            <v>P956</v>
          </cell>
          <cell r="D66">
            <v>1</v>
          </cell>
          <cell r="E66">
            <v>610</v>
          </cell>
          <cell r="F66" t="str">
            <v>Lounge plates</v>
          </cell>
          <cell r="G66" t="str">
            <v>PREMERA Wiring Accessories</v>
          </cell>
          <cell r="H66" t="str">
            <v>MEM series</v>
          </cell>
          <cell r="I66" t="str">
            <v>LOUNGE PLATE 4 SKTS, SAT II, RETURN, SEC BT, SPARE, METAL WHITE</v>
          </cell>
        </row>
        <row r="67">
          <cell r="C67" t="str">
            <v>P111</v>
          </cell>
          <cell r="D67">
            <v>1</v>
          </cell>
          <cell r="E67">
            <v>700</v>
          </cell>
          <cell r="F67" t="str">
            <v>Unswitched sockets</v>
          </cell>
          <cell r="G67" t="str">
            <v>PREMERA Wiring Accessories</v>
          </cell>
          <cell r="H67" t="str">
            <v>MEM series</v>
          </cell>
          <cell r="I67" t="str">
            <v>13A 1G SKT</v>
          </cell>
        </row>
        <row r="68">
          <cell r="C68" t="str">
            <v>P112</v>
          </cell>
          <cell r="D68">
            <v>1</v>
          </cell>
          <cell r="E68">
            <v>700</v>
          </cell>
          <cell r="F68" t="str">
            <v>Unswitched sockets</v>
          </cell>
          <cell r="G68" t="str">
            <v>PREMERA Wiring Accessories</v>
          </cell>
          <cell r="H68" t="str">
            <v>MEM series</v>
          </cell>
          <cell r="I68" t="str">
            <v>13A 2G SKT</v>
          </cell>
        </row>
        <row r="69">
          <cell r="C69" t="str">
            <v>P415</v>
          </cell>
          <cell r="D69">
            <v>1</v>
          </cell>
          <cell r="E69">
            <v>900</v>
          </cell>
          <cell r="F69" t="str">
            <v>15Amp sockets</v>
          </cell>
          <cell r="G69" t="str">
            <v>PREMERA Wiring Accessories</v>
          </cell>
          <cell r="H69" t="str">
            <v>MEM series</v>
          </cell>
          <cell r="I69" t="str">
            <v>15A 1G SP SW SKT</v>
          </cell>
        </row>
        <row r="70">
          <cell r="C70" t="str">
            <v>P370</v>
          </cell>
          <cell r="D70">
            <v>1</v>
          </cell>
          <cell r="E70">
            <v>1000</v>
          </cell>
          <cell r="F70" t="str">
            <v>Shaver socket</v>
          </cell>
          <cell r="G70" t="str">
            <v>PREMERA Wiring Accessories</v>
          </cell>
          <cell r="H70" t="str">
            <v>MEM series</v>
          </cell>
          <cell r="I70" t="str">
            <v>SHAVER DUAL V 230 110AC</v>
          </cell>
        </row>
        <row r="71">
          <cell r="C71" t="str">
            <v>P221</v>
          </cell>
          <cell r="D71">
            <v>1</v>
          </cell>
          <cell r="E71">
            <v>1100</v>
          </cell>
          <cell r="F71" t="str">
            <v>13A connection units  - Switched</v>
          </cell>
          <cell r="G71" t="str">
            <v>PREMERA Wiring Accessories</v>
          </cell>
          <cell r="H71" t="str">
            <v>MEM series</v>
          </cell>
          <cell r="I71" t="str">
            <v>13A SW CONNECTION UNIT</v>
          </cell>
        </row>
        <row r="72">
          <cell r="C72" t="str">
            <v>P221BO</v>
          </cell>
          <cell r="D72">
            <v>1</v>
          </cell>
          <cell r="E72">
            <v>1100</v>
          </cell>
          <cell r="F72" t="str">
            <v>13A connection units  - Switched</v>
          </cell>
          <cell r="G72" t="str">
            <v>PREMERA Wiring Accessories</v>
          </cell>
          <cell r="H72" t="str">
            <v>MEM series</v>
          </cell>
          <cell r="I72" t="str">
            <v>13A SW CONN UNIT BOILER</v>
          </cell>
        </row>
        <row r="73">
          <cell r="C73" t="str">
            <v>P221CH</v>
          </cell>
          <cell r="D73">
            <v>1</v>
          </cell>
          <cell r="E73">
            <v>1100</v>
          </cell>
          <cell r="F73" t="str">
            <v>13A connection units  - Switched</v>
          </cell>
          <cell r="G73" t="str">
            <v>PREMERA Wiring Accessories</v>
          </cell>
          <cell r="H73" t="str">
            <v>MEM series</v>
          </cell>
          <cell r="I73" t="str">
            <v>13A SW CON UNIT CH</v>
          </cell>
        </row>
        <row r="74">
          <cell r="C74" t="str">
            <v>P221CKH</v>
          </cell>
          <cell r="D74">
            <v>1</v>
          </cell>
          <cell r="E74">
            <v>1100</v>
          </cell>
          <cell r="F74" t="str">
            <v>13A connection units  - Switched</v>
          </cell>
          <cell r="G74" t="str">
            <v>PREMERA Wiring Accessories</v>
          </cell>
          <cell r="H74" t="str">
            <v>MEM series</v>
          </cell>
          <cell r="I74" t="str">
            <v>13A SW CONN UNIT COOKER HOOD</v>
          </cell>
        </row>
        <row r="75">
          <cell r="C75" t="str">
            <v>P221DW</v>
          </cell>
          <cell r="D75">
            <v>1</v>
          </cell>
          <cell r="E75">
            <v>1100</v>
          </cell>
          <cell r="F75" t="str">
            <v>13A connection units  - Switched</v>
          </cell>
          <cell r="G75" t="str">
            <v>PREMERA Wiring Accessories</v>
          </cell>
          <cell r="H75" t="str">
            <v>MEM series</v>
          </cell>
          <cell r="I75" t="str">
            <v>13A SW CON UNIT DW</v>
          </cell>
        </row>
        <row r="76">
          <cell r="C76" t="str">
            <v>P221EF</v>
          </cell>
          <cell r="D76">
            <v>1</v>
          </cell>
          <cell r="E76">
            <v>1100</v>
          </cell>
          <cell r="F76" t="str">
            <v>13A connection units  - Switched</v>
          </cell>
          <cell r="G76" t="str">
            <v>PREMERA Wiring Accessories</v>
          </cell>
          <cell r="H76" t="str">
            <v>MEM series</v>
          </cell>
          <cell r="I76" t="str">
            <v>13A SW CON UNIT EF</v>
          </cell>
        </row>
        <row r="77">
          <cell r="C77" t="str">
            <v>P221GY</v>
          </cell>
          <cell r="D77">
            <v>1</v>
          </cell>
          <cell r="E77">
            <v>1100</v>
          </cell>
          <cell r="F77" t="str">
            <v>13A connection units  - Switched</v>
          </cell>
          <cell r="G77" t="str">
            <v>PREMERA Wiring Accessories</v>
          </cell>
          <cell r="H77" t="str">
            <v>MEM series</v>
          </cell>
          <cell r="I77" t="str">
            <v>13A SW CONNECTION UNIT GREY</v>
          </cell>
        </row>
        <row r="78">
          <cell r="C78" t="str">
            <v>P221R</v>
          </cell>
          <cell r="D78">
            <v>1</v>
          </cell>
          <cell r="E78">
            <v>1100</v>
          </cell>
          <cell r="F78" t="str">
            <v>13A connection units  - Switched</v>
          </cell>
          <cell r="G78" t="str">
            <v>PREMERA Wiring Accessories</v>
          </cell>
          <cell r="H78" t="str">
            <v>MEM series</v>
          </cell>
          <cell r="I78" t="str">
            <v>13A SW FCU REFRIGERATOR</v>
          </cell>
        </row>
        <row r="79">
          <cell r="C79" t="str">
            <v>P221RR</v>
          </cell>
          <cell r="D79">
            <v>1</v>
          </cell>
          <cell r="E79">
            <v>1100</v>
          </cell>
          <cell r="F79" t="str">
            <v>13A connection units  - Switched</v>
          </cell>
          <cell r="G79" t="str">
            <v>PREMERA Wiring Accessories</v>
          </cell>
          <cell r="H79" t="str">
            <v>MEM series</v>
          </cell>
          <cell r="I79" t="str">
            <v>13A SW CON UNIT RR</v>
          </cell>
        </row>
        <row r="80">
          <cell r="C80" t="str">
            <v>P221WM</v>
          </cell>
          <cell r="D80">
            <v>1</v>
          </cell>
          <cell r="E80">
            <v>1100</v>
          </cell>
          <cell r="F80" t="str">
            <v>13A connection units  - Switched</v>
          </cell>
          <cell r="G80" t="str">
            <v>PREMERA Wiring Accessories</v>
          </cell>
          <cell r="H80" t="str">
            <v>MEM series</v>
          </cell>
          <cell r="I80" t="str">
            <v>13A SW CON UNIT WM</v>
          </cell>
        </row>
        <row r="81">
          <cell r="C81" t="str">
            <v>P223</v>
          </cell>
          <cell r="D81">
            <v>1</v>
          </cell>
          <cell r="E81">
            <v>1120</v>
          </cell>
          <cell r="F81" t="str">
            <v>13A connection units - unswitched</v>
          </cell>
          <cell r="G81" t="str">
            <v>PREMERA Wiring Accessories</v>
          </cell>
          <cell r="H81" t="str">
            <v>MEM series</v>
          </cell>
          <cell r="I81" t="str">
            <v>3A CON UNIT</v>
          </cell>
        </row>
        <row r="82">
          <cell r="C82" t="str">
            <v>P221N</v>
          </cell>
          <cell r="D82">
            <v>1</v>
          </cell>
          <cell r="E82">
            <v>1105</v>
          </cell>
          <cell r="F82" t="str">
            <v>13A connection units  - Switched Neon</v>
          </cell>
          <cell r="G82" t="str">
            <v>PREMERA Wiring Accessories</v>
          </cell>
          <cell r="H82" t="str">
            <v>MEM series</v>
          </cell>
          <cell r="I82" t="str">
            <v>13A SW CON UNIT NEON</v>
          </cell>
        </row>
        <row r="83">
          <cell r="C83" t="str">
            <v>P221NGY</v>
          </cell>
          <cell r="D83">
            <v>1</v>
          </cell>
          <cell r="E83">
            <v>1105</v>
          </cell>
          <cell r="F83" t="str">
            <v>13A connection units  - Switched Neon</v>
          </cell>
          <cell r="G83" t="str">
            <v>PREMERA Wiring Accessories</v>
          </cell>
          <cell r="H83" t="str">
            <v>MEM series</v>
          </cell>
          <cell r="I83" t="str">
            <v>13A SW CON UNIT NEON GREY</v>
          </cell>
        </row>
        <row r="84">
          <cell r="C84" t="str">
            <v>P221NR</v>
          </cell>
          <cell r="D84">
            <v>1</v>
          </cell>
          <cell r="E84">
            <v>1105</v>
          </cell>
          <cell r="F84" t="str">
            <v>13A connection units  - Switched Neon</v>
          </cell>
          <cell r="G84" t="str">
            <v>PREMERA Wiring Accessories</v>
          </cell>
          <cell r="H84" t="str">
            <v>MEM series</v>
          </cell>
          <cell r="I84" t="str">
            <v>13A SW CON UNIT NEON REFRIGERATOR</v>
          </cell>
        </row>
        <row r="85">
          <cell r="C85" t="str">
            <v>P221NRR</v>
          </cell>
          <cell r="D85">
            <v>1</v>
          </cell>
          <cell r="E85">
            <v>1105</v>
          </cell>
          <cell r="F85" t="str">
            <v>13A connection units  - Switched Neon</v>
          </cell>
          <cell r="G85" t="str">
            <v>PREMERA Wiring Accessories</v>
          </cell>
          <cell r="H85" t="str">
            <v>MEM series</v>
          </cell>
          <cell r="I85" t="str">
            <v>13A SW FCU NEON RR</v>
          </cell>
        </row>
        <row r="86">
          <cell r="C86" t="str">
            <v>P221NWH</v>
          </cell>
          <cell r="D86">
            <v>1</v>
          </cell>
          <cell r="E86">
            <v>1105</v>
          </cell>
          <cell r="F86" t="str">
            <v>13A connection units  - Switched Neon</v>
          </cell>
          <cell r="G86" t="str">
            <v>PREMERA Wiring Accessories</v>
          </cell>
          <cell r="H86" t="str">
            <v>MEM series</v>
          </cell>
          <cell r="I86" t="str">
            <v>13A SW FCU NEON WATER HEATER</v>
          </cell>
        </row>
        <row r="87">
          <cell r="C87" t="str">
            <v>P221NWM</v>
          </cell>
          <cell r="D87">
            <v>1</v>
          </cell>
          <cell r="E87">
            <v>1105</v>
          </cell>
          <cell r="F87" t="str">
            <v>13A connection units  - Switched Neon</v>
          </cell>
          <cell r="G87" t="str">
            <v>PREMERA Wiring Accessories</v>
          </cell>
          <cell r="H87" t="str">
            <v>MEM series</v>
          </cell>
          <cell r="I87" t="str">
            <v>13A SW FCU NEON WM</v>
          </cell>
        </row>
        <row r="88">
          <cell r="C88" t="str">
            <v>P221NBO</v>
          </cell>
          <cell r="F88" t="str">
            <v>13A connection units  - Switched Neon</v>
          </cell>
          <cell r="G88" t="str">
            <v>PREMERA Wiring Accessories</v>
          </cell>
          <cell r="H88" t="str">
            <v>MEM series</v>
          </cell>
          <cell r="I88" t="str">
            <v>13A SW CON UNIT NEON-BOILER</v>
          </cell>
        </row>
        <row r="89">
          <cell r="C89" t="str">
            <v>P221NDW</v>
          </cell>
          <cell r="F89" t="str">
            <v>13A connection units  - Switched Neon</v>
          </cell>
          <cell r="G89" t="str">
            <v>PREMERA Wiring Accessories</v>
          </cell>
          <cell r="H89" t="str">
            <v>MEM series</v>
          </cell>
          <cell r="I89" t="str">
            <v>13A SW CON UNIT NEON-D WASHER</v>
          </cell>
        </row>
        <row r="90">
          <cell r="C90" t="str">
            <v>P221NFF</v>
          </cell>
          <cell r="F90" t="str">
            <v>13A connection units  - Switched Neon</v>
          </cell>
          <cell r="G90" t="str">
            <v>PREMERA Wiring Accessories</v>
          </cell>
          <cell r="H90" t="str">
            <v>MEM series</v>
          </cell>
          <cell r="I90" t="str">
            <v>13A SW CON UNIT NEON-F FREEZER</v>
          </cell>
        </row>
        <row r="91">
          <cell r="C91" t="str">
            <v>P221NHO</v>
          </cell>
          <cell r="F91" t="str">
            <v>13A connection units  - Switched Neon</v>
          </cell>
          <cell r="G91" t="str">
            <v>PREMERA Wiring Accessories</v>
          </cell>
          <cell r="H91" t="str">
            <v>MEM series</v>
          </cell>
          <cell r="I91" t="str">
            <v>13A SW CON UNIT NEON-HOB</v>
          </cell>
        </row>
        <row r="92">
          <cell r="C92" t="str">
            <v>P221NTD</v>
          </cell>
          <cell r="F92" t="str">
            <v>13A connection units  - Switched Neon</v>
          </cell>
          <cell r="G92" t="str">
            <v>PREMERA Wiring Accessories</v>
          </cell>
          <cell r="H92" t="str">
            <v>MEM series</v>
          </cell>
          <cell r="I92" t="str">
            <v>13A SW CON UNIT NEON-T DRYER</v>
          </cell>
        </row>
        <row r="93">
          <cell r="C93" t="str">
            <v>P220</v>
          </cell>
          <cell r="D93">
            <v>1</v>
          </cell>
          <cell r="E93">
            <v>1120</v>
          </cell>
          <cell r="F93" t="str">
            <v>13A connection units - unswitched</v>
          </cell>
          <cell r="G93" t="str">
            <v>PREMERA Wiring Accessories</v>
          </cell>
          <cell r="H93" t="str">
            <v>MEM series</v>
          </cell>
          <cell r="I93" t="str">
            <v>13A CON UNIT</v>
          </cell>
        </row>
        <row r="94">
          <cell r="C94" t="str">
            <v>P220RR</v>
          </cell>
          <cell r="D94">
            <v>1</v>
          </cell>
          <cell r="E94">
            <v>1120</v>
          </cell>
          <cell r="F94" t="str">
            <v>13A connection units - unswitched</v>
          </cell>
          <cell r="G94" t="str">
            <v>PREMERA Wiring Accessories</v>
          </cell>
          <cell r="H94" t="str">
            <v>MEM series</v>
          </cell>
          <cell r="I94" t="str">
            <v>13A CON UNIT RR</v>
          </cell>
        </row>
        <row r="95">
          <cell r="C95" t="str">
            <v>P224</v>
          </cell>
          <cell r="D95">
            <v>1</v>
          </cell>
          <cell r="E95">
            <v>1100</v>
          </cell>
          <cell r="F95" t="str">
            <v>13A connection units  - Switched</v>
          </cell>
          <cell r="G95" t="str">
            <v>PREMERA Wiring Accessories</v>
          </cell>
          <cell r="H95" t="str">
            <v>MEM series</v>
          </cell>
          <cell r="I95" t="str">
            <v>3A SW CON UNIT</v>
          </cell>
        </row>
        <row r="96">
          <cell r="C96" t="str">
            <v>P220N</v>
          </cell>
          <cell r="D96">
            <v>1</v>
          </cell>
          <cell r="E96">
            <v>1125</v>
          </cell>
          <cell r="F96" t="str">
            <v>13A connection units - unswitched Neon</v>
          </cell>
          <cell r="G96" t="str">
            <v>PREMERA Wiring Accessories</v>
          </cell>
          <cell r="H96" t="str">
            <v>MEM series</v>
          </cell>
          <cell r="I96" t="str">
            <v>13A CON UNIT NEON</v>
          </cell>
        </row>
        <row r="97">
          <cell r="C97" t="str">
            <v>P223N</v>
          </cell>
          <cell r="D97">
            <v>1</v>
          </cell>
          <cell r="E97">
            <v>1125</v>
          </cell>
          <cell r="F97" t="str">
            <v>13A connection units - unswitched Neon</v>
          </cell>
          <cell r="G97" t="str">
            <v>PREMERA Wiring Accessories</v>
          </cell>
          <cell r="H97" t="str">
            <v>MEM series</v>
          </cell>
          <cell r="I97" t="str">
            <v>3A FUSED CONN UNIT NEON</v>
          </cell>
        </row>
        <row r="98">
          <cell r="C98" t="str">
            <v>P401</v>
          </cell>
          <cell r="D98">
            <v>1</v>
          </cell>
          <cell r="E98">
            <v>1200</v>
          </cell>
          <cell r="F98" t="str">
            <v>20A switches</v>
          </cell>
          <cell r="G98" t="str">
            <v>PREMERA Wiring Accessories</v>
          </cell>
          <cell r="H98" t="str">
            <v>MEM series</v>
          </cell>
          <cell r="I98" t="str">
            <v>20A DP CONTROL SWITCH</v>
          </cell>
        </row>
        <row r="99">
          <cell r="C99" t="str">
            <v>P403</v>
          </cell>
          <cell r="D99">
            <v>1</v>
          </cell>
          <cell r="E99">
            <v>1200</v>
          </cell>
          <cell r="F99" t="str">
            <v>20A switches</v>
          </cell>
          <cell r="G99" t="str">
            <v>PREMERA Wiring Accessories</v>
          </cell>
          <cell r="H99" t="str">
            <v>MEM series</v>
          </cell>
          <cell r="I99" t="str">
            <v>20A SW MARKED WATER HEATER</v>
          </cell>
        </row>
        <row r="100">
          <cell r="C100" t="str">
            <v>P401N</v>
          </cell>
          <cell r="D100">
            <v>1</v>
          </cell>
          <cell r="E100">
            <v>1205</v>
          </cell>
          <cell r="F100" t="str">
            <v>20A switches - Neon</v>
          </cell>
          <cell r="G100" t="str">
            <v>PREMERA Wiring Accessories</v>
          </cell>
          <cell r="H100" t="str">
            <v>MEM series</v>
          </cell>
          <cell r="I100" t="str">
            <v xml:space="preserve"> 20A DP SW NEON</v>
          </cell>
        </row>
        <row r="101">
          <cell r="C101" t="str">
            <v>P403N</v>
          </cell>
          <cell r="D101">
            <v>1</v>
          </cell>
          <cell r="E101">
            <v>1205</v>
          </cell>
          <cell r="F101" t="str">
            <v>20A switches - Neon</v>
          </cell>
          <cell r="G101" t="str">
            <v>PREMERA Wiring Accessories</v>
          </cell>
          <cell r="H101" t="str">
            <v>MEM series</v>
          </cell>
          <cell r="I101" t="str">
            <v>20A DP SW NEON WATER HEATER</v>
          </cell>
        </row>
        <row r="102">
          <cell r="C102" t="str">
            <v>P404N</v>
          </cell>
          <cell r="D102">
            <v>1</v>
          </cell>
          <cell r="E102">
            <v>1205</v>
          </cell>
          <cell r="F102" t="str">
            <v>20A switches - Neon</v>
          </cell>
          <cell r="G102" t="str">
            <v>PREMERA Wiring Accessories</v>
          </cell>
          <cell r="H102" t="str">
            <v>MEM series</v>
          </cell>
          <cell r="I102" t="str">
            <v>20A DP SW NEON AIR CONDITIONER</v>
          </cell>
        </row>
        <row r="103">
          <cell r="C103" t="str">
            <v>P425</v>
          </cell>
          <cell r="D103">
            <v>1</v>
          </cell>
          <cell r="E103">
            <v>1300</v>
          </cell>
          <cell r="F103" t="str">
            <v>45A / 50A switches -CCU</v>
          </cell>
          <cell r="G103" t="str">
            <v>PREMERA Wiring Accessories</v>
          </cell>
          <cell r="H103" t="str">
            <v>MEM series</v>
          </cell>
          <cell r="I103" t="str">
            <v>45A DP CCU UNIT</v>
          </cell>
        </row>
        <row r="104">
          <cell r="C104" t="str">
            <v>P425N</v>
          </cell>
          <cell r="D104">
            <v>1</v>
          </cell>
          <cell r="E104">
            <v>1300</v>
          </cell>
          <cell r="F104" t="str">
            <v>45A / 50A switches -CCU</v>
          </cell>
          <cell r="G104" t="str">
            <v>PREMERA Wiring Accessories</v>
          </cell>
          <cell r="H104" t="str">
            <v>MEM series</v>
          </cell>
          <cell r="I104" t="str">
            <v>45A DP CCU NEON</v>
          </cell>
        </row>
        <row r="105">
          <cell r="C105" t="str">
            <v>P421</v>
          </cell>
          <cell r="D105">
            <v>1</v>
          </cell>
          <cell r="E105">
            <v>1305</v>
          </cell>
          <cell r="F105" t="str">
            <v>45A / 50A switches - 2 gang size</v>
          </cell>
          <cell r="G105" t="str">
            <v>PREMERA Wiring Accessories</v>
          </cell>
          <cell r="H105" t="str">
            <v>MEM series</v>
          </cell>
          <cell r="I105" t="str">
            <v>50A DP SW</v>
          </cell>
        </row>
        <row r="106">
          <cell r="C106" t="str">
            <v>P421N</v>
          </cell>
          <cell r="D106">
            <v>1</v>
          </cell>
          <cell r="E106">
            <v>1305</v>
          </cell>
          <cell r="F106" t="str">
            <v>45A / 50A switches - 2 gang size</v>
          </cell>
          <cell r="G106" t="str">
            <v>PREMERA Wiring Accessories</v>
          </cell>
          <cell r="H106" t="str">
            <v>MEM series</v>
          </cell>
          <cell r="I106" t="str">
            <v>50A DP SW NEON</v>
          </cell>
        </row>
        <row r="107">
          <cell r="C107" t="str">
            <v>P423</v>
          </cell>
          <cell r="D107">
            <v>1</v>
          </cell>
          <cell r="E107">
            <v>1305</v>
          </cell>
          <cell r="F107" t="str">
            <v>45A / 50A switches - 2 gang size</v>
          </cell>
          <cell r="G107" t="str">
            <v>PREMERA Wiring Accessories</v>
          </cell>
          <cell r="H107" t="str">
            <v>MEM series</v>
          </cell>
          <cell r="I107" t="str">
            <v>50A DP SW 'CKR'</v>
          </cell>
        </row>
        <row r="108">
          <cell r="C108" t="str">
            <v>P423N</v>
          </cell>
          <cell r="D108">
            <v>1</v>
          </cell>
          <cell r="E108">
            <v>1305</v>
          </cell>
          <cell r="F108" t="str">
            <v>45A / 50A switches - 2 gang size</v>
          </cell>
          <cell r="G108" t="str">
            <v>PREMERA Wiring Accessories</v>
          </cell>
          <cell r="H108" t="str">
            <v>MEM series</v>
          </cell>
          <cell r="I108" t="str">
            <v>50A DP SW NEON CKR</v>
          </cell>
        </row>
        <row r="109">
          <cell r="C109" t="str">
            <v>P424N</v>
          </cell>
          <cell r="D109">
            <v>1</v>
          </cell>
          <cell r="E109">
            <v>1305</v>
          </cell>
          <cell r="F109" t="str">
            <v>45A / 50A switches - 2 gang size</v>
          </cell>
          <cell r="G109" t="str">
            <v>PREMERA Wiring Accessories</v>
          </cell>
          <cell r="H109" t="str">
            <v>MEM series</v>
          </cell>
          <cell r="I109" t="str">
            <v>50A DP SW NEON 'AC'</v>
          </cell>
        </row>
        <row r="110">
          <cell r="C110" t="str">
            <v>P422N</v>
          </cell>
          <cell r="D110">
            <v>1</v>
          </cell>
          <cell r="E110">
            <v>1310</v>
          </cell>
          <cell r="F110" t="str">
            <v>45A / 50A switches - 1 gang size</v>
          </cell>
          <cell r="G110" t="str">
            <v>PREMERA Wiring Accessories</v>
          </cell>
          <cell r="H110" t="str">
            <v>MEM series</v>
          </cell>
          <cell r="I110" t="str">
            <v>50A DP SW NEON 1G</v>
          </cell>
        </row>
        <row r="111">
          <cell r="C111" t="str">
            <v>P422NGY</v>
          </cell>
          <cell r="D111">
            <v>1</v>
          </cell>
          <cell r="E111">
            <v>1310</v>
          </cell>
          <cell r="F111" t="str">
            <v>45A / 50A switches - 1 gang size</v>
          </cell>
          <cell r="G111" t="str">
            <v>PREMERA Wiring Accessories</v>
          </cell>
          <cell r="H111" t="str">
            <v>MEM series</v>
          </cell>
          <cell r="I111" t="str">
            <v>50A DP SW NEON 1G GREY</v>
          </cell>
        </row>
        <row r="112">
          <cell r="C112" t="str">
            <v>P426N</v>
          </cell>
          <cell r="D112">
            <v>1</v>
          </cell>
          <cell r="E112">
            <v>1310</v>
          </cell>
          <cell r="F112" t="str">
            <v>45A / 50A switches - 1 gang size</v>
          </cell>
          <cell r="G112" t="str">
            <v>PREMERA Wiring Accessories</v>
          </cell>
          <cell r="H112" t="str">
            <v>MEM series</v>
          </cell>
          <cell r="I112" t="str">
            <v>50A DP SW NEON 1G 'CKR</v>
          </cell>
        </row>
        <row r="113">
          <cell r="C113" t="str">
            <v>P427N</v>
          </cell>
          <cell r="D113">
            <v>1</v>
          </cell>
          <cell r="E113">
            <v>1310</v>
          </cell>
          <cell r="F113" t="str">
            <v>45A / 50A switches - 1 gang size</v>
          </cell>
          <cell r="G113" t="str">
            <v>PREMERA Wiring Accessories</v>
          </cell>
          <cell r="H113" t="str">
            <v>MEM series</v>
          </cell>
          <cell r="I113" t="str">
            <v>50A DP SW NEON 1G  AC</v>
          </cell>
        </row>
        <row r="114">
          <cell r="C114" t="str">
            <v>P210</v>
          </cell>
          <cell r="D114">
            <v>1</v>
          </cell>
          <cell r="E114">
            <v>1400</v>
          </cell>
          <cell r="F114" t="str">
            <v>Cable / Cooker outlet plates</v>
          </cell>
          <cell r="G114" t="str">
            <v>PREMERA Wiring Accessories</v>
          </cell>
          <cell r="H114" t="str">
            <v>MEM series</v>
          </cell>
          <cell r="I114" t="str">
            <v>20A FLEX OUTLET PLATE</v>
          </cell>
        </row>
        <row r="115">
          <cell r="C115" t="str">
            <v>P345</v>
          </cell>
          <cell r="D115">
            <v>1</v>
          </cell>
          <cell r="E115">
            <v>1400</v>
          </cell>
          <cell r="F115" t="str">
            <v>Cable / Cooker outlet plates</v>
          </cell>
          <cell r="G115" t="str">
            <v>PREMERA Wiring Accessories</v>
          </cell>
          <cell r="H115" t="str">
            <v>MEM series</v>
          </cell>
          <cell r="I115" t="str">
            <v>45A DP CABLE OUTLET WITH TERMI</v>
          </cell>
        </row>
        <row r="116">
          <cell r="C116" t="str">
            <v>P212</v>
          </cell>
          <cell r="D116">
            <v>1</v>
          </cell>
          <cell r="E116">
            <v>1405</v>
          </cell>
          <cell r="F116" t="str">
            <v>FCU &amp; 20A cable outlet adaptor plate</v>
          </cell>
          <cell r="G116" t="str">
            <v>PREMERA Wiring Accessories</v>
          </cell>
          <cell r="H116" t="str">
            <v>MEM series</v>
          </cell>
          <cell r="I116" t="str">
            <v>CAB O-LT ADAPTOR PLATE FCU 20A</v>
          </cell>
        </row>
        <row r="117">
          <cell r="C117" t="str">
            <v>P360</v>
          </cell>
          <cell r="D117">
            <v>1</v>
          </cell>
          <cell r="E117">
            <v>1500</v>
          </cell>
          <cell r="F117" t="str">
            <v>Phone outlets</v>
          </cell>
          <cell r="G117" t="str">
            <v>PREMERA Wiring Accessories</v>
          </cell>
          <cell r="H117" t="str">
            <v>MEM series</v>
          </cell>
          <cell r="I117" t="str">
            <v>1G TEL OUT MASTER</v>
          </cell>
        </row>
        <row r="118">
          <cell r="C118" t="str">
            <v>P361</v>
          </cell>
          <cell r="D118">
            <v>1</v>
          </cell>
          <cell r="E118">
            <v>1500</v>
          </cell>
          <cell r="F118" t="str">
            <v>Phone outlets</v>
          </cell>
          <cell r="G118" t="str">
            <v>PREMERA Wiring Accessories</v>
          </cell>
          <cell r="H118" t="str">
            <v>MEM series</v>
          </cell>
          <cell r="I118" t="str">
            <v>1G TEL OUT SECONDARY</v>
          </cell>
        </row>
        <row r="119">
          <cell r="C119" t="str">
            <v>P362</v>
          </cell>
          <cell r="D119">
            <v>1</v>
          </cell>
          <cell r="E119">
            <v>1500</v>
          </cell>
          <cell r="F119" t="str">
            <v>Phone outlets</v>
          </cell>
          <cell r="G119" t="str">
            <v>PREMERA Wiring Accessories</v>
          </cell>
          <cell r="H119" t="str">
            <v>MEM series</v>
          </cell>
          <cell r="I119" t="str">
            <v>1G AMERICAN TEL OUT</v>
          </cell>
        </row>
        <row r="120">
          <cell r="C120" t="str">
            <v>P351</v>
          </cell>
          <cell r="D120">
            <v>1</v>
          </cell>
          <cell r="E120">
            <v>1510</v>
          </cell>
          <cell r="F120" t="str">
            <v>Communication outlets</v>
          </cell>
          <cell r="G120" t="str">
            <v>PREMERA Wiring Accessories</v>
          </cell>
          <cell r="H120" t="str">
            <v>MEM series</v>
          </cell>
          <cell r="I120" t="str">
            <v>1G TV CO-AX OUT</v>
          </cell>
        </row>
        <row r="121">
          <cell r="C121" t="str">
            <v>P351D</v>
          </cell>
          <cell r="D121">
            <v>1</v>
          </cell>
          <cell r="E121">
            <v>1510</v>
          </cell>
          <cell r="F121" t="str">
            <v>Communication outlets</v>
          </cell>
          <cell r="G121" t="str">
            <v>PREMERA Wiring Accessories</v>
          </cell>
          <cell r="H121" t="str">
            <v>MEM series</v>
          </cell>
          <cell r="I121" t="str">
            <v>1G TV COAXIAL DUAL CLAMP</v>
          </cell>
        </row>
        <row r="122">
          <cell r="C122" t="str">
            <v>P352</v>
          </cell>
          <cell r="D122">
            <v>1</v>
          </cell>
          <cell r="E122">
            <v>1510</v>
          </cell>
          <cell r="F122" t="str">
            <v>Communication outlets</v>
          </cell>
          <cell r="G122" t="str">
            <v>PREMERA Wiring Accessories</v>
          </cell>
          <cell r="H122" t="str">
            <v>MEM series</v>
          </cell>
          <cell r="I122" t="str">
            <v>2G TV CO-AX OUT</v>
          </cell>
        </row>
        <row r="123">
          <cell r="C123" t="str">
            <v>P353</v>
          </cell>
          <cell r="D123">
            <v>1</v>
          </cell>
          <cell r="E123">
            <v>1510</v>
          </cell>
          <cell r="F123" t="str">
            <v>Communication outlets</v>
          </cell>
          <cell r="G123" t="str">
            <v>PREMERA Wiring Accessories</v>
          </cell>
          <cell r="H123" t="str">
            <v>MEM series</v>
          </cell>
          <cell r="I123" t="str">
            <v>1G TV FM ISO CO-AX</v>
          </cell>
        </row>
        <row r="124">
          <cell r="C124" t="str">
            <v>P354</v>
          </cell>
          <cell r="D124">
            <v>1</v>
          </cell>
          <cell r="E124">
            <v>1510</v>
          </cell>
          <cell r="F124" t="str">
            <v>Communication outlets</v>
          </cell>
          <cell r="G124" t="str">
            <v>PREMERA Wiring Accessories</v>
          </cell>
          <cell r="H124" t="str">
            <v>MEM series</v>
          </cell>
          <cell r="I124" t="str">
            <v>2G TV FM DIPLEX CO-AX</v>
          </cell>
        </row>
        <row r="125">
          <cell r="C125" t="str">
            <v>P355</v>
          </cell>
          <cell r="D125">
            <v>1</v>
          </cell>
          <cell r="E125">
            <v>1510</v>
          </cell>
          <cell r="F125" t="str">
            <v>Communication outlets</v>
          </cell>
          <cell r="G125" t="str">
            <v>PREMERA Wiring Accessories</v>
          </cell>
          <cell r="H125" t="str">
            <v>MEM series</v>
          </cell>
          <cell r="I125" t="str">
            <v>1G SAT OUT</v>
          </cell>
        </row>
        <row r="126">
          <cell r="C126" t="str">
            <v>P356</v>
          </cell>
          <cell r="D126">
            <v>1</v>
          </cell>
          <cell r="E126">
            <v>1510</v>
          </cell>
          <cell r="F126" t="str">
            <v>Communication outlets</v>
          </cell>
          <cell r="G126" t="str">
            <v>PREMERA Wiring Accessories</v>
          </cell>
          <cell r="H126" t="str">
            <v>MEM series</v>
          </cell>
          <cell r="I126" t="str">
            <v>2G TV SAT OUT</v>
          </cell>
        </row>
        <row r="127">
          <cell r="C127" t="str">
            <v>P357</v>
          </cell>
          <cell r="D127">
            <v>1</v>
          </cell>
          <cell r="E127">
            <v>1510</v>
          </cell>
          <cell r="F127" t="str">
            <v>Communication outlets</v>
          </cell>
          <cell r="G127" t="str">
            <v>PREMERA Wiring Accessories</v>
          </cell>
          <cell r="H127" t="str">
            <v>MEM series</v>
          </cell>
          <cell r="I127" t="str">
            <v>2G TV-RAD OUT SCR</v>
          </cell>
        </row>
        <row r="128">
          <cell r="C128" t="str">
            <v>P391</v>
          </cell>
          <cell r="D128">
            <v>1</v>
          </cell>
          <cell r="E128">
            <v>1410</v>
          </cell>
          <cell r="F128" t="str">
            <v>Blank Pl;ates</v>
          </cell>
          <cell r="G128" t="str">
            <v>PREMERA Wiring Accessories</v>
          </cell>
          <cell r="H128" t="str">
            <v>MEM series</v>
          </cell>
          <cell r="I128" t="str">
            <v>1G BLANK PLATE</v>
          </cell>
        </row>
        <row r="129">
          <cell r="C129" t="str">
            <v>P392</v>
          </cell>
          <cell r="D129">
            <v>1</v>
          </cell>
          <cell r="E129">
            <v>1410</v>
          </cell>
          <cell r="F129" t="str">
            <v>Blank Pl;ates</v>
          </cell>
          <cell r="G129" t="str">
            <v>PREMERA Wiring Accessories</v>
          </cell>
          <cell r="H129" t="str">
            <v>MEM series</v>
          </cell>
          <cell r="I129" t="str">
            <v>2G BLANK PLATE</v>
          </cell>
        </row>
        <row r="130">
          <cell r="C130" t="str">
            <v>P999</v>
          </cell>
          <cell r="D130">
            <v>1</v>
          </cell>
          <cell r="E130">
            <v>1410</v>
          </cell>
          <cell r="F130" t="str">
            <v>Spares</v>
          </cell>
          <cell r="G130" t="str">
            <v>PREMERA Wiring Accessories</v>
          </cell>
          <cell r="H130" t="str">
            <v>MEM series</v>
          </cell>
          <cell r="I130" t="str">
            <v>SPARE SCREW CAPS-PREMEMA RANGE</v>
          </cell>
        </row>
        <row r="131">
          <cell r="C131" t="str">
            <v>F4500</v>
          </cell>
          <cell r="D131">
            <v>1</v>
          </cell>
          <cell r="E131">
            <v>2300</v>
          </cell>
          <cell r="F131" t="str">
            <v>Premera Patresses</v>
          </cell>
          <cell r="G131" t="str">
            <v>PREMERA Wiring Accessories</v>
          </cell>
          <cell r="H131" t="str">
            <v>MEM series</v>
          </cell>
          <cell r="I131" t="str">
            <v>1G PATTRESS 16MM DEEP</v>
          </cell>
        </row>
        <row r="132">
          <cell r="C132" t="str">
            <v>F4501</v>
          </cell>
          <cell r="D132">
            <v>1</v>
          </cell>
          <cell r="E132">
            <v>2300</v>
          </cell>
          <cell r="F132" t="str">
            <v>Premera Patresses</v>
          </cell>
          <cell r="G132" t="str">
            <v>PREMERA Wiring Accessories</v>
          </cell>
          <cell r="H132" t="str">
            <v>MEM series</v>
          </cell>
          <cell r="I132" t="str">
            <v>1G PATTRESS 28MM DEEP</v>
          </cell>
        </row>
        <row r="133">
          <cell r="C133" t="str">
            <v>F4502</v>
          </cell>
          <cell r="D133">
            <v>1</v>
          </cell>
          <cell r="E133">
            <v>2300</v>
          </cell>
          <cell r="F133" t="str">
            <v>Premera Patresses</v>
          </cell>
          <cell r="G133" t="str">
            <v>PREMERA Wiring Accessories</v>
          </cell>
          <cell r="H133" t="str">
            <v>MEM series</v>
          </cell>
          <cell r="I133" t="str">
            <v>2G PATTRESS 28MM DEEP</v>
          </cell>
        </row>
        <row r="134">
          <cell r="C134" t="str">
            <v>F4505</v>
          </cell>
          <cell r="D134">
            <v>1</v>
          </cell>
          <cell r="E134">
            <v>2300</v>
          </cell>
          <cell r="F134" t="str">
            <v>Premera Patresses</v>
          </cell>
          <cell r="G134" t="str">
            <v>PREMERA Wiring Accessories</v>
          </cell>
          <cell r="H134" t="str">
            <v>MEM series</v>
          </cell>
          <cell r="I134" t="str">
            <v>1G PATTRESS 18MM DEEP ARCHITRA</v>
          </cell>
        </row>
        <row r="135">
          <cell r="C135" t="str">
            <v>F4506</v>
          </cell>
          <cell r="D135">
            <v>1</v>
          </cell>
          <cell r="E135">
            <v>2300</v>
          </cell>
          <cell r="F135" t="str">
            <v>Premera Patresses</v>
          </cell>
          <cell r="G135" t="str">
            <v>PREMERA Wiring Accessories</v>
          </cell>
          <cell r="H135" t="str">
            <v>MEM series</v>
          </cell>
          <cell r="I135" t="str">
            <v>2G PATTRESS 18MM DEEP ARCHITRA</v>
          </cell>
        </row>
        <row r="136">
          <cell r="C136" t="str">
            <v>F4510</v>
          </cell>
          <cell r="D136">
            <v>1</v>
          </cell>
          <cell r="E136">
            <v>2300</v>
          </cell>
          <cell r="F136" t="str">
            <v>Premera Patresses</v>
          </cell>
          <cell r="G136" t="str">
            <v>PREMERA Wiring Accessories</v>
          </cell>
          <cell r="H136" t="str">
            <v>MEM series</v>
          </cell>
          <cell r="I136" t="str">
            <v>2G 25MM CONVERSION PATTRESS</v>
          </cell>
        </row>
        <row r="137">
          <cell r="C137" t="str">
            <v>F4511</v>
          </cell>
          <cell r="D137">
            <v>1</v>
          </cell>
          <cell r="E137">
            <v>2300</v>
          </cell>
          <cell r="F137" t="str">
            <v>Premera Patresses</v>
          </cell>
          <cell r="G137" t="str">
            <v>PREMERA Wiring Accessories</v>
          </cell>
          <cell r="H137" t="str">
            <v>MEM series</v>
          </cell>
          <cell r="I137" t="str">
            <v>2G PATTRESS 40MM DEEP</v>
          </cell>
        </row>
        <row r="138">
          <cell r="C138" t="str">
            <v>F4530</v>
          </cell>
          <cell r="D138">
            <v>1</v>
          </cell>
          <cell r="E138">
            <v>2300</v>
          </cell>
          <cell r="F138" t="str">
            <v>Premera Patresses</v>
          </cell>
          <cell r="G138" t="str">
            <v>PREMERA Wiring Accessories</v>
          </cell>
          <cell r="H138" t="str">
            <v>MEM series</v>
          </cell>
          <cell r="I138" t="str">
            <v>2G PATTRESS 46MM DEEP FOR SHAV</v>
          </cell>
        </row>
        <row r="139">
          <cell r="C139" t="str">
            <v>F4570</v>
          </cell>
          <cell r="D139">
            <v>1</v>
          </cell>
          <cell r="E139">
            <v>2300</v>
          </cell>
          <cell r="F139" t="str">
            <v>Premera Patresses</v>
          </cell>
          <cell r="G139" t="str">
            <v>PREMERA Wiring Accessories</v>
          </cell>
          <cell r="H139" t="str">
            <v>MEM series</v>
          </cell>
          <cell r="I139" t="str">
            <v>1G PATTRESS 45MM DEEP</v>
          </cell>
        </row>
        <row r="140">
          <cell r="C140" t="str">
            <v>F3368</v>
          </cell>
          <cell r="D140">
            <v>1</v>
          </cell>
          <cell r="E140">
            <v>2305</v>
          </cell>
          <cell r="F140" t="str">
            <v>Plugs</v>
          </cell>
          <cell r="G140" t="str">
            <v>PREMERA Wiring Accessories</v>
          </cell>
          <cell r="H140" t="str">
            <v>MEM series</v>
          </cell>
          <cell r="I140" t="str">
            <v>13A NON STANDARD PLUG</v>
          </cell>
        </row>
        <row r="141">
          <cell r="C141" t="str">
            <v>F5099</v>
          </cell>
          <cell r="D141">
            <v>1</v>
          </cell>
          <cell r="E141">
            <v>2310</v>
          </cell>
          <cell r="F141" t="str">
            <v>Junction box</v>
          </cell>
          <cell r="G141" t="str">
            <v>PREMERA Wiring Accessories</v>
          </cell>
          <cell r="H141" t="str">
            <v>MEM series</v>
          </cell>
          <cell r="I141" t="str">
            <v>10 WAY CONNECTION BOX</v>
          </cell>
        </row>
        <row r="142">
          <cell r="C142" t="str">
            <v>P901</v>
          </cell>
          <cell r="D142">
            <v>1</v>
          </cell>
          <cell r="E142">
            <v>3000</v>
          </cell>
          <cell r="F142" t="str">
            <v>Premera modular plates / Grids</v>
          </cell>
          <cell r="G142" t="str">
            <v>PREMERA Wiring Accessories</v>
          </cell>
          <cell r="H142" t="str">
            <v>MEM series</v>
          </cell>
          <cell r="I142" t="str">
            <v>1G G PLATE MOULDED</v>
          </cell>
        </row>
        <row r="143">
          <cell r="C143" t="str">
            <v>P902</v>
          </cell>
          <cell r="D143">
            <v>1</v>
          </cell>
          <cell r="E143">
            <v>3000</v>
          </cell>
          <cell r="F143" t="str">
            <v>Premera modular plates / Grids</v>
          </cell>
          <cell r="G143" t="str">
            <v>PREMERA Wiring Accessories</v>
          </cell>
          <cell r="H143" t="str">
            <v>MEM series</v>
          </cell>
          <cell r="I143" t="str">
            <v>2G G PLATE MOULDED</v>
          </cell>
        </row>
        <row r="144">
          <cell r="C144" t="str">
            <v>P903</v>
          </cell>
          <cell r="D144">
            <v>1</v>
          </cell>
          <cell r="E144">
            <v>3000</v>
          </cell>
          <cell r="F144" t="str">
            <v>Premera modular plates / Grids</v>
          </cell>
          <cell r="G144" t="str">
            <v>PREMERA Wiring Accessories</v>
          </cell>
          <cell r="H144" t="str">
            <v>MEM series</v>
          </cell>
          <cell r="I144" t="str">
            <v>3G G PLATE MOULDED</v>
          </cell>
        </row>
        <row r="145">
          <cell r="C145" t="str">
            <v>P904</v>
          </cell>
          <cell r="D145">
            <v>1</v>
          </cell>
          <cell r="E145">
            <v>3000</v>
          </cell>
          <cell r="F145" t="str">
            <v>Premera modular plates / Grids</v>
          </cell>
          <cell r="G145" t="str">
            <v>PREMERA Wiring Accessories</v>
          </cell>
          <cell r="H145" t="str">
            <v>MEM series</v>
          </cell>
          <cell r="I145" t="str">
            <v>4G G PLATE MOULDED</v>
          </cell>
        </row>
        <row r="146">
          <cell r="C146" t="str">
            <v>P906</v>
          </cell>
          <cell r="D146">
            <v>1</v>
          </cell>
          <cell r="E146">
            <v>3000</v>
          </cell>
          <cell r="F146" t="str">
            <v>Premera modular plates / Grids</v>
          </cell>
          <cell r="G146" t="str">
            <v>PREMERA Wiring Accessories</v>
          </cell>
          <cell r="H146" t="str">
            <v>MEM series</v>
          </cell>
          <cell r="I146" t="str">
            <v>6G G PLATE ASSEMBLY MOULDED</v>
          </cell>
        </row>
        <row r="147">
          <cell r="C147" t="str">
            <v>P908</v>
          </cell>
          <cell r="D147">
            <v>1</v>
          </cell>
          <cell r="E147">
            <v>3000</v>
          </cell>
          <cell r="F147" t="str">
            <v>Premera modular plates / Grids</v>
          </cell>
          <cell r="G147" t="str">
            <v>PREMERA Wiring Accessories</v>
          </cell>
          <cell r="H147" t="str">
            <v>MEM series</v>
          </cell>
          <cell r="I147" t="str">
            <v>8G G PLATE ASSEMBLY MOULDED</v>
          </cell>
        </row>
        <row r="148">
          <cell r="C148" t="str">
            <v>P912</v>
          </cell>
          <cell r="D148">
            <v>1</v>
          </cell>
          <cell r="E148">
            <v>3000</v>
          </cell>
          <cell r="F148" t="str">
            <v>Premera modular plates / Grids</v>
          </cell>
          <cell r="G148" t="str">
            <v>PREMERA Wiring Accessories</v>
          </cell>
          <cell r="H148" t="str">
            <v>MEM series</v>
          </cell>
          <cell r="I148" t="str">
            <v>12G G PLATE ASSEMBLY MOULDED</v>
          </cell>
        </row>
        <row r="149">
          <cell r="C149" t="str">
            <v>P918</v>
          </cell>
          <cell r="D149">
            <v>1</v>
          </cell>
          <cell r="E149">
            <v>3000</v>
          </cell>
          <cell r="F149" t="str">
            <v>Premera modular plates / Grids</v>
          </cell>
          <cell r="G149" t="str">
            <v>PREMERA Wiring Accessories</v>
          </cell>
          <cell r="H149" t="str">
            <v>MEM series</v>
          </cell>
          <cell r="I149" t="str">
            <v>18G G PLATE ASSEMBLY METAL</v>
          </cell>
        </row>
        <row r="150">
          <cell r="C150" t="str">
            <v>P924</v>
          </cell>
          <cell r="D150">
            <v>1</v>
          </cell>
          <cell r="E150">
            <v>3000</v>
          </cell>
          <cell r="F150" t="str">
            <v>Premera modular plates / Grids</v>
          </cell>
          <cell r="G150" t="str">
            <v>PREMERA Wiring Accessories</v>
          </cell>
          <cell r="H150" t="str">
            <v>MEM series</v>
          </cell>
          <cell r="I150" t="str">
            <v>24G G PLATE ASSEMBLY METAL</v>
          </cell>
        </row>
        <row r="151">
          <cell r="C151" t="str">
            <v>P901GY</v>
          </cell>
          <cell r="D151">
            <v>1</v>
          </cell>
          <cell r="E151">
            <v>3010</v>
          </cell>
          <cell r="F151" t="str">
            <v>Premera modular plates / Grids</v>
          </cell>
          <cell r="G151" t="str">
            <v>PREMERA Wiring Accessories</v>
          </cell>
          <cell r="H151" t="str">
            <v>MEM series</v>
          </cell>
          <cell r="I151" t="str">
            <v>1G G PLATE MOULDED GREY</v>
          </cell>
        </row>
        <row r="152">
          <cell r="C152" t="str">
            <v>P902GY</v>
          </cell>
          <cell r="D152">
            <v>1</v>
          </cell>
          <cell r="E152">
            <v>3010</v>
          </cell>
          <cell r="F152" t="str">
            <v>Premera modular plates / Grids</v>
          </cell>
          <cell r="G152" t="str">
            <v>PREMERA Wiring Accessories</v>
          </cell>
          <cell r="H152" t="str">
            <v>MEM series</v>
          </cell>
          <cell r="I152" t="str">
            <v>2G G PLATE MOULDED GREY</v>
          </cell>
        </row>
        <row r="153">
          <cell r="C153" t="str">
            <v>P903GY</v>
          </cell>
          <cell r="D153">
            <v>1</v>
          </cell>
          <cell r="E153">
            <v>3010</v>
          </cell>
          <cell r="F153" t="str">
            <v>Premera modular plates / Grids</v>
          </cell>
          <cell r="G153" t="str">
            <v>PREMERA Wiring Accessories</v>
          </cell>
          <cell r="H153" t="str">
            <v>MEM series</v>
          </cell>
          <cell r="I153" t="str">
            <v>3G G PLATE MOULDED GREY</v>
          </cell>
        </row>
        <row r="154">
          <cell r="C154" t="str">
            <v>P904GY</v>
          </cell>
          <cell r="D154">
            <v>1</v>
          </cell>
          <cell r="E154">
            <v>3010</v>
          </cell>
          <cell r="F154" t="str">
            <v>Premera modular plates / Grids</v>
          </cell>
          <cell r="G154" t="str">
            <v>PREMERA Wiring Accessories</v>
          </cell>
          <cell r="H154" t="str">
            <v>MEM series</v>
          </cell>
          <cell r="I154" t="str">
            <v>4G G PLATE MOULDED GREY</v>
          </cell>
        </row>
        <row r="155">
          <cell r="C155" t="str">
            <v>P906GY</v>
          </cell>
          <cell r="D155">
            <v>1</v>
          </cell>
          <cell r="E155">
            <v>3010</v>
          </cell>
          <cell r="F155" t="str">
            <v>Premera modular plates / Grids</v>
          </cell>
          <cell r="G155" t="str">
            <v>PREMERA Wiring Accessories</v>
          </cell>
          <cell r="H155" t="str">
            <v>MEM series</v>
          </cell>
          <cell r="I155" t="str">
            <v>6G G PLATE ASSEMBLY MOULDED GREY</v>
          </cell>
        </row>
        <row r="156">
          <cell r="C156" t="str">
            <v>P908GY</v>
          </cell>
          <cell r="D156">
            <v>1</v>
          </cell>
          <cell r="E156">
            <v>3010</v>
          </cell>
          <cell r="F156" t="str">
            <v>Premera modular plates / Grids</v>
          </cell>
          <cell r="G156" t="str">
            <v>PREMERA Wiring Accessories</v>
          </cell>
          <cell r="H156" t="str">
            <v>MEM series</v>
          </cell>
          <cell r="I156" t="str">
            <v>8G G PLATE ASSEMBLY MOULDED GREY</v>
          </cell>
        </row>
        <row r="157">
          <cell r="C157" t="str">
            <v>F9000</v>
          </cell>
          <cell r="D157">
            <v>2</v>
          </cell>
          <cell r="E157">
            <v>100</v>
          </cell>
          <cell r="F157" t="str">
            <v>10A switches</v>
          </cell>
          <cell r="G157" t="str">
            <v>PREMERA MIX Modules</v>
          </cell>
          <cell r="H157" t="str">
            <v>MEM series</v>
          </cell>
          <cell r="I157" t="str">
            <v>10A 1 WAY</v>
          </cell>
        </row>
        <row r="158">
          <cell r="C158" t="str">
            <v>F9001</v>
          </cell>
          <cell r="D158">
            <v>2</v>
          </cell>
          <cell r="E158">
            <v>100</v>
          </cell>
          <cell r="F158" t="str">
            <v>10A switches</v>
          </cell>
          <cell r="G158" t="str">
            <v>PREMERA MIX Modules</v>
          </cell>
          <cell r="H158" t="str">
            <v>MEM series</v>
          </cell>
          <cell r="I158" t="str">
            <v>10A 2 WAY</v>
          </cell>
        </row>
        <row r="159">
          <cell r="C159" t="str">
            <v>F9001B</v>
          </cell>
          <cell r="D159">
            <v>2</v>
          </cell>
          <cell r="E159">
            <v>100</v>
          </cell>
          <cell r="F159" t="str">
            <v>10A switches</v>
          </cell>
          <cell r="G159" t="str">
            <v>PREMERA MIX Modules</v>
          </cell>
          <cell r="H159" t="str">
            <v>MEM series</v>
          </cell>
          <cell r="I159" t="str">
            <v>10A 2 WAY</v>
          </cell>
        </row>
        <row r="160">
          <cell r="C160" t="str">
            <v>F9001RR</v>
          </cell>
          <cell r="D160">
            <v>2</v>
          </cell>
          <cell r="E160">
            <v>100</v>
          </cell>
          <cell r="F160" t="str">
            <v>10A switches</v>
          </cell>
          <cell r="G160" t="str">
            <v>PREMERA MIX Modules</v>
          </cell>
          <cell r="H160" t="str">
            <v>MEM series</v>
          </cell>
          <cell r="I160" t="str">
            <v>10A 2 WAY</v>
          </cell>
        </row>
        <row r="161">
          <cell r="C161" t="str">
            <v>F9004</v>
          </cell>
          <cell r="D161">
            <v>2</v>
          </cell>
          <cell r="E161">
            <v>100</v>
          </cell>
          <cell r="F161" t="str">
            <v>10A switches</v>
          </cell>
          <cell r="G161" t="str">
            <v>PREMERA MIX Modules</v>
          </cell>
          <cell r="H161" t="str">
            <v>MEM series</v>
          </cell>
          <cell r="I161" t="str">
            <v>10A 2 WAY PUSH TO MAKE</v>
          </cell>
        </row>
        <row r="162">
          <cell r="C162" t="str">
            <v>F9004B</v>
          </cell>
          <cell r="D162">
            <v>2</v>
          </cell>
          <cell r="E162">
            <v>100</v>
          </cell>
          <cell r="F162" t="str">
            <v>10A switches</v>
          </cell>
          <cell r="G162" t="str">
            <v>PREMERA MIX Modules</v>
          </cell>
          <cell r="H162" t="str">
            <v>MEM series</v>
          </cell>
          <cell r="I162" t="str">
            <v>10A 2 WAY PUSH TO MAKE</v>
          </cell>
        </row>
        <row r="163">
          <cell r="C163" t="str">
            <v>F9020</v>
          </cell>
          <cell r="D163">
            <v>2</v>
          </cell>
          <cell r="E163">
            <v>300</v>
          </cell>
          <cell r="F163" t="str">
            <v>20A switches</v>
          </cell>
          <cell r="G163" t="str">
            <v>PREMERA MIX Modules</v>
          </cell>
          <cell r="H163" t="str">
            <v>MEM series</v>
          </cell>
          <cell r="I163" t="str">
            <v>20A 1 WAY</v>
          </cell>
        </row>
        <row r="164">
          <cell r="C164" t="str">
            <v>F9020B</v>
          </cell>
          <cell r="D164">
            <v>2</v>
          </cell>
          <cell r="E164">
            <v>300</v>
          </cell>
          <cell r="F164" t="str">
            <v>20A switches</v>
          </cell>
          <cell r="G164" t="str">
            <v>PREMERA MIX Modules</v>
          </cell>
          <cell r="H164" t="str">
            <v>MEM series</v>
          </cell>
          <cell r="I164" t="str">
            <v>20A 1 WAY</v>
          </cell>
        </row>
        <row r="165">
          <cell r="C165" t="str">
            <v>F9020RR</v>
          </cell>
          <cell r="D165">
            <v>2</v>
          </cell>
          <cell r="E165">
            <v>300</v>
          </cell>
          <cell r="F165" t="str">
            <v>20A switches</v>
          </cell>
          <cell r="G165" t="str">
            <v>PREMERA MIX Modules</v>
          </cell>
          <cell r="H165" t="str">
            <v>MEM series</v>
          </cell>
          <cell r="I165" t="str">
            <v>20A 1 WAY</v>
          </cell>
        </row>
        <row r="166">
          <cell r="C166" t="str">
            <v>F9021</v>
          </cell>
          <cell r="D166">
            <v>2</v>
          </cell>
          <cell r="E166">
            <v>300</v>
          </cell>
          <cell r="F166" t="str">
            <v>20A switches</v>
          </cell>
          <cell r="G166" t="str">
            <v>PREMERA MIX Modules</v>
          </cell>
          <cell r="H166" t="str">
            <v>MEM series</v>
          </cell>
          <cell r="I166" t="str">
            <v>20A 2 WAY</v>
          </cell>
        </row>
        <row r="167">
          <cell r="C167" t="str">
            <v>F9021B</v>
          </cell>
          <cell r="D167">
            <v>2</v>
          </cell>
          <cell r="E167">
            <v>300</v>
          </cell>
          <cell r="F167" t="str">
            <v>20A switches</v>
          </cell>
          <cell r="G167" t="str">
            <v>PREMERA MIX Modules</v>
          </cell>
          <cell r="H167" t="str">
            <v>MEM series</v>
          </cell>
          <cell r="I167" t="str">
            <v>20A 2 WAY</v>
          </cell>
        </row>
        <row r="168">
          <cell r="C168" t="str">
            <v>F9021RR</v>
          </cell>
          <cell r="D168">
            <v>2</v>
          </cell>
          <cell r="E168">
            <v>300</v>
          </cell>
          <cell r="F168" t="str">
            <v>20A switches</v>
          </cell>
          <cell r="G168" t="str">
            <v>PREMERA MIX Modules</v>
          </cell>
          <cell r="H168" t="str">
            <v>MEM series</v>
          </cell>
          <cell r="I168" t="str">
            <v>20A 2 WAY</v>
          </cell>
        </row>
        <row r="169">
          <cell r="C169" t="str">
            <v>F9022</v>
          </cell>
          <cell r="D169">
            <v>2</v>
          </cell>
          <cell r="E169">
            <v>300</v>
          </cell>
          <cell r="F169" t="str">
            <v>20A switches</v>
          </cell>
          <cell r="G169" t="str">
            <v>PREMERA MIX Modules</v>
          </cell>
          <cell r="H169" t="str">
            <v>MEM series</v>
          </cell>
          <cell r="I169" t="str">
            <v>20A INTERMEDIATE SWITCH</v>
          </cell>
        </row>
        <row r="170">
          <cell r="C170" t="str">
            <v>F9022B</v>
          </cell>
          <cell r="D170">
            <v>2</v>
          </cell>
          <cell r="E170">
            <v>300</v>
          </cell>
          <cell r="F170" t="str">
            <v>20A switches</v>
          </cell>
          <cell r="G170" t="str">
            <v>PREMERA MIX Modules</v>
          </cell>
          <cell r="H170" t="str">
            <v>MEM series</v>
          </cell>
          <cell r="I170" t="str">
            <v>20A INTERMEDIATE SWITCH</v>
          </cell>
        </row>
        <row r="171">
          <cell r="C171" t="str">
            <v>F9023</v>
          </cell>
          <cell r="D171">
            <v>2</v>
          </cell>
          <cell r="E171">
            <v>300</v>
          </cell>
          <cell r="F171" t="str">
            <v>20A Double Pole</v>
          </cell>
          <cell r="G171" t="str">
            <v>PREMERA MIX Modules</v>
          </cell>
          <cell r="H171" t="str">
            <v>MEM series</v>
          </cell>
          <cell r="I171" t="str">
            <v xml:space="preserve">20A DOUBLE POLE </v>
          </cell>
        </row>
        <row r="172">
          <cell r="C172" t="str">
            <v>F9023B</v>
          </cell>
          <cell r="D172">
            <v>2</v>
          </cell>
          <cell r="E172">
            <v>300</v>
          </cell>
          <cell r="F172" t="str">
            <v>20A Double Pole</v>
          </cell>
          <cell r="G172" t="str">
            <v>PREMERA MIX Modules</v>
          </cell>
          <cell r="H172" t="str">
            <v>MEM series</v>
          </cell>
          <cell r="I172" t="str">
            <v xml:space="preserve">20A DOUBLE POLE </v>
          </cell>
        </row>
        <row r="173">
          <cell r="C173" t="str">
            <v>F9023BBO</v>
          </cell>
          <cell r="D173">
            <v>2</v>
          </cell>
          <cell r="E173">
            <v>300</v>
          </cell>
          <cell r="F173" t="str">
            <v>20A Double Pole</v>
          </cell>
          <cell r="G173" t="str">
            <v>PREMERA MIX Modules</v>
          </cell>
          <cell r="H173" t="str">
            <v>MEM series</v>
          </cell>
          <cell r="I173" t="str">
            <v>20A DOUBLE POLE BOILER</v>
          </cell>
        </row>
        <row r="174">
          <cell r="C174" t="str">
            <v>F9023BCH</v>
          </cell>
          <cell r="D174">
            <v>2</v>
          </cell>
          <cell r="E174">
            <v>300</v>
          </cell>
          <cell r="F174" t="str">
            <v>20A Double Pole</v>
          </cell>
          <cell r="G174" t="str">
            <v>PREMERA MIX Modules</v>
          </cell>
          <cell r="H174" t="str">
            <v>MEM series</v>
          </cell>
          <cell r="I174" t="str">
            <v>20A DOUBLE POLE CENTRAL HEATING</v>
          </cell>
        </row>
        <row r="175">
          <cell r="C175" t="str">
            <v>F9023BDW</v>
          </cell>
          <cell r="D175">
            <v>2</v>
          </cell>
          <cell r="E175">
            <v>300</v>
          </cell>
          <cell r="F175" t="str">
            <v>20A Double Pole</v>
          </cell>
          <cell r="G175" t="str">
            <v>PREMERA MIX Modules</v>
          </cell>
          <cell r="H175" t="str">
            <v>MEM series</v>
          </cell>
          <cell r="I175" t="str">
            <v>20A DOUBLE POLE DISH WASHER</v>
          </cell>
        </row>
        <row r="176">
          <cell r="C176" t="str">
            <v>F9023BEF</v>
          </cell>
          <cell r="D176">
            <v>2</v>
          </cell>
          <cell r="E176">
            <v>300</v>
          </cell>
          <cell r="F176" t="str">
            <v>20A Double Pole</v>
          </cell>
          <cell r="G176" t="str">
            <v>PREMERA MIX Modules</v>
          </cell>
          <cell r="H176" t="str">
            <v>MEM series</v>
          </cell>
          <cell r="I176" t="str">
            <v>20A DOUBLE POLE EXTRACT FAN</v>
          </cell>
        </row>
        <row r="177">
          <cell r="C177" t="str">
            <v>F9023BFF</v>
          </cell>
          <cell r="D177">
            <v>2</v>
          </cell>
          <cell r="E177">
            <v>300</v>
          </cell>
          <cell r="F177" t="str">
            <v>20A Double Pole</v>
          </cell>
          <cell r="G177" t="str">
            <v>PREMERA MIX Modules</v>
          </cell>
          <cell r="H177" t="str">
            <v>MEM series</v>
          </cell>
          <cell r="I177" t="str">
            <v xml:space="preserve">20A DOUBLE POLE FRIDGE FREEZER </v>
          </cell>
        </row>
        <row r="178">
          <cell r="C178" t="str">
            <v>F9023BFG</v>
          </cell>
          <cell r="D178">
            <v>2</v>
          </cell>
          <cell r="E178">
            <v>300</v>
          </cell>
          <cell r="F178" t="str">
            <v>20A Double Pole</v>
          </cell>
          <cell r="G178" t="str">
            <v>PREMERA MIX Modules</v>
          </cell>
          <cell r="H178" t="str">
            <v>MEM series</v>
          </cell>
          <cell r="I178" t="str">
            <v>20A DOUBLE POLE FRIDGE</v>
          </cell>
        </row>
        <row r="179">
          <cell r="C179" t="str">
            <v>F9023BFZ</v>
          </cell>
          <cell r="D179">
            <v>2</v>
          </cell>
          <cell r="E179">
            <v>300</v>
          </cell>
          <cell r="F179" t="str">
            <v>20A Double Pole</v>
          </cell>
          <cell r="G179" t="str">
            <v>PREMERA MIX Modules</v>
          </cell>
          <cell r="H179" t="str">
            <v>MEM series</v>
          </cell>
          <cell r="I179" t="str">
            <v>20A DOUBLE POLE FREEZER</v>
          </cell>
        </row>
        <row r="180">
          <cell r="C180" t="str">
            <v>F9023BHB</v>
          </cell>
          <cell r="D180">
            <v>2</v>
          </cell>
          <cell r="E180">
            <v>300</v>
          </cell>
          <cell r="F180" t="str">
            <v>20A Double Pole</v>
          </cell>
          <cell r="G180" t="str">
            <v>PREMERA MIX Modules</v>
          </cell>
          <cell r="H180" t="str">
            <v>MEM series</v>
          </cell>
          <cell r="I180" t="str">
            <v>20A DOUBLE POLE HOB</v>
          </cell>
        </row>
        <row r="181">
          <cell r="C181" t="str">
            <v>F9023BHH</v>
          </cell>
          <cell r="D181">
            <v>2</v>
          </cell>
          <cell r="E181">
            <v>300</v>
          </cell>
          <cell r="F181" t="str">
            <v>20A Double Pole</v>
          </cell>
          <cell r="G181" t="str">
            <v>PREMERA MIX Modules</v>
          </cell>
          <cell r="H181" t="str">
            <v>MEM series</v>
          </cell>
          <cell r="I181" t="str">
            <v>20A DOUBLE POLE HOB HOOD</v>
          </cell>
        </row>
        <row r="182">
          <cell r="C182" t="str">
            <v>F9023BLI</v>
          </cell>
          <cell r="D182">
            <v>2</v>
          </cell>
          <cell r="E182">
            <v>300</v>
          </cell>
          <cell r="F182" t="str">
            <v>20A Double Pole</v>
          </cell>
          <cell r="G182" t="str">
            <v>PREMERA MIX Modules</v>
          </cell>
          <cell r="H182" t="str">
            <v>MEM series</v>
          </cell>
          <cell r="I182" t="str">
            <v xml:space="preserve">20A DOUBLE POLE LIGHT </v>
          </cell>
        </row>
        <row r="183">
          <cell r="C183" t="str">
            <v>F9023BMW</v>
          </cell>
          <cell r="D183">
            <v>2</v>
          </cell>
          <cell r="E183">
            <v>300</v>
          </cell>
          <cell r="F183" t="str">
            <v>20A Double Pole</v>
          </cell>
          <cell r="G183" t="str">
            <v>PREMERA MIX Modules</v>
          </cell>
          <cell r="H183" t="str">
            <v>MEM series</v>
          </cell>
          <cell r="I183" t="str">
            <v>20A DOUBLE POLE M/WAVE OVEN</v>
          </cell>
        </row>
        <row r="184">
          <cell r="C184" t="str">
            <v>F9023BO</v>
          </cell>
          <cell r="D184">
            <v>2</v>
          </cell>
          <cell r="E184">
            <v>300</v>
          </cell>
          <cell r="F184" t="str">
            <v>20A Double Pole</v>
          </cell>
          <cell r="G184" t="str">
            <v>PREMERA MIX Modules</v>
          </cell>
          <cell r="H184" t="str">
            <v>MEM series</v>
          </cell>
          <cell r="I184" t="str">
            <v>20A DOUBLE POLE BOILER</v>
          </cell>
        </row>
        <row r="185">
          <cell r="C185" t="str">
            <v>F9023BOV</v>
          </cell>
          <cell r="D185">
            <v>2</v>
          </cell>
          <cell r="E185">
            <v>300</v>
          </cell>
          <cell r="F185" t="str">
            <v>20A Double Pole</v>
          </cell>
          <cell r="G185" t="str">
            <v>PREMERA MIX Modules</v>
          </cell>
          <cell r="H185" t="str">
            <v>MEM series</v>
          </cell>
          <cell r="I185" t="str">
            <v>20A DOUBLE POLE OVEN</v>
          </cell>
        </row>
        <row r="186">
          <cell r="C186" t="str">
            <v>F9023BPH</v>
          </cell>
          <cell r="D186">
            <v>2</v>
          </cell>
          <cell r="E186">
            <v>300</v>
          </cell>
          <cell r="F186" t="str">
            <v>20A Double Pole</v>
          </cell>
          <cell r="G186" t="str">
            <v>PREMERA MIX Modules</v>
          </cell>
          <cell r="H186" t="str">
            <v>MEM series</v>
          </cell>
          <cell r="I186" t="str">
            <v>20A DOUBLE POLE PLINTH HEATER</v>
          </cell>
        </row>
        <row r="187">
          <cell r="C187" t="str">
            <v>F9023BPL</v>
          </cell>
          <cell r="D187">
            <v>2</v>
          </cell>
          <cell r="E187">
            <v>300</v>
          </cell>
          <cell r="F187" t="str">
            <v>20A Double Pole</v>
          </cell>
          <cell r="G187" t="str">
            <v>PREMERA MIX Modules</v>
          </cell>
          <cell r="H187" t="str">
            <v>MEM series</v>
          </cell>
          <cell r="I187" t="str">
            <v>20A DOUBLE POLE PILOT LIGHT</v>
          </cell>
        </row>
        <row r="188">
          <cell r="C188" t="str">
            <v>F9023BTD</v>
          </cell>
          <cell r="D188">
            <v>2</v>
          </cell>
          <cell r="E188">
            <v>300</v>
          </cell>
          <cell r="F188" t="str">
            <v>20A Double Pole</v>
          </cell>
          <cell r="G188" t="str">
            <v>PREMERA MIX Modules</v>
          </cell>
          <cell r="H188" t="str">
            <v>MEM series</v>
          </cell>
          <cell r="I188" t="str">
            <v>20A DOUBLE POLE TUMBLE DRYER</v>
          </cell>
        </row>
        <row r="189">
          <cell r="C189" t="str">
            <v>F9023BTR</v>
          </cell>
          <cell r="D189">
            <v>2</v>
          </cell>
          <cell r="E189">
            <v>300</v>
          </cell>
          <cell r="F189" t="str">
            <v>20A Double Pole</v>
          </cell>
          <cell r="G189" t="str">
            <v>PREMERA MIX Modules</v>
          </cell>
          <cell r="H189" t="str">
            <v>MEM series</v>
          </cell>
          <cell r="I189" t="str">
            <v>20A DOUBLE POLE TOWEL RAIL</v>
          </cell>
        </row>
        <row r="190">
          <cell r="C190" t="str">
            <v>F9023BWDR</v>
          </cell>
          <cell r="D190">
            <v>2</v>
          </cell>
          <cell r="E190">
            <v>300</v>
          </cell>
          <cell r="F190" t="str">
            <v>20A Double Pole</v>
          </cell>
          <cell r="G190" t="str">
            <v>PREMERA MIX Modules</v>
          </cell>
          <cell r="H190" t="str">
            <v>MEM series</v>
          </cell>
          <cell r="I190" t="str">
            <v>20A DOUBLE POLE WASHER DRYER</v>
          </cell>
        </row>
        <row r="191">
          <cell r="C191" t="str">
            <v>F9023BWH</v>
          </cell>
          <cell r="D191">
            <v>2</v>
          </cell>
          <cell r="E191">
            <v>300</v>
          </cell>
          <cell r="F191" t="str">
            <v>20A Double Pole</v>
          </cell>
          <cell r="G191" t="str">
            <v>PREMERA MIX Modules</v>
          </cell>
          <cell r="H191" t="str">
            <v>MEM series</v>
          </cell>
          <cell r="I191" t="str">
            <v>20A DOUBLE POLE WATER HEATER</v>
          </cell>
        </row>
        <row r="192">
          <cell r="C192" t="str">
            <v>F9023BWM</v>
          </cell>
          <cell r="D192">
            <v>2</v>
          </cell>
          <cell r="E192">
            <v>300</v>
          </cell>
          <cell r="F192" t="str">
            <v>20A Double Pole</v>
          </cell>
          <cell r="G192" t="str">
            <v>PREMERA MIX Modules</v>
          </cell>
          <cell r="H192" t="str">
            <v>MEM series</v>
          </cell>
          <cell r="I192" t="str">
            <v>20A DOUBLE POLE WASHING MACHINE</v>
          </cell>
        </row>
        <row r="193">
          <cell r="C193" t="str">
            <v>F9023CH</v>
          </cell>
          <cell r="D193">
            <v>2</v>
          </cell>
          <cell r="E193">
            <v>300</v>
          </cell>
          <cell r="F193" t="str">
            <v>20A Double Pole</v>
          </cell>
          <cell r="G193" t="str">
            <v>PREMERA MIX Modules</v>
          </cell>
          <cell r="H193" t="str">
            <v>MEM series</v>
          </cell>
          <cell r="I193" t="str">
            <v>20A DOUBLE POLE CENTRAL HEATING</v>
          </cell>
        </row>
        <row r="194">
          <cell r="C194" t="str">
            <v>F9023DW</v>
          </cell>
          <cell r="D194">
            <v>2</v>
          </cell>
          <cell r="E194">
            <v>300</v>
          </cell>
          <cell r="F194" t="str">
            <v>20A Double Pole</v>
          </cell>
          <cell r="G194" t="str">
            <v>PREMERA MIX Modules</v>
          </cell>
          <cell r="H194" t="str">
            <v>MEM series</v>
          </cell>
          <cell r="I194" t="str">
            <v>20A DOUBLE POLE DISH WASHER</v>
          </cell>
        </row>
        <row r="195">
          <cell r="C195" t="str">
            <v>F9023EF</v>
          </cell>
          <cell r="D195">
            <v>2</v>
          </cell>
          <cell r="E195">
            <v>300</v>
          </cell>
          <cell r="F195" t="str">
            <v>20A Double Pole</v>
          </cell>
          <cell r="G195" t="str">
            <v>PREMERA MIX Modules</v>
          </cell>
          <cell r="H195" t="str">
            <v>MEM series</v>
          </cell>
          <cell r="I195" t="str">
            <v>20A DOUBLE POLE EXTRACT FAN</v>
          </cell>
        </row>
        <row r="196">
          <cell r="C196" t="str">
            <v>F9023FF</v>
          </cell>
          <cell r="D196">
            <v>2</v>
          </cell>
          <cell r="E196">
            <v>300</v>
          </cell>
          <cell r="F196" t="str">
            <v>20A Double Pole</v>
          </cell>
          <cell r="G196" t="str">
            <v>PREMERA MIX Modules</v>
          </cell>
          <cell r="H196" t="str">
            <v>MEM series</v>
          </cell>
          <cell r="I196" t="str">
            <v xml:space="preserve">20A DOUBLE POLE FRIDGE FREEZER </v>
          </cell>
        </row>
        <row r="197">
          <cell r="C197" t="str">
            <v>F9023FG</v>
          </cell>
          <cell r="D197">
            <v>2</v>
          </cell>
          <cell r="E197">
            <v>300</v>
          </cell>
          <cell r="F197" t="str">
            <v>20A Double Pole</v>
          </cell>
          <cell r="G197" t="str">
            <v>PREMERA MIX Modules</v>
          </cell>
          <cell r="H197" t="str">
            <v>MEM series</v>
          </cell>
          <cell r="I197" t="str">
            <v>20A DOUBLE POLE FRIDGE</v>
          </cell>
        </row>
        <row r="198">
          <cell r="C198" t="str">
            <v>F9023FZ</v>
          </cell>
          <cell r="D198">
            <v>2</v>
          </cell>
          <cell r="E198">
            <v>300</v>
          </cell>
          <cell r="F198" t="str">
            <v>20A Double Pole</v>
          </cell>
          <cell r="G198" t="str">
            <v>PREMERA MIX Modules</v>
          </cell>
          <cell r="H198" t="str">
            <v>MEM series</v>
          </cell>
          <cell r="I198" t="str">
            <v xml:space="preserve">20A DOUBLE POLE FREEZER </v>
          </cell>
        </row>
        <row r="199">
          <cell r="C199" t="str">
            <v>F9023HB</v>
          </cell>
          <cell r="D199">
            <v>2</v>
          </cell>
          <cell r="E199">
            <v>300</v>
          </cell>
          <cell r="F199" t="str">
            <v>20A Double Pole</v>
          </cell>
          <cell r="G199" t="str">
            <v>PREMERA MIX Modules</v>
          </cell>
          <cell r="H199" t="str">
            <v>MEM series</v>
          </cell>
          <cell r="I199" t="str">
            <v>20A DOUBLE POLE HOB</v>
          </cell>
        </row>
        <row r="200">
          <cell r="C200" t="str">
            <v>F9023HH</v>
          </cell>
          <cell r="D200">
            <v>2</v>
          </cell>
          <cell r="E200">
            <v>300</v>
          </cell>
          <cell r="F200" t="str">
            <v>20A Double Pole</v>
          </cell>
          <cell r="G200" t="str">
            <v>PREMERA MIX Modules</v>
          </cell>
          <cell r="H200" t="str">
            <v>MEM series</v>
          </cell>
          <cell r="I200" t="str">
            <v>20A DOUBLE POLE HOB HOOD</v>
          </cell>
        </row>
        <row r="201">
          <cell r="C201" t="str">
            <v>F9023LI</v>
          </cell>
          <cell r="D201">
            <v>2</v>
          </cell>
          <cell r="E201">
            <v>300</v>
          </cell>
          <cell r="F201" t="str">
            <v>20A Double Pole</v>
          </cell>
          <cell r="G201" t="str">
            <v>PREMERA MIX Modules</v>
          </cell>
          <cell r="H201" t="str">
            <v>MEM series</v>
          </cell>
          <cell r="I201" t="str">
            <v xml:space="preserve">20A DOUBLE POLE LIGHT </v>
          </cell>
        </row>
        <row r="202">
          <cell r="C202" t="str">
            <v>F9023MW</v>
          </cell>
          <cell r="D202">
            <v>2</v>
          </cell>
          <cell r="E202">
            <v>300</v>
          </cell>
          <cell r="F202" t="str">
            <v>20A Double Pole</v>
          </cell>
          <cell r="G202" t="str">
            <v>PREMERA MIX Modules</v>
          </cell>
          <cell r="H202" t="str">
            <v>MEM series</v>
          </cell>
          <cell r="I202" t="str">
            <v>20A DOUBLE POLE WITH WASHING MACHINE</v>
          </cell>
        </row>
        <row r="203">
          <cell r="C203" t="str">
            <v>F9023OV</v>
          </cell>
          <cell r="D203">
            <v>2</v>
          </cell>
          <cell r="E203">
            <v>300</v>
          </cell>
          <cell r="F203" t="str">
            <v>20A Double Pole</v>
          </cell>
          <cell r="G203" t="str">
            <v>PREMERA MIX Modules</v>
          </cell>
          <cell r="H203" t="str">
            <v>MEM series</v>
          </cell>
          <cell r="I203" t="str">
            <v>20A DOUBLE POLE OVEN</v>
          </cell>
        </row>
        <row r="204">
          <cell r="C204" t="str">
            <v>F9023PH</v>
          </cell>
          <cell r="D204">
            <v>2</v>
          </cell>
          <cell r="E204">
            <v>300</v>
          </cell>
          <cell r="F204" t="str">
            <v>20A Double Pole</v>
          </cell>
          <cell r="G204" t="str">
            <v>PREMERA MIX Modules</v>
          </cell>
          <cell r="H204" t="str">
            <v>MEM series</v>
          </cell>
          <cell r="I204" t="str">
            <v xml:space="preserve">20A DOUBLE POLE PLINTH HEATER </v>
          </cell>
        </row>
        <row r="205">
          <cell r="C205" t="str">
            <v>F9023PL</v>
          </cell>
          <cell r="D205">
            <v>2</v>
          </cell>
          <cell r="E205">
            <v>300</v>
          </cell>
          <cell r="F205" t="str">
            <v>20A Double Pole</v>
          </cell>
          <cell r="G205" t="str">
            <v>PREMERA MIX Modules</v>
          </cell>
          <cell r="H205" t="str">
            <v>MEM series</v>
          </cell>
          <cell r="I205" t="str">
            <v>20A DOUBLE POLE PILOT LIGHT</v>
          </cell>
        </row>
        <row r="206">
          <cell r="C206" t="str">
            <v>F9023RR</v>
          </cell>
          <cell r="D206">
            <v>2</v>
          </cell>
          <cell r="E206">
            <v>300</v>
          </cell>
          <cell r="F206" t="str">
            <v>20A Double Pole</v>
          </cell>
          <cell r="G206" t="str">
            <v>PREMERA MIX Modules</v>
          </cell>
          <cell r="H206" t="str">
            <v>MEM series</v>
          </cell>
          <cell r="I206" t="str">
            <v>20A DOUBLE POLE RED RKR</v>
          </cell>
        </row>
        <row r="207">
          <cell r="C207" t="str">
            <v>F9023TD</v>
          </cell>
          <cell r="D207">
            <v>2</v>
          </cell>
          <cell r="E207">
            <v>300</v>
          </cell>
          <cell r="F207" t="str">
            <v>20A Double Pole</v>
          </cell>
          <cell r="G207" t="str">
            <v>PREMERA MIX Modules</v>
          </cell>
          <cell r="H207" t="str">
            <v>MEM series</v>
          </cell>
          <cell r="I207" t="str">
            <v>20A DOUBLE POLE TUMBLE DRYER</v>
          </cell>
        </row>
        <row r="208">
          <cell r="C208" t="str">
            <v>F9023TR</v>
          </cell>
          <cell r="D208">
            <v>2</v>
          </cell>
          <cell r="E208">
            <v>300</v>
          </cell>
          <cell r="F208" t="str">
            <v>20A Double Pole</v>
          </cell>
          <cell r="G208" t="str">
            <v>PREMERA MIX Modules</v>
          </cell>
          <cell r="H208" t="str">
            <v>MEM series</v>
          </cell>
          <cell r="I208" t="str">
            <v>20A DOUBLE POLE TOWEL RAIL</v>
          </cell>
        </row>
        <row r="209">
          <cell r="C209" t="str">
            <v>F9023WDR</v>
          </cell>
          <cell r="D209">
            <v>2</v>
          </cell>
          <cell r="E209">
            <v>300</v>
          </cell>
          <cell r="F209" t="str">
            <v>20A Double Pole</v>
          </cell>
          <cell r="G209" t="str">
            <v>PREMERA MIX Modules</v>
          </cell>
          <cell r="H209" t="str">
            <v>MEM series</v>
          </cell>
          <cell r="I209" t="str">
            <v>20A DOUBLE POLE WITH WASHER DRYER</v>
          </cell>
        </row>
        <row r="210">
          <cell r="C210" t="str">
            <v>F9023WH</v>
          </cell>
          <cell r="D210">
            <v>2</v>
          </cell>
          <cell r="E210">
            <v>300</v>
          </cell>
          <cell r="F210" t="str">
            <v>20A Double Pole</v>
          </cell>
          <cell r="G210" t="str">
            <v>PREMERA MIX Modules</v>
          </cell>
          <cell r="H210" t="str">
            <v>MEM series</v>
          </cell>
          <cell r="I210" t="str">
            <v>20A DOUBLE POLE WATER HEATER</v>
          </cell>
        </row>
        <row r="211">
          <cell r="C211" t="str">
            <v>F9023WM</v>
          </cell>
          <cell r="D211">
            <v>2</v>
          </cell>
          <cell r="E211">
            <v>300</v>
          </cell>
          <cell r="F211" t="str">
            <v>20A Double Pole</v>
          </cell>
          <cell r="G211" t="str">
            <v>PREMERA MIX Modules</v>
          </cell>
          <cell r="H211" t="str">
            <v>MEM series</v>
          </cell>
          <cell r="I211" t="str">
            <v>20A DOUBLE POLE WITH WASHING MACHINE</v>
          </cell>
        </row>
        <row r="212">
          <cell r="C212" t="str">
            <v>F9025</v>
          </cell>
          <cell r="D212">
            <v>2</v>
          </cell>
          <cell r="E212">
            <v>300</v>
          </cell>
          <cell r="F212" t="str">
            <v>20A Double Pole, Neon</v>
          </cell>
          <cell r="G212" t="str">
            <v>PREMERA MIX Modules</v>
          </cell>
          <cell r="H212" t="str">
            <v>MEM series</v>
          </cell>
          <cell r="I212" t="str">
            <v>20A DOUBLE POLE WITH INDICATOR</v>
          </cell>
        </row>
        <row r="213">
          <cell r="C213" t="str">
            <v>F9025B</v>
          </cell>
          <cell r="D213">
            <v>2</v>
          </cell>
          <cell r="E213">
            <v>300</v>
          </cell>
          <cell r="F213" t="str">
            <v>20A Double Pole, Neon</v>
          </cell>
          <cell r="G213" t="str">
            <v>PREMERA MIX Modules</v>
          </cell>
          <cell r="H213" t="str">
            <v>MEM series</v>
          </cell>
          <cell r="I213" t="str">
            <v>20A DOUBLE POLE WITH INDICATOR</v>
          </cell>
        </row>
        <row r="214">
          <cell r="C214" t="str">
            <v>F9025BO</v>
          </cell>
          <cell r="D214">
            <v>2</v>
          </cell>
          <cell r="E214">
            <v>300</v>
          </cell>
          <cell r="F214" t="str">
            <v>20A Double Pole, Neon</v>
          </cell>
          <cell r="G214" t="str">
            <v>PREMERA MIX Modules</v>
          </cell>
          <cell r="H214" t="str">
            <v>MEM series</v>
          </cell>
          <cell r="I214" t="str">
            <v>20A DOUBLE POLE BOILER</v>
          </cell>
        </row>
        <row r="215">
          <cell r="C215" t="str">
            <v>F9025CH</v>
          </cell>
          <cell r="D215">
            <v>2</v>
          </cell>
          <cell r="E215">
            <v>300</v>
          </cell>
          <cell r="F215" t="str">
            <v>20A Double Pole, Neon</v>
          </cell>
          <cell r="G215" t="str">
            <v>PREMERA MIX Modules</v>
          </cell>
          <cell r="H215" t="str">
            <v>MEM series</v>
          </cell>
          <cell r="I215" t="str">
            <v>20A DOUBLE POLE CENTRAL HEATING</v>
          </cell>
        </row>
        <row r="216">
          <cell r="C216" t="str">
            <v>F9025DW</v>
          </cell>
          <cell r="D216">
            <v>2</v>
          </cell>
          <cell r="E216">
            <v>300</v>
          </cell>
          <cell r="F216" t="str">
            <v>20A Double Pole, Neon</v>
          </cell>
          <cell r="G216" t="str">
            <v>PREMERA MIX Modules</v>
          </cell>
          <cell r="H216" t="str">
            <v>MEM series</v>
          </cell>
          <cell r="I216" t="str">
            <v>20A DOUBLE POLE DISH WASHER</v>
          </cell>
        </row>
        <row r="217">
          <cell r="C217" t="str">
            <v>F9025EF</v>
          </cell>
          <cell r="D217">
            <v>2</v>
          </cell>
          <cell r="E217">
            <v>300</v>
          </cell>
          <cell r="F217" t="str">
            <v>20A Double Pole, Neon</v>
          </cell>
          <cell r="G217" t="str">
            <v>PREMERA MIX Modules</v>
          </cell>
          <cell r="H217" t="str">
            <v>MEM series</v>
          </cell>
          <cell r="I217" t="str">
            <v>20A DOUBLE POLE EXTRACT FAN</v>
          </cell>
        </row>
        <row r="218">
          <cell r="C218" t="str">
            <v>F9025FF</v>
          </cell>
          <cell r="D218">
            <v>2</v>
          </cell>
          <cell r="E218">
            <v>300</v>
          </cell>
          <cell r="F218" t="str">
            <v>20A Double Pole, Neon</v>
          </cell>
          <cell r="G218" t="str">
            <v>PREMERA MIX Modules</v>
          </cell>
          <cell r="H218" t="str">
            <v>MEM series</v>
          </cell>
          <cell r="I218" t="str">
            <v xml:space="preserve">20A DOUBLE POLE FRIDGE FREEZER </v>
          </cell>
        </row>
        <row r="219">
          <cell r="C219" t="str">
            <v>F9025FG</v>
          </cell>
          <cell r="D219">
            <v>2</v>
          </cell>
          <cell r="E219">
            <v>300</v>
          </cell>
          <cell r="F219" t="str">
            <v>20A Double Pole, Neon</v>
          </cell>
          <cell r="G219" t="str">
            <v>PREMERA MIX Modules</v>
          </cell>
          <cell r="H219" t="str">
            <v>MEM series</v>
          </cell>
          <cell r="I219" t="str">
            <v>20A DOUBLE POLE FRIDGE</v>
          </cell>
        </row>
        <row r="220">
          <cell r="C220" t="str">
            <v>F9025HB</v>
          </cell>
          <cell r="D220">
            <v>2</v>
          </cell>
          <cell r="E220">
            <v>300</v>
          </cell>
          <cell r="F220" t="str">
            <v>20A Double Pole, Neon</v>
          </cell>
          <cell r="G220" t="str">
            <v>PREMERA MIX Modules</v>
          </cell>
          <cell r="H220" t="str">
            <v>MEM series</v>
          </cell>
          <cell r="I220" t="str">
            <v>20A DOUBLE POLE HOB</v>
          </cell>
        </row>
        <row r="221">
          <cell r="C221" t="str">
            <v>F9025HE</v>
          </cell>
          <cell r="D221">
            <v>2</v>
          </cell>
          <cell r="E221">
            <v>300</v>
          </cell>
          <cell r="F221" t="str">
            <v>20A Double Pole, Neon</v>
          </cell>
          <cell r="G221" t="str">
            <v>PREMERA MIX Modules</v>
          </cell>
          <cell r="H221" t="str">
            <v>MEM series</v>
          </cell>
          <cell r="I221" t="str">
            <v>20A DOUBLE POLE HEATER</v>
          </cell>
        </row>
        <row r="222">
          <cell r="C222" t="str">
            <v>F9025MW</v>
          </cell>
          <cell r="D222">
            <v>2</v>
          </cell>
          <cell r="E222">
            <v>300</v>
          </cell>
          <cell r="F222" t="str">
            <v>20A Double Pole, Neon</v>
          </cell>
          <cell r="G222" t="str">
            <v>PREMERA MIX Modules</v>
          </cell>
          <cell r="H222" t="str">
            <v>MEM series</v>
          </cell>
          <cell r="I222" t="str">
            <v>20A DOUBLE POLE M/WAVE OVEN</v>
          </cell>
        </row>
        <row r="223">
          <cell r="C223" t="str">
            <v>F9025PH</v>
          </cell>
          <cell r="D223">
            <v>2</v>
          </cell>
          <cell r="E223">
            <v>300</v>
          </cell>
          <cell r="F223" t="str">
            <v>20A Double Pole, Neon</v>
          </cell>
          <cell r="G223" t="str">
            <v>PREMERA MIX Modules</v>
          </cell>
          <cell r="H223" t="str">
            <v>MEM series</v>
          </cell>
          <cell r="I223" t="str">
            <v>20A DOUBLE POLE PLINTH HEATER</v>
          </cell>
        </row>
        <row r="224">
          <cell r="C224" t="str">
            <v>F9025TD</v>
          </cell>
          <cell r="D224">
            <v>2</v>
          </cell>
          <cell r="E224">
            <v>300</v>
          </cell>
          <cell r="F224" t="str">
            <v>20A Double Pole, Neon</v>
          </cell>
          <cell r="G224" t="str">
            <v>PREMERA MIX Modules</v>
          </cell>
          <cell r="H224" t="str">
            <v>MEM series</v>
          </cell>
          <cell r="I224" t="str">
            <v>20A DOUBLE POLE TUMBLE DRYER</v>
          </cell>
        </row>
        <row r="225">
          <cell r="C225" t="str">
            <v>F9025WDR</v>
          </cell>
          <cell r="D225">
            <v>2</v>
          </cell>
          <cell r="E225">
            <v>300</v>
          </cell>
          <cell r="F225" t="str">
            <v>20A Double Pole, Neon</v>
          </cell>
          <cell r="G225" t="str">
            <v>PREMERA MIX Modules</v>
          </cell>
          <cell r="H225" t="str">
            <v>MEM series</v>
          </cell>
          <cell r="I225" t="str">
            <v>20A DOUBLE POLE WASHER DRYER</v>
          </cell>
        </row>
        <row r="226">
          <cell r="C226" t="str">
            <v>F9025WH</v>
          </cell>
          <cell r="D226">
            <v>2</v>
          </cell>
          <cell r="E226">
            <v>300</v>
          </cell>
          <cell r="F226" t="str">
            <v>20A Double Pole, Neon</v>
          </cell>
          <cell r="G226" t="str">
            <v>PREMERA MIX Modules</v>
          </cell>
          <cell r="H226" t="str">
            <v>MEM series</v>
          </cell>
          <cell r="I226" t="str">
            <v>20A DOUBLE POLE WATER HEATER</v>
          </cell>
        </row>
        <row r="227">
          <cell r="C227" t="str">
            <v>F9025WM</v>
          </cell>
          <cell r="D227">
            <v>2</v>
          </cell>
          <cell r="E227">
            <v>300</v>
          </cell>
          <cell r="F227" t="str">
            <v>20A Double Pole, Neon</v>
          </cell>
          <cell r="G227" t="str">
            <v>PREMERA MIX Modules</v>
          </cell>
          <cell r="H227" t="str">
            <v>MEM series</v>
          </cell>
          <cell r="I227" t="str">
            <v>20A DOUBLE POLE WACHINE MACHINE</v>
          </cell>
        </row>
        <row r="228">
          <cell r="C228" t="str">
            <v>F9029</v>
          </cell>
          <cell r="D228">
            <v>2</v>
          </cell>
          <cell r="E228">
            <v>300</v>
          </cell>
          <cell r="F228" t="str">
            <v>20A DP push to make</v>
          </cell>
          <cell r="G228" t="str">
            <v>PREMERA MIX Modules</v>
          </cell>
          <cell r="H228" t="str">
            <v>MEM series</v>
          </cell>
          <cell r="I228" t="str">
            <v>20A DOUBLE POLE PUSH TO BREAK</v>
          </cell>
        </row>
        <row r="229">
          <cell r="C229" t="str">
            <v>F9029RR</v>
          </cell>
          <cell r="D229">
            <v>2</v>
          </cell>
          <cell r="E229">
            <v>300</v>
          </cell>
          <cell r="F229" t="str">
            <v>20A DP push to make</v>
          </cell>
          <cell r="G229" t="str">
            <v>PREMERA MIX Modules</v>
          </cell>
          <cell r="H229" t="str">
            <v>MEM series</v>
          </cell>
          <cell r="I229" t="str">
            <v>20A DOUBLE POLE PUSH TO BREAK</v>
          </cell>
        </row>
        <row r="230">
          <cell r="C230" t="str">
            <v>F9030</v>
          </cell>
          <cell r="D230">
            <v>2</v>
          </cell>
          <cell r="E230">
            <v>300</v>
          </cell>
          <cell r="F230" t="str">
            <v>20A DP push to make</v>
          </cell>
          <cell r="G230" t="str">
            <v>PREMERA MIX Modules</v>
          </cell>
          <cell r="H230" t="str">
            <v>MEM series</v>
          </cell>
          <cell r="I230" t="str">
            <v>20A DOUBLE POLE PUSH TO MAKE</v>
          </cell>
        </row>
        <row r="231">
          <cell r="C231" t="str">
            <v>F9030B</v>
          </cell>
          <cell r="D231">
            <v>2</v>
          </cell>
          <cell r="E231">
            <v>300</v>
          </cell>
          <cell r="F231" t="str">
            <v>20A DP push to make</v>
          </cell>
          <cell r="G231" t="str">
            <v>PREMERA MIX Modules</v>
          </cell>
          <cell r="H231" t="str">
            <v>MEM series</v>
          </cell>
          <cell r="I231" t="str">
            <v>20A DOUBLE POLE PUSH TO MAKE</v>
          </cell>
        </row>
        <row r="232">
          <cell r="C232" t="str">
            <v>F9030RR</v>
          </cell>
          <cell r="D232">
            <v>2</v>
          </cell>
          <cell r="E232">
            <v>300</v>
          </cell>
          <cell r="F232" t="str">
            <v>20A DP push to make</v>
          </cell>
          <cell r="G232" t="str">
            <v>PREMERA MIX Modules</v>
          </cell>
          <cell r="H232" t="str">
            <v>MEM series</v>
          </cell>
          <cell r="I232" t="str">
            <v>20A DOUBLE POLE PUSH TO MAKE</v>
          </cell>
        </row>
        <row r="233">
          <cell r="C233" t="str">
            <v>F9024</v>
          </cell>
          <cell r="D233">
            <v>2</v>
          </cell>
          <cell r="E233">
            <v>330</v>
          </cell>
          <cell r="F233" t="str">
            <v>20A 2 Way centre off</v>
          </cell>
          <cell r="G233" t="str">
            <v>PREMERA MIX Modules</v>
          </cell>
          <cell r="H233" t="str">
            <v>MEM series</v>
          </cell>
          <cell r="I233" t="str">
            <v>20A 2WAY CENTRE OFF</v>
          </cell>
        </row>
        <row r="234">
          <cell r="C234" t="str">
            <v>F9024B</v>
          </cell>
          <cell r="D234">
            <v>2</v>
          </cell>
          <cell r="E234">
            <v>330</v>
          </cell>
          <cell r="F234" t="str">
            <v>20A 2 Way centre off</v>
          </cell>
          <cell r="G234" t="str">
            <v>PREMERA MIX Modules</v>
          </cell>
          <cell r="H234" t="str">
            <v>MEM series</v>
          </cell>
          <cell r="I234" t="str">
            <v>20A 2WAY CENTRE OFF</v>
          </cell>
        </row>
        <row r="235">
          <cell r="C235" t="str">
            <v>F9024RR</v>
          </cell>
          <cell r="D235">
            <v>2</v>
          </cell>
          <cell r="E235">
            <v>330</v>
          </cell>
          <cell r="F235" t="str">
            <v>20A 2 Way centre off</v>
          </cell>
          <cell r="G235" t="str">
            <v>PREMERA MIX Modules</v>
          </cell>
          <cell r="H235" t="str">
            <v>MEM series</v>
          </cell>
          <cell r="I235" t="str">
            <v>20A 2WAY CENTRE OFF</v>
          </cell>
        </row>
        <row r="236">
          <cell r="C236" t="str">
            <v>F9033</v>
          </cell>
          <cell r="D236">
            <v>2</v>
          </cell>
          <cell r="E236">
            <v>330</v>
          </cell>
          <cell r="F236" t="str">
            <v>20A 2 Way centre off bias</v>
          </cell>
          <cell r="G236" t="str">
            <v>PREMERA MIX Modules</v>
          </cell>
          <cell r="H236" t="str">
            <v>MEM series</v>
          </cell>
          <cell r="I236" t="str">
            <v>20A 2WAY CENTRE OFF BIAS</v>
          </cell>
        </row>
        <row r="237">
          <cell r="C237" t="str">
            <v>F9033B</v>
          </cell>
          <cell r="D237">
            <v>2</v>
          </cell>
          <cell r="E237">
            <v>330</v>
          </cell>
          <cell r="F237" t="str">
            <v>20A 2 Way centre off bias</v>
          </cell>
          <cell r="G237" t="str">
            <v>PREMERA MIX Modules</v>
          </cell>
          <cell r="H237" t="str">
            <v>MEM series</v>
          </cell>
          <cell r="I237" t="str">
            <v>20A 2WAY CENTRE OFF BIAS</v>
          </cell>
        </row>
        <row r="238">
          <cell r="C238" t="str">
            <v>F9033RR</v>
          </cell>
          <cell r="D238">
            <v>2</v>
          </cell>
          <cell r="E238">
            <v>330</v>
          </cell>
          <cell r="F238" t="str">
            <v>20A 2 Way centre off bias</v>
          </cell>
          <cell r="G238" t="str">
            <v>PREMERA MIX Modules</v>
          </cell>
          <cell r="H238" t="str">
            <v>MEM series</v>
          </cell>
          <cell r="I238" t="str">
            <v>20A 2WAY CENTRE OFF BIAS</v>
          </cell>
        </row>
        <row r="239">
          <cell r="C239" t="str">
            <v>F9201</v>
          </cell>
          <cell r="D239">
            <v>2</v>
          </cell>
          <cell r="E239">
            <v>350</v>
          </cell>
          <cell r="F239" t="str">
            <v>10A switches broad rocker</v>
          </cell>
          <cell r="G239" t="str">
            <v>PREMERA MIX Modules</v>
          </cell>
          <cell r="H239" t="str">
            <v>MEM series</v>
          </cell>
          <cell r="I239" t="str">
            <v>10A 2 WAY BROAD RKR</v>
          </cell>
        </row>
        <row r="240">
          <cell r="C240" t="str">
            <v>F9201B</v>
          </cell>
          <cell r="D240">
            <v>2</v>
          </cell>
          <cell r="E240">
            <v>350</v>
          </cell>
          <cell r="F240" t="str">
            <v>10A switches broad rocker</v>
          </cell>
          <cell r="G240" t="str">
            <v>PREMERA MIX Modules</v>
          </cell>
          <cell r="H240" t="str">
            <v>MEM series</v>
          </cell>
          <cell r="I240" t="str">
            <v>10A 2 WAY BROAD RKR</v>
          </cell>
        </row>
        <row r="241">
          <cell r="C241" t="str">
            <v>F9204</v>
          </cell>
          <cell r="D241">
            <v>2</v>
          </cell>
          <cell r="E241">
            <v>350</v>
          </cell>
          <cell r="F241" t="str">
            <v>10A switches broad rocker push</v>
          </cell>
          <cell r="G241" t="str">
            <v>PREMERA MIX Modules</v>
          </cell>
          <cell r="H241" t="str">
            <v>MEM series</v>
          </cell>
          <cell r="I241" t="str">
            <v>10A 2 WAY BROAD RKR PUSH TO MAKE</v>
          </cell>
        </row>
        <row r="242">
          <cell r="C242" t="str">
            <v>F9204B</v>
          </cell>
          <cell r="D242">
            <v>2</v>
          </cell>
          <cell r="E242">
            <v>350</v>
          </cell>
          <cell r="F242" t="str">
            <v>10A switches broad rocker push</v>
          </cell>
          <cell r="G242" t="str">
            <v>PREMERA MIX Modules</v>
          </cell>
          <cell r="H242" t="str">
            <v>MEM series</v>
          </cell>
          <cell r="I242" t="str">
            <v>10A 2 WAY BROAD RKR PUSH TO MAKE</v>
          </cell>
        </row>
        <row r="243">
          <cell r="C243" t="str">
            <v>F9221</v>
          </cell>
          <cell r="D243">
            <v>2</v>
          </cell>
          <cell r="E243">
            <v>350</v>
          </cell>
          <cell r="F243" t="str">
            <v>20A switches broad</v>
          </cell>
          <cell r="G243" t="str">
            <v>PREMERA MIX Modules</v>
          </cell>
          <cell r="H243" t="str">
            <v>MEM series</v>
          </cell>
          <cell r="I243" t="str">
            <v>20A 2 WAY BROAD</v>
          </cell>
        </row>
        <row r="244">
          <cell r="C244" t="str">
            <v>F9221B</v>
          </cell>
          <cell r="D244">
            <v>2</v>
          </cell>
          <cell r="E244">
            <v>350</v>
          </cell>
          <cell r="F244" t="str">
            <v>20A switches broad</v>
          </cell>
          <cell r="G244" t="str">
            <v>PREMERA MIX Modules</v>
          </cell>
          <cell r="H244" t="str">
            <v>MEM series</v>
          </cell>
          <cell r="I244" t="str">
            <v>20A 2 WAY BROAD</v>
          </cell>
        </row>
        <row r="245">
          <cell r="C245" t="str">
            <v>F9222</v>
          </cell>
          <cell r="D245">
            <v>2</v>
          </cell>
          <cell r="E245">
            <v>350</v>
          </cell>
          <cell r="F245" t="str">
            <v>20A Intermediate broad rocker</v>
          </cell>
          <cell r="G245" t="str">
            <v>PREMERA MIX Modules</v>
          </cell>
          <cell r="H245" t="str">
            <v>MEM series</v>
          </cell>
          <cell r="I245" t="str">
            <v>20A INTERMEDIATE BROAD RKR SWITCH</v>
          </cell>
        </row>
        <row r="246">
          <cell r="C246" t="str">
            <v>F9222B</v>
          </cell>
          <cell r="D246">
            <v>2</v>
          </cell>
          <cell r="E246">
            <v>350</v>
          </cell>
          <cell r="F246" t="str">
            <v>20A Intermediate broad rocker</v>
          </cell>
          <cell r="G246" t="str">
            <v>PREMERA MIX Modules</v>
          </cell>
          <cell r="H246" t="str">
            <v>MEM series</v>
          </cell>
          <cell r="I246" t="str">
            <v>20A INTERMEDIATE BROAD RKR SWITCH</v>
          </cell>
        </row>
        <row r="247">
          <cell r="C247" t="str">
            <v>F9223</v>
          </cell>
          <cell r="D247">
            <v>2</v>
          </cell>
          <cell r="E247">
            <v>350</v>
          </cell>
          <cell r="F247" t="str">
            <v>20A DP broad rocker</v>
          </cell>
          <cell r="G247" t="str">
            <v>PREMERA MIX Modules</v>
          </cell>
          <cell r="H247" t="str">
            <v>MEM series</v>
          </cell>
          <cell r="I247" t="str">
            <v>20A DOUBLE POLE BROAD RKR</v>
          </cell>
        </row>
        <row r="248">
          <cell r="C248" t="str">
            <v>F9223B</v>
          </cell>
          <cell r="D248">
            <v>2</v>
          </cell>
          <cell r="E248">
            <v>350</v>
          </cell>
          <cell r="F248" t="str">
            <v>20A DP broad rocker</v>
          </cell>
          <cell r="G248" t="str">
            <v>PREMERA MIX Modules</v>
          </cell>
          <cell r="H248" t="str">
            <v>MEM series</v>
          </cell>
          <cell r="I248" t="str">
            <v>20A DOUBLE POLE BROAD RKR</v>
          </cell>
        </row>
        <row r="249">
          <cell r="C249" t="str">
            <v>F9225</v>
          </cell>
          <cell r="D249">
            <v>2</v>
          </cell>
          <cell r="E249">
            <v>350</v>
          </cell>
          <cell r="F249" t="str">
            <v>20A DP broad rocker neon</v>
          </cell>
          <cell r="G249" t="str">
            <v>PREMERA MIX Modules</v>
          </cell>
          <cell r="H249" t="str">
            <v>MEM series</v>
          </cell>
          <cell r="I249" t="str">
            <v>20A DOUBLE POLE BROAD RKR INDICATOR</v>
          </cell>
        </row>
        <row r="250">
          <cell r="C250" t="str">
            <v>F9225B</v>
          </cell>
          <cell r="D250">
            <v>2</v>
          </cell>
          <cell r="E250">
            <v>350</v>
          </cell>
          <cell r="F250" t="str">
            <v>20A DP broad rocker neon</v>
          </cell>
          <cell r="G250" t="str">
            <v>PREMERA MIX Modules</v>
          </cell>
          <cell r="H250" t="str">
            <v>MEM series</v>
          </cell>
          <cell r="I250" t="str">
            <v>20A DOUBLE POLE BROAD RKR INDICATOR</v>
          </cell>
        </row>
        <row r="251">
          <cell r="C251" t="str">
            <v>F9224</v>
          </cell>
          <cell r="D251">
            <v>2</v>
          </cell>
          <cell r="E251">
            <v>360</v>
          </cell>
          <cell r="F251" t="str">
            <v>20A Broad 2 way cetre off</v>
          </cell>
          <cell r="G251" t="str">
            <v>PREMERA MIX Modules</v>
          </cell>
          <cell r="H251" t="str">
            <v>MEM series</v>
          </cell>
          <cell r="I251" t="str">
            <v>20A 2WAY CENTRE OFF BROAD RKR</v>
          </cell>
        </row>
        <row r="252">
          <cell r="C252" t="str">
            <v>F9224B</v>
          </cell>
          <cell r="D252">
            <v>2</v>
          </cell>
          <cell r="E252">
            <v>360</v>
          </cell>
          <cell r="F252" t="str">
            <v>20A Broad 2 way cetre off</v>
          </cell>
          <cell r="G252" t="str">
            <v>PREMERA MIX Modules</v>
          </cell>
          <cell r="H252" t="str">
            <v>MEM series</v>
          </cell>
          <cell r="I252" t="str">
            <v>20A 2WAY CENTRE OFF BROAD RKR</v>
          </cell>
        </row>
        <row r="253">
          <cell r="C253" t="str">
            <v>F9233</v>
          </cell>
          <cell r="D253">
            <v>2</v>
          </cell>
          <cell r="E253">
            <v>360</v>
          </cell>
          <cell r="F253" t="str">
            <v>20A Broad 2 way cetre off bias</v>
          </cell>
          <cell r="G253" t="str">
            <v>PREMERA MIX Modules</v>
          </cell>
          <cell r="H253" t="str">
            <v>MEM series</v>
          </cell>
          <cell r="I253" t="str">
            <v>20A 2WAY CENTRE OFF BIAS BROAD RKR</v>
          </cell>
        </row>
        <row r="254">
          <cell r="C254" t="str">
            <v>F9233B</v>
          </cell>
          <cell r="D254">
            <v>2</v>
          </cell>
          <cell r="E254">
            <v>360</v>
          </cell>
          <cell r="F254" t="str">
            <v>20A Broad 2 way cetre off bias</v>
          </cell>
          <cell r="G254" t="str">
            <v>PREMERA MIX Modules</v>
          </cell>
          <cell r="H254" t="str">
            <v>MEM series</v>
          </cell>
          <cell r="I254" t="str">
            <v>20A 2WAY CENTRE OFF BIAS BROAD RKR</v>
          </cell>
        </row>
        <row r="255">
          <cell r="C255" t="str">
            <v>F9026</v>
          </cell>
          <cell r="D255">
            <v>2</v>
          </cell>
          <cell r="E255">
            <v>400</v>
          </cell>
          <cell r="F255" t="str">
            <v>20A Key switches</v>
          </cell>
          <cell r="G255" t="str">
            <v>PREMERA MIX Modules</v>
          </cell>
          <cell r="H255" t="str">
            <v>MEM series</v>
          </cell>
          <cell r="I255" t="str">
            <v>20A KEY SWITCH 2 WAY</v>
          </cell>
        </row>
        <row r="256">
          <cell r="C256" t="str">
            <v>F9026B</v>
          </cell>
          <cell r="D256">
            <v>2</v>
          </cell>
          <cell r="E256">
            <v>400</v>
          </cell>
          <cell r="F256" t="str">
            <v>20A Key switches</v>
          </cell>
          <cell r="G256" t="str">
            <v>PREMERA MIX Modules</v>
          </cell>
          <cell r="H256" t="str">
            <v>MEM series</v>
          </cell>
          <cell r="I256" t="str">
            <v>20A KEY SWITCH 2 WAY</v>
          </cell>
        </row>
        <row r="257">
          <cell r="C257" t="str">
            <v>F9026BEL</v>
          </cell>
          <cell r="D257">
            <v>2</v>
          </cell>
          <cell r="E257">
            <v>400</v>
          </cell>
          <cell r="F257" t="str">
            <v>20A Key switches</v>
          </cell>
          <cell r="G257" t="str">
            <v>PREMERA MIX Modules</v>
          </cell>
          <cell r="H257" t="str">
            <v>MEM series</v>
          </cell>
          <cell r="I257" t="str">
            <v>20A KEY SWITCH 2 WAY PRINTED WITH EMG LGT TEST CHARGE</v>
          </cell>
        </row>
        <row r="258">
          <cell r="C258" t="str">
            <v>F9026EL</v>
          </cell>
          <cell r="D258">
            <v>2</v>
          </cell>
          <cell r="E258">
            <v>400</v>
          </cell>
          <cell r="F258" t="str">
            <v>20A Key switches</v>
          </cell>
          <cell r="G258" t="str">
            <v>PREMERA MIX Modules</v>
          </cell>
          <cell r="H258" t="str">
            <v>MEM series</v>
          </cell>
          <cell r="I258" t="str">
            <v>20A KEY SWITCH 2 WAY PRINTED WITH EMG LGT TEST CHARGE</v>
          </cell>
        </row>
        <row r="259">
          <cell r="C259" t="str">
            <v>F9027</v>
          </cell>
          <cell r="D259">
            <v>2</v>
          </cell>
          <cell r="E259">
            <v>400</v>
          </cell>
          <cell r="F259" t="str">
            <v>20A Key switches</v>
          </cell>
          <cell r="G259" t="str">
            <v>PREMERA MIX Modules</v>
          </cell>
          <cell r="H259" t="str">
            <v>MEM series</v>
          </cell>
          <cell r="I259" t="str">
            <v>20A KEY SWITCH DOUBLE POLE</v>
          </cell>
        </row>
        <row r="260">
          <cell r="C260" t="str">
            <v>F9027B</v>
          </cell>
          <cell r="D260">
            <v>2</v>
          </cell>
          <cell r="E260">
            <v>400</v>
          </cell>
          <cell r="F260" t="str">
            <v>20A Key switches</v>
          </cell>
          <cell r="G260" t="str">
            <v>PREMERA MIX Modules</v>
          </cell>
          <cell r="H260" t="str">
            <v>MEM series</v>
          </cell>
          <cell r="I260" t="str">
            <v>20A KEY SWITCH DOUBLE POLE</v>
          </cell>
        </row>
        <row r="261">
          <cell r="C261" t="str">
            <v>F9027BEL</v>
          </cell>
          <cell r="D261">
            <v>2</v>
          </cell>
          <cell r="E261">
            <v>400</v>
          </cell>
          <cell r="F261" t="str">
            <v>20A Key switches</v>
          </cell>
          <cell r="G261" t="str">
            <v>PREMERA MIX Modules</v>
          </cell>
          <cell r="H261" t="str">
            <v>MEM series</v>
          </cell>
          <cell r="I261" t="str">
            <v>20A KEY SWITCH DOUBLE POLE PRINTED WITH EMG LGT TEST CHARGE</v>
          </cell>
        </row>
        <row r="262">
          <cell r="C262" t="str">
            <v>F9027EL</v>
          </cell>
          <cell r="D262">
            <v>2</v>
          </cell>
          <cell r="E262">
            <v>400</v>
          </cell>
          <cell r="F262" t="str">
            <v>20A Key switches</v>
          </cell>
          <cell r="G262" t="str">
            <v>PREMERA MIX Modules</v>
          </cell>
          <cell r="H262" t="str">
            <v>MEM series</v>
          </cell>
          <cell r="I262" t="str">
            <v>20A KEY SWITCH DOUBLE POLE PRINTED WITH EMG LGT TEST CHARGE</v>
          </cell>
        </row>
        <row r="263">
          <cell r="C263" t="str">
            <v>F9027N</v>
          </cell>
          <cell r="D263">
            <v>2</v>
          </cell>
          <cell r="E263">
            <v>400</v>
          </cell>
          <cell r="F263" t="str">
            <v>20A Key switches</v>
          </cell>
          <cell r="G263" t="str">
            <v>PREMERA MIX Modules</v>
          </cell>
          <cell r="H263" t="str">
            <v>MEM series</v>
          </cell>
          <cell r="I263" t="str">
            <v>20A KEY SWITCH DOUBLE POLE WITH INDICATOR</v>
          </cell>
        </row>
        <row r="264">
          <cell r="C264" t="str">
            <v>F9027NB</v>
          </cell>
          <cell r="D264">
            <v>2</v>
          </cell>
          <cell r="E264">
            <v>400</v>
          </cell>
          <cell r="F264" t="str">
            <v>20A Key switches</v>
          </cell>
          <cell r="G264" t="str">
            <v>PREMERA MIX Modules</v>
          </cell>
          <cell r="H264" t="str">
            <v>MEM series</v>
          </cell>
          <cell r="I264" t="str">
            <v>20A KEY SWITCH DOUBLE POLE WITH INDICATOR</v>
          </cell>
        </row>
        <row r="265">
          <cell r="C265" t="str">
            <v>F9027RR</v>
          </cell>
          <cell r="D265">
            <v>2</v>
          </cell>
          <cell r="E265">
            <v>400</v>
          </cell>
          <cell r="F265" t="str">
            <v>20A Key switches</v>
          </cell>
          <cell r="G265" t="str">
            <v>PREMERA MIX Modules</v>
          </cell>
          <cell r="H265" t="str">
            <v>MEM series</v>
          </cell>
          <cell r="I265" t="str">
            <v>20A KEY SWITCH DOUBLE POLE</v>
          </cell>
        </row>
        <row r="266">
          <cell r="C266" t="str">
            <v>F9028</v>
          </cell>
          <cell r="D266">
            <v>2</v>
          </cell>
          <cell r="E266">
            <v>400</v>
          </cell>
          <cell r="F266" t="str">
            <v>20A Key switches</v>
          </cell>
          <cell r="G266" t="str">
            <v>PREMERA MIX Modules</v>
          </cell>
          <cell r="H266" t="str">
            <v>MEM series</v>
          </cell>
          <cell r="I266" t="str">
            <v>20A KEY SWITCH 2 WAY CENRE OFF BIAS</v>
          </cell>
        </row>
        <row r="267">
          <cell r="C267" t="str">
            <v>F9028B</v>
          </cell>
          <cell r="D267">
            <v>2</v>
          </cell>
          <cell r="E267">
            <v>400</v>
          </cell>
          <cell r="F267" t="str">
            <v>20A Key switches</v>
          </cell>
          <cell r="G267" t="str">
            <v>PREMERA MIX Modules</v>
          </cell>
          <cell r="H267" t="str">
            <v>MEM series</v>
          </cell>
          <cell r="I267" t="str">
            <v>20A KEY SWITCH 2 WAY CENRE OFF BIAS</v>
          </cell>
        </row>
        <row r="268">
          <cell r="C268" t="str">
            <v>F9031</v>
          </cell>
          <cell r="D268">
            <v>2</v>
          </cell>
          <cell r="E268">
            <v>420</v>
          </cell>
          <cell r="F268" t="str">
            <v>20A Key switches intermediate</v>
          </cell>
          <cell r="G268" t="str">
            <v>PREMERA MIX Modules</v>
          </cell>
          <cell r="H268" t="str">
            <v>MEM series</v>
          </cell>
          <cell r="I268" t="str">
            <v>20A KEY SWITCH INTERMEDIATE</v>
          </cell>
        </row>
        <row r="269">
          <cell r="C269" t="str">
            <v>F9031B</v>
          </cell>
          <cell r="D269">
            <v>2</v>
          </cell>
          <cell r="E269">
            <v>420</v>
          </cell>
          <cell r="F269" t="str">
            <v>20A Key switches intermediate</v>
          </cell>
          <cell r="G269" t="str">
            <v>PREMERA MIX Modules</v>
          </cell>
          <cell r="H269" t="str">
            <v>MEM series</v>
          </cell>
          <cell r="I269" t="str">
            <v>20A KEY SWITCH INTERMEDIATE</v>
          </cell>
        </row>
        <row r="270">
          <cell r="C270" t="str">
            <v>F9032</v>
          </cell>
          <cell r="D270">
            <v>2</v>
          </cell>
          <cell r="E270">
            <v>500</v>
          </cell>
          <cell r="F270" t="str">
            <v>16A 1 Way twin switch</v>
          </cell>
          <cell r="G270" t="str">
            <v>PREMERA MIX Modules</v>
          </cell>
          <cell r="H270" t="str">
            <v>MEM series</v>
          </cell>
          <cell r="I270" t="str">
            <v>16A 1 WAY TWIN SWITCH MODULE</v>
          </cell>
        </row>
        <row r="271">
          <cell r="C271" t="str">
            <v>F9061</v>
          </cell>
          <cell r="D271">
            <v>2</v>
          </cell>
          <cell r="E271">
            <v>600</v>
          </cell>
          <cell r="F271" t="str">
            <v>Neon</v>
          </cell>
          <cell r="G271" t="str">
            <v>PREMERA MIX Modules</v>
          </cell>
          <cell r="H271" t="str">
            <v>MEM series</v>
          </cell>
          <cell r="I271" t="str">
            <v>RED NEON 230v</v>
          </cell>
        </row>
        <row r="272">
          <cell r="C272" t="str">
            <v>F9061/24V</v>
          </cell>
          <cell r="D272">
            <v>2</v>
          </cell>
          <cell r="E272">
            <v>600</v>
          </cell>
          <cell r="F272" t="str">
            <v>Neon</v>
          </cell>
          <cell r="G272" t="str">
            <v>PREMERA MIX Modules</v>
          </cell>
          <cell r="H272" t="str">
            <v>MEM series</v>
          </cell>
          <cell r="I272" t="str">
            <v>RED NEON 24v</v>
          </cell>
        </row>
        <row r="273">
          <cell r="C273" t="str">
            <v>F9061B</v>
          </cell>
          <cell r="D273">
            <v>2</v>
          </cell>
          <cell r="E273">
            <v>600</v>
          </cell>
          <cell r="F273" t="str">
            <v>Neon</v>
          </cell>
          <cell r="G273" t="str">
            <v>PREMERA MIX Modules</v>
          </cell>
          <cell r="H273" t="str">
            <v>MEM series</v>
          </cell>
          <cell r="I273" t="str">
            <v>RED NEON 230v</v>
          </cell>
        </row>
        <row r="274">
          <cell r="C274" t="str">
            <v>F9062</v>
          </cell>
          <cell r="D274">
            <v>2</v>
          </cell>
          <cell r="E274">
            <v>600</v>
          </cell>
          <cell r="F274" t="str">
            <v>Neon</v>
          </cell>
          <cell r="G274" t="str">
            <v>PREMERA MIX Modules</v>
          </cell>
          <cell r="H274" t="str">
            <v>MEM series</v>
          </cell>
          <cell r="I274" t="str">
            <v xml:space="preserve">AMBER NEON 230v </v>
          </cell>
        </row>
        <row r="275">
          <cell r="C275" t="str">
            <v>F9062/24V</v>
          </cell>
          <cell r="D275">
            <v>2</v>
          </cell>
          <cell r="E275">
            <v>600</v>
          </cell>
          <cell r="F275" t="str">
            <v>Neon</v>
          </cell>
          <cell r="G275" t="str">
            <v>PREMERA MIX Modules</v>
          </cell>
          <cell r="H275" t="str">
            <v>MEM series</v>
          </cell>
          <cell r="I275" t="str">
            <v>AMBER NEON 24v</v>
          </cell>
        </row>
        <row r="276">
          <cell r="C276" t="str">
            <v>F9063</v>
          </cell>
          <cell r="D276">
            <v>2</v>
          </cell>
          <cell r="E276">
            <v>600</v>
          </cell>
          <cell r="F276" t="str">
            <v>Neon</v>
          </cell>
          <cell r="G276" t="str">
            <v>PREMERA MIX Modules</v>
          </cell>
          <cell r="H276" t="str">
            <v>MEM series</v>
          </cell>
          <cell r="I276" t="str">
            <v xml:space="preserve">GREEN NEON 230v </v>
          </cell>
        </row>
        <row r="277">
          <cell r="C277" t="str">
            <v>F9063/24V</v>
          </cell>
          <cell r="D277">
            <v>2</v>
          </cell>
          <cell r="E277">
            <v>600</v>
          </cell>
          <cell r="F277" t="str">
            <v>Neon</v>
          </cell>
          <cell r="G277" t="str">
            <v>PREMERA MIX Modules</v>
          </cell>
          <cell r="H277" t="str">
            <v>MEM series</v>
          </cell>
          <cell r="I277" t="str">
            <v>GREEN NEON 24v</v>
          </cell>
        </row>
        <row r="278">
          <cell r="C278" t="str">
            <v>F9072</v>
          </cell>
          <cell r="D278">
            <v>2</v>
          </cell>
          <cell r="E278">
            <v>630</v>
          </cell>
          <cell r="F278" t="str">
            <v>Fuse module</v>
          </cell>
          <cell r="G278" t="str">
            <v>PREMERA MIX Modules</v>
          </cell>
          <cell r="H278" t="str">
            <v>MEM series</v>
          </cell>
          <cell r="I278" t="str">
            <v>13A FUSE MODULE</v>
          </cell>
        </row>
        <row r="279">
          <cell r="C279" t="str">
            <v>F9072B</v>
          </cell>
          <cell r="D279">
            <v>2</v>
          </cell>
          <cell r="E279">
            <v>630</v>
          </cell>
          <cell r="F279" t="str">
            <v>Fuse module</v>
          </cell>
          <cell r="G279" t="str">
            <v>PREMERA MIX Modules</v>
          </cell>
          <cell r="H279" t="str">
            <v>MEM series</v>
          </cell>
          <cell r="I279" t="str">
            <v>13A FUSE MODULE</v>
          </cell>
        </row>
        <row r="280">
          <cell r="C280" t="str">
            <v>F9072RR</v>
          </cell>
          <cell r="D280">
            <v>2</v>
          </cell>
          <cell r="E280">
            <v>630</v>
          </cell>
          <cell r="F280" t="str">
            <v>Fuse module</v>
          </cell>
          <cell r="G280" t="str">
            <v>PREMERA MIX Modules</v>
          </cell>
          <cell r="H280" t="str">
            <v>MEM series</v>
          </cell>
          <cell r="I280" t="str">
            <v>13A FUSE MODULE</v>
          </cell>
        </row>
        <row r="281">
          <cell r="C281" t="str">
            <v>F9073</v>
          </cell>
          <cell r="D281">
            <v>2</v>
          </cell>
          <cell r="E281">
            <v>650</v>
          </cell>
          <cell r="F281" t="str">
            <v>Cable outlet</v>
          </cell>
          <cell r="G281" t="str">
            <v>PREMERA MIX Modules</v>
          </cell>
          <cell r="H281" t="str">
            <v>MEM series</v>
          </cell>
          <cell r="I281" t="str">
            <v>CABLE OUTLET</v>
          </cell>
        </row>
        <row r="282">
          <cell r="C282" t="str">
            <v>F9073B</v>
          </cell>
          <cell r="D282">
            <v>2</v>
          </cell>
          <cell r="E282">
            <v>650</v>
          </cell>
          <cell r="F282" t="str">
            <v>Cable outlet</v>
          </cell>
          <cell r="G282" t="str">
            <v>PREMERA MIX Modules</v>
          </cell>
          <cell r="H282" t="str">
            <v>MEM series</v>
          </cell>
          <cell r="I282" t="str">
            <v>CABLE OUTLET</v>
          </cell>
        </row>
        <row r="283">
          <cell r="C283" t="str">
            <v>F9076</v>
          </cell>
          <cell r="D283">
            <v>2</v>
          </cell>
          <cell r="E283">
            <v>670</v>
          </cell>
          <cell r="F283" t="str">
            <v>Buzzer</v>
          </cell>
          <cell r="G283" t="str">
            <v>PREMERA MIX Modules</v>
          </cell>
          <cell r="H283" t="str">
            <v>MEM series</v>
          </cell>
          <cell r="I283" t="str">
            <v>BUZZER</v>
          </cell>
        </row>
        <row r="284">
          <cell r="C284" t="str">
            <v>F9064</v>
          </cell>
          <cell r="D284">
            <v>2</v>
          </cell>
          <cell r="E284">
            <v>700</v>
          </cell>
          <cell r="F284" t="str">
            <v>Grid dimmer</v>
          </cell>
          <cell r="G284" t="str">
            <v>PREMERA MIX Modules</v>
          </cell>
          <cell r="H284" t="str">
            <v>MEM series</v>
          </cell>
          <cell r="I284" t="str">
            <v>250W DIMMER UNIVERSAL</v>
          </cell>
        </row>
        <row r="285">
          <cell r="C285" t="str">
            <v>F9064B</v>
          </cell>
          <cell r="D285">
            <v>2</v>
          </cell>
          <cell r="E285">
            <v>700</v>
          </cell>
          <cell r="F285" t="str">
            <v>Grid dimmer</v>
          </cell>
          <cell r="G285" t="str">
            <v>PREMERA MIX Modules</v>
          </cell>
          <cell r="H285" t="str">
            <v>MEM series</v>
          </cell>
          <cell r="I285" t="str">
            <v>250W DIMMER UNIVERSAL</v>
          </cell>
        </row>
        <row r="286">
          <cell r="C286" t="str">
            <v>F9065</v>
          </cell>
          <cell r="D286">
            <v>2</v>
          </cell>
          <cell r="E286">
            <v>700</v>
          </cell>
          <cell r="F286" t="str">
            <v>Grid dimmer</v>
          </cell>
          <cell r="G286" t="str">
            <v>PREMERA MIX Modules</v>
          </cell>
          <cell r="H286" t="str">
            <v>MEM series</v>
          </cell>
          <cell r="I286" t="str">
            <v>400W DIMMER UNIVERSAL</v>
          </cell>
        </row>
        <row r="287">
          <cell r="C287" t="str">
            <v>F9065B</v>
          </cell>
          <cell r="D287">
            <v>2</v>
          </cell>
          <cell r="E287">
            <v>700</v>
          </cell>
          <cell r="F287" t="str">
            <v>Grid dimmer</v>
          </cell>
          <cell r="G287" t="str">
            <v>PREMERA MIX Modules</v>
          </cell>
          <cell r="H287" t="str">
            <v>MEM series</v>
          </cell>
          <cell r="I287" t="str">
            <v>400W DIMMER UNIVERSAL</v>
          </cell>
        </row>
        <row r="288">
          <cell r="C288" t="str">
            <v>F9066</v>
          </cell>
          <cell r="D288">
            <v>2</v>
          </cell>
          <cell r="E288">
            <v>700</v>
          </cell>
          <cell r="F288" t="str">
            <v>Grid dimmer</v>
          </cell>
          <cell r="G288" t="str">
            <v>PREMERA MIX Modules</v>
          </cell>
          <cell r="H288" t="str">
            <v>MEM series</v>
          </cell>
          <cell r="I288" t="str">
            <v>1000W DIMMER</v>
          </cell>
        </row>
        <row r="289">
          <cell r="C289" t="str">
            <v>F9066B</v>
          </cell>
          <cell r="D289">
            <v>2</v>
          </cell>
          <cell r="E289">
            <v>700</v>
          </cell>
          <cell r="F289" t="str">
            <v>Grid dimmer</v>
          </cell>
          <cell r="G289" t="str">
            <v>PREMERA MIX Modules</v>
          </cell>
          <cell r="H289" t="str">
            <v>MEM series</v>
          </cell>
          <cell r="I289" t="str">
            <v>1000W DIMMER</v>
          </cell>
        </row>
        <row r="290">
          <cell r="C290" t="str">
            <v>F9077</v>
          </cell>
          <cell r="D290">
            <v>2</v>
          </cell>
          <cell r="E290">
            <v>700</v>
          </cell>
          <cell r="F290" t="str">
            <v>Dimmer</v>
          </cell>
          <cell r="G290" t="str">
            <v>PREMERA MIX Modules</v>
          </cell>
          <cell r="H290" t="str">
            <v>MEM series</v>
          </cell>
          <cell r="I290" t="str">
            <v>500W DIMMER NON-EUROPEAN</v>
          </cell>
        </row>
        <row r="291">
          <cell r="C291" t="str">
            <v>F9077B</v>
          </cell>
          <cell r="D291">
            <v>2</v>
          </cell>
          <cell r="E291">
            <v>700</v>
          </cell>
          <cell r="F291" t="str">
            <v>Dimmer</v>
          </cell>
          <cell r="G291" t="str">
            <v>PREMERA MIX Modules</v>
          </cell>
          <cell r="H291" t="str">
            <v>MEM series</v>
          </cell>
          <cell r="I291" t="str">
            <v>500W DIMMER NON-EUROPEAN</v>
          </cell>
        </row>
        <row r="292">
          <cell r="C292" t="str">
            <v>F9078</v>
          </cell>
          <cell r="D292">
            <v>2</v>
          </cell>
          <cell r="E292">
            <v>700</v>
          </cell>
          <cell r="F292" t="str">
            <v>Dimmer</v>
          </cell>
          <cell r="G292" t="str">
            <v>PREMERA MIX Modules</v>
          </cell>
          <cell r="H292" t="str">
            <v>MEM series</v>
          </cell>
          <cell r="I292" t="str">
            <v>1-10V DIMMER</v>
          </cell>
        </row>
        <row r="293">
          <cell r="C293" t="str">
            <v>F9078B</v>
          </cell>
          <cell r="D293">
            <v>2</v>
          </cell>
          <cell r="E293">
            <v>700</v>
          </cell>
          <cell r="F293" t="str">
            <v>Dimmer</v>
          </cell>
          <cell r="G293" t="str">
            <v>PREMERA MIX Modules</v>
          </cell>
          <cell r="H293" t="str">
            <v>MEM series</v>
          </cell>
          <cell r="I293" t="str">
            <v>1-10V DIMMER</v>
          </cell>
        </row>
        <row r="294">
          <cell r="C294" t="str">
            <v>F9079</v>
          </cell>
          <cell r="D294">
            <v>2</v>
          </cell>
          <cell r="E294">
            <v>700</v>
          </cell>
          <cell r="F294" t="str">
            <v>Dimmer</v>
          </cell>
          <cell r="G294" t="str">
            <v>PREMERA MIX Modules</v>
          </cell>
          <cell r="H294" t="str">
            <v>MEM series</v>
          </cell>
          <cell r="I294" t="str">
            <v>60-500W FAN CONTROLER - NON-EURO</v>
          </cell>
        </row>
        <row r="295">
          <cell r="C295" t="str">
            <v>F9079B</v>
          </cell>
          <cell r="D295">
            <v>2</v>
          </cell>
          <cell r="E295">
            <v>700</v>
          </cell>
          <cell r="F295" t="str">
            <v>Dimmer</v>
          </cell>
          <cell r="G295" t="str">
            <v>PREMERA MIX Modules</v>
          </cell>
          <cell r="H295" t="str">
            <v>MEM series</v>
          </cell>
          <cell r="I295" t="str">
            <v>60-500W FAN CONTROLER - NON-EURO</v>
          </cell>
        </row>
        <row r="296">
          <cell r="C296" t="str">
            <v>F9099</v>
          </cell>
          <cell r="D296">
            <v>2</v>
          </cell>
          <cell r="E296">
            <v>700</v>
          </cell>
          <cell r="F296" t="str">
            <v>Spares</v>
          </cell>
          <cell r="G296" t="str">
            <v>PREMERA MIX Modules</v>
          </cell>
          <cell r="H296" t="str">
            <v>MEM series</v>
          </cell>
          <cell r="I296" t="str">
            <v>REPLACEMENT KEY</v>
          </cell>
        </row>
        <row r="297">
          <cell r="C297" t="str">
            <v>F9060</v>
          </cell>
          <cell r="D297">
            <v>2</v>
          </cell>
          <cell r="E297">
            <v>800</v>
          </cell>
          <cell r="F297" t="str">
            <v>Blank</v>
          </cell>
          <cell r="G297" t="str">
            <v>PREMERA MIX Modules</v>
          </cell>
          <cell r="H297" t="str">
            <v>MEM series</v>
          </cell>
          <cell r="I297" t="str">
            <v>BLANK</v>
          </cell>
        </row>
        <row r="298">
          <cell r="C298" t="str">
            <v>F9060B</v>
          </cell>
          <cell r="D298">
            <v>2</v>
          </cell>
          <cell r="E298">
            <v>800</v>
          </cell>
          <cell r="F298" t="str">
            <v>Blank</v>
          </cell>
          <cell r="G298" t="str">
            <v>PREMERA MIX Modules</v>
          </cell>
          <cell r="H298" t="str">
            <v>MEM series</v>
          </cell>
          <cell r="I298" t="str">
            <v>BLANK</v>
          </cell>
        </row>
        <row r="299">
          <cell r="C299" t="str">
            <v>F9306</v>
          </cell>
          <cell r="D299">
            <v>2</v>
          </cell>
          <cell r="E299">
            <v>900</v>
          </cell>
          <cell r="F299" t="str">
            <v>Socket modules</v>
          </cell>
          <cell r="G299" t="str">
            <v>PREMERA MIX Modules</v>
          </cell>
          <cell r="H299" t="str">
            <v>MEM series</v>
          </cell>
          <cell r="I299" t="str">
            <v>6A 3 PIN SHUTTERED SOCKET</v>
          </cell>
        </row>
        <row r="300">
          <cell r="C300" t="str">
            <v>F9306B</v>
          </cell>
          <cell r="D300">
            <v>2</v>
          </cell>
          <cell r="E300">
            <v>900</v>
          </cell>
          <cell r="F300" t="str">
            <v>Socket modules</v>
          </cell>
          <cell r="G300" t="str">
            <v>PREMERA MIX Modules</v>
          </cell>
          <cell r="H300" t="str">
            <v>MEM series</v>
          </cell>
          <cell r="I300" t="str">
            <v>6A 3 PIN SHUTTERED SOCKET</v>
          </cell>
        </row>
        <row r="301">
          <cell r="C301" t="str">
            <v>F9313</v>
          </cell>
          <cell r="D301">
            <v>2</v>
          </cell>
          <cell r="E301">
            <v>900</v>
          </cell>
          <cell r="F301" t="str">
            <v>Socket modules</v>
          </cell>
          <cell r="G301" t="str">
            <v>PREMERA MIX Modules</v>
          </cell>
          <cell r="H301" t="str">
            <v>MEM series</v>
          </cell>
          <cell r="I301" t="str">
            <v>13A 3 PIN SOCKET MODULE</v>
          </cell>
        </row>
        <row r="302">
          <cell r="C302" t="str">
            <v>F9313B</v>
          </cell>
          <cell r="D302">
            <v>2</v>
          </cell>
          <cell r="E302">
            <v>900</v>
          </cell>
          <cell r="F302" t="str">
            <v>Socket modules</v>
          </cell>
          <cell r="G302" t="str">
            <v>PREMERA MIX Modules</v>
          </cell>
          <cell r="H302" t="str">
            <v>MEM series</v>
          </cell>
          <cell r="I302" t="str">
            <v>13A 3 PIN SOCKET MODULE</v>
          </cell>
        </row>
        <row r="303">
          <cell r="C303" t="str">
            <v>F9314</v>
          </cell>
          <cell r="D303">
            <v>2</v>
          </cell>
          <cell r="E303">
            <v>900</v>
          </cell>
          <cell r="F303" t="str">
            <v>Socket modules</v>
          </cell>
          <cell r="G303" t="str">
            <v>PREMERA MIX Modules</v>
          </cell>
          <cell r="H303" t="str">
            <v>MEM series</v>
          </cell>
          <cell r="I303" t="str">
            <v>13A 3 PIN NON STANDARD SOCKET</v>
          </cell>
        </row>
        <row r="304">
          <cell r="C304" t="str">
            <v>F9314B</v>
          </cell>
          <cell r="D304">
            <v>2</v>
          </cell>
          <cell r="E304">
            <v>900</v>
          </cell>
          <cell r="F304" t="str">
            <v>Socket modules</v>
          </cell>
          <cell r="G304" t="str">
            <v>PREMERA MIX Modules</v>
          </cell>
          <cell r="H304" t="str">
            <v>MEM series</v>
          </cell>
          <cell r="I304" t="str">
            <v>13A 3 PIN NON STANDARD SOCKET</v>
          </cell>
        </row>
        <row r="305">
          <cell r="C305" t="str">
            <v>F9315</v>
          </cell>
          <cell r="D305">
            <v>2</v>
          </cell>
          <cell r="E305">
            <v>900</v>
          </cell>
          <cell r="F305" t="str">
            <v>Socket modules</v>
          </cell>
          <cell r="G305" t="str">
            <v>PREMERA MIX Modules</v>
          </cell>
          <cell r="H305" t="str">
            <v>MEM series</v>
          </cell>
          <cell r="I305" t="str">
            <v>15A 3 PIN  SHUTTERED SOCKET</v>
          </cell>
        </row>
        <row r="306">
          <cell r="C306" t="str">
            <v>F9315B</v>
          </cell>
          <cell r="D306">
            <v>2</v>
          </cell>
          <cell r="E306">
            <v>900</v>
          </cell>
          <cell r="F306" t="str">
            <v>Socket modules</v>
          </cell>
          <cell r="G306" t="str">
            <v>PREMERA MIX Modules</v>
          </cell>
          <cell r="H306" t="str">
            <v>MEM series</v>
          </cell>
          <cell r="I306" t="str">
            <v>15A 3 PIN  SHUTTERED SOCKET</v>
          </cell>
        </row>
        <row r="307">
          <cell r="C307" t="str">
            <v>F9317</v>
          </cell>
          <cell r="D307">
            <v>2</v>
          </cell>
          <cell r="E307">
            <v>900</v>
          </cell>
          <cell r="F307" t="str">
            <v>Socket modules</v>
          </cell>
          <cell r="G307" t="str">
            <v>PREMERA MIX Modules</v>
          </cell>
          <cell r="H307" t="str">
            <v>MEM series</v>
          </cell>
          <cell r="I307" t="str">
            <v>16A SCHUKO SOCKET</v>
          </cell>
        </row>
        <row r="308">
          <cell r="C308" t="str">
            <v>F9317B</v>
          </cell>
          <cell r="D308">
            <v>2</v>
          </cell>
          <cell r="E308">
            <v>900</v>
          </cell>
          <cell r="F308" t="str">
            <v>Socket modules</v>
          </cell>
          <cell r="G308" t="str">
            <v>PREMERA MIX Modules</v>
          </cell>
          <cell r="H308" t="str">
            <v>MEM series</v>
          </cell>
          <cell r="I308" t="str">
            <v>16A SCHUKO SOCKET</v>
          </cell>
        </row>
        <row r="309">
          <cell r="C309" t="str">
            <v>F9318</v>
          </cell>
          <cell r="D309">
            <v>2</v>
          </cell>
          <cell r="E309">
            <v>900</v>
          </cell>
          <cell r="F309" t="str">
            <v>Socket modules</v>
          </cell>
          <cell r="G309" t="str">
            <v>PREMERA MIX Modules</v>
          </cell>
          <cell r="H309" t="str">
            <v>MEM series</v>
          </cell>
          <cell r="I309" t="str">
            <v>15A 3 PIN 127V SASO SOCKET</v>
          </cell>
        </row>
        <row r="310">
          <cell r="C310" t="str">
            <v>F9318B</v>
          </cell>
          <cell r="D310">
            <v>2</v>
          </cell>
          <cell r="E310">
            <v>900</v>
          </cell>
          <cell r="F310" t="str">
            <v>Socket modules</v>
          </cell>
          <cell r="G310" t="str">
            <v>PREMERA MIX Modules</v>
          </cell>
          <cell r="H310" t="str">
            <v>MEM series</v>
          </cell>
          <cell r="I310" t="str">
            <v>15A 3 PIN 127V SASO SOCKET</v>
          </cell>
        </row>
        <row r="311">
          <cell r="C311" t="str">
            <v>F3780</v>
          </cell>
          <cell r="D311">
            <v>2</v>
          </cell>
          <cell r="E311">
            <v>1000</v>
          </cell>
          <cell r="F311" t="str">
            <v>Communication modules</v>
          </cell>
          <cell r="G311" t="str">
            <v>PREMERA MIX Modules</v>
          </cell>
          <cell r="H311" t="str">
            <v>MEM series</v>
          </cell>
          <cell r="I311" t="str">
            <v>SINGLE IEC CO AX (F) SCREENED</v>
          </cell>
        </row>
        <row r="312">
          <cell r="C312" t="str">
            <v>F3780B</v>
          </cell>
          <cell r="D312">
            <v>2</v>
          </cell>
          <cell r="E312">
            <v>1000</v>
          </cell>
          <cell r="F312" t="str">
            <v>Communication modules</v>
          </cell>
          <cell r="G312" t="str">
            <v>PREMERA MIX Modules</v>
          </cell>
          <cell r="H312" t="str">
            <v>MEM series</v>
          </cell>
          <cell r="I312" t="str">
            <v>SINGLE IEC CO AX (F) SCREENED</v>
          </cell>
        </row>
        <row r="313">
          <cell r="C313" t="str">
            <v>F3781</v>
          </cell>
          <cell r="D313">
            <v>2</v>
          </cell>
          <cell r="E313">
            <v>1000</v>
          </cell>
          <cell r="F313" t="str">
            <v>Communication modules</v>
          </cell>
          <cell r="G313" t="str">
            <v>PREMERA MIX Modules</v>
          </cell>
          <cell r="H313" t="str">
            <v>MEM series</v>
          </cell>
          <cell r="I313" t="str">
            <v>SINGLE IEC CO AX (M) SCREENED</v>
          </cell>
        </row>
        <row r="314">
          <cell r="C314" t="str">
            <v>F3781B</v>
          </cell>
          <cell r="D314">
            <v>2</v>
          </cell>
          <cell r="E314">
            <v>1000</v>
          </cell>
          <cell r="F314" t="str">
            <v>Communication modules</v>
          </cell>
          <cell r="G314" t="str">
            <v>PREMERA MIX Modules</v>
          </cell>
          <cell r="H314" t="str">
            <v>MEM series</v>
          </cell>
          <cell r="I314" t="str">
            <v>SINGLE IEC CO AX (M) SCREENED</v>
          </cell>
        </row>
        <row r="315">
          <cell r="C315" t="str">
            <v>F3782</v>
          </cell>
          <cell r="D315">
            <v>2</v>
          </cell>
          <cell r="E315">
            <v>1000</v>
          </cell>
          <cell r="F315" t="str">
            <v>Communication modules</v>
          </cell>
          <cell r="G315" t="str">
            <v>PREMERA MIX Modules</v>
          </cell>
          <cell r="H315" t="str">
            <v>MEM series</v>
          </cell>
          <cell r="I315" t="str">
            <v>SINGLE SAT CO F CONN SCREENED</v>
          </cell>
        </row>
        <row r="316">
          <cell r="C316" t="str">
            <v>F3782B</v>
          </cell>
          <cell r="D316">
            <v>2</v>
          </cell>
          <cell r="E316">
            <v>1000</v>
          </cell>
          <cell r="F316" t="str">
            <v>Communication modules</v>
          </cell>
          <cell r="G316" t="str">
            <v>PREMERA MIX Modules</v>
          </cell>
          <cell r="H316" t="str">
            <v>MEM series</v>
          </cell>
          <cell r="I316" t="str">
            <v>SINGLE SAT CO F CONN SCREENED</v>
          </cell>
        </row>
        <row r="317">
          <cell r="C317" t="str">
            <v>F3783</v>
          </cell>
          <cell r="D317">
            <v>2</v>
          </cell>
          <cell r="E317">
            <v>1000</v>
          </cell>
          <cell r="F317" t="str">
            <v>Communication modules</v>
          </cell>
          <cell r="G317" t="str">
            <v>PREMERA MIX Modules</v>
          </cell>
          <cell r="H317" t="str">
            <v>MEM series</v>
          </cell>
          <cell r="I317" t="str">
            <v>TV RAD SAT RET MODULE SCREENED</v>
          </cell>
        </row>
        <row r="318">
          <cell r="C318" t="str">
            <v>F3783B</v>
          </cell>
          <cell r="D318">
            <v>2</v>
          </cell>
          <cell r="E318">
            <v>1000</v>
          </cell>
          <cell r="F318" t="str">
            <v>Communication modules</v>
          </cell>
          <cell r="G318" t="str">
            <v>PREMERA MIX Modules</v>
          </cell>
          <cell r="H318" t="str">
            <v>MEM series</v>
          </cell>
          <cell r="I318" t="str">
            <v>TV RAD SAT RET MODULE SCREENED</v>
          </cell>
        </row>
        <row r="319">
          <cell r="C319" t="str">
            <v>F3784</v>
          </cell>
          <cell r="D319">
            <v>2</v>
          </cell>
          <cell r="E319">
            <v>1000</v>
          </cell>
          <cell r="F319" t="str">
            <v>Communication modules</v>
          </cell>
          <cell r="G319" t="str">
            <v>PREMERA MIX Modules</v>
          </cell>
          <cell r="H319" t="str">
            <v>MEM series</v>
          </cell>
          <cell r="I319" t="str">
            <v>TELEPHONE (BT SECONDARY)</v>
          </cell>
        </row>
        <row r="320">
          <cell r="C320" t="str">
            <v>F3784B</v>
          </cell>
          <cell r="D320">
            <v>2</v>
          </cell>
          <cell r="E320">
            <v>1000</v>
          </cell>
          <cell r="F320" t="str">
            <v>Communication modules</v>
          </cell>
          <cell r="G320" t="str">
            <v>PREMERA MIX Modules</v>
          </cell>
          <cell r="H320" t="str">
            <v>MEM series</v>
          </cell>
          <cell r="I320" t="str">
            <v>TELEPHONE (BT SECONDARY)</v>
          </cell>
        </row>
        <row r="321">
          <cell r="C321" t="str">
            <v>F3785</v>
          </cell>
          <cell r="D321">
            <v>2</v>
          </cell>
          <cell r="E321">
            <v>1000</v>
          </cell>
          <cell r="F321" t="str">
            <v>Communication modules</v>
          </cell>
          <cell r="G321" t="str">
            <v>PREMERA MIX Modules</v>
          </cell>
          <cell r="H321" t="str">
            <v>MEM series</v>
          </cell>
          <cell r="I321" t="str">
            <v>TELEPHONE (BT MASTER)</v>
          </cell>
        </row>
        <row r="322">
          <cell r="C322" t="str">
            <v>F3785B</v>
          </cell>
          <cell r="D322">
            <v>2</v>
          </cell>
          <cell r="E322">
            <v>1000</v>
          </cell>
          <cell r="F322" t="str">
            <v>Communication modules</v>
          </cell>
          <cell r="G322" t="str">
            <v>PREMERA MIX Modules</v>
          </cell>
          <cell r="H322" t="str">
            <v>MEM series</v>
          </cell>
          <cell r="I322" t="str">
            <v>TELEPHONE (BT MASTER)</v>
          </cell>
        </row>
        <row r="323">
          <cell r="C323" t="str">
            <v>F3786</v>
          </cell>
          <cell r="D323">
            <v>2</v>
          </cell>
          <cell r="E323">
            <v>1000</v>
          </cell>
          <cell r="F323" t="str">
            <v>Communication modules</v>
          </cell>
          <cell r="G323" t="str">
            <v>PREMERA MIX Modules</v>
          </cell>
          <cell r="H323" t="str">
            <v>MEM series</v>
          </cell>
          <cell r="I323" t="str">
            <v>RJ11 MODEM</v>
          </cell>
        </row>
        <row r="324">
          <cell r="C324" t="str">
            <v>F3786B</v>
          </cell>
          <cell r="D324">
            <v>2</v>
          </cell>
          <cell r="E324">
            <v>1000</v>
          </cell>
          <cell r="F324" t="str">
            <v>Communication modules</v>
          </cell>
          <cell r="G324" t="str">
            <v>PREMERA MIX Modules</v>
          </cell>
          <cell r="H324" t="str">
            <v>MEM series</v>
          </cell>
          <cell r="I324" t="str">
            <v>RJ11 MODEM</v>
          </cell>
        </row>
        <row r="325">
          <cell r="C325" t="str">
            <v>F3787</v>
          </cell>
          <cell r="D325">
            <v>2</v>
          </cell>
          <cell r="E325">
            <v>1000</v>
          </cell>
          <cell r="F325" t="str">
            <v>Communication modules</v>
          </cell>
          <cell r="G325" t="str">
            <v>PREMERA MIX Modules</v>
          </cell>
          <cell r="H325" t="str">
            <v>MEM series</v>
          </cell>
          <cell r="I325" t="str">
            <v>RJ45 CAT 6</v>
          </cell>
        </row>
        <row r="326">
          <cell r="C326" t="str">
            <v>F3787B</v>
          </cell>
          <cell r="D326">
            <v>2</v>
          </cell>
          <cell r="E326">
            <v>1000</v>
          </cell>
          <cell r="F326" t="str">
            <v>Communication modules</v>
          </cell>
          <cell r="G326" t="str">
            <v>PREMERA MIX Modules</v>
          </cell>
          <cell r="H326" t="str">
            <v>MEM series</v>
          </cell>
          <cell r="I326" t="str">
            <v>RJ45 CAT 6</v>
          </cell>
        </row>
        <row r="327">
          <cell r="C327" t="str">
            <v>F3788</v>
          </cell>
          <cell r="D327">
            <v>2</v>
          </cell>
          <cell r="E327">
            <v>1000</v>
          </cell>
          <cell r="F327" t="str">
            <v>Communication modules</v>
          </cell>
          <cell r="G327" t="str">
            <v>PREMERA MIX Modules</v>
          </cell>
          <cell r="H327" t="str">
            <v>MEM series</v>
          </cell>
          <cell r="I327" t="str">
            <v>2 x RCA SOCKET</v>
          </cell>
        </row>
        <row r="328">
          <cell r="C328" t="str">
            <v>F3788B</v>
          </cell>
          <cell r="D328">
            <v>2</v>
          </cell>
          <cell r="E328">
            <v>1000</v>
          </cell>
          <cell r="F328" t="str">
            <v>Communication modules</v>
          </cell>
          <cell r="G328" t="str">
            <v>PREMERA MIX Modules</v>
          </cell>
          <cell r="H328" t="str">
            <v>MEM series</v>
          </cell>
          <cell r="I328" t="str">
            <v>2 x RCA SOCKET</v>
          </cell>
        </row>
        <row r="329">
          <cell r="C329" t="str">
            <v>F3789</v>
          </cell>
          <cell r="D329">
            <v>2</v>
          </cell>
          <cell r="E329">
            <v>1000</v>
          </cell>
          <cell r="F329" t="str">
            <v>Communication modules</v>
          </cell>
          <cell r="G329" t="str">
            <v>PREMERA MIX Modules</v>
          </cell>
          <cell r="H329" t="str">
            <v>MEM series</v>
          </cell>
          <cell r="I329" t="str">
            <v>2 x LOUDSPEAKER SOCKET</v>
          </cell>
        </row>
        <row r="330">
          <cell r="C330" t="str">
            <v>F3789B</v>
          </cell>
          <cell r="D330">
            <v>2</v>
          </cell>
          <cell r="E330">
            <v>1000</v>
          </cell>
          <cell r="F330" t="str">
            <v>Communication modules</v>
          </cell>
          <cell r="G330" t="str">
            <v>PREMERA MIX Modules</v>
          </cell>
          <cell r="H330" t="str">
            <v>MEM series</v>
          </cell>
          <cell r="I330" t="str">
            <v>2 x LOUDSPEAKER SOCKET</v>
          </cell>
        </row>
        <row r="331">
          <cell r="C331" t="str">
            <v>F3790</v>
          </cell>
          <cell r="D331">
            <v>2</v>
          </cell>
          <cell r="E331">
            <v>1001</v>
          </cell>
          <cell r="F331" t="str">
            <v>Communication modules</v>
          </cell>
          <cell r="G331" t="str">
            <v>PREMERA MIX Modules</v>
          </cell>
          <cell r="H331" t="str">
            <v>MEM series</v>
          </cell>
          <cell r="I331" t="str">
            <v>1G MODULE BLANK</v>
          </cell>
        </row>
        <row r="332">
          <cell r="C332" t="str">
            <v>F3790B</v>
          </cell>
          <cell r="D332">
            <v>2</v>
          </cell>
          <cell r="E332">
            <v>1002</v>
          </cell>
          <cell r="F332" t="str">
            <v>Communication modules</v>
          </cell>
          <cell r="G332" t="str">
            <v>PREMERA MIX Modules</v>
          </cell>
          <cell r="H332" t="str">
            <v>MEM series</v>
          </cell>
          <cell r="I332" t="str">
            <v>1G MODULE BLANK</v>
          </cell>
        </row>
        <row r="333">
          <cell r="C333" t="str">
            <v>F9400</v>
          </cell>
          <cell r="D333">
            <v>2</v>
          </cell>
          <cell r="E333">
            <v>1300</v>
          </cell>
          <cell r="F333" t="str">
            <v>xComfort Modules</v>
          </cell>
          <cell r="G333" t="str">
            <v>PREMERA MIX Modules</v>
          </cell>
          <cell r="H333" t="str">
            <v>MEM series</v>
          </cell>
          <cell r="I333" t="str">
            <v>XCOMFORT MODULE SURFACE MOUNTING PLATE</v>
          </cell>
        </row>
        <row r="334">
          <cell r="C334" t="str">
            <v>F9401</v>
          </cell>
          <cell r="D334">
            <v>2</v>
          </cell>
          <cell r="E334">
            <v>1300</v>
          </cell>
          <cell r="F334" t="str">
            <v>xComfort Modules</v>
          </cell>
          <cell r="G334" t="str">
            <v>PREMERA MIX Modules</v>
          </cell>
          <cell r="H334" t="str">
            <v>MEM series</v>
          </cell>
          <cell r="I334" t="str">
            <v>XCOMFORT 1G SWITCH MODULE</v>
          </cell>
        </row>
        <row r="335">
          <cell r="C335" t="str">
            <v>F9402</v>
          </cell>
          <cell r="D335">
            <v>2</v>
          </cell>
          <cell r="E335">
            <v>1300</v>
          </cell>
          <cell r="F335" t="str">
            <v>xComfort Modules</v>
          </cell>
          <cell r="G335" t="str">
            <v>PREMERA MIX Modules</v>
          </cell>
          <cell r="H335" t="str">
            <v>MEM series</v>
          </cell>
          <cell r="I335" t="str">
            <v>XCOMFORT 2G SWITCH MODULE</v>
          </cell>
        </row>
        <row r="336">
          <cell r="C336" t="str">
            <v>F9404</v>
          </cell>
          <cell r="D336">
            <v>2</v>
          </cell>
          <cell r="E336">
            <v>1300</v>
          </cell>
          <cell r="F336" t="str">
            <v>xComfort Modules</v>
          </cell>
          <cell r="G336" t="str">
            <v>PREMERA MIX Modules</v>
          </cell>
          <cell r="H336" t="str">
            <v>MEM series</v>
          </cell>
          <cell r="I336" t="str">
            <v>XCOMFORT 4G SWITCH MODULE</v>
          </cell>
        </row>
        <row r="337">
          <cell r="C337" t="str">
            <v>CSAU-01/01</v>
          </cell>
          <cell r="D337">
            <v>2</v>
          </cell>
          <cell r="E337">
            <v>1300</v>
          </cell>
          <cell r="F337" t="str">
            <v>xComfort Modules</v>
          </cell>
          <cell r="G337" t="str">
            <v>PREMERA MIX Modules</v>
          </cell>
          <cell r="H337" t="str">
            <v>MEM series</v>
          </cell>
          <cell r="I337" t="str">
            <v>XCOMFORT 8A SP switching actuator</v>
          </cell>
        </row>
        <row r="338">
          <cell r="C338" t="str">
            <v>CDAU-01/03</v>
          </cell>
          <cell r="D338">
            <v>2</v>
          </cell>
          <cell r="E338">
            <v>1300</v>
          </cell>
          <cell r="F338" t="str">
            <v>xComfort Modules</v>
          </cell>
          <cell r="G338" t="str">
            <v>PREMERA MIX Modules</v>
          </cell>
          <cell r="H338" t="str">
            <v>MEM series</v>
          </cell>
          <cell r="I338" t="str">
            <v>XCOMFORT 125W  dimming actuator</v>
          </cell>
        </row>
        <row r="339">
          <cell r="C339" t="str">
            <v>CDAU-01/02</v>
          </cell>
          <cell r="D339">
            <v>2</v>
          </cell>
          <cell r="E339">
            <v>1300</v>
          </cell>
          <cell r="F339" t="str">
            <v>xComfort Modules</v>
          </cell>
          <cell r="G339" t="str">
            <v>PREMERA MIX Modules</v>
          </cell>
          <cell r="H339" t="str">
            <v>MEM series</v>
          </cell>
          <cell r="I339" t="str">
            <v>XCOMFORT 250W dimming actuator</v>
          </cell>
        </row>
        <row r="340">
          <cell r="C340" t="str">
            <v>FM8340</v>
          </cell>
          <cell r="D340">
            <v>2</v>
          </cell>
          <cell r="E340">
            <v>1500</v>
          </cell>
          <cell r="F340" t="str">
            <v>Grid boxes</v>
          </cell>
          <cell r="G340" t="str">
            <v>PREMERA MIX Boxes</v>
          </cell>
          <cell r="H340" t="str">
            <v>MEM series</v>
          </cell>
          <cell r="I340" t="str">
            <v>1&amp;2G GRID BOX SURFACE SM</v>
          </cell>
        </row>
        <row r="341">
          <cell r="C341" t="str">
            <v>FM8341</v>
          </cell>
          <cell r="D341">
            <v>2</v>
          </cell>
          <cell r="E341">
            <v>1500</v>
          </cell>
          <cell r="F341" t="str">
            <v>Grid boxes</v>
          </cell>
          <cell r="G341" t="str">
            <v>PREMERA MIX Boxes</v>
          </cell>
          <cell r="H341" t="str">
            <v>MEM series</v>
          </cell>
          <cell r="I341" t="str">
            <v>3&amp;4G GRID BOX SURFACE SM</v>
          </cell>
        </row>
        <row r="342">
          <cell r="C342" t="str">
            <v>F8342</v>
          </cell>
          <cell r="D342">
            <v>2</v>
          </cell>
          <cell r="E342">
            <v>1510</v>
          </cell>
          <cell r="F342" t="str">
            <v>Grid boxes</v>
          </cell>
          <cell r="G342" t="str">
            <v>PREMERA MIX Boxes</v>
          </cell>
          <cell r="H342" t="str">
            <v>MEM series</v>
          </cell>
          <cell r="I342" t="str">
            <v>6&amp;8G GRID BOX</v>
          </cell>
        </row>
        <row r="343">
          <cell r="C343" t="str">
            <v>F8343</v>
          </cell>
          <cell r="D343">
            <v>2</v>
          </cell>
          <cell r="E343">
            <v>1510</v>
          </cell>
          <cell r="F343" t="str">
            <v>Grid boxes</v>
          </cell>
          <cell r="G343" t="str">
            <v>PREMERA MIX Boxes</v>
          </cell>
          <cell r="H343" t="str">
            <v>MEM series</v>
          </cell>
          <cell r="I343" t="str">
            <v>9&amp;12G GRID BOX</v>
          </cell>
        </row>
        <row r="344">
          <cell r="C344" t="str">
            <v>F8344</v>
          </cell>
          <cell r="D344">
            <v>2</v>
          </cell>
          <cell r="E344">
            <v>1510</v>
          </cell>
          <cell r="F344" t="str">
            <v>Grid boxes</v>
          </cell>
          <cell r="G344" t="str">
            <v>PREMERA MIX Boxes</v>
          </cell>
          <cell r="H344" t="str">
            <v>MEM series</v>
          </cell>
          <cell r="I344" t="str">
            <v>18G GRID BOX</v>
          </cell>
        </row>
        <row r="345">
          <cell r="C345" t="str">
            <v>F8345</v>
          </cell>
          <cell r="D345">
            <v>2</v>
          </cell>
          <cell r="E345">
            <v>1510</v>
          </cell>
          <cell r="F345" t="str">
            <v>Grid boxes</v>
          </cell>
          <cell r="G345" t="str">
            <v>PREMERA MIX Boxes</v>
          </cell>
          <cell r="H345" t="str">
            <v>MEM series</v>
          </cell>
          <cell r="I345" t="str">
            <v>24G GRID BOX</v>
          </cell>
        </row>
        <row r="346">
          <cell r="C346" t="str">
            <v>F8346</v>
          </cell>
          <cell r="D346">
            <v>2</v>
          </cell>
          <cell r="E346">
            <v>1510</v>
          </cell>
          <cell r="F346" t="str">
            <v>Grid boxes</v>
          </cell>
          <cell r="G346" t="str">
            <v>PREMERA MIX Boxes</v>
          </cell>
          <cell r="H346" t="str">
            <v>MEM series</v>
          </cell>
          <cell r="I346" t="str">
            <v>GRIDSWITCH BOX DIVIDER</v>
          </cell>
        </row>
        <row r="347">
          <cell r="C347" t="str">
            <v>FM8349</v>
          </cell>
          <cell r="D347">
            <v>2</v>
          </cell>
          <cell r="E347">
            <v>1515</v>
          </cell>
          <cell r="F347" t="str">
            <v>Grid boxes</v>
          </cell>
          <cell r="G347" t="str">
            <v>PREMERA MIX Boxes</v>
          </cell>
          <cell r="H347" t="str">
            <v>MEM series</v>
          </cell>
          <cell r="I347" t="str">
            <v>1&amp;2G GRID BOX NO KNOCKOUTS SUR</v>
          </cell>
        </row>
        <row r="348">
          <cell r="C348" t="str">
            <v>FM8350</v>
          </cell>
          <cell r="D348">
            <v>2</v>
          </cell>
          <cell r="E348">
            <v>1515</v>
          </cell>
          <cell r="F348" t="str">
            <v>Grid boxes</v>
          </cell>
          <cell r="G348" t="str">
            <v>PREMERA MIX Boxes</v>
          </cell>
          <cell r="H348" t="str">
            <v>MEM series</v>
          </cell>
          <cell r="I348" t="str">
            <v>3&amp;4G GRID BOX NO KNOCKOUTS SUR</v>
          </cell>
        </row>
        <row r="349">
          <cell r="C349" t="str">
            <v>F8351</v>
          </cell>
          <cell r="D349">
            <v>2</v>
          </cell>
          <cell r="E349">
            <v>1520</v>
          </cell>
          <cell r="F349" t="str">
            <v>Grid boxes</v>
          </cell>
          <cell r="G349" t="str">
            <v>PREMERA MIX Boxes</v>
          </cell>
          <cell r="H349" t="str">
            <v>MEM series</v>
          </cell>
          <cell r="I349" t="str">
            <v>GRIDSWITCH BOX 6 &amp; 8 GANG - NO</v>
          </cell>
        </row>
        <row r="350">
          <cell r="C350" t="str">
            <v>F8352</v>
          </cell>
          <cell r="D350">
            <v>2</v>
          </cell>
          <cell r="E350">
            <v>1520</v>
          </cell>
          <cell r="F350" t="str">
            <v>Grid boxes</v>
          </cell>
          <cell r="G350" t="str">
            <v>PREMERA MIX Boxes</v>
          </cell>
          <cell r="H350" t="str">
            <v>MEM series</v>
          </cell>
          <cell r="I350" t="str">
            <v>9&amp;12G GRID BOX NO KNOCKOUTS</v>
          </cell>
        </row>
        <row r="351">
          <cell r="C351" t="str">
            <v>P715</v>
          </cell>
          <cell r="D351">
            <v>4</v>
          </cell>
          <cell r="E351">
            <v>100</v>
          </cell>
          <cell r="F351" t="str">
            <v>IP66 Switches</v>
          </cell>
          <cell r="G351" t="str">
            <v>PREMERA PROOF</v>
          </cell>
          <cell r="H351" t="str">
            <v>MEM series</v>
          </cell>
          <cell r="I351" t="str">
            <v>1G 10A 2W BELL PUSH + NEON IP66</v>
          </cell>
        </row>
        <row r="352">
          <cell r="C352" t="str">
            <v>P721</v>
          </cell>
          <cell r="D352">
            <v>4</v>
          </cell>
          <cell r="E352">
            <v>100</v>
          </cell>
          <cell r="F352" t="str">
            <v>IP66 Switches</v>
          </cell>
          <cell r="G352" t="str">
            <v>PREMERA PROOF</v>
          </cell>
          <cell r="H352" t="str">
            <v>MEM series</v>
          </cell>
          <cell r="I352" t="str">
            <v>1G 16A  2W SWITCH + NEON IP66</v>
          </cell>
        </row>
        <row r="353">
          <cell r="C353" t="str">
            <v>P722</v>
          </cell>
          <cell r="D353">
            <v>4</v>
          </cell>
          <cell r="E353">
            <v>100</v>
          </cell>
          <cell r="F353" t="str">
            <v>IP66 Switches</v>
          </cell>
          <cell r="G353" t="str">
            <v>PREMERA PROOF</v>
          </cell>
          <cell r="H353" t="str">
            <v>MEM series</v>
          </cell>
          <cell r="I353" t="str">
            <v>2G 16A 2W SWITCH + NEON IP66</v>
          </cell>
        </row>
        <row r="354">
          <cell r="C354" t="str">
            <v>P741</v>
          </cell>
          <cell r="D354">
            <v>4</v>
          </cell>
          <cell r="E354">
            <v>100</v>
          </cell>
          <cell r="F354" t="str">
            <v>IP66 Switches</v>
          </cell>
          <cell r="G354" t="str">
            <v>PREMERA PROOF</v>
          </cell>
          <cell r="H354" t="str">
            <v>MEM series</v>
          </cell>
          <cell r="I354" t="str">
            <v xml:space="preserve">1G 20A DP + NEON IP66 </v>
          </cell>
        </row>
        <row r="355">
          <cell r="C355" t="str">
            <v>P742</v>
          </cell>
          <cell r="D355">
            <v>4</v>
          </cell>
          <cell r="E355">
            <v>100</v>
          </cell>
          <cell r="F355" t="str">
            <v>IP66 Switches</v>
          </cell>
          <cell r="G355" t="str">
            <v>PREMERA PROOF</v>
          </cell>
          <cell r="H355" t="str">
            <v>MEM series</v>
          </cell>
          <cell r="I355" t="str">
            <v xml:space="preserve">2G 20A DP SWITCH + NEON IP66 </v>
          </cell>
        </row>
        <row r="356">
          <cell r="C356" t="str">
            <v>P761</v>
          </cell>
          <cell r="D356">
            <v>4</v>
          </cell>
          <cell r="E356">
            <v>200</v>
          </cell>
          <cell r="F356" t="str">
            <v>IP66 enclosures</v>
          </cell>
          <cell r="G356" t="str">
            <v>PREMERA PROOF</v>
          </cell>
          <cell r="H356" t="str">
            <v>MEM series</v>
          </cell>
          <cell r="I356" t="str">
            <v>1G IP66 ENCLOSURE</v>
          </cell>
        </row>
        <row r="357">
          <cell r="C357" t="str">
            <v>P762</v>
          </cell>
          <cell r="D357">
            <v>4</v>
          </cell>
          <cell r="E357">
            <v>200</v>
          </cell>
          <cell r="F357" t="str">
            <v>IP66 enclosures</v>
          </cell>
          <cell r="G357" t="str">
            <v>PREMERA PROOF</v>
          </cell>
          <cell r="H357" t="str">
            <v>MEM series</v>
          </cell>
          <cell r="I357" t="str">
            <v>2G IP66 ENCLOSURE</v>
          </cell>
        </row>
        <row r="358">
          <cell r="C358" t="str">
            <v>P771</v>
          </cell>
          <cell r="D358">
            <v>4</v>
          </cell>
          <cell r="E358">
            <v>300</v>
          </cell>
          <cell r="F358" t="str">
            <v>IP56 switch socket</v>
          </cell>
          <cell r="G358" t="str">
            <v>PREMERA PROOF</v>
          </cell>
          <cell r="H358" t="str">
            <v>MEM series</v>
          </cell>
          <cell r="I358" t="str">
            <v>1G 13A  SWITCHED SOCKET IP56</v>
          </cell>
        </row>
        <row r="359">
          <cell r="C359" t="str">
            <v>P751</v>
          </cell>
          <cell r="D359">
            <v>4</v>
          </cell>
          <cell r="E359">
            <v>400</v>
          </cell>
          <cell r="F359" t="str">
            <v>IP56 enclosures</v>
          </cell>
          <cell r="G359" t="str">
            <v>PREMERA PROOF</v>
          </cell>
          <cell r="H359" t="str">
            <v>MEM series</v>
          </cell>
          <cell r="I359" t="str">
            <v>1G IP55 ENCLOSURE</v>
          </cell>
        </row>
        <row r="360">
          <cell r="C360" t="str">
            <v>P752</v>
          </cell>
          <cell r="D360">
            <v>4</v>
          </cell>
          <cell r="E360">
            <v>400</v>
          </cell>
          <cell r="F360" t="str">
            <v>IP56 enclosures</v>
          </cell>
          <cell r="G360" t="str">
            <v>PREMERA PROOF</v>
          </cell>
          <cell r="H360" t="str">
            <v>MEM series</v>
          </cell>
          <cell r="I360" t="str">
            <v>2G IP55 ENCLOSURE</v>
          </cell>
        </row>
        <row r="361">
          <cell r="C361" t="str">
            <v>C011</v>
          </cell>
          <cell r="D361">
            <v>5</v>
          </cell>
          <cell r="E361">
            <v>100</v>
          </cell>
          <cell r="F361" t="str">
            <v>10A switches</v>
          </cell>
          <cell r="G361" t="str">
            <v>COPA Wiring Accessories</v>
          </cell>
          <cell r="H361" t="str">
            <v>MEM series</v>
          </cell>
          <cell r="I361" t="str">
            <v>10A 1G 1W SW</v>
          </cell>
        </row>
        <row r="362">
          <cell r="C362" t="str">
            <v>C011B</v>
          </cell>
          <cell r="D362">
            <v>5</v>
          </cell>
          <cell r="E362">
            <v>100</v>
          </cell>
          <cell r="F362" t="str">
            <v>10A switches</v>
          </cell>
          <cell r="G362" t="str">
            <v>COPA Wiring Accessories</v>
          </cell>
          <cell r="H362" t="str">
            <v>MEM series</v>
          </cell>
          <cell r="I362" t="str">
            <v>10A 1G 1W SW BLK</v>
          </cell>
        </row>
        <row r="363">
          <cell r="C363" t="str">
            <v>C011WH</v>
          </cell>
          <cell r="D363">
            <v>5</v>
          </cell>
          <cell r="E363">
            <v>100</v>
          </cell>
          <cell r="F363" t="str">
            <v>10A switches</v>
          </cell>
          <cell r="G363" t="str">
            <v>COPA Wiring Accessories</v>
          </cell>
          <cell r="H363" t="str">
            <v>MEM series</v>
          </cell>
          <cell r="I363" t="str">
            <v>10A 1G 1W SWITCH</v>
          </cell>
        </row>
        <row r="364">
          <cell r="C364" t="str">
            <v>C012</v>
          </cell>
          <cell r="D364">
            <v>5</v>
          </cell>
          <cell r="E364">
            <v>100</v>
          </cell>
          <cell r="F364" t="str">
            <v>10A switches</v>
          </cell>
          <cell r="G364" t="str">
            <v>COPA Wiring Accessories</v>
          </cell>
          <cell r="H364" t="str">
            <v>MEM series</v>
          </cell>
          <cell r="I364" t="str">
            <v>10A 2G 1W SWITCH</v>
          </cell>
        </row>
        <row r="365">
          <cell r="C365" t="str">
            <v>C012B</v>
          </cell>
          <cell r="D365">
            <v>5</v>
          </cell>
          <cell r="E365">
            <v>100</v>
          </cell>
          <cell r="F365" t="str">
            <v>10A switches</v>
          </cell>
          <cell r="G365" t="str">
            <v>COPA Wiring Accessories</v>
          </cell>
          <cell r="H365" t="str">
            <v>MEM series</v>
          </cell>
          <cell r="I365" t="str">
            <v>10A 2G 1W SWITCH BLK</v>
          </cell>
        </row>
        <row r="366">
          <cell r="C366" t="str">
            <v>C012WH</v>
          </cell>
          <cell r="D366">
            <v>5</v>
          </cell>
          <cell r="E366">
            <v>100</v>
          </cell>
          <cell r="F366" t="str">
            <v>10A switches</v>
          </cell>
          <cell r="G366" t="str">
            <v>COPA Wiring Accessories</v>
          </cell>
          <cell r="H366" t="str">
            <v>MEM series</v>
          </cell>
          <cell r="I366" t="str">
            <v>10A 2G 1W SWITCH</v>
          </cell>
        </row>
        <row r="367">
          <cell r="C367" t="str">
            <v>C013</v>
          </cell>
          <cell r="D367">
            <v>5</v>
          </cell>
          <cell r="E367">
            <v>100</v>
          </cell>
          <cell r="F367" t="str">
            <v>10A switches</v>
          </cell>
          <cell r="G367" t="str">
            <v>COPA Wiring Accessories</v>
          </cell>
          <cell r="H367" t="str">
            <v>MEM series</v>
          </cell>
          <cell r="I367" t="str">
            <v>10A 3G 1W SW</v>
          </cell>
        </row>
        <row r="368">
          <cell r="C368" t="str">
            <v>C013B</v>
          </cell>
          <cell r="D368">
            <v>5</v>
          </cell>
          <cell r="E368">
            <v>100</v>
          </cell>
          <cell r="F368" t="str">
            <v>10A switches</v>
          </cell>
          <cell r="G368" t="str">
            <v>COPA Wiring Accessories</v>
          </cell>
          <cell r="H368" t="str">
            <v>MEM series</v>
          </cell>
          <cell r="I368" t="str">
            <v>10A 3G 1W SW BLK</v>
          </cell>
        </row>
        <row r="369">
          <cell r="C369" t="str">
            <v>C013WH</v>
          </cell>
          <cell r="D369">
            <v>5</v>
          </cell>
          <cell r="E369">
            <v>100</v>
          </cell>
          <cell r="F369" t="str">
            <v>10A switches</v>
          </cell>
          <cell r="G369" t="str">
            <v>COPA Wiring Accessories</v>
          </cell>
          <cell r="H369" t="str">
            <v>MEM series</v>
          </cell>
          <cell r="I369" t="str">
            <v>10A 3G 1W SWITCH</v>
          </cell>
        </row>
        <row r="370">
          <cell r="C370" t="str">
            <v>C014</v>
          </cell>
          <cell r="D370">
            <v>5</v>
          </cell>
          <cell r="E370">
            <v>100</v>
          </cell>
          <cell r="F370" t="str">
            <v>10A switches</v>
          </cell>
          <cell r="G370" t="str">
            <v>COPA Wiring Accessories</v>
          </cell>
          <cell r="H370" t="str">
            <v>MEM series</v>
          </cell>
          <cell r="I370" t="str">
            <v>10A 4G 1W SW</v>
          </cell>
        </row>
        <row r="371">
          <cell r="C371" t="str">
            <v>C014B</v>
          </cell>
          <cell r="D371">
            <v>5</v>
          </cell>
          <cell r="E371">
            <v>100</v>
          </cell>
          <cell r="F371" t="str">
            <v>10A switches</v>
          </cell>
          <cell r="G371" t="str">
            <v>COPA Wiring Accessories</v>
          </cell>
          <cell r="H371" t="str">
            <v>MEM series</v>
          </cell>
          <cell r="I371" t="str">
            <v>10A 4G 1W SW</v>
          </cell>
        </row>
        <row r="372">
          <cell r="C372" t="str">
            <v>C014WH</v>
          </cell>
          <cell r="D372">
            <v>5</v>
          </cell>
          <cell r="E372">
            <v>100</v>
          </cell>
          <cell r="F372" t="str">
            <v>10A switches</v>
          </cell>
          <cell r="G372" t="str">
            <v>COPA Wiring Accessories</v>
          </cell>
          <cell r="H372" t="str">
            <v>MEM series</v>
          </cell>
          <cell r="I372" t="str">
            <v>10A 4G 1W SWITCH</v>
          </cell>
        </row>
        <row r="373">
          <cell r="C373" t="str">
            <v>C015</v>
          </cell>
          <cell r="D373">
            <v>5</v>
          </cell>
          <cell r="E373">
            <v>100</v>
          </cell>
          <cell r="F373" t="str">
            <v>10A switches</v>
          </cell>
          <cell r="G373" t="str">
            <v>COPA Wiring Accessories</v>
          </cell>
          <cell r="H373" t="str">
            <v>MEM series</v>
          </cell>
          <cell r="I373" t="str">
            <v>10A 1G SW PUSH</v>
          </cell>
        </row>
        <row r="374">
          <cell r="C374" t="str">
            <v>C015B</v>
          </cell>
          <cell r="D374">
            <v>5</v>
          </cell>
          <cell r="E374">
            <v>100</v>
          </cell>
          <cell r="F374" t="str">
            <v>10A switches</v>
          </cell>
          <cell r="G374" t="str">
            <v>COPA Wiring Accessories</v>
          </cell>
          <cell r="H374" t="str">
            <v>MEM series</v>
          </cell>
          <cell r="I374" t="str">
            <v>10A 1G SW PUSH BLK</v>
          </cell>
        </row>
        <row r="375">
          <cell r="C375" t="str">
            <v>C015LWH</v>
          </cell>
          <cell r="D375">
            <v>5</v>
          </cell>
          <cell r="E375">
            <v>100</v>
          </cell>
          <cell r="F375" t="str">
            <v>10A switches</v>
          </cell>
          <cell r="G375" t="str">
            <v>COPA Wiring Accessories</v>
          </cell>
          <cell r="H375" t="str">
            <v>MEM series</v>
          </cell>
          <cell r="I375" t="str">
            <v>10A 1G SW PUSH LIGHT</v>
          </cell>
        </row>
        <row r="376">
          <cell r="C376" t="str">
            <v>C015WH</v>
          </cell>
          <cell r="D376">
            <v>5</v>
          </cell>
          <cell r="E376">
            <v>100</v>
          </cell>
          <cell r="F376" t="str">
            <v>10A switches</v>
          </cell>
          <cell r="G376" t="str">
            <v>COPA Wiring Accessories</v>
          </cell>
          <cell r="H376" t="str">
            <v>MEM series</v>
          </cell>
          <cell r="I376" t="str">
            <v>10A 1G SW PUSH</v>
          </cell>
        </row>
        <row r="377">
          <cell r="C377" t="str">
            <v>C017</v>
          </cell>
          <cell r="D377">
            <v>5</v>
          </cell>
          <cell r="E377">
            <v>100</v>
          </cell>
          <cell r="F377" t="str">
            <v>10A switches</v>
          </cell>
          <cell r="G377" t="str">
            <v>COPA Wiring Accessories</v>
          </cell>
          <cell r="H377" t="str">
            <v>MEM series</v>
          </cell>
          <cell r="I377" t="str">
            <v>10A INT SW</v>
          </cell>
        </row>
        <row r="378">
          <cell r="C378" t="str">
            <v>C017B</v>
          </cell>
          <cell r="D378">
            <v>5</v>
          </cell>
          <cell r="E378">
            <v>100</v>
          </cell>
          <cell r="F378" t="str">
            <v>10A switches</v>
          </cell>
          <cell r="G378" t="str">
            <v>COPA Wiring Accessories</v>
          </cell>
          <cell r="H378" t="str">
            <v>MEM series</v>
          </cell>
          <cell r="I378" t="str">
            <v>10A INT SW BLK</v>
          </cell>
        </row>
        <row r="379">
          <cell r="C379" t="str">
            <v>C017WH</v>
          </cell>
          <cell r="D379">
            <v>5</v>
          </cell>
          <cell r="E379">
            <v>100</v>
          </cell>
          <cell r="F379" t="str">
            <v>10A switches</v>
          </cell>
          <cell r="G379" t="str">
            <v>COPA Wiring Accessories</v>
          </cell>
          <cell r="H379" t="str">
            <v>MEM series</v>
          </cell>
          <cell r="I379" t="str">
            <v>10A INT SWITCH</v>
          </cell>
        </row>
        <row r="380">
          <cell r="C380" t="str">
            <v>C021</v>
          </cell>
          <cell r="D380">
            <v>5</v>
          </cell>
          <cell r="E380">
            <v>100</v>
          </cell>
          <cell r="F380" t="str">
            <v>10A switches</v>
          </cell>
          <cell r="G380" t="str">
            <v>COPA Wiring Accessories</v>
          </cell>
          <cell r="H380" t="str">
            <v>MEM series</v>
          </cell>
          <cell r="I380" t="str">
            <v>10A 1G 2W SW</v>
          </cell>
        </row>
        <row r="381">
          <cell r="C381" t="str">
            <v>C021B</v>
          </cell>
          <cell r="D381">
            <v>5</v>
          </cell>
          <cell r="E381">
            <v>100</v>
          </cell>
          <cell r="F381" t="str">
            <v>10A switches</v>
          </cell>
          <cell r="G381" t="str">
            <v>COPA Wiring Accessories</v>
          </cell>
          <cell r="H381" t="str">
            <v>MEM series</v>
          </cell>
          <cell r="I381" t="str">
            <v>10A 1G 2W SW BLK</v>
          </cell>
        </row>
        <row r="382">
          <cell r="C382" t="str">
            <v>C021WH</v>
          </cell>
          <cell r="D382">
            <v>5</v>
          </cell>
          <cell r="E382">
            <v>100</v>
          </cell>
          <cell r="F382" t="str">
            <v>10A switches</v>
          </cell>
          <cell r="G382" t="str">
            <v>COPA Wiring Accessories</v>
          </cell>
          <cell r="H382" t="str">
            <v>MEM series</v>
          </cell>
          <cell r="I382" t="str">
            <v>10A 1G 2W SWITCH</v>
          </cell>
        </row>
        <row r="383">
          <cell r="C383" t="str">
            <v>C022</v>
          </cell>
          <cell r="D383">
            <v>5</v>
          </cell>
          <cell r="E383">
            <v>100</v>
          </cell>
          <cell r="F383" t="str">
            <v>10A switches</v>
          </cell>
          <cell r="G383" t="str">
            <v>COPA Wiring Accessories</v>
          </cell>
          <cell r="H383" t="str">
            <v>MEM series</v>
          </cell>
          <cell r="I383" t="str">
            <v>10A 2G 2W SW</v>
          </cell>
        </row>
        <row r="384">
          <cell r="C384" t="str">
            <v>C022B</v>
          </cell>
          <cell r="D384">
            <v>5</v>
          </cell>
          <cell r="E384">
            <v>100</v>
          </cell>
          <cell r="F384" t="str">
            <v>10A switches</v>
          </cell>
          <cell r="G384" t="str">
            <v>COPA Wiring Accessories</v>
          </cell>
          <cell r="H384" t="str">
            <v>MEM series</v>
          </cell>
          <cell r="I384" t="str">
            <v>10A 2G 2W SW BLK</v>
          </cell>
        </row>
        <row r="385">
          <cell r="C385" t="str">
            <v>C022WH</v>
          </cell>
          <cell r="D385">
            <v>5</v>
          </cell>
          <cell r="E385">
            <v>100</v>
          </cell>
          <cell r="F385" t="str">
            <v>10A switches</v>
          </cell>
          <cell r="G385" t="str">
            <v>COPA Wiring Accessories</v>
          </cell>
          <cell r="H385" t="str">
            <v>MEM series</v>
          </cell>
          <cell r="I385" t="str">
            <v>10A 2G 2W SWITCH</v>
          </cell>
        </row>
        <row r="386">
          <cell r="C386" t="str">
            <v>C023</v>
          </cell>
          <cell r="D386">
            <v>5</v>
          </cell>
          <cell r="E386">
            <v>100</v>
          </cell>
          <cell r="F386" t="str">
            <v>10A switches</v>
          </cell>
          <cell r="G386" t="str">
            <v>COPA Wiring Accessories</v>
          </cell>
          <cell r="H386" t="str">
            <v>MEM series</v>
          </cell>
          <cell r="I386" t="str">
            <v>10A 3G 2W SW</v>
          </cell>
        </row>
        <row r="387">
          <cell r="C387" t="str">
            <v>C023B</v>
          </cell>
          <cell r="D387">
            <v>5</v>
          </cell>
          <cell r="E387">
            <v>100</v>
          </cell>
          <cell r="F387" t="str">
            <v>10A switches</v>
          </cell>
          <cell r="G387" t="str">
            <v>COPA Wiring Accessories</v>
          </cell>
          <cell r="H387" t="str">
            <v>MEM series</v>
          </cell>
          <cell r="I387" t="str">
            <v>10A 3G 2W SW BLK</v>
          </cell>
        </row>
        <row r="388">
          <cell r="C388" t="str">
            <v>C023WH</v>
          </cell>
          <cell r="D388">
            <v>5</v>
          </cell>
          <cell r="E388">
            <v>100</v>
          </cell>
          <cell r="F388" t="str">
            <v>10A switches</v>
          </cell>
          <cell r="G388" t="str">
            <v>COPA Wiring Accessories</v>
          </cell>
          <cell r="H388" t="str">
            <v>MEM series</v>
          </cell>
          <cell r="I388" t="str">
            <v>10A 3G 2W SW</v>
          </cell>
        </row>
        <row r="389">
          <cell r="C389" t="str">
            <v>C024</v>
          </cell>
          <cell r="D389">
            <v>5</v>
          </cell>
          <cell r="E389">
            <v>100</v>
          </cell>
          <cell r="F389" t="str">
            <v>10A switches</v>
          </cell>
          <cell r="G389" t="str">
            <v>COPA Wiring Accessories</v>
          </cell>
          <cell r="H389" t="str">
            <v>MEM series</v>
          </cell>
          <cell r="I389" t="str">
            <v>10A 4G 2W SW</v>
          </cell>
        </row>
        <row r="390">
          <cell r="C390" t="str">
            <v>C024B</v>
          </cell>
          <cell r="D390">
            <v>5</v>
          </cell>
          <cell r="E390">
            <v>100</v>
          </cell>
          <cell r="F390" t="str">
            <v>10A switches</v>
          </cell>
          <cell r="G390" t="str">
            <v>COPA Wiring Accessories</v>
          </cell>
          <cell r="H390" t="str">
            <v>MEM series</v>
          </cell>
          <cell r="I390" t="str">
            <v>10A 4G 2W SW BLK</v>
          </cell>
        </row>
        <row r="391">
          <cell r="C391" t="str">
            <v>C024WH</v>
          </cell>
          <cell r="D391">
            <v>5</v>
          </cell>
          <cell r="E391">
            <v>100</v>
          </cell>
          <cell r="F391" t="str">
            <v>10A switches</v>
          </cell>
          <cell r="G391" t="str">
            <v>COPA Wiring Accessories</v>
          </cell>
          <cell r="H391" t="str">
            <v>MEM series</v>
          </cell>
          <cell r="I391" t="str">
            <v>10A 4G 2W SWITCH</v>
          </cell>
        </row>
        <row r="392">
          <cell r="C392" t="str">
            <v>C026</v>
          </cell>
          <cell r="D392">
            <v>5</v>
          </cell>
          <cell r="E392">
            <v>100</v>
          </cell>
          <cell r="F392" t="str">
            <v>10A switches</v>
          </cell>
          <cell r="G392" t="str">
            <v>COPA Wiring Accessories</v>
          </cell>
          <cell r="H392" t="str">
            <v>MEM series</v>
          </cell>
          <cell r="I392" t="str">
            <v>10A 6G 2W SW</v>
          </cell>
        </row>
        <row r="393">
          <cell r="C393" t="str">
            <v>C026B</v>
          </cell>
          <cell r="D393">
            <v>5</v>
          </cell>
          <cell r="E393">
            <v>100</v>
          </cell>
          <cell r="F393" t="str">
            <v>10A switches</v>
          </cell>
          <cell r="G393" t="str">
            <v>COPA Wiring Accessories</v>
          </cell>
          <cell r="H393" t="str">
            <v>MEM series</v>
          </cell>
          <cell r="I393" t="str">
            <v>10A 6G 2W SW BLK</v>
          </cell>
        </row>
        <row r="394">
          <cell r="C394" t="str">
            <v>C026WH</v>
          </cell>
          <cell r="D394">
            <v>5</v>
          </cell>
          <cell r="E394">
            <v>100</v>
          </cell>
          <cell r="F394" t="str">
            <v>10A switches</v>
          </cell>
          <cell r="G394" t="str">
            <v>COPA Wiring Accessories</v>
          </cell>
          <cell r="H394" t="str">
            <v>MEM series</v>
          </cell>
          <cell r="I394" t="str">
            <v>10A 6G 2W SWITCH</v>
          </cell>
        </row>
        <row r="395">
          <cell r="C395" t="str">
            <v>C048</v>
          </cell>
          <cell r="D395">
            <v>5</v>
          </cell>
          <cell r="E395">
            <v>200</v>
          </cell>
          <cell r="F395" t="str">
            <v>Fan isoloator</v>
          </cell>
          <cell r="G395" t="str">
            <v>COPA Wiring Accessories</v>
          </cell>
          <cell r="H395" t="str">
            <v>MEM series</v>
          </cell>
          <cell r="I395" t="str">
            <v>10A 3POLE BRDFAN ISO</v>
          </cell>
        </row>
        <row r="396">
          <cell r="C396" t="str">
            <v>C048B</v>
          </cell>
          <cell r="D396">
            <v>5</v>
          </cell>
          <cell r="E396">
            <v>200</v>
          </cell>
          <cell r="F396" t="str">
            <v>Fan isoloator</v>
          </cell>
          <cell r="G396" t="str">
            <v>COPA Wiring Accessories</v>
          </cell>
          <cell r="H396" t="str">
            <v>MEM series</v>
          </cell>
          <cell r="I396" t="str">
            <v>10A 3POLE BRDFAN ISO BLK</v>
          </cell>
        </row>
        <row r="397">
          <cell r="C397" t="str">
            <v>C048WH</v>
          </cell>
          <cell r="D397">
            <v>5</v>
          </cell>
          <cell r="E397">
            <v>200</v>
          </cell>
          <cell r="F397" t="str">
            <v>Fan isoloator</v>
          </cell>
          <cell r="G397" t="str">
            <v>COPA Wiring Accessories</v>
          </cell>
          <cell r="H397" t="str">
            <v>MEM series</v>
          </cell>
          <cell r="I397" t="str">
            <v>10A 3POLE BRDFAN ISO</v>
          </cell>
        </row>
        <row r="398">
          <cell r="C398" t="str">
            <v>C049WH</v>
          </cell>
          <cell r="D398">
            <v>5</v>
          </cell>
          <cell r="E398">
            <v>200</v>
          </cell>
          <cell r="F398" t="str">
            <v>Fan isoloator</v>
          </cell>
          <cell r="G398" t="str">
            <v>COPA Wiring Accessories</v>
          </cell>
          <cell r="H398" t="str">
            <v>MEM series</v>
          </cell>
          <cell r="I398" t="str">
            <v>10A 3POLE BRD ISOLATOR</v>
          </cell>
        </row>
        <row r="399">
          <cell r="C399" t="str">
            <v>C032</v>
          </cell>
          <cell r="D399">
            <v>5</v>
          </cell>
          <cell r="E399">
            <v>300</v>
          </cell>
          <cell r="F399" t="str">
            <v>10A broad rocker</v>
          </cell>
          <cell r="G399" t="str">
            <v>COPA Wiring Accessories</v>
          </cell>
          <cell r="H399" t="str">
            <v>MEM series</v>
          </cell>
          <cell r="I399" t="str">
            <v>10A 2G 2W H BRDSW</v>
          </cell>
        </row>
        <row r="400">
          <cell r="C400" t="str">
            <v>C032B</v>
          </cell>
          <cell r="D400">
            <v>5</v>
          </cell>
          <cell r="E400">
            <v>300</v>
          </cell>
          <cell r="F400" t="str">
            <v>10A broad rocker</v>
          </cell>
          <cell r="G400" t="str">
            <v>COPA Wiring Accessories</v>
          </cell>
          <cell r="H400" t="str">
            <v>MEM series</v>
          </cell>
          <cell r="I400" t="str">
            <v>10A 2G 2W H BRDSW BLK</v>
          </cell>
        </row>
        <row r="401">
          <cell r="C401" t="str">
            <v>C032WH</v>
          </cell>
          <cell r="D401">
            <v>5</v>
          </cell>
          <cell r="E401">
            <v>300</v>
          </cell>
          <cell r="F401" t="str">
            <v>10A broad rocker</v>
          </cell>
          <cell r="G401" t="str">
            <v>COPA Wiring Accessories</v>
          </cell>
          <cell r="H401" t="str">
            <v>MEM series</v>
          </cell>
          <cell r="I401" t="str">
            <v>10A 2G 2W H BRDSW</v>
          </cell>
        </row>
        <row r="402">
          <cell r="C402" t="str">
            <v>C041</v>
          </cell>
          <cell r="D402">
            <v>5</v>
          </cell>
          <cell r="E402">
            <v>300</v>
          </cell>
          <cell r="F402" t="str">
            <v>10A broad rocker</v>
          </cell>
          <cell r="G402" t="str">
            <v>COPA Wiring Accessories</v>
          </cell>
          <cell r="H402" t="str">
            <v>MEM series</v>
          </cell>
          <cell r="I402" t="str">
            <v>10A 1G 2W BRD SW COPA INT</v>
          </cell>
        </row>
        <row r="403">
          <cell r="C403" t="str">
            <v>C041B</v>
          </cell>
          <cell r="D403">
            <v>5</v>
          </cell>
          <cell r="E403">
            <v>300</v>
          </cell>
          <cell r="F403" t="str">
            <v>10A broad rocker</v>
          </cell>
          <cell r="G403" t="str">
            <v>COPA Wiring Accessories</v>
          </cell>
          <cell r="H403" t="str">
            <v>MEM series</v>
          </cell>
          <cell r="I403" t="str">
            <v>10A 1G 2W BRD SW COPA INT BLK</v>
          </cell>
        </row>
        <row r="404">
          <cell r="C404" t="str">
            <v>C041WH</v>
          </cell>
          <cell r="D404">
            <v>5</v>
          </cell>
          <cell r="E404">
            <v>300</v>
          </cell>
          <cell r="F404" t="str">
            <v>10A broad rocker</v>
          </cell>
          <cell r="G404" t="str">
            <v>COPA Wiring Accessories</v>
          </cell>
          <cell r="H404" t="str">
            <v>MEM series</v>
          </cell>
          <cell r="I404" t="str">
            <v>10A 1G 2W BRDSW</v>
          </cell>
        </row>
        <row r="405">
          <cell r="C405" t="str">
            <v>C045</v>
          </cell>
          <cell r="D405">
            <v>5</v>
          </cell>
          <cell r="E405">
            <v>300</v>
          </cell>
          <cell r="F405" t="str">
            <v>10A broad rocker</v>
          </cell>
          <cell r="G405" t="str">
            <v>COPA Wiring Accessories</v>
          </cell>
          <cell r="H405" t="str">
            <v>MEM series</v>
          </cell>
          <cell r="I405" t="str">
            <v>10A 1G 1W BRDSW PUSH</v>
          </cell>
        </row>
        <row r="406">
          <cell r="C406" t="str">
            <v>C045B</v>
          </cell>
          <cell r="D406">
            <v>5</v>
          </cell>
          <cell r="E406">
            <v>300</v>
          </cell>
          <cell r="F406" t="str">
            <v>10A broad rocker</v>
          </cell>
          <cell r="G406" t="str">
            <v>COPA Wiring Accessories</v>
          </cell>
          <cell r="H406" t="str">
            <v>MEM series</v>
          </cell>
          <cell r="I406" t="str">
            <v>10A 1G 1W BRDSW PUSH BLK</v>
          </cell>
        </row>
        <row r="407">
          <cell r="C407" t="str">
            <v>C045WH</v>
          </cell>
          <cell r="D407">
            <v>5</v>
          </cell>
          <cell r="E407">
            <v>300</v>
          </cell>
          <cell r="F407" t="str">
            <v>10A broad rocker</v>
          </cell>
          <cell r="G407" t="str">
            <v>COPA Wiring Accessories</v>
          </cell>
          <cell r="H407" t="str">
            <v>MEM series</v>
          </cell>
          <cell r="I407" t="str">
            <v>10A 1G 1W BRDSW PUSH</v>
          </cell>
        </row>
        <row r="408">
          <cell r="C408" t="str">
            <v>C047</v>
          </cell>
          <cell r="D408">
            <v>5</v>
          </cell>
          <cell r="E408">
            <v>300</v>
          </cell>
          <cell r="F408" t="str">
            <v>10A broad rocker</v>
          </cell>
          <cell r="G408" t="str">
            <v>COPA Wiring Accessories</v>
          </cell>
          <cell r="H408" t="str">
            <v>MEM series</v>
          </cell>
          <cell r="I408" t="str">
            <v>10A INT BRDSW</v>
          </cell>
        </row>
        <row r="409">
          <cell r="C409" t="str">
            <v>C047B</v>
          </cell>
          <cell r="D409">
            <v>5</v>
          </cell>
          <cell r="E409">
            <v>300</v>
          </cell>
          <cell r="F409" t="str">
            <v>10A broad rocker</v>
          </cell>
          <cell r="G409" t="str">
            <v>COPA Wiring Accessories</v>
          </cell>
          <cell r="H409" t="str">
            <v>MEM series</v>
          </cell>
          <cell r="I409" t="str">
            <v>10A INT BROAD SW BLK</v>
          </cell>
        </row>
        <row r="410">
          <cell r="C410" t="str">
            <v>C047WH</v>
          </cell>
          <cell r="D410">
            <v>5</v>
          </cell>
          <cell r="E410">
            <v>300</v>
          </cell>
          <cell r="F410" t="str">
            <v>10A broad rocker</v>
          </cell>
          <cell r="G410" t="str">
            <v>COPA Wiring Accessories</v>
          </cell>
          <cell r="H410" t="str">
            <v>MEM series</v>
          </cell>
          <cell r="I410" t="str">
            <v>10A INT BRDSW</v>
          </cell>
        </row>
        <row r="411">
          <cell r="C411" t="str">
            <v>C9111</v>
          </cell>
          <cell r="D411">
            <v>5</v>
          </cell>
          <cell r="E411">
            <v>401</v>
          </cell>
          <cell r="F411" t="str">
            <v>Dimmers</v>
          </cell>
          <cell r="G411" t="str">
            <v>COPA Wiring Accessories</v>
          </cell>
          <cell r="H411" t="str">
            <v>MEM series</v>
          </cell>
          <cell r="I411" t="str">
            <v>1000W 1G 2W PUSH TUNGSTEN</v>
          </cell>
        </row>
        <row r="412">
          <cell r="C412" t="str">
            <v>C9131</v>
          </cell>
          <cell r="D412">
            <v>5</v>
          </cell>
          <cell r="E412">
            <v>401</v>
          </cell>
          <cell r="F412" t="str">
            <v>Dimmers</v>
          </cell>
          <cell r="G412" t="str">
            <v>COPA Wiring Accessories</v>
          </cell>
          <cell r="H412" t="str">
            <v>MEM series</v>
          </cell>
          <cell r="I412" t="str">
            <v>250W 1G 2W PUSH TUNGSTEN</v>
          </cell>
        </row>
        <row r="413">
          <cell r="C413" t="str">
            <v>C9131WH</v>
          </cell>
          <cell r="D413">
            <v>5</v>
          </cell>
          <cell r="E413">
            <v>401</v>
          </cell>
          <cell r="F413" t="str">
            <v>Dimmers</v>
          </cell>
          <cell r="G413" t="str">
            <v>COPA Wiring Accessories</v>
          </cell>
          <cell r="H413" t="str">
            <v>MEM series</v>
          </cell>
          <cell r="I413" t="str">
            <v>250W 1G 2W PUSH TUNGSTEN</v>
          </cell>
        </row>
        <row r="414">
          <cell r="C414" t="str">
            <v>C9132</v>
          </cell>
          <cell r="D414">
            <v>5</v>
          </cell>
          <cell r="E414">
            <v>401</v>
          </cell>
          <cell r="F414" t="str">
            <v>Dimmers</v>
          </cell>
          <cell r="G414" t="str">
            <v>COPA Wiring Accessories</v>
          </cell>
          <cell r="H414" t="str">
            <v>MEM series</v>
          </cell>
          <cell r="I414" t="str">
            <v>250W 2G 2W PUSH TUNGSTEN</v>
          </cell>
        </row>
        <row r="415">
          <cell r="C415" t="str">
            <v>C9132WH</v>
          </cell>
          <cell r="D415">
            <v>5</v>
          </cell>
          <cell r="E415">
            <v>401</v>
          </cell>
          <cell r="F415" t="str">
            <v>Dimmers</v>
          </cell>
          <cell r="G415" t="str">
            <v>COPA Wiring Accessories</v>
          </cell>
          <cell r="H415" t="str">
            <v>MEM series</v>
          </cell>
          <cell r="I415" t="str">
            <v>250W 2G 2W PUSH TUNGSTEN</v>
          </cell>
        </row>
        <row r="416">
          <cell r="C416" t="str">
            <v>C9141</v>
          </cell>
          <cell r="D416">
            <v>5</v>
          </cell>
          <cell r="E416">
            <v>401</v>
          </cell>
          <cell r="F416" t="str">
            <v>Dimmers</v>
          </cell>
          <cell r="G416" t="str">
            <v>COPA Wiring Accessories</v>
          </cell>
          <cell r="H416" t="str">
            <v>MEM series</v>
          </cell>
          <cell r="I416" t="str">
            <v>400W 1G 2W PUSH TUNGSTEN COPA</v>
          </cell>
        </row>
        <row r="417">
          <cell r="C417" t="str">
            <v>C9141WH</v>
          </cell>
          <cell r="D417">
            <v>5</v>
          </cell>
          <cell r="E417">
            <v>401</v>
          </cell>
          <cell r="F417" t="str">
            <v>Dimmers</v>
          </cell>
          <cell r="G417" t="str">
            <v>COPA Wiring Accessories</v>
          </cell>
          <cell r="H417" t="str">
            <v>MEM series</v>
          </cell>
          <cell r="I417" t="str">
            <v>400W 1G 2W PUSH TUNGSTEN COPA</v>
          </cell>
        </row>
        <row r="418">
          <cell r="C418" t="str">
            <v>C9511</v>
          </cell>
          <cell r="D418">
            <v>5</v>
          </cell>
          <cell r="E418">
            <v>401</v>
          </cell>
          <cell r="F418" t="str">
            <v>Dimmers</v>
          </cell>
          <cell r="G418" t="str">
            <v>COPA Wiring Accessories</v>
          </cell>
          <cell r="H418" t="str">
            <v>MEM series</v>
          </cell>
          <cell r="I418" t="str">
            <v>1000W 1G 1W ROTARY TUNGSTEN NON-EURO</v>
          </cell>
        </row>
        <row r="419">
          <cell r="C419" t="str">
            <v>C9511WH</v>
          </cell>
          <cell r="D419">
            <v>5</v>
          </cell>
          <cell r="E419">
            <v>401</v>
          </cell>
          <cell r="F419" t="str">
            <v>Dimmers</v>
          </cell>
          <cell r="G419" t="str">
            <v>COPA Wiring Accessories</v>
          </cell>
          <cell r="H419" t="str">
            <v>MEM series</v>
          </cell>
          <cell r="I419" t="str">
            <v>1000W 1G 1W ROTARY TUNGSTEN NON-EURO</v>
          </cell>
        </row>
        <row r="420">
          <cell r="C420" t="str">
            <v>C9551</v>
          </cell>
          <cell r="D420">
            <v>5</v>
          </cell>
          <cell r="E420">
            <v>401</v>
          </cell>
          <cell r="F420" t="str">
            <v>Dimmers</v>
          </cell>
          <cell r="G420" t="str">
            <v>COPA Wiring Accessories</v>
          </cell>
          <cell r="H420" t="str">
            <v>MEM series</v>
          </cell>
          <cell r="I420" t="str">
            <v>500W 1G 1W RTY TUNGSTEN COPA</v>
          </cell>
        </row>
        <row r="421">
          <cell r="C421" t="str">
            <v>C9551WH</v>
          </cell>
          <cell r="D421">
            <v>5</v>
          </cell>
          <cell r="E421">
            <v>401</v>
          </cell>
          <cell r="F421" t="str">
            <v>Dimmers</v>
          </cell>
          <cell r="G421" t="str">
            <v>COPA Wiring Accessories</v>
          </cell>
          <cell r="H421" t="str">
            <v>MEM series</v>
          </cell>
          <cell r="I421" t="str">
            <v>500W 1G 1W RTY TUNGSTEN COPA</v>
          </cell>
        </row>
        <row r="422">
          <cell r="C422" t="str">
            <v>C9552</v>
          </cell>
          <cell r="D422">
            <v>5</v>
          </cell>
          <cell r="E422">
            <v>401</v>
          </cell>
          <cell r="F422" t="str">
            <v>Dimmers</v>
          </cell>
          <cell r="G422" t="str">
            <v>COPA Wiring Accessories</v>
          </cell>
          <cell r="H422" t="str">
            <v>MEM series</v>
          </cell>
          <cell r="I422" t="str">
            <v>500W 2G 1W RTY TUNGSTEN COPA</v>
          </cell>
        </row>
        <row r="423">
          <cell r="C423" t="str">
            <v>C9552WH</v>
          </cell>
          <cell r="D423">
            <v>5</v>
          </cell>
          <cell r="E423">
            <v>401</v>
          </cell>
          <cell r="F423" t="str">
            <v>Dimmers</v>
          </cell>
          <cell r="G423" t="str">
            <v>COPA Wiring Accessories</v>
          </cell>
          <cell r="H423" t="str">
            <v>MEM series</v>
          </cell>
          <cell r="I423" t="str">
            <v>500W 2G 1W RTY TUNGSTEN COPA</v>
          </cell>
        </row>
        <row r="424">
          <cell r="C424" t="str">
            <v>C9751</v>
          </cell>
          <cell r="D424">
            <v>5</v>
          </cell>
          <cell r="E424">
            <v>401</v>
          </cell>
          <cell r="F424" t="str">
            <v>Dimmers</v>
          </cell>
          <cell r="G424" t="str">
            <v>COPA Wiring Accessories</v>
          </cell>
          <cell r="H424" t="str">
            <v>MEM series</v>
          </cell>
          <cell r="I424" t="str">
            <v>500W 1G FAN CONTROLLER NON EU</v>
          </cell>
        </row>
        <row r="425">
          <cell r="C425" t="str">
            <v>C9751WH</v>
          </cell>
          <cell r="D425">
            <v>5</v>
          </cell>
          <cell r="E425">
            <v>401</v>
          </cell>
          <cell r="F425" t="str">
            <v>Dimmers</v>
          </cell>
          <cell r="G425" t="str">
            <v>COPA Wiring Accessories</v>
          </cell>
          <cell r="H425" t="str">
            <v>MEM series</v>
          </cell>
          <cell r="I425" t="str">
            <v>500W 1G FAN CONTROLLER NON EU</v>
          </cell>
        </row>
        <row r="426">
          <cell r="C426" t="str">
            <v>A9900HP</v>
          </cell>
          <cell r="D426">
            <v>5</v>
          </cell>
          <cell r="E426">
            <v>402</v>
          </cell>
          <cell r="F426" t="str">
            <v>Alternative dimmer knobs</v>
          </cell>
          <cell r="G426" t="str">
            <v>COPA FIX</v>
          </cell>
          <cell r="H426" t="str">
            <v>MEM series</v>
          </cell>
          <cell r="I426" t="str">
            <v>DIMMER KNOB HIGH POLISH</v>
          </cell>
        </row>
        <row r="427">
          <cell r="C427" t="str">
            <v>A9900PB</v>
          </cell>
          <cell r="D427">
            <v>5</v>
          </cell>
          <cell r="E427">
            <v>402</v>
          </cell>
          <cell r="F427" t="str">
            <v>Alternative dimmer knobs</v>
          </cell>
          <cell r="G427" t="str">
            <v>COPA FIX</v>
          </cell>
          <cell r="H427" t="str">
            <v>MEM series</v>
          </cell>
          <cell r="I427" t="str">
            <v>DIMMER KNOB BRASS</v>
          </cell>
        </row>
        <row r="428">
          <cell r="C428" t="str">
            <v>A9900SS</v>
          </cell>
          <cell r="D428">
            <v>5</v>
          </cell>
          <cell r="E428">
            <v>402</v>
          </cell>
          <cell r="F428" t="str">
            <v>Alternative dimmer knobs</v>
          </cell>
          <cell r="G428" t="str">
            <v>COPA FIX</v>
          </cell>
          <cell r="H428" t="str">
            <v>MEM series</v>
          </cell>
          <cell r="I428" t="str">
            <v>DIMMER KNOB STEEL</v>
          </cell>
        </row>
        <row r="429">
          <cell r="C429" t="str">
            <v>C621</v>
          </cell>
          <cell r="D429">
            <v>5</v>
          </cell>
          <cell r="E429">
            <v>500</v>
          </cell>
          <cell r="F429" t="str">
            <v>13a Switched sockets</v>
          </cell>
          <cell r="G429" t="str">
            <v>COPA Wiring Accessories</v>
          </cell>
          <cell r="H429" t="str">
            <v>MEM series</v>
          </cell>
          <cell r="I429" t="str">
            <v>13A 1G DP SW SKT COPA INTERIOR</v>
          </cell>
        </row>
        <row r="430">
          <cell r="C430" t="str">
            <v>C621B</v>
          </cell>
          <cell r="D430">
            <v>5</v>
          </cell>
          <cell r="E430">
            <v>500</v>
          </cell>
          <cell r="F430" t="str">
            <v>13a Switched sockets</v>
          </cell>
          <cell r="G430" t="str">
            <v>COPA Wiring Accessories</v>
          </cell>
          <cell r="H430" t="str">
            <v>MEM series</v>
          </cell>
          <cell r="I430" t="str">
            <v>13A 1G DP SW SKT COPA INT BK</v>
          </cell>
        </row>
        <row r="431">
          <cell r="C431" t="str">
            <v>C621N</v>
          </cell>
          <cell r="D431">
            <v>5</v>
          </cell>
          <cell r="E431">
            <v>500</v>
          </cell>
          <cell r="F431" t="str">
            <v>13a Switched sockets</v>
          </cell>
          <cell r="G431" t="str">
            <v>COPA Wiring Accessories</v>
          </cell>
          <cell r="H431" t="str">
            <v>MEM series</v>
          </cell>
          <cell r="I431" t="str">
            <v>13A 1G DP SW SKT N COPA INT</v>
          </cell>
        </row>
        <row r="432">
          <cell r="C432" t="str">
            <v>C621NB</v>
          </cell>
          <cell r="D432">
            <v>5</v>
          </cell>
          <cell r="E432">
            <v>500</v>
          </cell>
          <cell r="F432" t="str">
            <v>13a Switched sockets</v>
          </cell>
          <cell r="G432" t="str">
            <v>COPA Wiring Accessories</v>
          </cell>
          <cell r="H432" t="str">
            <v>MEM series</v>
          </cell>
          <cell r="I432" t="str">
            <v>13A 1G DP SW SKT N COPA INT BK</v>
          </cell>
        </row>
        <row r="433">
          <cell r="C433" t="str">
            <v>C621NWH</v>
          </cell>
          <cell r="D433">
            <v>5</v>
          </cell>
          <cell r="E433">
            <v>500</v>
          </cell>
          <cell r="F433" t="str">
            <v>13a Switched sockets</v>
          </cell>
          <cell r="G433" t="str">
            <v>COPA Wiring Accessories</v>
          </cell>
          <cell r="H433" t="str">
            <v>MEM series</v>
          </cell>
          <cell r="I433" t="str">
            <v>13A 1G DP SW SKT N COPA WH CVR</v>
          </cell>
        </row>
        <row r="434">
          <cell r="C434" t="str">
            <v>C621WH</v>
          </cell>
          <cell r="D434">
            <v>5</v>
          </cell>
          <cell r="E434">
            <v>500</v>
          </cell>
          <cell r="F434" t="str">
            <v>13a Switched sockets</v>
          </cell>
          <cell r="G434" t="str">
            <v>COPA Wiring Accessories</v>
          </cell>
          <cell r="H434" t="str">
            <v>MEM series</v>
          </cell>
          <cell r="I434" t="str">
            <v>13A 1G DP SW SKT COPA WH CVR</v>
          </cell>
        </row>
        <row r="435">
          <cell r="C435" t="str">
            <v>C622</v>
          </cell>
          <cell r="D435">
            <v>5</v>
          </cell>
          <cell r="E435">
            <v>500</v>
          </cell>
          <cell r="F435" t="str">
            <v>13a Switched sockets</v>
          </cell>
          <cell r="G435" t="str">
            <v>COPA Wiring Accessories</v>
          </cell>
          <cell r="H435" t="str">
            <v>MEM series</v>
          </cell>
          <cell r="I435" t="str">
            <v>13A 2G DP SW SKT COPA INTERIOR</v>
          </cell>
        </row>
        <row r="436">
          <cell r="C436" t="str">
            <v>C622B</v>
          </cell>
          <cell r="D436">
            <v>5</v>
          </cell>
          <cell r="E436">
            <v>500</v>
          </cell>
          <cell r="F436" t="str">
            <v>13a Switched sockets</v>
          </cell>
          <cell r="G436" t="str">
            <v>COPA Wiring Accessories</v>
          </cell>
          <cell r="H436" t="str">
            <v>MEM series</v>
          </cell>
          <cell r="I436" t="str">
            <v>13A 2G DP SW SKT COPA INT BK</v>
          </cell>
        </row>
        <row r="437">
          <cell r="C437" t="str">
            <v>C622N</v>
          </cell>
          <cell r="D437">
            <v>5</v>
          </cell>
          <cell r="E437">
            <v>500</v>
          </cell>
          <cell r="F437" t="str">
            <v>13a Switched sockets</v>
          </cell>
          <cell r="G437" t="str">
            <v>COPA Wiring Accessories</v>
          </cell>
          <cell r="H437" t="str">
            <v>MEM series</v>
          </cell>
          <cell r="I437" t="str">
            <v>13A 2G DP SW SKT N COPA INT</v>
          </cell>
        </row>
        <row r="438">
          <cell r="C438" t="str">
            <v>C622NB</v>
          </cell>
          <cell r="D438">
            <v>5</v>
          </cell>
          <cell r="E438">
            <v>500</v>
          </cell>
          <cell r="F438" t="str">
            <v>13a Switched sockets</v>
          </cell>
          <cell r="G438" t="str">
            <v>COPA Wiring Accessories</v>
          </cell>
          <cell r="H438" t="str">
            <v>MEM series</v>
          </cell>
          <cell r="I438" t="str">
            <v>13A 2G DP SW SKT N COPA INT</v>
          </cell>
        </row>
        <row r="439">
          <cell r="C439" t="str">
            <v>C622NWH</v>
          </cell>
          <cell r="D439">
            <v>5</v>
          </cell>
          <cell r="E439">
            <v>500</v>
          </cell>
          <cell r="F439" t="str">
            <v>13a Switched sockets</v>
          </cell>
          <cell r="G439" t="str">
            <v>COPA Wiring Accessories</v>
          </cell>
          <cell r="H439" t="str">
            <v>MEM series</v>
          </cell>
          <cell r="I439" t="str">
            <v>13A 2G DP SW SKT N COPA WH CVR</v>
          </cell>
        </row>
        <row r="440">
          <cell r="C440" t="str">
            <v>C622WH</v>
          </cell>
          <cell r="D440">
            <v>5</v>
          </cell>
          <cell r="E440">
            <v>500</v>
          </cell>
          <cell r="F440" t="str">
            <v>13a Switched sockets</v>
          </cell>
          <cell r="G440" t="str">
            <v>COPA Wiring Accessories</v>
          </cell>
          <cell r="H440" t="str">
            <v>MEM series</v>
          </cell>
          <cell r="I440" t="str">
            <v>13A 2G DP SW SKT COPA WH CVR</v>
          </cell>
        </row>
        <row r="441">
          <cell r="C441" t="str">
            <v>C632</v>
          </cell>
          <cell r="D441">
            <v>5</v>
          </cell>
          <cell r="E441">
            <v>500</v>
          </cell>
          <cell r="F441" t="str">
            <v>13a Switched sockets</v>
          </cell>
          <cell r="G441" t="str">
            <v>COPA Wiring Accessories</v>
          </cell>
          <cell r="H441" t="str">
            <v>MEM series</v>
          </cell>
          <cell r="I441" t="str">
            <v>13A 2G DP SW SKT 2 ET OB INT</v>
          </cell>
        </row>
        <row r="442">
          <cell r="C442" t="str">
            <v>C632B</v>
          </cell>
          <cell r="D442">
            <v>5</v>
          </cell>
          <cell r="E442">
            <v>500</v>
          </cell>
          <cell r="F442" t="str">
            <v>13a Switched sockets</v>
          </cell>
          <cell r="G442" t="str">
            <v>COPA Wiring Accessories</v>
          </cell>
          <cell r="H442" t="str">
            <v>MEM series</v>
          </cell>
          <cell r="I442" t="str">
            <v>13A 2G DP SW SKT 2 ET OB INT</v>
          </cell>
        </row>
        <row r="443">
          <cell r="C443" t="str">
            <v>C632WH</v>
          </cell>
          <cell r="D443">
            <v>5</v>
          </cell>
          <cell r="E443">
            <v>500</v>
          </cell>
          <cell r="F443" t="str">
            <v>13a Switched sockets</v>
          </cell>
          <cell r="G443" t="str">
            <v>COPA Wiring Accessories</v>
          </cell>
          <cell r="H443" t="str">
            <v>MEM series</v>
          </cell>
          <cell r="I443" t="str">
            <v>13A 2G DP SW SKT 2 E TERM OB</v>
          </cell>
        </row>
        <row r="444">
          <cell r="C444" t="str">
            <v>C651</v>
          </cell>
          <cell r="D444">
            <v>5</v>
          </cell>
          <cell r="E444">
            <v>500</v>
          </cell>
          <cell r="F444" t="str">
            <v>13a Switched sockets</v>
          </cell>
          <cell r="G444" t="str">
            <v>COPA Wiring Accessories</v>
          </cell>
          <cell r="H444" t="str">
            <v>MEM series</v>
          </cell>
          <cell r="I444" t="str">
            <v>13A 1G DP SW SKT 2 TERM N-STD</v>
          </cell>
        </row>
        <row r="445">
          <cell r="C445" t="str">
            <v>C651B</v>
          </cell>
          <cell r="D445">
            <v>5</v>
          </cell>
          <cell r="E445">
            <v>500</v>
          </cell>
          <cell r="F445" t="str">
            <v>13a Switched sockets</v>
          </cell>
          <cell r="G445" t="str">
            <v>COPA Wiring Accessories</v>
          </cell>
          <cell r="H445" t="str">
            <v>MEM series</v>
          </cell>
          <cell r="I445" t="str">
            <v>13A 1G DP SW SKT 2 TERM N-STD</v>
          </cell>
        </row>
        <row r="446">
          <cell r="C446" t="str">
            <v>C651WH</v>
          </cell>
          <cell r="D446">
            <v>5</v>
          </cell>
          <cell r="E446">
            <v>500</v>
          </cell>
          <cell r="F446" t="str">
            <v>13a Switched sockets</v>
          </cell>
          <cell r="G446" t="str">
            <v>COPA Wiring Accessories</v>
          </cell>
          <cell r="H446" t="str">
            <v>MEM series</v>
          </cell>
          <cell r="I446" t="str">
            <v>13A 1G DP SW SKT 2 TERM N-STD</v>
          </cell>
        </row>
        <row r="447">
          <cell r="C447" t="str">
            <v>C652</v>
          </cell>
          <cell r="D447">
            <v>5</v>
          </cell>
          <cell r="E447">
            <v>500</v>
          </cell>
          <cell r="F447" t="str">
            <v>13a Switched sockets</v>
          </cell>
          <cell r="G447" t="str">
            <v>COPA Wiring Accessories</v>
          </cell>
          <cell r="H447" t="str">
            <v>MEM series</v>
          </cell>
          <cell r="I447" t="str">
            <v>13A 2G DP SW SKT 2 TERM N-STD</v>
          </cell>
        </row>
        <row r="448">
          <cell r="C448" t="str">
            <v>C652B</v>
          </cell>
          <cell r="D448">
            <v>5</v>
          </cell>
          <cell r="E448">
            <v>500</v>
          </cell>
          <cell r="F448" t="str">
            <v>13a Switched sockets</v>
          </cell>
          <cell r="G448" t="str">
            <v>COPA Wiring Accessories</v>
          </cell>
          <cell r="H448" t="str">
            <v>MEM series</v>
          </cell>
          <cell r="I448" t="str">
            <v>13A 2G DP SW SKT 2 TERM N-STD</v>
          </cell>
        </row>
        <row r="449">
          <cell r="C449" t="str">
            <v>C652WH</v>
          </cell>
          <cell r="D449">
            <v>5</v>
          </cell>
          <cell r="E449">
            <v>500</v>
          </cell>
          <cell r="F449" t="str">
            <v>13a Switched sockets</v>
          </cell>
          <cell r="G449" t="str">
            <v>COPA Wiring Accessories</v>
          </cell>
          <cell r="H449" t="str">
            <v>MEM series</v>
          </cell>
          <cell r="I449" t="str">
            <v>13A 2G DP SW SKT 2 TERM N-STD</v>
          </cell>
        </row>
        <row r="450">
          <cell r="C450" t="str">
            <v>C685</v>
          </cell>
          <cell r="D450">
            <v>5</v>
          </cell>
          <cell r="E450">
            <v>600</v>
          </cell>
          <cell r="F450" t="str">
            <v>13a RCD socket / Loung plates</v>
          </cell>
          <cell r="G450" t="str">
            <v>COPA Wiring Accessories</v>
          </cell>
          <cell r="H450" t="str">
            <v>MEM series</v>
          </cell>
          <cell r="I450" t="str">
            <v>13A 2G DP RCD SW SKT 10mA P</v>
          </cell>
        </row>
        <row r="451">
          <cell r="C451" t="str">
            <v>C686</v>
          </cell>
          <cell r="D451">
            <v>5</v>
          </cell>
          <cell r="E451">
            <v>600</v>
          </cell>
          <cell r="F451" t="str">
            <v>13a RCD socket / Loung plates</v>
          </cell>
          <cell r="G451" t="str">
            <v>COPA Wiring Accessories</v>
          </cell>
          <cell r="H451" t="str">
            <v>MEM series</v>
          </cell>
          <cell r="I451" t="str">
            <v>13A 2G DP RCD SW SKT 30mA P</v>
          </cell>
        </row>
        <row r="452">
          <cell r="C452" t="str">
            <v>U105SS</v>
          </cell>
          <cell r="D452">
            <v>5</v>
          </cell>
          <cell r="E452">
            <v>600</v>
          </cell>
          <cell r="F452" t="str">
            <v>13a RCD socket / Loung plates</v>
          </cell>
          <cell r="G452" t="str">
            <v>COPA Wiring Accessories</v>
          </cell>
          <cell r="H452" t="str">
            <v>MEM series</v>
          </cell>
          <cell r="I452" t="str">
            <v>1G DP LOCKABLE SKT COMM KEY</v>
          </cell>
        </row>
        <row r="453">
          <cell r="C453" t="str">
            <v>U105WH</v>
          </cell>
          <cell r="D453">
            <v>5</v>
          </cell>
          <cell r="E453">
            <v>600</v>
          </cell>
          <cell r="F453" t="str">
            <v>13a RCD socket / Loung plates</v>
          </cell>
          <cell r="G453" t="str">
            <v>COPA Wiring Accessories</v>
          </cell>
          <cell r="H453" t="str">
            <v>MEM series</v>
          </cell>
          <cell r="I453" t="str">
            <v>1G DP LOCKABLE SKT COMM KEY</v>
          </cell>
        </row>
        <row r="454">
          <cell r="C454" t="str">
            <v>U106SS</v>
          </cell>
          <cell r="D454">
            <v>5</v>
          </cell>
          <cell r="E454">
            <v>600</v>
          </cell>
          <cell r="F454" t="str">
            <v>13a RCD socket / Loung plates</v>
          </cell>
          <cell r="G454" t="str">
            <v>COPA Wiring Accessories</v>
          </cell>
          <cell r="H454" t="str">
            <v>MEM series</v>
          </cell>
          <cell r="I454" t="str">
            <v>1G DP LOCKABLE SKT NON REM ON</v>
          </cell>
        </row>
        <row r="455">
          <cell r="C455" t="str">
            <v>U106WH</v>
          </cell>
          <cell r="D455">
            <v>5</v>
          </cell>
          <cell r="E455">
            <v>600</v>
          </cell>
          <cell r="F455" t="str">
            <v>13a RCD socket / Loung plates</v>
          </cell>
          <cell r="G455" t="str">
            <v>COPA Wiring Accessories</v>
          </cell>
          <cell r="H455" t="str">
            <v>MEM series</v>
          </cell>
          <cell r="I455" t="str">
            <v>1G DP LOCKABLE SKT NON REM ON</v>
          </cell>
        </row>
        <row r="456">
          <cell r="C456" t="str">
            <v>C111</v>
          </cell>
          <cell r="D456">
            <v>5</v>
          </cell>
          <cell r="E456">
            <v>700</v>
          </cell>
          <cell r="F456" t="str">
            <v>Unswitched sockets</v>
          </cell>
          <cell r="G456" t="str">
            <v>COPA Wiring Accessories</v>
          </cell>
          <cell r="H456" t="str">
            <v>MEM series</v>
          </cell>
          <cell r="I456" t="str">
            <v>13A 1G SKT</v>
          </cell>
        </row>
        <row r="457">
          <cell r="C457" t="str">
            <v>C111B</v>
          </cell>
          <cell r="D457">
            <v>5</v>
          </cell>
          <cell r="E457">
            <v>700</v>
          </cell>
          <cell r="F457" t="str">
            <v>Unswitched sockets</v>
          </cell>
          <cell r="G457" t="str">
            <v>COPA Wiring Accessories</v>
          </cell>
          <cell r="H457" t="str">
            <v>MEM series</v>
          </cell>
          <cell r="I457" t="str">
            <v>13A 1G SKT BLK</v>
          </cell>
        </row>
        <row r="458">
          <cell r="C458" t="str">
            <v>C111WH</v>
          </cell>
          <cell r="D458">
            <v>5</v>
          </cell>
          <cell r="E458">
            <v>700</v>
          </cell>
          <cell r="F458" t="str">
            <v>Unswitched sockets</v>
          </cell>
          <cell r="G458" t="str">
            <v>COPA Wiring Accessories</v>
          </cell>
          <cell r="H458" t="str">
            <v>MEM series</v>
          </cell>
          <cell r="I458" t="str">
            <v>13A 1G SKT COPA WITH COVER</v>
          </cell>
        </row>
        <row r="459">
          <cell r="C459" t="str">
            <v>C112</v>
          </cell>
          <cell r="D459">
            <v>5</v>
          </cell>
          <cell r="E459">
            <v>700</v>
          </cell>
          <cell r="F459" t="str">
            <v>Unswitched sockets</v>
          </cell>
          <cell r="G459" t="str">
            <v>COPA Wiring Accessories</v>
          </cell>
          <cell r="H459" t="str">
            <v>MEM series</v>
          </cell>
          <cell r="I459" t="str">
            <v>13A 2G SKT</v>
          </cell>
        </row>
        <row r="460">
          <cell r="C460" t="str">
            <v>C112B</v>
          </cell>
          <cell r="D460">
            <v>5</v>
          </cell>
          <cell r="E460">
            <v>700</v>
          </cell>
          <cell r="F460" t="str">
            <v>Unswitched sockets</v>
          </cell>
          <cell r="G460" t="str">
            <v>COPA Wiring Accessories</v>
          </cell>
          <cell r="H460" t="str">
            <v>MEM series</v>
          </cell>
          <cell r="I460" t="str">
            <v>13A 2G SKT BLK</v>
          </cell>
        </row>
        <row r="461">
          <cell r="C461" t="str">
            <v>C112WH</v>
          </cell>
          <cell r="D461">
            <v>5</v>
          </cell>
          <cell r="E461">
            <v>700</v>
          </cell>
          <cell r="F461" t="str">
            <v>Unswitched sockets</v>
          </cell>
          <cell r="G461" t="str">
            <v>COPA Wiring Accessories</v>
          </cell>
          <cell r="H461" t="str">
            <v>MEM series</v>
          </cell>
          <cell r="I461" t="str">
            <v>13A 2G SKT COPA WITH COVER</v>
          </cell>
        </row>
        <row r="462">
          <cell r="C462" t="str">
            <v>C305</v>
          </cell>
          <cell r="D462">
            <v>5</v>
          </cell>
          <cell r="E462">
            <v>850</v>
          </cell>
          <cell r="F462" t="str">
            <v>5Amp sockets</v>
          </cell>
          <cell r="G462" t="str">
            <v>COPA Wiring Accessories</v>
          </cell>
          <cell r="H462" t="str">
            <v>MEM series</v>
          </cell>
          <cell r="I462" t="str">
            <v>5A 1G SOCKET</v>
          </cell>
        </row>
        <row r="463">
          <cell r="C463" t="str">
            <v>C305B</v>
          </cell>
          <cell r="D463">
            <v>5</v>
          </cell>
          <cell r="E463">
            <v>850</v>
          </cell>
          <cell r="F463" t="str">
            <v>5Amp sockets</v>
          </cell>
          <cell r="G463" t="str">
            <v>COPA Wiring Accessories</v>
          </cell>
          <cell r="H463" t="str">
            <v>MEM series</v>
          </cell>
          <cell r="I463" t="str">
            <v>5A 1G SOCKET BLK</v>
          </cell>
        </row>
        <row r="464">
          <cell r="C464" t="str">
            <v>C305WH</v>
          </cell>
          <cell r="D464">
            <v>5</v>
          </cell>
          <cell r="E464">
            <v>850</v>
          </cell>
          <cell r="F464" t="str">
            <v>5Amp sockets</v>
          </cell>
          <cell r="G464" t="str">
            <v>COPA Wiring Accessories</v>
          </cell>
          <cell r="H464" t="str">
            <v>MEM series</v>
          </cell>
          <cell r="I464" t="str">
            <v>5A 1G SOCKET</v>
          </cell>
        </row>
        <row r="465">
          <cell r="C465" t="str">
            <v>C415</v>
          </cell>
          <cell r="D465">
            <v>5</v>
          </cell>
          <cell r="E465">
            <v>900</v>
          </cell>
          <cell r="F465" t="str">
            <v>15Amp sockets</v>
          </cell>
          <cell r="G465" t="str">
            <v>COPA Wiring Accessories</v>
          </cell>
          <cell r="H465" t="str">
            <v>MEM series</v>
          </cell>
          <cell r="I465" t="str">
            <v>15A 1G SP SW SOCKET</v>
          </cell>
        </row>
        <row r="466">
          <cell r="C466" t="str">
            <v>C415B</v>
          </cell>
          <cell r="D466">
            <v>5</v>
          </cell>
          <cell r="E466">
            <v>900</v>
          </cell>
          <cell r="F466" t="str">
            <v>15Amp sockets</v>
          </cell>
          <cell r="G466" t="str">
            <v>COPA Wiring Accessories</v>
          </cell>
          <cell r="H466" t="str">
            <v>MEM series</v>
          </cell>
          <cell r="I466" t="str">
            <v>15A 1G SP SW SOCKET BLK</v>
          </cell>
        </row>
        <row r="467">
          <cell r="C467" t="str">
            <v>C415WH</v>
          </cell>
          <cell r="D467">
            <v>5</v>
          </cell>
          <cell r="E467">
            <v>900</v>
          </cell>
          <cell r="F467" t="str">
            <v>15Amp sockets</v>
          </cell>
          <cell r="G467" t="str">
            <v>COPA Wiring Accessories</v>
          </cell>
          <cell r="H467" t="str">
            <v>MEM series</v>
          </cell>
          <cell r="I467" t="str">
            <v>15A 1G SP SW SKT</v>
          </cell>
        </row>
        <row r="468">
          <cell r="C468" t="str">
            <v>C461</v>
          </cell>
          <cell r="D468">
            <v>5</v>
          </cell>
          <cell r="E468">
            <v>900</v>
          </cell>
          <cell r="F468" t="str">
            <v>15Amp sockets</v>
          </cell>
          <cell r="G468" t="str">
            <v>COPA Wiring Accessories</v>
          </cell>
          <cell r="H468" t="str">
            <v>MEM series</v>
          </cell>
          <cell r="I468" t="str">
            <v>16A 2 PIN UNIVERSAL SOCKET</v>
          </cell>
        </row>
        <row r="469">
          <cell r="C469" t="str">
            <v>C461B</v>
          </cell>
          <cell r="D469">
            <v>5</v>
          </cell>
          <cell r="E469">
            <v>900</v>
          </cell>
          <cell r="F469" t="str">
            <v>15Amp sockets</v>
          </cell>
          <cell r="G469" t="str">
            <v>COPA Wiring Accessories</v>
          </cell>
          <cell r="H469" t="str">
            <v>MEM series</v>
          </cell>
          <cell r="I469" t="str">
            <v>16A 2 PIN  UNIVERSAL SKT BLK</v>
          </cell>
        </row>
        <row r="470">
          <cell r="C470" t="str">
            <v>C461WH</v>
          </cell>
          <cell r="D470">
            <v>5</v>
          </cell>
          <cell r="E470">
            <v>900</v>
          </cell>
          <cell r="F470" t="str">
            <v>15Amp sockets</v>
          </cell>
          <cell r="G470" t="str">
            <v>COPA Wiring Accessories</v>
          </cell>
          <cell r="H470" t="str">
            <v>MEM series</v>
          </cell>
          <cell r="I470" t="str">
            <v>16A 2 PIN UNIVERSAL SOCKET</v>
          </cell>
        </row>
        <row r="471">
          <cell r="C471" t="str">
            <v>C370</v>
          </cell>
          <cell r="D471">
            <v>5</v>
          </cell>
          <cell r="E471">
            <v>1000</v>
          </cell>
          <cell r="F471" t="str">
            <v>Shaver socket</v>
          </cell>
          <cell r="G471" t="str">
            <v>COPA Wiring Accessories</v>
          </cell>
          <cell r="H471" t="str">
            <v>MEM series</v>
          </cell>
          <cell r="I471" t="str">
            <v>SHAVER DUAL V 240 110AC UNIT</v>
          </cell>
        </row>
        <row r="472">
          <cell r="C472" t="str">
            <v>C370B</v>
          </cell>
          <cell r="D472">
            <v>5</v>
          </cell>
          <cell r="E472">
            <v>1000</v>
          </cell>
          <cell r="F472" t="str">
            <v>Shaver socket</v>
          </cell>
          <cell r="G472" t="str">
            <v>COPA Wiring Accessories</v>
          </cell>
          <cell r="H472" t="str">
            <v>MEM series</v>
          </cell>
          <cell r="I472" t="str">
            <v>SHVR DUAL V 240 110AC UNIT BLK</v>
          </cell>
        </row>
        <row r="473">
          <cell r="C473" t="str">
            <v>C370WH</v>
          </cell>
          <cell r="D473">
            <v>5</v>
          </cell>
          <cell r="E473">
            <v>1000</v>
          </cell>
          <cell r="F473" t="str">
            <v>Shaver socket</v>
          </cell>
          <cell r="G473" t="str">
            <v>COPA Wiring Accessories</v>
          </cell>
          <cell r="H473" t="str">
            <v>MEM series</v>
          </cell>
          <cell r="I473" t="str">
            <v>SHAVER DUAL V 240 110AC UNIT</v>
          </cell>
        </row>
        <row r="474">
          <cell r="C474" t="str">
            <v>C220</v>
          </cell>
          <cell r="D474">
            <v>5</v>
          </cell>
          <cell r="E474">
            <v>1100</v>
          </cell>
          <cell r="F474" t="str">
            <v xml:space="preserve">13A connection units / </v>
          </cell>
          <cell r="G474" t="str">
            <v>COPA Wiring Accessories</v>
          </cell>
          <cell r="H474" t="str">
            <v>MEM series</v>
          </cell>
          <cell r="I474" t="str">
            <v>13A CONN UNIT</v>
          </cell>
        </row>
        <row r="475">
          <cell r="C475" t="str">
            <v>C220B</v>
          </cell>
          <cell r="D475">
            <v>5</v>
          </cell>
          <cell r="E475">
            <v>1100</v>
          </cell>
          <cell r="F475" t="str">
            <v xml:space="preserve">13A connection units / </v>
          </cell>
          <cell r="G475" t="str">
            <v>COPA Wiring Accessories</v>
          </cell>
          <cell r="H475" t="str">
            <v>MEM series</v>
          </cell>
          <cell r="I475" t="str">
            <v>13A CONN UNIT INT</v>
          </cell>
        </row>
        <row r="476">
          <cell r="C476" t="str">
            <v>C220N</v>
          </cell>
          <cell r="D476">
            <v>5</v>
          </cell>
          <cell r="E476">
            <v>1100</v>
          </cell>
          <cell r="F476" t="str">
            <v xml:space="preserve">13A connection units / </v>
          </cell>
          <cell r="G476" t="str">
            <v>COPA Wiring Accessories</v>
          </cell>
          <cell r="H476" t="str">
            <v>MEM series</v>
          </cell>
          <cell r="I476" t="str">
            <v>13A CONN UNIT NEON INT</v>
          </cell>
        </row>
        <row r="477">
          <cell r="C477" t="str">
            <v>C220NB</v>
          </cell>
          <cell r="D477">
            <v>5</v>
          </cell>
          <cell r="E477">
            <v>1100</v>
          </cell>
          <cell r="F477" t="str">
            <v xml:space="preserve">13A connection units / </v>
          </cell>
          <cell r="G477" t="str">
            <v>COPA Wiring Accessories</v>
          </cell>
          <cell r="H477" t="str">
            <v>MEM series</v>
          </cell>
          <cell r="I477" t="str">
            <v>13A CONN UNIT NEON INT</v>
          </cell>
        </row>
        <row r="478">
          <cell r="C478" t="str">
            <v>C220NWH</v>
          </cell>
          <cell r="D478">
            <v>5</v>
          </cell>
          <cell r="E478">
            <v>1100</v>
          </cell>
          <cell r="F478" t="str">
            <v xml:space="preserve">13A connection units / </v>
          </cell>
          <cell r="G478" t="str">
            <v>COPA Wiring Accessories</v>
          </cell>
          <cell r="H478" t="str">
            <v>MEM series</v>
          </cell>
          <cell r="I478" t="str">
            <v>13A CONN UNIT NEON</v>
          </cell>
        </row>
        <row r="479">
          <cell r="C479" t="str">
            <v>C220WH</v>
          </cell>
          <cell r="D479">
            <v>5</v>
          </cell>
          <cell r="E479">
            <v>1100</v>
          </cell>
          <cell r="F479" t="str">
            <v xml:space="preserve">13A connection units / </v>
          </cell>
          <cell r="G479" t="str">
            <v>COPA Wiring Accessories</v>
          </cell>
          <cell r="H479" t="str">
            <v>MEM series</v>
          </cell>
          <cell r="I479" t="str">
            <v>13A CONN UNIT</v>
          </cell>
        </row>
        <row r="480">
          <cell r="C480" t="str">
            <v>C221</v>
          </cell>
          <cell r="D480">
            <v>5</v>
          </cell>
          <cell r="E480">
            <v>1100</v>
          </cell>
          <cell r="F480" t="str">
            <v xml:space="preserve">13A connection units / </v>
          </cell>
          <cell r="G480" t="str">
            <v>COPA Wiring Accessories</v>
          </cell>
          <cell r="H480" t="str">
            <v>MEM series</v>
          </cell>
          <cell r="I480" t="str">
            <v>13A SW CONN UNIT</v>
          </cell>
        </row>
        <row r="481">
          <cell r="C481" t="str">
            <v>C221B</v>
          </cell>
          <cell r="D481">
            <v>5</v>
          </cell>
          <cell r="E481">
            <v>1100</v>
          </cell>
          <cell r="F481" t="str">
            <v xml:space="preserve">13A connection units / </v>
          </cell>
          <cell r="G481" t="str">
            <v>COPA Wiring Accessories</v>
          </cell>
          <cell r="H481" t="str">
            <v>MEM series</v>
          </cell>
          <cell r="I481" t="str">
            <v>13A SW CONN UNIT INT</v>
          </cell>
        </row>
        <row r="482">
          <cell r="C482" t="str">
            <v>C221N</v>
          </cell>
          <cell r="D482">
            <v>5</v>
          </cell>
          <cell r="E482">
            <v>1100</v>
          </cell>
          <cell r="F482" t="str">
            <v xml:space="preserve">13A connection units / </v>
          </cell>
          <cell r="G482" t="str">
            <v>COPA Wiring Accessories</v>
          </cell>
          <cell r="H482" t="str">
            <v>MEM series</v>
          </cell>
          <cell r="I482" t="str">
            <v>13A SW CONN UNIT NEON</v>
          </cell>
        </row>
        <row r="483">
          <cell r="C483" t="str">
            <v>C221NB</v>
          </cell>
          <cell r="D483">
            <v>5</v>
          </cell>
          <cell r="E483">
            <v>1100</v>
          </cell>
          <cell r="F483" t="str">
            <v xml:space="preserve">13A connection units / </v>
          </cell>
          <cell r="G483" t="str">
            <v>COPA Wiring Accessories</v>
          </cell>
          <cell r="H483" t="str">
            <v>MEM series</v>
          </cell>
          <cell r="I483" t="str">
            <v>13A SW CONN UNIT NEON INT</v>
          </cell>
        </row>
        <row r="484">
          <cell r="C484" t="str">
            <v>C221NBOWH</v>
          </cell>
          <cell r="D484">
            <v>5</v>
          </cell>
          <cell r="E484">
            <v>1100</v>
          </cell>
          <cell r="F484" t="str">
            <v xml:space="preserve">13A connection units / </v>
          </cell>
          <cell r="G484" t="str">
            <v>COPA Wiring Accessories</v>
          </cell>
          <cell r="H484" t="str">
            <v>MEM series</v>
          </cell>
          <cell r="I484" t="str">
            <v>13A SW CONN UNIT NEON BOILER</v>
          </cell>
        </row>
        <row r="485">
          <cell r="C485" t="str">
            <v>C221NCHWH</v>
          </cell>
          <cell r="D485">
            <v>5</v>
          </cell>
          <cell r="E485">
            <v>1100</v>
          </cell>
          <cell r="F485" t="str">
            <v xml:space="preserve">13A connection units / </v>
          </cell>
          <cell r="G485" t="str">
            <v>COPA Wiring Accessories</v>
          </cell>
          <cell r="H485" t="str">
            <v>MEM series</v>
          </cell>
          <cell r="I485" t="str">
            <v>13A SW CONN UNIT NEON C HTG</v>
          </cell>
        </row>
        <row r="486">
          <cell r="C486" t="str">
            <v>C221NDWWH</v>
          </cell>
          <cell r="D486">
            <v>5</v>
          </cell>
          <cell r="E486">
            <v>1100</v>
          </cell>
          <cell r="F486" t="str">
            <v xml:space="preserve">13A connection units / </v>
          </cell>
          <cell r="G486" t="str">
            <v>COPA Wiring Accessories</v>
          </cell>
          <cell r="H486" t="str">
            <v>MEM series</v>
          </cell>
          <cell r="I486" t="str">
            <v>13A SW CONN UNIT NEON DISH</v>
          </cell>
        </row>
        <row r="487">
          <cell r="C487" t="str">
            <v>C221NEFWH</v>
          </cell>
          <cell r="D487">
            <v>5</v>
          </cell>
          <cell r="E487">
            <v>1100</v>
          </cell>
          <cell r="F487" t="str">
            <v xml:space="preserve">13A connection units / </v>
          </cell>
          <cell r="G487" t="str">
            <v>COPA Wiring Accessories</v>
          </cell>
          <cell r="H487" t="str">
            <v>MEM series</v>
          </cell>
          <cell r="I487" t="str">
            <v>13A SW CONN UNIT NEON EXT FAN</v>
          </cell>
        </row>
        <row r="488">
          <cell r="C488" t="str">
            <v>C221NFFWH</v>
          </cell>
          <cell r="D488">
            <v>5</v>
          </cell>
          <cell r="E488">
            <v>1100</v>
          </cell>
          <cell r="F488" t="str">
            <v xml:space="preserve">13A connection units / </v>
          </cell>
          <cell r="G488" t="str">
            <v>COPA Wiring Accessories</v>
          </cell>
          <cell r="H488" t="str">
            <v>MEM series</v>
          </cell>
          <cell r="I488" t="str">
            <v>13A SW CON UNIT NEON FRIDGE</v>
          </cell>
        </row>
        <row r="489">
          <cell r="C489" t="str">
            <v>C221NHBWH</v>
          </cell>
          <cell r="D489">
            <v>5</v>
          </cell>
          <cell r="E489">
            <v>1100</v>
          </cell>
          <cell r="F489" t="str">
            <v xml:space="preserve">13A connection units / </v>
          </cell>
          <cell r="G489" t="str">
            <v>COPA Wiring Accessories</v>
          </cell>
          <cell r="H489" t="str">
            <v>MEM series</v>
          </cell>
          <cell r="I489" t="str">
            <v>13A SW CONN UNIT NEON HOB</v>
          </cell>
        </row>
        <row r="490">
          <cell r="C490" t="str">
            <v>C221NHEWH</v>
          </cell>
          <cell r="D490">
            <v>5</v>
          </cell>
          <cell r="E490">
            <v>1100</v>
          </cell>
          <cell r="F490" t="str">
            <v xml:space="preserve">13A connection units / </v>
          </cell>
          <cell r="G490" t="str">
            <v>COPA Wiring Accessories</v>
          </cell>
          <cell r="H490" t="str">
            <v>MEM series</v>
          </cell>
          <cell r="I490" t="str">
            <v>13A SW CONN UNIT NEON HEATER</v>
          </cell>
        </row>
        <row r="491">
          <cell r="C491" t="str">
            <v>C221NRWH</v>
          </cell>
          <cell r="D491">
            <v>5</v>
          </cell>
          <cell r="E491">
            <v>1100</v>
          </cell>
          <cell r="F491" t="str">
            <v xml:space="preserve">13A connection units / </v>
          </cell>
          <cell r="G491" t="str">
            <v>COPA Wiring Accessories</v>
          </cell>
          <cell r="H491" t="str">
            <v>MEM series</v>
          </cell>
          <cell r="I491" t="str">
            <v>13A SW CONN UNIT NEON FRIDGE</v>
          </cell>
        </row>
        <row r="492">
          <cell r="C492" t="str">
            <v>C221NTDWH</v>
          </cell>
          <cell r="D492">
            <v>5</v>
          </cell>
          <cell r="E492">
            <v>1100</v>
          </cell>
          <cell r="F492" t="str">
            <v xml:space="preserve">13A connection units / </v>
          </cell>
          <cell r="G492" t="str">
            <v>COPA Wiring Accessories</v>
          </cell>
          <cell r="H492" t="str">
            <v>MEM series</v>
          </cell>
          <cell r="I492" t="str">
            <v>13A SW CONN UNIT NEON TUMBLE</v>
          </cell>
        </row>
        <row r="493">
          <cell r="C493" t="str">
            <v>C221NWH</v>
          </cell>
          <cell r="D493">
            <v>5</v>
          </cell>
          <cell r="E493">
            <v>1100</v>
          </cell>
          <cell r="F493" t="str">
            <v xml:space="preserve">13A connection units / </v>
          </cell>
          <cell r="G493" t="str">
            <v>COPA Wiring Accessories</v>
          </cell>
          <cell r="H493" t="str">
            <v>MEM series</v>
          </cell>
          <cell r="I493" t="str">
            <v>13A SW CONN UNIT NEON</v>
          </cell>
        </row>
        <row r="494">
          <cell r="C494" t="str">
            <v>C221NWMWH</v>
          </cell>
          <cell r="D494">
            <v>5</v>
          </cell>
          <cell r="E494">
            <v>1100</v>
          </cell>
          <cell r="F494" t="str">
            <v xml:space="preserve">13A connection units / </v>
          </cell>
          <cell r="G494" t="str">
            <v>COPA Wiring Accessories</v>
          </cell>
          <cell r="H494" t="str">
            <v>MEM series</v>
          </cell>
          <cell r="I494" t="str">
            <v>13A SW CONN UNIT NEON WASH MC</v>
          </cell>
        </row>
        <row r="495">
          <cell r="C495" t="str">
            <v>C221RWH</v>
          </cell>
          <cell r="D495">
            <v>5</v>
          </cell>
          <cell r="E495">
            <v>1100</v>
          </cell>
          <cell r="F495" t="str">
            <v xml:space="preserve">13A connection units / </v>
          </cell>
          <cell r="G495" t="str">
            <v>COPA Wiring Accessories</v>
          </cell>
          <cell r="H495" t="str">
            <v>MEM series</v>
          </cell>
          <cell r="I495" t="str">
            <v>13A SW CONN UNIT FRIDGE</v>
          </cell>
        </row>
        <row r="496">
          <cell r="C496" t="str">
            <v>C221TDWH</v>
          </cell>
          <cell r="D496">
            <v>5</v>
          </cell>
          <cell r="E496">
            <v>1100</v>
          </cell>
          <cell r="F496" t="str">
            <v xml:space="preserve">13A connection units / </v>
          </cell>
          <cell r="G496" t="str">
            <v>COPA Wiring Accessories</v>
          </cell>
          <cell r="H496" t="str">
            <v>MEM series</v>
          </cell>
          <cell r="I496" t="str">
            <v>13A SW CONN TUMBLE DRYER</v>
          </cell>
        </row>
        <row r="497">
          <cell r="C497" t="str">
            <v>C221WH</v>
          </cell>
          <cell r="D497">
            <v>5</v>
          </cell>
          <cell r="E497">
            <v>1100</v>
          </cell>
          <cell r="F497" t="str">
            <v xml:space="preserve">13A connection units / </v>
          </cell>
          <cell r="G497" t="str">
            <v>COPA Wiring Accessories</v>
          </cell>
          <cell r="H497" t="str">
            <v>MEM series</v>
          </cell>
          <cell r="I497" t="str">
            <v>13A SW CONN UNIT</v>
          </cell>
        </row>
        <row r="498">
          <cell r="C498" t="str">
            <v>C221WMWH</v>
          </cell>
          <cell r="D498">
            <v>5</v>
          </cell>
          <cell r="E498">
            <v>1100</v>
          </cell>
          <cell r="F498" t="str">
            <v xml:space="preserve">13A connection units / </v>
          </cell>
          <cell r="G498" t="str">
            <v>COPA Wiring Accessories</v>
          </cell>
          <cell r="H498" t="str">
            <v>MEM series</v>
          </cell>
          <cell r="I498" t="str">
            <v>13A SW CONN UNIT WASH MC</v>
          </cell>
        </row>
        <row r="499">
          <cell r="C499" t="str">
            <v>C401</v>
          </cell>
          <cell r="D499">
            <v>5</v>
          </cell>
          <cell r="E499">
            <v>1200</v>
          </cell>
          <cell r="F499" t="str">
            <v>20A switches</v>
          </cell>
          <cell r="G499" t="str">
            <v>COPA Wiring Accessories</v>
          </cell>
          <cell r="H499" t="str">
            <v>MEM series</v>
          </cell>
          <cell r="I499" t="str">
            <v>20A DP SW INTERIOR</v>
          </cell>
        </row>
        <row r="500">
          <cell r="C500" t="str">
            <v>C401B</v>
          </cell>
          <cell r="D500">
            <v>5</v>
          </cell>
          <cell r="E500">
            <v>1200</v>
          </cell>
          <cell r="F500" t="str">
            <v>20A switches</v>
          </cell>
          <cell r="G500" t="str">
            <v>COPA Wiring Accessories</v>
          </cell>
          <cell r="H500" t="str">
            <v>MEM series</v>
          </cell>
          <cell r="I500" t="str">
            <v>20A DP SW INTERIOR</v>
          </cell>
        </row>
        <row r="501">
          <cell r="C501" t="str">
            <v>C401N</v>
          </cell>
          <cell r="D501">
            <v>5</v>
          </cell>
          <cell r="E501">
            <v>1200</v>
          </cell>
          <cell r="F501" t="str">
            <v>20A switches</v>
          </cell>
          <cell r="G501" t="str">
            <v>COPA Wiring Accessories</v>
          </cell>
          <cell r="H501" t="str">
            <v>MEM series</v>
          </cell>
          <cell r="I501" t="str">
            <v>20A DP SW NEON INTERIOR</v>
          </cell>
        </row>
        <row r="502">
          <cell r="C502" t="str">
            <v>C401NB</v>
          </cell>
          <cell r="D502">
            <v>5</v>
          </cell>
          <cell r="E502">
            <v>1200</v>
          </cell>
          <cell r="F502" t="str">
            <v>20A switches</v>
          </cell>
          <cell r="G502" t="str">
            <v>COPA Wiring Accessories</v>
          </cell>
          <cell r="H502" t="str">
            <v>MEM series</v>
          </cell>
          <cell r="I502" t="str">
            <v>20A DP SW NEON INTERIOR</v>
          </cell>
        </row>
        <row r="503">
          <cell r="C503" t="str">
            <v>C401NWH</v>
          </cell>
          <cell r="D503">
            <v>5</v>
          </cell>
          <cell r="E503">
            <v>1200</v>
          </cell>
          <cell r="F503" t="str">
            <v>20A switches</v>
          </cell>
          <cell r="G503" t="str">
            <v>COPA Wiring Accessories</v>
          </cell>
          <cell r="H503" t="str">
            <v>MEM series</v>
          </cell>
          <cell r="I503" t="str">
            <v>20A DP SWITCH NEON</v>
          </cell>
        </row>
        <row r="504">
          <cell r="C504" t="str">
            <v>C401WH</v>
          </cell>
          <cell r="D504">
            <v>5</v>
          </cell>
          <cell r="E504">
            <v>1200</v>
          </cell>
          <cell r="F504" t="str">
            <v>20A switches</v>
          </cell>
          <cell r="G504" t="str">
            <v>COPA Wiring Accessories</v>
          </cell>
          <cell r="H504" t="str">
            <v>MEM series</v>
          </cell>
          <cell r="I504" t="str">
            <v>20A DP SWITCH</v>
          </cell>
        </row>
        <row r="505">
          <cell r="C505" t="str">
            <v>C403NWH</v>
          </cell>
          <cell r="D505">
            <v>5</v>
          </cell>
          <cell r="E505">
            <v>1200</v>
          </cell>
          <cell r="F505" t="str">
            <v>20A switches</v>
          </cell>
          <cell r="G505" t="str">
            <v>COPA Wiring Accessories</v>
          </cell>
          <cell r="H505" t="str">
            <v>MEM series</v>
          </cell>
          <cell r="I505" t="str">
            <v>20A DP SWITCH NEON WH</v>
          </cell>
        </row>
        <row r="506">
          <cell r="C506" t="str">
            <v>C403WH</v>
          </cell>
          <cell r="D506">
            <v>5</v>
          </cell>
          <cell r="E506">
            <v>1200</v>
          </cell>
          <cell r="F506" t="str">
            <v>20A switches</v>
          </cell>
          <cell r="G506" t="str">
            <v>COPA Wiring Accessories</v>
          </cell>
          <cell r="H506" t="str">
            <v>MEM series</v>
          </cell>
          <cell r="I506" t="str">
            <v>20A DP SWITCH WH</v>
          </cell>
        </row>
        <row r="507">
          <cell r="C507" t="str">
            <v>C421N</v>
          </cell>
          <cell r="D507">
            <v>5</v>
          </cell>
          <cell r="E507">
            <v>1300</v>
          </cell>
          <cell r="F507" t="str">
            <v>45A / 50A switches</v>
          </cell>
          <cell r="G507" t="str">
            <v>COPA Wiring Accessories</v>
          </cell>
          <cell r="H507" t="str">
            <v>MEM series</v>
          </cell>
          <cell r="I507" t="str">
            <v>50A DP SWITCH NEON</v>
          </cell>
        </row>
        <row r="508">
          <cell r="C508" t="str">
            <v>C421NB</v>
          </cell>
          <cell r="D508">
            <v>5</v>
          </cell>
          <cell r="E508">
            <v>1300</v>
          </cell>
          <cell r="F508" t="str">
            <v>45A / 50A switches</v>
          </cell>
          <cell r="G508" t="str">
            <v>COPA Wiring Accessories</v>
          </cell>
          <cell r="H508" t="str">
            <v>MEM series</v>
          </cell>
          <cell r="I508" t="str">
            <v>50A DP SWITCH NEON BLK</v>
          </cell>
        </row>
        <row r="509">
          <cell r="C509" t="str">
            <v>C421NWH</v>
          </cell>
          <cell r="D509">
            <v>5</v>
          </cell>
          <cell r="E509">
            <v>1300</v>
          </cell>
          <cell r="F509" t="str">
            <v>45A / 50A switches</v>
          </cell>
          <cell r="G509" t="str">
            <v>COPA Wiring Accessories</v>
          </cell>
          <cell r="H509" t="str">
            <v>MEM series</v>
          </cell>
          <cell r="I509" t="str">
            <v>50A DP SWITCH NEON</v>
          </cell>
        </row>
        <row r="510">
          <cell r="C510" t="str">
            <v>C422N</v>
          </cell>
          <cell r="D510">
            <v>5</v>
          </cell>
          <cell r="E510">
            <v>1300</v>
          </cell>
          <cell r="F510" t="str">
            <v>45A / 50A switches</v>
          </cell>
          <cell r="G510" t="str">
            <v>COPA Wiring Accessories</v>
          </cell>
          <cell r="H510" t="str">
            <v>MEM series</v>
          </cell>
          <cell r="I510" t="str">
            <v>50A DP SW NEON 1G COPA PLATE</v>
          </cell>
        </row>
        <row r="511">
          <cell r="C511" t="str">
            <v>C422NB</v>
          </cell>
          <cell r="D511">
            <v>5</v>
          </cell>
          <cell r="E511">
            <v>1300</v>
          </cell>
          <cell r="F511" t="str">
            <v>45A / 50A switches</v>
          </cell>
          <cell r="G511" t="str">
            <v>COPA Wiring Accessories</v>
          </cell>
          <cell r="H511" t="str">
            <v>MEM series</v>
          </cell>
          <cell r="I511" t="str">
            <v>50A DP SW NEON 1G INT BLK</v>
          </cell>
        </row>
        <row r="512">
          <cell r="C512" t="str">
            <v>C422NWH</v>
          </cell>
          <cell r="D512">
            <v>5</v>
          </cell>
          <cell r="E512">
            <v>1300</v>
          </cell>
          <cell r="F512" t="str">
            <v>45A / 50A switches</v>
          </cell>
          <cell r="G512" t="str">
            <v>COPA Wiring Accessories</v>
          </cell>
          <cell r="H512" t="str">
            <v>MEM series</v>
          </cell>
          <cell r="I512" t="str">
            <v>50A 1G DP SWITCH NEON</v>
          </cell>
        </row>
        <row r="513">
          <cell r="C513" t="str">
            <v>C423NWH</v>
          </cell>
          <cell r="D513">
            <v>5</v>
          </cell>
          <cell r="E513">
            <v>1300</v>
          </cell>
          <cell r="F513" t="str">
            <v>45A / 50A switches</v>
          </cell>
          <cell r="G513" t="str">
            <v>COPA Wiring Accessories</v>
          </cell>
          <cell r="H513" t="str">
            <v>MEM series</v>
          </cell>
          <cell r="I513" t="str">
            <v>50A DP SWITCH NEON COOKER</v>
          </cell>
        </row>
        <row r="514">
          <cell r="C514" t="str">
            <v>C424NWH</v>
          </cell>
          <cell r="D514">
            <v>5</v>
          </cell>
          <cell r="E514">
            <v>1300</v>
          </cell>
          <cell r="F514" t="str">
            <v>45A / 50A switches</v>
          </cell>
          <cell r="G514" t="str">
            <v>COPA Wiring Accessories</v>
          </cell>
          <cell r="H514" t="str">
            <v>MEM series</v>
          </cell>
          <cell r="I514" t="str">
            <v>50A DP SWITCH NEON AIR CON</v>
          </cell>
        </row>
        <row r="515">
          <cell r="C515" t="str">
            <v>C426NWH</v>
          </cell>
          <cell r="D515">
            <v>5</v>
          </cell>
          <cell r="E515">
            <v>1300</v>
          </cell>
          <cell r="F515" t="str">
            <v>45A / 50A switches</v>
          </cell>
          <cell r="G515" t="str">
            <v>COPA Wiring Accessories</v>
          </cell>
          <cell r="H515" t="str">
            <v>MEM series</v>
          </cell>
          <cell r="I515" t="str">
            <v>45A DP SWITCH NEON COOKER</v>
          </cell>
        </row>
        <row r="516">
          <cell r="C516" t="str">
            <v>C425</v>
          </cell>
          <cell r="D516">
            <v>5</v>
          </cell>
          <cell r="E516">
            <v>1301</v>
          </cell>
          <cell r="F516" t="str">
            <v>45A / 50A switches</v>
          </cell>
          <cell r="G516" t="str">
            <v>COPA Wiring Accessories</v>
          </cell>
          <cell r="H516" t="str">
            <v>MEM series</v>
          </cell>
          <cell r="I516" t="str">
            <v>45A DP COOKER CONTROL UNIT</v>
          </cell>
        </row>
        <row r="517">
          <cell r="C517" t="str">
            <v>C425B</v>
          </cell>
          <cell r="D517">
            <v>5</v>
          </cell>
          <cell r="E517">
            <v>1301</v>
          </cell>
          <cell r="F517" t="str">
            <v>45A / 50A switches</v>
          </cell>
          <cell r="G517" t="str">
            <v>COPA Wiring Accessories</v>
          </cell>
          <cell r="H517" t="str">
            <v>MEM series</v>
          </cell>
          <cell r="I517" t="str">
            <v>45A DP COOKER CONTROL UNIT</v>
          </cell>
        </row>
        <row r="518">
          <cell r="C518" t="str">
            <v>C425N</v>
          </cell>
          <cell r="D518">
            <v>5</v>
          </cell>
          <cell r="E518">
            <v>1301</v>
          </cell>
          <cell r="F518" t="str">
            <v>45A / 50A switches</v>
          </cell>
          <cell r="G518" t="str">
            <v>COPA Wiring Accessories</v>
          </cell>
          <cell r="H518" t="str">
            <v>MEM series</v>
          </cell>
          <cell r="I518" t="str">
            <v>45A DP COOKER CONTROL NEON</v>
          </cell>
        </row>
        <row r="519">
          <cell r="C519" t="str">
            <v>C425NB</v>
          </cell>
          <cell r="D519">
            <v>5</v>
          </cell>
          <cell r="E519">
            <v>1301</v>
          </cell>
          <cell r="F519" t="str">
            <v>45A / 50A switches</v>
          </cell>
          <cell r="G519" t="str">
            <v>COPA Wiring Accessories</v>
          </cell>
          <cell r="H519" t="str">
            <v>MEM series</v>
          </cell>
          <cell r="I519" t="str">
            <v>45A DP COOKER CONTROL NEON</v>
          </cell>
        </row>
        <row r="520">
          <cell r="C520" t="str">
            <v>C425NWH</v>
          </cell>
          <cell r="D520">
            <v>5</v>
          </cell>
          <cell r="E520">
            <v>1301</v>
          </cell>
          <cell r="F520" t="str">
            <v>45A / 50A switches</v>
          </cell>
          <cell r="G520" t="str">
            <v>COPA Wiring Accessories</v>
          </cell>
          <cell r="H520" t="str">
            <v>MEM series</v>
          </cell>
          <cell r="I520" t="str">
            <v>45A DP COOKER CONTROL NEON</v>
          </cell>
        </row>
        <row r="521">
          <cell r="C521" t="str">
            <v>C425WH</v>
          </cell>
          <cell r="D521">
            <v>5</v>
          </cell>
          <cell r="E521">
            <v>1301</v>
          </cell>
          <cell r="F521" t="str">
            <v>45A / 50A switches</v>
          </cell>
          <cell r="G521" t="str">
            <v>COPA Wiring Accessories</v>
          </cell>
          <cell r="H521" t="str">
            <v>MEM series</v>
          </cell>
          <cell r="I521" t="str">
            <v>45A DP COOKER CONTROL UNIT</v>
          </cell>
        </row>
        <row r="522">
          <cell r="C522" t="str">
            <v>C391</v>
          </cell>
          <cell r="D522">
            <v>5</v>
          </cell>
          <cell r="E522">
            <v>1400</v>
          </cell>
          <cell r="F522" t="str">
            <v>Cable outlets F2046 / F3205 / Blank Pl;ates</v>
          </cell>
          <cell r="G522" t="str">
            <v>COPA Wiring Accessories</v>
          </cell>
          <cell r="H522" t="str">
            <v>MEM series</v>
          </cell>
          <cell r="I522" t="str">
            <v>1G BLANK PLATE</v>
          </cell>
        </row>
        <row r="523">
          <cell r="C523" t="str">
            <v>C391WH</v>
          </cell>
          <cell r="D523">
            <v>5</v>
          </cell>
          <cell r="E523">
            <v>1400</v>
          </cell>
          <cell r="F523" t="str">
            <v>Cable outlets F2046 / F3205 / Blank Pl;ates</v>
          </cell>
          <cell r="G523" t="str">
            <v>COPA Wiring Accessories</v>
          </cell>
          <cell r="H523" t="str">
            <v>MEM series</v>
          </cell>
          <cell r="I523" t="str">
            <v>1G BLANK PLATE</v>
          </cell>
        </row>
        <row r="524">
          <cell r="C524" t="str">
            <v>C392</v>
          </cell>
          <cell r="D524">
            <v>5</v>
          </cell>
          <cell r="E524">
            <v>1400</v>
          </cell>
          <cell r="F524" t="str">
            <v>Cable outlets F2046 / F3205 / Blank Pl;ates</v>
          </cell>
          <cell r="G524" t="str">
            <v>COPA Wiring Accessories</v>
          </cell>
          <cell r="H524" t="str">
            <v>MEM series</v>
          </cell>
          <cell r="I524" t="str">
            <v>2G BLANK PLATE</v>
          </cell>
        </row>
        <row r="525">
          <cell r="C525" t="str">
            <v>C392WH</v>
          </cell>
          <cell r="D525">
            <v>5</v>
          </cell>
          <cell r="E525">
            <v>1400</v>
          </cell>
          <cell r="F525" t="str">
            <v>Cable outlets F2046 / F3205 / Blank Pl;ates</v>
          </cell>
          <cell r="G525" t="str">
            <v>COPA Wiring Accessories</v>
          </cell>
          <cell r="H525" t="str">
            <v>MEM series</v>
          </cell>
          <cell r="I525" t="str">
            <v>2G BLANK PLATE</v>
          </cell>
        </row>
        <row r="526">
          <cell r="C526" t="str">
            <v>C360</v>
          </cell>
          <cell r="D526">
            <v>5</v>
          </cell>
          <cell r="E526">
            <v>1450</v>
          </cell>
          <cell r="F526" t="str">
            <v>Communication outlets</v>
          </cell>
          <cell r="G526" t="str">
            <v>COPA Wiring Accessories</v>
          </cell>
          <cell r="H526" t="str">
            <v>MEM series</v>
          </cell>
          <cell r="I526" t="str">
            <v>1G TEL OUTLET MASTER</v>
          </cell>
        </row>
        <row r="527">
          <cell r="C527" t="str">
            <v>C360B</v>
          </cell>
          <cell r="D527">
            <v>5</v>
          </cell>
          <cell r="E527">
            <v>1450</v>
          </cell>
          <cell r="F527" t="str">
            <v>Communication outlets</v>
          </cell>
          <cell r="G527" t="str">
            <v>COPA Wiring Accessories</v>
          </cell>
          <cell r="H527" t="str">
            <v>MEM series</v>
          </cell>
          <cell r="I527" t="str">
            <v>1G TEL OUTLET MASTER BLK</v>
          </cell>
        </row>
        <row r="528">
          <cell r="C528" t="str">
            <v>C360WH</v>
          </cell>
          <cell r="D528">
            <v>5</v>
          </cell>
          <cell r="E528">
            <v>1450</v>
          </cell>
          <cell r="F528" t="str">
            <v>Communication outlets</v>
          </cell>
          <cell r="G528" t="str">
            <v>COPA Wiring Accessories</v>
          </cell>
          <cell r="H528" t="str">
            <v>MEM series</v>
          </cell>
          <cell r="I528" t="str">
            <v>1G TEL OUTLET MASTER</v>
          </cell>
        </row>
        <row r="529">
          <cell r="C529" t="str">
            <v>C361</v>
          </cell>
          <cell r="D529">
            <v>5</v>
          </cell>
          <cell r="E529">
            <v>1450</v>
          </cell>
          <cell r="F529" t="str">
            <v>Communication outlets</v>
          </cell>
          <cell r="G529" t="str">
            <v>COPA Wiring Accessories</v>
          </cell>
          <cell r="H529" t="str">
            <v>MEM series</v>
          </cell>
          <cell r="I529" t="str">
            <v>1G TEL OUT SECONDARY</v>
          </cell>
        </row>
        <row r="530">
          <cell r="C530" t="str">
            <v>C361B</v>
          </cell>
          <cell r="D530">
            <v>5</v>
          </cell>
          <cell r="E530">
            <v>1450</v>
          </cell>
          <cell r="F530" t="str">
            <v>Communication outlets</v>
          </cell>
          <cell r="G530" t="str">
            <v>COPA Wiring Accessories</v>
          </cell>
          <cell r="H530" t="str">
            <v>MEM series</v>
          </cell>
          <cell r="I530" t="str">
            <v>1G TEL OUT SECONDARY BLK</v>
          </cell>
        </row>
        <row r="531">
          <cell r="C531" t="str">
            <v>C361WH</v>
          </cell>
          <cell r="D531">
            <v>5</v>
          </cell>
          <cell r="E531">
            <v>1450</v>
          </cell>
          <cell r="F531" t="str">
            <v>Communication outlets</v>
          </cell>
          <cell r="G531" t="str">
            <v>COPA Wiring Accessories</v>
          </cell>
          <cell r="H531" t="str">
            <v>MEM series</v>
          </cell>
          <cell r="I531" t="str">
            <v>1G TEL OUT SECONDARY</v>
          </cell>
        </row>
        <row r="532">
          <cell r="C532" t="str">
            <v>C362</v>
          </cell>
          <cell r="D532">
            <v>5</v>
          </cell>
          <cell r="E532">
            <v>1450</v>
          </cell>
          <cell r="F532" t="str">
            <v>Communication outlets</v>
          </cell>
          <cell r="G532" t="str">
            <v>COPA Wiring Accessories</v>
          </cell>
          <cell r="H532" t="str">
            <v>MEM series</v>
          </cell>
          <cell r="I532" t="str">
            <v>1G AMERICAN TEL OUTLET</v>
          </cell>
        </row>
        <row r="533">
          <cell r="C533" t="str">
            <v>C362B</v>
          </cell>
          <cell r="D533">
            <v>5</v>
          </cell>
          <cell r="E533">
            <v>1450</v>
          </cell>
          <cell r="F533" t="str">
            <v>Communication outlets</v>
          </cell>
          <cell r="G533" t="str">
            <v>COPA Wiring Accessories</v>
          </cell>
          <cell r="H533" t="str">
            <v>MEM series</v>
          </cell>
          <cell r="I533" t="str">
            <v>1G AMERICAN TEL OUTLET BLK</v>
          </cell>
        </row>
        <row r="534">
          <cell r="C534" t="str">
            <v>C362WH</v>
          </cell>
          <cell r="D534">
            <v>5</v>
          </cell>
          <cell r="E534">
            <v>1450</v>
          </cell>
          <cell r="F534" t="str">
            <v>Communication outlets</v>
          </cell>
          <cell r="G534" t="str">
            <v>COPA Wiring Accessories</v>
          </cell>
          <cell r="H534" t="str">
            <v>MEM series</v>
          </cell>
          <cell r="I534" t="str">
            <v>1G AMERICAN TEL OUTLET</v>
          </cell>
        </row>
        <row r="535">
          <cell r="C535" t="str">
            <v>C363</v>
          </cell>
          <cell r="D535">
            <v>5</v>
          </cell>
          <cell r="E535">
            <v>1450</v>
          </cell>
          <cell r="F535" t="str">
            <v>Communication outlets</v>
          </cell>
          <cell r="G535" t="str">
            <v>COPA Wiring Accessories</v>
          </cell>
          <cell r="H535" t="str">
            <v>MEM series</v>
          </cell>
          <cell r="I535" t="str">
            <v>1G RJ45 CAT 6 OUTLET INTERIOR</v>
          </cell>
        </row>
        <row r="536">
          <cell r="C536" t="str">
            <v>C363B</v>
          </cell>
          <cell r="D536">
            <v>5</v>
          </cell>
          <cell r="E536">
            <v>1450</v>
          </cell>
          <cell r="F536" t="str">
            <v>Communication outlets</v>
          </cell>
          <cell r="G536" t="str">
            <v>COPA Wiring Accessories</v>
          </cell>
          <cell r="H536" t="str">
            <v>MEM series</v>
          </cell>
          <cell r="I536" t="str">
            <v>1G RJ45 CAT 6 OUTLET INTERIOR</v>
          </cell>
        </row>
        <row r="537">
          <cell r="C537" t="str">
            <v>C363WH</v>
          </cell>
          <cell r="D537">
            <v>5</v>
          </cell>
          <cell r="E537">
            <v>1450</v>
          </cell>
          <cell r="F537" t="str">
            <v>Communication outlets</v>
          </cell>
          <cell r="G537" t="str">
            <v>COPA Wiring Accessories</v>
          </cell>
          <cell r="H537" t="str">
            <v>MEM series</v>
          </cell>
          <cell r="I537" t="str">
            <v>1G RJ45 CAT 6 OUTLET CW COVER</v>
          </cell>
        </row>
        <row r="538">
          <cell r="C538" t="str">
            <v>C351</v>
          </cell>
          <cell r="D538">
            <v>5</v>
          </cell>
          <cell r="E538">
            <v>1500</v>
          </cell>
          <cell r="F538" t="str">
            <v>Communication outlets</v>
          </cell>
          <cell r="G538" t="str">
            <v>COPA Wiring Accessories</v>
          </cell>
          <cell r="H538" t="str">
            <v>MEM series</v>
          </cell>
          <cell r="I538" t="str">
            <v>1G TV CO-AX OUTLET</v>
          </cell>
        </row>
        <row r="539">
          <cell r="C539" t="str">
            <v>C351B</v>
          </cell>
          <cell r="D539">
            <v>5</v>
          </cell>
          <cell r="E539">
            <v>1500</v>
          </cell>
          <cell r="F539" t="str">
            <v>Communication outlets</v>
          </cell>
          <cell r="G539" t="str">
            <v>COPA Wiring Accessories</v>
          </cell>
          <cell r="H539" t="str">
            <v>MEM series</v>
          </cell>
          <cell r="I539" t="str">
            <v>1G TV CO-AX OUTLET BLK</v>
          </cell>
        </row>
        <row r="540">
          <cell r="C540" t="str">
            <v>C351WH</v>
          </cell>
          <cell r="D540">
            <v>5</v>
          </cell>
          <cell r="E540">
            <v>1500</v>
          </cell>
          <cell r="F540" t="str">
            <v>Communication outlets</v>
          </cell>
          <cell r="G540" t="str">
            <v>COPA Wiring Accessories</v>
          </cell>
          <cell r="H540" t="str">
            <v>MEM series</v>
          </cell>
          <cell r="I540" t="str">
            <v>1G TV CO-AX OUTLET</v>
          </cell>
        </row>
        <row r="541">
          <cell r="C541" t="str">
            <v>C352</v>
          </cell>
          <cell r="D541">
            <v>5</v>
          </cell>
          <cell r="E541">
            <v>1500</v>
          </cell>
          <cell r="F541" t="str">
            <v>Communication outlets</v>
          </cell>
          <cell r="G541" t="str">
            <v>COPA Wiring Accessories</v>
          </cell>
          <cell r="H541" t="str">
            <v>MEM series</v>
          </cell>
          <cell r="I541" t="str">
            <v>2G TV CO-AX OUTLET</v>
          </cell>
        </row>
        <row r="542">
          <cell r="C542" t="str">
            <v>C352B</v>
          </cell>
          <cell r="D542">
            <v>5</v>
          </cell>
          <cell r="E542">
            <v>1500</v>
          </cell>
          <cell r="F542" t="str">
            <v>Communication outlets</v>
          </cell>
          <cell r="G542" t="str">
            <v>COPA Wiring Accessories</v>
          </cell>
          <cell r="H542" t="str">
            <v>MEM series</v>
          </cell>
          <cell r="I542" t="str">
            <v>2G TV CO-AX OUTLET BLK</v>
          </cell>
        </row>
        <row r="543">
          <cell r="C543" t="str">
            <v>C352WH</v>
          </cell>
          <cell r="D543">
            <v>5</v>
          </cell>
          <cell r="E543">
            <v>1500</v>
          </cell>
          <cell r="F543" t="str">
            <v>Communication outlets</v>
          </cell>
          <cell r="G543" t="str">
            <v>COPA Wiring Accessories</v>
          </cell>
          <cell r="H543" t="str">
            <v>MEM series</v>
          </cell>
          <cell r="I543" t="str">
            <v>2G TV CO-AX OUTLET</v>
          </cell>
        </row>
        <row r="544">
          <cell r="C544" t="str">
            <v>C353</v>
          </cell>
          <cell r="D544">
            <v>5</v>
          </cell>
          <cell r="E544">
            <v>1500</v>
          </cell>
          <cell r="F544" t="str">
            <v>Communication outlets</v>
          </cell>
          <cell r="G544" t="str">
            <v>COPA Wiring Accessories</v>
          </cell>
          <cell r="H544" t="str">
            <v>MEM series</v>
          </cell>
          <cell r="I544" t="str">
            <v>1G TV FM ISO CO-AX OUTLET</v>
          </cell>
        </row>
        <row r="545">
          <cell r="C545" t="str">
            <v>C353B</v>
          </cell>
          <cell r="D545">
            <v>5</v>
          </cell>
          <cell r="E545">
            <v>1500</v>
          </cell>
          <cell r="F545" t="str">
            <v>Communication outlets</v>
          </cell>
          <cell r="G545" t="str">
            <v>COPA Wiring Accessories</v>
          </cell>
          <cell r="H545" t="str">
            <v>MEM series</v>
          </cell>
          <cell r="I545" t="str">
            <v>1G TV FM ISO CO-AX OUTLET BLK</v>
          </cell>
        </row>
        <row r="546">
          <cell r="C546" t="str">
            <v>C353WH</v>
          </cell>
          <cell r="D546">
            <v>5</v>
          </cell>
          <cell r="E546">
            <v>1500</v>
          </cell>
          <cell r="F546" t="str">
            <v>Communication outlets</v>
          </cell>
          <cell r="G546" t="str">
            <v>COPA Wiring Accessories</v>
          </cell>
          <cell r="H546" t="str">
            <v>MEM series</v>
          </cell>
          <cell r="I546" t="str">
            <v>1G TV FM ISO CO-AX OUTLET</v>
          </cell>
        </row>
        <row r="547">
          <cell r="C547" t="str">
            <v>C354</v>
          </cell>
          <cell r="D547">
            <v>5</v>
          </cell>
          <cell r="E547">
            <v>1500</v>
          </cell>
          <cell r="F547" t="str">
            <v>Communication outlets</v>
          </cell>
          <cell r="G547" t="str">
            <v>COPA Wiring Accessories</v>
          </cell>
          <cell r="H547" t="str">
            <v>MEM series</v>
          </cell>
          <cell r="I547" t="str">
            <v>2G TV FM DIPLEX CO-AX OUTLET</v>
          </cell>
        </row>
        <row r="548">
          <cell r="C548" t="str">
            <v>C354B</v>
          </cell>
          <cell r="D548">
            <v>5</v>
          </cell>
          <cell r="E548">
            <v>1500</v>
          </cell>
          <cell r="F548" t="str">
            <v>Communication outlets</v>
          </cell>
          <cell r="G548" t="str">
            <v>COPA Wiring Accessories</v>
          </cell>
          <cell r="H548" t="str">
            <v>MEM series</v>
          </cell>
          <cell r="I548" t="str">
            <v>2G TV FM DIPLEX CO-AX OUTLET B</v>
          </cell>
        </row>
        <row r="549">
          <cell r="C549" t="str">
            <v>C354WH</v>
          </cell>
          <cell r="D549">
            <v>5</v>
          </cell>
          <cell r="E549">
            <v>1500</v>
          </cell>
          <cell r="F549" t="str">
            <v>Communication outlets</v>
          </cell>
          <cell r="G549" t="str">
            <v>COPA Wiring Accessories</v>
          </cell>
          <cell r="H549" t="str">
            <v>MEM series</v>
          </cell>
          <cell r="I549" t="str">
            <v>1G TV FM ISO CO-AX OUTLET</v>
          </cell>
        </row>
        <row r="550">
          <cell r="C550" t="str">
            <v>C355</v>
          </cell>
          <cell r="D550">
            <v>5</v>
          </cell>
          <cell r="E550">
            <v>1500</v>
          </cell>
          <cell r="F550" t="str">
            <v>Communication outlets</v>
          </cell>
          <cell r="G550" t="str">
            <v>COPA Wiring Accessories</v>
          </cell>
          <cell r="H550" t="str">
            <v>MEM series</v>
          </cell>
          <cell r="I550" t="str">
            <v>1G SAT OUTLET</v>
          </cell>
        </row>
        <row r="551">
          <cell r="C551" t="str">
            <v>C355B</v>
          </cell>
          <cell r="D551">
            <v>5</v>
          </cell>
          <cell r="E551">
            <v>1500</v>
          </cell>
          <cell r="F551" t="str">
            <v>Communication outlets</v>
          </cell>
          <cell r="G551" t="str">
            <v>COPA Wiring Accessories</v>
          </cell>
          <cell r="H551" t="str">
            <v>MEM series</v>
          </cell>
          <cell r="I551" t="str">
            <v>1G SAT OUTLET BLK</v>
          </cell>
        </row>
        <row r="552">
          <cell r="C552" t="str">
            <v>C355WH</v>
          </cell>
          <cell r="D552">
            <v>5</v>
          </cell>
          <cell r="E552">
            <v>1500</v>
          </cell>
          <cell r="F552" t="str">
            <v>Communication outlets</v>
          </cell>
          <cell r="G552" t="str">
            <v>COPA Wiring Accessories</v>
          </cell>
          <cell r="H552" t="str">
            <v>MEM series</v>
          </cell>
          <cell r="I552" t="str">
            <v>1G SAT OUTLET</v>
          </cell>
        </row>
        <row r="553">
          <cell r="C553" t="str">
            <v>C356</v>
          </cell>
          <cell r="D553">
            <v>5</v>
          </cell>
          <cell r="E553">
            <v>1500</v>
          </cell>
          <cell r="F553" t="str">
            <v>Communication outlets</v>
          </cell>
          <cell r="G553" t="str">
            <v>COPA Wiring Accessories</v>
          </cell>
          <cell r="H553" t="str">
            <v>MEM series</v>
          </cell>
          <cell r="I553" t="str">
            <v>2G TV SAT OUTLET</v>
          </cell>
        </row>
        <row r="554">
          <cell r="C554" t="str">
            <v>C356B</v>
          </cell>
          <cell r="D554">
            <v>5</v>
          </cell>
          <cell r="E554">
            <v>1500</v>
          </cell>
          <cell r="F554" t="str">
            <v>Communication outlets</v>
          </cell>
          <cell r="G554" t="str">
            <v>COPA Wiring Accessories</v>
          </cell>
          <cell r="H554" t="str">
            <v>MEM series</v>
          </cell>
          <cell r="I554" t="str">
            <v>2G TV SAT OUTLET BLK</v>
          </cell>
        </row>
        <row r="555">
          <cell r="C555" t="str">
            <v>C356WH</v>
          </cell>
          <cell r="D555">
            <v>5</v>
          </cell>
          <cell r="E555">
            <v>1500</v>
          </cell>
          <cell r="F555" t="str">
            <v>Communication outlets</v>
          </cell>
          <cell r="G555" t="str">
            <v>COPA Wiring Accessories</v>
          </cell>
          <cell r="H555" t="str">
            <v>MEM series</v>
          </cell>
          <cell r="I555" t="str">
            <v>2G TV SAT OUTLET</v>
          </cell>
        </row>
        <row r="556">
          <cell r="C556" t="str">
            <v>C359</v>
          </cell>
          <cell r="D556">
            <v>5</v>
          </cell>
          <cell r="E556">
            <v>1500</v>
          </cell>
          <cell r="F556" t="str">
            <v>Communication outlets</v>
          </cell>
          <cell r="G556" t="str">
            <v>COPA Wiring Accessories</v>
          </cell>
          <cell r="H556" t="str">
            <v>MEM series</v>
          </cell>
          <cell r="I556" t="str">
            <v>1G TV RAD SAT RET OUTLET</v>
          </cell>
        </row>
        <row r="557">
          <cell r="C557" t="str">
            <v>C359B</v>
          </cell>
          <cell r="D557">
            <v>5</v>
          </cell>
          <cell r="E557">
            <v>1500</v>
          </cell>
          <cell r="F557" t="str">
            <v>Communication outlets</v>
          </cell>
          <cell r="G557" t="str">
            <v>COPA Wiring Accessories</v>
          </cell>
          <cell r="H557" t="str">
            <v>MEM series</v>
          </cell>
          <cell r="I557" t="str">
            <v>1G TV RAD SAT RET OUTLET BLK</v>
          </cell>
        </row>
        <row r="558">
          <cell r="C558" t="str">
            <v>C359WH</v>
          </cell>
          <cell r="D558">
            <v>5</v>
          </cell>
          <cell r="E558">
            <v>1500</v>
          </cell>
          <cell r="F558" t="str">
            <v>Communication outlets</v>
          </cell>
          <cell r="G558" t="str">
            <v>COPA Wiring Accessories</v>
          </cell>
          <cell r="H558" t="str">
            <v>MEM series</v>
          </cell>
          <cell r="I558" t="str">
            <v>1G TV RAD SAT RET OUTLET COVER</v>
          </cell>
        </row>
        <row r="559">
          <cell r="C559" t="str">
            <v>C901</v>
          </cell>
          <cell r="D559">
            <v>5</v>
          </cell>
          <cell r="E559">
            <v>1600</v>
          </cell>
          <cell r="F559" t="str">
            <v>Premera modular plates / Grids</v>
          </cell>
          <cell r="G559" t="str">
            <v>COPA Wiring Accessories</v>
          </cell>
          <cell r="H559" t="str">
            <v>MEM series</v>
          </cell>
          <cell r="I559" t="str">
            <v>1 MODULE</v>
          </cell>
        </row>
        <row r="560">
          <cell r="C560" t="str">
            <v>C901B</v>
          </cell>
          <cell r="D560">
            <v>5</v>
          </cell>
          <cell r="E560">
            <v>1600</v>
          </cell>
          <cell r="F560" t="str">
            <v>Premera modular plates / Grids</v>
          </cell>
          <cell r="G560" t="str">
            <v>COPA Wiring Accessories</v>
          </cell>
          <cell r="H560" t="str">
            <v>MEM series</v>
          </cell>
          <cell r="I560" t="str">
            <v>1 MODULE</v>
          </cell>
        </row>
        <row r="561">
          <cell r="C561" t="str">
            <v>C901WH</v>
          </cell>
          <cell r="D561">
            <v>5</v>
          </cell>
          <cell r="E561">
            <v>1600</v>
          </cell>
          <cell r="F561" t="str">
            <v>Premera modular plates / Grids</v>
          </cell>
          <cell r="G561" t="str">
            <v>COPA Wiring Accessories</v>
          </cell>
          <cell r="H561" t="str">
            <v>MEM series</v>
          </cell>
          <cell r="I561" t="str">
            <v>1 MODULE</v>
          </cell>
        </row>
        <row r="562">
          <cell r="C562" t="str">
            <v>C902</v>
          </cell>
          <cell r="D562">
            <v>5</v>
          </cell>
          <cell r="E562">
            <v>1600</v>
          </cell>
          <cell r="F562" t="str">
            <v>Premera modular plates / Grids</v>
          </cell>
          <cell r="G562" t="str">
            <v>COPA Wiring Accessories</v>
          </cell>
          <cell r="H562" t="str">
            <v>MEM series</v>
          </cell>
          <cell r="I562" t="str">
            <v>2 MODULE</v>
          </cell>
        </row>
        <row r="563">
          <cell r="C563" t="str">
            <v>C902B</v>
          </cell>
          <cell r="D563">
            <v>5</v>
          </cell>
          <cell r="E563">
            <v>1600</v>
          </cell>
          <cell r="F563" t="str">
            <v>Premera modular plates / Grids</v>
          </cell>
          <cell r="G563" t="str">
            <v>COPA Wiring Accessories</v>
          </cell>
          <cell r="H563" t="str">
            <v>MEM series</v>
          </cell>
          <cell r="I563" t="str">
            <v>2 MODULE</v>
          </cell>
        </row>
        <row r="564">
          <cell r="C564" t="str">
            <v>C902WH</v>
          </cell>
          <cell r="D564">
            <v>5</v>
          </cell>
          <cell r="E564">
            <v>1600</v>
          </cell>
          <cell r="F564" t="str">
            <v>Premera modular plates / Grids</v>
          </cell>
          <cell r="G564" t="str">
            <v>COPA Wiring Accessories</v>
          </cell>
          <cell r="H564" t="str">
            <v>MEM series</v>
          </cell>
          <cell r="I564" t="str">
            <v>2 MODULE</v>
          </cell>
        </row>
        <row r="565">
          <cell r="C565" t="str">
            <v>C903</v>
          </cell>
          <cell r="D565">
            <v>5</v>
          </cell>
          <cell r="E565">
            <v>1600</v>
          </cell>
          <cell r="F565" t="str">
            <v>Premera modular plates / Grids</v>
          </cell>
          <cell r="G565" t="str">
            <v>COPA Wiring Accessories</v>
          </cell>
          <cell r="H565" t="str">
            <v>MEM series</v>
          </cell>
          <cell r="I565" t="str">
            <v>3 MODULE</v>
          </cell>
        </row>
        <row r="566">
          <cell r="C566" t="str">
            <v>C903B</v>
          </cell>
          <cell r="D566">
            <v>5</v>
          </cell>
          <cell r="E566">
            <v>1600</v>
          </cell>
          <cell r="F566" t="str">
            <v>Premera modular plates / Grids</v>
          </cell>
          <cell r="G566" t="str">
            <v>COPA Wiring Accessories</v>
          </cell>
          <cell r="H566" t="str">
            <v>MEM series</v>
          </cell>
          <cell r="I566" t="str">
            <v>3 MODULE</v>
          </cell>
        </row>
        <row r="567">
          <cell r="C567" t="str">
            <v>C903WH</v>
          </cell>
          <cell r="D567">
            <v>5</v>
          </cell>
          <cell r="E567">
            <v>1600</v>
          </cell>
          <cell r="F567" t="str">
            <v>Premera modular plates / Grids</v>
          </cell>
          <cell r="G567" t="str">
            <v>COPA Wiring Accessories</v>
          </cell>
          <cell r="H567" t="str">
            <v>MEM series</v>
          </cell>
          <cell r="I567" t="str">
            <v>3 MODULE</v>
          </cell>
        </row>
        <row r="568">
          <cell r="C568" t="str">
            <v>C904</v>
          </cell>
          <cell r="D568">
            <v>5</v>
          </cell>
          <cell r="E568">
            <v>1600</v>
          </cell>
          <cell r="F568" t="str">
            <v>Premera modular plates / Grids</v>
          </cell>
          <cell r="G568" t="str">
            <v>COPA Wiring Accessories</v>
          </cell>
          <cell r="H568" t="str">
            <v>MEM series</v>
          </cell>
          <cell r="I568" t="str">
            <v>4 MODULE</v>
          </cell>
        </row>
        <row r="569">
          <cell r="C569" t="str">
            <v>C904B</v>
          </cell>
          <cell r="D569">
            <v>5</v>
          </cell>
          <cell r="E569">
            <v>1600</v>
          </cell>
          <cell r="F569" t="str">
            <v>Premera modular plates / Grids</v>
          </cell>
          <cell r="G569" t="str">
            <v>COPA Wiring Accessories</v>
          </cell>
          <cell r="H569" t="str">
            <v>MEM series</v>
          </cell>
          <cell r="I569" t="str">
            <v>4 MODULE</v>
          </cell>
        </row>
        <row r="570">
          <cell r="C570" t="str">
            <v>C904WH</v>
          </cell>
          <cell r="D570">
            <v>5</v>
          </cell>
          <cell r="E570">
            <v>1600</v>
          </cell>
          <cell r="F570" t="str">
            <v>Premera modular plates / Grids</v>
          </cell>
          <cell r="G570" t="str">
            <v>COPA Wiring Accessories</v>
          </cell>
          <cell r="H570" t="str">
            <v>MEM series</v>
          </cell>
          <cell r="I570" t="str">
            <v>4 MODULE</v>
          </cell>
        </row>
        <row r="571">
          <cell r="C571" t="str">
            <v>C906</v>
          </cell>
          <cell r="D571">
            <v>5</v>
          </cell>
          <cell r="E571">
            <v>1600</v>
          </cell>
          <cell r="F571" t="str">
            <v>Premera modular plates / Grids</v>
          </cell>
          <cell r="G571" t="str">
            <v>COPA Wiring Accessories</v>
          </cell>
          <cell r="H571" t="str">
            <v>MEM series</v>
          </cell>
          <cell r="I571" t="str">
            <v>6 MODULE INTERIOR WITH FRAME (2 BANKS)</v>
          </cell>
        </row>
        <row r="572">
          <cell r="C572" t="str">
            <v>C906B</v>
          </cell>
          <cell r="D572">
            <v>5</v>
          </cell>
          <cell r="E572">
            <v>1600</v>
          </cell>
          <cell r="F572" t="str">
            <v>Premera modular plates / Grids</v>
          </cell>
          <cell r="G572" t="str">
            <v>COPA Wiring Accessories</v>
          </cell>
          <cell r="H572" t="str">
            <v>MEM series</v>
          </cell>
          <cell r="I572" t="str">
            <v>6 MODULE INTERIOR WITH FRAME (2 BANKS)</v>
          </cell>
        </row>
        <row r="573">
          <cell r="C573" t="str">
            <v>C908</v>
          </cell>
          <cell r="D573">
            <v>5</v>
          </cell>
          <cell r="E573">
            <v>1600</v>
          </cell>
          <cell r="F573" t="str">
            <v>Premera modular plates / Grids</v>
          </cell>
          <cell r="G573" t="str">
            <v>COPA Wiring Accessories</v>
          </cell>
          <cell r="H573" t="str">
            <v>MEM series</v>
          </cell>
          <cell r="I573" t="str">
            <v>8 MODULE INTERIOR WITH FRAME (2 BANKS)</v>
          </cell>
        </row>
        <row r="574">
          <cell r="C574" t="str">
            <v>C908B</v>
          </cell>
          <cell r="D574">
            <v>5</v>
          </cell>
          <cell r="E574">
            <v>1600</v>
          </cell>
          <cell r="F574" t="str">
            <v>Premera modular plates / Grids</v>
          </cell>
          <cell r="G574" t="str">
            <v>COPA Wiring Accessories</v>
          </cell>
          <cell r="H574" t="str">
            <v>MEM series</v>
          </cell>
          <cell r="I574" t="str">
            <v>8 MODULE INTERIOR WITH FRAME (2 BANKS)</v>
          </cell>
        </row>
        <row r="575">
          <cell r="C575" t="str">
            <v>C912</v>
          </cell>
          <cell r="D575">
            <v>5</v>
          </cell>
          <cell r="E575">
            <v>1600</v>
          </cell>
          <cell r="F575" t="str">
            <v>Premera modular plates / Grids</v>
          </cell>
          <cell r="G575" t="str">
            <v>COPA Wiring Accessories</v>
          </cell>
          <cell r="H575" t="str">
            <v>MEM series</v>
          </cell>
          <cell r="I575" t="str">
            <v>12 MODULE INTERIOR WITH FRAME (3 BANKS)</v>
          </cell>
        </row>
        <row r="576">
          <cell r="C576" t="str">
            <v>C912B</v>
          </cell>
          <cell r="D576">
            <v>5</v>
          </cell>
          <cell r="E576">
            <v>1600</v>
          </cell>
          <cell r="F576" t="str">
            <v>Premera modular plates / Grids</v>
          </cell>
          <cell r="G576" t="str">
            <v>COPA Wiring Accessories</v>
          </cell>
          <cell r="H576" t="str">
            <v>MEM series</v>
          </cell>
          <cell r="I576" t="str">
            <v>12 MODULE INTERIOR WITH FRAME (3 BANKS)</v>
          </cell>
        </row>
        <row r="577">
          <cell r="C577" t="str">
            <v>C918</v>
          </cell>
          <cell r="D577">
            <v>5</v>
          </cell>
          <cell r="E577">
            <v>1600</v>
          </cell>
          <cell r="F577" t="str">
            <v>Premera modular plates / Grids</v>
          </cell>
          <cell r="G577" t="str">
            <v>COPA Wiring Accessories</v>
          </cell>
          <cell r="H577" t="str">
            <v>MEM series</v>
          </cell>
          <cell r="I577" t="str">
            <v>18 MODULE INTERIOR WITH FRAME (3 BANKS)</v>
          </cell>
        </row>
        <row r="578">
          <cell r="C578" t="str">
            <v>C918B</v>
          </cell>
          <cell r="D578">
            <v>5</v>
          </cell>
          <cell r="E578">
            <v>1600</v>
          </cell>
          <cell r="F578" t="str">
            <v>Premera modular plates / Grids</v>
          </cell>
          <cell r="G578" t="str">
            <v>COPA Wiring Accessories</v>
          </cell>
          <cell r="H578" t="str">
            <v>MEM series</v>
          </cell>
          <cell r="I578" t="str">
            <v>18 MODULE INTERIOR WITH FRAME (3 BANKS)</v>
          </cell>
        </row>
        <row r="579">
          <cell r="C579" t="str">
            <v>C924</v>
          </cell>
          <cell r="D579">
            <v>5</v>
          </cell>
          <cell r="E579">
            <v>1600</v>
          </cell>
          <cell r="F579" t="str">
            <v>Premera modular plates / Grids</v>
          </cell>
          <cell r="G579" t="str">
            <v>COPA Wiring Accessories</v>
          </cell>
          <cell r="H579" t="str">
            <v>MEM series</v>
          </cell>
          <cell r="I579" t="str">
            <v>24 MODULE INTERIOR WITH FRAME (4 BANKS)</v>
          </cell>
        </row>
        <row r="580">
          <cell r="C580" t="str">
            <v>C924B</v>
          </cell>
          <cell r="D580">
            <v>5</v>
          </cell>
          <cell r="E580">
            <v>1600</v>
          </cell>
          <cell r="F580" t="str">
            <v>Premera modular plates / Grids</v>
          </cell>
          <cell r="G580" t="str">
            <v>COPA Wiring Accessories</v>
          </cell>
          <cell r="H580" t="str">
            <v>MEM series</v>
          </cell>
          <cell r="I580" t="str">
            <v>24 MODULE INTERIOR WITH FRAME (4 BANKS)</v>
          </cell>
        </row>
        <row r="581">
          <cell r="C581" t="str">
            <v>CP011BL</v>
          </cell>
          <cell r="D581">
            <v>5</v>
          </cell>
          <cell r="E581">
            <v>2400</v>
          </cell>
          <cell r="F581" t="str">
            <v>Plastic Clip on plates</v>
          </cell>
          <cell r="G581" t="str">
            <v>COPA Wiring Accessories</v>
          </cell>
          <cell r="H581" t="str">
            <v>MEM series</v>
          </cell>
          <cell r="I581" t="str">
            <v>BL CVR FOR C011 C017 C021 C461</v>
          </cell>
        </row>
        <row r="582">
          <cell r="C582" t="str">
            <v>CP011BM</v>
          </cell>
          <cell r="D582">
            <v>5</v>
          </cell>
          <cell r="E582">
            <v>2400</v>
          </cell>
          <cell r="F582" t="str">
            <v>Plastic Clip on plates</v>
          </cell>
          <cell r="G582" t="str">
            <v>COPA Wiring Accessories</v>
          </cell>
          <cell r="H582" t="str">
            <v>MEM series</v>
          </cell>
          <cell r="I582" t="str">
            <v>BK CVR FOR C011 C017 C021 C461</v>
          </cell>
        </row>
        <row r="583">
          <cell r="C583" t="str">
            <v>CP011GL</v>
          </cell>
          <cell r="D583">
            <v>5</v>
          </cell>
          <cell r="E583">
            <v>2400</v>
          </cell>
          <cell r="F583" t="str">
            <v>Plastic Clip on plates</v>
          </cell>
          <cell r="G583" t="str">
            <v>COPA Wiring Accessories</v>
          </cell>
          <cell r="H583" t="str">
            <v>MEM series</v>
          </cell>
          <cell r="I583" t="str">
            <v>GL CVR FOR C011 C017 C021 C461</v>
          </cell>
        </row>
        <row r="584">
          <cell r="C584" t="str">
            <v>CP011GY</v>
          </cell>
          <cell r="D584">
            <v>5</v>
          </cell>
          <cell r="E584">
            <v>2400</v>
          </cell>
          <cell r="F584" t="str">
            <v>Plastic Clip on plates</v>
          </cell>
          <cell r="G584" t="str">
            <v>COPA Wiring Accessories</v>
          </cell>
          <cell r="H584" t="str">
            <v>MEM series</v>
          </cell>
          <cell r="I584" t="str">
            <v>GY CVR FOR C011 C017 C021 C461</v>
          </cell>
        </row>
        <row r="585">
          <cell r="C585" t="str">
            <v>CP011SV</v>
          </cell>
          <cell r="D585">
            <v>5</v>
          </cell>
          <cell r="E585">
            <v>2400</v>
          </cell>
          <cell r="F585" t="str">
            <v>Plastic Clip on plates</v>
          </cell>
          <cell r="G585" t="str">
            <v>COPA Wiring Accessories</v>
          </cell>
          <cell r="H585" t="str">
            <v>MEM series</v>
          </cell>
          <cell r="I585" t="str">
            <v>SV CVR FOR C011 C017 C021 C461</v>
          </cell>
        </row>
        <row r="586">
          <cell r="C586" t="str">
            <v>CP011WH</v>
          </cell>
          <cell r="D586">
            <v>5</v>
          </cell>
          <cell r="E586">
            <v>2400</v>
          </cell>
          <cell r="F586" t="str">
            <v>Plastic Clip on plates</v>
          </cell>
          <cell r="G586" t="str">
            <v>COPA Wiring Accessories</v>
          </cell>
          <cell r="H586" t="str">
            <v>MEM series</v>
          </cell>
          <cell r="I586" t="str">
            <v>WH CVR FOR C011 C017 C021 C461</v>
          </cell>
        </row>
        <row r="587">
          <cell r="C587" t="str">
            <v>CP012BL</v>
          </cell>
          <cell r="D587">
            <v>5</v>
          </cell>
          <cell r="E587">
            <v>2400</v>
          </cell>
          <cell r="F587" t="str">
            <v>Plastic Clip on plates</v>
          </cell>
          <cell r="G587" t="str">
            <v>COPA Wiring Accessories</v>
          </cell>
          <cell r="H587" t="str">
            <v>MEM series</v>
          </cell>
          <cell r="I587" t="str">
            <v>BLUE COVER FOR C012  C022</v>
          </cell>
        </row>
        <row r="588">
          <cell r="C588" t="str">
            <v>CP012BM</v>
          </cell>
          <cell r="D588">
            <v>5</v>
          </cell>
          <cell r="E588">
            <v>2400</v>
          </cell>
          <cell r="F588" t="str">
            <v>Plastic Clip on plates</v>
          </cell>
          <cell r="G588" t="str">
            <v>COPA Wiring Accessories</v>
          </cell>
          <cell r="H588" t="str">
            <v>MEM series</v>
          </cell>
          <cell r="I588" t="str">
            <v>BLACK COVER FOR C012  C022</v>
          </cell>
        </row>
        <row r="589">
          <cell r="C589" t="str">
            <v>CP012GL</v>
          </cell>
          <cell r="D589">
            <v>5</v>
          </cell>
          <cell r="E589">
            <v>2400</v>
          </cell>
          <cell r="F589" t="str">
            <v>Plastic Clip on plates</v>
          </cell>
          <cell r="G589" t="str">
            <v>COPA Wiring Accessories</v>
          </cell>
          <cell r="H589" t="str">
            <v>MEM series</v>
          </cell>
          <cell r="I589" t="str">
            <v>GOLD COVER FOR C012  C022</v>
          </cell>
        </row>
        <row r="590">
          <cell r="C590" t="str">
            <v>CP012GY</v>
          </cell>
          <cell r="D590">
            <v>5</v>
          </cell>
          <cell r="E590">
            <v>2400</v>
          </cell>
          <cell r="F590" t="str">
            <v>Plastic Clip on plates</v>
          </cell>
          <cell r="G590" t="str">
            <v>COPA Wiring Accessories</v>
          </cell>
          <cell r="H590" t="str">
            <v>MEM series</v>
          </cell>
          <cell r="I590" t="str">
            <v>GY COVER FOR C012  C022</v>
          </cell>
        </row>
        <row r="591">
          <cell r="C591" t="str">
            <v>CP012SV</v>
          </cell>
          <cell r="D591">
            <v>5</v>
          </cell>
          <cell r="E591">
            <v>2400</v>
          </cell>
          <cell r="F591" t="str">
            <v>Plastic Clip on plates</v>
          </cell>
          <cell r="G591" t="str">
            <v>COPA Wiring Accessories</v>
          </cell>
          <cell r="H591" t="str">
            <v>MEM series</v>
          </cell>
          <cell r="I591" t="str">
            <v>SILVER COVER FOR C012  C022</v>
          </cell>
        </row>
        <row r="592">
          <cell r="C592" t="str">
            <v>CP012WH</v>
          </cell>
          <cell r="D592">
            <v>5</v>
          </cell>
          <cell r="E592">
            <v>2400</v>
          </cell>
          <cell r="F592" t="str">
            <v>Plastic Clip on plates</v>
          </cell>
          <cell r="G592" t="str">
            <v>COPA Wiring Accessories</v>
          </cell>
          <cell r="H592" t="str">
            <v>MEM series</v>
          </cell>
          <cell r="I592" t="str">
            <v>WHITE COVER FOR C012  C022</v>
          </cell>
        </row>
        <row r="593">
          <cell r="C593" t="str">
            <v>CP013BL</v>
          </cell>
          <cell r="D593">
            <v>5</v>
          </cell>
          <cell r="E593">
            <v>2400</v>
          </cell>
          <cell r="F593" t="str">
            <v>Plastic Clip on plates</v>
          </cell>
          <cell r="G593" t="str">
            <v>COPA Wiring Accessories</v>
          </cell>
          <cell r="H593" t="str">
            <v>MEM series</v>
          </cell>
          <cell r="I593" t="str">
            <v>BL CV FOR C013/23 C032 C041/47</v>
          </cell>
        </row>
        <row r="594">
          <cell r="C594" t="str">
            <v>CP013BM</v>
          </cell>
          <cell r="D594">
            <v>5</v>
          </cell>
          <cell r="E594">
            <v>2400</v>
          </cell>
          <cell r="F594" t="str">
            <v>Plastic Clip on plates</v>
          </cell>
          <cell r="G594" t="str">
            <v>COPA Wiring Accessories</v>
          </cell>
          <cell r="H594" t="str">
            <v>MEM series</v>
          </cell>
          <cell r="I594" t="str">
            <v>BM CV FOR C013/23 C032 C041/47</v>
          </cell>
        </row>
        <row r="595">
          <cell r="C595" t="str">
            <v>CP013GL</v>
          </cell>
          <cell r="D595">
            <v>5</v>
          </cell>
          <cell r="E595">
            <v>2400</v>
          </cell>
          <cell r="F595" t="str">
            <v>Plastic Clip on plates</v>
          </cell>
          <cell r="G595" t="str">
            <v>COPA Wiring Accessories</v>
          </cell>
          <cell r="H595" t="str">
            <v>MEM series</v>
          </cell>
          <cell r="I595" t="str">
            <v>GL CV FOR C013/23 C032 C041/47</v>
          </cell>
        </row>
        <row r="596">
          <cell r="C596" t="str">
            <v>CP013GY</v>
          </cell>
          <cell r="D596">
            <v>5</v>
          </cell>
          <cell r="E596">
            <v>2400</v>
          </cell>
          <cell r="F596" t="str">
            <v>Plastic Clip on plates</v>
          </cell>
          <cell r="G596" t="str">
            <v>COPA Wiring Accessories</v>
          </cell>
          <cell r="H596" t="str">
            <v>MEM series</v>
          </cell>
          <cell r="I596" t="str">
            <v>GY CV FOR C013/23 C032 C041/47</v>
          </cell>
        </row>
        <row r="597">
          <cell r="C597" t="str">
            <v>CP013SV</v>
          </cell>
          <cell r="D597">
            <v>5</v>
          </cell>
          <cell r="E597">
            <v>2400</v>
          </cell>
          <cell r="F597" t="str">
            <v>Plastic Clip on plates</v>
          </cell>
          <cell r="G597" t="str">
            <v>COPA Wiring Accessories</v>
          </cell>
          <cell r="H597" t="str">
            <v>MEM series</v>
          </cell>
          <cell r="I597" t="str">
            <v>SV CV FOR C013/23 C032 C041/47</v>
          </cell>
        </row>
        <row r="598">
          <cell r="C598" t="str">
            <v>CP013WH</v>
          </cell>
          <cell r="D598">
            <v>5</v>
          </cell>
          <cell r="E598">
            <v>2400</v>
          </cell>
          <cell r="F598" t="str">
            <v>Plastic Clip on plates</v>
          </cell>
          <cell r="G598" t="str">
            <v>COPA Wiring Accessories</v>
          </cell>
          <cell r="H598" t="str">
            <v>MEM series</v>
          </cell>
          <cell r="I598" t="str">
            <v>WH CV FOR C013/23 C032 C041/47</v>
          </cell>
        </row>
        <row r="599">
          <cell r="C599" t="str">
            <v>CP014BL</v>
          </cell>
          <cell r="D599">
            <v>5</v>
          </cell>
          <cell r="E599">
            <v>2400</v>
          </cell>
          <cell r="F599" t="str">
            <v>Plastic Clip on plates</v>
          </cell>
          <cell r="G599" t="str">
            <v>COPA Wiring Accessories</v>
          </cell>
          <cell r="H599" t="str">
            <v>MEM series</v>
          </cell>
          <cell r="I599" t="str">
            <v>BLUE COVER FOR C014  C024</v>
          </cell>
        </row>
        <row r="600">
          <cell r="C600" t="str">
            <v>CP014BM</v>
          </cell>
          <cell r="D600">
            <v>5</v>
          </cell>
          <cell r="E600">
            <v>2400</v>
          </cell>
          <cell r="F600" t="str">
            <v>Plastic Clip on plates</v>
          </cell>
          <cell r="G600" t="str">
            <v>COPA Wiring Accessories</v>
          </cell>
          <cell r="H600" t="str">
            <v>MEM series</v>
          </cell>
          <cell r="I600" t="str">
            <v>BLACK COVER FOR C014  C024</v>
          </cell>
        </row>
        <row r="601">
          <cell r="C601" t="str">
            <v>CP014GL</v>
          </cell>
          <cell r="D601">
            <v>5</v>
          </cell>
          <cell r="E601">
            <v>2400</v>
          </cell>
          <cell r="F601" t="str">
            <v>Plastic Clip on plates</v>
          </cell>
          <cell r="G601" t="str">
            <v>COPA Wiring Accessories</v>
          </cell>
          <cell r="H601" t="str">
            <v>MEM series</v>
          </cell>
          <cell r="I601" t="str">
            <v>GOLD COVER FOR C014  C024</v>
          </cell>
        </row>
        <row r="602">
          <cell r="C602" t="str">
            <v>CP014GY</v>
          </cell>
          <cell r="D602">
            <v>5</v>
          </cell>
          <cell r="E602">
            <v>2400</v>
          </cell>
          <cell r="F602" t="str">
            <v>Plastic Clip on plates</v>
          </cell>
          <cell r="G602" t="str">
            <v>COPA Wiring Accessories</v>
          </cell>
          <cell r="H602" t="str">
            <v>MEM series</v>
          </cell>
          <cell r="I602" t="str">
            <v>GY CVR FOR C014 C024</v>
          </cell>
        </row>
        <row r="603">
          <cell r="C603" t="str">
            <v>CP014SV</v>
          </cell>
          <cell r="D603">
            <v>5</v>
          </cell>
          <cell r="E603">
            <v>2400</v>
          </cell>
          <cell r="F603" t="str">
            <v>Plastic Clip on plates</v>
          </cell>
          <cell r="G603" t="str">
            <v>COPA Wiring Accessories</v>
          </cell>
          <cell r="H603" t="str">
            <v>MEM series</v>
          </cell>
          <cell r="I603" t="str">
            <v>SILVER COVER FOR C014  C024</v>
          </cell>
        </row>
        <row r="604">
          <cell r="C604" t="str">
            <v>CP014WH</v>
          </cell>
          <cell r="D604">
            <v>5</v>
          </cell>
          <cell r="E604">
            <v>2400</v>
          </cell>
          <cell r="F604" t="str">
            <v>Plastic Clip on plates</v>
          </cell>
          <cell r="G604" t="str">
            <v>COPA Wiring Accessories</v>
          </cell>
          <cell r="H604" t="str">
            <v>MEM series</v>
          </cell>
          <cell r="I604" t="str">
            <v>WHITE COVER FOR C014  C024</v>
          </cell>
        </row>
        <row r="605">
          <cell r="C605" t="str">
            <v>CP015BL</v>
          </cell>
          <cell r="D605">
            <v>5</v>
          </cell>
          <cell r="E605">
            <v>2400</v>
          </cell>
          <cell r="F605" t="str">
            <v>Plastic Clip on plates</v>
          </cell>
          <cell r="G605" t="str">
            <v>COPA Wiring Accessories</v>
          </cell>
          <cell r="H605" t="str">
            <v>MEM series</v>
          </cell>
          <cell r="I605" t="str">
            <v>BL COVER FOR C015 BELL SYMBOL</v>
          </cell>
        </row>
        <row r="606">
          <cell r="C606" t="str">
            <v>CP015BM</v>
          </cell>
          <cell r="D606">
            <v>5</v>
          </cell>
          <cell r="E606">
            <v>2400</v>
          </cell>
          <cell r="F606" t="str">
            <v>Plastic Clip on plates</v>
          </cell>
          <cell r="G606" t="str">
            <v>COPA Wiring Accessories</v>
          </cell>
          <cell r="H606" t="str">
            <v>MEM series</v>
          </cell>
          <cell r="I606" t="str">
            <v>BK COVER FOR C015 BELL SYMBOL</v>
          </cell>
        </row>
        <row r="607">
          <cell r="C607" t="str">
            <v>CP015GL</v>
          </cell>
          <cell r="D607">
            <v>5</v>
          </cell>
          <cell r="E607">
            <v>2400</v>
          </cell>
          <cell r="F607" t="str">
            <v>Plastic Clip on plates</v>
          </cell>
          <cell r="G607" t="str">
            <v>COPA Wiring Accessories</v>
          </cell>
          <cell r="H607" t="str">
            <v>MEM series</v>
          </cell>
          <cell r="I607" t="str">
            <v>GL COVER FOR C015 BELL SYMBOL</v>
          </cell>
        </row>
        <row r="608">
          <cell r="C608" t="str">
            <v>CP015GY</v>
          </cell>
          <cell r="D608">
            <v>5</v>
          </cell>
          <cell r="E608">
            <v>2400</v>
          </cell>
          <cell r="F608" t="str">
            <v>Plastic Clip on plates</v>
          </cell>
          <cell r="G608" t="str">
            <v>COPA Wiring Accessories</v>
          </cell>
          <cell r="H608" t="str">
            <v>MEM series</v>
          </cell>
          <cell r="I608" t="str">
            <v>GY CVR FOR C015GY</v>
          </cell>
        </row>
        <row r="609">
          <cell r="C609" t="str">
            <v>CP015LBL</v>
          </cell>
          <cell r="D609">
            <v>5</v>
          </cell>
          <cell r="E609">
            <v>2400</v>
          </cell>
          <cell r="F609" t="str">
            <v>Plastic Clip on plates</v>
          </cell>
          <cell r="G609" t="str">
            <v>COPA Wiring Accessories</v>
          </cell>
          <cell r="H609" t="str">
            <v>MEM series</v>
          </cell>
          <cell r="I609" t="str">
            <v>BL COVER FOR C015 LIGHT SYMBOL</v>
          </cell>
        </row>
        <row r="610">
          <cell r="C610" t="str">
            <v>CP015LBM</v>
          </cell>
          <cell r="D610">
            <v>5</v>
          </cell>
          <cell r="E610">
            <v>2400</v>
          </cell>
          <cell r="F610" t="str">
            <v>Plastic Clip on plates</v>
          </cell>
          <cell r="G610" t="str">
            <v>COPA Wiring Accessories</v>
          </cell>
          <cell r="H610" t="str">
            <v>MEM series</v>
          </cell>
          <cell r="I610" t="str">
            <v>BK COVER FOR C015 LIGHT SYMBOL</v>
          </cell>
        </row>
        <row r="611">
          <cell r="C611" t="str">
            <v>CP015LGL</v>
          </cell>
          <cell r="D611">
            <v>5</v>
          </cell>
          <cell r="E611">
            <v>2400</v>
          </cell>
          <cell r="F611" t="str">
            <v>Plastic Clip on plates</v>
          </cell>
          <cell r="G611" t="str">
            <v>COPA Wiring Accessories</v>
          </cell>
          <cell r="H611" t="str">
            <v>MEM series</v>
          </cell>
          <cell r="I611" t="str">
            <v>GL COVER FOR C015 LIGHT SYMBOL</v>
          </cell>
        </row>
        <row r="612">
          <cell r="C612" t="str">
            <v>CP015LGY</v>
          </cell>
          <cell r="D612">
            <v>5</v>
          </cell>
          <cell r="E612">
            <v>2400</v>
          </cell>
          <cell r="F612" t="str">
            <v>Plastic Clip on plates</v>
          </cell>
          <cell r="G612" t="str">
            <v>COPA Wiring Accessories</v>
          </cell>
          <cell r="H612" t="str">
            <v>MEM series</v>
          </cell>
          <cell r="I612" t="str">
            <v>GY CVR FOR C015 LIGHT SYMBOL</v>
          </cell>
        </row>
        <row r="613">
          <cell r="C613" t="str">
            <v>CP015LSV</v>
          </cell>
          <cell r="D613">
            <v>5</v>
          </cell>
          <cell r="E613">
            <v>2400</v>
          </cell>
          <cell r="F613" t="str">
            <v>Plastic Clip on plates</v>
          </cell>
          <cell r="G613" t="str">
            <v>COPA Wiring Accessories</v>
          </cell>
          <cell r="H613" t="str">
            <v>MEM series</v>
          </cell>
          <cell r="I613" t="str">
            <v>SV COVER FOR C015 LIGHT SYMBOL</v>
          </cell>
        </row>
        <row r="614">
          <cell r="C614" t="str">
            <v>CP015LWH</v>
          </cell>
          <cell r="D614">
            <v>5</v>
          </cell>
          <cell r="E614">
            <v>2400</v>
          </cell>
          <cell r="F614" t="str">
            <v>Plastic Clip on plates</v>
          </cell>
          <cell r="G614" t="str">
            <v>COPA Wiring Accessories</v>
          </cell>
          <cell r="H614" t="str">
            <v>MEM series</v>
          </cell>
          <cell r="I614" t="str">
            <v>WH COVER FOR C015 LIGHT SYMBOL</v>
          </cell>
        </row>
        <row r="615">
          <cell r="C615" t="str">
            <v>CP015SV</v>
          </cell>
          <cell r="D615">
            <v>5</v>
          </cell>
          <cell r="E615">
            <v>2400</v>
          </cell>
          <cell r="F615" t="str">
            <v>Plastic Clip on plates</v>
          </cell>
          <cell r="G615" t="str">
            <v>COPA Wiring Accessories</v>
          </cell>
          <cell r="H615" t="str">
            <v>MEM series</v>
          </cell>
          <cell r="I615" t="str">
            <v>SV COVER FOR C015 BELL SYMBOL</v>
          </cell>
        </row>
        <row r="616">
          <cell r="C616" t="str">
            <v>CP015WH</v>
          </cell>
          <cell r="D616">
            <v>5</v>
          </cell>
          <cell r="E616">
            <v>2400</v>
          </cell>
          <cell r="F616" t="str">
            <v>Plastic Clip on plates</v>
          </cell>
          <cell r="G616" t="str">
            <v>COPA Wiring Accessories</v>
          </cell>
          <cell r="H616" t="str">
            <v>MEM series</v>
          </cell>
          <cell r="I616" t="str">
            <v>WH COVER FOR C015 BELL SYMBOL</v>
          </cell>
        </row>
        <row r="617">
          <cell r="C617" t="str">
            <v>CP026BL</v>
          </cell>
          <cell r="D617">
            <v>5</v>
          </cell>
          <cell r="E617">
            <v>2400</v>
          </cell>
          <cell r="F617" t="str">
            <v>Plastic Clip on plates</v>
          </cell>
          <cell r="G617" t="str">
            <v>COPA Wiring Accessories</v>
          </cell>
          <cell r="H617" t="str">
            <v>MEM series</v>
          </cell>
          <cell r="I617" t="str">
            <v>BLUE COVER FOR C026</v>
          </cell>
        </row>
        <row r="618">
          <cell r="C618" t="str">
            <v>CP026BM</v>
          </cell>
          <cell r="D618">
            <v>5</v>
          </cell>
          <cell r="E618">
            <v>2400</v>
          </cell>
          <cell r="F618" t="str">
            <v>Plastic Clip on plates</v>
          </cell>
          <cell r="G618" t="str">
            <v>COPA Wiring Accessories</v>
          </cell>
          <cell r="H618" t="str">
            <v>MEM series</v>
          </cell>
          <cell r="I618" t="str">
            <v>BLACK COVER FOR C026</v>
          </cell>
        </row>
        <row r="619">
          <cell r="C619" t="str">
            <v>CP026GL</v>
          </cell>
          <cell r="D619">
            <v>5</v>
          </cell>
          <cell r="E619">
            <v>2400</v>
          </cell>
          <cell r="F619" t="str">
            <v>Plastic Clip on plates</v>
          </cell>
          <cell r="G619" t="str">
            <v>COPA Wiring Accessories</v>
          </cell>
          <cell r="H619" t="str">
            <v>MEM series</v>
          </cell>
          <cell r="I619" t="str">
            <v>GOLD COVER FOR C026</v>
          </cell>
        </row>
        <row r="620">
          <cell r="C620" t="str">
            <v>CP026GY</v>
          </cell>
          <cell r="D620">
            <v>5</v>
          </cell>
          <cell r="E620">
            <v>2400</v>
          </cell>
          <cell r="F620" t="str">
            <v>Plastic Clip on plates</v>
          </cell>
          <cell r="G620" t="str">
            <v>COPA Wiring Accessories</v>
          </cell>
          <cell r="H620" t="str">
            <v>MEM series</v>
          </cell>
          <cell r="I620" t="str">
            <v>GY COVER FOR C026</v>
          </cell>
        </row>
        <row r="621">
          <cell r="C621" t="str">
            <v>CP026SV</v>
          </cell>
          <cell r="D621">
            <v>5</v>
          </cell>
          <cell r="E621">
            <v>2400</v>
          </cell>
          <cell r="F621" t="str">
            <v>Plastic Clip on plates</v>
          </cell>
          <cell r="G621" t="str">
            <v>COPA Wiring Accessories</v>
          </cell>
          <cell r="H621" t="str">
            <v>MEM series</v>
          </cell>
          <cell r="I621" t="str">
            <v>SILVER COVER FOR C026</v>
          </cell>
        </row>
        <row r="622">
          <cell r="C622" t="str">
            <v>CP026WH</v>
          </cell>
          <cell r="D622">
            <v>5</v>
          </cell>
          <cell r="E622">
            <v>2400</v>
          </cell>
          <cell r="F622" t="str">
            <v>Plastic Clip on plates</v>
          </cell>
          <cell r="G622" t="str">
            <v>COPA Wiring Accessories</v>
          </cell>
          <cell r="H622" t="str">
            <v>MEM series</v>
          </cell>
          <cell r="I622" t="str">
            <v>WHITE COVER FOR C026</v>
          </cell>
        </row>
        <row r="623">
          <cell r="C623" t="str">
            <v>CP045BL</v>
          </cell>
          <cell r="D623">
            <v>5</v>
          </cell>
          <cell r="E623">
            <v>2400</v>
          </cell>
          <cell r="F623" t="str">
            <v>Plastic Clip on plates</v>
          </cell>
          <cell r="G623" t="str">
            <v>COPA Wiring Accessories</v>
          </cell>
          <cell r="H623" t="str">
            <v>MEM series</v>
          </cell>
          <cell r="I623" t="str">
            <v>BL COVER FOR C045 BELL SYMBOL</v>
          </cell>
        </row>
        <row r="624">
          <cell r="C624" t="str">
            <v>CP045BM</v>
          </cell>
          <cell r="D624">
            <v>5</v>
          </cell>
          <cell r="E624">
            <v>2400</v>
          </cell>
          <cell r="F624" t="str">
            <v>Plastic Clip on plates</v>
          </cell>
          <cell r="G624" t="str">
            <v>COPA Wiring Accessories</v>
          </cell>
          <cell r="H624" t="str">
            <v>MEM series</v>
          </cell>
          <cell r="I624" t="str">
            <v>BK COVER FOR C045 BELL SYMBOL</v>
          </cell>
        </row>
        <row r="625">
          <cell r="C625" t="str">
            <v>CP045GL</v>
          </cell>
          <cell r="D625">
            <v>5</v>
          </cell>
          <cell r="E625">
            <v>2400</v>
          </cell>
          <cell r="F625" t="str">
            <v>Plastic Clip on plates</v>
          </cell>
          <cell r="G625" t="str">
            <v>COPA Wiring Accessories</v>
          </cell>
          <cell r="H625" t="str">
            <v>MEM series</v>
          </cell>
          <cell r="I625" t="str">
            <v>GL COVER FOR C045 BELL SYMBOL</v>
          </cell>
        </row>
        <row r="626">
          <cell r="C626" t="str">
            <v>CP045GY</v>
          </cell>
          <cell r="D626">
            <v>5</v>
          </cell>
          <cell r="E626">
            <v>2400</v>
          </cell>
          <cell r="F626" t="str">
            <v>Plastic Clip on plates</v>
          </cell>
          <cell r="G626" t="str">
            <v>COPA Wiring Accessories</v>
          </cell>
          <cell r="H626" t="str">
            <v>MEM series</v>
          </cell>
          <cell r="I626" t="str">
            <v>GY COVER FOR C045 BELL SYMBOL</v>
          </cell>
        </row>
        <row r="627">
          <cell r="C627" t="str">
            <v>CP045SV</v>
          </cell>
          <cell r="D627">
            <v>5</v>
          </cell>
          <cell r="E627">
            <v>2400</v>
          </cell>
          <cell r="F627" t="str">
            <v>Plastic Clip on plates</v>
          </cell>
          <cell r="G627" t="str">
            <v>COPA Wiring Accessories</v>
          </cell>
          <cell r="H627" t="str">
            <v>MEM series</v>
          </cell>
          <cell r="I627" t="str">
            <v>SV COVER FOR C045 BELL SYMBOL</v>
          </cell>
        </row>
        <row r="628">
          <cell r="C628" t="str">
            <v>CP045WH</v>
          </cell>
          <cell r="D628">
            <v>5</v>
          </cell>
          <cell r="E628">
            <v>2400</v>
          </cell>
          <cell r="F628" t="str">
            <v>Plastic Clip on plates</v>
          </cell>
          <cell r="G628" t="str">
            <v>COPA Wiring Accessories</v>
          </cell>
          <cell r="H628" t="str">
            <v>MEM series</v>
          </cell>
          <cell r="I628" t="str">
            <v>WH COVER FOR C045 BELL SYMBOL</v>
          </cell>
        </row>
        <row r="629">
          <cell r="C629" t="str">
            <v>CP048BL</v>
          </cell>
          <cell r="D629">
            <v>5</v>
          </cell>
          <cell r="E629">
            <v>2400</v>
          </cell>
          <cell r="F629" t="str">
            <v>Plastic Clip on plates</v>
          </cell>
          <cell r="G629" t="str">
            <v>COPA Wiring Accessories</v>
          </cell>
          <cell r="H629" t="str">
            <v>MEM series</v>
          </cell>
          <cell r="I629" t="str">
            <v>BL COVER FOR C048 FAN ISOLATOR</v>
          </cell>
        </row>
        <row r="630">
          <cell r="C630" t="str">
            <v>CP048BM</v>
          </cell>
          <cell r="D630">
            <v>5</v>
          </cell>
          <cell r="E630">
            <v>2400</v>
          </cell>
          <cell r="F630" t="str">
            <v>Plastic Clip on plates</v>
          </cell>
          <cell r="G630" t="str">
            <v>COPA Wiring Accessories</v>
          </cell>
          <cell r="H630" t="str">
            <v>MEM series</v>
          </cell>
          <cell r="I630" t="str">
            <v>BK COVER FOR C048 FAN ISOLATOR</v>
          </cell>
        </row>
        <row r="631">
          <cell r="C631" t="str">
            <v>CP048GL</v>
          </cell>
          <cell r="D631">
            <v>5</v>
          </cell>
          <cell r="E631">
            <v>2400</v>
          </cell>
          <cell r="F631" t="str">
            <v>Plastic Clip on plates</v>
          </cell>
          <cell r="G631" t="str">
            <v>COPA Wiring Accessories</v>
          </cell>
          <cell r="H631" t="str">
            <v>MEM series</v>
          </cell>
          <cell r="I631" t="str">
            <v>GL COVER FOR C048 FAN ISOLATOR</v>
          </cell>
        </row>
        <row r="632">
          <cell r="C632" t="str">
            <v>CP048GY</v>
          </cell>
          <cell r="D632">
            <v>5</v>
          </cell>
          <cell r="E632">
            <v>2400</v>
          </cell>
          <cell r="F632" t="str">
            <v>Plastic Clip on plates</v>
          </cell>
          <cell r="G632" t="str">
            <v>COPA Wiring Accessories</v>
          </cell>
          <cell r="H632" t="str">
            <v>MEM series</v>
          </cell>
          <cell r="I632" t="str">
            <v>GY COVER FOR C048 FAN ISOLATOR</v>
          </cell>
        </row>
        <row r="633">
          <cell r="C633" t="str">
            <v>CP048SV</v>
          </cell>
          <cell r="D633">
            <v>5</v>
          </cell>
          <cell r="E633">
            <v>2400</v>
          </cell>
          <cell r="F633" t="str">
            <v>Plastic Clip on plates</v>
          </cell>
          <cell r="G633" t="str">
            <v>COPA Wiring Accessories</v>
          </cell>
          <cell r="H633" t="str">
            <v>MEM series</v>
          </cell>
          <cell r="I633" t="str">
            <v>SV COVER FOR C048 FAN ISOLATOR</v>
          </cell>
        </row>
        <row r="634">
          <cell r="C634" t="str">
            <v>CP048WH</v>
          </cell>
          <cell r="D634">
            <v>5</v>
          </cell>
          <cell r="E634">
            <v>2400</v>
          </cell>
          <cell r="F634" t="str">
            <v>Plastic Clip on plates</v>
          </cell>
          <cell r="G634" t="str">
            <v>COPA Wiring Accessories</v>
          </cell>
          <cell r="H634" t="str">
            <v>MEM series</v>
          </cell>
          <cell r="I634" t="str">
            <v>WH COVER FOR C048 FAN ISOLATOR</v>
          </cell>
        </row>
        <row r="635">
          <cell r="C635" t="str">
            <v>CP049BL</v>
          </cell>
          <cell r="D635">
            <v>5</v>
          </cell>
          <cell r="E635">
            <v>2400</v>
          </cell>
          <cell r="F635" t="str">
            <v>Plastic Clip on plates</v>
          </cell>
          <cell r="G635" t="str">
            <v>COPA Wiring Accessories</v>
          </cell>
          <cell r="H635" t="str">
            <v>MEM series</v>
          </cell>
          <cell r="I635" t="str">
            <v>BLUE COVER FOR C049 ISOLATOR</v>
          </cell>
        </row>
        <row r="636">
          <cell r="C636" t="str">
            <v>CP049BM</v>
          </cell>
          <cell r="D636">
            <v>5</v>
          </cell>
          <cell r="E636">
            <v>2400</v>
          </cell>
          <cell r="F636" t="str">
            <v>Plastic Clip on plates</v>
          </cell>
          <cell r="G636" t="str">
            <v>COPA Wiring Accessories</v>
          </cell>
          <cell r="H636" t="str">
            <v>MEM series</v>
          </cell>
          <cell r="I636" t="str">
            <v>BLACK COVER FOR C049 ISOLATOR</v>
          </cell>
        </row>
        <row r="637">
          <cell r="C637" t="str">
            <v>CP049GL</v>
          </cell>
          <cell r="D637">
            <v>5</v>
          </cell>
          <cell r="E637">
            <v>2400</v>
          </cell>
          <cell r="F637" t="str">
            <v>Plastic Clip on plates</v>
          </cell>
          <cell r="G637" t="str">
            <v>COPA Wiring Accessories</v>
          </cell>
          <cell r="H637" t="str">
            <v>MEM series</v>
          </cell>
          <cell r="I637" t="str">
            <v>GOLD COVER FOR C049 ISOLATOR</v>
          </cell>
        </row>
        <row r="638">
          <cell r="C638" t="str">
            <v>CP049SV</v>
          </cell>
          <cell r="D638">
            <v>5</v>
          </cell>
          <cell r="E638">
            <v>2400</v>
          </cell>
          <cell r="F638" t="str">
            <v>Plastic Clip on plates</v>
          </cell>
          <cell r="G638" t="str">
            <v>COPA Wiring Accessories</v>
          </cell>
          <cell r="H638" t="str">
            <v>MEM series</v>
          </cell>
          <cell r="I638" t="str">
            <v>SILVER COVER FOR C049 ISOLATOR</v>
          </cell>
        </row>
        <row r="639">
          <cell r="C639" t="str">
            <v>CP049WH</v>
          </cell>
          <cell r="D639">
            <v>5</v>
          </cell>
          <cell r="E639">
            <v>2400</v>
          </cell>
          <cell r="F639" t="str">
            <v>Plastic Clip on plates</v>
          </cell>
          <cell r="G639" t="str">
            <v>COPA Wiring Accessories</v>
          </cell>
          <cell r="H639" t="str">
            <v>MEM series</v>
          </cell>
          <cell r="I639" t="str">
            <v>WHITE COVER FOR C049 ISOLATOR</v>
          </cell>
        </row>
        <row r="640">
          <cell r="C640" t="str">
            <v>CP111BL</v>
          </cell>
          <cell r="D640">
            <v>5</v>
          </cell>
          <cell r="E640">
            <v>2400</v>
          </cell>
          <cell r="F640" t="str">
            <v>Plastic Clip on plates</v>
          </cell>
          <cell r="G640" t="str">
            <v>COPA Wiring Accessories</v>
          </cell>
          <cell r="H640" t="str">
            <v>MEM series</v>
          </cell>
          <cell r="I640" t="str">
            <v>BLUE COVER FOR C111</v>
          </cell>
        </row>
        <row r="641">
          <cell r="C641" t="str">
            <v>CP111BM</v>
          </cell>
          <cell r="D641">
            <v>5</v>
          </cell>
          <cell r="E641">
            <v>2400</v>
          </cell>
          <cell r="F641" t="str">
            <v>Plastic Clip on plates</v>
          </cell>
          <cell r="G641" t="str">
            <v>COPA Wiring Accessories</v>
          </cell>
          <cell r="H641" t="str">
            <v>MEM series</v>
          </cell>
          <cell r="I641" t="str">
            <v>BLACK COVER FOR C111</v>
          </cell>
        </row>
        <row r="642">
          <cell r="C642" t="str">
            <v>CP111GL</v>
          </cell>
          <cell r="D642">
            <v>5</v>
          </cell>
          <cell r="E642">
            <v>2400</v>
          </cell>
          <cell r="F642" t="str">
            <v>Plastic Clip on plates</v>
          </cell>
          <cell r="G642" t="str">
            <v>COPA Wiring Accessories</v>
          </cell>
          <cell r="H642" t="str">
            <v>MEM series</v>
          </cell>
          <cell r="I642" t="str">
            <v>GOLD COVER FOR C111</v>
          </cell>
        </row>
        <row r="643">
          <cell r="C643" t="str">
            <v>CP111GY</v>
          </cell>
          <cell r="D643">
            <v>5</v>
          </cell>
          <cell r="E643">
            <v>2400</v>
          </cell>
          <cell r="F643" t="str">
            <v>Plastic Clip on plates</v>
          </cell>
          <cell r="G643" t="str">
            <v>COPA Wiring Accessories</v>
          </cell>
          <cell r="H643" t="str">
            <v>MEM series</v>
          </cell>
          <cell r="I643" t="str">
            <v>GY CVR FOR C111</v>
          </cell>
        </row>
        <row r="644">
          <cell r="C644" t="str">
            <v>CP111SV</v>
          </cell>
          <cell r="D644">
            <v>5</v>
          </cell>
          <cell r="E644">
            <v>2400</v>
          </cell>
          <cell r="F644" t="str">
            <v>Plastic Clip on plates</v>
          </cell>
          <cell r="G644" t="str">
            <v>COPA Wiring Accessories</v>
          </cell>
          <cell r="H644" t="str">
            <v>MEM series</v>
          </cell>
          <cell r="I644" t="str">
            <v>SILVER COVER FOR C111</v>
          </cell>
        </row>
        <row r="645">
          <cell r="C645" t="str">
            <v>CP111WH</v>
          </cell>
          <cell r="D645">
            <v>5</v>
          </cell>
          <cell r="E645">
            <v>2400</v>
          </cell>
          <cell r="F645" t="str">
            <v>Plastic Clip on plates</v>
          </cell>
          <cell r="G645" t="str">
            <v>COPA Wiring Accessories</v>
          </cell>
          <cell r="H645" t="str">
            <v>MEM series</v>
          </cell>
          <cell r="I645" t="str">
            <v>WHITE COVER FOR C111</v>
          </cell>
        </row>
        <row r="646">
          <cell r="C646" t="str">
            <v>CP112BL</v>
          </cell>
          <cell r="D646">
            <v>5</v>
          </cell>
          <cell r="E646">
            <v>2400</v>
          </cell>
          <cell r="F646" t="str">
            <v>Plastic Clip on plates</v>
          </cell>
          <cell r="G646" t="str">
            <v>COPA Wiring Accessories</v>
          </cell>
          <cell r="H646" t="str">
            <v>MEM series</v>
          </cell>
          <cell r="I646" t="str">
            <v>BLUE COVER FOR C112</v>
          </cell>
        </row>
        <row r="647">
          <cell r="C647" t="str">
            <v>CP112BM</v>
          </cell>
          <cell r="D647">
            <v>5</v>
          </cell>
          <cell r="E647">
            <v>2400</v>
          </cell>
          <cell r="F647" t="str">
            <v>Plastic Clip on plates</v>
          </cell>
          <cell r="G647" t="str">
            <v>COPA Wiring Accessories</v>
          </cell>
          <cell r="H647" t="str">
            <v>MEM series</v>
          </cell>
          <cell r="I647" t="str">
            <v>BLACK COVER FOR C112</v>
          </cell>
        </row>
        <row r="648">
          <cell r="C648" t="str">
            <v>CP112GL</v>
          </cell>
          <cell r="D648">
            <v>5</v>
          </cell>
          <cell r="E648">
            <v>2400</v>
          </cell>
          <cell r="F648" t="str">
            <v>Plastic Clip on plates</v>
          </cell>
          <cell r="G648" t="str">
            <v>COPA Wiring Accessories</v>
          </cell>
          <cell r="H648" t="str">
            <v>MEM series</v>
          </cell>
          <cell r="I648" t="str">
            <v>GOLD COVER FOR C112</v>
          </cell>
        </row>
        <row r="649">
          <cell r="C649" t="str">
            <v>CP112GY</v>
          </cell>
          <cell r="D649">
            <v>5</v>
          </cell>
          <cell r="E649">
            <v>2400</v>
          </cell>
          <cell r="F649" t="str">
            <v>Plastic Clip on plates</v>
          </cell>
          <cell r="G649" t="str">
            <v>COPA Wiring Accessories</v>
          </cell>
          <cell r="H649" t="str">
            <v>MEM series</v>
          </cell>
          <cell r="I649" t="str">
            <v>GY CVR FOR C112</v>
          </cell>
        </row>
        <row r="650">
          <cell r="C650" t="str">
            <v>CP112SV</v>
          </cell>
          <cell r="D650">
            <v>5</v>
          </cell>
          <cell r="E650">
            <v>2400</v>
          </cell>
          <cell r="F650" t="str">
            <v>Plastic Clip on plates</v>
          </cell>
          <cell r="G650" t="str">
            <v>COPA Wiring Accessories</v>
          </cell>
          <cell r="H650" t="str">
            <v>MEM series</v>
          </cell>
          <cell r="I650" t="str">
            <v>SILVER COVER FOR C112</v>
          </cell>
        </row>
        <row r="651">
          <cell r="C651" t="str">
            <v>CP112WH</v>
          </cell>
          <cell r="D651">
            <v>5</v>
          </cell>
          <cell r="E651">
            <v>2400</v>
          </cell>
          <cell r="F651" t="str">
            <v>Plastic Clip on plates</v>
          </cell>
          <cell r="G651" t="str">
            <v>COPA Wiring Accessories</v>
          </cell>
          <cell r="H651" t="str">
            <v>MEM series</v>
          </cell>
          <cell r="I651" t="str">
            <v>WHITE COVER FOR C112</v>
          </cell>
        </row>
        <row r="652">
          <cell r="C652" t="str">
            <v>CP220BL</v>
          </cell>
          <cell r="D652">
            <v>5</v>
          </cell>
          <cell r="E652">
            <v>2400</v>
          </cell>
          <cell r="F652" t="str">
            <v>Plastic Clip on plates</v>
          </cell>
          <cell r="G652" t="str">
            <v>COPA Wiring Accessories</v>
          </cell>
          <cell r="H652" t="str">
            <v>MEM series</v>
          </cell>
          <cell r="I652" t="str">
            <v>BLUE COVER FOR C220</v>
          </cell>
        </row>
        <row r="653">
          <cell r="C653" t="str">
            <v>CP220BM</v>
          </cell>
          <cell r="D653">
            <v>5</v>
          </cell>
          <cell r="E653">
            <v>2400</v>
          </cell>
          <cell r="F653" t="str">
            <v>Plastic Clip on plates</v>
          </cell>
          <cell r="G653" t="str">
            <v>COPA Wiring Accessories</v>
          </cell>
          <cell r="H653" t="str">
            <v>MEM series</v>
          </cell>
          <cell r="I653" t="str">
            <v>BLACK COVER FOR C220</v>
          </cell>
        </row>
        <row r="654">
          <cell r="C654" t="str">
            <v>CP220GL</v>
          </cell>
          <cell r="D654">
            <v>5</v>
          </cell>
          <cell r="E654">
            <v>2400</v>
          </cell>
          <cell r="F654" t="str">
            <v>Plastic Clip on plates</v>
          </cell>
          <cell r="G654" t="str">
            <v>COPA Wiring Accessories</v>
          </cell>
          <cell r="H654" t="str">
            <v>MEM series</v>
          </cell>
          <cell r="I654" t="str">
            <v>GOLD COVER FOR C220</v>
          </cell>
        </row>
        <row r="655">
          <cell r="C655" t="str">
            <v>CP220GY</v>
          </cell>
          <cell r="D655">
            <v>5</v>
          </cell>
          <cell r="E655">
            <v>2400</v>
          </cell>
          <cell r="F655" t="str">
            <v>Plastic Clip on plates</v>
          </cell>
          <cell r="G655" t="str">
            <v>COPA Wiring Accessories</v>
          </cell>
          <cell r="H655" t="str">
            <v>MEM series</v>
          </cell>
          <cell r="I655" t="str">
            <v>GY CVR FOR C220</v>
          </cell>
        </row>
        <row r="656">
          <cell r="C656" t="str">
            <v>CP220NBL</v>
          </cell>
          <cell r="D656">
            <v>5</v>
          </cell>
          <cell r="E656">
            <v>2400</v>
          </cell>
          <cell r="F656" t="str">
            <v>Plastic Clip on plates</v>
          </cell>
          <cell r="G656" t="str">
            <v>COPA Wiring Accessories</v>
          </cell>
          <cell r="H656" t="str">
            <v>MEM series</v>
          </cell>
          <cell r="I656" t="str">
            <v>BLUE COVER FOR C220N</v>
          </cell>
        </row>
        <row r="657">
          <cell r="C657" t="str">
            <v>CP220NBM</v>
          </cell>
          <cell r="D657">
            <v>5</v>
          </cell>
          <cell r="E657">
            <v>2400</v>
          </cell>
          <cell r="F657" t="str">
            <v>Plastic Clip on plates</v>
          </cell>
          <cell r="G657" t="str">
            <v>COPA Wiring Accessories</v>
          </cell>
          <cell r="H657" t="str">
            <v>MEM series</v>
          </cell>
          <cell r="I657" t="str">
            <v>BLACK COVER FOR C220N</v>
          </cell>
        </row>
        <row r="658">
          <cell r="C658" t="str">
            <v>CP220NGL</v>
          </cell>
          <cell r="D658">
            <v>5</v>
          </cell>
          <cell r="E658">
            <v>2400</v>
          </cell>
          <cell r="F658" t="str">
            <v>Plastic Clip on plates</v>
          </cell>
          <cell r="G658" t="str">
            <v>COPA Wiring Accessories</v>
          </cell>
          <cell r="H658" t="str">
            <v>MEM series</v>
          </cell>
          <cell r="I658" t="str">
            <v>GOLD COVER FOR C220N</v>
          </cell>
        </row>
        <row r="659">
          <cell r="C659" t="str">
            <v>CP220NGY</v>
          </cell>
          <cell r="D659">
            <v>5</v>
          </cell>
          <cell r="E659">
            <v>2400</v>
          </cell>
          <cell r="F659" t="str">
            <v>Plastic Clip on plates</v>
          </cell>
          <cell r="G659" t="str">
            <v>COPA Wiring Accessories</v>
          </cell>
          <cell r="H659" t="str">
            <v>MEM series</v>
          </cell>
          <cell r="I659" t="str">
            <v>GY CVR FOR C220N</v>
          </cell>
        </row>
        <row r="660">
          <cell r="C660" t="str">
            <v>CP220NSV</v>
          </cell>
          <cell r="D660">
            <v>5</v>
          </cell>
          <cell r="E660">
            <v>2400</v>
          </cell>
          <cell r="F660" t="str">
            <v>Plastic Clip on plates</v>
          </cell>
          <cell r="G660" t="str">
            <v>COPA Wiring Accessories</v>
          </cell>
          <cell r="H660" t="str">
            <v>MEM series</v>
          </cell>
          <cell r="I660" t="str">
            <v>SILVER COVER FOR C220N</v>
          </cell>
        </row>
        <row r="661">
          <cell r="C661" t="str">
            <v>CP220NWH</v>
          </cell>
          <cell r="D661">
            <v>5</v>
          </cell>
          <cell r="E661">
            <v>2400</v>
          </cell>
          <cell r="F661" t="str">
            <v>Plastic Clip on plates</v>
          </cell>
          <cell r="G661" t="str">
            <v>COPA Wiring Accessories</v>
          </cell>
          <cell r="H661" t="str">
            <v>MEM series</v>
          </cell>
          <cell r="I661" t="str">
            <v>WHITE COVER FOR C220N</v>
          </cell>
        </row>
        <row r="662">
          <cell r="C662" t="str">
            <v>CP220SV</v>
          </cell>
          <cell r="D662">
            <v>5</v>
          </cell>
          <cell r="E662">
            <v>2400</v>
          </cell>
          <cell r="F662" t="str">
            <v>Plastic Clip on plates</v>
          </cell>
          <cell r="G662" t="str">
            <v>COPA Wiring Accessories</v>
          </cell>
          <cell r="H662" t="str">
            <v>MEM series</v>
          </cell>
          <cell r="I662" t="str">
            <v>SILVER COVER FOR C220</v>
          </cell>
        </row>
        <row r="663">
          <cell r="C663" t="str">
            <v>CP220WH</v>
          </cell>
          <cell r="D663">
            <v>5</v>
          </cell>
          <cell r="E663">
            <v>2400</v>
          </cell>
          <cell r="F663" t="str">
            <v>Plastic Clip on plates</v>
          </cell>
          <cell r="G663" t="str">
            <v>COPA Wiring Accessories</v>
          </cell>
          <cell r="H663" t="str">
            <v>MEM series</v>
          </cell>
          <cell r="I663" t="str">
            <v>WHITE COVER FOR C220</v>
          </cell>
        </row>
        <row r="664">
          <cell r="C664" t="str">
            <v>CP221BL</v>
          </cell>
          <cell r="D664">
            <v>5</v>
          </cell>
          <cell r="E664">
            <v>2400</v>
          </cell>
          <cell r="F664" t="str">
            <v>Plastic Clip on plates</v>
          </cell>
          <cell r="G664" t="str">
            <v>COPA Wiring Accessories</v>
          </cell>
          <cell r="H664" t="str">
            <v>MEM series</v>
          </cell>
          <cell r="I664" t="str">
            <v>BLUE COVER FOR C221</v>
          </cell>
        </row>
        <row r="665">
          <cell r="C665" t="str">
            <v>CP221BM</v>
          </cell>
          <cell r="D665">
            <v>5</v>
          </cell>
          <cell r="E665">
            <v>2400</v>
          </cell>
          <cell r="F665" t="str">
            <v>Plastic Clip on plates</v>
          </cell>
          <cell r="G665" t="str">
            <v>COPA Wiring Accessories</v>
          </cell>
          <cell r="H665" t="str">
            <v>MEM series</v>
          </cell>
          <cell r="I665" t="str">
            <v>BLACK COVER FOR C222</v>
          </cell>
        </row>
        <row r="666">
          <cell r="C666" t="str">
            <v>CP221GL</v>
          </cell>
          <cell r="D666">
            <v>5</v>
          </cell>
          <cell r="E666">
            <v>2400</v>
          </cell>
          <cell r="F666" t="str">
            <v>Plastic Clip on plates</v>
          </cell>
          <cell r="G666" t="str">
            <v>COPA Wiring Accessories</v>
          </cell>
          <cell r="H666" t="str">
            <v>MEM series</v>
          </cell>
          <cell r="I666" t="str">
            <v>GOLD COVER FOR C221</v>
          </cell>
        </row>
        <row r="667">
          <cell r="C667" t="str">
            <v>CP221GY</v>
          </cell>
          <cell r="D667">
            <v>5</v>
          </cell>
          <cell r="E667">
            <v>2400</v>
          </cell>
          <cell r="F667" t="str">
            <v>Plastic Clip on plates</v>
          </cell>
          <cell r="G667" t="str">
            <v>COPA Wiring Accessories</v>
          </cell>
          <cell r="H667" t="str">
            <v>MEM series</v>
          </cell>
          <cell r="I667" t="str">
            <v>GY COVER FOR C221</v>
          </cell>
        </row>
        <row r="668">
          <cell r="C668" t="str">
            <v>CP221NBL</v>
          </cell>
          <cell r="D668">
            <v>5</v>
          </cell>
          <cell r="E668">
            <v>2400</v>
          </cell>
          <cell r="F668" t="str">
            <v>Plastic Clip on plates</v>
          </cell>
          <cell r="G668" t="str">
            <v>COPA Wiring Accessories</v>
          </cell>
          <cell r="H668" t="str">
            <v>MEM series</v>
          </cell>
          <cell r="I668" t="str">
            <v>BLUE COVER FOR C221N</v>
          </cell>
        </row>
        <row r="669">
          <cell r="C669" t="str">
            <v>CP221NBM</v>
          </cell>
          <cell r="D669">
            <v>5</v>
          </cell>
          <cell r="E669">
            <v>2400</v>
          </cell>
          <cell r="F669" t="str">
            <v>Plastic Clip on plates</v>
          </cell>
          <cell r="G669" t="str">
            <v>COPA Wiring Accessories</v>
          </cell>
          <cell r="H669" t="str">
            <v>MEM series</v>
          </cell>
          <cell r="I669" t="str">
            <v>BLACK COVER FOR C221N</v>
          </cell>
        </row>
        <row r="670">
          <cell r="C670" t="str">
            <v>CP221NCHWH</v>
          </cell>
          <cell r="D670">
            <v>5</v>
          </cell>
          <cell r="E670">
            <v>2400</v>
          </cell>
          <cell r="F670" t="str">
            <v>Plastic Clip on plates</v>
          </cell>
          <cell r="G670" t="str">
            <v>COPA Wiring Accessories</v>
          </cell>
          <cell r="H670" t="str">
            <v>MEM series</v>
          </cell>
          <cell r="I670" t="str">
            <v>WH CVR C201N CENTRAL HEATING</v>
          </cell>
        </row>
        <row r="671">
          <cell r="C671" t="str">
            <v>CP221NEFWH</v>
          </cell>
          <cell r="D671">
            <v>5</v>
          </cell>
          <cell r="E671">
            <v>2400</v>
          </cell>
          <cell r="F671" t="str">
            <v>Plastic Clip on plates</v>
          </cell>
          <cell r="G671" t="str">
            <v>COPA Wiring Accessories</v>
          </cell>
          <cell r="H671" t="str">
            <v>MEM series</v>
          </cell>
          <cell r="I671" t="str">
            <v>WH COVER FOR C201N EXTRACT FAN</v>
          </cell>
        </row>
        <row r="672">
          <cell r="C672" t="str">
            <v>CP221NGL</v>
          </cell>
          <cell r="D672">
            <v>5</v>
          </cell>
          <cell r="E672">
            <v>2400</v>
          </cell>
          <cell r="F672" t="str">
            <v>Plastic Clip on plates</v>
          </cell>
          <cell r="G672" t="str">
            <v>COPA Wiring Accessories</v>
          </cell>
          <cell r="H672" t="str">
            <v>MEM series</v>
          </cell>
          <cell r="I672" t="str">
            <v>GOLD COVER FOR C221N</v>
          </cell>
        </row>
        <row r="673">
          <cell r="C673" t="str">
            <v>CP221NGY</v>
          </cell>
          <cell r="D673">
            <v>5</v>
          </cell>
          <cell r="E673">
            <v>2400</v>
          </cell>
          <cell r="F673" t="str">
            <v>Plastic Clip on plates</v>
          </cell>
          <cell r="G673" t="str">
            <v>COPA Wiring Accessories</v>
          </cell>
          <cell r="H673" t="str">
            <v>MEM series</v>
          </cell>
          <cell r="I673" t="str">
            <v>GY COVER FOR C221N</v>
          </cell>
        </row>
        <row r="674">
          <cell r="C674" t="str">
            <v>CP221NHEWH</v>
          </cell>
          <cell r="D674">
            <v>5</v>
          </cell>
          <cell r="E674">
            <v>2400</v>
          </cell>
          <cell r="F674" t="str">
            <v>Plastic Clip on plates</v>
          </cell>
          <cell r="G674" t="str">
            <v>COPA Wiring Accessories</v>
          </cell>
          <cell r="H674" t="str">
            <v>MEM series</v>
          </cell>
          <cell r="I674" t="str">
            <v>WHITE COVER FOR C201N HEATER</v>
          </cell>
        </row>
        <row r="675">
          <cell r="C675" t="str">
            <v>CP221NRWH</v>
          </cell>
          <cell r="D675">
            <v>5</v>
          </cell>
          <cell r="E675">
            <v>2400</v>
          </cell>
          <cell r="F675" t="str">
            <v>Plastic Clip on plates</v>
          </cell>
          <cell r="G675" t="str">
            <v>COPA Wiring Accessories</v>
          </cell>
          <cell r="H675" t="str">
            <v>MEM series</v>
          </cell>
          <cell r="I675" t="str">
            <v>WH CVR FOR C201N REFRIGERATOR</v>
          </cell>
        </row>
        <row r="676">
          <cell r="C676" t="str">
            <v>CP221NSV</v>
          </cell>
          <cell r="D676">
            <v>5</v>
          </cell>
          <cell r="E676">
            <v>2400</v>
          </cell>
          <cell r="F676" t="str">
            <v>Plastic Clip on plates</v>
          </cell>
          <cell r="G676" t="str">
            <v>COPA Wiring Accessories</v>
          </cell>
          <cell r="H676" t="str">
            <v>MEM series</v>
          </cell>
          <cell r="I676" t="str">
            <v>SILVER COVER FOR C221N</v>
          </cell>
        </row>
        <row r="677">
          <cell r="C677" t="str">
            <v>CP221NWH</v>
          </cell>
          <cell r="D677">
            <v>5</v>
          </cell>
          <cell r="E677">
            <v>2400</v>
          </cell>
          <cell r="F677" t="str">
            <v>Plastic Clip on plates</v>
          </cell>
          <cell r="G677" t="str">
            <v>COPA Wiring Accessories</v>
          </cell>
          <cell r="H677" t="str">
            <v>MEM series</v>
          </cell>
          <cell r="I677" t="str">
            <v>WHITE COVER FOR C221N</v>
          </cell>
        </row>
        <row r="678">
          <cell r="C678" t="str">
            <v>CP221NWMWH</v>
          </cell>
          <cell r="D678">
            <v>5</v>
          </cell>
          <cell r="E678">
            <v>2400</v>
          </cell>
          <cell r="F678" t="str">
            <v>Plastic Clip on plates</v>
          </cell>
          <cell r="G678" t="str">
            <v>COPA Wiring Accessories</v>
          </cell>
          <cell r="H678" t="str">
            <v>MEM series</v>
          </cell>
          <cell r="I678" t="str">
            <v>WH CVR C201N WASHING MACHINE</v>
          </cell>
        </row>
        <row r="679">
          <cell r="C679" t="str">
            <v>CP221RWH</v>
          </cell>
          <cell r="D679">
            <v>5</v>
          </cell>
          <cell r="E679">
            <v>2400</v>
          </cell>
          <cell r="F679" t="str">
            <v>Plastic Clip on plates</v>
          </cell>
          <cell r="G679" t="str">
            <v>COPA Wiring Accessories</v>
          </cell>
          <cell r="H679" t="str">
            <v>MEM series</v>
          </cell>
          <cell r="I679" t="str">
            <v>WH COVER FOR C201 REFRIGERATOR</v>
          </cell>
        </row>
        <row r="680">
          <cell r="C680" t="str">
            <v>CP221SV</v>
          </cell>
          <cell r="D680">
            <v>5</v>
          </cell>
          <cell r="E680">
            <v>2400</v>
          </cell>
          <cell r="F680" t="str">
            <v>Plastic Clip on plates</v>
          </cell>
          <cell r="G680" t="str">
            <v>COPA Wiring Accessories</v>
          </cell>
          <cell r="H680" t="str">
            <v>MEM series</v>
          </cell>
          <cell r="I680" t="str">
            <v>SILVER COVER FOR C221</v>
          </cell>
        </row>
        <row r="681">
          <cell r="C681" t="str">
            <v>CP221TDWH</v>
          </cell>
          <cell r="D681">
            <v>5</v>
          </cell>
          <cell r="E681">
            <v>2400</v>
          </cell>
          <cell r="F681" t="str">
            <v>Plastic Clip on plates</v>
          </cell>
          <cell r="G681" t="str">
            <v>COPA Wiring Accessories</v>
          </cell>
          <cell r="H681" t="str">
            <v>MEM series</v>
          </cell>
          <cell r="I681" t="str">
            <v>WH COVER FOR C201 TUMBLE DRYER</v>
          </cell>
        </row>
        <row r="682">
          <cell r="C682" t="str">
            <v>CP221WH</v>
          </cell>
          <cell r="D682">
            <v>5</v>
          </cell>
          <cell r="E682">
            <v>2400</v>
          </cell>
          <cell r="F682" t="str">
            <v>Plastic Clip on plates</v>
          </cell>
          <cell r="G682" t="str">
            <v>COPA Wiring Accessories</v>
          </cell>
          <cell r="H682" t="str">
            <v>MEM series</v>
          </cell>
          <cell r="I682" t="str">
            <v>WHITE COVER FOR C221</v>
          </cell>
        </row>
        <row r="683">
          <cell r="C683" t="str">
            <v>CP221WMWH</v>
          </cell>
          <cell r="D683">
            <v>5</v>
          </cell>
          <cell r="E683">
            <v>2400</v>
          </cell>
          <cell r="F683" t="str">
            <v>Plastic Clip on plates</v>
          </cell>
          <cell r="G683" t="str">
            <v>COPA Wiring Accessories</v>
          </cell>
          <cell r="H683" t="str">
            <v>MEM series</v>
          </cell>
          <cell r="I683" t="str">
            <v>WH CVR C201 WASHING MACHINE</v>
          </cell>
        </row>
        <row r="684">
          <cell r="C684" t="str">
            <v>CP305BL</v>
          </cell>
          <cell r="D684">
            <v>5</v>
          </cell>
          <cell r="E684">
            <v>2400</v>
          </cell>
          <cell r="F684" t="str">
            <v>Plastic Clip on plates</v>
          </cell>
          <cell r="G684" t="str">
            <v>COPA Wiring Accessories</v>
          </cell>
          <cell r="H684" t="str">
            <v>MEM series</v>
          </cell>
          <cell r="I684" t="str">
            <v>BLUE COVER FOR C305</v>
          </cell>
        </row>
        <row r="685">
          <cell r="C685" t="str">
            <v>CP305BM</v>
          </cell>
          <cell r="D685">
            <v>5</v>
          </cell>
          <cell r="E685">
            <v>2400</v>
          </cell>
          <cell r="F685" t="str">
            <v>Plastic Clip on plates</v>
          </cell>
          <cell r="G685" t="str">
            <v>COPA Wiring Accessories</v>
          </cell>
          <cell r="H685" t="str">
            <v>MEM series</v>
          </cell>
          <cell r="I685" t="str">
            <v>BLACK COVER FOR C305</v>
          </cell>
        </row>
        <row r="686">
          <cell r="C686" t="str">
            <v>CP305GL</v>
          </cell>
          <cell r="D686">
            <v>5</v>
          </cell>
          <cell r="E686">
            <v>2400</v>
          </cell>
          <cell r="F686" t="str">
            <v>Plastic Clip on plates</v>
          </cell>
          <cell r="G686" t="str">
            <v>COPA Wiring Accessories</v>
          </cell>
          <cell r="H686" t="str">
            <v>MEM series</v>
          </cell>
          <cell r="I686" t="str">
            <v>GOLD COVER FOR C305</v>
          </cell>
        </row>
        <row r="687">
          <cell r="C687" t="str">
            <v>CP305GY</v>
          </cell>
          <cell r="D687">
            <v>5</v>
          </cell>
          <cell r="E687">
            <v>2400</v>
          </cell>
          <cell r="F687" t="str">
            <v>Plastic Clip on plates</v>
          </cell>
          <cell r="G687" t="str">
            <v>COPA Wiring Accessories</v>
          </cell>
          <cell r="H687" t="str">
            <v>MEM series</v>
          </cell>
          <cell r="I687" t="str">
            <v>GY CVR FOR C305</v>
          </cell>
        </row>
        <row r="688">
          <cell r="C688" t="str">
            <v>CP305SV</v>
          </cell>
          <cell r="D688">
            <v>5</v>
          </cell>
          <cell r="E688">
            <v>2400</v>
          </cell>
          <cell r="F688" t="str">
            <v>Plastic Clip on plates</v>
          </cell>
          <cell r="G688" t="str">
            <v>COPA Wiring Accessories</v>
          </cell>
          <cell r="H688" t="str">
            <v>MEM series</v>
          </cell>
          <cell r="I688" t="str">
            <v>SILVER COVER FOR C305</v>
          </cell>
        </row>
        <row r="689">
          <cell r="C689" t="str">
            <v>CP305WH</v>
          </cell>
          <cell r="D689">
            <v>5</v>
          </cell>
          <cell r="E689">
            <v>2400</v>
          </cell>
          <cell r="F689" t="str">
            <v>Plastic Clip on plates</v>
          </cell>
          <cell r="G689" t="str">
            <v>COPA Wiring Accessories</v>
          </cell>
          <cell r="H689" t="str">
            <v>MEM series</v>
          </cell>
          <cell r="I689" t="str">
            <v>WHITE COVER FOR C305</v>
          </cell>
        </row>
        <row r="690">
          <cell r="C690" t="str">
            <v>CP351BL</v>
          </cell>
          <cell r="D690">
            <v>5</v>
          </cell>
          <cell r="E690">
            <v>2400</v>
          </cell>
          <cell r="F690" t="str">
            <v>Plastic Clip on plates</v>
          </cell>
          <cell r="G690" t="str">
            <v>COPA Wiring Accessories</v>
          </cell>
          <cell r="H690" t="str">
            <v>MEM series</v>
          </cell>
          <cell r="I690" t="str">
            <v>BL CV C351/3/5  ALL 1G DIMMERS</v>
          </cell>
        </row>
        <row r="691">
          <cell r="C691" t="str">
            <v>CP351BM</v>
          </cell>
          <cell r="D691">
            <v>5</v>
          </cell>
          <cell r="E691">
            <v>2400</v>
          </cell>
          <cell r="F691" t="str">
            <v>Plastic Clip on plates</v>
          </cell>
          <cell r="G691" t="str">
            <v>COPA Wiring Accessories</v>
          </cell>
          <cell r="H691" t="str">
            <v>MEM series</v>
          </cell>
          <cell r="I691" t="str">
            <v>BM CV C351/3/5  ALL 1G DIMMERS</v>
          </cell>
        </row>
        <row r="692">
          <cell r="C692" t="str">
            <v>CP351GL</v>
          </cell>
          <cell r="D692">
            <v>5</v>
          </cell>
          <cell r="E692">
            <v>2400</v>
          </cell>
          <cell r="F692" t="str">
            <v>Plastic Clip on plates</v>
          </cell>
          <cell r="G692" t="str">
            <v>COPA Wiring Accessories</v>
          </cell>
          <cell r="H692" t="str">
            <v>MEM series</v>
          </cell>
          <cell r="I692" t="str">
            <v>GL CV C351/3/5  ALL 1G DIMMERS</v>
          </cell>
        </row>
        <row r="693">
          <cell r="C693" t="str">
            <v>CP351GY</v>
          </cell>
          <cell r="D693">
            <v>5</v>
          </cell>
          <cell r="E693">
            <v>2400</v>
          </cell>
          <cell r="F693" t="str">
            <v>Plastic Clip on plates</v>
          </cell>
          <cell r="G693" t="str">
            <v>COPA Wiring Accessories</v>
          </cell>
          <cell r="H693" t="str">
            <v>MEM series</v>
          </cell>
          <cell r="I693" t="str">
            <v>GREY CVR C351/3/5 &amp; 1G DIMMERS</v>
          </cell>
        </row>
        <row r="694">
          <cell r="C694" t="str">
            <v>CP351SV</v>
          </cell>
          <cell r="D694">
            <v>5</v>
          </cell>
          <cell r="E694">
            <v>2400</v>
          </cell>
          <cell r="F694" t="str">
            <v>Plastic Clip on plates</v>
          </cell>
          <cell r="G694" t="str">
            <v>COPA Wiring Accessories</v>
          </cell>
          <cell r="H694" t="str">
            <v>MEM series</v>
          </cell>
          <cell r="I694" t="str">
            <v>SV CV C351/3/5  ALL 1G DIMMERS</v>
          </cell>
        </row>
        <row r="695">
          <cell r="C695" t="str">
            <v>CP351WH</v>
          </cell>
          <cell r="D695">
            <v>5</v>
          </cell>
          <cell r="E695">
            <v>2400</v>
          </cell>
          <cell r="F695" t="str">
            <v>Plastic Clip on plates</v>
          </cell>
          <cell r="G695" t="str">
            <v>COPA Wiring Accessories</v>
          </cell>
          <cell r="H695" t="str">
            <v>MEM series</v>
          </cell>
          <cell r="I695" t="str">
            <v>WH CV C351/3/5  ALL 1G DIMMERS</v>
          </cell>
        </row>
        <row r="696">
          <cell r="C696" t="str">
            <v>CP352BL</v>
          </cell>
          <cell r="D696">
            <v>5</v>
          </cell>
          <cell r="E696">
            <v>2400</v>
          </cell>
          <cell r="F696" t="str">
            <v>Plastic Clip on plates</v>
          </cell>
          <cell r="G696" t="str">
            <v>COPA Wiring Accessories</v>
          </cell>
          <cell r="H696" t="str">
            <v>MEM series</v>
          </cell>
          <cell r="I696" t="str">
            <v>BL COVER FOR C352  C354  C356</v>
          </cell>
        </row>
        <row r="697">
          <cell r="C697" t="str">
            <v>CP352BM</v>
          </cell>
          <cell r="D697">
            <v>5</v>
          </cell>
          <cell r="E697">
            <v>2400</v>
          </cell>
          <cell r="F697" t="str">
            <v>Plastic Clip on plates</v>
          </cell>
          <cell r="G697" t="str">
            <v>COPA Wiring Accessories</v>
          </cell>
          <cell r="H697" t="str">
            <v>MEM series</v>
          </cell>
          <cell r="I697" t="str">
            <v>BK COVER FOR C352  C354  C356</v>
          </cell>
        </row>
        <row r="698">
          <cell r="C698" t="str">
            <v>CP352GL</v>
          </cell>
          <cell r="D698">
            <v>5</v>
          </cell>
          <cell r="E698">
            <v>2400</v>
          </cell>
          <cell r="F698" t="str">
            <v>Plastic Clip on plates</v>
          </cell>
          <cell r="G698" t="str">
            <v>COPA Wiring Accessories</v>
          </cell>
          <cell r="H698" t="str">
            <v>MEM series</v>
          </cell>
          <cell r="I698" t="str">
            <v>GL COVER FOR C352  C354  C356</v>
          </cell>
        </row>
        <row r="699">
          <cell r="C699" t="str">
            <v>CP352GY</v>
          </cell>
          <cell r="D699">
            <v>5</v>
          </cell>
          <cell r="E699">
            <v>2400</v>
          </cell>
          <cell r="F699" t="str">
            <v>Plastic Clip on plates</v>
          </cell>
          <cell r="G699" t="str">
            <v>COPA Wiring Accessories</v>
          </cell>
          <cell r="H699" t="str">
            <v>MEM series</v>
          </cell>
          <cell r="I699" t="str">
            <v>GY CVR FOR C352/4/6</v>
          </cell>
        </row>
        <row r="700">
          <cell r="C700" t="str">
            <v>CP352SV</v>
          </cell>
          <cell r="D700">
            <v>5</v>
          </cell>
          <cell r="E700">
            <v>2400</v>
          </cell>
          <cell r="F700" t="str">
            <v>Plastic Clip on plates</v>
          </cell>
          <cell r="G700" t="str">
            <v>COPA Wiring Accessories</v>
          </cell>
          <cell r="H700" t="str">
            <v>MEM series</v>
          </cell>
          <cell r="I700" t="str">
            <v>SV COVER FOR C352  C354  C356</v>
          </cell>
        </row>
        <row r="701">
          <cell r="C701" t="str">
            <v>CP352WH</v>
          </cell>
          <cell r="D701">
            <v>5</v>
          </cell>
          <cell r="E701">
            <v>2400</v>
          </cell>
          <cell r="F701" t="str">
            <v>Plastic Clip on plates</v>
          </cell>
          <cell r="G701" t="str">
            <v>COPA Wiring Accessories</v>
          </cell>
          <cell r="H701" t="str">
            <v>MEM series</v>
          </cell>
          <cell r="I701" t="str">
            <v>WH COVER FOR C352  C354  C356</v>
          </cell>
        </row>
        <row r="702">
          <cell r="C702" t="str">
            <v>CP359BL</v>
          </cell>
          <cell r="D702">
            <v>5</v>
          </cell>
          <cell r="E702">
            <v>2400</v>
          </cell>
          <cell r="F702" t="str">
            <v>Plastic Clip on plates</v>
          </cell>
          <cell r="G702" t="str">
            <v>COPA Wiring Accessories</v>
          </cell>
          <cell r="H702" t="str">
            <v>MEM series</v>
          </cell>
          <cell r="I702" t="str">
            <v>BLUE COVER FOR C359</v>
          </cell>
        </row>
        <row r="703">
          <cell r="C703" t="str">
            <v>CP359BM</v>
          </cell>
          <cell r="D703">
            <v>5</v>
          </cell>
          <cell r="E703">
            <v>2400</v>
          </cell>
          <cell r="F703" t="str">
            <v>Plastic Clip on plates</v>
          </cell>
          <cell r="G703" t="str">
            <v>COPA Wiring Accessories</v>
          </cell>
          <cell r="H703" t="str">
            <v>MEM series</v>
          </cell>
          <cell r="I703" t="str">
            <v>BLACK COVER FOR C359</v>
          </cell>
        </row>
        <row r="704">
          <cell r="C704" t="str">
            <v>CP359GL</v>
          </cell>
          <cell r="D704">
            <v>5</v>
          </cell>
          <cell r="E704">
            <v>2400</v>
          </cell>
          <cell r="F704" t="str">
            <v>Plastic Clip on plates</v>
          </cell>
          <cell r="G704" t="str">
            <v>COPA Wiring Accessories</v>
          </cell>
          <cell r="H704" t="str">
            <v>MEM series</v>
          </cell>
          <cell r="I704" t="str">
            <v>GOLD COVER FOR C359</v>
          </cell>
        </row>
        <row r="705">
          <cell r="C705" t="str">
            <v>CP359GY</v>
          </cell>
          <cell r="D705">
            <v>5</v>
          </cell>
          <cell r="E705">
            <v>2400</v>
          </cell>
          <cell r="F705" t="str">
            <v>Plastic Clip on plates</v>
          </cell>
          <cell r="G705" t="str">
            <v>COPA Wiring Accessories</v>
          </cell>
          <cell r="H705" t="str">
            <v>MEM series</v>
          </cell>
          <cell r="I705" t="str">
            <v>GY CVR FOR C359</v>
          </cell>
        </row>
        <row r="706">
          <cell r="C706" t="str">
            <v>CP359SV</v>
          </cell>
          <cell r="D706">
            <v>5</v>
          </cell>
          <cell r="E706">
            <v>2400</v>
          </cell>
          <cell r="F706" t="str">
            <v>Plastic Clip on plates</v>
          </cell>
          <cell r="G706" t="str">
            <v>COPA Wiring Accessories</v>
          </cell>
          <cell r="H706" t="str">
            <v>MEM series</v>
          </cell>
          <cell r="I706" t="str">
            <v>SILVER COVER FOR C359</v>
          </cell>
        </row>
        <row r="707">
          <cell r="C707" t="str">
            <v>CP359WH</v>
          </cell>
          <cell r="D707">
            <v>5</v>
          </cell>
          <cell r="E707">
            <v>2400</v>
          </cell>
          <cell r="F707" t="str">
            <v>Plastic Clip on plates</v>
          </cell>
          <cell r="G707" t="str">
            <v>COPA Wiring Accessories</v>
          </cell>
          <cell r="H707" t="str">
            <v>MEM series</v>
          </cell>
          <cell r="I707" t="str">
            <v>WHITE COVER FOR C359</v>
          </cell>
        </row>
        <row r="708">
          <cell r="C708" t="str">
            <v>CP360BL</v>
          </cell>
          <cell r="D708">
            <v>5</v>
          </cell>
          <cell r="E708">
            <v>2400</v>
          </cell>
          <cell r="F708" t="str">
            <v>Plastic Clip on plates</v>
          </cell>
          <cell r="G708" t="str">
            <v>COPA Wiring Accessories</v>
          </cell>
          <cell r="H708" t="str">
            <v>MEM series</v>
          </cell>
          <cell r="I708" t="str">
            <v>BLUE CVR C360  C361 C362 C363</v>
          </cell>
        </row>
        <row r="709">
          <cell r="C709" t="str">
            <v>CP360BM</v>
          </cell>
          <cell r="D709">
            <v>5</v>
          </cell>
          <cell r="E709">
            <v>2400</v>
          </cell>
          <cell r="F709" t="str">
            <v>Plastic Clip on plates</v>
          </cell>
          <cell r="G709" t="str">
            <v>COPA Wiring Accessories</v>
          </cell>
          <cell r="H709" t="str">
            <v>MEM series</v>
          </cell>
          <cell r="I709" t="str">
            <v>BLACK CVR C360  C361 C362 C363</v>
          </cell>
        </row>
        <row r="710">
          <cell r="C710" t="str">
            <v>CP360GL</v>
          </cell>
          <cell r="D710">
            <v>5</v>
          </cell>
          <cell r="E710">
            <v>2400</v>
          </cell>
          <cell r="F710" t="str">
            <v>Plastic Clip on plates</v>
          </cell>
          <cell r="G710" t="str">
            <v>COPA Wiring Accessories</v>
          </cell>
          <cell r="H710" t="str">
            <v>MEM series</v>
          </cell>
          <cell r="I710" t="str">
            <v>GOLD CVR C360  C361 C362 C363</v>
          </cell>
        </row>
        <row r="711">
          <cell r="C711" t="str">
            <v>CP360GY</v>
          </cell>
          <cell r="D711">
            <v>5</v>
          </cell>
          <cell r="E711">
            <v>2400</v>
          </cell>
          <cell r="F711" t="str">
            <v>Plastic Clip on plates</v>
          </cell>
          <cell r="G711" t="str">
            <v>COPA Wiring Accessories</v>
          </cell>
          <cell r="H711" t="str">
            <v>MEM series</v>
          </cell>
          <cell r="I711" t="str">
            <v>GY CVR FOR C360 C361</v>
          </cell>
        </row>
        <row r="712">
          <cell r="C712" t="str">
            <v>CP360SV</v>
          </cell>
          <cell r="D712">
            <v>5</v>
          </cell>
          <cell r="E712">
            <v>2400</v>
          </cell>
          <cell r="F712" t="str">
            <v>Plastic Clip on plates</v>
          </cell>
          <cell r="G712" t="str">
            <v>COPA Wiring Accessories</v>
          </cell>
          <cell r="H712" t="str">
            <v>MEM series</v>
          </cell>
          <cell r="I712" t="str">
            <v>SILVER CV C360  C361 C362 C363</v>
          </cell>
        </row>
        <row r="713">
          <cell r="C713" t="str">
            <v>CP360WH</v>
          </cell>
          <cell r="D713">
            <v>5</v>
          </cell>
          <cell r="E713">
            <v>2400</v>
          </cell>
          <cell r="F713" t="str">
            <v>Plastic Clip on plates</v>
          </cell>
          <cell r="G713" t="str">
            <v>COPA Wiring Accessories</v>
          </cell>
          <cell r="H713" t="str">
            <v>MEM series</v>
          </cell>
          <cell r="I713" t="str">
            <v>WHITE CVR C360  C361 C362 C363</v>
          </cell>
        </row>
        <row r="714">
          <cell r="C714" t="str">
            <v>CP370BL</v>
          </cell>
          <cell r="D714">
            <v>5</v>
          </cell>
          <cell r="E714">
            <v>2400</v>
          </cell>
          <cell r="F714" t="str">
            <v>Plastic Clip on plates</v>
          </cell>
          <cell r="G714" t="str">
            <v>COPA Wiring Accessories</v>
          </cell>
          <cell r="H714" t="str">
            <v>MEM series</v>
          </cell>
          <cell r="I714" t="str">
            <v>BLUE COVER FOR C370</v>
          </cell>
        </row>
        <row r="715">
          <cell r="C715" t="str">
            <v>CP370BM</v>
          </cell>
          <cell r="D715">
            <v>5</v>
          </cell>
          <cell r="E715">
            <v>2400</v>
          </cell>
          <cell r="F715" t="str">
            <v>Plastic Clip on plates</v>
          </cell>
          <cell r="G715" t="str">
            <v>COPA Wiring Accessories</v>
          </cell>
          <cell r="H715" t="str">
            <v>MEM series</v>
          </cell>
          <cell r="I715" t="str">
            <v>BLACK COVER FOR C370</v>
          </cell>
        </row>
        <row r="716">
          <cell r="C716" t="str">
            <v>CP370GL</v>
          </cell>
          <cell r="D716">
            <v>5</v>
          </cell>
          <cell r="E716">
            <v>2400</v>
          </cell>
          <cell r="F716" t="str">
            <v>Plastic Clip on plates</v>
          </cell>
          <cell r="G716" t="str">
            <v>COPA Wiring Accessories</v>
          </cell>
          <cell r="H716" t="str">
            <v>MEM series</v>
          </cell>
          <cell r="I716" t="str">
            <v>GOLD COVER FOR C370</v>
          </cell>
        </row>
        <row r="717">
          <cell r="C717" t="str">
            <v>CP370GY</v>
          </cell>
          <cell r="D717">
            <v>5</v>
          </cell>
          <cell r="E717">
            <v>2400</v>
          </cell>
          <cell r="F717" t="str">
            <v>Plastic Clip on plates</v>
          </cell>
          <cell r="G717" t="str">
            <v>COPA Wiring Accessories</v>
          </cell>
          <cell r="H717" t="str">
            <v>MEM series</v>
          </cell>
          <cell r="I717" t="str">
            <v>GY CVR FOR C370</v>
          </cell>
        </row>
        <row r="718">
          <cell r="C718" t="str">
            <v>CP370SV</v>
          </cell>
          <cell r="D718">
            <v>5</v>
          </cell>
          <cell r="E718">
            <v>2400</v>
          </cell>
          <cell r="F718" t="str">
            <v>Plastic Clip on plates</v>
          </cell>
          <cell r="G718" t="str">
            <v>COPA Wiring Accessories</v>
          </cell>
          <cell r="H718" t="str">
            <v>MEM series</v>
          </cell>
          <cell r="I718" t="str">
            <v>SILVER COVER FOR C370</v>
          </cell>
        </row>
        <row r="719">
          <cell r="C719" t="str">
            <v>CP370WH</v>
          </cell>
          <cell r="D719">
            <v>5</v>
          </cell>
          <cell r="E719">
            <v>2400</v>
          </cell>
          <cell r="F719" t="str">
            <v>Plastic Clip on plates</v>
          </cell>
          <cell r="G719" t="str">
            <v>COPA Wiring Accessories</v>
          </cell>
          <cell r="H719" t="str">
            <v>MEM series</v>
          </cell>
          <cell r="I719" t="str">
            <v>WHITE COVER FOR C370</v>
          </cell>
        </row>
        <row r="720">
          <cell r="C720" t="str">
            <v>CP391BL</v>
          </cell>
          <cell r="D720">
            <v>5</v>
          </cell>
          <cell r="E720">
            <v>2400</v>
          </cell>
          <cell r="F720" t="str">
            <v>Plastic Clip on plates</v>
          </cell>
          <cell r="G720" t="str">
            <v>COPA Wiring Accessories</v>
          </cell>
          <cell r="H720" t="str">
            <v>MEM series</v>
          </cell>
          <cell r="I720" t="str">
            <v>BLUE COVER FOR C391</v>
          </cell>
        </row>
        <row r="721">
          <cell r="C721" t="str">
            <v>CP391BM</v>
          </cell>
          <cell r="D721">
            <v>5</v>
          </cell>
          <cell r="E721">
            <v>2400</v>
          </cell>
          <cell r="F721" t="str">
            <v>Plastic Clip on plates</v>
          </cell>
          <cell r="G721" t="str">
            <v>COPA Wiring Accessories</v>
          </cell>
          <cell r="H721" t="str">
            <v>MEM series</v>
          </cell>
          <cell r="I721" t="str">
            <v>BLACK COVER FOR C391</v>
          </cell>
        </row>
        <row r="722">
          <cell r="C722" t="str">
            <v>CP391GL</v>
          </cell>
          <cell r="D722">
            <v>5</v>
          </cell>
          <cell r="E722">
            <v>2400</v>
          </cell>
          <cell r="F722" t="str">
            <v>Plastic Clip on plates</v>
          </cell>
          <cell r="G722" t="str">
            <v>COPA Wiring Accessories</v>
          </cell>
          <cell r="H722" t="str">
            <v>MEM series</v>
          </cell>
          <cell r="I722" t="str">
            <v>GOLD COVER FOR C391</v>
          </cell>
        </row>
        <row r="723">
          <cell r="C723" t="str">
            <v>CP391GY</v>
          </cell>
          <cell r="D723">
            <v>5</v>
          </cell>
          <cell r="E723">
            <v>2400</v>
          </cell>
          <cell r="F723" t="str">
            <v>Plastic Clip on plates</v>
          </cell>
          <cell r="G723" t="str">
            <v>COPA Wiring Accessories</v>
          </cell>
          <cell r="H723" t="str">
            <v>MEM series</v>
          </cell>
          <cell r="I723" t="str">
            <v>GY CVR FOR C391</v>
          </cell>
        </row>
        <row r="724">
          <cell r="C724" t="str">
            <v>CP391SV</v>
          </cell>
          <cell r="D724">
            <v>5</v>
          </cell>
          <cell r="E724">
            <v>2400</v>
          </cell>
          <cell r="F724" t="str">
            <v>Plastic Clip on plates</v>
          </cell>
          <cell r="G724" t="str">
            <v>COPA Wiring Accessories</v>
          </cell>
          <cell r="H724" t="str">
            <v>MEM series</v>
          </cell>
          <cell r="I724" t="str">
            <v>SILVER COVER FOR C391</v>
          </cell>
        </row>
        <row r="725">
          <cell r="C725" t="str">
            <v>CP391WH</v>
          </cell>
          <cell r="D725">
            <v>5</v>
          </cell>
          <cell r="E725">
            <v>2400</v>
          </cell>
          <cell r="F725" t="str">
            <v>Plastic Clip on plates</v>
          </cell>
          <cell r="G725" t="str">
            <v>COPA Wiring Accessories</v>
          </cell>
          <cell r="H725" t="str">
            <v>MEM series</v>
          </cell>
          <cell r="I725" t="str">
            <v>WHITE COVER FOR C391</v>
          </cell>
        </row>
        <row r="726">
          <cell r="C726" t="str">
            <v>CP392BL</v>
          </cell>
          <cell r="D726">
            <v>5</v>
          </cell>
          <cell r="E726">
            <v>2400</v>
          </cell>
          <cell r="F726" t="str">
            <v>Plastic Clip on plates</v>
          </cell>
          <cell r="G726" t="str">
            <v>COPA Wiring Accessories</v>
          </cell>
          <cell r="H726" t="str">
            <v>MEM series</v>
          </cell>
          <cell r="I726" t="str">
            <v>BLUE COVER FOR C392</v>
          </cell>
        </row>
        <row r="727">
          <cell r="C727" t="str">
            <v>CP392BM</v>
          </cell>
          <cell r="D727">
            <v>5</v>
          </cell>
          <cell r="E727">
            <v>2400</v>
          </cell>
          <cell r="F727" t="str">
            <v>Plastic Clip on plates</v>
          </cell>
          <cell r="G727" t="str">
            <v>COPA Wiring Accessories</v>
          </cell>
          <cell r="H727" t="str">
            <v>MEM series</v>
          </cell>
          <cell r="I727" t="str">
            <v>BLACK COVER FOR C392</v>
          </cell>
        </row>
        <row r="728">
          <cell r="C728" t="str">
            <v>CP392GL</v>
          </cell>
          <cell r="D728">
            <v>5</v>
          </cell>
          <cell r="E728">
            <v>2400</v>
          </cell>
          <cell r="F728" t="str">
            <v>Plastic Clip on plates</v>
          </cell>
          <cell r="G728" t="str">
            <v>COPA Wiring Accessories</v>
          </cell>
          <cell r="H728" t="str">
            <v>MEM series</v>
          </cell>
          <cell r="I728" t="str">
            <v>GOLD COVER FOR C392</v>
          </cell>
        </row>
        <row r="729">
          <cell r="C729" t="str">
            <v>CP392GY</v>
          </cell>
          <cell r="D729">
            <v>5</v>
          </cell>
          <cell r="E729">
            <v>2400</v>
          </cell>
          <cell r="F729" t="str">
            <v>Plastic Clip on plates</v>
          </cell>
          <cell r="G729" t="str">
            <v>COPA Wiring Accessories</v>
          </cell>
          <cell r="H729" t="str">
            <v>MEM series</v>
          </cell>
          <cell r="I729" t="str">
            <v>GY CVR FOR C392</v>
          </cell>
        </row>
        <row r="730">
          <cell r="C730" t="str">
            <v>CP392SV</v>
          </cell>
          <cell r="D730">
            <v>5</v>
          </cell>
          <cell r="E730">
            <v>2400</v>
          </cell>
          <cell r="F730" t="str">
            <v>Plastic Clip on plates</v>
          </cell>
          <cell r="G730" t="str">
            <v>COPA Wiring Accessories</v>
          </cell>
          <cell r="H730" t="str">
            <v>MEM series</v>
          </cell>
          <cell r="I730" t="str">
            <v>SILVER COVER FOR C392</v>
          </cell>
        </row>
        <row r="731">
          <cell r="C731" t="str">
            <v>CP392WH</v>
          </cell>
          <cell r="D731">
            <v>5</v>
          </cell>
          <cell r="E731">
            <v>2400</v>
          </cell>
          <cell r="F731" t="str">
            <v>Plastic Clip on plates</v>
          </cell>
          <cell r="G731" t="str">
            <v>COPA Wiring Accessories</v>
          </cell>
          <cell r="H731" t="str">
            <v>MEM series</v>
          </cell>
          <cell r="I731" t="str">
            <v>WHITE COVER FOR C392</v>
          </cell>
        </row>
        <row r="732">
          <cell r="C732" t="str">
            <v>CP401BL</v>
          </cell>
          <cell r="D732">
            <v>5</v>
          </cell>
          <cell r="E732">
            <v>2400</v>
          </cell>
          <cell r="F732" t="str">
            <v>Plastic Clip on plates</v>
          </cell>
          <cell r="G732" t="str">
            <v>COPA Wiring Accessories</v>
          </cell>
          <cell r="H732" t="str">
            <v>MEM series</v>
          </cell>
          <cell r="I732" t="str">
            <v>BLUE COVER FOR C401</v>
          </cell>
        </row>
        <row r="733">
          <cell r="C733" t="str">
            <v>CP401BM</v>
          </cell>
          <cell r="D733">
            <v>5</v>
          </cell>
          <cell r="E733">
            <v>2400</v>
          </cell>
          <cell r="F733" t="str">
            <v>Plastic Clip on plates</v>
          </cell>
          <cell r="G733" t="str">
            <v>COPA Wiring Accessories</v>
          </cell>
          <cell r="H733" t="str">
            <v>MEM series</v>
          </cell>
          <cell r="I733" t="str">
            <v>BLACK COVER FOR C401</v>
          </cell>
        </row>
        <row r="734">
          <cell r="C734" t="str">
            <v>CP401GL</v>
          </cell>
          <cell r="D734">
            <v>5</v>
          </cell>
          <cell r="E734">
            <v>2400</v>
          </cell>
          <cell r="F734" t="str">
            <v>Plastic Clip on plates</v>
          </cell>
          <cell r="G734" t="str">
            <v>COPA Wiring Accessories</v>
          </cell>
          <cell r="H734" t="str">
            <v>MEM series</v>
          </cell>
          <cell r="I734" t="str">
            <v>GOLD COVER FOR C401</v>
          </cell>
        </row>
        <row r="735">
          <cell r="C735" t="str">
            <v>CP401GY</v>
          </cell>
          <cell r="D735">
            <v>5</v>
          </cell>
          <cell r="E735">
            <v>2400</v>
          </cell>
          <cell r="F735" t="str">
            <v>Plastic Clip on plates</v>
          </cell>
          <cell r="G735" t="str">
            <v>COPA Wiring Accessories</v>
          </cell>
          <cell r="H735" t="str">
            <v>MEM series</v>
          </cell>
          <cell r="I735" t="str">
            <v>GY COVER FOR C401</v>
          </cell>
        </row>
        <row r="736">
          <cell r="C736" t="str">
            <v>CP401NBL</v>
          </cell>
          <cell r="D736">
            <v>5</v>
          </cell>
          <cell r="E736">
            <v>2400</v>
          </cell>
          <cell r="F736" t="str">
            <v>Plastic Clip on plates</v>
          </cell>
          <cell r="G736" t="str">
            <v>COPA Wiring Accessories</v>
          </cell>
          <cell r="H736" t="str">
            <v>MEM series</v>
          </cell>
          <cell r="I736" t="str">
            <v>BLUE COVER FOR C401N</v>
          </cell>
        </row>
        <row r="737">
          <cell r="C737" t="str">
            <v>CP401NBM</v>
          </cell>
          <cell r="D737">
            <v>5</v>
          </cell>
          <cell r="E737">
            <v>2400</v>
          </cell>
          <cell r="F737" t="str">
            <v>Plastic Clip on plates</v>
          </cell>
          <cell r="G737" t="str">
            <v>COPA Wiring Accessories</v>
          </cell>
          <cell r="H737" t="str">
            <v>MEM series</v>
          </cell>
          <cell r="I737" t="str">
            <v>BLACK COVER FOR C401N</v>
          </cell>
        </row>
        <row r="738">
          <cell r="C738" t="str">
            <v>CP401NGL</v>
          </cell>
          <cell r="D738">
            <v>5</v>
          </cell>
          <cell r="E738">
            <v>2400</v>
          </cell>
          <cell r="F738" t="str">
            <v>Plastic Clip on plates</v>
          </cell>
          <cell r="G738" t="str">
            <v>COPA Wiring Accessories</v>
          </cell>
          <cell r="H738" t="str">
            <v>MEM series</v>
          </cell>
          <cell r="I738" t="str">
            <v>GOLD COVER FOR C401N</v>
          </cell>
        </row>
        <row r="739">
          <cell r="C739" t="str">
            <v>CP401NGY</v>
          </cell>
          <cell r="D739">
            <v>5</v>
          </cell>
          <cell r="E739">
            <v>2400</v>
          </cell>
          <cell r="F739" t="str">
            <v>Plastic Clip on plates</v>
          </cell>
          <cell r="G739" t="str">
            <v>COPA Wiring Accessories</v>
          </cell>
          <cell r="H739" t="str">
            <v>MEM series</v>
          </cell>
          <cell r="I739" t="str">
            <v>GREY COVER FOR C401N</v>
          </cell>
        </row>
        <row r="740">
          <cell r="C740" t="str">
            <v>CP401NSV</v>
          </cell>
          <cell r="D740">
            <v>5</v>
          </cell>
          <cell r="E740">
            <v>2400</v>
          </cell>
          <cell r="F740" t="str">
            <v>Plastic Clip on plates</v>
          </cell>
          <cell r="G740" t="str">
            <v>COPA Wiring Accessories</v>
          </cell>
          <cell r="H740" t="str">
            <v>MEM series</v>
          </cell>
          <cell r="I740" t="str">
            <v>SILVER COVER FOR C401N</v>
          </cell>
        </row>
        <row r="741">
          <cell r="C741" t="str">
            <v>CP401NWH</v>
          </cell>
          <cell r="D741">
            <v>5</v>
          </cell>
          <cell r="E741">
            <v>2400</v>
          </cell>
          <cell r="F741" t="str">
            <v>Plastic Clip on plates</v>
          </cell>
          <cell r="G741" t="str">
            <v>COPA Wiring Accessories</v>
          </cell>
          <cell r="H741" t="str">
            <v>MEM series</v>
          </cell>
          <cell r="I741" t="str">
            <v>WHITE COVER FOR C401N</v>
          </cell>
        </row>
        <row r="742">
          <cell r="C742" t="str">
            <v>CP401SV</v>
          </cell>
          <cell r="D742">
            <v>5</v>
          </cell>
          <cell r="E742">
            <v>2400</v>
          </cell>
          <cell r="F742" t="str">
            <v>Plastic Clip on plates</v>
          </cell>
          <cell r="G742" t="str">
            <v>COPA Wiring Accessories</v>
          </cell>
          <cell r="H742" t="str">
            <v>MEM series</v>
          </cell>
          <cell r="I742" t="str">
            <v>SILVER COVER FOR C401</v>
          </cell>
        </row>
        <row r="743">
          <cell r="C743" t="str">
            <v>CP401WH</v>
          </cell>
          <cell r="D743">
            <v>5</v>
          </cell>
          <cell r="E743">
            <v>2400</v>
          </cell>
          <cell r="F743" t="str">
            <v>Plastic Clip on plates</v>
          </cell>
          <cell r="G743" t="str">
            <v>COPA Wiring Accessories</v>
          </cell>
          <cell r="H743" t="str">
            <v>MEM series</v>
          </cell>
          <cell r="I743" t="str">
            <v>WHITE COVER FOR C401</v>
          </cell>
        </row>
        <row r="744">
          <cell r="C744" t="str">
            <v>CP403NBL</v>
          </cell>
          <cell r="D744">
            <v>5</v>
          </cell>
          <cell r="E744">
            <v>2400</v>
          </cell>
          <cell r="F744" t="str">
            <v>Plastic Clip on plates</v>
          </cell>
          <cell r="G744" t="str">
            <v>COPA Wiring Accessories</v>
          </cell>
          <cell r="H744" t="str">
            <v>MEM series</v>
          </cell>
          <cell r="I744" t="str">
            <v>BL CVR FOR C401N WATER HEATER</v>
          </cell>
        </row>
        <row r="745">
          <cell r="C745" t="str">
            <v>CP403NBM</v>
          </cell>
          <cell r="D745">
            <v>5</v>
          </cell>
          <cell r="E745">
            <v>2400</v>
          </cell>
          <cell r="F745" t="str">
            <v>Plastic Clip on plates</v>
          </cell>
          <cell r="G745" t="str">
            <v>COPA Wiring Accessories</v>
          </cell>
          <cell r="H745" t="str">
            <v>MEM series</v>
          </cell>
          <cell r="I745" t="str">
            <v>BK CVR FOR C401N WATER HEATER</v>
          </cell>
        </row>
        <row r="746">
          <cell r="C746" t="str">
            <v>CP403NGL</v>
          </cell>
          <cell r="D746">
            <v>5</v>
          </cell>
          <cell r="E746">
            <v>2400</v>
          </cell>
          <cell r="F746" t="str">
            <v>Plastic Clip on plates</v>
          </cell>
          <cell r="G746" t="str">
            <v>COPA Wiring Accessories</v>
          </cell>
          <cell r="H746" t="str">
            <v>MEM series</v>
          </cell>
          <cell r="I746" t="str">
            <v>GL CVR FOR C401N WATER HEATER</v>
          </cell>
        </row>
        <row r="747">
          <cell r="C747" t="str">
            <v>CP403NSV</v>
          </cell>
          <cell r="D747">
            <v>5</v>
          </cell>
          <cell r="E747">
            <v>2400</v>
          </cell>
          <cell r="F747" t="str">
            <v>Plastic Clip on plates</v>
          </cell>
          <cell r="G747" t="str">
            <v>COPA Wiring Accessories</v>
          </cell>
          <cell r="H747" t="str">
            <v>MEM series</v>
          </cell>
          <cell r="I747" t="str">
            <v>SV CVR FOR C401N WATER HEATER</v>
          </cell>
        </row>
        <row r="748">
          <cell r="C748" t="str">
            <v>CP403NWH</v>
          </cell>
          <cell r="D748">
            <v>5</v>
          </cell>
          <cell r="E748">
            <v>2400</v>
          </cell>
          <cell r="F748" t="str">
            <v>Plastic Clip on plates</v>
          </cell>
          <cell r="G748" t="str">
            <v>COPA Wiring Accessories</v>
          </cell>
          <cell r="H748" t="str">
            <v>MEM series</v>
          </cell>
          <cell r="I748" t="str">
            <v>CVR FOR C401N WATER HEATER</v>
          </cell>
        </row>
        <row r="749">
          <cell r="C749" t="str">
            <v>CP403WH</v>
          </cell>
          <cell r="D749">
            <v>5</v>
          </cell>
          <cell r="E749">
            <v>2400</v>
          </cell>
          <cell r="F749" t="str">
            <v>Plastic Clip on plates</v>
          </cell>
          <cell r="G749" t="str">
            <v>COPA Wiring Accessories</v>
          </cell>
          <cell r="H749" t="str">
            <v>MEM series</v>
          </cell>
          <cell r="I749" t="str">
            <v>COVER FOR C401 WATER HEATER</v>
          </cell>
        </row>
        <row r="750">
          <cell r="C750" t="str">
            <v>CP415BL</v>
          </cell>
          <cell r="D750">
            <v>5</v>
          </cell>
          <cell r="E750">
            <v>2400</v>
          </cell>
          <cell r="F750" t="str">
            <v>Plastic Clip on plates</v>
          </cell>
          <cell r="G750" t="str">
            <v>COPA Wiring Accessories</v>
          </cell>
          <cell r="H750" t="str">
            <v>MEM series</v>
          </cell>
          <cell r="I750" t="str">
            <v>BLUE COVER FOR C415</v>
          </cell>
        </row>
        <row r="751">
          <cell r="C751" t="str">
            <v>CP415BM</v>
          </cell>
          <cell r="D751">
            <v>5</v>
          </cell>
          <cell r="E751">
            <v>2400</v>
          </cell>
          <cell r="F751" t="str">
            <v>Plastic Clip on plates</v>
          </cell>
          <cell r="G751" t="str">
            <v>COPA Wiring Accessories</v>
          </cell>
          <cell r="H751" t="str">
            <v>MEM series</v>
          </cell>
          <cell r="I751" t="str">
            <v>BLACK COVER FOR C415</v>
          </cell>
        </row>
        <row r="752">
          <cell r="C752" t="str">
            <v>CP415GL</v>
          </cell>
          <cell r="D752">
            <v>5</v>
          </cell>
          <cell r="E752">
            <v>2400</v>
          </cell>
          <cell r="F752" t="str">
            <v>Plastic Clip on plates</v>
          </cell>
          <cell r="G752" t="str">
            <v>COPA Wiring Accessories</v>
          </cell>
          <cell r="H752" t="str">
            <v>MEM series</v>
          </cell>
          <cell r="I752" t="str">
            <v>GOLD COVER FOR C415</v>
          </cell>
        </row>
        <row r="753">
          <cell r="C753" t="str">
            <v>CP415GY</v>
          </cell>
          <cell r="D753">
            <v>5</v>
          </cell>
          <cell r="E753">
            <v>2400</v>
          </cell>
          <cell r="F753" t="str">
            <v>Plastic Clip on plates</v>
          </cell>
          <cell r="G753" t="str">
            <v>COPA Wiring Accessories</v>
          </cell>
          <cell r="H753" t="str">
            <v>MEM series</v>
          </cell>
          <cell r="I753" t="str">
            <v>GY CVR FOR C415</v>
          </cell>
        </row>
        <row r="754">
          <cell r="C754" t="str">
            <v>CP415SV</v>
          </cell>
          <cell r="D754">
            <v>5</v>
          </cell>
          <cell r="E754">
            <v>2400</v>
          </cell>
          <cell r="F754" t="str">
            <v>Plastic Clip on plates</v>
          </cell>
          <cell r="G754" t="str">
            <v>COPA Wiring Accessories</v>
          </cell>
          <cell r="H754" t="str">
            <v>MEM series</v>
          </cell>
          <cell r="I754" t="str">
            <v>SILVER COVER FOR C415</v>
          </cell>
        </row>
        <row r="755">
          <cell r="C755" t="str">
            <v>CP415WH</v>
          </cell>
          <cell r="D755">
            <v>5</v>
          </cell>
          <cell r="E755">
            <v>2400</v>
          </cell>
          <cell r="F755" t="str">
            <v>Plastic Clip on plates</v>
          </cell>
          <cell r="G755" t="str">
            <v>COPA Wiring Accessories</v>
          </cell>
          <cell r="H755" t="str">
            <v>MEM series</v>
          </cell>
          <cell r="I755" t="str">
            <v>WHITE COVER FOR C415</v>
          </cell>
        </row>
        <row r="756">
          <cell r="C756" t="str">
            <v>CP421NBL</v>
          </cell>
          <cell r="D756">
            <v>5</v>
          </cell>
          <cell r="E756">
            <v>2400</v>
          </cell>
          <cell r="F756" t="str">
            <v>Plastic Clip on plates</v>
          </cell>
          <cell r="G756" t="str">
            <v>COPA Wiring Accessories</v>
          </cell>
          <cell r="H756" t="str">
            <v>MEM series</v>
          </cell>
          <cell r="I756" t="str">
            <v>BLUE COVER FOR C421N</v>
          </cell>
        </row>
        <row r="757">
          <cell r="C757" t="str">
            <v>CP421NBM</v>
          </cell>
          <cell r="D757">
            <v>5</v>
          </cell>
          <cell r="E757">
            <v>2400</v>
          </cell>
          <cell r="F757" t="str">
            <v>Plastic Clip on plates</v>
          </cell>
          <cell r="G757" t="str">
            <v>COPA Wiring Accessories</v>
          </cell>
          <cell r="H757" t="str">
            <v>MEM series</v>
          </cell>
          <cell r="I757" t="str">
            <v>BLACK COVER FOR C421N</v>
          </cell>
        </row>
        <row r="758">
          <cell r="C758" t="str">
            <v>CP421NGL</v>
          </cell>
          <cell r="D758">
            <v>5</v>
          </cell>
          <cell r="E758">
            <v>2400</v>
          </cell>
          <cell r="F758" t="str">
            <v>Plastic Clip on plates</v>
          </cell>
          <cell r="G758" t="str">
            <v>COPA Wiring Accessories</v>
          </cell>
          <cell r="H758" t="str">
            <v>MEM series</v>
          </cell>
          <cell r="I758" t="str">
            <v>GOLD COVER FOR C421N</v>
          </cell>
        </row>
        <row r="759">
          <cell r="C759" t="str">
            <v>CP421NGY</v>
          </cell>
          <cell r="D759">
            <v>5</v>
          </cell>
          <cell r="E759">
            <v>2400</v>
          </cell>
          <cell r="F759" t="str">
            <v>Plastic Clip on plates</v>
          </cell>
          <cell r="G759" t="str">
            <v>COPA Wiring Accessories</v>
          </cell>
          <cell r="H759" t="str">
            <v>MEM series</v>
          </cell>
          <cell r="I759" t="str">
            <v>GY COVER FOR C421N</v>
          </cell>
        </row>
        <row r="760">
          <cell r="C760" t="str">
            <v>CP421NSV</v>
          </cell>
          <cell r="D760">
            <v>5</v>
          </cell>
          <cell r="E760">
            <v>2400</v>
          </cell>
          <cell r="F760" t="str">
            <v>Plastic Clip on plates</v>
          </cell>
          <cell r="G760" t="str">
            <v>COPA Wiring Accessories</v>
          </cell>
          <cell r="H760" t="str">
            <v>MEM series</v>
          </cell>
          <cell r="I760" t="str">
            <v>SILVER COVER FOR C421N</v>
          </cell>
        </row>
        <row r="761">
          <cell r="C761" t="str">
            <v>CP421NWH</v>
          </cell>
          <cell r="D761">
            <v>5</v>
          </cell>
          <cell r="E761">
            <v>2400</v>
          </cell>
          <cell r="F761" t="str">
            <v>Plastic Clip on plates</v>
          </cell>
          <cell r="G761" t="str">
            <v>COPA Wiring Accessories</v>
          </cell>
          <cell r="H761" t="str">
            <v>MEM series</v>
          </cell>
          <cell r="I761" t="str">
            <v>WHITE COVER FOR C421N</v>
          </cell>
        </row>
        <row r="762">
          <cell r="C762" t="str">
            <v>CP422NBL</v>
          </cell>
          <cell r="D762">
            <v>5</v>
          </cell>
          <cell r="E762">
            <v>2400</v>
          </cell>
          <cell r="F762" t="str">
            <v>Plastic Clip on plates</v>
          </cell>
          <cell r="G762" t="str">
            <v>COPA Wiring Accessories</v>
          </cell>
          <cell r="H762" t="str">
            <v>MEM series</v>
          </cell>
          <cell r="I762" t="str">
            <v>BLUE COVER FOR C422N</v>
          </cell>
        </row>
        <row r="763">
          <cell r="C763" t="str">
            <v>CP422NBM</v>
          </cell>
          <cell r="D763">
            <v>5</v>
          </cell>
          <cell r="E763">
            <v>2400</v>
          </cell>
          <cell r="F763" t="str">
            <v>Plastic Clip on plates</v>
          </cell>
          <cell r="G763" t="str">
            <v>COPA Wiring Accessories</v>
          </cell>
          <cell r="H763" t="str">
            <v>MEM series</v>
          </cell>
          <cell r="I763" t="str">
            <v>BLACK COVER FOR C422N</v>
          </cell>
        </row>
        <row r="764">
          <cell r="C764" t="str">
            <v>CP422NGL</v>
          </cell>
          <cell r="D764">
            <v>5</v>
          </cell>
          <cell r="E764">
            <v>2400</v>
          </cell>
          <cell r="F764" t="str">
            <v>Plastic Clip on plates</v>
          </cell>
          <cell r="G764" t="str">
            <v>COPA Wiring Accessories</v>
          </cell>
          <cell r="H764" t="str">
            <v>MEM series</v>
          </cell>
          <cell r="I764" t="str">
            <v>GOLD COVER FOR C422N</v>
          </cell>
        </row>
        <row r="765">
          <cell r="C765" t="str">
            <v>CP422NGY</v>
          </cell>
          <cell r="D765">
            <v>5</v>
          </cell>
          <cell r="E765">
            <v>2400</v>
          </cell>
          <cell r="F765" t="str">
            <v>Plastic Clip on plates</v>
          </cell>
          <cell r="G765" t="str">
            <v>COPA Wiring Accessories</v>
          </cell>
          <cell r="H765" t="str">
            <v>MEM series</v>
          </cell>
          <cell r="I765" t="str">
            <v>GY COVER FOR C422N</v>
          </cell>
        </row>
        <row r="766">
          <cell r="C766" t="str">
            <v>CP422NSV</v>
          </cell>
          <cell r="D766">
            <v>5</v>
          </cell>
          <cell r="E766">
            <v>2400</v>
          </cell>
          <cell r="F766" t="str">
            <v>Plastic Clip on plates</v>
          </cell>
          <cell r="G766" t="str">
            <v>COPA Wiring Accessories</v>
          </cell>
          <cell r="H766" t="str">
            <v>MEM series</v>
          </cell>
          <cell r="I766" t="str">
            <v>SILVER COVER FOR C422N</v>
          </cell>
        </row>
        <row r="767">
          <cell r="C767" t="str">
            <v>CP422NWH</v>
          </cell>
          <cell r="D767">
            <v>5</v>
          </cell>
          <cell r="E767">
            <v>2400</v>
          </cell>
          <cell r="F767" t="str">
            <v>Plastic Clip on plates</v>
          </cell>
          <cell r="G767" t="str">
            <v>COPA Wiring Accessories</v>
          </cell>
          <cell r="H767" t="str">
            <v>MEM series</v>
          </cell>
          <cell r="I767" t="str">
            <v>WHITE COVER FOR C422N</v>
          </cell>
        </row>
        <row r="768">
          <cell r="C768" t="str">
            <v>CP423NBM</v>
          </cell>
          <cell r="D768">
            <v>5</v>
          </cell>
          <cell r="E768">
            <v>2400</v>
          </cell>
          <cell r="F768" t="str">
            <v>Plastic Clip on plates</v>
          </cell>
          <cell r="G768" t="str">
            <v>COPA Wiring Accessories</v>
          </cell>
          <cell r="H768" t="str">
            <v>MEM series</v>
          </cell>
          <cell r="I768" t="str">
            <v>BLACK COVER FOR C321N COOKER</v>
          </cell>
        </row>
        <row r="769">
          <cell r="C769" t="str">
            <v>CP423NGY</v>
          </cell>
          <cell r="D769">
            <v>5</v>
          </cell>
          <cell r="E769">
            <v>2400</v>
          </cell>
          <cell r="F769" t="str">
            <v>Plastic Clip on plates</v>
          </cell>
          <cell r="G769" t="str">
            <v>COPA Wiring Accessories</v>
          </cell>
          <cell r="H769" t="str">
            <v>MEM series</v>
          </cell>
          <cell r="I769" t="str">
            <v>GY COVER FOR C321N COOKER</v>
          </cell>
        </row>
        <row r="770">
          <cell r="C770" t="str">
            <v>CP423NSV</v>
          </cell>
          <cell r="D770">
            <v>5</v>
          </cell>
          <cell r="E770">
            <v>2400</v>
          </cell>
          <cell r="F770" t="str">
            <v>Plastic Clip on plates</v>
          </cell>
          <cell r="G770" t="str">
            <v>COPA Wiring Accessories</v>
          </cell>
          <cell r="H770" t="str">
            <v>MEM series</v>
          </cell>
          <cell r="I770" t="str">
            <v>SILVER COVER FOR C321N COOKER</v>
          </cell>
        </row>
        <row r="771">
          <cell r="C771" t="str">
            <v>CP423NWH</v>
          </cell>
          <cell r="D771">
            <v>5</v>
          </cell>
          <cell r="E771">
            <v>2400</v>
          </cell>
          <cell r="F771" t="str">
            <v>Plastic Clip on plates</v>
          </cell>
          <cell r="G771" t="str">
            <v>COPA Wiring Accessories</v>
          </cell>
          <cell r="H771" t="str">
            <v>MEM series</v>
          </cell>
          <cell r="I771" t="str">
            <v>WHITE COVER FOR C321N COOKER</v>
          </cell>
        </row>
        <row r="772">
          <cell r="C772" t="str">
            <v>CP424NBL</v>
          </cell>
          <cell r="D772">
            <v>5</v>
          </cell>
          <cell r="E772">
            <v>2400</v>
          </cell>
          <cell r="F772" t="str">
            <v>Plastic Clip on plates</v>
          </cell>
          <cell r="G772" t="str">
            <v>COPA Wiring Accessories</v>
          </cell>
          <cell r="H772" t="str">
            <v>MEM series</v>
          </cell>
          <cell r="I772" t="str">
            <v>BL CVR C321N AIR CONDITIONER</v>
          </cell>
        </row>
        <row r="773">
          <cell r="C773" t="str">
            <v>CP424NBM</v>
          </cell>
          <cell r="D773">
            <v>5</v>
          </cell>
          <cell r="E773">
            <v>2400</v>
          </cell>
          <cell r="F773" t="str">
            <v>Plastic Clip on plates</v>
          </cell>
          <cell r="G773" t="str">
            <v>COPA Wiring Accessories</v>
          </cell>
          <cell r="H773" t="str">
            <v>MEM series</v>
          </cell>
          <cell r="I773" t="str">
            <v>BK CVR C321N AIR CONDITIONER</v>
          </cell>
        </row>
        <row r="774">
          <cell r="C774" t="str">
            <v>CP424NGL</v>
          </cell>
          <cell r="D774">
            <v>5</v>
          </cell>
          <cell r="E774">
            <v>2400</v>
          </cell>
          <cell r="F774" t="str">
            <v>Plastic Clip on plates</v>
          </cell>
          <cell r="G774" t="str">
            <v>COPA Wiring Accessories</v>
          </cell>
          <cell r="H774" t="str">
            <v>MEM series</v>
          </cell>
          <cell r="I774" t="str">
            <v>GL CVR C321N AIR CONDITIONER</v>
          </cell>
        </row>
        <row r="775">
          <cell r="C775" t="str">
            <v>CP424NSV</v>
          </cell>
          <cell r="D775">
            <v>5</v>
          </cell>
          <cell r="E775">
            <v>2400</v>
          </cell>
          <cell r="F775" t="str">
            <v>Plastic Clip on plates</v>
          </cell>
          <cell r="G775" t="str">
            <v>COPA Wiring Accessories</v>
          </cell>
          <cell r="H775" t="str">
            <v>MEM series</v>
          </cell>
          <cell r="I775" t="str">
            <v>SV CVR C321N AIR CONDITIONER</v>
          </cell>
        </row>
        <row r="776">
          <cell r="C776" t="str">
            <v>CP424NWH</v>
          </cell>
          <cell r="D776">
            <v>5</v>
          </cell>
          <cell r="E776">
            <v>2400</v>
          </cell>
          <cell r="F776" t="str">
            <v>Plastic Clip on plates</v>
          </cell>
          <cell r="G776" t="str">
            <v>COPA Wiring Accessories</v>
          </cell>
          <cell r="H776" t="str">
            <v>MEM series</v>
          </cell>
          <cell r="I776" t="str">
            <v>WH CVR C321N AIR CONDITIONER</v>
          </cell>
        </row>
        <row r="777">
          <cell r="C777" t="str">
            <v>CP425BL</v>
          </cell>
          <cell r="D777">
            <v>5</v>
          </cell>
          <cell r="E777">
            <v>2400</v>
          </cell>
          <cell r="F777" t="str">
            <v>Plastic Clip on plates</v>
          </cell>
          <cell r="G777" t="str">
            <v>COPA Wiring Accessories</v>
          </cell>
          <cell r="H777" t="str">
            <v>MEM series</v>
          </cell>
          <cell r="I777" t="str">
            <v>BLUE COVER FOR C425</v>
          </cell>
        </row>
        <row r="778">
          <cell r="C778" t="str">
            <v>CP425BM</v>
          </cell>
          <cell r="D778">
            <v>5</v>
          </cell>
          <cell r="E778">
            <v>2400</v>
          </cell>
          <cell r="F778" t="str">
            <v>Plastic Clip on plates</v>
          </cell>
          <cell r="G778" t="str">
            <v>COPA Wiring Accessories</v>
          </cell>
          <cell r="H778" t="str">
            <v>MEM series</v>
          </cell>
          <cell r="I778" t="str">
            <v>BLACK COVER FOR C425</v>
          </cell>
        </row>
        <row r="779">
          <cell r="C779" t="str">
            <v>CP425GL</v>
          </cell>
          <cell r="D779">
            <v>5</v>
          </cell>
          <cell r="E779">
            <v>2400</v>
          </cell>
          <cell r="F779" t="str">
            <v>Plastic Clip on plates</v>
          </cell>
          <cell r="G779" t="str">
            <v>COPA Wiring Accessories</v>
          </cell>
          <cell r="H779" t="str">
            <v>MEM series</v>
          </cell>
          <cell r="I779" t="str">
            <v>GOLD COVER FOR C425</v>
          </cell>
        </row>
        <row r="780">
          <cell r="C780" t="str">
            <v>CP425GY</v>
          </cell>
          <cell r="D780">
            <v>5</v>
          </cell>
          <cell r="E780">
            <v>2400</v>
          </cell>
          <cell r="F780" t="str">
            <v>Plastic Clip on plates</v>
          </cell>
          <cell r="G780" t="str">
            <v>COPA Wiring Accessories</v>
          </cell>
          <cell r="H780" t="str">
            <v>MEM series</v>
          </cell>
          <cell r="I780" t="str">
            <v>GREY COVER FOR C425</v>
          </cell>
        </row>
        <row r="781">
          <cell r="C781" t="str">
            <v>CP425NBL</v>
          </cell>
          <cell r="D781">
            <v>5</v>
          </cell>
          <cell r="E781">
            <v>2400</v>
          </cell>
          <cell r="F781" t="str">
            <v>Plastic Clip on plates</v>
          </cell>
          <cell r="G781" t="str">
            <v>COPA Wiring Accessories</v>
          </cell>
          <cell r="H781" t="str">
            <v>MEM series</v>
          </cell>
          <cell r="I781" t="str">
            <v>BLUE COVER FOR C425N</v>
          </cell>
        </row>
        <row r="782">
          <cell r="C782" t="str">
            <v>CP425NBM</v>
          </cell>
          <cell r="D782">
            <v>5</v>
          </cell>
          <cell r="E782">
            <v>2400</v>
          </cell>
          <cell r="F782" t="str">
            <v>Plastic Clip on plates</v>
          </cell>
          <cell r="G782" t="str">
            <v>COPA Wiring Accessories</v>
          </cell>
          <cell r="H782" t="str">
            <v>MEM series</v>
          </cell>
          <cell r="I782" t="str">
            <v>BLACK COVER FOR C425N</v>
          </cell>
        </row>
        <row r="783">
          <cell r="C783" t="str">
            <v>CP425NGL</v>
          </cell>
          <cell r="D783">
            <v>5</v>
          </cell>
          <cell r="E783">
            <v>2400</v>
          </cell>
          <cell r="F783" t="str">
            <v>Plastic Clip on plates</v>
          </cell>
          <cell r="G783" t="str">
            <v>COPA Wiring Accessories</v>
          </cell>
          <cell r="H783" t="str">
            <v>MEM series</v>
          </cell>
          <cell r="I783" t="str">
            <v>GOLD COVER FOR C425N</v>
          </cell>
        </row>
        <row r="784">
          <cell r="C784" t="str">
            <v>CP425NGY</v>
          </cell>
          <cell r="D784">
            <v>5</v>
          </cell>
          <cell r="E784">
            <v>2400</v>
          </cell>
          <cell r="F784" t="str">
            <v>Plastic Clip on plates</v>
          </cell>
          <cell r="G784" t="str">
            <v>COPA Wiring Accessories</v>
          </cell>
          <cell r="H784" t="str">
            <v>MEM series</v>
          </cell>
          <cell r="I784" t="str">
            <v>GY COVER FOR C425N</v>
          </cell>
        </row>
        <row r="785">
          <cell r="C785" t="str">
            <v>CP425NSV</v>
          </cell>
          <cell r="D785">
            <v>5</v>
          </cell>
          <cell r="E785">
            <v>2400</v>
          </cell>
          <cell r="F785" t="str">
            <v>Plastic Clip on plates</v>
          </cell>
          <cell r="G785" t="str">
            <v>COPA Wiring Accessories</v>
          </cell>
          <cell r="H785" t="str">
            <v>MEM series</v>
          </cell>
          <cell r="I785" t="str">
            <v>SILVER COVER FOR C425N</v>
          </cell>
        </row>
        <row r="786">
          <cell r="C786" t="str">
            <v>CP425NWH</v>
          </cell>
          <cell r="D786">
            <v>5</v>
          </cell>
          <cell r="E786">
            <v>2400</v>
          </cell>
          <cell r="F786" t="str">
            <v>Plastic Clip on plates</v>
          </cell>
          <cell r="G786" t="str">
            <v>COPA Wiring Accessories</v>
          </cell>
          <cell r="H786" t="str">
            <v>MEM series</v>
          </cell>
          <cell r="I786" t="str">
            <v>WHITE COVER FOR C425N</v>
          </cell>
        </row>
        <row r="787">
          <cell r="C787" t="str">
            <v>CP425SV</v>
          </cell>
          <cell r="D787">
            <v>5</v>
          </cell>
          <cell r="E787">
            <v>2400</v>
          </cell>
          <cell r="F787" t="str">
            <v>Plastic Clip on plates</v>
          </cell>
          <cell r="G787" t="str">
            <v>COPA Wiring Accessories</v>
          </cell>
          <cell r="H787" t="str">
            <v>MEM series</v>
          </cell>
          <cell r="I787" t="str">
            <v>SILVER COVER FOR C425</v>
          </cell>
        </row>
        <row r="788">
          <cell r="C788" t="str">
            <v>CP425WH</v>
          </cell>
          <cell r="D788">
            <v>5</v>
          </cell>
          <cell r="E788">
            <v>2400</v>
          </cell>
          <cell r="F788" t="str">
            <v>Plastic Clip on plates</v>
          </cell>
          <cell r="G788" t="str">
            <v>COPA Wiring Accessories</v>
          </cell>
          <cell r="H788" t="str">
            <v>MEM series</v>
          </cell>
          <cell r="I788" t="str">
            <v>WHITE COVER FOR C425</v>
          </cell>
        </row>
        <row r="789">
          <cell r="C789" t="str">
            <v>CP621BL</v>
          </cell>
          <cell r="D789">
            <v>5</v>
          </cell>
          <cell r="E789">
            <v>2400</v>
          </cell>
          <cell r="F789" t="str">
            <v>Plastic Clip on plates</v>
          </cell>
          <cell r="G789" t="str">
            <v>COPA Wiring Accessories</v>
          </cell>
          <cell r="H789" t="str">
            <v>MEM series</v>
          </cell>
          <cell r="I789" t="str">
            <v>BLUE COVER FOR C621</v>
          </cell>
        </row>
        <row r="790">
          <cell r="C790" t="str">
            <v>CP621BM</v>
          </cell>
          <cell r="D790">
            <v>5</v>
          </cell>
          <cell r="E790">
            <v>2400</v>
          </cell>
          <cell r="F790" t="str">
            <v>Plastic Clip on plates</v>
          </cell>
          <cell r="G790" t="str">
            <v>COPA Wiring Accessories</v>
          </cell>
          <cell r="H790" t="str">
            <v>MEM series</v>
          </cell>
          <cell r="I790" t="str">
            <v>BLACK COVER FOR C621</v>
          </cell>
        </row>
        <row r="791">
          <cell r="C791" t="str">
            <v>CP621GL</v>
          </cell>
          <cell r="D791">
            <v>5</v>
          </cell>
          <cell r="E791">
            <v>2400</v>
          </cell>
          <cell r="F791" t="str">
            <v>Plastic Clip on plates</v>
          </cell>
          <cell r="G791" t="str">
            <v>COPA Wiring Accessories</v>
          </cell>
          <cell r="H791" t="str">
            <v>MEM series</v>
          </cell>
          <cell r="I791" t="str">
            <v>GOLD COVER FOR C621</v>
          </cell>
        </row>
        <row r="792">
          <cell r="C792" t="str">
            <v>CP621GY</v>
          </cell>
          <cell r="D792">
            <v>5</v>
          </cell>
          <cell r="E792">
            <v>2400</v>
          </cell>
          <cell r="F792" t="str">
            <v>Plastic Clip on plates</v>
          </cell>
          <cell r="G792" t="str">
            <v>COPA Wiring Accessories</v>
          </cell>
          <cell r="H792" t="str">
            <v>MEM series</v>
          </cell>
          <cell r="I792" t="str">
            <v>GY CVR FOR C621</v>
          </cell>
        </row>
        <row r="793">
          <cell r="C793" t="str">
            <v>CP621NBL</v>
          </cell>
          <cell r="D793">
            <v>5</v>
          </cell>
          <cell r="E793">
            <v>2400</v>
          </cell>
          <cell r="F793" t="str">
            <v>Plastic Clip on plates</v>
          </cell>
          <cell r="G793" t="str">
            <v>COPA Wiring Accessories</v>
          </cell>
          <cell r="H793" t="str">
            <v>MEM series</v>
          </cell>
          <cell r="I793" t="str">
            <v>SILVER COVER FOR C621N</v>
          </cell>
        </row>
        <row r="794">
          <cell r="C794" t="str">
            <v>CP621NBM</v>
          </cell>
          <cell r="D794">
            <v>5</v>
          </cell>
          <cell r="E794">
            <v>2400</v>
          </cell>
          <cell r="F794" t="str">
            <v>Plastic Clip on plates</v>
          </cell>
          <cell r="G794" t="str">
            <v>COPA Wiring Accessories</v>
          </cell>
          <cell r="H794" t="str">
            <v>MEM series</v>
          </cell>
          <cell r="I794" t="str">
            <v>BLACK COVER FOR C621N</v>
          </cell>
        </row>
        <row r="795">
          <cell r="C795" t="str">
            <v>CP621NGL</v>
          </cell>
          <cell r="D795">
            <v>5</v>
          </cell>
          <cell r="E795">
            <v>2400</v>
          </cell>
          <cell r="F795" t="str">
            <v>Plastic Clip on plates</v>
          </cell>
          <cell r="G795" t="str">
            <v>COPA Wiring Accessories</v>
          </cell>
          <cell r="H795" t="str">
            <v>MEM series</v>
          </cell>
          <cell r="I795" t="str">
            <v>GOLD COVER FOR C621N</v>
          </cell>
        </row>
        <row r="796">
          <cell r="C796" t="str">
            <v>CP621NGY</v>
          </cell>
          <cell r="D796">
            <v>5</v>
          </cell>
          <cell r="E796">
            <v>2400</v>
          </cell>
          <cell r="F796" t="str">
            <v>Plastic Clip on plates</v>
          </cell>
          <cell r="G796" t="str">
            <v>COPA Wiring Accessories</v>
          </cell>
          <cell r="H796" t="str">
            <v>MEM series</v>
          </cell>
          <cell r="I796" t="str">
            <v>GY CVR FOR C621N</v>
          </cell>
        </row>
        <row r="797">
          <cell r="C797" t="str">
            <v>CP621NSV</v>
          </cell>
          <cell r="D797">
            <v>5</v>
          </cell>
          <cell r="E797">
            <v>2400</v>
          </cell>
          <cell r="F797" t="str">
            <v>Plastic Clip on plates</v>
          </cell>
          <cell r="G797" t="str">
            <v>COPA Wiring Accessories</v>
          </cell>
          <cell r="H797" t="str">
            <v>MEM series</v>
          </cell>
          <cell r="I797" t="str">
            <v>SILVER COVER FOR C621N</v>
          </cell>
        </row>
        <row r="798">
          <cell r="C798" t="str">
            <v>CP621NWH</v>
          </cell>
          <cell r="D798">
            <v>5</v>
          </cell>
          <cell r="E798">
            <v>2400</v>
          </cell>
          <cell r="F798" t="str">
            <v>Plastic Clip on plates</v>
          </cell>
          <cell r="G798" t="str">
            <v>COPA Wiring Accessories</v>
          </cell>
          <cell r="H798" t="str">
            <v>MEM series</v>
          </cell>
          <cell r="I798" t="str">
            <v>WHITE COVER FOR C621N</v>
          </cell>
        </row>
        <row r="799">
          <cell r="C799" t="str">
            <v>CP621SV</v>
          </cell>
          <cell r="D799">
            <v>5</v>
          </cell>
          <cell r="E799">
            <v>2400</v>
          </cell>
          <cell r="F799" t="str">
            <v>Plastic Clip on plates</v>
          </cell>
          <cell r="G799" t="str">
            <v>COPA Wiring Accessories</v>
          </cell>
          <cell r="H799" t="str">
            <v>MEM series</v>
          </cell>
          <cell r="I799" t="str">
            <v>SILVER COVER FOR C621</v>
          </cell>
        </row>
        <row r="800">
          <cell r="C800" t="str">
            <v>CP621WH</v>
          </cell>
          <cell r="D800">
            <v>5</v>
          </cell>
          <cell r="E800">
            <v>2400</v>
          </cell>
          <cell r="F800" t="str">
            <v>Plastic Clip on plates</v>
          </cell>
          <cell r="G800" t="str">
            <v>COPA Wiring Accessories</v>
          </cell>
          <cell r="H800" t="str">
            <v>MEM series</v>
          </cell>
          <cell r="I800" t="str">
            <v>WHITE COVER FOR C621</v>
          </cell>
        </row>
        <row r="801">
          <cell r="C801" t="str">
            <v>CP622BL</v>
          </cell>
          <cell r="D801">
            <v>5</v>
          </cell>
          <cell r="E801">
            <v>2400</v>
          </cell>
          <cell r="F801" t="str">
            <v>Plastic Clip on plates</v>
          </cell>
          <cell r="G801" t="str">
            <v>COPA Wiring Accessories</v>
          </cell>
          <cell r="H801" t="str">
            <v>MEM series</v>
          </cell>
          <cell r="I801" t="str">
            <v>BLUE COVER FOR C622</v>
          </cell>
        </row>
        <row r="802">
          <cell r="C802" t="str">
            <v>CP622BM</v>
          </cell>
          <cell r="D802">
            <v>5</v>
          </cell>
          <cell r="E802">
            <v>2400</v>
          </cell>
          <cell r="F802" t="str">
            <v>Plastic Clip on plates</v>
          </cell>
          <cell r="G802" t="str">
            <v>COPA Wiring Accessories</v>
          </cell>
          <cell r="H802" t="str">
            <v>MEM series</v>
          </cell>
          <cell r="I802" t="str">
            <v>BLACK COVER FOR C622</v>
          </cell>
        </row>
        <row r="803">
          <cell r="C803" t="str">
            <v>CP622GL</v>
          </cell>
          <cell r="D803">
            <v>5</v>
          </cell>
          <cell r="E803">
            <v>2400</v>
          </cell>
          <cell r="F803" t="str">
            <v>Plastic Clip on plates</v>
          </cell>
          <cell r="G803" t="str">
            <v>COPA Wiring Accessories</v>
          </cell>
          <cell r="H803" t="str">
            <v>MEM series</v>
          </cell>
          <cell r="I803" t="str">
            <v>GOLD COVER FOR C622</v>
          </cell>
        </row>
        <row r="804">
          <cell r="C804" t="str">
            <v>CP622GY</v>
          </cell>
          <cell r="D804">
            <v>5</v>
          </cell>
          <cell r="E804">
            <v>2400</v>
          </cell>
          <cell r="F804" t="str">
            <v>Plastic Clip on plates</v>
          </cell>
          <cell r="G804" t="str">
            <v>COPA Wiring Accessories</v>
          </cell>
          <cell r="H804" t="str">
            <v>MEM series</v>
          </cell>
          <cell r="I804" t="str">
            <v>GY CVR FOR C622</v>
          </cell>
        </row>
        <row r="805">
          <cell r="C805" t="str">
            <v>CP622NBL</v>
          </cell>
          <cell r="D805">
            <v>5</v>
          </cell>
          <cell r="E805">
            <v>2400</v>
          </cell>
          <cell r="F805" t="str">
            <v>Plastic Clip on plates</v>
          </cell>
          <cell r="G805" t="str">
            <v>COPA Wiring Accessories</v>
          </cell>
          <cell r="H805" t="str">
            <v>MEM series</v>
          </cell>
          <cell r="I805" t="str">
            <v>BLUE COVER FOR C622N</v>
          </cell>
        </row>
        <row r="806">
          <cell r="C806" t="str">
            <v>CP622NBM</v>
          </cell>
          <cell r="D806">
            <v>5</v>
          </cell>
          <cell r="E806">
            <v>2400</v>
          </cell>
          <cell r="F806" t="str">
            <v>Plastic Clip on plates</v>
          </cell>
          <cell r="G806" t="str">
            <v>COPA Wiring Accessories</v>
          </cell>
          <cell r="H806" t="str">
            <v>MEM series</v>
          </cell>
          <cell r="I806" t="str">
            <v>BLACK COVER FOR C622N</v>
          </cell>
        </row>
        <row r="807">
          <cell r="C807" t="str">
            <v>CP622NGL</v>
          </cell>
          <cell r="D807">
            <v>5</v>
          </cell>
          <cell r="E807">
            <v>2400</v>
          </cell>
          <cell r="F807" t="str">
            <v>Plastic Clip on plates</v>
          </cell>
          <cell r="G807" t="str">
            <v>COPA Wiring Accessories</v>
          </cell>
          <cell r="H807" t="str">
            <v>MEM series</v>
          </cell>
          <cell r="I807" t="str">
            <v>GOLD COVER FOR C622N</v>
          </cell>
        </row>
        <row r="808">
          <cell r="C808" t="str">
            <v>CP622NGY</v>
          </cell>
          <cell r="D808">
            <v>5</v>
          </cell>
          <cell r="E808">
            <v>2400</v>
          </cell>
          <cell r="F808" t="str">
            <v>Plastic Clip on plates</v>
          </cell>
          <cell r="G808" t="str">
            <v>COPA Wiring Accessories</v>
          </cell>
          <cell r="H808" t="str">
            <v>MEM series</v>
          </cell>
          <cell r="I808" t="str">
            <v>GY CVR FOR C622N</v>
          </cell>
        </row>
        <row r="809">
          <cell r="C809" t="str">
            <v>CP622NSV</v>
          </cell>
          <cell r="D809">
            <v>5</v>
          </cell>
          <cell r="E809">
            <v>2400</v>
          </cell>
          <cell r="F809" t="str">
            <v>Plastic Clip on plates</v>
          </cell>
          <cell r="G809" t="str">
            <v>COPA Wiring Accessories</v>
          </cell>
          <cell r="H809" t="str">
            <v>MEM series</v>
          </cell>
          <cell r="I809" t="str">
            <v>SILVER COVER FOR C622N</v>
          </cell>
        </row>
        <row r="810">
          <cell r="C810" t="str">
            <v>CP622NWH</v>
          </cell>
          <cell r="D810">
            <v>5</v>
          </cell>
          <cell r="E810">
            <v>2400</v>
          </cell>
          <cell r="F810" t="str">
            <v>Plastic Clip on plates</v>
          </cell>
          <cell r="G810" t="str">
            <v>COPA Wiring Accessories</v>
          </cell>
          <cell r="H810" t="str">
            <v>MEM series</v>
          </cell>
          <cell r="I810" t="str">
            <v>WHITE COVER FOR C622N</v>
          </cell>
        </row>
        <row r="811">
          <cell r="C811" t="str">
            <v>CP622SV</v>
          </cell>
          <cell r="D811">
            <v>5</v>
          </cell>
          <cell r="E811">
            <v>2400</v>
          </cell>
          <cell r="F811" t="str">
            <v>Plastic Clip on plates</v>
          </cell>
          <cell r="G811" t="str">
            <v>COPA Wiring Accessories</v>
          </cell>
          <cell r="H811" t="str">
            <v>MEM series</v>
          </cell>
          <cell r="I811" t="str">
            <v>SILVER COVER FOR C622</v>
          </cell>
        </row>
        <row r="812">
          <cell r="C812" t="str">
            <v>CP622WH</v>
          </cell>
          <cell r="D812">
            <v>5</v>
          </cell>
          <cell r="E812">
            <v>2400</v>
          </cell>
          <cell r="F812" t="str">
            <v>Plastic Clip on plates</v>
          </cell>
          <cell r="G812" t="str">
            <v>COPA Wiring Accessories</v>
          </cell>
          <cell r="H812" t="str">
            <v>MEM series</v>
          </cell>
          <cell r="I812" t="str">
            <v>WHITE COVER FOR C622</v>
          </cell>
        </row>
        <row r="813">
          <cell r="C813" t="str">
            <v>CP632BL</v>
          </cell>
          <cell r="D813">
            <v>5</v>
          </cell>
          <cell r="E813">
            <v>2400</v>
          </cell>
          <cell r="F813" t="str">
            <v>Plastic Clip on plates</v>
          </cell>
          <cell r="G813" t="str">
            <v>COPA Wiring Accessories</v>
          </cell>
          <cell r="H813" t="str">
            <v>MEM series</v>
          </cell>
          <cell r="I813" t="str">
            <v>BLUE COVER FOR C632 C652</v>
          </cell>
        </row>
        <row r="814">
          <cell r="C814" t="str">
            <v>CP632BM</v>
          </cell>
          <cell r="D814">
            <v>5</v>
          </cell>
          <cell r="E814">
            <v>2400</v>
          </cell>
          <cell r="F814" t="str">
            <v>Plastic Clip on plates</v>
          </cell>
          <cell r="G814" t="str">
            <v>COPA Wiring Accessories</v>
          </cell>
          <cell r="H814" t="str">
            <v>MEM series</v>
          </cell>
          <cell r="I814" t="str">
            <v>BLACK COVER FOR C632 C652</v>
          </cell>
        </row>
        <row r="815">
          <cell r="C815" t="str">
            <v>CP632GL</v>
          </cell>
          <cell r="D815">
            <v>5</v>
          </cell>
          <cell r="E815">
            <v>2400</v>
          </cell>
          <cell r="F815" t="str">
            <v>Plastic Clip on plates</v>
          </cell>
          <cell r="G815" t="str">
            <v>COPA Wiring Accessories</v>
          </cell>
          <cell r="H815" t="str">
            <v>MEM series</v>
          </cell>
          <cell r="I815" t="str">
            <v>GOLD COVER FOR C632 C652</v>
          </cell>
        </row>
        <row r="816">
          <cell r="C816" t="str">
            <v>CP632GY</v>
          </cell>
          <cell r="D816">
            <v>5</v>
          </cell>
          <cell r="E816">
            <v>2400</v>
          </cell>
          <cell r="F816" t="str">
            <v>Plastic Clip on plates</v>
          </cell>
          <cell r="G816" t="str">
            <v>COPA Wiring Accessories</v>
          </cell>
          <cell r="H816" t="str">
            <v>MEM series</v>
          </cell>
          <cell r="I816" t="str">
            <v>GREY COVER FOR C632 C652</v>
          </cell>
        </row>
        <row r="817">
          <cell r="C817" t="str">
            <v>CP632SV</v>
          </cell>
          <cell r="D817">
            <v>5</v>
          </cell>
          <cell r="E817">
            <v>2400</v>
          </cell>
          <cell r="F817" t="str">
            <v>Plastic Clip on plates</v>
          </cell>
          <cell r="G817" t="str">
            <v>COPA Wiring Accessories</v>
          </cell>
          <cell r="H817" t="str">
            <v>MEM series</v>
          </cell>
          <cell r="I817" t="str">
            <v>SILVER COVER FOR C632 C652</v>
          </cell>
        </row>
        <row r="818">
          <cell r="C818" t="str">
            <v>CP632WH</v>
          </cell>
          <cell r="D818">
            <v>5</v>
          </cell>
          <cell r="E818">
            <v>2400</v>
          </cell>
          <cell r="F818" t="str">
            <v>Plastic Clip on plates</v>
          </cell>
          <cell r="G818" t="str">
            <v>COPA Wiring Accessories</v>
          </cell>
          <cell r="H818" t="str">
            <v>MEM series</v>
          </cell>
          <cell r="I818" t="str">
            <v>WHITE COVER FOR C632 C652</v>
          </cell>
        </row>
        <row r="819">
          <cell r="C819" t="str">
            <v>CP686BL</v>
          </cell>
          <cell r="D819">
            <v>5</v>
          </cell>
          <cell r="E819">
            <v>2400</v>
          </cell>
          <cell r="F819" t="str">
            <v>Plastic Clip on plates</v>
          </cell>
          <cell r="G819" t="str">
            <v>COPA Wiring Accessories</v>
          </cell>
          <cell r="H819" t="str">
            <v>MEM series</v>
          </cell>
          <cell r="I819" t="str">
            <v>BLUE COVER FOR C685, C686</v>
          </cell>
        </row>
        <row r="820">
          <cell r="C820" t="str">
            <v>CP686BM</v>
          </cell>
          <cell r="D820">
            <v>5</v>
          </cell>
          <cell r="E820">
            <v>2400</v>
          </cell>
          <cell r="F820" t="str">
            <v>Plastic Clip on plates</v>
          </cell>
          <cell r="G820" t="str">
            <v>COPA Wiring Accessories</v>
          </cell>
          <cell r="H820" t="str">
            <v>MEM series</v>
          </cell>
          <cell r="I820" t="str">
            <v>BLACK COVER FOR C685, C686</v>
          </cell>
        </row>
        <row r="821">
          <cell r="C821" t="str">
            <v>CP686GL</v>
          </cell>
          <cell r="D821">
            <v>5</v>
          </cell>
          <cell r="E821">
            <v>2400</v>
          </cell>
          <cell r="F821" t="str">
            <v>Plastic Clip on plates</v>
          </cell>
          <cell r="G821" t="str">
            <v>COPA Wiring Accessories</v>
          </cell>
          <cell r="H821" t="str">
            <v>MEM series</v>
          </cell>
          <cell r="I821" t="str">
            <v>GOLD COVER FOR C685, C686</v>
          </cell>
        </row>
        <row r="822">
          <cell r="C822" t="str">
            <v>CP686GY</v>
          </cell>
          <cell r="D822">
            <v>5</v>
          </cell>
          <cell r="E822">
            <v>2400</v>
          </cell>
          <cell r="F822" t="str">
            <v>Plastic Clip on plates</v>
          </cell>
          <cell r="G822" t="str">
            <v>COPA Wiring Accessories</v>
          </cell>
          <cell r="H822" t="str">
            <v>MEM series</v>
          </cell>
          <cell r="I822" t="str">
            <v>GY CVR FOR C685, C686</v>
          </cell>
        </row>
        <row r="823">
          <cell r="C823" t="str">
            <v>CP686SV</v>
          </cell>
          <cell r="D823">
            <v>5</v>
          </cell>
          <cell r="E823">
            <v>2400</v>
          </cell>
          <cell r="F823" t="str">
            <v>Plastic Clip on plates</v>
          </cell>
          <cell r="G823" t="str">
            <v>COPA Wiring Accessories</v>
          </cell>
          <cell r="H823" t="str">
            <v>MEM series</v>
          </cell>
          <cell r="I823" t="str">
            <v>SILVER COVER FOR C685, C686</v>
          </cell>
        </row>
        <row r="824">
          <cell r="C824" t="str">
            <v>CP686WH</v>
          </cell>
          <cell r="D824">
            <v>5</v>
          </cell>
          <cell r="E824">
            <v>2400</v>
          </cell>
          <cell r="F824" t="str">
            <v>Plastic Clip on plates</v>
          </cell>
          <cell r="G824" t="str">
            <v>COPA Wiring Accessories</v>
          </cell>
          <cell r="H824" t="str">
            <v>MEM series</v>
          </cell>
          <cell r="I824" t="str">
            <v>WHITE COVER FOR C685, C686</v>
          </cell>
        </row>
        <row r="825">
          <cell r="C825" t="str">
            <v>CP901BL</v>
          </cell>
          <cell r="D825">
            <v>5</v>
          </cell>
          <cell r="E825">
            <v>2400</v>
          </cell>
          <cell r="F825" t="str">
            <v>Plastic Clip on plates</v>
          </cell>
          <cell r="G825" t="str">
            <v>COPA Wiring Accessories</v>
          </cell>
          <cell r="H825" t="str">
            <v>MEM series</v>
          </cell>
          <cell r="I825" t="str">
            <v>1 MODULE</v>
          </cell>
        </row>
        <row r="826">
          <cell r="C826" t="str">
            <v>CP901BM</v>
          </cell>
          <cell r="D826">
            <v>5</v>
          </cell>
          <cell r="E826">
            <v>2400</v>
          </cell>
          <cell r="F826" t="str">
            <v>Plastic Clip on plates</v>
          </cell>
          <cell r="G826" t="str">
            <v>COPA Wiring Accessories</v>
          </cell>
          <cell r="H826" t="str">
            <v>MEM series</v>
          </cell>
          <cell r="I826" t="str">
            <v>1 MODULE</v>
          </cell>
        </row>
        <row r="827">
          <cell r="C827" t="str">
            <v>CP901GL</v>
          </cell>
          <cell r="D827">
            <v>5</v>
          </cell>
          <cell r="E827">
            <v>2400</v>
          </cell>
          <cell r="F827" t="str">
            <v>Plastic Clip on plates</v>
          </cell>
          <cell r="G827" t="str">
            <v>COPA Wiring Accessories</v>
          </cell>
          <cell r="H827" t="str">
            <v>MEM series</v>
          </cell>
          <cell r="I827" t="str">
            <v>1 MODULE</v>
          </cell>
        </row>
        <row r="828">
          <cell r="C828" t="str">
            <v>CP901GY</v>
          </cell>
          <cell r="D828">
            <v>5</v>
          </cell>
          <cell r="E828">
            <v>2400</v>
          </cell>
          <cell r="F828" t="str">
            <v>Plastic Clip on plates</v>
          </cell>
          <cell r="G828" t="str">
            <v>COPA Wiring Accessories</v>
          </cell>
          <cell r="H828" t="str">
            <v>MEM series</v>
          </cell>
          <cell r="I828" t="str">
            <v>1 MODULE</v>
          </cell>
        </row>
        <row r="829">
          <cell r="C829" t="str">
            <v>CP901SV</v>
          </cell>
          <cell r="D829">
            <v>5</v>
          </cell>
          <cell r="E829">
            <v>2400</v>
          </cell>
          <cell r="F829" t="str">
            <v>Plastic Clip on plates</v>
          </cell>
          <cell r="G829" t="str">
            <v>COPA Wiring Accessories</v>
          </cell>
          <cell r="H829" t="str">
            <v>MEM series</v>
          </cell>
          <cell r="I829" t="str">
            <v>1 MODULE</v>
          </cell>
        </row>
        <row r="830">
          <cell r="C830" t="str">
            <v>CP901WH</v>
          </cell>
          <cell r="D830">
            <v>5</v>
          </cell>
          <cell r="E830">
            <v>2400</v>
          </cell>
          <cell r="F830" t="str">
            <v>Plastic Clip on plates</v>
          </cell>
          <cell r="G830" t="str">
            <v>COPA Wiring Accessories</v>
          </cell>
          <cell r="H830" t="str">
            <v>MEM series</v>
          </cell>
          <cell r="I830" t="str">
            <v>1 MODULE</v>
          </cell>
        </row>
        <row r="831">
          <cell r="C831" t="str">
            <v>CP902BL</v>
          </cell>
          <cell r="D831">
            <v>5</v>
          </cell>
          <cell r="E831">
            <v>2400</v>
          </cell>
          <cell r="F831" t="str">
            <v>Plastic Clip on plates</v>
          </cell>
          <cell r="G831" t="str">
            <v>COPA Wiring Accessories</v>
          </cell>
          <cell r="H831" t="str">
            <v>MEM series</v>
          </cell>
          <cell r="I831" t="str">
            <v>2 MODULE</v>
          </cell>
        </row>
        <row r="832">
          <cell r="C832" t="str">
            <v>CP902BM</v>
          </cell>
          <cell r="D832">
            <v>5</v>
          </cell>
          <cell r="E832">
            <v>2400</v>
          </cell>
          <cell r="F832" t="str">
            <v>Plastic Clip on plates</v>
          </cell>
          <cell r="G832" t="str">
            <v>COPA Wiring Accessories</v>
          </cell>
          <cell r="H832" t="str">
            <v>MEM series</v>
          </cell>
          <cell r="I832" t="str">
            <v>2 MODULE</v>
          </cell>
        </row>
        <row r="833">
          <cell r="C833" t="str">
            <v>CP902GL</v>
          </cell>
          <cell r="D833">
            <v>5</v>
          </cell>
          <cell r="E833">
            <v>2400</v>
          </cell>
          <cell r="F833" t="str">
            <v>Plastic Clip on plates</v>
          </cell>
          <cell r="G833" t="str">
            <v>COPA Wiring Accessories</v>
          </cell>
          <cell r="H833" t="str">
            <v>MEM series</v>
          </cell>
          <cell r="I833" t="str">
            <v>2 MODULE</v>
          </cell>
        </row>
        <row r="834">
          <cell r="C834" t="str">
            <v>CP902GY</v>
          </cell>
          <cell r="D834">
            <v>5</v>
          </cell>
          <cell r="E834">
            <v>2400</v>
          </cell>
          <cell r="F834" t="str">
            <v>Plastic Clip on plates</v>
          </cell>
          <cell r="G834" t="str">
            <v>COPA Wiring Accessories</v>
          </cell>
          <cell r="H834" t="str">
            <v>MEM series</v>
          </cell>
          <cell r="I834" t="str">
            <v>2 MODULE</v>
          </cell>
        </row>
        <row r="835">
          <cell r="C835" t="str">
            <v>CP902SV</v>
          </cell>
          <cell r="D835">
            <v>5</v>
          </cell>
          <cell r="E835">
            <v>2400</v>
          </cell>
          <cell r="F835" t="str">
            <v>Plastic Clip on plates</v>
          </cell>
          <cell r="G835" t="str">
            <v>COPA Wiring Accessories</v>
          </cell>
          <cell r="H835" t="str">
            <v>MEM series</v>
          </cell>
          <cell r="I835" t="str">
            <v>2 MODULE</v>
          </cell>
        </row>
        <row r="836">
          <cell r="C836" t="str">
            <v>CP902WH</v>
          </cell>
          <cell r="D836">
            <v>5</v>
          </cell>
          <cell r="E836">
            <v>2400</v>
          </cell>
          <cell r="F836" t="str">
            <v>Plastic Clip on plates</v>
          </cell>
          <cell r="G836" t="str">
            <v>COPA Wiring Accessories</v>
          </cell>
          <cell r="H836" t="str">
            <v>MEM series</v>
          </cell>
          <cell r="I836" t="str">
            <v>2 MODULE</v>
          </cell>
        </row>
        <row r="837">
          <cell r="C837" t="str">
            <v>CP903BL</v>
          </cell>
          <cell r="D837">
            <v>5</v>
          </cell>
          <cell r="E837">
            <v>2400</v>
          </cell>
          <cell r="F837" t="str">
            <v>Plastic Clip on plates</v>
          </cell>
          <cell r="G837" t="str">
            <v>COPA Wiring Accessories</v>
          </cell>
          <cell r="H837" t="str">
            <v>MEM series</v>
          </cell>
          <cell r="I837" t="str">
            <v>3 MODULE</v>
          </cell>
        </row>
        <row r="838">
          <cell r="C838" t="str">
            <v>CP903BM</v>
          </cell>
          <cell r="D838">
            <v>5</v>
          </cell>
          <cell r="E838">
            <v>2400</v>
          </cell>
          <cell r="F838" t="str">
            <v>Plastic Clip on plates</v>
          </cell>
          <cell r="G838" t="str">
            <v>COPA Wiring Accessories</v>
          </cell>
          <cell r="H838" t="str">
            <v>MEM series</v>
          </cell>
          <cell r="I838" t="str">
            <v>3 MODULE</v>
          </cell>
        </row>
        <row r="839">
          <cell r="C839" t="str">
            <v>CP903GL</v>
          </cell>
          <cell r="D839">
            <v>5</v>
          </cell>
          <cell r="E839">
            <v>2400</v>
          </cell>
          <cell r="F839" t="str">
            <v>Plastic Clip on plates</v>
          </cell>
          <cell r="G839" t="str">
            <v>COPA Wiring Accessories</v>
          </cell>
          <cell r="H839" t="str">
            <v>MEM series</v>
          </cell>
          <cell r="I839" t="str">
            <v>3 MODULE</v>
          </cell>
        </row>
        <row r="840">
          <cell r="C840" t="str">
            <v>CP903GY</v>
          </cell>
          <cell r="D840">
            <v>5</v>
          </cell>
          <cell r="E840">
            <v>2400</v>
          </cell>
          <cell r="F840" t="str">
            <v>Plastic Clip on plates</v>
          </cell>
          <cell r="G840" t="str">
            <v>COPA Wiring Accessories</v>
          </cell>
          <cell r="H840" t="str">
            <v>MEM series</v>
          </cell>
          <cell r="I840" t="str">
            <v>3 MODULE</v>
          </cell>
        </row>
        <row r="841">
          <cell r="C841" t="str">
            <v>CP903SV</v>
          </cell>
          <cell r="D841">
            <v>5</v>
          </cell>
          <cell r="E841">
            <v>2400</v>
          </cell>
          <cell r="F841" t="str">
            <v>Plastic Clip on plates</v>
          </cell>
          <cell r="G841" t="str">
            <v>COPA Wiring Accessories</v>
          </cell>
          <cell r="H841" t="str">
            <v>MEM series</v>
          </cell>
          <cell r="I841" t="str">
            <v>3 MODULE</v>
          </cell>
        </row>
        <row r="842">
          <cell r="C842" t="str">
            <v>CP903WH</v>
          </cell>
          <cell r="D842">
            <v>5</v>
          </cell>
          <cell r="E842">
            <v>2400</v>
          </cell>
          <cell r="F842" t="str">
            <v>Plastic Clip on plates</v>
          </cell>
          <cell r="G842" t="str">
            <v>COPA Wiring Accessories</v>
          </cell>
          <cell r="H842" t="str">
            <v>MEM series</v>
          </cell>
          <cell r="I842" t="str">
            <v>3 MODULE</v>
          </cell>
        </row>
        <row r="843">
          <cell r="C843" t="str">
            <v>CP904BL</v>
          </cell>
          <cell r="D843">
            <v>5</v>
          </cell>
          <cell r="E843">
            <v>2400</v>
          </cell>
          <cell r="F843" t="str">
            <v>Plastic Clip on plates</v>
          </cell>
          <cell r="G843" t="str">
            <v>COPA Wiring Accessories</v>
          </cell>
          <cell r="H843" t="str">
            <v>MEM series</v>
          </cell>
          <cell r="I843" t="str">
            <v>4 MODULE</v>
          </cell>
        </row>
        <row r="844">
          <cell r="C844" t="str">
            <v>CP904BM</v>
          </cell>
          <cell r="D844">
            <v>5</v>
          </cell>
          <cell r="E844">
            <v>2400</v>
          </cell>
          <cell r="F844" t="str">
            <v>Plastic Clip on plates</v>
          </cell>
          <cell r="G844" t="str">
            <v>COPA Wiring Accessories</v>
          </cell>
          <cell r="H844" t="str">
            <v>MEM series</v>
          </cell>
          <cell r="I844" t="str">
            <v>4 MODULE</v>
          </cell>
        </row>
        <row r="845">
          <cell r="C845" t="str">
            <v>CP904GL</v>
          </cell>
          <cell r="D845">
            <v>5</v>
          </cell>
          <cell r="E845">
            <v>2400</v>
          </cell>
          <cell r="F845" t="str">
            <v>Plastic Clip on plates</v>
          </cell>
          <cell r="G845" t="str">
            <v>COPA Wiring Accessories</v>
          </cell>
          <cell r="H845" t="str">
            <v>MEM series</v>
          </cell>
          <cell r="I845" t="str">
            <v>4 MODULE</v>
          </cell>
        </row>
        <row r="846">
          <cell r="C846" t="str">
            <v>CP904GY</v>
          </cell>
          <cell r="D846">
            <v>5</v>
          </cell>
          <cell r="E846">
            <v>2400</v>
          </cell>
          <cell r="F846" t="str">
            <v>Plastic Clip on plates</v>
          </cell>
          <cell r="G846" t="str">
            <v>COPA Wiring Accessories</v>
          </cell>
          <cell r="H846" t="str">
            <v>MEM series</v>
          </cell>
          <cell r="I846" t="str">
            <v>4 MODULE</v>
          </cell>
        </row>
        <row r="847">
          <cell r="C847" t="str">
            <v>CP904SV</v>
          </cell>
          <cell r="D847">
            <v>5</v>
          </cell>
          <cell r="E847">
            <v>2400</v>
          </cell>
          <cell r="F847" t="str">
            <v>Plastic Clip on plates</v>
          </cell>
          <cell r="G847" t="str">
            <v>COPA Wiring Accessories</v>
          </cell>
          <cell r="H847" t="str">
            <v>MEM series</v>
          </cell>
          <cell r="I847" t="str">
            <v>4 MODULE</v>
          </cell>
        </row>
        <row r="848">
          <cell r="C848" t="str">
            <v>CP904WH</v>
          </cell>
          <cell r="D848">
            <v>5</v>
          </cell>
          <cell r="E848">
            <v>2400</v>
          </cell>
          <cell r="F848" t="str">
            <v>Plastic Clip on plates</v>
          </cell>
          <cell r="G848" t="str">
            <v>COPA Wiring Accessories</v>
          </cell>
          <cell r="H848" t="str">
            <v>MEM series</v>
          </cell>
          <cell r="I848" t="str">
            <v>4 MODULE</v>
          </cell>
        </row>
        <row r="849">
          <cell r="C849" t="str">
            <v>CP906BL</v>
          </cell>
          <cell r="D849">
            <v>5</v>
          </cell>
          <cell r="E849">
            <v>2400</v>
          </cell>
          <cell r="F849" t="str">
            <v>Plastic Clip on plates</v>
          </cell>
          <cell r="G849" t="str">
            <v>COPA Wiring Accessories</v>
          </cell>
          <cell r="H849" t="str">
            <v>MEM series</v>
          </cell>
          <cell r="I849" t="str">
            <v>6 MODULE COVER PLATE (2 BANKS)</v>
          </cell>
        </row>
        <row r="850">
          <cell r="C850" t="str">
            <v>CP906BM</v>
          </cell>
          <cell r="D850">
            <v>5</v>
          </cell>
          <cell r="E850">
            <v>2400</v>
          </cell>
          <cell r="F850" t="str">
            <v>Plastic Clip on plates</v>
          </cell>
          <cell r="G850" t="str">
            <v>COPA Wiring Accessories</v>
          </cell>
          <cell r="H850" t="str">
            <v>MEM series</v>
          </cell>
          <cell r="I850" t="str">
            <v>6 MODULE COVER PLATE (2 BANKS)</v>
          </cell>
        </row>
        <row r="851">
          <cell r="C851" t="str">
            <v>CP906GL</v>
          </cell>
          <cell r="D851">
            <v>5</v>
          </cell>
          <cell r="E851">
            <v>2400</v>
          </cell>
          <cell r="F851" t="str">
            <v>Plastic Clip on plates</v>
          </cell>
          <cell r="G851" t="str">
            <v>COPA Wiring Accessories</v>
          </cell>
          <cell r="H851" t="str">
            <v>MEM series</v>
          </cell>
          <cell r="I851" t="str">
            <v>6 MODULE COVER PLATE (2 BANKS)</v>
          </cell>
        </row>
        <row r="852">
          <cell r="C852" t="str">
            <v>CP906GY</v>
          </cell>
          <cell r="D852">
            <v>5</v>
          </cell>
          <cell r="E852">
            <v>2400</v>
          </cell>
          <cell r="F852" t="str">
            <v>Plastic Clip on plates</v>
          </cell>
          <cell r="G852" t="str">
            <v>COPA Wiring Accessories</v>
          </cell>
          <cell r="H852" t="str">
            <v>MEM series</v>
          </cell>
          <cell r="I852" t="str">
            <v>6 MODULE COVER PLATE (2 BANKS)</v>
          </cell>
        </row>
        <row r="853">
          <cell r="C853" t="str">
            <v>CP906SV</v>
          </cell>
          <cell r="D853">
            <v>5</v>
          </cell>
          <cell r="E853">
            <v>2400</v>
          </cell>
          <cell r="F853" t="str">
            <v>Plastic Clip on plates</v>
          </cell>
          <cell r="G853" t="str">
            <v>COPA Wiring Accessories</v>
          </cell>
          <cell r="H853" t="str">
            <v>MEM series</v>
          </cell>
          <cell r="I853" t="str">
            <v>6 MODULE COVER PLATE (2 BANKS)</v>
          </cell>
        </row>
        <row r="854">
          <cell r="C854" t="str">
            <v>CP906WH</v>
          </cell>
          <cell r="D854">
            <v>5</v>
          </cell>
          <cell r="E854">
            <v>2400</v>
          </cell>
          <cell r="F854" t="str">
            <v>Plastic Clip on plates</v>
          </cell>
          <cell r="G854" t="str">
            <v>COPA Wiring Accessories</v>
          </cell>
          <cell r="H854" t="str">
            <v>MEM series</v>
          </cell>
          <cell r="I854" t="str">
            <v>6 MODULE COVER PLATE (2 BANKS)</v>
          </cell>
        </row>
        <row r="855">
          <cell r="C855" t="str">
            <v>CP908BL</v>
          </cell>
          <cell r="D855">
            <v>5</v>
          </cell>
          <cell r="E855">
            <v>2400</v>
          </cell>
          <cell r="F855" t="str">
            <v>Plastic Clip on plates</v>
          </cell>
          <cell r="G855" t="str">
            <v>COPA Wiring Accessories</v>
          </cell>
          <cell r="H855" t="str">
            <v>MEM series</v>
          </cell>
          <cell r="I855" t="str">
            <v>8 MODULE COVER PLATE (2 BANKS)</v>
          </cell>
        </row>
        <row r="856">
          <cell r="C856" t="str">
            <v>CP908BM</v>
          </cell>
          <cell r="D856">
            <v>5</v>
          </cell>
          <cell r="E856">
            <v>2400</v>
          </cell>
          <cell r="F856" t="str">
            <v>Plastic Clip on plates</v>
          </cell>
          <cell r="G856" t="str">
            <v>COPA Wiring Accessories</v>
          </cell>
          <cell r="H856" t="str">
            <v>MEM series</v>
          </cell>
          <cell r="I856" t="str">
            <v>8 MODULE COVER PLATE (2 BANKS)</v>
          </cell>
        </row>
        <row r="857">
          <cell r="C857" t="str">
            <v>CP908GL</v>
          </cell>
          <cell r="D857">
            <v>5</v>
          </cell>
          <cell r="E857">
            <v>2400</v>
          </cell>
          <cell r="F857" t="str">
            <v>Plastic Clip on plates</v>
          </cell>
          <cell r="G857" t="str">
            <v>COPA Wiring Accessories</v>
          </cell>
          <cell r="H857" t="str">
            <v>MEM series</v>
          </cell>
          <cell r="I857" t="str">
            <v>8 MODULE COVER PLATE (2 BANKS)</v>
          </cell>
        </row>
        <row r="858">
          <cell r="C858" t="str">
            <v>CP908GY</v>
          </cell>
          <cell r="D858">
            <v>5</v>
          </cell>
          <cell r="E858">
            <v>2400</v>
          </cell>
          <cell r="F858" t="str">
            <v>Plastic Clip on plates</v>
          </cell>
          <cell r="G858" t="str">
            <v>COPA Wiring Accessories</v>
          </cell>
          <cell r="H858" t="str">
            <v>MEM series</v>
          </cell>
          <cell r="I858" t="str">
            <v>8 MODULE COVER PLATE (2 BANKS)</v>
          </cell>
        </row>
        <row r="859">
          <cell r="C859" t="str">
            <v>CP908SV</v>
          </cell>
          <cell r="D859">
            <v>5</v>
          </cell>
          <cell r="E859">
            <v>2400</v>
          </cell>
          <cell r="F859" t="str">
            <v>Plastic Clip on plates</v>
          </cell>
          <cell r="G859" t="str">
            <v>COPA Wiring Accessories</v>
          </cell>
          <cell r="H859" t="str">
            <v>MEM series</v>
          </cell>
          <cell r="I859" t="str">
            <v>8 MODULE COVER PLATE (2 BANKS)</v>
          </cell>
        </row>
        <row r="860">
          <cell r="C860" t="str">
            <v>CP908WH</v>
          </cell>
          <cell r="D860">
            <v>5</v>
          </cell>
          <cell r="E860">
            <v>2400</v>
          </cell>
          <cell r="F860" t="str">
            <v>Plastic Clip on plates</v>
          </cell>
          <cell r="G860" t="str">
            <v>COPA Wiring Accessories</v>
          </cell>
          <cell r="H860" t="str">
            <v>MEM series</v>
          </cell>
          <cell r="I860" t="str">
            <v>8 MODULE COVER PLATE (2 BANKS)</v>
          </cell>
        </row>
        <row r="861">
          <cell r="C861" t="str">
            <v>CP912BL</v>
          </cell>
          <cell r="D861">
            <v>5</v>
          </cell>
          <cell r="E861">
            <v>2400</v>
          </cell>
          <cell r="F861" t="str">
            <v>Plastic Clip on plates</v>
          </cell>
          <cell r="G861" t="str">
            <v>COPA Wiring Accessories</v>
          </cell>
          <cell r="H861" t="str">
            <v>MEM series</v>
          </cell>
          <cell r="I861" t="str">
            <v>12 MODULE COVER PLATE (3 BANKS)</v>
          </cell>
        </row>
        <row r="862">
          <cell r="C862" t="str">
            <v>CP912BM</v>
          </cell>
          <cell r="D862">
            <v>5</v>
          </cell>
          <cell r="E862">
            <v>2400</v>
          </cell>
          <cell r="F862" t="str">
            <v>Plastic Clip on plates</v>
          </cell>
          <cell r="G862" t="str">
            <v>COPA Wiring Accessories</v>
          </cell>
          <cell r="H862" t="str">
            <v>MEM series</v>
          </cell>
          <cell r="I862" t="str">
            <v>12 MODULE COVER PLATE (3 BANKS)</v>
          </cell>
        </row>
        <row r="863">
          <cell r="C863" t="str">
            <v>CP912GL</v>
          </cell>
          <cell r="D863">
            <v>5</v>
          </cell>
          <cell r="E863">
            <v>2400</v>
          </cell>
          <cell r="F863" t="str">
            <v>Plastic Clip on plates</v>
          </cell>
          <cell r="G863" t="str">
            <v>COPA Wiring Accessories</v>
          </cell>
          <cell r="H863" t="str">
            <v>MEM series</v>
          </cell>
          <cell r="I863" t="str">
            <v>12 MODULE COVER PLATE (3 BANKS)</v>
          </cell>
        </row>
        <row r="864">
          <cell r="C864" t="str">
            <v>CP912GY</v>
          </cell>
          <cell r="D864">
            <v>5</v>
          </cell>
          <cell r="E864">
            <v>2400</v>
          </cell>
          <cell r="F864" t="str">
            <v>Plastic Clip on plates</v>
          </cell>
          <cell r="G864" t="str">
            <v>COPA Wiring Accessories</v>
          </cell>
          <cell r="H864" t="str">
            <v>MEM series</v>
          </cell>
          <cell r="I864" t="str">
            <v>12 MODULE COVER PLATE (3 BANKS)</v>
          </cell>
        </row>
        <row r="865">
          <cell r="C865" t="str">
            <v>CP912SV</v>
          </cell>
          <cell r="D865">
            <v>5</v>
          </cell>
          <cell r="E865">
            <v>2400</v>
          </cell>
          <cell r="F865" t="str">
            <v>Plastic Clip on plates</v>
          </cell>
          <cell r="G865" t="str">
            <v>COPA Wiring Accessories</v>
          </cell>
          <cell r="H865" t="str">
            <v>MEM series</v>
          </cell>
          <cell r="I865" t="str">
            <v>12 MODULE COVER PLATE (3 BANKS)</v>
          </cell>
        </row>
        <row r="866">
          <cell r="C866" t="str">
            <v>CP912WH</v>
          </cell>
          <cell r="D866">
            <v>5</v>
          </cell>
          <cell r="E866">
            <v>2400</v>
          </cell>
          <cell r="F866" t="str">
            <v>Plastic Clip on plates</v>
          </cell>
          <cell r="G866" t="str">
            <v>COPA Wiring Accessories</v>
          </cell>
          <cell r="H866" t="str">
            <v>MEM series</v>
          </cell>
          <cell r="I866" t="str">
            <v>12 MODULE COVER PLATE (3 BANKS)</v>
          </cell>
        </row>
        <row r="867">
          <cell r="C867" t="str">
            <v>CP9132BL</v>
          </cell>
          <cell r="D867">
            <v>5</v>
          </cell>
          <cell r="E867">
            <v>2400</v>
          </cell>
          <cell r="F867" t="str">
            <v>Plastic Clip on plates</v>
          </cell>
          <cell r="G867" t="str">
            <v>COPA Wiring Accessories</v>
          </cell>
          <cell r="H867" t="str">
            <v>MEM series</v>
          </cell>
          <cell r="I867" t="str">
            <v>BLUE COVER FOR C9132  C9552</v>
          </cell>
        </row>
        <row r="868">
          <cell r="C868" t="str">
            <v>CP9132BM</v>
          </cell>
          <cell r="D868">
            <v>5</v>
          </cell>
          <cell r="E868">
            <v>2400</v>
          </cell>
          <cell r="F868" t="str">
            <v>Plastic Clip on plates</v>
          </cell>
          <cell r="G868" t="str">
            <v>COPA Wiring Accessories</v>
          </cell>
          <cell r="H868" t="str">
            <v>MEM series</v>
          </cell>
          <cell r="I868" t="str">
            <v>BLACK COVER FOR C9132  C9552</v>
          </cell>
        </row>
        <row r="869">
          <cell r="C869" t="str">
            <v>CP9132GL</v>
          </cell>
          <cell r="D869">
            <v>5</v>
          </cell>
          <cell r="E869">
            <v>2400</v>
          </cell>
          <cell r="F869" t="str">
            <v>Plastic Clip on plates</v>
          </cell>
          <cell r="G869" t="str">
            <v>COPA Wiring Accessories</v>
          </cell>
          <cell r="H869" t="str">
            <v>MEM series</v>
          </cell>
          <cell r="I869" t="str">
            <v>GOLD COVER FOR C9132  C9552</v>
          </cell>
        </row>
        <row r="870">
          <cell r="C870" t="str">
            <v>CP9132GY</v>
          </cell>
          <cell r="D870">
            <v>5</v>
          </cell>
          <cell r="E870">
            <v>2400</v>
          </cell>
          <cell r="F870" t="str">
            <v>Plastic Clip on plates</v>
          </cell>
          <cell r="G870" t="str">
            <v>COPA Wiring Accessories</v>
          </cell>
          <cell r="H870" t="str">
            <v>MEM series</v>
          </cell>
          <cell r="I870" t="str">
            <v>GY CVR FOR C9132</v>
          </cell>
        </row>
        <row r="871">
          <cell r="C871" t="str">
            <v>CP9132SV</v>
          </cell>
          <cell r="D871">
            <v>5</v>
          </cell>
          <cell r="E871">
            <v>2400</v>
          </cell>
          <cell r="F871" t="str">
            <v>Plastic Clip on plates</v>
          </cell>
          <cell r="G871" t="str">
            <v>COPA Wiring Accessories</v>
          </cell>
          <cell r="H871" t="str">
            <v>MEM series</v>
          </cell>
          <cell r="I871" t="str">
            <v>SILVER COVER FOR C9132  C9552</v>
          </cell>
        </row>
        <row r="872">
          <cell r="C872" t="str">
            <v>CP9132WH</v>
          </cell>
          <cell r="D872">
            <v>5</v>
          </cell>
          <cell r="E872">
            <v>2400</v>
          </cell>
          <cell r="F872" t="str">
            <v>Plastic Clip on plates</v>
          </cell>
          <cell r="G872" t="str">
            <v>COPA Wiring Accessories</v>
          </cell>
          <cell r="H872" t="str">
            <v>MEM series</v>
          </cell>
          <cell r="I872" t="str">
            <v>WHITE COVER FOR C9132  C9552</v>
          </cell>
        </row>
        <row r="873">
          <cell r="C873" t="str">
            <v>CP918BL</v>
          </cell>
          <cell r="D873">
            <v>5</v>
          </cell>
          <cell r="E873">
            <v>2400</v>
          </cell>
          <cell r="F873" t="str">
            <v>Plastic Clip on plates</v>
          </cell>
          <cell r="G873" t="str">
            <v>COPA Wiring Accessories</v>
          </cell>
          <cell r="H873" t="str">
            <v>MEM series</v>
          </cell>
          <cell r="I873" t="str">
            <v>18 MODULE COVER PLATE (3 BANKS)</v>
          </cell>
        </row>
        <row r="874">
          <cell r="C874" t="str">
            <v>CP918BM</v>
          </cell>
          <cell r="D874">
            <v>5</v>
          </cell>
          <cell r="E874">
            <v>2400</v>
          </cell>
          <cell r="F874" t="str">
            <v>Plastic Clip on plates</v>
          </cell>
          <cell r="G874" t="str">
            <v>COPA Wiring Accessories</v>
          </cell>
          <cell r="H874" t="str">
            <v>MEM series</v>
          </cell>
          <cell r="I874" t="str">
            <v>18 MODULE COVER PLATE (3 BANKS)</v>
          </cell>
        </row>
        <row r="875">
          <cell r="C875" t="str">
            <v>CP918GL</v>
          </cell>
          <cell r="D875">
            <v>5</v>
          </cell>
          <cell r="E875">
            <v>2400</v>
          </cell>
          <cell r="F875" t="str">
            <v>Plastic Clip on plates</v>
          </cell>
          <cell r="G875" t="str">
            <v>COPA Wiring Accessories</v>
          </cell>
          <cell r="H875" t="str">
            <v>MEM series</v>
          </cell>
          <cell r="I875" t="str">
            <v>18 MODULE COVER PLATE (3 BANKS)</v>
          </cell>
        </row>
        <row r="876">
          <cell r="C876" t="str">
            <v>CP918GY</v>
          </cell>
          <cell r="D876">
            <v>5</v>
          </cell>
          <cell r="E876">
            <v>2400</v>
          </cell>
          <cell r="F876" t="str">
            <v>Plastic Clip on plates</v>
          </cell>
          <cell r="G876" t="str">
            <v>COPA Wiring Accessories</v>
          </cell>
          <cell r="H876" t="str">
            <v>MEM series</v>
          </cell>
          <cell r="I876" t="str">
            <v>18 MODULE COVER PLATE (3 BANKS)</v>
          </cell>
        </row>
        <row r="877">
          <cell r="C877" t="str">
            <v>CP918SV</v>
          </cell>
          <cell r="D877">
            <v>5</v>
          </cell>
          <cell r="E877">
            <v>2400</v>
          </cell>
          <cell r="F877" t="str">
            <v>Plastic Clip on plates</v>
          </cell>
          <cell r="G877" t="str">
            <v>COPA Wiring Accessories</v>
          </cell>
          <cell r="H877" t="str">
            <v>MEM series</v>
          </cell>
          <cell r="I877" t="str">
            <v>18 MODULE COVER PLATE (3 BANKS)</v>
          </cell>
        </row>
        <row r="878">
          <cell r="C878" t="str">
            <v>CP918WH</v>
          </cell>
          <cell r="D878">
            <v>5</v>
          </cell>
          <cell r="E878">
            <v>2400</v>
          </cell>
          <cell r="F878" t="str">
            <v>Plastic Clip on plates</v>
          </cell>
          <cell r="G878" t="str">
            <v>COPA Wiring Accessories</v>
          </cell>
          <cell r="H878" t="str">
            <v>MEM series</v>
          </cell>
          <cell r="I878" t="str">
            <v>18 MODULE COVER PLATE (3 BANKS)</v>
          </cell>
        </row>
        <row r="879">
          <cell r="C879" t="str">
            <v>CP924BL</v>
          </cell>
          <cell r="D879">
            <v>5</v>
          </cell>
          <cell r="E879">
            <v>2400</v>
          </cell>
          <cell r="F879" t="str">
            <v>Plastic Clip on plates</v>
          </cell>
          <cell r="G879" t="str">
            <v>COPA Wiring Accessories</v>
          </cell>
          <cell r="H879" t="str">
            <v>MEM series</v>
          </cell>
          <cell r="I879" t="str">
            <v>24 MODULE COVER PLATE (4 BANKS)</v>
          </cell>
        </row>
        <row r="880">
          <cell r="C880" t="str">
            <v>CP924BM</v>
          </cell>
          <cell r="D880">
            <v>5</v>
          </cell>
          <cell r="E880">
            <v>2400</v>
          </cell>
          <cell r="F880" t="str">
            <v>Plastic Clip on plates</v>
          </cell>
          <cell r="G880" t="str">
            <v>COPA Wiring Accessories</v>
          </cell>
          <cell r="H880" t="str">
            <v>MEM series</v>
          </cell>
          <cell r="I880" t="str">
            <v>24 MODULE COVER PLATE (4 BANKS)</v>
          </cell>
        </row>
        <row r="881">
          <cell r="C881" t="str">
            <v>CP924GL</v>
          </cell>
          <cell r="D881">
            <v>5</v>
          </cell>
          <cell r="E881">
            <v>2400</v>
          </cell>
          <cell r="F881" t="str">
            <v>Plastic Clip on plates</v>
          </cell>
          <cell r="G881" t="str">
            <v>COPA Wiring Accessories</v>
          </cell>
          <cell r="H881" t="str">
            <v>MEM series</v>
          </cell>
          <cell r="I881" t="str">
            <v>24 MODULE COVER PLATE (4 BANKS)</v>
          </cell>
        </row>
        <row r="882">
          <cell r="C882" t="str">
            <v>CP924GY</v>
          </cell>
          <cell r="D882">
            <v>5</v>
          </cell>
          <cell r="E882">
            <v>2400</v>
          </cell>
          <cell r="F882" t="str">
            <v>Plastic Clip on plates</v>
          </cell>
          <cell r="G882" t="str">
            <v>COPA Wiring Accessories</v>
          </cell>
          <cell r="H882" t="str">
            <v>MEM series</v>
          </cell>
          <cell r="I882" t="str">
            <v>24 MODULE COVER PLATE (4 BANKS)</v>
          </cell>
        </row>
        <row r="883">
          <cell r="C883" t="str">
            <v>CP924SV</v>
          </cell>
          <cell r="D883">
            <v>5</v>
          </cell>
          <cell r="E883">
            <v>2400</v>
          </cell>
          <cell r="F883" t="str">
            <v>Plastic Clip on plates</v>
          </cell>
          <cell r="G883" t="str">
            <v>COPA Wiring Accessories</v>
          </cell>
          <cell r="H883" t="str">
            <v>MEM series</v>
          </cell>
          <cell r="I883" t="str">
            <v>24 MODULE COVER PLATE (4 BANKS)</v>
          </cell>
        </row>
        <row r="884">
          <cell r="C884" t="str">
            <v>CP924WH</v>
          </cell>
          <cell r="D884">
            <v>5</v>
          </cell>
          <cell r="E884">
            <v>2400</v>
          </cell>
          <cell r="F884" t="str">
            <v>Plastic Clip on plates</v>
          </cell>
          <cell r="G884" t="str">
            <v>COPA Wiring Accessories</v>
          </cell>
          <cell r="H884" t="str">
            <v>MEM series</v>
          </cell>
          <cell r="I884" t="str">
            <v>24 MODULE COVER PLATE (4 BANKS)</v>
          </cell>
        </row>
        <row r="885">
          <cell r="C885" t="str">
            <v>CM011HP</v>
          </cell>
          <cell r="D885">
            <v>5</v>
          </cell>
          <cell r="E885">
            <v>2500</v>
          </cell>
          <cell r="F885" t="str">
            <v>Metal Clip on plates</v>
          </cell>
          <cell r="G885" t="str">
            <v>COPA Wiring Accessories</v>
          </cell>
          <cell r="H885" t="str">
            <v>MEM series</v>
          </cell>
          <cell r="I885" t="str">
            <v>HP CVR FOR C011 C017 C021 C461</v>
          </cell>
        </row>
        <row r="886">
          <cell r="C886" t="str">
            <v>CM011PB</v>
          </cell>
          <cell r="D886">
            <v>5</v>
          </cell>
          <cell r="E886">
            <v>2500</v>
          </cell>
          <cell r="F886" t="str">
            <v>Metal Clip on plates</v>
          </cell>
          <cell r="G886" t="str">
            <v>COPA Wiring Accessories</v>
          </cell>
          <cell r="H886" t="str">
            <v>MEM series</v>
          </cell>
          <cell r="I886" t="str">
            <v>PB CVR FOR C011 C017 C021 C461</v>
          </cell>
        </row>
        <row r="887">
          <cell r="C887" t="str">
            <v>CM011SB</v>
          </cell>
          <cell r="D887">
            <v>5</v>
          </cell>
          <cell r="E887">
            <v>2500</v>
          </cell>
          <cell r="F887" t="str">
            <v>Metal Clip on plates</v>
          </cell>
          <cell r="G887" t="str">
            <v>COPA Wiring Accessories</v>
          </cell>
          <cell r="H887" t="str">
            <v>MEM series</v>
          </cell>
          <cell r="I887" t="str">
            <v>SB CVR FOR C011 C017 C021 C461</v>
          </cell>
        </row>
        <row r="888">
          <cell r="C888" t="str">
            <v>CM011SS</v>
          </cell>
          <cell r="D888">
            <v>5</v>
          </cell>
          <cell r="E888">
            <v>2500</v>
          </cell>
          <cell r="F888" t="str">
            <v>Metal Clip on plates</v>
          </cell>
          <cell r="G888" t="str">
            <v>COPA Wiring Accessories</v>
          </cell>
          <cell r="H888" t="str">
            <v>MEM series</v>
          </cell>
          <cell r="I888" t="str">
            <v>SS CVR FOR C011 C017 C021 C461</v>
          </cell>
        </row>
        <row r="889">
          <cell r="C889" t="str">
            <v>CM012HP</v>
          </cell>
          <cell r="D889">
            <v>5</v>
          </cell>
          <cell r="E889">
            <v>2500</v>
          </cell>
          <cell r="F889" t="str">
            <v>Metal Clip on plates</v>
          </cell>
          <cell r="G889" t="str">
            <v>COPA Wiring Accessories</v>
          </cell>
          <cell r="H889" t="str">
            <v>MEM series</v>
          </cell>
          <cell r="I889" t="str">
            <v>HP COVER FOR C012  C022</v>
          </cell>
        </row>
        <row r="890">
          <cell r="C890" t="str">
            <v>CM012PB</v>
          </cell>
          <cell r="D890">
            <v>5</v>
          </cell>
          <cell r="E890">
            <v>2500</v>
          </cell>
          <cell r="F890" t="str">
            <v>Metal Clip on plates</v>
          </cell>
          <cell r="G890" t="str">
            <v>COPA Wiring Accessories</v>
          </cell>
          <cell r="H890" t="str">
            <v>MEM series</v>
          </cell>
          <cell r="I890" t="str">
            <v>PB COVER FOR C012  C022</v>
          </cell>
        </row>
        <row r="891">
          <cell r="C891" t="str">
            <v>CM012SB</v>
          </cell>
          <cell r="D891">
            <v>5</v>
          </cell>
          <cell r="E891">
            <v>2500</v>
          </cell>
          <cell r="F891" t="str">
            <v>Metal Clip on plates</v>
          </cell>
          <cell r="G891" t="str">
            <v>COPA Wiring Accessories</v>
          </cell>
          <cell r="H891" t="str">
            <v>MEM series</v>
          </cell>
          <cell r="I891" t="str">
            <v>SB COVER FOR C012  C022</v>
          </cell>
        </row>
        <row r="892">
          <cell r="C892" t="str">
            <v>CM012SS</v>
          </cell>
          <cell r="D892">
            <v>5</v>
          </cell>
          <cell r="E892">
            <v>2500</v>
          </cell>
          <cell r="F892" t="str">
            <v>Metal Clip on plates</v>
          </cell>
          <cell r="G892" t="str">
            <v>COPA Wiring Accessories</v>
          </cell>
          <cell r="H892" t="str">
            <v>MEM series</v>
          </cell>
          <cell r="I892" t="str">
            <v>SS COVER FOR C012  C022</v>
          </cell>
        </row>
        <row r="893">
          <cell r="C893" t="str">
            <v>CM013HP</v>
          </cell>
          <cell r="D893">
            <v>5</v>
          </cell>
          <cell r="E893">
            <v>2500</v>
          </cell>
          <cell r="F893" t="str">
            <v>Metal Clip on plates</v>
          </cell>
          <cell r="G893" t="str">
            <v>COPA Wiring Accessories</v>
          </cell>
          <cell r="H893" t="str">
            <v>MEM series</v>
          </cell>
          <cell r="I893" t="str">
            <v>HP CV FOR C013/23 C032 C041/47</v>
          </cell>
        </row>
        <row r="894">
          <cell r="C894" t="str">
            <v>CM013PB</v>
          </cell>
          <cell r="D894">
            <v>5</v>
          </cell>
          <cell r="E894">
            <v>2500</v>
          </cell>
          <cell r="F894" t="str">
            <v>Metal Clip on plates</v>
          </cell>
          <cell r="G894" t="str">
            <v>COPA Wiring Accessories</v>
          </cell>
          <cell r="H894" t="str">
            <v>MEM series</v>
          </cell>
          <cell r="I894" t="str">
            <v>PB CV FOR C013/23 C032 C041/47</v>
          </cell>
        </row>
        <row r="895">
          <cell r="C895" t="str">
            <v>CM013SB</v>
          </cell>
          <cell r="D895">
            <v>5</v>
          </cell>
          <cell r="E895">
            <v>2500</v>
          </cell>
          <cell r="F895" t="str">
            <v>Metal Clip on plates</v>
          </cell>
          <cell r="G895" t="str">
            <v>COPA Wiring Accessories</v>
          </cell>
          <cell r="H895" t="str">
            <v>MEM series</v>
          </cell>
          <cell r="I895" t="str">
            <v>SB CV FOR C013/23 C032 C041/47</v>
          </cell>
        </row>
        <row r="896">
          <cell r="C896" t="str">
            <v>CM013SS</v>
          </cell>
          <cell r="D896">
            <v>5</v>
          </cell>
          <cell r="E896">
            <v>2500</v>
          </cell>
          <cell r="F896" t="str">
            <v>Metal Clip on plates</v>
          </cell>
          <cell r="G896" t="str">
            <v>COPA Wiring Accessories</v>
          </cell>
          <cell r="H896" t="str">
            <v>MEM series</v>
          </cell>
          <cell r="I896" t="str">
            <v>SS CV FOR C013/23 C032 C041/47</v>
          </cell>
        </row>
        <row r="897">
          <cell r="C897" t="str">
            <v>CM014HP</v>
          </cell>
          <cell r="D897">
            <v>5</v>
          </cell>
          <cell r="E897">
            <v>2500</v>
          </cell>
          <cell r="F897" t="str">
            <v>Metal Clip on plates</v>
          </cell>
          <cell r="G897" t="str">
            <v>COPA Wiring Accessories</v>
          </cell>
          <cell r="H897" t="str">
            <v>MEM series</v>
          </cell>
          <cell r="I897" t="str">
            <v>HP COVER FOR C014 C024</v>
          </cell>
        </row>
        <row r="898">
          <cell r="C898" t="str">
            <v>CM014PB</v>
          </cell>
          <cell r="D898">
            <v>5</v>
          </cell>
          <cell r="E898">
            <v>2500</v>
          </cell>
          <cell r="F898" t="str">
            <v>Metal Clip on plates</v>
          </cell>
          <cell r="G898" t="str">
            <v>COPA Wiring Accessories</v>
          </cell>
          <cell r="H898" t="str">
            <v>MEM series</v>
          </cell>
          <cell r="I898" t="str">
            <v>PB COVER FOR C014  C024</v>
          </cell>
        </row>
        <row r="899">
          <cell r="C899" t="str">
            <v>CM014SB</v>
          </cell>
          <cell r="D899">
            <v>5</v>
          </cell>
          <cell r="E899">
            <v>2500</v>
          </cell>
          <cell r="F899" t="str">
            <v>Metal Clip on plates</v>
          </cell>
          <cell r="G899" t="str">
            <v>COPA Wiring Accessories</v>
          </cell>
          <cell r="H899" t="str">
            <v>MEM series</v>
          </cell>
          <cell r="I899" t="str">
            <v>SB COVER FOR C014  C024</v>
          </cell>
        </row>
        <row r="900">
          <cell r="C900" t="str">
            <v>CM014SS</v>
          </cell>
          <cell r="D900">
            <v>5</v>
          </cell>
          <cell r="E900">
            <v>2500</v>
          </cell>
          <cell r="F900" t="str">
            <v>Metal Clip on plates</v>
          </cell>
          <cell r="G900" t="str">
            <v>COPA Wiring Accessories</v>
          </cell>
          <cell r="H900" t="str">
            <v>MEM series</v>
          </cell>
          <cell r="I900" t="str">
            <v>SS COVER FOR C014  C024</v>
          </cell>
        </row>
        <row r="901">
          <cell r="C901" t="str">
            <v>CM015HP</v>
          </cell>
          <cell r="D901">
            <v>5</v>
          </cell>
          <cell r="E901">
            <v>2500</v>
          </cell>
          <cell r="F901" t="str">
            <v>Metal Clip on plates</v>
          </cell>
          <cell r="G901" t="str">
            <v>COPA Wiring Accessories</v>
          </cell>
          <cell r="H901" t="str">
            <v>MEM series</v>
          </cell>
          <cell r="I901" t="str">
            <v>HP COVER FOR C015 BELL SYMBOL</v>
          </cell>
        </row>
        <row r="902">
          <cell r="C902" t="str">
            <v>CM015LHP</v>
          </cell>
          <cell r="D902">
            <v>5</v>
          </cell>
          <cell r="E902">
            <v>2500</v>
          </cell>
          <cell r="F902" t="str">
            <v>Metal Clip on plates</v>
          </cell>
          <cell r="G902" t="str">
            <v>COPA Wiring Accessories</v>
          </cell>
          <cell r="H902" t="str">
            <v>MEM series</v>
          </cell>
          <cell r="I902" t="str">
            <v>HP COVER FOR C015 LIGHT SYMBOL</v>
          </cell>
        </row>
        <row r="903">
          <cell r="C903" t="str">
            <v>CM015LPB</v>
          </cell>
          <cell r="D903">
            <v>5</v>
          </cell>
          <cell r="E903">
            <v>2500</v>
          </cell>
          <cell r="F903" t="str">
            <v>Metal Clip on plates</v>
          </cell>
          <cell r="G903" t="str">
            <v>COPA Wiring Accessories</v>
          </cell>
          <cell r="H903" t="str">
            <v>MEM series</v>
          </cell>
          <cell r="I903" t="str">
            <v>PB COVER FOR C015 LIGHT SYMBOL</v>
          </cell>
        </row>
        <row r="904">
          <cell r="C904" t="str">
            <v>CM015LSS</v>
          </cell>
          <cell r="D904">
            <v>5</v>
          </cell>
          <cell r="E904">
            <v>2500</v>
          </cell>
          <cell r="F904" t="str">
            <v>Metal Clip on plates</v>
          </cell>
          <cell r="G904" t="str">
            <v>COPA Wiring Accessories</v>
          </cell>
          <cell r="H904" t="str">
            <v>MEM series</v>
          </cell>
          <cell r="I904" t="str">
            <v>SS COVER FOR C015 LIGHT SYMBOL</v>
          </cell>
        </row>
        <row r="905">
          <cell r="C905" t="str">
            <v>CM015PB</v>
          </cell>
          <cell r="D905">
            <v>5</v>
          </cell>
          <cell r="E905">
            <v>2500</v>
          </cell>
          <cell r="F905" t="str">
            <v>Metal Clip on plates</v>
          </cell>
          <cell r="G905" t="str">
            <v>COPA Wiring Accessories</v>
          </cell>
          <cell r="H905" t="str">
            <v>MEM series</v>
          </cell>
          <cell r="I905" t="str">
            <v>10A 1G SW PUSH COPA PLATE PB</v>
          </cell>
        </row>
        <row r="906">
          <cell r="C906" t="str">
            <v>CM015SB</v>
          </cell>
          <cell r="D906">
            <v>5</v>
          </cell>
          <cell r="E906">
            <v>2500</v>
          </cell>
          <cell r="F906" t="str">
            <v>Metal Clip on plates</v>
          </cell>
          <cell r="G906" t="str">
            <v>COPA Wiring Accessories</v>
          </cell>
          <cell r="H906" t="str">
            <v>MEM series</v>
          </cell>
          <cell r="I906" t="str">
            <v>10A 1G SW PUSH COPA PLATE SB</v>
          </cell>
        </row>
        <row r="907">
          <cell r="C907" t="str">
            <v>CM015SS</v>
          </cell>
          <cell r="D907">
            <v>5</v>
          </cell>
          <cell r="E907">
            <v>2500</v>
          </cell>
          <cell r="F907" t="str">
            <v>Metal Clip on plates</v>
          </cell>
          <cell r="G907" t="str">
            <v>COPA Wiring Accessories</v>
          </cell>
          <cell r="H907" t="str">
            <v>MEM series</v>
          </cell>
          <cell r="I907" t="str">
            <v>10A 1G SW PUSH COPA PLATE SS</v>
          </cell>
        </row>
        <row r="908">
          <cell r="C908" t="str">
            <v>CM026HP</v>
          </cell>
          <cell r="D908">
            <v>5</v>
          </cell>
          <cell r="E908">
            <v>2500</v>
          </cell>
          <cell r="F908" t="str">
            <v>Metal Clip on plates</v>
          </cell>
          <cell r="G908" t="str">
            <v>COPA Wiring Accessories</v>
          </cell>
          <cell r="H908" t="str">
            <v>MEM series</v>
          </cell>
          <cell r="I908" t="str">
            <v>HP COVER FOR C026</v>
          </cell>
        </row>
        <row r="909">
          <cell r="C909" t="str">
            <v>CM026PB</v>
          </cell>
          <cell r="D909">
            <v>5</v>
          </cell>
          <cell r="E909">
            <v>2500</v>
          </cell>
          <cell r="F909" t="str">
            <v>Metal Clip on plates</v>
          </cell>
          <cell r="G909" t="str">
            <v>COPA Wiring Accessories</v>
          </cell>
          <cell r="H909" t="str">
            <v>MEM series</v>
          </cell>
          <cell r="I909" t="str">
            <v>PB COVER FOR C026</v>
          </cell>
        </row>
        <row r="910">
          <cell r="C910" t="str">
            <v>CM026SB</v>
          </cell>
          <cell r="D910">
            <v>5</v>
          </cell>
          <cell r="E910">
            <v>2500</v>
          </cell>
          <cell r="F910" t="str">
            <v>Metal Clip on plates</v>
          </cell>
          <cell r="G910" t="str">
            <v>COPA Wiring Accessories</v>
          </cell>
          <cell r="H910" t="str">
            <v>MEM series</v>
          </cell>
          <cell r="I910" t="str">
            <v>SB COVER FOR C026</v>
          </cell>
        </row>
        <row r="911">
          <cell r="C911" t="str">
            <v>CM026SS</v>
          </cell>
          <cell r="D911">
            <v>5</v>
          </cell>
          <cell r="E911">
            <v>2500</v>
          </cell>
          <cell r="F911" t="str">
            <v>Metal Clip on plates</v>
          </cell>
          <cell r="G911" t="str">
            <v>COPA Wiring Accessories</v>
          </cell>
          <cell r="H911" t="str">
            <v>MEM series</v>
          </cell>
          <cell r="I911" t="str">
            <v>SS COVER FOR C026</v>
          </cell>
        </row>
        <row r="912">
          <cell r="C912" t="str">
            <v>CM045HP</v>
          </cell>
          <cell r="D912">
            <v>5</v>
          </cell>
          <cell r="E912">
            <v>2500</v>
          </cell>
          <cell r="F912" t="str">
            <v>Metal Clip on plates</v>
          </cell>
          <cell r="G912" t="str">
            <v>COPA Wiring Accessories</v>
          </cell>
          <cell r="H912" t="str">
            <v>MEM series</v>
          </cell>
          <cell r="I912" t="str">
            <v>HP COVER FOR C045 BELL SYMBOL</v>
          </cell>
        </row>
        <row r="913">
          <cell r="C913" t="str">
            <v>CM045PB</v>
          </cell>
          <cell r="D913">
            <v>5</v>
          </cell>
          <cell r="E913">
            <v>2500</v>
          </cell>
          <cell r="F913" t="str">
            <v>Metal Clip on plates</v>
          </cell>
          <cell r="G913" t="str">
            <v>COPA Wiring Accessories</v>
          </cell>
          <cell r="H913" t="str">
            <v>MEM series</v>
          </cell>
          <cell r="I913" t="str">
            <v>PB COVER FOR C045 BELL SYMBOL</v>
          </cell>
        </row>
        <row r="914">
          <cell r="C914" t="str">
            <v>CM045SB</v>
          </cell>
          <cell r="D914">
            <v>5</v>
          </cell>
          <cell r="E914">
            <v>2500</v>
          </cell>
          <cell r="F914" t="str">
            <v>Metal Clip on plates</v>
          </cell>
          <cell r="G914" t="str">
            <v>COPA Wiring Accessories</v>
          </cell>
          <cell r="H914" t="str">
            <v>MEM series</v>
          </cell>
          <cell r="I914" t="str">
            <v>SB COVER FOR C045 BELL SYMBOL</v>
          </cell>
        </row>
        <row r="915">
          <cell r="C915" t="str">
            <v>CM045SS</v>
          </cell>
          <cell r="D915">
            <v>5</v>
          </cell>
          <cell r="E915">
            <v>2500</v>
          </cell>
          <cell r="F915" t="str">
            <v>Metal Clip on plates</v>
          </cell>
          <cell r="G915" t="str">
            <v>COPA Wiring Accessories</v>
          </cell>
          <cell r="H915" t="str">
            <v>MEM series</v>
          </cell>
          <cell r="I915" t="str">
            <v>SS COVER FOR C045 BELL SYMBOL</v>
          </cell>
        </row>
        <row r="916">
          <cell r="C916" t="str">
            <v>CM048HP</v>
          </cell>
          <cell r="D916">
            <v>5</v>
          </cell>
          <cell r="E916">
            <v>2500</v>
          </cell>
          <cell r="F916" t="str">
            <v>Metal Clip on plates</v>
          </cell>
          <cell r="G916" t="str">
            <v>COPA Wiring Accessories</v>
          </cell>
          <cell r="H916" t="str">
            <v>MEM series</v>
          </cell>
          <cell r="I916" t="str">
            <v>HP COVER FOR C048 FAN ISOLATOR</v>
          </cell>
        </row>
        <row r="917">
          <cell r="C917" t="str">
            <v>CM048PB</v>
          </cell>
          <cell r="D917">
            <v>5</v>
          </cell>
          <cell r="E917">
            <v>2500</v>
          </cell>
          <cell r="F917" t="str">
            <v>Metal Clip on plates</v>
          </cell>
          <cell r="G917" t="str">
            <v>COPA Wiring Accessories</v>
          </cell>
          <cell r="H917" t="str">
            <v>MEM series</v>
          </cell>
          <cell r="I917" t="str">
            <v>PB COVER FOR C048 FAN ISOLATOR</v>
          </cell>
        </row>
        <row r="918">
          <cell r="C918" t="str">
            <v>CM048SB</v>
          </cell>
          <cell r="D918">
            <v>5</v>
          </cell>
          <cell r="E918">
            <v>2500</v>
          </cell>
          <cell r="F918" t="str">
            <v>Metal Clip on plates</v>
          </cell>
          <cell r="G918" t="str">
            <v>COPA Wiring Accessories</v>
          </cell>
          <cell r="H918" t="str">
            <v>MEM series</v>
          </cell>
          <cell r="I918" t="str">
            <v>SB COVER FOR C048 FAN ISOLATOR</v>
          </cell>
        </row>
        <row r="919">
          <cell r="C919" t="str">
            <v>CM048SS</v>
          </cell>
          <cell r="D919">
            <v>5</v>
          </cell>
          <cell r="E919">
            <v>2500</v>
          </cell>
          <cell r="F919" t="str">
            <v>Metal Clip on plates</v>
          </cell>
          <cell r="G919" t="str">
            <v>COPA Wiring Accessories</v>
          </cell>
          <cell r="H919" t="str">
            <v>MEM series</v>
          </cell>
          <cell r="I919" t="str">
            <v>SS COVER FOR C048 FAN ISOLATOR</v>
          </cell>
        </row>
        <row r="920">
          <cell r="C920" t="str">
            <v>CM049HP</v>
          </cell>
          <cell r="D920">
            <v>5</v>
          </cell>
          <cell r="E920">
            <v>2500</v>
          </cell>
          <cell r="F920" t="str">
            <v>Metal Clip on plates</v>
          </cell>
          <cell r="G920" t="str">
            <v>COPA Wiring Accessories</v>
          </cell>
          <cell r="H920" t="str">
            <v>MEM series</v>
          </cell>
          <cell r="I920" t="str">
            <v>HP COVER FOR C049 ISOLATOR</v>
          </cell>
        </row>
        <row r="921">
          <cell r="C921" t="str">
            <v>CM049PB</v>
          </cell>
          <cell r="D921">
            <v>5</v>
          </cell>
          <cell r="E921">
            <v>2500</v>
          </cell>
          <cell r="F921" t="str">
            <v>Metal Clip on plates</v>
          </cell>
          <cell r="G921" t="str">
            <v>COPA Wiring Accessories</v>
          </cell>
          <cell r="H921" t="str">
            <v>MEM series</v>
          </cell>
          <cell r="I921" t="str">
            <v>PB COVER FOR C049 ISOLATOR</v>
          </cell>
        </row>
        <row r="922">
          <cell r="C922" t="str">
            <v>CM049SB</v>
          </cell>
          <cell r="D922">
            <v>5</v>
          </cell>
          <cell r="E922">
            <v>2500</v>
          </cell>
          <cell r="F922" t="str">
            <v>Metal Clip on plates</v>
          </cell>
          <cell r="G922" t="str">
            <v>COPA Wiring Accessories</v>
          </cell>
          <cell r="H922" t="str">
            <v>MEM series</v>
          </cell>
          <cell r="I922" t="str">
            <v>SB COVER FOR C049 ISOLATOR</v>
          </cell>
        </row>
        <row r="923">
          <cell r="C923" t="str">
            <v>CM049SS</v>
          </cell>
          <cell r="D923">
            <v>5</v>
          </cell>
          <cell r="E923">
            <v>2500</v>
          </cell>
          <cell r="F923" t="str">
            <v>Metal Clip on plates</v>
          </cell>
          <cell r="G923" t="str">
            <v>COPA Wiring Accessories</v>
          </cell>
          <cell r="H923" t="str">
            <v>MEM series</v>
          </cell>
          <cell r="I923" t="str">
            <v>SS COVER FOR C049 ISOLATOR</v>
          </cell>
        </row>
        <row r="924">
          <cell r="C924" t="str">
            <v>CM111HP</v>
          </cell>
          <cell r="D924">
            <v>5</v>
          </cell>
          <cell r="E924">
            <v>2500</v>
          </cell>
          <cell r="F924" t="str">
            <v>Metal Clip on plates</v>
          </cell>
          <cell r="G924" t="str">
            <v>COPA Wiring Accessories</v>
          </cell>
          <cell r="H924" t="str">
            <v>MEM series</v>
          </cell>
          <cell r="I924" t="str">
            <v>HP COVER FOR C111</v>
          </cell>
        </row>
        <row r="925">
          <cell r="C925" t="str">
            <v>CM111PB</v>
          </cell>
          <cell r="D925">
            <v>5</v>
          </cell>
          <cell r="E925">
            <v>2500</v>
          </cell>
          <cell r="F925" t="str">
            <v>Metal Clip on plates</v>
          </cell>
          <cell r="G925" t="str">
            <v>COPA Wiring Accessories</v>
          </cell>
          <cell r="H925" t="str">
            <v>MEM series</v>
          </cell>
          <cell r="I925" t="str">
            <v>PB COVER FOR C111</v>
          </cell>
        </row>
        <row r="926">
          <cell r="C926" t="str">
            <v>CM111SB</v>
          </cell>
          <cell r="D926">
            <v>5</v>
          </cell>
          <cell r="E926">
            <v>2500</v>
          </cell>
          <cell r="F926" t="str">
            <v>Metal Clip on plates</v>
          </cell>
          <cell r="G926" t="str">
            <v>COPA Wiring Accessories</v>
          </cell>
          <cell r="H926" t="str">
            <v>MEM series</v>
          </cell>
          <cell r="I926" t="str">
            <v>SB COVER FOR C111</v>
          </cell>
        </row>
        <row r="927">
          <cell r="C927" t="str">
            <v>CM111SS</v>
          </cell>
          <cell r="D927">
            <v>5</v>
          </cell>
          <cell r="E927">
            <v>2500</v>
          </cell>
          <cell r="F927" t="str">
            <v>Metal Clip on plates</v>
          </cell>
          <cell r="G927" t="str">
            <v>COPA Wiring Accessories</v>
          </cell>
          <cell r="H927" t="str">
            <v>MEM series</v>
          </cell>
          <cell r="I927" t="str">
            <v>SS COVER FOR C111</v>
          </cell>
        </row>
        <row r="928">
          <cell r="C928" t="str">
            <v>CM112HP</v>
          </cell>
          <cell r="D928">
            <v>5</v>
          </cell>
          <cell r="E928">
            <v>2500</v>
          </cell>
          <cell r="F928" t="str">
            <v>Metal Clip on plates</v>
          </cell>
          <cell r="G928" t="str">
            <v>COPA Wiring Accessories</v>
          </cell>
          <cell r="H928" t="str">
            <v>MEM series</v>
          </cell>
          <cell r="I928" t="str">
            <v>HP COVER FOR C112</v>
          </cell>
        </row>
        <row r="929">
          <cell r="C929" t="str">
            <v>CM112PB</v>
          </cell>
          <cell r="D929">
            <v>5</v>
          </cell>
          <cell r="E929">
            <v>2500</v>
          </cell>
          <cell r="F929" t="str">
            <v>Metal Clip on plates</v>
          </cell>
          <cell r="G929" t="str">
            <v>COPA Wiring Accessories</v>
          </cell>
          <cell r="H929" t="str">
            <v>MEM series</v>
          </cell>
          <cell r="I929" t="str">
            <v>PB COVER FOR C112</v>
          </cell>
        </row>
        <row r="930">
          <cell r="C930" t="str">
            <v>CM112SB</v>
          </cell>
          <cell r="D930">
            <v>5</v>
          </cell>
          <cell r="E930">
            <v>2500</v>
          </cell>
          <cell r="F930" t="str">
            <v>Metal Clip on plates</v>
          </cell>
          <cell r="G930" t="str">
            <v>COPA Wiring Accessories</v>
          </cell>
          <cell r="H930" t="str">
            <v>MEM series</v>
          </cell>
          <cell r="I930" t="str">
            <v>SB COVER FOR C112</v>
          </cell>
        </row>
        <row r="931">
          <cell r="C931" t="str">
            <v>CM112SS</v>
          </cell>
          <cell r="D931">
            <v>5</v>
          </cell>
          <cell r="E931">
            <v>2500</v>
          </cell>
          <cell r="F931" t="str">
            <v>Metal Clip on plates</v>
          </cell>
          <cell r="G931" t="str">
            <v>COPA Wiring Accessories</v>
          </cell>
          <cell r="H931" t="str">
            <v>MEM series</v>
          </cell>
          <cell r="I931" t="str">
            <v>SS COVER FOR C112</v>
          </cell>
        </row>
        <row r="932">
          <cell r="C932" t="str">
            <v>CM220HP</v>
          </cell>
          <cell r="D932">
            <v>5</v>
          </cell>
          <cell r="E932">
            <v>2500</v>
          </cell>
          <cell r="F932" t="str">
            <v>Metal Clip on plates</v>
          </cell>
          <cell r="G932" t="str">
            <v>COPA Wiring Accessories</v>
          </cell>
          <cell r="H932" t="str">
            <v>MEM series</v>
          </cell>
          <cell r="I932" t="str">
            <v>HP COVER FOR C220</v>
          </cell>
        </row>
        <row r="933">
          <cell r="C933" t="str">
            <v>CM220NHP</v>
          </cell>
          <cell r="D933">
            <v>5</v>
          </cell>
          <cell r="E933">
            <v>2500</v>
          </cell>
          <cell r="F933" t="str">
            <v>Metal Clip on plates</v>
          </cell>
          <cell r="G933" t="str">
            <v>COPA Wiring Accessories</v>
          </cell>
          <cell r="H933" t="str">
            <v>MEM series</v>
          </cell>
          <cell r="I933" t="str">
            <v>HP COVER FOR C220N</v>
          </cell>
        </row>
        <row r="934">
          <cell r="C934" t="str">
            <v>CM220NPB</v>
          </cell>
          <cell r="D934">
            <v>5</v>
          </cell>
          <cell r="E934">
            <v>2500</v>
          </cell>
          <cell r="F934" t="str">
            <v>Metal Clip on plates</v>
          </cell>
          <cell r="G934" t="str">
            <v>COPA Wiring Accessories</v>
          </cell>
          <cell r="H934" t="str">
            <v>MEM series</v>
          </cell>
          <cell r="I934" t="str">
            <v>PB COVER FOR C220N</v>
          </cell>
        </row>
        <row r="935">
          <cell r="C935" t="str">
            <v>CM220NSB</v>
          </cell>
          <cell r="D935">
            <v>5</v>
          </cell>
          <cell r="E935">
            <v>2500</v>
          </cell>
          <cell r="F935" t="str">
            <v>Metal Clip on plates</v>
          </cell>
          <cell r="G935" t="str">
            <v>COPA Wiring Accessories</v>
          </cell>
          <cell r="H935" t="str">
            <v>MEM series</v>
          </cell>
          <cell r="I935" t="str">
            <v>SB COVER FOR C220N</v>
          </cell>
        </row>
        <row r="936">
          <cell r="C936" t="str">
            <v>CM220NSS</v>
          </cell>
          <cell r="D936">
            <v>5</v>
          </cell>
          <cell r="E936">
            <v>2500</v>
          </cell>
          <cell r="F936" t="str">
            <v>Metal Clip on plates</v>
          </cell>
          <cell r="G936" t="str">
            <v>COPA Wiring Accessories</v>
          </cell>
          <cell r="H936" t="str">
            <v>MEM series</v>
          </cell>
          <cell r="I936" t="str">
            <v>SS COVER FOR C220N</v>
          </cell>
        </row>
        <row r="937">
          <cell r="C937" t="str">
            <v>CM220PB</v>
          </cell>
          <cell r="D937">
            <v>5</v>
          </cell>
          <cell r="E937">
            <v>2500</v>
          </cell>
          <cell r="F937" t="str">
            <v>Metal Clip on plates</v>
          </cell>
          <cell r="G937" t="str">
            <v>COPA Wiring Accessories</v>
          </cell>
          <cell r="H937" t="str">
            <v>MEM series</v>
          </cell>
          <cell r="I937" t="str">
            <v>PB COVER FOR C220</v>
          </cell>
        </row>
        <row r="938">
          <cell r="C938" t="str">
            <v>CM220SB</v>
          </cell>
          <cell r="D938">
            <v>5</v>
          </cell>
          <cell r="E938">
            <v>2500</v>
          </cell>
          <cell r="F938" t="str">
            <v>Metal Clip on plates</v>
          </cell>
          <cell r="G938" t="str">
            <v>COPA Wiring Accessories</v>
          </cell>
          <cell r="H938" t="str">
            <v>MEM series</v>
          </cell>
          <cell r="I938" t="str">
            <v>SB COVER FOR C220</v>
          </cell>
        </row>
        <row r="939">
          <cell r="C939" t="str">
            <v>CM220SS</v>
          </cell>
          <cell r="D939">
            <v>5</v>
          </cell>
          <cell r="E939">
            <v>2500</v>
          </cell>
          <cell r="F939" t="str">
            <v>Metal Clip on plates</v>
          </cell>
          <cell r="G939" t="str">
            <v>COPA Wiring Accessories</v>
          </cell>
          <cell r="H939" t="str">
            <v>MEM series</v>
          </cell>
          <cell r="I939" t="str">
            <v>SS COVER FOR C220</v>
          </cell>
        </row>
        <row r="940">
          <cell r="C940" t="str">
            <v>CM221HP</v>
          </cell>
          <cell r="D940">
            <v>5</v>
          </cell>
          <cell r="E940">
            <v>2500</v>
          </cell>
          <cell r="F940" t="str">
            <v>Metal Clip on plates</v>
          </cell>
          <cell r="G940" t="str">
            <v>COPA Wiring Accessories</v>
          </cell>
          <cell r="H940" t="str">
            <v>MEM series</v>
          </cell>
          <cell r="I940" t="str">
            <v>HP COVER FOR C221</v>
          </cell>
        </row>
        <row r="941">
          <cell r="C941" t="str">
            <v>CM221NCHHP</v>
          </cell>
          <cell r="D941">
            <v>5</v>
          </cell>
          <cell r="E941">
            <v>2500</v>
          </cell>
          <cell r="F941" t="str">
            <v>Metal Clip on plates</v>
          </cell>
          <cell r="G941" t="str">
            <v>COPA Wiring Accessories</v>
          </cell>
          <cell r="H941" t="str">
            <v>MEM series</v>
          </cell>
          <cell r="I941" t="str">
            <v>HP CVR C201N CENTRAL HEATING</v>
          </cell>
        </row>
        <row r="942">
          <cell r="C942" t="str">
            <v>CM221NCHPB</v>
          </cell>
          <cell r="D942">
            <v>5</v>
          </cell>
          <cell r="E942">
            <v>2500</v>
          </cell>
          <cell r="F942" t="str">
            <v>Metal Clip on plates</v>
          </cell>
          <cell r="G942" t="str">
            <v>COPA Wiring Accessories</v>
          </cell>
          <cell r="H942" t="str">
            <v>MEM series</v>
          </cell>
          <cell r="I942" t="str">
            <v>PB CVR C201N CENTRAL HEATING</v>
          </cell>
        </row>
        <row r="943">
          <cell r="C943" t="str">
            <v>CM221NCHSS</v>
          </cell>
          <cell r="D943">
            <v>5</v>
          </cell>
          <cell r="E943">
            <v>2500</v>
          </cell>
          <cell r="F943" t="str">
            <v>Metal Clip on plates</v>
          </cell>
          <cell r="G943" t="str">
            <v>COPA Wiring Accessories</v>
          </cell>
          <cell r="H943" t="str">
            <v>MEM series</v>
          </cell>
          <cell r="I943" t="str">
            <v>SS CVR C201N CENTRAL HEATING</v>
          </cell>
        </row>
        <row r="944">
          <cell r="C944" t="str">
            <v>CM221NEFHP</v>
          </cell>
          <cell r="D944">
            <v>5</v>
          </cell>
          <cell r="E944">
            <v>2500</v>
          </cell>
          <cell r="F944" t="str">
            <v>Metal Clip on plates</v>
          </cell>
          <cell r="G944" t="str">
            <v>COPA Wiring Accessories</v>
          </cell>
          <cell r="H944" t="str">
            <v>MEM series</v>
          </cell>
          <cell r="I944" t="str">
            <v>HP COVER FOR C201N EXTRACT FAN</v>
          </cell>
        </row>
        <row r="945">
          <cell r="C945" t="str">
            <v>CM221NEFPB</v>
          </cell>
          <cell r="D945">
            <v>5</v>
          </cell>
          <cell r="E945">
            <v>2500</v>
          </cell>
          <cell r="F945" t="str">
            <v>Metal Clip on plates</v>
          </cell>
          <cell r="G945" t="str">
            <v>COPA Wiring Accessories</v>
          </cell>
          <cell r="H945" t="str">
            <v>MEM series</v>
          </cell>
          <cell r="I945" t="str">
            <v>PB COVER FOR C201N EXTRACT FAN</v>
          </cell>
        </row>
        <row r="946">
          <cell r="C946" t="str">
            <v>CM221NEFSS</v>
          </cell>
          <cell r="D946">
            <v>5</v>
          </cell>
          <cell r="E946">
            <v>2500</v>
          </cell>
          <cell r="F946" t="str">
            <v>Metal Clip on plates</v>
          </cell>
          <cell r="G946" t="str">
            <v>COPA Wiring Accessories</v>
          </cell>
          <cell r="H946" t="str">
            <v>MEM series</v>
          </cell>
          <cell r="I946" t="str">
            <v>SS COVER FOR C201N EXTRACT FAN</v>
          </cell>
        </row>
        <row r="947">
          <cell r="C947" t="str">
            <v>CM221NHEHP</v>
          </cell>
          <cell r="D947">
            <v>5</v>
          </cell>
          <cell r="E947">
            <v>2500</v>
          </cell>
          <cell r="F947" t="str">
            <v>Metal Clip on plates</v>
          </cell>
          <cell r="G947" t="str">
            <v>COPA Wiring Accessories</v>
          </cell>
          <cell r="H947" t="str">
            <v>MEM series</v>
          </cell>
          <cell r="I947" t="str">
            <v>HP COVER FOR C221N HEATER</v>
          </cell>
        </row>
        <row r="948">
          <cell r="C948" t="str">
            <v>CM221NHEPB</v>
          </cell>
          <cell r="D948">
            <v>5</v>
          </cell>
          <cell r="E948">
            <v>2500</v>
          </cell>
          <cell r="F948" t="str">
            <v>Metal Clip on plates</v>
          </cell>
          <cell r="G948" t="str">
            <v>COPA Wiring Accessories</v>
          </cell>
          <cell r="H948" t="str">
            <v>MEM series</v>
          </cell>
          <cell r="I948" t="str">
            <v>PB COVER FOR C221N HEATER</v>
          </cell>
        </row>
        <row r="949">
          <cell r="C949" t="str">
            <v>CM221NHESS</v>
          </cell>
          <cell r="D949">
            <v>5</v>
          </cell>
          <cell r="E949">
            <v>2500</v>
          </cell>
          <cell r="F949" t="str">
            <v>Metal Clip on plates</v>
          </cell>
          <cell r="G949" t="str">
            <v>COPA Wiring Accessories</v>
          </cell>
          <cell r="H949" t="str">
            <v>MEM series</v>
          </cell>
          <cell r="I949" t="str">
            <v>SS COVER FOR C221N HEATER</v>
          </cell>
        </row>
        <row r="950">
          <cell r="C950" t="str">
            <v>CM221NHP</v>
          </cell>
          <cell r="D950">
            <v>5</v>
          </cell>
          <cell r="E950">
            <v>2500</v>
          </cell>
          <cell r="F950" t="str">
            <v>Metal Clip on plates</v>
          </cell>
          <cell r="G950" t="str">
            <v>COPA Wiring Accessories</v>
          </cell>
          <cell r="H950" t="str">
            <v>MEM series</v>
          </cell>
          <cell r="I950" t="str">
            <v>HP COVER FOR C221N</v>
          </cell>
        </row>
        <row r="951">
          <cell r="C951" t="str">
            <v>CM221NPB</v>
          </cell>
          <cell r="D951">
            <v>5</v>
          </cell>
          <cell r="E951">
            <v>2500</v>
          </cell>
          <cell r="F951" t="str">
            <v>Metal Clip on plates</v>
          </cell>
          <cell r="G951" t="str">
            <v>COPA Wiring Accessories</v>
          </cell>
          <cell r="H951" t="str">
            <v>MEM series</v>
          </cell>
          <cell r="I951" t="str">
            <v>PB COVER FOR C221N</v>
          </cell>
        </row>
        <row r="952">
          <cell r="C952" t="str">
            <v>CM221NRHP</v>
          </cell>
          <cell r="D952">
            <v>5</v>
          </cell>
          <cell r="E952">
            <v>2500</v>
          </cell>
          <cell r="F952" t="str">
            <v>Metal Clip on plates</v>
          </cell>
          <cell r="G952" t="str">
            <v>COPA Wiring Accessories</v>
          </cell>
          <cell r="H952" t="str">
            <v>MEM series</v>
          </cell>
          <cell r="I952" t="str">
            <v>HP CVR FOR C201N REFRIGERATOR</v>
          </cell>
        </row>
        <row r="953">
          <cell r="C953" t="str">
            <v>CM221NRSS</v>
          </cell>
          <cell r="D953">
            <v>5</v>
          </cell>
          <cell r="E953">
            <v>2500</v>
          </cell>
          <cell r="F953" t="str">
            <v>Metal Clip on plates</v>
          </cell>
          <cell r="G953" t="str">
            <v>COPA Wiring Accessories</v>
          </cell>
          <cell r="H953" t="str">
            <v>MEM series</v>
          </cell>
          <cell r="I953" t="str">
            <v>SS CVR FOR C201N REFRIGERATOR</v>
          </cell>
        </row>
        <row r="954">
          <cell r="C954" t="str">
            <v>CM221NSB</v>
          </cell>
          <cell r="D954">
            <v>5</v>
          </cell>
          <cell r="E954">
            <v>2500</v>
          </cell>
          <cell r="F954" t="str">
            <v>Metal Clip on plates</v>
          </cell>
          <cell r="G954" t="str">
            <v>COPA Wiring Accessories</v>
          </cell>
          <cell r="H954" t="str">
            <v>MEM series</v>
          </cell>
          <cell r="I954" t="str">
            <v>SB COVER FOR C221N</v>
          </cell>
        </row>
        <row r="955">
          <cell r="C955" t="str">
            <v>CM221NSS</v>
          </cell>
          <cell r="D955">
            <v>5</v>
          </cell>
          <cell r="E955">
            <v>2500</v>
          </cell>
          <cell r="F955" t="str">
            <v>Metal Clip on plates</v>
          </cell>
          <cell r="G955" t="str">
            <v>COPA Wiring Accessories</v>
          </cell>
          <cell r="H955" t="str">
            <v>MEM series</v>
          </cell>
          <cell r="I955" t="str">
            <v>SS COVER FOR C221N</v>
          </cell>
        </row>
        <row r="956">
          <cell r="C956" t="str">
            <v>CM221NWMHP</v>
          </cell>
          <cell r="D956">
            <v>5</v>
          </cell>
          <cell r="E956">
            <v>2500</v>
          </cell>
          <cell r="F956" t="str">
            <v>Metal Clip on plates</v>
          </cell>
          <cell r="G956" t="str">
            <v>COPA Wiring Accessories</v>
          </cell>
          <cell r="H956" t="str">
            <v>MEM series</v>
          </cell>
          <cell r="I956" t="str">
            <v>HP CVR C201N WASHING MACHINE</v>
          </cell>
        </row>
        <row r="957">
          <cell r="C957" t="str">
            <v>CM221NWMSS</v>
          </cell>
          <cell r="D957">
            <v>5</v>
          </cell>
          <cell r="E957">
            <v>2500</v>
          </cell>
          <cell r="F957" t="str">
            <v>Metal Clip on plates</v>
          </cell>
          <cell r="G957" t="str">
            <v>COPA Wiring Accessories</v>
          </cell>
          <cell r="H957" t="str">
            <v>MEM series</v>
          </cell>
          <cell r="I957" t="str">
            <v>SS CVR C201N WASHING MACHINE</v>
          </cell>
        </row>
        <row r="958">
          <cell r="C958" t="str">
            <v>CM221PB</v>
          </cell>
          <cell r="D958">
            <v>5</v>
          </cell>
          <cell r="E958">
            <v>2500</v>
          </cell>
          <cell r="F958" t="str">
            <v>Metal Clip on plates</v>
          </cell>
          <cell r="G958" t="str">
            <v>COPA Wiring Accessories</v>
          </cell>
          <cell r="H958" t="str">
            <v>MEM series</v>
          </cell>
          <cell r="I958" t="str">
            <v>PB COVER FOR C221</v>
          </cell>
        </row>
        <row r="959">
          <cell r="C959" t="str">
            <v>CM221RHP</v>
          </cell>
          <cell r="D959">
            <v>5</v>
          </cell>
          <cell r="E959">
            <v>2500</v>
          </cell>
          <cell r="F959" t="str">
            <v>Metal Clip on plates</v>
          </cell>
          <cell r="G959" t="str">
            <v>COPA Wiring Accessories</v>
          </cell>
          <cell r="H959" t="str">
            <v>MEM series</v>
          </cell>
          <cell r="I959" t="str">
            <v>HP COVER FOR C201 REFRIGERATOR</v>
          </cell>
        </row>
        <row r="960">
          <cell r="C960" t="str">
            <v>CM221RPB</v>
          </cell>
          <cell r="D960">
            <v>5</v>
          </cell>
          <cell r="E960">
            <v>2500</v>
          </cell>
          <cell r="F960" t="str">
            <v>Metal Clip on plates</v>
          </cell>
          <cell r="G960" t="str">
            <v>COPA Wiring Accessories</v>
          </cell>
          <cell r="H960" t="str">
            <v>MEM series</v>
          </cell>
          <cell r="I960" t="str">
            <v>PB COVER FOR C201 REFRIGERATOR</v>
          </cell>
        </row>
        <row r="961">
          <cell r="C961" t="str">
            <v>CM221RSS</v>
          </cell>
          <cell r="D961">
            <v>5</v>
          </cell>
          <cell r="E961">
            <v>2500</v>
          </cell>
          <cell r="F961" t="str">
            <v>Metal Clip on plates</v>
          </cell>
          <cell r="G961" t="str">
            <v>COPA Wiring Accessories</v>
          </cell>
          <cell r="H961" t="str">
            <v>MEM series</v>
          </cell>
          <cell r="I961" t="str">
            <v>SS COVER FOR C201 REFRIGERATOR</v>
          </cell>
        </row>
        <row r="962">
          <cell r="C962" t="str">
            <v>CM221SB</v>
          </cell>
          <cell r="D962">
            <v>5</v>
          </cell>
          <cell r="E962">
            <v>2500</v>
          </cell>
          <cell r="F962" t="str">
            <v>Metal Clip on plates</v>
          </cell>
          <cell r="G962" t="str">
            <v>COPA Wiring Accessories</v>
          </cell>
          <cell r="H962" t="str">
            <v>MEM series</v>
          </cell>
          <cell r="I962" t="str">
            <v>SB COVER FOR C221</v>
          </cell>
        </row>
        <row r="963">
          <cell r="C963" t="str">
            <v>CM221SS</v>
          </cell>
          <cell r="D963">
            <v>5</v>
          </cell>
          <cell r="E963">
            <v>2500</v>
          </cell>
          <cell r="F963" t="str">
            <v>Metal Clip on plates</v>
          </cell>
          <cell r="G963" t="str">
            <v>COPA Wiring Accessories</v>
          </cell>
          <cell r="H963" t="str">
            <v>MEM series</v>
          </cell>
          <cell r="I963" t="str">
            <v>SS COVER FOR C221</v>
          </cell>
        </row>
        <row r="964">
          <cell r="C964" t="str">
            <v>CM221TDHP</v>
          </cell>
          <cell r="D964">
            <v>5</v>
          </cell>
          <cell r="E964">
            <v>2500</v>
          </cell>
          <cell r="F964" t="str">
            <v>Metal Clip on plates</v>
          </cell>
          <cell r="G964" t="str">
            <v>COPA Wiring Accessories</v>
          </cell>
          <cell r="H964" t="str">
            <v>MEM series</v>
          </cell>
          <cell r="I964" t="str">
            <v>HP COVER FOR C201 TUMBLE DRYER</v>
          </cell>
        </row>
        <row r="965">
          <cell r="C965" t="str">
            <v>CM221TDPB</v>
          </cell>
          <cell r="D965">
            <v>5</v>
          </cell>
          <cell r="E965">
            <v>2500</v>
          </cell>
          <cell r="F965" t="str">
            <v>Metal Clip on plates</v>
          </cell>
          <cell r="G965" t="str">
            <v>COPA Wiring Accessories</v>
          </cell>
          <cell r="H965" t="str">
            <v>MEM series</v>
          </cell>
          <cell r="I965" t="str">
            <v>PB COVER FOR C201 TUMBLE DRYER</v>
          </cell>
        </row>
        <row r="966">
          <cell r="C966" t="str">
            <v>CM221TDSS</v>
          </cell>
          <cell r="D966">
            <v>5</v>
          </cell>
          <cell r="E966">
            <v>2500</v>
          </cell>
          <cell r="F966" t="str">
            <v>Metal Clip on plates</v>
          </cell>
          <cell r="G966" t="str">
            <v>COPA Wiring Accessories</v>
          </cell>
          <cell r="H966" t="str">
            <v>MEM series</v>
          </cell>
          <cell r="I966" t="str">
            <v>SS COVER FOR C201 TUMBLE DRYER</v>
          </cell>
        </row>
        <row r="967">
          <cell r="C967" t="str">
            <v>CM221WMHP</v>
          </cell>
          <cell r="D967">
            <v>5</v>
          </cell>
          <cell r="E967">
            <v>2500</v>
          </cell>
          <cell r="F967" t="str">
            <v>Metal Clip on plates</v>
          </cell>
          <cell r="G967" t="str">
            <v>COPA Wiring Accessories</v>
          </cell>
          <cell r="H967" t="str">
            <v>MEM series</v>
          </cell>
          <cell r="I967" t="str">
            <v>HP CVR C201 WASHING MACHINE</v>
          </cell>
        </row>
        <row r="968">
          <cell r="C968" t="str">
            <v>CM221WMSS</v>
          </cell>
          <cell r="D968">
            <v>5</v>
          </cell>
          <cell r="E968">
            <v>2500</v>
          </cell>
          <cell r="F968" t="str">
            <v>Metal Clip on plates</v>
          </cell>
          <cell r="G968" t="str">
            <v>COPA Wiring Accessories</v>
          </cell>
          <cell r="H968" t="str">
            <v>MEM series</v>
          </cell>
          <cell r="I968" t="str">
            <v>SS CVR C201 WASHING MACHINE</v>
          </cell>
        </row>
        <row r="969">
          <cell r="C969" t="str">
            <v>CM305HP</v>
          </cell>
          <cell r="D969">
            <v>5</v>
          </cell>
          <cell r="E969">
            <v>2500</v>
          </cell>
          <cell r="F969" t="str">
            <v>Metal Clip on plates</v>
          </cell>
          <cell r="G969" t="str">
            <v>COPA Wiring Accessories</v>
          </cell>
          <cell r="H969" t="str">
            <v>MEM series</v>
          </cell>
          <cell r="I969" t="str">
            <v>HP COVER FOR C305</v>
          </cell>
        </row>
        <row r="970">
          <cell r="C970" t="str">
            <v>CM305PB</v>
          </cell>
          <cell r="D970">
            <v>5</v>
          </cell>
          <cell r="E970">
            <v>2500</v>
          </cell>
          <cell r="F970" t="str">
            <v>Metal Clip on plates</v>
          </cell>
          <cell r="G970" t="str">
            <v>COPA Wiring Accessories</v>
          </cell>
          <cell r="H970" t="str">
            <v>MEM series</v>
          </cell>
          <cell r="I970" t="str">
            <v>PB COVER FOR C305</v>
          </cell>
        </row>
        <row r="971">
          <cell r="C971" t="str">
            <v>CM305SB</v>
          </cell>
          <cell r="D971">
            <v>5</v>
          </cell>
          <cell r="E971">
            <v>2500</v>
          </cell>
          <cell r="F971" t="str">
            <v>Metal Clip on plates</v>
          </cell>
          <cell r="G971" t="str">
            <v>COPA Wiring Accessories</v>
          </cell>
          <cell r="H971" t="str">
            <v>MEM series</v>
          </cell>
          <cell r="I971" t="str">
            <v>SB COVER FOR C305</v>
          </cell>
        </row>
        <row r="972">
          <cell r="C972" t="str">
            <v>CM305SS</v>
          </cell>
          <cell r="D972">
            <v>5</v>
          </cell>
          <cell r="E972">
            <v>2500</v>
          </cell>
          <cell r="F972" t="str">
            <v>Metal Clip on plates</v>
          </cell>
          <cell r="G972" t="str">
            <v>COPA Wiring Accessories</v>
          </cell>
          <cell r="H972" t="str">
            <v>MEM series</v>
          </cell>
          <cell r="I972" t="str">
            <v>SS COVER FOR C305</v>
          </cell>
        </row>
        <row r="973">
          <cell r="C973" t="str">
            <v>CM351HP</v>
          </cell>
          <cell r="D973">
            <v>5</v>
          </cell>
          <cell r="E973">
            <v>2500</v>
          </cell>
          <cell r="F973" t="str">
            <v>Metal Clip on plates</v>
          </cell>
          <cell r="G973" t="str">
            <v>COPA Wiring Accessories</v>
          </cell>
          <cell r="H973" t="str">
            <v>MEM series</v>
          </cell>
          <cell r="I973" t="str">
            <v>HP CV C351/3/5  ALL 1G DIMMERS</v>
          </cell>
        </row>
        <row r="974">
          <cell r="C974" t="str">
            <v>CM351PB</v>
          </cell>
          <cell r="D974">
            <v>5</v>
          </cell>
          <cell r="E974">
            <v>2500</v>
          </cell>
          <cell r="F974" t="str">
            <v>Metal Clip on plates</v>
          </cell>
          <cell r="G974" t="str">
            <v>COPA Wiring Accessories</v>
          </cell>
          <cell r="H974" t="str">
            <v>MEM series</v>
          </cell>
          <cell r="I974" t="str">
            <v>PB CV C351/3/5 ALL 1G DIMMERS</v>
          </cell>
        </row>
        <row r="975">
          <cell r="C975" t="str">
            <v>CM351SB</v>
          </cell>
          <cell r="D975">
            <v>5</v>
          </cell>
          <cell r="E975">
            <v>2500</v>
          </cell>
          <cell r="F975" t="str">
            <v>Metal Clip on plates</v>
          </cell>
          <cell r="G975" t="str">
            <v>COPA Wiring Accessories</v>
          </cell>
          <cell r="H975" t="str">
            <v>MEM series</v>
          </cell>
          <cell r="I975" t="str">
            <v>SB CV C351/3/5  ALL 1G DIMMERS</v>
          </cell>
        </row>
        <row r="976">
          <cell r="C976" t="str">
            <v>CM351SS</v>
          </cell>
          <cell r="D976">
            <v>5</v>
          </cell>
          <cell r="E976">
            <v>2500</v>
          </cell>
          <cell r="F976" t="str">
            <v>Metal Clip on plates</v>
          </cell>
          <cell r="G976" t="str">
            <v>COPA Wiring Accessories</v>
          </cell>
          <cell r="H976" t="str">
            <v>MEM series</v>
          </cell>
          <cell r="I976" t="str">
            <v>SS CV C351/3/5  ALL 1G DIMMERS</v>
          </cell>
        </row>
        <row r="977">
          <cell r="C977" t="str">
            <v>CM352HP</v>
          </cell>
          <cell r="D977">
            <v>5</v>
          </cell>
          <cell r="E977">
            <v>2500</v>
          </cell>
          <cell r="F977" t="str">
            <v>Metal Clip on plates</v>
          </cell>
          <cell r="G977" t="str">
            <v>COPA Wiring Accessories</v>
          </cell>
          <cell r="H977" t="str">
            <v>MEM series</v>
          </cell>
          <cell r="I977" t="str">
            <v>HP COVER FOR C352  C354  C356</v>
          </cell>
        </row>
        <row r="978">
          <cell r="C978" t="str">
            <v>CM352PB</v>
          </cell>
          <cell r="D978">
            <v>5</v>
          </cell>
          <cell r="E978">
            <v>2500</v>
          </cell>
          <cell r="F978" t="str">
            <v>Metal Clip on plates</v>
          </cell>
          <cell r="G978" t="str">
            <v>COPA Wiring Accessories</v>
          </cell>
          <cell r="H978" t="str">
            <v>MEM series</v>
          </cell>
          <cell r="I978" t="str">
            <v>PB COVER FOR C352 C354 C356</v>
          </cell>
        </row>
        <row r="979">
          <cell r="C979" t="str">
            <v>CM352SB</v>
          </cell>
          <cell r="D979">
            <v>5</v>
          </cell>
          <cell r="E979">
            <v>2500</v>
          </cell>
          <cell r="F979" t="str">
            <v>Metal Clip on plates</v>
          </cell>
          <cell r="G979" t="str">
            <v>COPA Wiring Accessories</v>
          </cell>
          <cell r="H979" t="str">
            <v>MEM series</v>
          </cell>
          <cell r="I979" t="str">
            <v>SB COVER FOR C352  C354  C356</v>
          </cell>
        </row>
        <row r="980">
          <cell r="C980" t="str">
            <v>CM352SS</v>
          </cell>
          <cell r="D980">
            <v>5</v>
          </cell>
          <cell r="E980">
            <v>2500</v>
          </cell>
          <cell r="F980" t="str">
            <v>Metal Clip on plates</v>
          </cell>
          <cell r="G980" t="str">
            <v>COPA Wiring Accessories</v>
          </cell>
          <cell r="H980" t="str">
            <v>MEM series</v>
          </cell>
          <cell r="I980" t="str">
            <v>SS COVER FOR C352  C354  C356</v>
          </cell>
        </row>
        <row r="981">
          <cell r="C981" t="str">
            <v>CM359HP</v>
          </cell>
          <cell r="D981">
            <v>5</v>
          </cell>
          <cell r="E981">
            <v>2500</v>
          </cell>
          <cell r="F981" t="str">
            <v>Metal Clip on plates</v>
          </cell>
          <cell r="G981" t="str">
            <v>COPA Wiring Accessories</v>
          </cell>
          <cell r="H981" t="str">
            <v>MEM series</v>
          </cell>
          <cell r="I981" t="str">
            <v>HP COVER FOR C359</v>
          </cell>
        </row>
        <row r="982">
          <cell r="C982" t="str">
            <v>CM359PB</v>
          </cell>
          <cell r="D982">
            <v>5</v>
          </cell>
          <cell r="E982">
            <v>2500</v>
          </cell>
          <cell r="F982" t="str">
            <v>Metal Clip on plates</v>
          </cell>
          <cell r="G982" t="str">
            <v>COPA Wiring Accessories</v>
          </cell>
          <cell r="H982" t="str">
            <v>MEM series</v>
          </cell>
          <cell r="I982" t="str">
            <v>PB COVER FOR C359</v>
          </cell>
        </row>
        <row r="983">
          <cell r="C983" t="str">
            <v>CM359SB</v>
          </cell>
          <cell r="D983">
            <v>5</v>
          </cell>
          <cell r="E983">
            <v>2500</v>
          </cell>
          <cell r="F983" t="str">
            <v>Metal Clip on plates</v>
          </cell>
          <cell r="G983" t="str">
            <v>COPA Wiring Accessories</v>
          </cell>
          <cell r="H983" t="str">
            <v>MEM series</v>
          </cell>
          <cell r="I983" t="str">
            <v>SB COVER FOR C359</v>
          </cell>
        </row>
        <row r="984">
          <cell r="C984" t="str">
            <v>CM359SS</v>
          </cell>
          <cell r="D984">
            <v>5</v>
          </cell>
          <cell r="E984">
            <v>2500</v>
          </cell>
          <cell r="F984" t="str">
            <v>Metal Clip on plates</v>
          </cell>
          <cell r="G984" t="str">
            <v>COPA Wiring Accessories</v>
          </cell>
          <cell r="H984" t="str">
            <v>MEM series</v>
          </cell>
          <cell r="I984" t="str">
            <v>SS COVER FOR C359</v>
          </cell>
        </row>
        <row r="985">
          <cell r="C985" t="str">
            <v>CM360HP</v>
          </cell>
          <cell r="D985">
            <v>5</v>
          </cell>
          <cell r="E985">
            <v>2500</v>
          </cell>
          <cell r="F985" t="str">
            <v>Metal Clip on plates</v>
          </cell>
          <cell r="G985" t="str">
            <v>COPA Wiring Accessories</v>
          </cell>
          <cell r="H985" t="str">
            <v>MEM series</v>
          </cell>
          <cell r="I985" t="str">
            <v>HP COVER C360 C361 C362 C363</v>
          </cell>
        </row>
        <row r="986">
          <cell r="C986" t="str">
            <v>CM360PB</v>
          </cell>
          <cell r="D986">
            <v>5</v>
          </cell>
          <cell r="E986">
            <v>2500</v>
          </cell>
          <cell r="F986" t="str">
            <v>Metal Clip on plates</v>
          </cell>
          <cell r="G986" t="str">
            <v>COPA Wiring Accessories</v>
          </cell>
          <cell r="H986" t="str">
            <v>MEM series</v>
          </cell>
          <cell r="I986" t="str">
            <v>PB COVER C360 C361 C362 C363</v>
          </cell>
        </row>
        <row r="987">
          <cell r="C987" t="str">
            <v>CM360SB</v>
          </cell>
          <cell r="D987">
            <v>5</v>
          </cell>
          <cell r="E987">
            <v>2500</v>
          </cell>
          <cell r="F987" t="str">
            <v>Metal Clip on plates</v>
          </cell>
          <cell r="G987" t="str">
            <v>COPA Wiring Accessories</v>
          </cell>
          <cell r="H987" t="str">
            <v>MEM series</v>
          </cell>
          <cell r="I987" t="str">
            <v>SB COVER C360 C361 C362 C363</v>
          </cell>
        </row>
        <row r="988">
          <cell r="C988" t="str">
            <v>CM360SS</v>
          </cell>
          <cell r="D988">
            <v>5</v>
          </cell>
          <cell r="E988">
            <v>2500</v>
          </cell>
          <cell r="F988" t="str">
            <v>Metal Clip on plates</v>
          </cell>
          <cell r="G988" t="str">
            <v>COPA Wiring Accessories</v>
          </cell>
          <cell r="H988" t="str">
            <v>MEM series</v>
          </cell>
          <cell r="I988" t="str">
            <v>SS COVER C360 C361 C362 C363</v>
          </cell>
        </row>
        <row r="989">
          <cell r="C989" t="str">
            <v>CM370HP</v>
          </cell>
          <cell r="D989">
            <v>5</v>
          </cell>
          <cell r="E989">
            <v>2500</v>
          </cell>
          <cell r="F989" t="str">
            <v>Metal Clip on plates</v>
          </cell>
          <cell r="G989" t="str">
            <v>COPA Wiring Accessories</v>
          </cell>
          <cell r="H989" t="str">
            <v>MEM series</v>
          </cell>
          <cell r="I989" t="str">
            <v>HP COVER FOR C370</v>
          </cell>
        </row>
        <row r="990">
          <cell r="C990" t="str">
            <v>CM370PB</v>
          </cell>
          <cell r="D990">
            <v>5</v>
          </cell>
          <cell r="E990">
            <v>2500</v>
          </cell>
          <cell r="F990" t="str">
            <v>Metal Clip on plates</v>
          </cell>
          <cell r="G990" t="str">
            <v>COPA Wiring Accessories</v>
          </cell>
          <cell r="H990" t="str">
            <v>MEM series</v>
          </cell>
          <cell r="I990" t="str">
            <v>PB COVER FOR C370</v>
          </cell>
        </row>
        <row r="991">
          <cell r="C991" t="str">
            <v>CM370SB</v>
          </cell>
          <cell r="D991">
            <v>5</v>
          </cell>
          <cell r="E991">
            <v>2500</v>
          </cell>
          <cell r="F991" t="str">
            <v>Metal Clip on plates</v>
          </cell>
          <cell r="G991" t="str">
            <v>COPA Wiring Accessories</v>
          </cell>
          <cell r="H991" t="str">
            <v>MEM series</v>
          </cell>
          <cell r="I991" t="str">
            <v>SB COVER FOR C370</v>
          </cell>
        </row>
        <row r="992">
          <cell r="C992" t="str">
            <v>CM370SS</v>
          </cell>
          <cell r="D992">
            <v>5</v>
          </cell>
          <cell r="E992">
            <v>2500</v>
          </cell>
          <cell r="F992" t="str">
            <v>Metal Clip on plates</v>
          </cell>
          <cell r="G992" t="str">
            <v>COPA Wiring Accessories</v>
          </cell>
          <cell r="H992" t="str">
            <v>MEM series</v>
          </cell>
          <cell r="I992" t="str">
            <v>SS COVER FOR C370</v>
          </cell>
        </row>
        <row r="993">
          <cell r="C993" t="str">
            <v>CM391HP</v>
          </cell>
          <cell r="D993">
            <v>5</v>
          </cell>
          <cell r="E993">
            <v>2500</v>
          </cell>
          <cell r="F993" t="str">
            <v>Metal Clip on plates</v>
          </cell>
          <cell r="G993" t="str">
            <v>COPA Wiring Accessories</v>
          </cell>
          <cell r="H993" t="str">
            <v>MEM series</v>
          </cell>
          <cell r="I993" t="str">
            <v>HP COVER FOR C391</v>
          </cell>
        </row>
        <row r="994">
          <cell r="C994" t="str">
            <v>CM391PB</v>
          </cell>
          <cell r="D994">
            <v>5</v>
          </cell>
          <cell r="E994">
            <v>2500</v>
          </cell>
          <cell r="F994" t="str">
            <v>Metal Clip on plates</v>
          </cell>
          <cell r="G994" t="str">
            <v>COPA Wiring Accessories</v>
          </cell>
          <cell r="H994" t="str">
            <v>MEM series</v>
          </cell>
          <cell r="I994" t="str">
            <v>PB COVER FOR C391</v>
          </cell>
        </row>
        <row r="995">
          <cell r="C995" t="str">
            <v>CM391SB</v>
          </cell>
          <cell r="D995">
            <v>5</v>
          </cell>
          <cell r="E995">
            <v>2500</v>
          </cell>
          <cell r="F995" t="str">
            <v>Metal Clip on plates</v>
          </cell>
          <cell r="G995" t="str">
            <v>COPA Wiring Accessories</v>
          </cell>
          <cell r="H995" t="str">
            <v>MEM series</v>
          </cell>
          <cell r="I995" t="str">
            <v>SB COVER FOR C391</v>
          </cell>
        </row>
        <row r="996">
          <cell r="C996" t="str">
            <v>CM391SS</v>
          </cell>
          <cell r="D996">
            <v>5</v>
          </cell>
          <cell r="E996">
            <v>2500</v>
          </cell>
          <cell r="F996" t="str">
            <v>Metal Clip on plates</v>
          </cell>
          <cell r="G996" t="str">
            <v>COPA Wiring Accessories</v>
          </cell>
          <cell r="H996" t="str">
            <v>MEM series</v>
          </cell>
          <cell r="I996" t="str">
            <v>SS COVER FOR C391</v>
          </cell>
        </row>
        <row r="997">
          <cell r="C997" t="str">
            <v>CM392HP</v>
          </cell>
          <cell r="D997">
            <v>5</v>
          </cell>
          <cell r="E997">
            <v>2500</v>
          </cell>
          <cell r="F997" t="str">
            <v>Metal Clip on plates</v>
          </cell>
          <cell r="G997" t="str">
            <v>COPA Wiring Accessories</v>
          </cell>
          <cell r="H997" t="str">
            <v>MEM series</v>
          </cell>
          <cell r="I997" t="str">
            <v>HP COVER FOR C392</v>
          </cell>
        </row>
        <row r="998">
          <cell r="C998" t="str">
            <v>CM392PB</v>
          </cell>
          <cell r="D998">
            <v>5</v>
          </cell>
          <cell r="E998">
            <v>2500</v>
          </cell>
          <cell r="F998" t="str">
            <v>Metal Clip on plates</v>
          </cell>
          <cell r="G998" t="str">
            <v>COPA Wiring Accessories</v>
          </cell>
          <cell r="H998" t="str">
            <v>MEM series</v>
          </cell>
          <cell r="I998" t="str">
            <v>PB COVER FOR C392</v>
          </cell>
        </row>
        <row r="999">
          <cell r="C999" t="str">
            <v>CM392SB</v>
          </cell>
          <cell r="D999">
            <v>5</v>
          </cell>
          <cell r="E999">
            <v>2500</v>
          </cell>
          <cell r="F999" t="str">
            <v>Metal Clip on plates</v>
          </cell>
          <cell r="G999" t="str">
            <v>COPA Wiring Accessories</v>
          </cell>
          <cell r="H999" t="str">
            <v>MEM series</v>
          </cell>
          <cell r="I999" t="str">
            <v>SB COVER FOR C392</v>
          </cell>
        </row>
        <row r="1000">
          <cell r="C1000" t="str">
            <v>CM392SS</v>
          </cell>
          <cell r="D1000">
            <v>5</v>
          </cell>
          <cell r="E1000">
            <v>2500</v>
          </cell>
          <cell r="F1000" t="str">
            <v>Metal Clip on plates</v>
          </cell>
          <cell r="G1000" t="str">
            <v>COPA Wiring Accessories</v>
          </cell>
          <cell r="H1000" t="str">
            <v>MEM series</v>
          </cell>
          <cell r="I1000" t="str">
            <v>SS COVER FOR C392</v>
          </cell>
        </row>
        <row r="1001">
          <cell r="C1001" t="str">
            <v>CM401HP</v>
          </cell>
          <cell r="D1001">
            <v>5</v>
          </cell>
          <cell r="E1001">
            <v>2500</v>
          </cell>
          <cell r="F1001" t="str">
            <v>Metal Clip on plates</v>
          </cell>
          <cell r="G1001" t="str">
            <v>COPA Wiring Accessories</v>
          </cell>
          <cell r="H1001" t="str">
            <v>MEM series</v>
          </cell>
          <cell r="I1001" t="str">
            <v>HP COVER FOR C401</v>
          </cell>
        </row>
        <row r="1002">
          <cell r="C1002" t="str">
            <v>CM401NHP</v>
          </cell>
          <cell r="D1002">
            <v>5</v>
          </cell>
          <cell r="E1002">
            <v>2500</v>
          </cell>
          <cell r="F1002" t="str">
            <v>Metal Clip on plates</v>
          </cell>
          <cell r="G1002" t="str">
            <v>COPA Wiring Accessories</v>
          </cell>
          <cell r="H1002" t="str">
            <v>MEM series</v>
          </cell>
          <cell r="I1002" t="str">
            <v>HP COVER FOR C401N</v>
          </cell>
        </row>
        <row r="1003">
          <cell r="C1003" t="str">
            <v>CM401NPB</v>
          </cell>
          <cell r="D1003">
            <v>5</v>
          </cell>
          <cell r="E1003">
            <v>2500</v>
          </cell>
          <cell r="F1003" t="str">
            <v>Metal Clip on plates</v>
          </cell>
          <cell r="G1003" t="str">
            <v>COPA Wiring Accessories</v>
          </cell>
          <cell r="H1003" t="str">
            <v>MEM series</v>
          </cell>
          <cell r="I1003" t="str">
            <v>PB COVER FOR C401N</v>
          </cell>
        </row>
        <row r="1004">
          <cell r="C1004" t="str">
            <v>CM401NSB</v>
          </cell>
          <cell r="D1004">
            <v>5</v>
          </cell>
          <cell r="E1004">
            <v>2500</v>
          </cell>
          <cell r="F1004" t="str">
            <v>Metal Clip on plates</v>
          </cell>
          <cell r="G1004" t="str">
            <v>COPA Wiring Accessories</v>
          </cell>
          <cell r="H1004" t="str">
            <v>MEM series</v>
          </cell>
          <cell r="I1004" t="str">
            <v>SB COVER FOR C401N</v>
          </cell>
        </row>
        <row r="1005">
          <cell r="C1005" t="str">
            <v>CM401NSS</v>
          </cell>
          <cell r="D1005">
            <v>5</v>
          </cell>
          <cell r="E1005">
            <v>2500</v>
          </cell>
          <cell r="F1005" t="str">
            <v>Metal Clip on plates</v>
          </cell>
          <cell r="G1005" t="str">
            <v>COPA Wiring Accessories</v>
          </cell>
          <cell r="H1005" t="str">
            <v>MEM series</v>
          </cell>
          <cell r="I1005" t="str">
            <v>SS COVER FOR C401N</v>
          </cell>
        </row>
        <row r="1006">
          <cell r="C1006" t="str">
            <v>CM401PB</v>
          </cell>
          <cell r="D1006">
            <v>5</v>
          </cell>
          <cell r="E1006">
            <v>2500</v>
          </cell>
          <cell r="F1006" t="str">
            <v>Metal Clip on plates</v>
          </cell>
          <cell r="G1006" t="str">
            <v>COPA Wiring Accessories</v>
          </cell>
          <cell r="H1006" t="str">
            <v>MEM series</v>
          </cell>
          <cell r="I1006" t="str">
            <v>PB COVER FOR C401</v>
          </cell>
        </row>
        <row r="1007">
          <cell r="C1007" t="str">
            <v>CM401SB</v>
          </cell>
          <cell r="D1007">
            <v>5</v>
          </cell>
          <cell r="E1007">
            <v>2500</v>
          </cell>
          <cell r="F1007" t="str">
            <v>Metal Clip on plates</v>
          </cell>
          <cell r="G1007" t="str">
            <v>COPA Wiring Accessories</v>
          </cell>
          <cell r="H1007" t="str">
            <v>MEM series</v>
          </cell>
          <cell r="I1007" t="str">
            <v>SB COVER FOR C401</v>
          </cell>
        </row>
        <row r="1008">
          <cell r="C1008" t="str">
            <v>CM401SS</v>
          </cell>
          <cell r="D1008">
            <v>5</v>
          </cell>
          <cell r="E1008">
            <v>2500</v>
          </cell>
          <cell r="F1008" t="str">
            <v>Metal Clip on plates</v>
          </cell>
          <cell r="G1008" t="str">
            <v>COPA Wiring Accessories</v>
          </cell>
          <cell r="H1008" t="str">
            <v>MEM series</v>
          </cell>
          <cell r="I1008" t="str">
            <v>SS COVER FOR C401</v>
          </cell>
        </row>
        <row r="1009">
          <cell r="C1009" t="str">
            <v>CM403HP</v>
          </cell>
          <cell r="D1009">
            <v>5</v>
          </cell>
          <cell r="E1009">
            <v>2500</v>
          </cell>
          <cell r="F1009" t="str">
            <v>Metal Clip on plates</v>
          </cell>
          <cell r="G1009" t="str">
            <v>COPA Wiring Accessories</v>
          </cell>
          <cell r="H1009" t="str">
            <v>MEM series</v>
          </cell>
          <cell r="I1009" t="str">
            <v>HP COVER FOR C401 WATER HEATER</v>
          </cell>
        </row>
        <row r="1010">
          <cell r="C1010" t="str">
            <v>CM403NHP</v>
          </cell>
          <cell r="D1010">
            <v>5</v>
          </cell>
          <cell r="E1010">
            <v>2500</v>
          </cell>
          <cell r="F1010" t="str">
            <v>Metal Clip on plates</v>
          </cell>
          <cell r="G1010" t="str">
            <v>COPA Wiring Accessories</v>
          </cell>
          <cell r="H1010" t="str">
            <v>MEM series</v>
          </cell>
          <cell r="I1010" t="str">
            <v>HP CVR FOR C401N WATER HEATER</v>
          </cell>
        </row>
        <row r="1011">
          <cell r="C1011" t="str">
            <v>CM403NPB</v>
          </cell>
          <cell r="D1011">
            <v>5</v>
          </cell>
          <cell r="E1011">
            <v>2500</v>
          </cell>
          <cell r="F1011" t="str">
            <v>Metal Clip on plates</v>
          </cell>
          <cell r="G1011" t="str">
            <v>COPA Wiring Accessories</v>
          </cell>
          <cell r="H1011" t="str">
            <v>MEM series</v>
          </cell>
          <cell r="I1011" t="str">
            <v>PB CVR FOR C401N WATER HEATER</v>
          </cell>
        </row>
        <row r="1012">
          <cell r="C1012" t="str">
            <v>CM403NSB</v>
          </cell>
          <cell r="D1012">
            <v>5</v>
          </cell>
          <cell r="E1012">
            <v>2500</v>
          </cell>
          <cell r="F1012" t="str">
            <v>Metal Clip on plates</v>
          </cell>
          <cell r="G1012" t="str">
            <v>COPA Wiring Accessories</v>
          </cell>
          <cell r="H1012" t="str">
            <v>MEM series</v>
          </cell>
          <cell r="I1012" t="str">
            <v>SB CVR FOR C401N WATER HEATER</v>
          </cell>
        </row>
        <row r="1013">
          <cell r="C1013" t="str">
            <v>CM403NSS</v>
          </cell>
          <cell r="D1013">
            <v>5</v>
          </cell>
          <cell r="E1013">
            <v>2500</v>
          </cell>
          <cell r="F1013" t="str">
            <v>Metal Clip on plates</v>
          </cell>
          <cell r="G1013" t="str">
            <v>COPA Wiring Accessories</v>
          </cell>
          <cell r="H1013" t="str">
            <v>MEM series</v>
          </cell>
          <cell r="I1013" t="str">
            <v>SS CVR FOR C401N WATER HEATER</v>
          </cell>
        </row>
        <row r="1014">
          <cell r="C1014" t="str">
            <v>CM403SB</v>
          </cell>
          <cell r="D1014">
            <v>5</v>
          </cell>
          <cell r="E1014">
            <v>2500</v>
          </cell>
          <cell r="F1014" t="str">
            <v>Metal Clip on plates</v>
          </cell>
          <cell r="G1014" t="str">
            <v>COPA Wiring Accessories</v>
          </cell>
          <cell r="H1014" t="str">
            <v>MEM series</v>
          </cell>
          <cell r="I1014" t="str">
            <v>SB COVER FOR C401 WATER HEATER</v>
          </cell>
        </row>
        <row r="1015">
          <cell r="C1015" t="str">
            <v>CM403SS</v>
          </cell>
          <cell r="D1015">
            <v>5</v>
          </cell>
          <cell r="E1015">
            <v>2500</v>
          </cell>
          <cell r="F1015" t="str">
            <v>Metal Clip on plates</v>
          </cell>
          <cell r="G1015" t="str">
            <v>COPA Wiring Accessories</v>
          </cell>
          <cell r="H1015" t="str">
            <v>MEM series</v>
          </cell>
          <cell r="I1015" t="str">
            <v>SS COVER FOR C401 WATER HEATER</v>
          </cell>
        </row>
        <row r="1016">
          <cell r="C1016" t="str">
            <v>CM415HP</v>
          </cell>
          <cell r="D1016">
            <v>5</v>
          </cell>
          <cell r="E1016">
            <v>2500</v>
          </cell>
          <cell r="F1016" t="str">
            <v>Metal Clip on plates</v>
          </cell>
          <cell r="G1016" t="str">
            <v>COPA Wiring Accessories</v>
          </cell>
          <cell r="H1016" t="str">
            <v>MEM series</v>
          </cell>
          <cell r="I1016" t="str">
            <v>HP COVER FOR C415</v>
          </cell>
        </row>
        <row r="1017">
          <cell r="C1017" t="str">
            <v>CM415PB</v>
          </cell>
          <cell r="D1017">
            <v>5</v>
          </cell>
          <cell r="E1017">
            <v>2500</v>
          </cell>
          <cell r="F1017" t="str">
            <v>Metal Clip on plates</v>
          </cell>
          <cell r="G1017" t="str">
            <v>COPA Wiring Accessories</v>
          </cell>
          <cell r="H1017" t="str">
            <v>MEM series</v>
          </cell>
          <cell r="I1017" t="str">
            <v>PB COVER FOR C415</v>
          </cell>
        </row>
        <row r="1018">
          <cell r="C1018" t="str">
            <v>CM415SB</v>
          </cell>
          <cell r="D1018">
            <v>5</v>
          </cell>
          <cell r="E1018">
            <v>2500</v>
          </cell>
          <cell r="F1018" t="str">
            <v>Metal Clip on plates</v>
          </cell>
          <cell r="G1018" t="str">
            <v>COPA Wiring Accessories</v>
          </cell>
          <cell r="H1018" t="str">
            <v>MEM series</v>
          </cell>
          <cell r="I1018" t="str">
            <v>SB COVER FOR C415</v>
          </cell>
        </row>
        <row r="1019">
          <cell r="C1019" t="str">
            <v>CM415SS</v>
          </cell>
          <cell r="D1019">
            <v>5</v>
          </cell>
          <cell r="E1019">
            <v>2500</v>
          </cell>
          <cell r="F1019" t="str">
            <v>Metal Clip on plates</v>
          </cell>
          <cell r="G1019" t="str">
            <v>COPA Wiring Accessories</v>
          </cell>
          <cell r="H1019" t="str">
            <v>MEM series</v>
          </cell>
          <cell r="I1019" t="str">
            <v>SS COVER FOR C415</v>
          </cell>
        </row>
        <row r="1020">
          <cell r="C1020" t="str">
            <v>CM421NHP</v>
          </cell>
          <cell r="D1020">
            <v>5</v>
          </cell>
          <cell r="E1020">
            <v>2500</v>
          </cell>
          <cell r="F1020" t="str">
            <v>Metal Clip on plates</v>
          </cell>
          <cell r="G1020" t="str">
            <v>COPA Wiring Accessories</v>
          </cell>
          <cell r="H1020" t="str">
            <v>MEM series</v>
          </cell>
          <cell r="I1020" t="str">
            <v>HP COVER FOR C421N</v>
          </cell>
        </row>
        <row r="1021">
          <cell r="C1021" t="str">
            <v>CM421NPB</v>
          </cell>
          <cell r="D1021">
            <v>5</v>
          </cell>
          <cell r="E1021">
            <v>2500</v>
          </cell>
          <cell r="F1021" t="str">
            <v>Metal Clip on plates</v>
          </cell>
          <cell r="G1021" t="str">
            <v>COPA Wiring Accessories</v>
          </cell>
          <cell r="H1021" t="str">
            <v>MEM series</v>
          </cell>
          <cell r="I1021" t="str">
            <v>PB COVER FOR C421N</v>
          </cell>
        </row>
        <row r="1022">
          <cell r="C1022" t="str">
            <v>CM421NSB</v>
          </cell>
          <cell r="D1022">
            <v>5</v>
          </cell>
          <cell r="E1022">
            <v>2500</v>
          </cell>
          <cell r="F1022" t="str">
            <v>Metal Clip on plates</v>
          </cell>
          <cell r="G1022" t="str">
            <v>COPA Wiring Accessories</v>
          </cell>
          <cell r="H1022" t="str">
            <v>MEM series</v>
          </cell>
          <cell r="I1022" t="str">
            <v>SB COVER FOR C421N</v>
          </cell>
        </row>
        <row r="1023">
          <cell r="C1023" t="str">
            <v>CM421NSS</v>
          </cell>
          <cell r="D1023">
            <v>5</v>
          </cell>
          <cell r="E1023">
            <v>2500</v>
          </cell>
          <cell r="F1023" t="str">
            <v>Metal Clip on plates</v>
          </cell>
          <cell r="G1023" t="str">
            <v>COPA Wiring Accessories</v>
          </cell>
          <cell r="H1023" t="str">
            <v>MEM series</v>
          </cell>
          <cell r="I1023" t="str">
            <v>SS COVER FOR C421N</v>
          </cell>
        </row>
        <row r="1024">
          <cell r="C1024" t="str">
            <v>CM422NHP</v>
          </cell>
          <cell r="D1024">
            <v>5</v>
          </cell>
          <cell r="E1024">
            <v>2500</v>
          </cell>
          <cell r="F1024" t="str">
            <v>Metal Clip on plates</v>
          </cell>
          <cell r="G1024" t="str">
            <v>COPA Wiring Accessories</v>
          </cell>
          <cell r="H1024" t="str">
            <v>MEM series</v>
          </cell>
          <cell r="I1024" t="str">
            <v>HP COVER FOR C422N</v>
          </cell>
        </row>
        <row r="1025">
          <cell r="C1025" t="str">
            <v>CM422NPB</v>
          </cell>
          <cell r="D1025">
            <v>5</v>
          </cell>
          <cell r="E1025">
            <v>2500</v>
          </cell>
          <cell r="F1025" t="str">
            <v>Metal Clip on plates</v>
          </cell>
          <cell r="G1025" t="str">
            <v>COPA Wiring Accessories</v>
          </cell>
          <cell r="H1025" t="str">
            <v>MEM series</v>
          </cell>
          <cell r="I1025" t="str">
            <v>PB COVER FOR C422N</v>
          </cell>
        </row>
        <row r="1026">
          <cell r="C1026" t="str">
            <v>CM422NSB</v>
          </cell>
          <cell r="D1026">
            <v>5</v>
          </cell>
          <cell r="E1026">
            <v>2500</v>
          </cell>
          <cell r="F1026" t="str">
            <v>Metal Clip on plates</v>
          </cell>
          <cell r="G1026" t="str">
            <v>COPA Wiring Accessories</v>
          </cell>
          <cell r="H1026" t="str">
            <v>MEM series</v>
          </cell>
          <cell r="I1026" t="str">
            <v>SB COVER FOR C422N</v>
          </cell>
        </row>
        <row r="1027">
          <cell r="C1027" t="str">
            <v>CM422NSS</v>
          </cell>
          <cell r="D1027">
            <v>5</v>
          </cell>
          <cell r="E1027">
            <v>2500</v>
          </cell>
          <cell r="F1027" t="str">
            <v>Metal Clip on plates</v>
          </cell>
          <cell r="G1027" t="str">
            <v>COPA Wiring Accessories</v>
          </cell>
          <cell r="H1027" t="str">
            <v>MEM series</v>
          </cell>
          <cell r="I1027" t="str">
            <v>SS COVER FOR C422N</v>
          </cell>
        </row>
        <row r="1028">
          <cell r="C1028" t="str">
            <v>CM423NHP</v>
          </cell>
          <cell r="D1028">
            <v>5</v>
          </cell>
          <cell r="E1028">
            <v>2500</v>
          </cell>
          <cell r="F1028" t="str">
            <v>Metal Clip on plates</v>
          </cell>
          <cell r="G1028" t="str">
            <v>COPA Wiring Accessories</v>
          </cell>
          <cell r="H1028" t="str">
            <v>MEM series</v>
          </cell>
          <cell r="I1028" t="str">
            <v>HP COVER FOR C421N COOKER</v>
          </cell>
        </row>
        <row r="1029">
          <cell r="C1029" t="str">
            <v>CM423NPB</v>
          </cell>
          <cell r="D1029">
            <v>5</v>
          </cell>
          <cell r="E1029">
            <v>2500</v>
          </cell>
          <cell r="F1029" t="str">
            <v>Metal Clip on plates</v>
          </cell>
          <cell r="G1029" t="str">
            <v>COPA Wiring Accessories</v>
          </cell>
          <cell r="H1029" t="str">
            <v>MEM series</v>
          </cell>
          <cell r="I1029" t="str">
            <v>PB COVER FOR C421N COOKER</v>
          </cell>
        </row>
        <row r="1030">
          <cell r="C1030" t="str">
            <v>CM423NSB</v>
          </cell>
          <cell r="D1030">
            <v>5</v>
          </cell>
          <cell r="E1030">
            <v>2500</v>
          </cell>
          <cell r="F1030" t="str">
            <v>Metal Clip on plates</v>
          </cell>
          <cell r="G1030" t="str">
            <v>COPA Wiring Accessories</v>
          </cell>
          <cell r="H1030" t="str">
            <v>MEM series</v>
          </cell>
          <cell r="I1030" t="str">
            <v>SB COVER FOR C421N COOKER</v>
          </cell>
        </row>
        <row r="1031">
          <cell r="C1031" t="str">
            <v>CM423NSS</v>
          </cell>
          <cell r="D1031">
            <v>5</v>
          </cell>
          <cell r="E1031">
            <v>2500</v>
          </cell>
          <cell r="F1031" t="str">
            <v>Metal Clip on plates</v>
          </cell>
          <cell r="G1031" t="str">
            <v>COPA Wiring Accessories</v>
          </cell>
          <cell r="H1031" t="str">
            <v>MEM series</v>
          </cell>
          <cell r="I1031" t="str">
            <v>SS COVER FOR C421N COOKER</v>
          </cell>
        </row>
        <row r="1032">
          <cell r="C1032" t="str">
            <v>CM424NHP</v>
          </cell>
          <cell r="D1032">
            <v>5</v>
          </cell>
          <cell r="E1032">
            <v>2500</v>
          </cell>
          <cell r="F1032" t="str">
            <v>Metal Clip on plates</v>
          </cell>
          <cell r="G1032" t="str">
            <v>COPA Wiring Accessories</v>
          </cell>
          <cell r="H1032" t="str">
            <v>MEM series</v>
          </cell>
          <cell r="I1032" t="str">
            <v>HP CVR C421N AIR CONDITIONER</v>
          </cell>
        </row>
        <row r="1033">
          <cell r="C1033" t="str">
            <v>CM424NPB</v>
          </cell>
          <cell r="D1033">
            <v>5</v>
          </cell>
          <cell r="E1033">
            <v>2500</v>
          </cell>
          <cell r="F1033" t="str">
            <v>Metal Clip on plates</v>
          </cell>
          <cell r="G1033" t="str">
            <v>COPA Wiring Accessories</v>
          </cell>
          <cell r="H1033" t="str">
            <v>MEM series</v>
          </cell>
          <cell r="I1033" t="str">
            <v>PB CVR C421N AIR CONDITIONER</v>
          </cell>
        </row>
        <row r="1034">
          <cell r="C1034" t="str">
            <v>CM424NSB</v>
          </cell>
          <cell r="D1034">
            <v>5</v>
          </cell>
          <cell r="E1034">
            <v>2500</v>
          </cell>
          <cell r="F1034" t="str">
            <v>Metal Clip on plates</v>
          </cell>
          <cell r="G1034" t="str">
            <v>COPA Wiring Accessories</v>
          </cell>
          <cell r="H1034" t="str">
            <v>MEM series</v>
          </cell>
          <cell r="I1034" t="str">
            <v>SB CVR C421N AIR CONDITIONER</v>
          </cell>
        </row>
        <row r="1035">
          <cell r="C1035" t="str">
            <v>CM424NSS</v>
          </cell>
          <cell r="D1035">
            <v>5</v>
          </cell>
          <cell r="E1035">
            <v>2500</v>
          </cell>
          <cell r="F1035" t="str">
            <v>Metal Clip on plates</v>
          </cell>
          <cell r="G1035" t="str">
            <v>COPA Wiring Accessories</v>
          </cell>
          <cell r="H1035" t="str">
            <v>MEM series</v>
          </cell>
          <cell r="I1035" t="str">
            <v>SS CVR C421N AIR CONDITIONER</v>
          </cell>
        </row>
        <row r="1036">
          <cell r="C1036" t="str">
            <v>CM425HP</v>
          </cell>
          <cell r="D1036">
            <v>5</v>
          </cell>
          <cell r="E1036">
            <v>2500</v>
          </cell>
          <cell r="F1036" t="str">
            <v>Metal Clip on plates</v>
          </cell>
          <cell r="G1036" t="str">
            <v>COPA Wiring Accessories</v>
          </cell>
          <cell r="H1036" t="str">
            <v>MEM series</v>
          </cell>
          <cell r="I1036" t="str">
            <v>HP COVER FOR C425</v>
          </cell>
        </row>
        <row r="1037">
          <cell r="C1037" t="str">
            <v>CM425NHP</v>
          </cell>
          <cell r="D1037">
            <v>5</v>
          </cell>
          <cell r="E1037">
            <v>2500</v>
          </cell>
          <cell r="F1037" t="str">
            <v>Metal Clip on plates</v>
          </cell>
          <cell r="G1037" t="str">
            <v>COPA Wiring Accessories</v>
          </cell>
          <cell r="H1037" t="str">
            <v>MEM series</v>
          </cell>
          <cell r="I1037" t="str">
            <v>HP COVER FOR C425N</v>
          </cell>
        </row>
        <row r="1038">
          <cell r="C1038" t="str">
            <v>CM425NPB</v>
          </cell>
          <cell r="D1038">
            <v>5</v>
          </cell>
          <cell r="E1038">
            <v>2500</v>
          </cell>
          <cell r="F1038" t="str">
            <v>Metal Clip on plates</v>
          </cell>
          <cell r="G1038" t="str">
            <v>COPA Wiring Accessories</v>
          </cell>
          <cell r="H1038" t="str">
            <v>MEM series</v>
          </cell>
          <cell r="I1038" t="str">
            <v>PB COVER FOR C425N</v>
          </cell>
        </row>
        <row r="1039">
          <cell r="C1039" t="str">
            <v>CM425NSB</v>
          </cell>
          <cell r="D1039">
            <v>5</v>
          </cell>
          <cell r="E1039">
            <v>2500</v>
          </cell>
          <cell r="F1039" t="str">
            <v>Metal Clip on plates</v>
          </cell>
          <cell r="G1039" t="str">
            <v>COPA Wiring Accessories</v>
          </cell>
          <cell r="H1039" t="str">
            <v>MEM series</v>
          </cell>
          <cell r="I1039" t="str">
            <v>SB COVER FOR C425N</v>
          </cell>
        </row>
        <row r="1040">
          <cell r="C1040" t="str">
            <v>CM425NSS</v>
          </cell>
          <cell r="D1040">
            <v>5</v>
          </cell>
          <cell r="E1040">
            <v>2500</v>
          </cell>
          <cell r="F1040" t="str">
            <v>Metal Clip on plates</v>
          </cell>
          <cell r="G1040" t="str">
            <v>COPA Wiring Accessories</v>
          </cell>
          <cell r="H1040" t="str">
            <v>MEM series</v>
          </cell>
          <cell r="I1040" t="str">
            <v>SS COVER FOR C425N</v>
          </cell>
        </row>
        <row r="1041">
          <cell r="C1041" t="str">
            <v>CM425PB</v>
          </cell>
          <cell r="D1041">
            <v>5</v>
          </cell>
          <cell r="E1041">
            <v>2500</v>
          </cell>
          <cell r="F1041" t="str">
            <v>Metal Clip on plates</v>
          </cell>
          <cell r="G1041" t="str">
            <v>COPA Wiring Accessories</v>
          </cell>
          <cell r="H1041" t="str">
            <v>MEM series</v>
          </cell>
          <cell r="I1041" t="str">
            <v>PB COVER FOR C425</v>
          </cell>
        </row>
        <row r="1042">
          <cell r="C1042" t="str">
            <v>CM425SB</v>
          </cell>
          <cell r="D1042">
            <v>5</v>
          </cell>
          <cell r="E1042">
            <v>2500</v>
          </cell>
          <cell r="F1042" t="str">
            <v>Metal Clip on plates</v>
          </cell>
          <cell r="G1042" t="str">
            <v>COPA Wiring Accessories</v>
          </cell>
          <cell r="H1042" t="str">
            <v>MEM series</v>
          </cell>
          <cell r="I1042" t="str">
            <v>SB COVER FOR C425</v>
          </cell>
        </row>
        <row r="1043">
          <cell r="C1043" t="str">
            <v>CM425SS</v>
          </cell>
          <cell r="D1043">
            <v>5</v>
          </cell>
          <cell r="E1043">
            <v>2500</v>
          </cell>
          <cell r="F1043" t="str">
            <v>Metal Clip on plates</v>
          </cell>
          <cell r="G1043" t="str">
            <v>COPA Wiring Accessories</v>
          </cell>
          <cell r="H1043" t="str">
            <v>MEM series</v>
          </cell>
          <cell r="I1043" t="str">
            <v>SS COVER FOR C425</v>
          </cell>
        </row>
        <row r="1044">
          <cell r="C1044" t="str">
            <v>CM621HP</v>
          </cell>
          <cell r="D1044">
            <v>5</v>
          </cell>
          <cell r="E1044">
            <v>2500</v>
          </cell>
          <cell r="F1044" t="str">
            <v>Metal Clip on plates</v>
          </cell>
          <cell r="G1044" t="str">
            <v>COPA Wiring Accessories</v>
          </cell>
          <cell r="H1044" t="str">
            <v>MEM series</v>
          </cell>
          <cell r="I1044" t="str">
            <v>COVER FOR C621</v>
          </cell>
        </row>
        <row r="1045">
          <cell r="C1045" t="str">
            <v>CM621NHP</v>
          </cell>
          <cell r="D1045">
            <v>5</v>
          </cell>
          <cell r="E1045">
            <v>2500</v>
          </cell>
          <cell r="F1045" t="str">
            <v>Metal Clip on plates</v>
          </cell>
          <cell r="G1045" t="str">
            <v>COPA Wiring Accessories</v>
          </cell>
          <cell r="H1045" t="str">
            <v>MEM series</v>
          </cell>
          <cell r="I1045" t="str">
            <v>COVER FOR C621N</v>
          </cell>
        </row>
        <row r="1046">
          <cell r="C1046" t="str">
            <v>CM621NPB</v>
          </cell>
          <cell r="D1046">
            <v>5</v>
          </cell>
          <cell r="E1046">
            <v>2500</v>
          </cell>
          <cell r="F1046" t="str">
            <v>Metal Clip on plates</v>
          </cell>
          <cell r="G1046" t="str">
            <v>COPA Wiring Accessories</v>
          </cell>
          <cell r="H1046" t="str">
            <v>MEM series</v>
          </cell>
          <cell r="I1046" t="str">
            <v>COVER FOR C621N</v>
          </cell>
        </row>
        <row r="1047">
          <cell r="C1047" t="str">
            <v>CM621NSB</v>
          </cell>
          <cell r="D1047">
            <v>5</v>
          </cell>
          <cell r="E1047">
            <v>2500</v>
          </cell>
          <cell r="F1047" t="str">
            <v>Metal Clip on plates</v>
          </cell>
          <cell r="G1047" t="str">
            <v>COPA Wiring Accessories</v>
          </cell>
          <cell r="H1047" t="str">
            <v>MEM series</v>
          </cell>
          <cell r="I1047" t="str">
            <v>COVER FOR C621N</v>
          </cell>
        </row>
        <row r="1048">
          <cell r="C1048" t="str">
            <v>CM621NSS</v>
          </cell>
          <cell r="D1048">
            <v>5</v>
          </cell>
          <cell r="E1048">
            <v>2500</v>
          </cell>
          <cell r="F1048" t="str">
            <v>Metal Clip on plates</v>
          </cell>
          <cell r="G1048" t="str">
            <v>COPA Wiring Accessories</v>
          </cell>
          <cell r="H1048" t="str">
            <v>MEM series</v>
          </cell>
          <cell r="I1048" t="str">
            <v>COVER FOR C621N</v>
          </cell>
        </row>
        <row r="1049">
          <cell r="C1049" t="str">
            <v>CM621PB</v>
          </cell>
          <cell r="D1049">
            <v>5</v>
          </cell>
          <cell r="E1049">
            <v>2500</v>
          </cell>
          <cell r="F1049" t="str">
            <v>Metal Clip on plates</v>
          </cell>
          <cell r="G1049" t="str">
            <v>COPA Wiring Accessories</v>
          </cell>
          <cell r="H1049" t="str">
            <v>MEM series</v>
          </cell>
          <cell r="I1049" t="str">
            <v>COVER FOR C621</v>
          </cell>
        </row>
        <row r="1050">
          <cell r="C1050" t="str">
            <v>CM621SB</v>
          </cell>
          <cell r="D1050">
            <v>5</v>
          </cell>
          <cell r="E1050">
            <v>2500</v>
          </cell>
          <cell r="F1050" t="str">
            <v>Metal Clip on plates</v>
          </cell>
          <cell r="G1050" t="str">
            <v>COPA Wiring Accessories</v>
          </cell>
          <cell r="H1050" t="str">
            <v>MEM series</v>
          </cell>
          <cell r="I1050" t="str">
            <v>COVER FOR C621</v>
          </cell>
        </row>
        <row r="1051">
          <cell r="C1051" t="str">
            <v>CM621SS</v>
          </cell>
          <cell r="D1051">
            <v>5</v>
          </cell>
          <cell r="E1051">
            <v>2500</v>
          </cell>
          <cell r="F1051" t="str">
            <v>Metal Clip on plates</v>
          </cell>
          <cell r="G1051" t="str">
            <v>COPA Wiring Accessories</v>
          </cell>
          <cell r="H1051" t="str">
            <v>MEM series</v>
          </cell>
          <cell r="I1051" t="str">
            <v>COVER FOR C621</v>
          </cell>
        </row>
        <row r="1052">
          <cell r="C1052" t="str">
            <v>CM622HP</v>
          </cell>
          <cell r="D1052">
            <v>5</v>
          </cell>
          <cell r="E1052">
            <v>2500</v>
          </cell>
          <cell r="F1052" t="str">
            <v>Metal Clip on plates</v>
          </cell>
          <cell r="G1052" t="str">
            <v>COPA Wiring Accessories</v>
          </cell>
          <cell r="H1052" t="str">
            <v>MEM series</v>
          </cell>
          <cell r="I1052" t="str">
            <v>COVER FOR C622</v>
          </cell>
        </row>
        <row r="1053">
          <cell r="C1053" t="str">
            <v>CM622NHP</v>
          </cell>
          <cell r="D1053">
            <v>5</v>
          </cell>
          <cell r="E1053">
            <v>2500</v>
          </cell>
          <cell r="F1053" t="str">
            <v>Metal Clip on plates</v>
          </cell>
          <cell r="G1053" t="str">
            <v>COPA Wiring Accessories</v>
          </cell>
          <cell r="H1053" t="str">
            <v>MEM series</v>
          </cell>
          <cell r="I1053" t="str">
            <v>COVER FOR C622N</v>
          </cell>
        </row>
        <row r="1054">
          <cell r="C1054" t="str">
            <v>CM622NPB</v>
          </cell>
          <cell r="D1054">
            <v>5</v>
          </cell>
          <cell r="E1054">
            <v>2500</v>
          </cell>
          <cell r="F1054" t="str">
            <v>Metal Clip on plates</v>
          </cell>
          <cell r="G1054" t="str">
            <v>COPA Wiring Accessories</v>
          </cell>
          <cell r="H1054" t="str">
            <v>MEM series</v>
          </cell>
          <cell r="I1054" t="str">
            <v>COVER FOR C622N</v>
          </cell>
        </row>
        <row r="1055">
          <cell r="C1055" t="str">
            <v>CM622NSB</v>
          </cell>
          <cell r="D1055">
            <v>5</v>
          </cell>
          <cell r="E1055">
            <v>2500</v>
          </cell>
          <cell r="F1055" t="str">
            <v>Metal Clip on plates</v>
          </cell>
          <cell r="G1055" t="str">
            <v>COPA Wiring Accessories</v>
          </cell>
          <cell r="H1055" t="str">
            <v>MEM series</v>
          </cell>
          <cell r="I1055" t="str">
            <v>COVER FOR C622N</v>
          </cell>
        </row>
        <row r="1056">
          <cell r="C1056" t="str">
            <v>CM622NSS</v>
          </cell>
          <cell r="D1056">
            <v>5</v>
          </cell>
          <cell r="E1056">
            <v>2500</v>
          </cell>
          <cell r="F1056" t="str">
            <v>Metal Clip on plates</v>
          </cell>
          <cell r="G1056" t="str">
            <v>COPA Wiring Accessories</v>
          </cell>
          <cell r="H1056" t="str">
            <v>MEM series</v>
          </cell>
          <cell r="I1056" t="str">
            <v>COVER FOR C622N</v>
          </cell>
        </row>
        <row r="1057">
          <cell r="C1057" t="str">
            <v>CM622PB</v>
          </cell>
          <cell r="D1057">
            <v>5</v>
          </cell>
          <cell r="E1057">
            <v>2500</v>
          </cell>
          <cell r="F1057" t="str">
            <v>Metal Clip on plates</v>
          </cell>
          <cell r="G1057" t="str">
            <v>COPA Wiring Accessories</v>
          </cell>
          <cell r="H1057" t="str">
            <v>MEM series</v>
          </cell>
          <cell r="I1057" t="str">
            <v>COVER FOR C622</v>
          </cell>
        </row>
        <row r="1058">
          <cell r="C1058" t="str">
            <v>CM622SB</v>
          </cell>
          <cell r="D1058">
            <v>5</v>
          </cell>
          <cell r="E1058">
            <v>2500</v>
          </cell>
          <cell r="F1058" t="str">
            <v>Metal Clip on plates</v>
          </cell>
          <cell r="G1058" t="str">
            <v>COPA Wiring Accessories</v>
          </cell>
          <cell r="H1058" t="str">
            <v>MEM series</v>
          </cell>
          <cell r="I1058" t="str">
            <v>COVER FOR C622</v>
          </cell>
        </row>
        <row r="1059">
          <cell r="C1059" t="str">
            <v>CM622SS</v>
          </cell>
          <cell r="D1059">
            <v>5</v>
          </cell>
          <cell r="E1059">
            <v>2500</v>
          </cell>
          <cell r="F1059" t="str">
            <v>Metal Clip on plates</v>
          </cell>
          <cell r="G1059" t="str">
            <v>COPA Wiring Accessories</v>
          </cell>
          <cell r="H1059" t="str">
            <v>MEM series</v>
          </cell>
          <cell r="I1059" t="str">
            <v>COVER FOR C622</v>
          </cell>
        </row>
        <row r="1060">
          <cell r="C1060" t="str">
            <v>CM632HP</v>
          </cell>
          <cell r="D1060">
            <v>5</v>
          </cell>
          <cell r="E1060">
            <v>2500</v>
          </cell>
          <cell r="F1060" t="str">
            <v>Metal Clip on plates</v>
          </cell>
          <cell r="G1060" t="str">
            <v>COPA Wiring Accessories</v>
          </cell>
          <cell r="H1060" t="str">
            <v>MEM series</v>
          </cell>
          <cell r="I1060" t="str">
            <v>HP COVER FOR C632 C652</v>
          </cell>
        </row>
        <row r="1061">
          <cell r="C1061" t="str">
            <v>CM632PB</v>
          </cell>
          <cell r="D1061">
            <v>5</v>
          </cell>
          <cell r="E1061">
            <v>2500</v>
          </cell>
          <cell r="F1061" t="str">
            <v>Metal Clip on plates</v>
          </cell>
          <cell r="G1061" t="str">
            <v>COPA Wiring Accessories</v>
          </cell>
          <cell r="H1061" t="str">
            <v>MEM series</v>
          </cell>
          <cell r="I1061" t="str">
            <v>PB COVER FOR C632 C652</v>
          </cell>
        </row>
        <row r="1062">
          <cell r="C1062" t="str">
            <v>CM632SB</v>
          </cell>
          <cell r="D1062">
            <v>5</v>
          </cell>
          <cell r="E1062">
            <v>2500</v>
          </cell>
          <cell r="F1062" t="str">
            <v>Metal Clip on plates</v>
          </cell>
          <cell r="G1062" t="str">
            <v>COPA Wiring Accessories</v>
          </cell>
          <cell r="H1062" t="str">
            <v>MEM series</v>
          </cell>
          <cell r="I1062" t="str">
            <v>SB COVER FOR C632 C652</v>
          </cell>
        </row>
        <row r="1063">
          <cell r="C1063" t="str">
            <v>CM632SS</v>
          </cell>
          <cell r="D1063">
            <v>5</v>
          </cell>
          <cell r="E1063">
            <v>2500</v>
          </cell>
          <cell r="F1063" t="str">
            <v>Metal Clip on plates</v>
          </cell>
          <cell r="G1063" t="str">
            <v>COPA Wiring Accessories</v>
          </cell>
          <cell r="H1063" t="str">
            <v>MEM series</v>
          </cell>
          <cell r="I1063" t="str">
            <v>SS COVER FOR C632 C652</v>
          </cell>
        </row>
        <row r="1064">
          <cell r="C1064" t="str">
            <v>CM686HP</v>
          </cell>
          <cell r="D1064">
            <v>5</v>
          </cell>
          <cell r="E1064">
            <v>2500</v>
          </cell>
          <cell r="F1064" t="str">
            <v>Metal Clip on plates</v>
          </cell>
          <cell r="G1064" t="str">
            <v>COPA Wiring Accessories</v>
          </cell>
          <cell r="H1064" t="str">
            <v>MEM series</v>
          </cell>
          <cell r="I1064" t="str">
            <v>COVER FOR C686</v>
          </cell>
        </row>
        <row r="1065">
          <cell r="C1065" t="str">
            <v>CM686PB</v>
          </cell>
          <cell r="D1065">
            <v>5</v>
          </cell>
          <cell r="E1065">
            <v>2500</v>
          </cell>
          <cell r="F1065" t="str">
            <v>Metal Clip on plates</v>
          </cell>
          <cell r="G1065" t="str">
            <v>COPA Wiring Accessories</v>
          </cell>
          <cell r="H1065" t="str">
            <v>MEM series</v>
          </cell>
          <cell r="I1065" t="str">
            <v>COVER FOR C687</v>
          </cell>
        </row>
        <row r="1066">
          <cell r="C1066" t="str">
            <v>CM686SB</v>
          </cell>
          <cell r="D1066">
            <v>5</v>
          </cell>
          <cell r="E1066">
            <v>2500</v>
          </cell>
          <cell r="F1066" t="str">
            <v>Metal Clip on plates</v>
          </cell>
          <cell r="G1066" t="str">
            <v>COPA Wiring Accessories</v>
          </cell>
          <cell r="H1066" t="str">
            <v>MEM series</v>
          </cell>
          <cell r="I1066" t="str">
            <v>COVER FOR C688</v>
          </cell>
        </row>
        <row r="1067">
          <cell r="C1067" t="str">
            <v>CM686SS</v>
          </cell>
          <cell r="D1067">
            <v>5</v>
          </cell>
          <cell r="E1067">
            <v>2500</v>
          </cell>
          <cell r="F1067" t="str">
            <v>Metal Clip on plates</v>
          </cell>
          <cell r="G1067" t="str">
            <v>COPA Wiring Accessories</v>
          </cell>
          <cell r="H1067" t="str">
            <v>MEM series</v>
          </cell>
          <cell r="I1067" t="str">
            <v>COVER FOR C689</v>
          </cell>
        </row>
        <row r="1068">
          <cell r="C1068" t="str">
            <v>CM901HP</v>
          </cell>
          <cell r="D1068">
            <v>5</v>
          </cell>
          <cell r="E1068">
            <v>2500</v>
          </cell>
          <cell r="F1068" t="str">
            <v>Metal Clip on plates</v>
          </cell>
          <cell r="G1068" t="str">
            <v>COPA Wiring Accessories</v>
          </cell>
          <cell r="H1068" t="str">
            <v>MEM series</v>
          </cell>
          <cell r="I1068" t="str">
            <v>1 MODULE</v>
          </cell>
        </row>
        <row r="1069">
          <cell r="C1069" t="str">
            <v>CM901PB</v>
          </cell>
          <cell r="D1069">
            <v>5</v>
          </cell>
          <cell r="E1069">
            <v>2500</v>
          </cell>
          <cell r="F1069" t="str">
            <v>Metal Clip on plates</v>
          </cell>
          <cell r="G1069" t="str">
            <v>COPA Wiring Accessories</v>
          </cell>
          <cell r="H1069" t="str">
            <v>MEM series</v>
          </cell>
          <cell r="I1069" t="str">
            <v>1 MODULE</v>
          </cell>
        </row>
        <row r="1070">
          <cell r="C1070" t="str">
            <v>CM901SB</v>
          </cell>
          <cell r="D1070">
            <v>5</v>
          </cell>
          <cell r="E1070">
            <v>2500</v>
          </cell>
          <cell r="F1070" t="str">
            <v>Metal Clip on plates</v>
          </cell>
          <cell r="G1070" t="str">
            <v>COPA Wiring Accessories</v>
          </cell>
          <cell r="H1070" t="str">
            <v>MEM series</v>
          </cell>
          <cell r="I1070" t="str">
            <v>1 MODULE</v>
          </cell>
        </row>
        <row r="1071">
          <cell r="C1071" t="str">
            <v>CM901SS</v>
          </cell>
          <cell r="D1071">
            <v>5</v>
          </cell>
          <cell r="E1071">
            <v>2500</v>
          </cell>
          <cell r="F1071" t="str">
            <v>Metal Clip on plates</v>
          </cell>
          <cell r="G1071" t="str">
            <v>COPA Wiring Accessories</v>
          </cell>
          <cell r="H1071" t="str">
            <v>MEM series</v>
          </cell>
          <cell r="I1071" t="str">
            <v>1 MODULE</v>
          </cell>
        </row>
        <row r="1072">
          <cell r="C1072" t="str">
            <v>CM902HP</v>
          </cell>
          <cell r="D1072">
            <v>5</v>
          </cell>
          <cell r="E1072">
            <v>2500</v>
          </cell>
          <cell r="F1072" t="str">
            <v>Metal Clip on plates</v>
          </cell>
          <cell r="G1072" t="str">
            <v>COPA Wiring Accessories</v>
          </cell>
          <cell r="H1072" t="str">
            <v>MEM series</v>
          </cell>
          <cell r="I1072" t="str">
            <v>2 MODULE</v>
          </cell>
        </row>
        <row r="1073">
          <cell r="C1073" t="str">
            <v>CM902PB</v>
          </cell>
          <cell r="D1073">
            <v>5</v>
          </cell>
          <cell r="E1073">
            <v>2500</v>
          </cell>
          <cell r="F1073" t="str">
            <v>Metal Clip on plates</v>
          </cell>
          <cell r="G1073" t="str">
            <v>COPA Wiring Accessories</v>
          </cell>
          <cell r="H1073" t="str">
            <v>MEM series</v>
          </cell>
          <cell r="I1073" t="str">
            <v>2 MODULE</v>
          </cell>
        </row>
        <row r="1074">
          <cell r="C1074" t="str">
            <v>CM902SB</v>
          </cell>
          <cell r="D1074">
            <v>5</v>
          </cell>
          <cell r="E1074">
            <v>2500</v>
          </cell>
          <cell r="F1074" t="str">
            <v>Metal Clip on plates</v>
          </cell>
          <cell r="G1074" t="str">
            <v>COPA Wiring Accessories</v>
          </cell>
          <cell r="H1074" t="str">
            <v>MEM series</v>
          </cell>
          <cell r="I1074" t="str">
            <v>2 MODULE</v>
          </cell>
        </row>
        <row r="1075">
          <cell r="C1075" t="str">
            <v>CM902SS</v>
          </cell>
          <cell r="D1075">
            <v>5</v>
          </cell>
          <cell r="E1075">
            <v>2500</v>
          </cell>
          <cell r="F1075" t="str">
            <v>Metal Clip on plates</v>
          </cell>
          <cell r="G1075" t="str">
            <v>COPA Wiring Accessories</v>
          </cell>
          <cell r="H1075" t="str">
            <v>MEM series</v>
          </cell>
          <cell r="I1075" t="str">
            <v>2 MODULE</v>
          </cell>
        </row>
        <row r="1076">
          <cell r="C1076" t="str">
            <v>CM903HP</v>
          </cell>
          <cell r="D1076">
            <v>5</v>
          </cell>
          <cell r="E1076">
            <v>2500</v>
          </cell>
          <cell r="F1076" t="str">
            <v>Metal Clip on plates</v>
          </cell>
          <cell r="G1076" t="str">
            <v>COPA Wiring Accessories</v>
          </cell>
          <cell r="H1076" t="str">
            <v>MEM series</v>
          </cell>
          <cell r="I1076" t="str">
            <v>3 MODULE</v>
          </cell>
        </row>
        <row r="1077">
          <cell r="C1077" t="str">
            <v>CM903PB</v>
          </cell>
          <cell r="D1077">
            <v>5</v>
          </cell>
          <cell r="E1077">
            <v>2500</v>
          </cell>
          <cell r="F1077" t="str">
            <v>Metal Clip on plates</v>
          </cell>
          <cell r="G1077" t="str">
            <v>COPA Wiring Accessories</v>
          </cell>
          <cell r="H1077" t="str">
            <v>MEM series</v>
          </cell>
          <cell r="I1077" t="str">
            <v>3 MODULE</v>
          </cell>
        </row>
        <row r="1078">
          <cell r="C1078" t="str">
            <v>CM903SB</v>
          </cell>
          <cell r="D1078">
            <v>5</v>
          </cell>
          <cell r="E1078">
            <v>2500</v>
          </cell>
          <cell r="F1078" t="str">
            <v>Metal Clip on plates</v>
          </cell>
          <cell r="G1078" t="str">
            <v>COPA Wiring Accessories</v>
          </cell>
          <cell r="H1078" t="str">
            <v>MEM series</v>
          </cell>
          <cell r="I1078" t="str">
            <v>3 MODULE</v>
          </cell>
        </row>
        <row r="1079">
          <cell r="C1079" t="str">
            <v>CM903SS</v>
          </cell>
          <cell r="D1079">
            <v>5</v>
          </cell>
          <cell r="E1079">
            <v>2500</v>
          </cell>
          <cell r="F1079" t="str">
            <v>Metal Clip on plates</v>
          </cell>
          <cell r="G1079" t="str">
            <v>COPA Wiring Accessories</v>
          </cell>
          <cell r="H1079" t="str">
            <v>MEM series</v>
          </cell>
          <cell r="I1079" t="str">
            <v>3 MODULE</v>
          </cell>
        </row>
        <row r="1080">
          <cell r="C1080" t="str">
            <v>CM904HP</v>
          </cell>
          <cell r="D1080">
            <v>5</v>
          </cell>
          <cell r="E1080">
            <v>2500</v>
          </cell>
          <cell r="F1080" t="str">
            <v>Metal Clip on plates</v>
          </cell>
          <cell r="G1080" t="str">
            <v>COPA Wiring Accessories</v>
          </cell>
          <cell r="H1080" t="str">
            <v>MEM series</v>
          </cell>
          <cell r="I1080" t="str">
            <v>4 MODULE</v>
          </cell>
        </row>
        <row r="1081">
          <cell r="C1081" t="str">
            <v>CM904PB</v>
          </cell>
          <cell r="D1081">
            <v>5</v>
          </cell>
          <cell r="E1081">
            <v>2500</v>
          </cell>
          <cell r="F1081" t="str">
            <v>Metal Clip on plates</v>
          </cell>
          <cell r="G1081" t="str">
            <v>COPA Wiring Accessories</v>
          </cell>
          <cell r="H1081" t="str">
            <v>MEM series</v>
          </cell>
          <cell r="I1081" t="str">
            <v>4 MODULE</v>
          </cell>
        </row>
        <row r="1082">
          <cell r="C1082" t="str">
            <v>CM904SB</v>
          </cell>
          <cell r="D1082">
            <v>5</v>
          </cell>
          <cell r="E1082">
            <v>2500</v>
          </cell>
          <cell r="F1082" t="str">
            <v>Metal Clip on plates</v>
          </cell>
          <cell r="G1082" t="str">
            <v>COPA Wiring Accessories</v>
          </cell>
          <cell r="H1082" t="str">
            <v>MEM series</v>
          </cell>
          <cell r="I1082" t="str">
            <v>4 MODULE</v>
          </cell>
        </row>
        <row r="1083">
          <cell r="C1083" t="str">
            <v>CM904SS</v>
          </cell>
          <cell r="D1083">
            <v>5</v>
          </cell>
          <cell r="E1083">
            <v>2500</v>
          </cell>
          <cell r="F1083" t="str">
            <v>Metal Clip on plates</v>
          </cell>
          <cell r="G1083" t="str">
            <v>COPA Wiring Accessories</v>
          </cell>
          <cell r="H1083" t="str">
            <v>MEM series</v>
          </cell>
          <cell r="I1083" t="str">
            <v>4 MODULE</v>
          </cell>
        </row>
        <row r="1084">
          <cell r="C1084" t="str">
            <v>CM906HP</v>
          </cell>
          <cell r="D1084">
            <v>5</v>
          </cell>
          <cell r="E1084">
            <v>2500</v>
          </cell>
          <cell r="F1084" t="str">
            <v>Metal Clip on plates</v>
          </cell>
          <cell r="G1084" t="str">
            <v>COPA Wiring Accessories</v>
          </cell>
          <cell r="H1084" t="str">
            <v>MEM series</v>
          </cell>
          <cell r="I1084" t="str">
            <v>6 MODULE COVER PLATE (2 BANKS)</v>
          </cell>
        </row>
        <row r="1085">
          <cell r="C1085" t="str">
            <v>CM906PB</v>
          </cell>
          <cell r="D1085">
            <v>5</v>
          </cell>
          <cell r="E1085">
            <v>2500</v>
          </cell>
          <cell r="F1085" t="str">
            <v>Metal Clip on plates</v>
          </cell>
          <cell r="G1085" t="str">
            <v>COPA Wiring Accessories</v>
          </cell>
          <cell r="H1085" t="str">
            <v>MEM series</v>
          </cell>
          <cell r="I1085" t="str">
            <v>6 MODULE COVER PLATE (2 BANKS)</v>
          </cell>
        </row>
        <row r="1086">
          <cell r="C1086" t="str">
            <v>CM906SB</v>
          </cell>
          <cell r="D1086">
            <v>5</v>
          </cell>
          <cell r="E1086">
            <v>2500</v>
          </cell>
          <cell r="F1086" t="str">
            <v>Metal Clip on plates</v>
          </cell>
          <cell r="G1086" t="str">
            <v>COPA Wiring Accessories</v>
          </cell>
          <cell r="H1086" t="str">
            <v>MEM series</v>
          </cell>
          <cell r="I1086" t="str">
            <v>6 MODULE COVER PLATE (2 BANKS)</v>
          </cell>
        </row>
        <row r="1087">
          <cell r="C1087" t="str">
            <v>CM906SS</v>
          </cell>
          <cell r="D1087">
            <v>5</v>
          </cell>
          <cell r="E1087">
            <v>2500</v>
          </cell>
          <cell r="F1087" t="str">
            <v>Metal Clip on plates</v>
          </cell>
          <cell r="G1087" t="str">
            <v>COPA Wiring Accessories</v>
          </cell>
          <cell r="H1087" t="str">
            <v>MEM series</v>
          </cell>
          <cell r="I1087" t="str">
            <v>6 MODULE COVER PLATE (2 BANKS)</v>
          </cell>
        </row>
        <row r="1088">
          <cell r="C1088" t="str">
            <v>CM908HP</v>
          </cell>
          <cell r="D1088">
            <v>5</v>
          </cell>
          <cell r="E1088">
            <v>2500</v>
          </cell>
          <cell r="F1088" t="str">
            <v>Metal Clip on plates</v>
          </cell>
          <cell r="G1088" t="str">
            <v>COPA Wiring Accessories</v>
          </cell>
          <cell r="H1088" t="str">
            <v>MEM series</v>
          </cell>
          <cell r="I1088" t="str">
            <v>8 MODULE COVER PLATE (2 BANKS)</v>
          </cell>
        </row>
        <row r="1089">
          <cell r="C1089" t="str">
            <v>CM908PB</v>
          </cell>
          <cell r="D1089">
            <v>5</v>
          </cell>
          <cell r="E1089">
            <v>2500</v>
          </cell>
          <cell r="F1089" t="str">
            <v>Metal Clip on plates</v>
          </cell>
          <cell r="G1089" t="str">
            <v>COPA Wiring Accessories</v>
          </cell>
          <cell r="H1089" t="str">
            <v>MEM series</v>
          </cell>
          <cell r="I1089" t="str">
            <v>8 MODULE COVER PLATE (2 BANKS)</v>
          </cell>
        </row>
        <row r="1090">
          <cell r="C1090" t="str">
            <v>CM908SB</v>
          </cell>
          <cell r="D1090">
            <v>5</v>
          </cell>
          <cell r="E1090">
            <v>2500</v>
          </cell>
          <cell r="F1090" t="str">
            <v>Metal Clip on plates</v>
          </cell>
          <cell r="G1090" t="str">
            <v>COPA Wiring Accessories</v>
          </cell>
          <cell r="H1090" t="str">
            <v>MEM series</v>
          </cell>
          <cell r="I1090" t="str">
            <v>8 MODULE COVER PLATE (2 BANKS)</v>
          </cell>
        </row>
        <row r="1091">
          <cell r="C1091" t="str">
            <v>CM908SS</v>
          </cell>
          <cell r="D1091">
            <v>5</v>
          </cell>
          <cell r="E1091">
            <v>2500</v>
          </cell>
          <cell r="F1091" t="str">
            <v>Metal Clip on plates</v>
          </cell>
          <cell r="G1091" t="str">
            <v>COPA Wiring Accessories</v>
          </cell>
          <cell r="H1091" t="str">
            <v>MEM series</v>
          </cell>
          <cell r="I1091" t="str">
            <v>8 MODULE COVER PLATE (2 BANKS)</v>
          </cell>
        </row>
        <row r="1092">
          <cell r="C1092" t="str">
            <v>CM912HP</v>
          </cell>
          <cell r="D1092">
            <v>5</v>
          </cell>
          <cell r="E1092">
            <v>2500</v>
          </cell>
          <cell r="F1092" t="str">
            <v>Metal Clip on plates</v>
          </cell>
          <cell r="G1092" t="str">
            <v>COPA Wiring Accessories</v>
          </cell>
          <cell r="H1092" t="str">
            <v>MEM series</v>
          </cell>
          <cell r="I1092" t="str">
            <v>12 MODULE COVER PLATE (3 BANKS)</v>
          </cell>
        </row>
        <row r="1093">
          <cell r="C1093" t="str">
            <v>CM912PB</v>
          </cell>
          <cell r="D1093">
            <v>5</v>
          </cell>
          <cell r="E1093">
            <v>2500</v>
          </cell>
          <cell r="F1093" t="str">
            <v>Metal Clip on plates</v>
          </cell>
          <cell r="G1093" t="str">
            <v>COPA Wiring Accessories</v>
          </cell>
          <cell r="H1093" t="str">
            <v>MEM series</v>
          </cell>
          <cell r="I1093" t="str">
            <v>12 MODULE COVER PLATE (3 BANKS)</v>
          </cell>
        </row>
        <row r="1094">
          <cell r="C1094" t="str">
            <v>CM912SB</v>
          </cell>
          <cell r="D1094">
            <v>5</v>
          </cell>
          <cell r="E1094">
            <v>2500</v>
          </cell>
          <cell r="F1094" t="str">
            <v>Metal Clip on plates</v>
          </cell>
          <cell r="G1094" t="str">
            <v>COPA Wiring Accessories</v>
          </cell>
          <cell r="H1094" t="str">
            <v>MEM series</v>
          </cell>
          <cell r="I1094" t="str">
            <v>12 MODULE COVER PLATE (3 BANKS)</v>
          </cell>
        </row>
        <row r="1095">
          <cell r="C1095" t="str">
            <v>CM912SS</v>
          </cell>
          <cell r="D1095">
            <v>5</v>
          </cell>
          <cell r="E1095">
            <v>2500</v>
          </cell>
          <cell r="F1095" t="str">
            <v>Metal Clip on plates</v>
          </cell>
          <cell r="G1095" t="str">
            <v>COPA Wiring Accessories</v>
          </cell>
          <cell r="H1095" t="str">
            <v>MEM series</v>
          </cell>
          <cell r="I1095" t="str">
            <v>12 MODULE COVER PLATE (3 BANKS)</v>
          </cell>
        </row>
        <row r="1096">
          <cell r="C1096" t="str">
            <v>CM9132HP</v>
          </cell>
          <cell r="D1096">
            <v>5</v>
          </cell>
          <cell r="E1096">
            <v>2500</v>
          </cell>
          <cell r="F1096" t="str">
            <v>Metal Clip on plates</v>
          </cell>
          <cell r="G1096" t="str">
            <v>COPA Wiring Accessories</v>
          </cell>
          <cell r="H1096" t="str">
            <v>MEM series</v>
          </cell>
          <cell r="I1096" t="str">
            <v>HP COVER FOR C9132  C9552</v>
          </cell>
        </row>
        <row r="1097">
          <cell r="C1097" t="str">
            <v>CM9132PB</v>
          </cell>
          <cell r="D1097">
            <v>5</v>
          </cell>
          <cell r="E1097">
            <v>2500</v>
          </cell>
          <cell r="F1097" t="str">
            <v>Metal Clip on plates</v>
          </cell>
          <cell r="G1097" t="str">
            <v>COPA Wiring Accessories</v>
          </cell>
          <cell r="H1097" t="str">
            <v>MEM series</v>
          </cell>
          <cell r="I1097" t="str">
            <v>PB COVER FOR C9132 C9552</v>
          </cell>
        </row>
        <row r="1098">
          <cell r="C1098" t="str">
            <v>CM9132SB</v>
          </cell>
          <cell r="D1098">
            <v>5</v>
          </cell>
          <cell r="E1098">
            <v>2500</v>
          </cell>
          <cell r="F1098" t="str">
            <v>Metal Clip on plates</v>
          </cell>
          <cell r="G1098" t="str">
            <v>COPA Wiring Accessories</v>
          </cell>
          <cell r="H1098" t="str">
            <v>MEM series</v>
          </cell>
          <cell r="I1098" t="str">
            <v>SB COVER FOR C9132  C9552</v>
          </cell>
        </row>
        <row r="1099">
          <cell r="C1099" t="str">
            <v>CM9132SS</v>
          </cell>
          <cell r="D1099">
            <v>5</v>
          </cell>
          <cell r="E1099">
            <v>2500</v>
          </cell>
          <cell r="F1099" t="str">
            <v>Metal Clip on plates</v>
          </cell>
          <cell r="G1099" t="str">
            <v>COPA Wiring Accessories</v>
          </cell>
          <cell r="H1099" t="str">
            <v>MEM series</v>
          </cell>
          <cell r="I1099" t="str">
            <v>SS COVER FOR C9132  C9552</v>
          </cell>
        </row>
        <row r="1100">
          <cell r="C1100" t="str">
            <v>CM918HP</v>
          </cell>
          <cell r="D1100">
            <v>5</v>
          </cell>
          <cell r="E1100">
            <v>2500</v>
          </cell>
          <cell r="F1100" t="str">
            <v>Metal Clip on plates</v>
          </cell>
          <cell r="G1100" t="str">
            <v>COPA Wiring Accessories</v>
          </cell>
          <cell r="H1100" t="str">
            <v>MEM series</v>
          </cell>
          <cell r="I1100" t="str">
            <v>18 MODULE COVER PLATE (3 BANKS)</v>
          </cell>
        </row>
        <row r="1101">
          <cell r="C1101" t="str">
            <v>CM918SB</v>
          </cell>
          <cell r="D1101">
            <v>5</v>
          </cell>
          <cell r="E1101">
            <v>2500</v>
          </cell>
          <cell r="F1101" t="str">
            <v>Metal Clip on plates</v>
          </cell>
          <cell r="G1101" t="str">
            <v>COPA Wiring Accessories</v>
          </cell>
          <cell r="H1101" t="str">
            <v>MEM series</v>
          </cell>
          <cell r="I1101" t="str">
            <v>18 MODULE COVER PLATE (3 BANKS)</v>
          </cell>
        </row>
        <row r="1102">
          <cell r="C1102" t="str">
            <v>CM918SS</v>
          </cell>
          <cell r="D1102">
            <v>5</v>
          </cell>
          <cell r="E1102">
            <v>2500</v>
          </cell>
          <cell r="F1102" t="str">
            <v>Metal Clip on plates</v>
          </cell>
          <cell r="G1102" t="str">
            <v>COPA Wiring Accessories</v>
          </cell>
          <cell r="H1102" t="str">
            <v>MEM series</v>
          </cell>
          <cell r="I1102" t="str">
            <v>18 MODULE COVER PLATE (3 BANKS)</v>
          </cell>
        </row>
        <row r="1103">
          <cell r="C1103" t="str">
            <v>CM924HP</v>
          </cell>
          <cell r="D1103">
            <v>5</v>
          </cell>
          <cell r="E1103">
            <v>2500</v>
          </cell>
          <cell r="F1103" t="str">
            <v>Metal Clip on plates</v>
          </cell>
          <cell r="G1103" t="str">
            <v>COPA Wiring Accessories</v>
          </cell>
          <cell r="H1103" t="str">
            <v>MEM series</v>
          </cell>
          <cell r="I1103" t="str">
            <v>24 MODULE COVER PLATE (4 BANKS)</v>
          </cell>
        </row>
        <row r="1104">
          <cell r="C1104" t="str">
            <v>CM924SB</v>
          </cell>
          <cell r="D1104">
            <v>5</v>
          </cell>
          <cell r="E1104">
            <v>2500</v>
          </cell>
          <cell r="F1104" t="str">
            <v>Metal Clip on plates</v>
          </cell>
          <cell r="G1104" t="str">
            <v>COPA Wiring Accessories</v>
          </cell>
          <cell r="H1104" t="str">
            <v>MEM series</v>
          </cell>
          <cell r="I1104" t="str">
            <v>24 MODULE COVER PLATE (4 BANKS)</v>
          </cell>
        </row>
        <row r="1105">
          <cell r="C1105" t="str">
            <v>CM924SS</v>
          </cell>
          <cell r="D1105">
            <v>5</v>
          </cell>
          <cell r="E1105">
            <v>2500</v>
          </cell>
          <cell r="F1105" t="str">
            <v>Metal Clip on plates</v>
          </cell>
          <cell r="G1105" t="str">
            <v>COPA Wiring Accessories</v>
          </cell>
          <cell r="H1105" t="str">
            <v>MEM series</v>
          </cell>
          <cell r="I1105" t="str">
            <v>24 MODULE COVER PLATE (4 BANKS)</v>
          </cell>
        </row>
        <row r="1106">
          <cell r="C1106" t="str">
            <v>B015HP</v>
          </cell>
          <cell r="D1106">
            <v>6</v>
          </cell>
          <cell r="E1106">
            <v>100</v>
          </cell>
          <cell r="F1106" t="str">
            <v>10A switches</v>
          </cell>
          <cell r="G1106" t="str">
            <v>COPA FIX</v>
          </cell>
          <cell r="H1106" t="str">
            <v>MEM series</v>
          </cell>
          <cell r="I1106" t="str">
            <v>10A 1G SW PUSH HP</v>
          </cell>
        </row>
        <row r="1107">
          <cell r="C1107" t="str">
            <v>B015SS</v>
          </cell>
          <cell r="D1107">
            <v>6</v>
          </cell>
          <cell r="E1107">
            <v>100</v>
          </cell>
          <cell r="F1107" t="str">
            <v>10A switches</v>
          </cell>
          <cell r="G1107" t="str">
            <v>COPA FIX</v>
          </cell>
          <cell r="H1107" t="str">
            <v>MEM series</v>
          </cell>
          <cell r="I1107" t="str">
            <v>10A 1G SW PUSH SS</v>
          </cell>
        </row>
        <row r="1108">
          <cell r="C1108" t="str">
            <v>B017HP</v>
          </cell>
          <cell r="D1108">
            <v>6</v>
          </cell>
          <cell r="E1108">
            <v>100</v>
          </cell>
          <cell r="F1108" t="str">
            <v>10A switches</v>
          </cell>
          <cell r="G1108" t="str">
            <v>COPA FIX</v>
          </cell>
          <cell r="H1108" t="str">
            <v>MEM series</v>
          </cell>
          <cell r="I1108" t="str">
            <v>10A INT SW HP</v>
          </cell>
        </row>
        <row r="1109">
          <cell r="C1109" t="str">
            <v>B017SS</v>
          </cell>
          <cell r="D1109">
            <v>6</v>
          </cell>
          <cell r="E1109">
            <v>100</v>
          </cell>
          <cell r="F1109" t="str">
            <v>10A switches</v>
          </cell>
          <cell r="G1109" t="str">
            <v>COPA FIX</v>
          </cell>
          <cell r="H1109" t="str">
            <v>MEM series</v>
          </cell>
          <cell r="I1109" t="str">
            <v>10A INT SW SS</v>
          </cell>
        </row>
        <row r="1110">
          <cell r="C1110" t="str">
            <v>B021HP</v>
          </cell>
          <cell r="D1110">
            <v>6</v>
          </cell>
          <cell r="E1110">
            <v>100</v>
          </cell>
          <cell r="F1110" t="str">
            <v>10A switches</v>
          </cell>
          <cell r="G1110" t="str">
            <v>COPA FIX</v>
          </cell>
          <cell r="H1110" t="str">
            <v>MEM series</v>
          </cell>
          <cell r="I1110" t="str">
            <v>10A 1G 2W SW HP</v>
          </cell>
        </row>
        <row r="1111">
          <cell r="C1111" t="str">
            <v>B021SS</v>
          </cell>
          <cell r="D1111">
            <v>6</v>
          </cell>
          <cell r="E1111">
            <v>100</v>
          </cell>
          <cell r="F1111" t="str">
            <v>10A switches</v>
          </cell>
          <cell r="G1111" t="str">
            <v>COPA FIX</v>
          </cell>
          <cell r="H1111" t="str">
            <v>MEM series</v>
          </cell>
          <cell r="I1111" t="str">
            <v>10A 1G 2W SW SS</v>
          </cell>
        </row>
        <row r="1112">
          <cell r="C1112" t="str">
            <v>B022HP</v>
          </cell>
          <cell r="D1112">
            <v>6</v>
          </cell>
          <cell r="E1112">
            <v>100</v>
          </cell>
          <cell r="F1112" t="str">
            <v>10A switches</v>
          </cell>
          <cell r="G1112" t="str">
            <v>COPA FIX</v>
          </cell>
          <cell r="H1112" t="str">
            <v>MEM series</v>
          </cell>
          <cell r="I1112" t="str">
            <v>10A 2G 2W SW HP</v>
          </cell>
        </row>
        <row r="1113">
          <cell r="C1113" t="str">
            <v>B022SS</v>
          </cell>
          <cell r="D1113">
            <v>6</v>
          </cell>
          <cell r="E1113">
            <v>100</v>
          </cell>
          <cell r="F1113" t="str">
            <v>10A switches</v>
          </cell>
          <cell r="G1113" t="str">
            <v>COPA FIX</v>
          </cell>
          <cell r="H1113" t="str">
            <v>MEM series</v>
          </cell>
          <cell r="I1113" t="str">
            <v>10A 2G 2W SW SS</v>
          </cell>
        </row>
        <row r="1114">
          <cell r="C1114" t="str">
            <v>B023HP</v>
          </cell>
          <cell r="D1114">
            <v>6</v>
          </cell>
          <cell r="E1114">
            <v>100</v>
          </cell>
          <cell r="F1114" t="str">
            <v>10A switches</v>
          </cell>
          <cell r="G1114" t="str">
            <v>COPA FIX</v>
          </cell>
          <cell r="H1114" t="str">
            <v>MEM series</v>
          </cell>
          <cell r="I1114" t="str">
            <v>10A 3G 2W SW HP</v>
          </cell>
        </row>
        <row r="1115">
          <cell r="C1115" t="str">
            <v>B023SS</v>
          </cell>
          <cell r="D1115">
            <v>6</v>
          </cell>
          <cell r="E1115">
            <v>100</v>
          </cell>
          <cell r="F1115" t="str">
            <v>10A switches</v>
          </cell>
          <cell r="G1115" t="str">
            <v>COPA FIX</v>
          </cell>
          <cell r="H1115" t="str">
            <v>MEM series</v>
          </cell>
          <cell r="I1115" t="str">
            <v>10A 3G 2W SW SS</v>
          </cell>
        </row>
        <row r="1116">
          <cell r="C1116" t="str">
            <v>B048HP</v>
          </cell>
          <cell r="D1116">
            <v>6</v>
          </cell>
          <cell r="E1116">
            <v>300</v>
          </cell>
          <cell r="F1116" t="str">
            <v>10A broad rocker</v>
          </cell>
          <cell r="G1116" t="str">
            <v>COPA FIX</v>
          </cell>
          <cell r="H1116" t="str">
            <v>MEM series</v>
          </cell>
          <cell r="I1116" t="str">
            <v>10A 3POLE FAN ISO HP</v>
          </cell>
        </row>
        <row r="1117">
          <cell r="C1117" t="str">
            <v>B048SS</v>
          </cell>
          <cell r="D1117">
            <v>6</v>
          </cell>
          <cell r="E1117">
            <v>300</v>
          </cell>
          <cell r="F1117" t="str">
            <v>10A broad rocker</v>
          </cell>
          <cell r="G1117" t="str">
            <v>COPA FIX</v>
          </cell>
          <cell r="H1117" t="str">
            <v>MEM series</v>
          </cell>
          <cell r="I1117" t="str">
            <v>10A 3POLE FAN ISO SS</v>
          </cell>
        </row>
        <row r="1118">
          <cell r="C1118" t="str">
            <v>B621HP</v>
          </cell>
          <cell r="D1118">
            <v>6</v>
          </cell>
          <cell r="E1118">
            <v>500</v>
          </cell>
          <cell r="F1118" t="str">
            <v>13a Switched sockets</v>
          </cell>
          <cell r="G1118" t="str">
            <v>COPA FIX</v>
          </cell>
          <cell r="H1118" t="str">
            <v>MEM series</v>
          </cell>
          <cell r="I1118" t="str">
            <v>13A 1G DP SW SKT 2 E TERM HP</v>
          </cell>
        </row>
        <row r="1119">
          <cell r="C1119" t="str">
            <v>B621NHP</v>
          </cell>
          <cell r="D1119">
            <v>6</v>
          </cell>
          <cell r="E1119">
            <v>500</v>
          </cell>
          <cell r="F1119" t="str">
            <v>13a Switched sockets</v>
          </cell>
          <cell r="G1119" t="str">
            <v>COPA FIX</v>
          </cell>
          <cell r="H1119" t="str">
            <v>MEM series</v>
          </cell>
          <cell r="I1119" t="str">
            <v>13A 1G DP SW SKT 2 E TERM NEON</v>
          </cell>
        </row>
        <row r="1120">
          <cell r="C1120" t="str">
            <v>B621NSS</v>
          </cell>
          <cell r="D1120">
            <v>6</v>
          </cell>
          <cell r="E1120">
            <v>500</v>
          </cell>
          <cell r="F1120" t="str">
            <v>13a Switched sockets</v>
          </cell>
          <cell r="G1120" t="str">
            <v>COPA FIX</v>
          </cell>
          <cell r="H1120" t="str">
            <v>MEM series</v>
          </cell>
          <cell r="I1120" t="str">
            <v>13A 1G DP SW SKT 2 E TERM NEON</v>
          </cell>
        </row>
        <row r="1121">
          <cell r="C1121" t="str">
            <v>B621RRSS</v>
          </cell>
          <cell r="D1121">
            <v>6</v>
          </cell>
          <cell r="E1121">
            <v>500</v>
          </cell>
          <cell r="F1121" t="str">
            <v>13a Switched sockets</v>
          </cell>
          <cell r="G1121" t="str">
            <v>COPA FIX</v>
          </cell>
          <cell r="H1121" t="str">
            <v>MEM series</v>
          </cell>
          <cell r="I1121" t="str">
            <v>13A 1G DP SW SKT 2 E TERM RED</v>
          </cell>
        </row>
        <row r="1122">
          <cell r="C1122" t="str">
            <v>B621SS</v>
          </cell>
          <cell r="D1122">
            <v>6</v>
          </cell>
          <cell r="E1122">
            <v>500</v>
          </cell>
          <cell r="F1122" t="str">
            <v>13a Switched sockets</v>
          </cell>
          <cell r="G1122" t="str">
            <v>COPA FIX</v>
          </cell>
          <cell r="H1122" t="str">
            <v>MEM series</v>
          </cell>
          <cell r="I1122" t="str">
            <v>13A 1G DP SW SKT 2 E TERM SS</v>
          </cell>
        </row>
        <row r="1123">
          <cell r="C1123" t="str">
            <v>B622HP</v>
          </cell>
          <cell r="D1123">
            <v>6</v>
          </cell>
          <cell r="E1123">
            <v>500</v>
          </cell>
          <cell r="F1123" t="str">
            <v>13a Switched sockets</v>
          </cell>
          <cell r="G1123" t="str">
            <v>COPA FIX</v>
          </cell>
          <cell r="H1123" t="str">
            <v>MEM series</v>
          </cell>
          <cell r="I1123" t="str">
            <v>13A 2G DP SW SKT 2 E TERM HP</v>
          </cell>
        </row>
        <row r="1124">
          <cell r="C1124" t="str">
            <v>B622NHP</v>
          </cell>
          <cell r="D1124">
            <v>6</v>
          </cell>
          <cell r="E1124">
            <v>500</v>
          </cell>
          <cell r="F1124" t="str">
            <v>13a Switched sockets</v>
          </cell>
          <cell r="G1124" t="str">
            <v>COPA FIX</v>
          </cell>
          <cell r="H1124" t="str">
            <v>MEM series</v>
          </cell>
          <cell r="I1124" t="str">
            <v>13A 2G DP SW SKT 2 E TERM NEON</v>
          </cell>
        </row>
        <row r="1125">
          <cell r="C1125" t="str">
            <v>B622NSS</v>
          </cell>
          <cell r="D1125">
            <v>6</v>
          </cell>
          <cell r="E1125">
            <v>500</v>
          </cell>
          <cell r="F1125" t="str">
            <v>13a Switched sockets</v>
          </cell>
          <cell r="G1125" t="str">
            <v>COPA FIX</v>
          </cell>
          <cell r="H1125" t="str">
            <v>MEM series</v>
          </cell>
          <cell r="I1125" t="str">
            <v>13A 2G DP SW SKT 2 E TERM NEON</v>
          </cell>
        </row>
        <row r="1126">
          <cell r="C1126" t="str">
            <v>B622RRSS</v>
          </cell>
          <cell r="D1126">
            <v>6</v>
          </cell>
          <cell r="E1126">
            <v>500</v>
          </cell>
          <cell r="F1126" t="str">
            <v>13a Switched sockets</v>
          </cell>
          <cell r="G1126" t="str">
            <v>COPA FIX</v>
          </cell>
          <cell r="H1126" t="str">
            <v>MEM series</v>
          </cell>
          <cell r="I1126" t="str">
            <v>13A 2G DP SW SKT 2 E TERM RED</v>
          </cell>
        </row>
        <row r="1127">
          <cell r="C1127" t="str">
            <v>B622SS</v>
          </cell>
          <cell r="D1127">
            <v>6</v>
          </cell>
          <cell r="E1127">
            <v>500</v>
          </cell>
          <cell r="F1127" t="str">
            <v>13a Switched sockets</v>
          </cell>
          <cell r="G1127" t="str">
            <v>COPA FIX</v>
          </cell>
          <cell r="H1127" t="str">
            <v>MEM series</v>
          </cell>
          <cell r="I1127" t="str">
            <v>13A 2G DP SW SKT 2 E TERM SS</v>
          </cell>
        </row>
        <row r="1128">
          <cell r="C1128" t="str">
            <v>B632SS</v>
          </cell>
          <cell r="D1128">
            <v>6</v>
          </cell>
          <cell r="E1128">
            <v>500</v>
          </cell>
          <cell r="F1128" t="str">
            <v>13a Switched sockets</v>
          </cell>
          <cell r="G1128" t="str">
            <v>COPA FIX</v>
          </cell>
          <cell r="H1128" t="str">
            <v>MEM series</v>
          </cell>
          <cell r="I1128" t="str">
            <v>13A 2G DP SW SKT 2 E TERM OB R</v>
          </cell>
        </row>
        <row r="1129">
          <cell r="C1129" t="str">
            <v>B651SS</v>
          </cell>
          <cell r="D1129">
            <v>6</v>
          </cell>
          <cell r="E1129">
            <v>500</v>
          </cell>
          <cell r="F1129" t="str">
            <v>13a Switched sockets</v>
          </cell>
          <cell r="G1129" t="str">
            <v>COPA FIX</v>
          </cell>
          <cell r="H1129" t="str">
            <v>MEM series</v>
          </cell>
          <cell r="I1129" t="str">
            <v>13A 1G DP SW SKT 2 E TERM N-ST</v>
          </cell>
        </row>
        <row r="1130">
          <cell r="C1130" t="str">
            <v>B652SS</v>
          </cell>
          <cell r="D1130">
            <v>6</v>
          </cell>
          <cell r="E1130">
            <v>500</v>
          </cell>
          <cell r="F1130" t="str">
            <v>13a Switched sockets</v>
          </cell>
          <cell r="G1130" t="str">
            <v>COPA FIX</v>
          </cell>
          <cell r="H1130" t="str">
            <v>MEM series</v>
          </cell>
          <cell r="I1130" t="str">
            <v>13A 2G DP SW SKT 2 E TERM OB R</v>
          </cell>
        </row>
        <row r="1131">
          <cell r="C1131" t="str">
            <v>B685SS</v>
          </cell>
          <cell r="D1131">
            <v>6</v>
          </cell>
          <cell r="E1131">
            <v>600</v>
          </cell>
          <cell r="F1131" t="str">
            <v>13a RCD socket / Loung plates</v>
          </cell>
          <cell r="G1131" t="str">
            <v>COPA FIX</v>
          </cell>
          <cell r="H1131" t="str">
            <v>MEM series</v>
          </cell>
          <cell r="I1131" t="str">
            <v>13A 2G DP RCD SW SKT 10mA P SS</v>
          </cell>
        </row>
        <row r="1132">
          <cell r="C1132" t="str">
            <v>B686SS</v>
          </cell>
          <cell r="D1132">
            <v>6</v>
          </cell>
          <cell r="E1132">
            <v>600</v>
          </cell>
          <cell r="F1132" t="str">
            <v>13a RCD socket / Loung plates</v>
          </cell>
          <cell r="G1132" t="str">
            <v>COPA FIX</v>
          </cell>
          <cell r="H1132" t="str">
            <v>MEM series</v>
          </cell>
          <cell r="I1132" t="str">
            <v>13A 2G DP RCD SW SKT 30mA P SS</v>
          </cell>
        </row>
        <row r="1133">
          <cell r="C1133" t="str">
            <v>B955HP</v>
          </cell>
          <cell r="D1133">
            <v>6</v>
          </cell>
          <cell r="E1133">
            <v>600</v>
          </cell>
          <cell r="F1133" t="str">
            <v>13a RCD socket / Loung plates</v>
          </cell>
          <cell r="G1133" t="str">
            <v>COPA FIX</v>
          </cell>
          <cell r="H1133" t="str">
            <v>MEM series</v>
          </cell>
          <cell r="I1133" t="str">
            <v>LOUNGE PLATE 4 SKTS, SAT II, RETURN, SEC BT (K4060HP)</v>
          </cell>
        </row>
        <row r="1134">
          <cell r="C1134" t="str">
            <v>B955SS</v>
          </cell>
          <cell r="D1134">
            <v>6</v>
          </cell>
          <cell r="E1134">
            <v>600</v>
          </cell>
          <cell r="F1134" t="str">
            <v>13a RCD socket / Loung plates</v>
          </cell>
          <cell r="G1134" t="str">
            <v>COPA FIX</v>
          </cell>
          <cell r="H1134" t="str">
            <v>MEM series</v>
          </cell>
          <cell r="I1134" t="str">
            <v>LOUNGE PLATE 4 SKTS, SAT II, RETURN, SEC BT (K4060SS)</v>
          </cell>
        </row>
        <row r="1135">
          <cell r="C1135" t="str">
            <v>B956HP</v>
          </cell>
          <cell r="D1135">
            <v>6</v>
          </cell>
          <cell r="E1135">
            <v>600</v>
          </cell>
          <cell r="F1135" t="str">
            <v>13a RCD socket / Loung plates</v>
          </cell>
          <cell r="G1135" t="str">
            <v>COPA FIX</v>
          </cell>
          <cell r="H1135" t="str">
            <v>MEM series</v>
          </cell>
          <cell r="I1135" t="str">
            <v>LOUNGE PLATE 4 SKTS, SAT II, RETURN, SEC BT, SPARE</v>
          </cell>
        </row>
        <row r="1136">
          <cell r="C1136" t="str">
            <v>B956SS</v>
          </cell>
          <cell r="D1136">
            <v>6</v>
          </cell>
          <cell r="E1136">
            <v>600</v>
          </cell>
          <cell r="F1136" t="str">
            <v>13a RCD socket / Loung plates</v>
          </cell>
          <cell r="G1136" t="str">
            <v>COPA FIX</v>
          </cell>
          <cell r="H1136" t="str">
            <v>MEM series</v>
          </cell>
          <cell r="I1136" t="str">
            <v>LOUNGE PLATE 4 SKTS, SAT II, RETURN, SEC BT, SPARE</v>
          </cell>
        </row>
        <row r="1137">
          <cell r="C1137" t="str">
            <v>B111SS</v>
          </cell>
          <cell r="D1137">
            <v>6</v>
          </cell>
          <cell r="E1137">
            <v>700</v>
          </cell>
          <cell r="F1137" t="str">
            <v>Unswitched sockets</v>
          </cell>
          <cell r="G1137" t="str">
            <v>COPA FIX</v>
          </cell>
          <cell r="H1137" t="str">
            <v>MEM series</v>
          </cell>
          <cell r="I1137" t="str">
            <v>13A 1G SKT SS</v>
          </cell>
        </row>
        <row r="1138">
          <cell r="C1138" t="str">
            <v>B112SS</v>
          </cell>
          <cell r="D1138">
            <v>6</v>
          </cell>
          <cell r="E1138">
            <v>700</v>
          </cell>
          <cell r="F1138" t="str">
            <v>Unswitched sockets</v>
          </cell>
          <cell r="G1138" t="str">
            <v>COPA FIX</v>
          </cell>
          <cell r="H1138" t="str">
            <v>MEM series</v>
          </cell>
          <cell r="I1138" t="str">
            <v>13A 2G SKT SS</v>
          </cell>
        </row>
        <row r="1139">
          <cell r="C1139" t="str">
            <v>B305SS</v>
          </cell>
          <cell r="D1139">
            <v>6</v>
          </cell>
          <cell r="E1139">
            <v>900</v>
          </cell>
          <cell r="F1139" t="str">
            <v>5Amp sockets</v>
          </cell>
          <cell r="G1139" t="str">
            <v>COPA FIX</v>
          </cell>
          <cell r="H1139" t="str">
            <v>MEM series</v>
          </cell>
          <cell r="I1139" t="str">
            <v>5A 1G SKT SS</v>
          </cell>
        </row>
        <row r="1140">
          <cell r="C1140" t="str">
            <v>B415SS</v>
          </cell>
          <cell r="D1140">
            <v>6</v>
          </cell>
          <cell r="E1140">
            <v>900</v>
          </cell>
          <cell r="F1140" t="str">
            <v>5Amp sockets</v>
          </cell>
          <cell r="G1140" t="str">
            <v>COPA FIX</v>
          </cell>
          <cell r="H1140" t="str">
            <v>MEM series</v>
          </cell>
          <cell r="I1140" t="str">
            <v>15A 1G SP SW SKT SS</v>
          </cell>
        </row>
        <row r="1141">
          <cell r="C1141" t="str">
            <v>B370SS</v>
          </cell>
          <cell r="D1141">
            <v>6</v>
          </cell>
          <cell r="E1141">
            <v>1000</v>
          </cell>
          <cell r="F1141" t="str">
            <v>Shaver socket</v>
          </cell>
          <cell r="G1141" t="str">
            <v>COPA FIX</v>
          </cell>
          <cell r="H1141" t="str">
            <v>MEM series</v>
          </cell>
          <cell r="I1141" t="str">
            <v>SHAVER DUAL V 230 110AC</v>
          </cell>
        </row>
        <row r="1142">
          <cell r="C1142" t="str">
            <v>B220NSS</v>
          </cell>
          <cell r="D1142">
            <v>6</v>
          </cell>
          <cell r="E1142">
            <v>1100</v>
          </cell>
          <cell r="F1142" t="str">
            <v xml:space="preserve">13A connection units / </v>
          </cell>
          <cell r="G1142" t="str">
            <v>COPA FIX</v>
          </cell>
          <cell r="H1142" t="str">
            <v>MEM series</v>
          </cell>
          <cell r="I1142" t="str">
            <v>13A CON UNIT NEON SS</v>
          </cell>
        </row>
        <row r="1143">
          <cell r="C1143" t="str">
            <v>B220SS</v>
          </cell>
          <cell r="D1143">
            <v>6</v>
          </cell>
          <cell r="E1143">
            <v>1100</v>
          </cell>
          <cell r="F1143" t="str">
            <v xml:space="preserve">13A connection units / </v>
          </cell>
          <cell r="G1143" t="str">
            <v>COPA FIX</v>
          </cell>
          <cell r="H1143" t="str">
            <v>MEM series</v>
          </cell>
          <cell r="I1143" t="str">
            <v>13A CON UNIT SS</v>
          </cell>
        </row>
        <row r="1144">
          <cell r="C1144" t="str">
            <v>B221HP</v>
          </cell>
          <cell r="D1144">
            <v>6</v>
          </cell>
          <cell r="E1144">
            <v>1100</v>
          </cell>
          <cell r="F1144" t="str">
            <v xml:space="preserve">13A connection units / </v>
          </cell>
          <cell r="G1144" t="str">
            <v>COPA FIX</v>
          </cell>
          <cell r="H1144" t="str">
            <v>MEM series</v>
          </cell>
          <cell r="I1144" t="str">
            <v>13A SW CON UNIT HP</v>
          </cell>
        </row>
        <row r="1145">
          <cell r="C1145" t="str">
            <v>B221NHP</v>
          </cell>
          <cell r="D1145">
            <v>6</v>
          </cell>
          <cell r="E1145">
            <v>1100</v>
          </cell>
          <cell r="F1145" t="str">
            <v xml:space="preserve">13A connection units / </v>
          </cell>
          <cell r="G1145" t="str">
            <v>COPA FIX</v>
          </cell>
          <cell r="H1145" t="str">
            <v>MEM series</v>
          </cell>
          <cell r="I1145" t="str">
            <v>13A SW FCU NEON HP</v>
          </cell>
        </row>
        <row r="1146">
          <cell r="C1146" t="str">
            <v>B221NSS</v>
          </cell>
          <cell r="D1146">
            <v>6</v>
          </cell>
          <cell r="E1146">
            <v>1100</v>
          </cell>
          <cell r="F1146" t="str">
            <v xml:space="preserve">13A connection units / </v>
          </cell>
          <cell r="G1146" t="str">
            <v>COPA FIX</v>
          </cell>
          <cell r="H1146" t="str">
            <v>MEM series</v>
          </cell>
          <cell r="I1146" t="str">
            <v>13A SW FCU NEON SS</v>
          </cell>
        </row>
        <row r="1147">
          <cell r="C1147" t="str">
            <v>B221SS</v>
          </cell>
          <cell r="D1147">
            <v>6</v>
          </cell>
          <cell r="E1147">
            <v>1100</v>
          </cell>
          <cell r="F1147" t="str">
            <v xml:space="preserve">13A connection units / </v>
          </cell>
          <cell r="G1147" t="str">
            <v>COPA FIX</v>
          </cell>
          <cell r="H1147" t="str">
            <v>MEM series</v>
          </cell>
          <cell r="I1147" t="str">
            <v>13A SW CON UNIT SS</v>
          </cell>
        </row>
        <row r="1148">
          <cell r="C1148" t="str">
            <v>B401NSS</v>
          </cell>
          <cell r="D1148">
            <v>6</v>
          </cell>
          <cell r="E1148">
            <v>1200</v>
          </cell>
          <cell r="F1148" t="str">
            <v>20A switches</v>
          </cell>
          <cell r="G1148" t="str">
            <v>COPA FIX</v>
          </cell>
          <cell r="H1148" t="str">
            <v>MEM series</v>
          </cell>
          <cell r="I1148" t="str">
            <v>20A DP SW NEON SS</v>
          </cell>
        </row>
        <row r="1149">
          <cell r="C1149" t="str">
            <v>B401SS</v>
          </cell>
          <cell r="D1149">
            <v>6</v>
          </cell>
          <cell r="E1149">
            <v>1200</v>
          </cell>
          <cell r="F1149" t="str">
            <v>20A switches</v>
          </cell>
          <cell r="G1149" t="str">
            <v>COPA FIX</v>
          </cell>
          <cell r="H1149" t="str">
            <v>MEM series</v>
          </cell>
          <cell r="I1149" t="str">
            <v>20A DP SW SS</v>
          </cell>
        </row>
        <row r="1150">
          <cell r="C1150" t="str">
            <v>B403NSS</v>
          </cell>
          <cell r="D1150">
            <v>6</v>
          </cell>
          <cell r="E1150">
            <v>1200</v>
          </cell>
          <cell r="F1150" t="str">
            <v>20A switches</v>
          </cell>
          <cell r="G1150" t="str">
            <v>COPA FIX</v>
          </cell>
          <cell r="H1150" t="str">
            <v>MEM series</v>
          </cell>
          <cell r="I1150" t="str">
            <v>20A DP SW N WATER HEATER</v>
          </cell>
        </row>
        <row r="1151">
          <cell r="C1151" t="str">
            <v>B404NSS</v>
          </cell>
          <cell r="D1151">
            <v>6</v>
          </cell>
          <cell r="E1151">
            <v>1200</v>
          </cell>
          <cell r="F1151" t="str">
            <v>20A switches</v>
          </cell>
          <cell r="G1151" t="str">
            <v>COPA FIX</v>
          </cell>
          <cell r="H1151" t="str">
            <v>MEM series</v>
          </cell>
          <cell r="I1151" t="str">
            <v>20A DP SW NEON AIR CONDITIONER</v>
          </cell>
        </row>
        <row r="1152">
          <cell r="C1152" t="str">
            <v>B421NSS</v>
          </cell>
          <cell r="D1152">
            <v>6</v>
          </cell>
          <cell r="E1152">
            <v>1300</v>
          </cell>
          <cell r="F1152" t="str">
            <v>45A / 50A switches</v>
          </cell>
          <cell r="G1152" t="str">
            <v>COPA FIX</v>
          </cell>
          <cell r="H1152" t="str">
            <v>MEM series</v>
          </cell>
          <cell r="I1152" t="str">
            <v>50A DP SWITCH NEON SS</v>
          </cell>
        </row>
        <row r="1153">
          <cell r="C1153" t="str">
            <v>B422NSS</v>
          </cell>
          <cell r="D1153">
            <v>6</v>
          </cell>
          <cell r="E1153">
            <v>1300</v>
          </cell>
          <cell r="F1153" t="str">
            <v>45A / 50A switches</v>
          </cell>
          <cell r="G1153" t="str">
            <v>COPA FIX</v>
          </cell>
          <cell r="H1153" t="str">
            <v>MEM series</v>
          </cell>
          <cell r="I1153" t="str">
            <v>50A DP SWITCH NEON SS</v>
          </cell>
        </row>
        <row r="1154">
          <cell r="C1154" t="str">
            <v>B425NSS</v>
          </cell>
          <cell r="D1154">
            <v>6</v>
          </cell>
          <cell r="E1154">
            <v>1300</v>
          </cell>
          <cell r="F1154" t="str">
            <v>45A / 50A switches</v>
          </cell>
          <cell r="G1154" t="str">
            <v>COPA FIX</v>
          </cell>
          <cell r="H1154" t="str">
            <v>MEM series</v>
          </cell>
          <cell r="I1154" t="str">
            <v>45A DP CCU NEON SS</v>
          </cell>
        </row>
        <row r="1155">
          <cell r="C1155" t="str">
            <v>B426NSS</v>
          </cell>
          <cell r="D1155">
            <v>6</v>
          </cell>
          <cell r="E1155">
            <v>1300</v>
          </cell>
          <cell r="F1155" t="str">
            <v>45A / 50A switches</v>
          </cell>
          <cell r="G1155" t="str">
            <v>COPA FIX</v>
          </cell>
          <cell r="H1155" t="str">
            <v>MEM series</v>
          </cell>
          <cell r="I1155" t="str">
            <v>50A DP SW NEON CKR SS</v>
          </cell>
        </row>
        <row r="1156">
          <cell r="C1156" t="str">
            <v>B391SS</v>
          </cell>
          <cell r="D1156">
            <v>6</v>
          </cell>
          <cell r="E1156">
            <v>1400</v>
          </cell>
          <cell r="F1156" t="str">
            <v>Cable outlets F2046 / F3205 / Blank Pl;ates</v>
          </cell>
          <cell r="G1156" t="str">
            <v>COPA FIX</v>
          </cell>
          <cell r="H1156" t="str">
            <v>MEM series</v>
          </cell>
          <cell r="I1156" t="str">
            <v>1G BLANK PLATE SS</v>
          </cell>
        </row>
        <row r="1157">
          <cell r="C1157" t="str">
            <v>B392SS</v>
          </cell>
          <cell r="D1157">
            <v>6</v>
          </cell>
          <cell r="E1157">
            <v>1400</v>
          </cell>
          <cell r="F1157" t="str">
            <v>Cable outlets F2046 / F3205 / Blank Pl;ates</v>
          </cell>
          <cell r="G1157" t="str">
            <v>COPA FIX</v>
          </cell>
          <cell r="H1157" t="str">
            <v>MEM series</v>
          </cell>
          <cell r="I1157" t="str">
            <v>2G BLANK PLATE SS</v>
          </cell>
        </row>
        <row r="1158">
          <cell r="C1158" t="str">
            <v>B351SS</v>
          </cell>
          <cell r="D1158">
            <v>6</v>
          </cell>
          <cell r="E1158">
            <v>1500</v>
          </cell>
          <cell r="F1158" t="str">
            <v>Communication outlets</v>
          </cell>
          <cell r="G1158" t="str">
            <v>COPA FIX</v>
          </cell>
          <cell r="H1158" t="str">
            <v>MEM series</v>
          </cell>
          <cell r="I1158" t="str">
            <v>1G TV CO-AX OUTLET SS</v>
          </cell>
        </row>
        <row r="1159">
          <cell r="C1159" t="str">
            <v>B354SS</v>
          </cell>
          <cell r="D1159">
            <v>6</v>
          </cell>
          <cell r="E1159">
            <v>1500</v>
          </cell>
          <cell r="F1159" t="str">
            <v>Communication outlets</v>
          </cell>
          <cell r="G1159" t="str">
            <v>COPA FIX</v>
          </cell>
          <cell r="H1159" t="str">
            <v>MEM series</v>
          </cell>
          <cell r="I1159" t="str">
            <v>2G TV FM DIPLX CO-AX SS</v>
          </cell>
        </row>
        <row r="1160">
          <cell r="C1160" t="str">
            <v>B355SS</v>
          </cell>
          <cell r="D1160">
            <v>6</v>
          </cell>
          <cell r="E1160">
            <v>1500</v>
          </cell>
          <cell r="F1160" t="str">
            <v>Communication outlets</v>
          </cell>
          <cell r="G1160" t="str">
            <v>COPA FIX</v>
          </cell>
          <cell r="H1160" t="str">
            <v>MEM series</v>
          </cell>
          <cell r="I1160" t="str">
            <v>1G SAT OUTLET  SS</v>
          </cell>
        </row>
        <row r="1161">
          <cell r="C1161" t="str">
            <v>B356SS</v>
          </cell>
          <cell r="D1161">
            <v>6</v>
          </cell>
          <cell r="E1161">
            <v>1500</v>
          </cell>
          <cell r="F1161" t="str">
            <v>Communication outlets</v>
          </cell>
          <cell r="G1161" t="str">
            <v>COPA FIX</v>
          </cell>
          <cell r="H1161" t="str">
            <v>MEM series</v>
          </cell>
          <cell r="I1161" t="str">
            <v>2G TV-SAT CO-AX SS</v>
          </cell>
        </row>
        <row r="1162">
          <cell r="C1162" t="str">
            <v>B360SS</v>
          </cell>
          <cell r="D1162">
            <v>6</v>
          </cell>
          <cell r="E1162">
            <v>1500</v>
          </cell>
          <cell r="F1162" t="str">
            <v>Communication outlets</v>
          </cell>
          <cell r="G1162" t="str">
            <v>COPA FIX</v>
          </cell>
          <cell r="H1162" t="str">
            <v>MEM series</v>
          </cell>
          <cell r="I1162" t="str">
            <v>1G TEL OUT MASTER SS</v>
          </cell>
        </row>
        <row r="1163">
          <cell r="C1163" t="str">
            <v>B361SS</v>
          </cell>
          <cell r="D1163">
            <v>6</v>
          </cell>
          <cell r="E1163">
            <v>1500</v>
          </cell>
          <cell r="F1163" t="str">
            <v>Communication outlets</v>
          </cell>
          <cell r="G1163" t="str">
            <v>COPA FIX</v>
          </cell>
          <cell r="H1163" t="str">
            <v>MEM series</v>
          </cell>
          <cell r="I1163" t="str">
            <v>1G TEL SECONDARY SS</v>
          </cell>
        </row>
        <row r="1164">
          <cell r="C1164" t="str">
            <v>B901HP</v>
          </cell>
          <cell r="D1164">
            <v>6</v>
          </cell>
          <cell r="E1164">
            <v>1600</v>
          </cell>
          <cell r="F1164" t="str">
            <v>Premera modular plates / Grids</v>
          </cell>
          <cell r="G1164" t="str">
            <v>COPA FIX</v>
          </cell>
          <cell r="H1164" t="str">
            <v>MEM series</v>
          </cell>
          <cell r="I1164" t="str">
            <v>1 MODULE COVER PLATE</v>
          </cell>
        </row>
        <row r="1165">
          <cell r="C1165" t="str">
            <v>B901SS</v>
          </cell>
          <cell r="D1165">
            <v>6</v>
          </cell>
          <cell r="E1165">
            <v>1600</v>
          </cell>
          <cell r="F1165" t="str">
            <v>Premera modular plates / Grids</v>
          </cell>
          <cell r="G1165" t="str">
            <v>COPA FIX</v>
          </cell>
          <cell r="H1165" t="str">
            <v>MEM series</v>
          </cell>
          <cell r="I1165" t="str">
            <v>1 MODULE COVER PLATE</v>
          </cell>
        </row>
        <row r="1166">
          <cell r="C1166" t="str">
            <v>B902HP</v>
          </cell>
          <cell r="D1166">
            <v>6</v>
          </cell>
          <cell r="E1166">
            <v>1600</v>
          </cell>
          <cell r="F1166" t="str">
            <v>Premera modular plates / Grids</v>
          </cell>
          <cell r="G1166" t="str">
            <v>COPA FIX</v>
          </cell>
          <cell r="H1166" t="str">
            <v>MEM series</v>
          </cell>
          <cell r="I1166" t="str">
            <v>2 MODULE COVER PLATE</v>
          </cell>
        </row>
        <row r="1167">
          <cell r="C1167" t="str">
            <v>B902SS</v>
          </cell>
          <cell r="D1167">
            <v>6</v>
          </cell>
          <cell r="E1167">
            <v>1600</v>
          </cell>
          <cell r="F1167" t="str">
            <v>Premera modular plates / Grids</v>
          </cell>
          <cell r="G1167" t="str">
            <v>COPA FIX</v>
          </cell>
          <cell r="H1167" t="str">
            <v>MEM series</v>
          </cell>
          <cell r="I1167" t="str">
            <v>2 MODULE COVER PLATE</v>
          </cell>
        </row>
        <row r="1168">
          <cell r="C1168" t="str">
            <v>B903HP</v>
          </cell>
          <cell r="D1168">
            <v>6</v>
          </cell>
          <cell r="E1168">
            <v>1600</v>
          </cell>
          <cell r="F1168" t="str">
            <v>Premera modular plates / Grids</v>
          </cell>
          <cell r="G1168" t="str">
            <v>COPA FIX</v>
          </cell>
          <cell r="H1168" t="str">
            <v>MEM series</v>
          </cell>
          <cell r="I1168" t="str">
            <v>3 MODULE COVER PLATE</v>
          </cell>
        </row>
        <row r="1169">
          <cell r="C1169" t="str">
            <v>B903SS</v>
          </cell>
          <cell r="D1169">
            <v>6</v>
          </cell>
          <cell r="E1169">
            <v>1600</v>
          </cell>
          <cell r="F1169" t="str">
            <v>Premera modular plates / Grids</v>
          </cell>
          <cell r="G1169" t="str">
            <v>COPA FIX</v>
          </cell>
          <cell r="H1169" t="str">
            <v>MEM series</v>
          </cell>
          <cell r="I1169" t="str">
            <v>3 MODULE COVER PLATE</v>
          </cell>
        </row>
        <row r="1170">
          <cell r="C1170" t="str">
            <v>B904HP</v>
          </cell>
          <cell r="D1170">
            <v>6</v>
          </cell>
          <cell r="E1170">
            <v>1600</v>
          </cell>
          <cell r="F1170" t="str">
            <v>Premera modular plates / Grids</v>
          </cell>
          <cell r="G1170" t="str">
            <v>COPA FIX</v>
          </cell>
          <cell r="H1170" t="str">
            <v>MEM series</v>
          </cell>
          <cell r="I1170" t="str">
            <v>4 MODULE COVER PLATE</v>
          </cell>
        </row>
        <row r="1171">
          <cell r="C1171" t="str">
            <v>B904SS</v>
          </cell>
          <cell r="D1171">
            <v>6</v>
          </cell>
          <cell r="E1171">
            <v>1600</v>
          </cell>
          <cell r="F1171" t="str">
            <v>Premera modular plates / Grids</v>
          </cell>
          <cell r="G1171" t="str">
            <v>COPA FIX</v>
          </cell>
          <cell r="H1171" t="str">
            <v>MEM series</v>
          </cell>
          <cell r="I1171" t="str">
            <v>4 MODULE COVER PLATE</v>
          </cell>
        </row>
        <row r="1172">
          <cell r="C1172" t="str">
            <v>B906HP</v>
          </cell>
          <cell r="D1172">
            <v>6</v>
          </cell>
          <cell r="E1172">
            <v>1600</v>
          </cell>
          <cell r="F1172" t="str">
            <v>Premera modular plates / Grids</v>
          </cell>
          <cell r="G1172" t="str">
            <v>COPA FIX</v>
          </cell>
          <cell r="H1172" t="str">
            <v>MEM series</v>
          </cell>
          <cell r="I1172" t="str">
            <v>6 MODULE COVER PLATE (2 BANKS)</v>
          </cell>
        </row>
        <row r="1173">
          <cell r="C1173" t="str">
            <v>B906SS</v>
          </cell>
          <cell r="D1173">
            <v>6</v>
          </cell>
          <cell r="E1173">
            <v>1600</v>
          </cell>
          <cell r="F1173" t="str">
            <v>Premera modular plates / Grids</v>
          </cell>
          <cell r="G1173" t="str">
            <v>COPA FIX</v>
          </cell>
          <cell r="H1173" t="str">
            <v>MEM series</v>
          </cell>
          <cell r="I1173" t="str">
            <v>6 MODULE COVER PLATE (2 BANKS)</v>
          </cell>
        </row>
        <row r="1174">
          <cell r="C1174" t="str">
            <v>B908HP</v>
          </cell>
          <cell r="D1174">
            <v>6</v>
          </cell>
          <cell r="E1174">
            <v>1600</v>
          </cell>
          <cell r="F1174" t="str">
            <v>Premera modular plates / Grids</v>
          </cell>
          <cell r="G1174" t="str">
            <v>COPA FIX</v>
          </cell>
          <cell r="H1174" t="str">
            <v>MEM series</v>
          </cell>
          <cell r="I1174" t="str">
            <v>8 MODULE COVER PLATE (2 BANKS)</v>
          </cell>
        </row>
        <row r="1175">
          <cell r="C1175" t="str">
            <v>B908SS</v>
          </cell>
          <cell r="D1175">
            <v>6</v>
          </cell>
          <cell r="E1175">
            <v>1600</v>
          </cell>
          <cell r="F1175" t="str">
            <v>Premera modular plates / Grids</v>
          </cell>
          <cell r="G1175" t="str">
            <v>COPA FIX</v>
          </cell>
          <cell r="H1175" t="str">
            <v>MEM series</v>
          </cell>
          <cell r="I1175" t="str">
            <v>8 MODULE COVER PLATE (2 BANKS)</v>
          </cell>
        </row>
        <row r="1176">
          <cell r="C1176" t="str">
            <v>B912SS</v>
          </cell>
          <cell r="D1176">
            <v>6</v>
          </cell>
          <cell r="E1176">
            <v>1600</v>
          </cell>
          <cell r="F1176" t="str">
            <v>Premera modular plates / Grids</v>
          </cell>
          <cell r="G1176" t="str">
            <v>COPA FIX</v>
          </cell>
          <cell r="H1176" t="str">
            <v>MEM series</v>
          </cell>
          <cell r="I1176" t="str">
            <v>12 MODULE COVER PLATE (3 BANKS)</v>
          </cell>
        </row>
        <row r="1177">
          <cell r="C1177" t="str">
            <v>B918SS</v>
          </cell>
          <cell r="D1177">
            <v>6</v>
          </cell>
          <cell r="E1177">
            <v>1600</v>
          </cell>
          <cell r="F1177" t="str">
            <v>Premera modular plates / Grids</v>
          </cell>
          <cell r="G1177" t="str">
            <v>COPA FIX</v>
          </cell>
          <cell r="H1177" t="str">
            <v>MEM series</v>
          </cell>
          <cell r="I1177" t="str">
            <v>18 MODULE COVER PLATE (3 BANKS)</v>
          </cell>
        </row>
        <row r="1178">
          <cell r="C1178" t="str">
            <v>B924SS</v>
          </cell>
          <cell r="D1178">
            <v>6</v>
          </cell>
          <cell r="E1178">
            <v>1600</v>
          </cell>
          <cell r="F1178" t="str">
            <v>Premera modular plates / Grids</v>
          </cell>
          <cell r="G1178" t="str">
            <v>COPA FIX</v>
          </cell>
          <cell r="H1178" t="str">
            <v>MEM series</v>
          </cell>
          <cell r="I1178" t="str">
            <v>24 MODULE COVER PLATE (4 BANKS)</v>
          </cell>
        </row>
        <row r="1179">
          <cell r="C1179" t="str">
            <v>X017MG</v>
          </cell>
          <cell r="D1179">
            <v>7</v>
          </cell>
          <cell r="E1179">
            <v>100</v>
          </cell>
          <cell r="F1179" t="str">
            <v>10A switches</v>
          </cell>
          <cell r="G1179" t="str">
            <v>XTRA Surface Range</v>
          </cell>
          <cell r="H1179" t="str">
            <v>MEM series</v>
          </cell>
          <cell r="I1179" t="str">
            <v xml:space="preserve"> 10A INT SW SM</v>
          </cell>
        </row>
        <row r="1180">
          <cell r="C1180" t="str">
            <v>X021MG</v>
          </cell>
          <cell r="D1180">
            <v>7</v>
          </cell>
          <cell r="E1180">
            <v>100</v>
          </cell>
          <cell r="F1180" t="str">
            <v>10A switches</v>
          </cell>
          <cell r="G1180" t="str">
            <v>XTRA Surface Range</v>
          </cell>
          <cell r="H1180" t="str">
            <v>MEM series</v>
          </cell>
          <cell r="I1180" t="str">
            <v>10A 1G 2W SW SM</v>
          </cell>
        </row>
        <row r="1181">
          <cell r="C1181" t="str">
            <v>X022MG</v>
          </cell>
          <cell r="D1181">
            <v>7</v>
          </cell>
          <cell r="E1181">
            <v>100</v>
          </cell>
          <cell r="F1181" t="str">
            <v>10A switches</v>
          </cell>
          <cell r="G1181" t="str">
            <v>XTRA Surface Range</v>
          </cell>
          <cell r="H1181" t="str">
            <v>MEM series</v>
          </cell>
          <cell r="I1181" t="str">
            <v xml:space="preserve"> 10A 2G 2W SW SM</v>
          </cell>
        </row>
        <row r="1182">
          <cell r="C1182" t="str">
            <v>X023MG</v>
          </cell>
          <cell r="D1182">
            <v>7</v>
          </cell>
          <cell r="E1182">
            <v>100</v>
          </cell>
          <cell r="F1182" t="str">
            <v>10A switches</v>
          </cell>
          <cell r="G1182" t="str">
            <v>XTRA Surface Range</v>
          </cell>
          <cell r="H1182" t="str">
            <v>MEM series</v>
          </cell>
          <cell r="I1182" t="str">
            <v xml:space="preserve"> 10A 3G 2W SW SM</v>
          </cell>
        </row>
        <row r="1183">
          <cell r="C1183" t="str">
            <v>X041MG</v>
          </cell>
          <cell r="D1183">
            <v>7</v>
          </cell>
          <cell r="E1183">
            <v>100</v>
          </cell>
          <cell r="F1183" t="str">
            <v>10A switches</v>
          </cell>
          <cell r="G1183" t="str">
            <v>XTRA Surface Range</v>
          </cell>
          <cell r="H1183" t="str">
            <v>MEM series</v>
          </cell>
          <cell r="I1183" t="str">
            <v xml:space="preserve"> 10A 1G 2W BRDSW SM</v>
          </cell>
        </row>
        <row r="1184">
          <cell r="C1184" t="str">
            <v>X048MG</v>
          </cell>
          <cell r="D1184">
            <v>7</v>
          </cell>
          <cell r="E1184">
            <v>200</v>
          </cell>
          <cell r="F1184" t="str">
            <v>Fan isoloator</v>
          </cell>
          <cell r="G1184" t="str">
            <v>XTRA Surface Range</v>
          </cell>
          <cell r="H1184" t="str">
            <v>MEM series</v>
          </cell>
          <cell r="I1184" t="str">
            <v>10A 3 POLE FAN ISOLATOR</v>
          </cell>
        </row>
        <row r="1185">
          <cell r="C1185" t="str">
            <v>X049MG</v>
          </cell>
          <cell r="D1185">
            <v>7</v>
          </cell>
          <cell r="E1185">
            <v>200</v>
          </cell>
          <cell r="F1185" t="str">
            <v>Fan isoloator</v>
          </cell>
          <cell r="G1185" t="str">
            <v>XTRA Surface Range</v>
          </cell>
          <cell r="H1185" t="str">
            <v>MEM series</v>
          </cell>
          <cell r="I1185" t="str">
            <v xml:space="preserve"> 10A 3POLE BRDISO SM</v>
          </cell>
        </row>
        <row r="1186">
          <cell r="C1186" t="str">
            <v>X621MG</v>
          </cell>
          <cell r="D1186">
            <v>7</v>
          </cell>
          <cell r="E1186">
            <v>500</v>
          </cell>
          <cell r="F1186" t="str">
            <v>13a Switched sockets</v>
          </cell>
          <cell r="G1186" t="str">
            <v>XTRA Surface Range</v>
          </cell>
          <cell r="H1186" t="str">
            <v>MEM series</v>
          </cell>
          <cell r="I1186" t="str">
            <v>13A 1G DP SW SKT 2 E TERM MG</v>
          </cell>
        </row>
        <row r="1187">
          <cell r="C1187" t="str">
            <v>X621NMG</v>
          </cell>
          <cell r="D1187">
            <v>7</v>
          </cell>
          <cell r="E1187">
            <v>500</v>
          </cell>
          <cell r="F1187" t="str">
            <v>13a Switched sockets</v>
          </cell>
          <cell r="G1187" t="str">
            <v>XTRA Surface Range</v>
          </cell>
          <cell r="H1187" t="str">
            <v>MEM series</v>
          </cell>
          <cell r="I1187" t="str">
            <v>13A 1G DP SW SKT 2 E TERM NEON</v>
          </cell>
        </row>
        <row r="1188">
          <cell r="C1188" t="str">
            <v>X621RRMG</v>
          </cell>
          <cell r="D1188">
            <v>7</v>
          </cell>
          <cell r="E1188">
            <v>500</v>
          </cell>
          <cell r="F1188" t="str">
            <v>13a Switched sockets</v>
          </cell>
          <cell r="G1188" t="str">
            <v>XTRA Surface Range</v>
          </cell>
          <cell r="H1188" t="str">
            <v>MEM series</v>
          </cell>
          <cell r="I1188" t="str">
            <v>13A 1G DP SW SKT 2 E TERM RED</v>
          </cell>
        </row>
        <row r="1189">
          <cell r="C1189" t="str">
            <v>X622MG</v>
          </cell>
          <cell r="D1189">
            <v>7</v>
          </cell>
          <cell r="E1189">
            <v>500</v>
          </cell>
          <cell r="F1189" t="str">
            <v>13a Switched sockets</v>
          </cell>
          <cell r="G1189" t="str">
            <v>XTRA Surface Range</v>
          </cell>
          <cell r="H1189" t="str">
            <v>MEM series</v>
          </cell>
          <cell r="I1189" t="str">
            <v>13A 2G DP SW SKT 2 E TERM MG</v>
          </cell>
        </row>
        <row r="1190">
          <cell r="C1190" t="str">
            <v>X622NMG</v>
          </cell>
          <cell r="D1190">
            <v>7</v>
          </cell>
          <cell r="E1190">
            <v>500</v>
          </cell>
          <cell r="F1190" t="str">
            <v>13a Switched sockets</v>
          </cell>
          <cell r="G1190" t="str">
            <v>XTRA Surface Range</v>
          </cell>
          <cell r="H1190" t="str">
            <v>MEM series</v>
          </cell>
          <cell r="I1190" t="str">
            <v>13A 2G DP SW SKT 2 E TERM NEON</v>
          </cell>
        </row>
        <row r="1191">
          <cell r="C1191" t="str">
            <v>X622RRMG</v>
          </cell>
          <cell r="D1191">
            <v>7</v>
          </cell>
          <cell r="E1191">
            <v>500</v>
          </cell>
          <cell r="F1191" t="str">
            <v>13a Switched sockets</v>
          </cell>
          <cell r="G1191" t="str">
            <v>XTRA Surface Range</v>
          </cell>
          <cell r="H1191" t="str">
            <v>MEM series</v>
          </cell>
          <cell r="I1191" t="str">
            <v>13A 2G DP SW SKT 2 E TERM MG R</v>
          </cell>
        </row>
        <row r="1192">
          <cell r="C1192" t="str">
            <v>X632MG</v>
          </cell>
          <cell r="D1192">
            <v>7</v>
          </cell>
          <cell r="E1192">
            <v>500</v>
          </cell>
          <cell r="F1192" t="str">
            <v>13a Switched sockets</v>
          </cell>
          <cell r="G1192" t="str">
            <v>XTRA Surface Range</v>
          </cell>
          <cell r="H1192" t="str">
            <v>MEM series</v>
          </cell>
          <cell r="I1192" t="str">
            <v>13A 2G DP SW SKT 2 E TERM OB R</v>
          </cell>
        </row>
        <row r="1193">
          <cell r="C1193" t="str">
            <v>X632RRMG</v>
          </cell>
          <cell r="D1193">
            <v>7</v>
          </cell>
          <cell r="E1193">
            <v>500</v>
          </cell>
          <cell r="F1193" t="str">
            <v>13a Switched sockets</v>
          </cell>
          <cell r="G1193" t="str">
            <v>XTRA Surface Range</v>
          </cell>
          <cell r="H1193" t="str">
            <v>MEM series</v>
          </cell>
          <cell r="I1193" t="str">
            <v>13A 2G DP SW SKT 2 E TERM OB R</v>
          </cell>
        </row>
        <row r="1194">
          <cell r="C1194" t="str">
            <v>X651MG</v>
          </cell>
          <cell r="D1194">
            <v>7</v>
          </cell>
          <cell r="E1194">
            <v>500</v>
          </cell>
          <cell r="F1194" t="str">
            <v>13a Switched sockets</v>
          </cell>
          <cell r="G1194" t="str">
            <v>XTRA Surface Range</v>
          </cell>
          <cell r="H1194" t="str">
            <v>MEM series</v>
          </cell>
          <cell r="I1194" t="str">
            <v>13A 1G DP SW SKT 2 E TERM N-ST</v>
          </cell>
        </row>
        <row r="1195">
          <cell r="C1195" t="str">
            <v>X651NMG</v>
          </cell>
          <cell r="D1195">
            <v>7</v>
          </cell>
          <cell r="E1195">
            <v>500</v>
          </cell>
          <cell r="F1195" t="str">
            <v>13a Switched sockets</v>
          </cell>
          <cell r="G1195" t="str">
            <v>XTRA Surface Range</v>
          </cell>
          <cell r="H1195" t="str">
            <v>MEM series</v>
          </cell>
          <cell r="I1195" t="str">
            <v>13A 1G DP SW SKT 2 E TERM N-ST</v>
          </cell>
        </row>
        <row r="1196">
          <cell r="C1196" t="str">
            <v>X652MG</v>
          </cell>
          <cell r="D1196">
            <v>7</v>
          </cell>
          <cell r="E1196">
            <v>500</v>
          </cell>
          <cell r="F1196" t="str">
            <v>13a Switched sockets</v>
          </cell>
          <cell r="G1196" t="str">
            <v>XTRA Surface Range</v>
          </cell>
          <cell r="H1196" t="str">
            <v>MEM series</v>
          </cell>
          <cell r="I1196" t="str">
            <v>13A 2G DP SW SKT 2 E TERM OB R</v>
          </cell>
        </row>
        <row r="1197">
          <cell r="C1197" t="str">
            <v>X652NMG</v>
          </cell>
          <cell r="D1197">
            <v>7</v>
          </cell>
          <cell r="E1197">
            <v>500</v>
          </cell>
          <cell r="F1197" t="str">
            <v>13a Switched sockets</v>
          </cell>
          <cell r="G1197" t="str">
            <v>XTRA Surface Range</v>
          </cell>
          <cell r="H1197" t="str">
            <v>MEM series</v>
          </cell>
          <cell r="I1197" t="str">
            <v>13A 2G DP SW SKT 2 E TERM OB R</v>
          </cell>
        </row>
        <row r="1198">
          <cell r="C1198" t="str">
            <v>X105MG</v>
          </cell>
          <cell r="D1198">
            <v>7</v>
          </cell>
          <cell r="E1198">
            <v>600</v>
          </cell>
          <cell r="F1198" t="str">
            <v>13a RCD socket / Loung plates</v>
          </cell>
          <cell r="G1198" t="str">
            <v>XTRA Surface Range</v>
          </cell>
          <cell r="H1198" t="str">
            <v>MEM series</v>
          </cell>
          <cell r="I1198" t="str">
            <v>1G DP LOCKABLE SKT COMM KEY SM</v>
          </cell>
        </row>
        <row r="1199">
          <cell r="C1199" t="str">
            <v>X685MG</v>
          </cell>
          <cell r="D1199">
            <v>7</v>
          </cell>
          <cell r="E1199">
            <v>600</v>
          </cell>
          <cell r="F1199" t="str">
            <v>13a RCD socket / Loung plates</v>
          </cell>
          <cell r="G1199" t="str">
            <v>XTRA Surface Range</v>
          </cell>
          <cell r="H1199" t="str">
            <v>MEM series</v>
          </cell>
          <cell r="I1199" t="str">
            <v>13A 2G DP RCD SW SKT 10mA P</v>
          </cell>
        </row>
        <row r="1200">
          <cell r="C1200" t="str">
            <v>X686MG</v>
          </cell>
          <cell r="D1200">
            <v>7</v>
          </cell>
          <cell r="E1200">
            <v>600</v>
          </cell>
          <cell r="F1200" t="str">
            <v>13a RCD socket / Loung plates</v>
          </cell>
          <cell r="G1200" t="str">
            <v>XTRA Surface Range</v>
          </cell>
          <cell r="H1200" t="str">
            <v>MEM series</v>
          </cell>
          <cell r="I1200" t="str">
            <v>13A 2G DP RCD SW SKT 30mA P</v>
          </cell>
        </row>
        <row r="1201">
          <cell r="C1201" t="str">
            <v>X111MG</v>
          </cell>
          <cell r="D1201">
            <v>7</v>
          </cell>
          <cell r="E1201">
            <v>700</v>
          </cell>
          <cell r="F1201" t="str">
            <v>Unswitched sockets</v>
          </cell>
          <cell r="G1201" t="str">
            <v>XTRA Surface Range</v>
          </cell>
          <cell r="H1201" t="str">
            <v>MEM series</v>
          </cell>
          <cell r="I1201" t="str">
            <v xml:space="preserve"> 13A 1G SKT SM</v>
          </cell>
        </row>
        <row r="1202">
          <cell r="C1202" t="str">
            <v>X112MG</v>
          </cell>
          <cell r="D1202">
            <v>7</v>
          </cell>
          <cell r="E1202">
            <v>700</v>
          </cell>
          <cell r="F1202" t="str">
            <v>Unswitched sockets</v>
          </cell>
          <cell r="G1202" t="str">
            <v>XTRA Surface Range</v>
          </cell>
          <cell r="H1202" t="str">
            <v>MEM series</v>
          </cell>
          <cell r="I1202" t="str">
            <v xml:space="preserve"> 13A 2G SKT SM</v>
          </cell>
        </row>
        <row r="1203">
          <cell r="C1203" t="str">
            <v>X305MG</v>
          </cell>
          <cell r="D1203">
            <v>7</v>
          </cell>
          <cell r="E1203">
            <v>900</v>
          </cell>
          <cell r="F1203" t="str">
            <v>5Amp sockets</v>
          </cell>
          <cell r="G1203" t="str">
            <v>XTRA Surface Range</v>
          </cell>
          <cell r="H1203" t="str">
            <v>MEM series</v>
          </cell>
          <cell r="I1203" t="str">
            <v xml:space="preserve"> 5A 1G SKT SM</v>
          </cell>
        </row>
        <row r="1204">
          <cell r="C1204" t="str">
            <v>X415MG</v>
          </cell>
          <cell r="D1204">
            <v>7</v>
          </cell>
          <cell r="E1204">
            <v>900</v>
          </cell>
          <cell r="F1204" t="str">
            <v>15Amp sockets</v>
          </cell>
          <cell r="G1204" t="str">
            <v>XTRA Surface Range</v>
          </cell>
          <cell r="H1204" t="str">
            <v>MEM series</v>
          </cell>
          <cell r="I1204" t="str">
            <v>15A 1G SP SW SKT SM</v>
          </cell>
        </row>
        <row r="1205">
          <cell r="C1205" t="str">
            <v>X220MG</v>
          </cell>
          <cell r="D1205">
            <v>7</v>
          </cell>
          <cell r="E1205">
            <v>1100</v>
          </cell>
          <cell r="F1205" t="str">
            <v xml:space="preserve">13A connection units / </v>
          </cell>
          <cell r="G1205" t="str">
            <v>XTRA Surface Range</v>
          </cell>
          <cell r="H1205" t="str">
            <v>MEM series</v>
          </cell>
          <cell r="I1205" t="str">
            <v>13A CON UNIT SM</v>
          </cell>
        </row>
        <row r="1206">
          <cell r="C1206" t="str">
            <v>X220NMG</v>
          </cell>
          <cell r="D1206">
            <v>7</v>
          </cell>
          <cell r="E1206">
            <v>1100</v>
          </cell>
          <cell r="F1206" t="str">
            <v xml:space="preserve">13A connection units / </v>
          </cell>
          <cell r="G1206" t="str">
            <v>XTRA Surface Range</v>
          </cell>
          <cell r="H1206" t="str">
            <v>MEM series</v>
          </cell>
          <cell r="I1206" t="str">
            <v>13A CON UNIT NEON</v>
          </cell>
        </row>
        <row r="1207">
          <cell r="C1207" t="str">
            <v>X220RRMG</v>
          </cell>
          <cell r="D1207">
            <v>7</v>
          </cell>
          <cell r="E1207">
            <v>1100</v>
          </cell>
          <cell r="F1207" t="str">
            <v xml:space="preserve">13A connection units / </v>
          </cell>
          <cell r="G1207" t="str">
            <v>XTRA Surface Range</v>
          </cell>
          <cell r="H1207" t="str">
            <v>MEM series</v>
          </cell>
          <cell r="I1207" t="str">
            <v>13A CONN UNIT RR SM</v>
          </cell>
        </row>
        <row r="1208">
          <cell r="C1208" t="str">
            <v>X221MG</v>
          </cell>
          <cell r="D1208">
            <v>7</v>
          </cell>
          <cell r="E1208">
            <v>1100</v>
          </cell>
          <cell r="F1208" t="str">
            <v xml:space="preserve">13A connection units / </v>
          </cell>
          <cell r="G1208" t="str">
            <v>XTRA Surface Range</v>
          </cell>
          <cell r="H1208" t="str">
            <v>MEM series</v>
          </cell>
          <cell r="I1208" t="str">
            <v>13A SW CON UNIT SM</v>
          </cell>
        </row>
        <row r="1209">
          <cell r="C1209" t="str">
            <v>X221NMG</v>
          </cell>
          <cell r="D1209">
            <v>7</v>
          </cell>
          <cell r="E1209">
            <v>1100</v>
          </cell>
          <cell r="F1209" t="str">
            <v xml:space="preserve">13A connection units / </v>
          </cell>
          <cell r="G1209" t="str">
            <v>XTRA Surface Range</v>
          </cell>
          <cell r="H1209" t="str">
            <v>MEM series</v>
          </cell>
          <cell r="I1209" t="str">
            <v>13A SW CONN UNIT  NEON SM</v>
          </cell>
        </row>
        <row r="1210">
          <cell r="C1210" t="str">
            <v>X221NRRMG</v>
          </cell>
          <cell r="D1210">
            <v>7</v>
          </cell>
          <cell r="E1210">
            <v>1100</v>
          </cell>
          <cell r="F1210" t="str">
            <v xml:space="preserve">13A connection units / </v>
          </cell>
          <cell r="G1210" t="str">
            <v>XTRA Surface Range</v>
          </cell>
          <cell r="H1210" t="str">
            <v>MEM series</v>
          </cell>
          <cell r="I1210" t="str">
            <v>13A SW CONN UNIT NEON RR</v>
          </cell>
        </row>
        <row r="1211">
          <cell r="C1211" t="str">
            <v>X221RRMG</v>
          </cell>
          <cell r="D1211">
            <v>7</v>
          </cell>
          <cell r="E1211">
            <v>1100</v>
          </cell>
          <cell r="F1211" t="str">
            <v xml:space="preserve">13A connection units / </v>
          </cell>
          <cell r="G1211" t="str">
            <v>XTRA Surface Range</v>
          </cell>
          <cell r="H1211" t="str">
            <v>MEM series</v>
          </cell>
          <cell r="I1211" t="str">
            <v>13A SW CON UNIT RR</v>
          </cell>
        </row>
        <row r="1212">
          <cell r="C1212" t="str">
            <v>X401MG</v>
          </cell>
          <cell r="D1212">
            <v>7</v>
          </cell>
          <cell r="E1212">
            <v>1200</v>
          </cell>
          <cell r="F1212" t="str">
            <v>20A switches</v>
          </cell>
          <cell r="G1212" t="str">
            <v>XTRA Surface Range</v>
          </cell>
          <cell r="H1212" t="str">
            <v>MEM series</v>
          </cell>
          <cell r="I1212" t="str">
            <v>20A SW SUR DP SM</v>
          </cell>
        </row>
        <row r="1213">
          <cell r="C1213" t="str">
            <v>X401NMG</v>
          </cell>
          <cell r="D1213">
            <v>7</v>
          </cell>
          <cell r="E1213">
            <v>1200</v>
          </cell>
          <cell r="F1213" t="str">
            <v>20A switches</v>
          </cell>
          <cell r="G1213" t="str">
            <v>XTRA Surface Range</v>
          </cell>
          <cell r="H1213" t="str">
            <v>MEM series</v>
          </cell>
          <cell r="I1213" t="str">
            <v>20A DP SW NEON SM</v>
          </cell>
        </row>
        <row r="1214">
          <cell r="C1214" t="str">
            <v>X421MG</v>
          </cell>
          <cell r="D1214">
            <v>7</v>
          </cell>
          <cell r="E1214">
            <v>1300</v>
          </cell>
          <cell r="F1214" t="str">
            <v>45A / 50A switches</v>
          </cell>
          <cell r="G1214" t="str">
            <v>XTRA Surface Range</v>
          </cell>
          <cell r="H1214" t="str">
            <v>MEM series</v>
          </cell>
          <cell r="I1214" t="str">
            <v>50A DP SWITCH SM</v>
          </cell>
        </row>
        <row r="1215">
          <cell r="C1215" t="str">
            <v>X421NMG</v>
          </cell>
          <cell r="D1215">
            <v>7</v>
          </cell>
          <cell r="E1215">
            <v>1300</v>
          </cell>
          <cell r="F1215" t="str">
            <v>45A / 50A switches</v>
          </cell>
          <cell r="G1215" t="str">
            <v>XTRA Surface Range</v>
          </cell>
          <cell r="H1215" t="str">
            <v>MEM series</v>
          </cell>
          <cell r="I1215" t="str">
            <v>50A DP SWITCH NEON SM</v>
          </cell>
        </row>
        <row r="1216">
          <cell r="C1216" t="str">
            <v>X391MG</v>
          </cell>
          <cell r="D1216">
            <v>7</v>
          </cell>
          <cell r="E1216">
            <v>1400</v>
          </cell>
          <cell r="F1216" t="str">
            <v>Cable outlets F2046 / F3205 / Blank Pl;ates</v>
          </cell>
          <cell r="G1216" t="str">
            <v>XTRA Surface Range</v>
          </cell>
          <cell r="H1216" t="str">
            <v>MEM series</v>
          </cell>
          <cell r="I1216" t="str">
            <v>1G BLANK PLATE SM</v>
          </cell>
        </row>
        <row r="1217">
          <cell r="C1217" t="str">
            <v>X392MG</v>
          </cell>
          <cell r="D1217">
            <v>7</v>
          </cell>
          <cell r="E1217">
            <v>1400</v>
          </cell>
          <cell r="F1217" t="str">
            <v>Cable outlets F2046 / F3205 / Blank Pl;ates</v>
          </cell>
          <cell r="G1217" t="str">
            <v>XTRA Surface Range</v>
          </cell>
          <cell r="H1217" t="str">
            <v>MEM series</v>
          </cell>
          <cell r="I1217" t="str">
            <v>2G BLANK PLATE SM</v>
          </cell>
        </row>
        <row r="1218">
          <cell r="C1218" t="str">
            <v>X360MG</v>
          </cell>
          <cell r="D1218">
            <v>7</v>
          </cell>
          <cell r="E1218">
            <v>1500</v>
          </cell>
          <cell r="F1218" t="str">
            <v>Communication outlets</v>
          </cell>
          <cell r="G1218" t="str">
            <v>XTRA Surface Range</v>
          </cell>
          <cell r="H1218" t="str">
            <v>MEM series</v>
          </cell>
          <cell r="I1218" t="str">
            <v>1G TEL SK MASTER SM</v>
          </cell>
        </row>
        <row r="1219">
          <cell r="C1219" t="str">
            <v>X361MG</v>
          </cell>
          <cell r="D1219">
            <v>7</v>
          </cell>
          <cell r="E1219">
            <v>1500</v>
          </cell>
          <cell r="F1219" t="str">
            <v>Communication outlets</v>
          </cell>
          <cell r="G1219" t="str">
            <v>XTRA Surface Range</v>
          </cell>
          <cell r="H1219" t="str">
            <v>MEM series</v>
          </cell>
          <cell r="I1219" t="str">
            <v>1G TEL SK SECONDARY</v>
          </cell>
        </row>
        <row r="1220">
          <cell r="C1220" t="str">
            <v>X901MG</v>
          </cell>
          <cell r="D1220">
            <v>7</v>
          </cell>
          <cell r="E1220">
            <v>1600</v>
          </cell>
          <cell r="F1220" t="str">
            <v>Premera modular plates / Grids</v>
          </cell>
          <cell r="G1220" t="str">
            <v>XTRA Surface Range</v>
          </cell>
          <cell r="H1220" t="str">
            <v>MEM series</v>
          </cell>
          <cell r="I1220" t="str">
            <v>1 MODULE INCLUDES FRAME</v>
          </cell>
        </row>
        <row r="1221">
          <cell r="C1221" t="str">
            <v>X902MG</v>
          </cell>
          <cell r="D1221">
            <v>7</v>
          </cell>
          <cell r="E1221">
            <v>1600</v>
          </cell>
          <cell r="F1221" t="str">
            <v>Premera modular plates / Grids</v>
          </cell>
          <cell r="G1221" t="str">
            <v>XTRA Surface Range</v>
          </cell>
          <cell r="H1221" t="str">
            <v>MEM series</v>
          </cell>
          <cell r="I1221" t="str">
            <v>2 MODULE INCLUDES FRAME</v>
          </cell>
        </row>
        <row r="1222">
          <cell r="C1222" t="str">
            <v>X903MG</v>
          </cell>
          <cell r="D1222">
            <v>7</v>
          </cell>
          <cell r="E1222">
            <v>1600</v>
          </cell>
          <cell r="F1222" t="str">
            <v>Premera modular plates / Grids</v>
          </cell>
          <cell r="G1222" t="str">
            <v>XTRA Surface Range</v>
          </cell>
          <cell r="H1222" t="str">
            <v>MEM series</v>
          </cell>
          <cell r="I1222" t="str">
            <v>3 MODULE INCLUDES FRAME</v>
          </cell>
        </row>
        <row r="1223">
          <cell r="C1223" t="str">
            <v>X904MG</v>
          </cell>
          <cell r="D1223">
            <v>7</v>
          </cell>
          <cell r="E1223">
            <v>1600</v>
          </cell>
          <cell r="F1223" t="str">
            <v>Premera modular plates / Grids</v>
          </cell>
          <cell r="G1223" t="str">
            <v>XTRA Surface Range</v>
          </cell>
          <cell r="H1223" t="str">
            <v>MEM series</v>
          </cell>
          <cell r="I1223" t="str">
            <v>4 MODULE INCLUDES FRAME</v>
          </cell>
        </row>
        <row r="1224">
          <cell r="C1224" t="str">
            <v>X906MG</v>
          </cell>
          <cell r="D1224">
            <v>7</v>
          </cell>
          <cell r="E1224">
            <v>1600</v>
          </cell>
          <cell r="F1224" t="str">
            <v>Premera modular plates / Grids</v>
          </cell>
          <cell r="G1224" t="str">
            <v>XTRA Surface Range</v>
          </cell>
          <cell r="H1224" t="str">
            <v>MEM series</v>
          </cell>
          <cell r="I1224" t="str">
            <v>6 MODULE COVER PLATE (2 BANKS) INCLUDES FRAME</v>
          </cell>
        </row>
        <row r="1225">
          <cell r="C1225" t="str">
            <v>X908MG</v>
          </cell>
          <cell r="D1225">
            <v>7</v>
          </cell>
          <cell r="E1225">
            <v>1600</v>
          </cell>
          <cell r="F1225" t="str">
            <v>Premera modular plates / Grids</v>
          </cell>
          <cell r="G1225" t="str">
            <v>XTRA Surface Range</v>
          </cell>
          <cell r="H1225" t="str">
            <v>MEM series</v>
          </cell>
          <cell r="I1225" t="str">
            <v>8 MODULE COVER PLATE (2 BANKS) INCLUDES FRAME</v>
          </cell>
        </row>
        <row r="1226">
          <cell r="C1226" t="str">
            <v>X912MG</v>
          </cell>
          <cell r="D1226">
            <v>7</v>
          </cell>
          <cell r="E1226">
            <v>1600</v>
          </cell>
          <cell r="F1226" t="str">
            <v>Premera modular plates / Grids</v>
          </cell>
          <cell r="G1226" t="str">
            <v>XTRA Surface Range</v>
          </cell>
          <cell r="H1226" t="str">
            <v>MEM series</v>
          </cell>
          <cell r="I1226" t="str">
            <v>12 MODULE COVER PLATE (3 BANKS) INCLUDES FRAME</v>
          </cell>
        </row>
        <row r="1227">
          <cell r="C1227" t="str">
            <v>X918MG</v>
          </cell>
          <cell r="D1227">
            <v>7</v>
          </cell>
          <cell r="E1227">
            <v>1600</v>
          </cell>
          <cell r="F1227" t="str">
            <v>Premera modular plates / Grids</v>
          </cell>
          <cell r="G1227" t="str">
            <v>XTRA Surface Range</v>
          </cell>
          <cell r="H1227" t="str">
            <v>MEM series</v>
          </cell>
          <cell r="I1227" t="str">
            <v>18 MODULE COVER PLATE (3 BANKS) INCLUDES FRAME</v>
          </cell>
        </row>
        <row r="1228">
          <cell r="C1228" t="str">
            <v>X924MG</v>
          </cell>
          <cell r="D1228">
            <v>7</v>
          </cell>
          <cell r="E1228">
            <v>1600</v>
          </cell>
          <cell r="F1228" t="str">
            <v>Premera modular plates / Grids</v>
          </cell>
          <cell r="G1228" t="str">
            <v>XTRA Surface Range</v>
          </cell>
          <cell r="H1228" t="str">
            <v>MEM series</v>
          </cell>
          <cell r="I1228" t="str">
            <v>24 MODULE COVER PLATE (4 BANKS) INCLUDES FRAME</v>
          </cell>
        </row>
        <row r="1229">
          <cell r="C1229" t="str">
            <v>F1000</v>
          </cell>
          <cell r="D1229">
            <v>8</v>
          </cell>
          <cell r="E1229">
            <v>100</v>
          </cell>
          <cell r="F1229" t="str">
            <v>Standard Range Lampholders</v>
          </cell>
          <cell r="G1229" t="str">
            <v>CIRCA Ceiling Accessories</v>
          </cell>
          <cell r="H1229" t="str">
            <v>MEM series</v>
          </cell>
          <cell r="I1229" t="str">
            <v>LAMPHOLDER SHORT SKIRT</v>
          </cell>
        </row>
        <row r="1230">
          <cell r="C1230" t="str">
            <v>F1001</v>
          </cell>
          <cell r="D1230">
            <v>8</v>
          </cell>
          <cell r="E1230">
            <v>100</v>
          </cell>
          <cell r="F1230" t="str">
            <v>Standard Range Lampholders</v>
          </cell>
          <cell r="G1230" t="str">
            <v>CIRCA Ceiling Accessories</v>
          </cell>
          <cell r="H1230" t="str">
            <v>MEM series</v>
          </cell>
          <cell r="I1230" t="str">
            <v>LAMPHOLDER HOME OFFICE SKIRT</v>
          </cell>
        </row>
        <row r="1231">
          <cell r="C1231" t="str">
            <v>F1025</v>
          </cell>
          <cell r="D1231">
            <v>8</v>
          </cell>
          <cell r="E1231">
            <v>110</v>
          </cell>
          <cell r="F1231" t="str">
            <v>Standard Range Battenholder</v>
          </cell>
          <cell r="G1231" t="str">
            <v>CIRCA Ceiling Accessories</v>
          </cell>
          <cell r="H1231" t="str">
            <v>MEM series</v>
          </cell>
          <cell r="I1231" t="str">
            <v>BATTEN L HOLDER 2T SHORT SKIRT</v>
          </cell>
        </row>
        <row r="1232">
          <cell r="C1232" t="str">
            <v>F1026</v>
          </cell>
          <cell r="D1232">
            <v>8</v>
          </cell>
          <cell r="E1232">
            <v>110</v>
          </cell>
          <cell r="F1232" t="str">
            <v>Standard Range Battenholder</v>
          </cell>
          <cell r="G1232" t="str">
            <v>CIRCA Ceiling Accessories</v>
          </cell>
          <cell r="H1232" t="str">
            <v>MEM series</v>
          </cell>
          <cell r="I1232" t="str">
            <v>BATTEN LH 2T HOME OFFICE SKIRT</v>
          </cell>
        </row>
        <row r="1233">
          <cell r="C1233" t="str">
            <v>F1030</v>
          </cell>
          <cell r="D1233">
            <v>8</v>
          </cell>
          <cell r="E1233">
            <v>110</v>
          </cell>
          <cell r="F1233" t="str">
            <v>Standard Range Battenholder</v>
          </cell>
          <cell r="G1233" t="str">
            <v>CIRCA Ceiling Accessories</v>
          </cell>
          <cell r="H1233" t="str">
            <v>MEM series</v>
          </cell>
          <cell r="I1233" t="str">
            <v>BATTEN L/H 3T SHORT SKIRT</v>
          </cell>
        </row>
        <row r="1234">
          <cell r="C1234" t="str">
            <v>F1031</v>
          </cell>
          <cell r="D1234">
            <v>8</v>
          </cell>
          <cell r="E1234">
            <v>110</v>
          </cell>
          <cell r="F1234" t="str">
            <v>Standard Range Battenholder</v>
          </cell>
          <cell r="G1234" t="str">
            <v>CIRCA Ceiling Accessories</v>
          </cell>
          <cell r="H1234" t="str">
            <v>MEM series</v>
          </cell>
          <cell r="I1234" t="str">
            <v>BATTEN LH 3T HOME OFFICE SKIRT</v>
          </cell>
        </row>
        <row r="1235">
          <cell r="C1235" t="str">
            <v>F1045</v>
          </cell>
          <cell r="D1235">
            <v>8</v>
          </cell>
          <cell r="E1235">
            <v>110</v>
          </cell>
          <cell r="F1235" t="str">
            <v>Standard Range Battenholder</v>
          </cell>
          <cell r="G1235" t="str">
            <v>CIRCA Ceiling Accessories</v>
          </cell>
          <cell r="H1235" t="str">
            <v>MEM series</v>
          </cell>
          <cell r="I1235" t="str">
            <v>ANGLE BATTEN LH 3T SHORT SKIRT</v>
          </cell>
        </row>
        <row r="1236">
          <cell r="C1236" t="str">
            <v>F1046</v>
          </cell>
          <cell r="D1236">
            <v>8</v>
          </cell>
          <cell r="E1236">
            <v>110</v>
          </cell>
          <cell r="F1236" t="str">
            <v>Standard Range Battenholder</v>
          </cell>
          <cell r="G1236" t="str">
            <v>CIRCA Ceiling Accessories</v>
          </cell>
          <cell r="H1236" t="str">
            <v>MEM series</v>
          </cell>
          <cell r="I1236" t="str">
            <v>ANGLE BATTEN LH 3T HOME OFF SK</v>
          </cell>
        </row>
        <row r="1237">
          <cell r="C1237" t="str">
            <v>F1091</v>
          </cell>
          <cell r="D1237">
            <v>8</v>
          </cell>
          <cell r="E1237">
            <v>110</v>
          </cell>
          <cell r="F1237" t="str">
            <v>Standard Range Battenholder</v>
          </cell>
          <cell r="G1237" t="str">
            <v>CIRCA Ceiling Accessories</v>
          </cell>
          <cell r="H1237" t="str">
            <v>MEM series</v>
          </cell>
          <cell r="I1237" t="str">
            <v>BATTEN LAMPHOLDER 3T&amp;E HR LEAD</v>
          </cell>
        </row>
        <row r="1238">
          <cell r="C1238" t="str">
            <v>F1200</v>
          </cell>
          <cell r="D1238">
            <v>8</v>
          </cell>
          <cell r="E1238">
            <v>120</v>
          </cell>
          <cell r="F1238" t="str">
            <v>Standard Range Ceiling Rose</v>
          </cell>
          <cell r="G1238" t="str">
            <v>CIRCA Ceiling Accessories</v>
          </cell>
          <cell r="H1238" t="str">
            <v>MEM series</v>
          </cell>
          <cell r="I1238" t="str">
            <v>CEILING ROSE 3 3 2 TERMINAL &amp;</v>
          </cell>
        </row>
        <row r="1239">
          <cell r="C1239" t="str">
            <v>F1250</v>
          </cell>
          <cell r="D1239">
            <v>8</v>
          </cell>
          <cell r="E1239">
            <v>130</v>
          </cell>
          <cell r="F1239" t="str">
            <v>Standard Range Pendent sets</v>
          </cell>
          <cell r="G1239" t="str">
            <v>CIRCA Ceiling Accessories</v>
          </cell>
          <cell r="H1239" t="str">
            <v>MEM series</v>
          </cell>
          <cell r="I1239" t="str">
            <v>6 INCH PENDANT ASSEMBLY</v>
          </cell>
        </row>
        <row r="1240">
          <cell r="C1240" t="str">
            <v>F1251</v>
          </cell>
          <cell r="D1240">
            <v>8</v>
          </cell>
          <cell r="E1240">
            <v>130</v>
          </cell>
          <cell r="F1240" t="str">
            <v>Standard Range Pendent sets</v>
          </cell>
          <cell r="G1240" t="str">
            <v>CIRCA Ceiling Accessories</v>
          </cell>
          <cell r="H1240" t="str">
            <v>MEM series</v>
          </cell>
          <cell r="I1240" t="str">
            <v>9 INCH PENDANT ASSEMBLY</v>
          </cell>
        </row>
        <row r="1241">
          <cell r="C1241" t="str">
            <v>F1400</v>
          </cell>
          <cell r="D1241">
            <v>8</v>
          </cell>
          <cell r="E1241">
            <v>200</v>
          </cell>
          <cell r="F1241" t="str">
            <v>Lamp activated Lampholder</v>
          </cell>
          <cell r="G1241" t="str">
            <v>CIRCA Ceiling Accessories</v>
          </cell>
          <cell r="H1241" t="str">
            <v>MEM series</v>
          </cell>
          <cell r="I1241" t="str">
            <v>LAMP ACTIVATED PENDANT L/H</v>
          </cell>
        </row>
        <row r="1242">
          <cell r="C1242" t="str">
            <v>F1450</v>
          </cell>
          <cell r="D1242">
            <v>8</v>
          </cell>
          <cell r="E1242">
            <v>210</v>
          </cell>
          <cell r="F1242" t="str">
            <v>Lamp activated Pendant set</v>
          </cell>
          <cell r="G1242" t="str">
            <v>CIRCA Ceiling Accessories</v>
          </cell>
          <cell r="H1242" t="str">
            <v>MEM series</v>
          </cell>
          <cell r="I1242" t="str">
            <v>6 INCH LAMP ACTIVATED PENDANT</v>
          </cell>
        </row>
        <row r="1243">
          <cell r="C1243" t="str">
            <v>F1451</v>
          </cell>
          <cell r="D1243">
            <v>8</v>
          </cell>
          <cell r="E1243">
            <v>210</v>
          </cell>
          <cell r="F1243" t="str">
            <v>Lamp activated Pendant set</v>
          </cell>
          <cell r="G1243" t="str">
            <v>CIRCA Ceiling Accessories</v>
          </cell>
          <cell r="H1243" t="str">
            <v>MEM series</v>
          </cell>
          <cell r="I1243" t="str">
            <v>9 INCH LAMP ACTIVATED PENDANT</v>
          </cell>
        </row>
        <row r="1244">
          <cell r="C1244" t="str">
            <v>F1491</v>
          </cell>
          <cell r="D1244">
            <v>8</v>
          </cell>
          <cell r="E1244">
            <v>220</v>
          </cell>
          <cell r="F1244" t="str">
            <v>Lamp activated Battenholder</v>
          </cell>
          <cell r="G1244" t="str">
            <v>CIRCA Ceiling Accessories</v>
          </cell>
          <cell r="H1244" t="str">
            <v>MEM series</v>
          </cell>
          <cell r="I1244" t="str">
            <v>LAMP ACTIVATED BATTEN L/H</v>
          </cell>
        </row>
        <row r="1245">
          <cell r="C1245" t="str">
            <v>F1260</v>
          </cell>
          <cell r="D1245">
            <v>8</v>
          </cell>
          <cell r="E1245">
            <v>300</v>
          </cell>
          <cell r="F1245" t="str">
            <v>BC3 Lampholders</v>
          </cell>
          <cell r="G1245" t="str">
            <v>CIRCA Ceiling Accessories</v>
          </cell>
          <cell r="H1245" t="str">
            <v>MEM series</v>
          </cell>
          <cell r="I1245" t="str">
            <v>BC3 PENDANT SET FOR LOW E LAMP</v>
          </cell>
        </row>
        <row r="1246">
          <cell r="C1246" t="str">
            <v>F1261</v>
          </cell>
          <cell r="D1246">
            <v>8</v>
          </cell>
          <cell r="E1246">
            <v>300</v>
          </cell>
          <cell r="F1246" t="str">
            <v>BC3 Lampholders</v>
          </cell>
          <cell r="G1246" t="str">
            <v>CIRCA Ceiling Accessories</v>
          </cell>
          <cell r="H1246" t="str">
            <v>MEM series</v>
          </cell>
          <cell r="I1246" t="str">
            <v>BC3 PENDANT SET FOR LOW E LAMP</v>
          </cell>
        </row>
        <row r="1247">
          <cell r="C1247" t="str">
            <v>F1262</v>
          </cell>
          <cell r="D1247">
            <v>8</v>
          </cell>
          <cell r="E1247">
            <v>300</v>
          </cell>
          <cell r="F1247" t="str">
            <v>BC3 Lampholders</v>
          </cell>
          <cell r="G1247" t="str">
            <v>CIRCA Ceiling Accessories</v>
          </cell>
          <cell r="H1247" t="str">
            <v>MEM series</v>
          </cell>
          <cell r="I1247" t="str">
            <v>BC3 LAMPHOLDER FOR LOW ENERGY</v>
          </cell>
        </row>
        <row r="1248">
          <cell r="C1248" t="str">
            <v>F1263</v>
          </cell>
          <cell r="D1248">
            <v>8</v>
          </cell>
          <cell r="E1248">
            <v>305</v>
          </cell>
          <cell r="F1248" t="str">
            <v>BC3 Battenholder</v>
          </cell>
          <cell r="G1248" t="str">
            <v>CIRCA Ceiling Accessories</v>
          </cell>
          <cell r="H1248" t="str">
            <v>MEM series</v>
          </cell>
          <cell r="I1248" t="str">
            <v>BC3 BATTEN FOR LOW E LAMPS</v>
          </cell>
        </row>
        <row r="1249">
          <cell r="C1249" t="str">
            <v>F1264</v>
          </cell>
          <cell r="D1249">
            <v>8</v>
          </cell>
          <cell r="E1249">
            <v>305</v>
          </cell>
          <cell r="F1249" t="str">
            <v>BC3 Battenholder</v>
          </cell>
          <cell r="G1249" t="str">
            <v>CIRCA Ceiling Accessories</v>
          </cell>
          <cell r="H1249" t="str">
            <v>MEM series</v>
          </cell>
          <cell r="I1249" t="str">
            <v>BC3 ANGLED BATTEN LH FOR LOW E</v>
          </cell>
        </row>
        <row r="1250">
          <cell r="C1250" t="str">
            <v>F1266</v>
          </cell>
          <cell r="D1250">
            <v>8</v>
          </cell>
          <cell r="E1250">
            <v>310</v>
          </cell>
          <cell r="F1250" t="str">
            <v>BC3 Lamps</v>
          </cell>
          <cell r="G1250" t="str">
            <v>CIRCA Ceiling Accessories</v>
          </cell>
          <cell r="H1250" t="str">
            <v>MEM series</v>
          </cell>
          <cell r="I1250" t="str">
            <v>BC3 15W TT LOW ENERGY CFL LAMP</v>
          </cell>
        </row>
        <row r="1251">
          <cell r="C1251" t="str">
            <v>F1267</v>
          </cell>
          <cell r="D1251">
            <v>8</v>
          </cell>
          <cell r="E1251">
            <v>310</v>
          </cell>
          <cell r="F1251" t="str">
            <v>BC3 Lamps</v>
          </cell>
          <cell r="G1251" t="str">
            <v>CIRCA Ceiling Accessories</v>
          </cell>
          <cell r="H1251" t="str">
            <v>MEM series</v>
          </cell>
          <cell r="I1251" t="str">
            <v>BC3 20W TT LOW ENERGY CFL LAMP</v>
          </cell>
        </row>
        <row r="1252">
          <cell r="C1252" t="str">
            <v>F1268</v>
          </cell>
          <cell r="D1252">
            <v>8</v>
          </cell>
          <cell r="E1252">
            <v>310</v>
          </cell>
          <cell r="F1252" t="str">
            <v>BC3 Lamps</v>
          </cell>
          <cell r="G1252" t="str">
            <v>CIRCA Ceiling Accessories</v>
          </cell>
          <cell r="H1252" t="str">
            <v>MEM series</v>
          </cell>
          <cell r="I1252" t="str">
            <v>BC3 15W TT LOW ENERGY CFL LAMP</v>
          </cell>
        </row>
        <row r="1253">
          <cell r="C1253" t="str">
            <v>F1269</v>
          </cell>
          <cell r="D1253">
            <v>8</v>
          </cell>
          <cell r="E1253">
            <v>310</v>
          </cell>
          <cell r="F1253" t="str">
            <v>BC3 Lamps</v>
          </cell>
          <cell r="G1253" t="str">
            <v>CIRCA Ceiling Accessories</v>
          </cell>
          <cell r="H1253" t="str">
            <v>MEM series</v>
          </cell>
          <cell r="I1253" t="str">
            <v>BC3 20W TT LOW ENERGY CFL LAMP</v>
          </cell>
        </row>
        <row r="1254">
          <cell r="C1254" t="str">
            <v>F1340</v>
          </cell>
          <cell r="D1254">
            <v>8</v>
          </cell>
          <cell r="E1254">
            <v>400</v>
          </cell>
          <cell r="F1254" t="str">
            <v>Ceiling switches / 10a / 50A</v>
          </cell>
          <cell r="G1254" t="str">
            <v>CIRCA Ceiling Accessories</v>
          </cell>
          <cell r="H1254" t="str">
            <v>MEM series</v>
          </cell>
          <cell r="I1254" t="str">
            <v>50A DP CEILING PULL SWITCH</v>
          </cell>
        </row>
        <row r="1255">
          <cell r="C1255" t="str">
            <v>F1350</v>
          </cell>
          <cell r="D1255">
            <v>8</v>
          </cell>
          <cell r="E1255">
            <v>400</v>
          </cell>
          <cell r="F1255" t="str">
            <v>Ceiling switches / 10a / 50A</v>
          </cell>
          <cell r="G1255" t="str">
            <v>CIRCA Ceiling Accessories</v>
          </cell>
          <cell r="H1255" t="str">
            <v>MEM series</v>
          </cell>
          <cell r="I1255" t="str">
            <v>6 AMP 1 WAY CEILING SWITCH</v>
          </cell>
        </row>
        <row r="1256">
          <cell r="C1256" t="str">
            <v>F1350PC</v>
          </cell>
          <cell r="D1256">
            <v>8</v>
          </cell>
          <cell r="E1256">
            <v>400</v>
          </cell>
          <cell r="F1256" t="str">
            <v>Ceiling switches / 10a / 50A</v>
          </cell>
          <cell r="G1256" t="str">
            <v>CIRCA Ceiling Accessories</v>
          </cell>
          <cell r="H1256" t="str">
            <v>MEM series</v>
          </cell>
          <cell r="I1256" t="str">
            <v>PULL CORD AND ACORN FOR F1350</v>
          </cell>
        </row>
        <row r="1257">
          <cell r="C1257" t="str">
            <v>F1351</v>
          </cell>
          <cell r="D1257">
            <v>8</v>
          </cell>
          <cell r="E1257">
            <v>400</v>
          </cell>
          <cell r="F1257" t="str">
            <v>Ceiling switches / 10a / 50A</v>
          </cell>
          <cell r="G1257" t="str">
            <v>CIRCA Ceiling Accessories</v>
          </cell>
          <cell r="H1257" t="str">
            <v>MEM series</v>
          </cell>
          <cell r="I1257" t="str">
            <v>6 AMP 2 WAY CEILING SWITCH</v>
          </cell>
        </row>
        <row r="1258">
          <cell r="C1258" t="str">
            <v>F1530</v>
          </cell>
          <cell r="D1258">
            <v>8</v>
          </cell>
          <cell r="E1258">
            <v>500</v>
          </cell>
          <cell r="F1258" t="str">
            <v>Skirts/ patresses /flange ring</v>
          </cell>
          <cell r="G1258" t="str">
            <v>CIRCA Ceiling Accessories</v>
          </cell>
          <cell r="H1258" t="str">
            <v>MEM series</v>
          </cell>
          <cell r="I1258" t="str">
            <v>FLANGE RING 4 1-8  OD 2  ID</v>
          </cell>
        </row>
        <row r="1259">
          <cell r="C1259" t="str">
            <v>F5002</v>
          </cell>
          <cell r="D1259">
            <v>8</v>
          </cell>
          <cell r="E1259">
            <v>500</v>
          </cell>
          <cell r="F1259" t="str">
            <v>Skirts/ patresses /flange ring</v>
          </cell>
          <cell r="G1259" t="str">
            <v>CIRCA Ceiling Accessories</v>
          </cell>
          <cell r="H1259" t="str">
            <v>MEM series</v>
          </cell>
          <cell r="I1259" t="str">
            <v>LAMPHOLDER SKIRT HOME OFFICE</v>
          </cell>
        </row>
        <row r="1260">
          <cell r="C1260" t="str">
            <v>F5006</v>
          </cell>
          <cell r="D1260">
            <v>8</v>
          </cell>
          <cell r="E1260">
            <v>500</v>
          </cell>
          <cell r="F1260" t="str">
            <v>Skirts/ patresses /flange ring</v>
          </cell>
          <cell r="G1260" t="str">
            <v>CIRCA Ceiling Accessories</v>
          </cell>
          <cell r="H1260" t="str">
            <v>MEM series</v>
          </cell>
          <cell r="I1260" t="str">
            <v>LAMPHOLDER SKIRT SHORT</v>
          </cell>
        </row>
        <row r="1261">
          <cell r="C1261" t="str">
            <v>F8501</v>
          </cell>
          <cell r="D1261">
            <v>9</v>
          </cell>
          <cell r="E1261">
            <v>100</v>
          </cell>
          <cell r="F1261" t="str">
            <v>3 Pin</v>
          </cell>
          <cell r="G1261" t="str">
            <v>LSC Plug-in Lighting</v>
          </cell>
          <cell r="H1261" t="str">
            <v>MEM series</v>
          </cell>
          <cell r="I1261" t="str">
            <v>3 PIN LSC CEILING ASSEMBLY</v>
          </cell>
        </row>
        <row r="1262">
          <cell r="C1262" t="str">
            <v>F8502</v>
          </cell>
          <cell r="D1262">
            <v>9</v>
          </cell>
          <cell r="E1262">
            <v>100</v>
          </cell>
          <cell r="F1262" t="str">
            <v>3 Pin</v>
          </cell>
          <cell r="G1262" t="str">
            <v>LSC Plug-in Lighting</v>
          </cell>
          <cell r="H1262" t="str">
            <v>MEM series</v>
          </cell>
          <cell r="I1262" t="str">
            <v>3 PIN LSC CEILING OUTLET</v>
          </cell>
        </row>
        <row r="1263">
          <cell r="C1263" t="str">
            <v>F8570</v>
          </cell>
          <cell r="D1263">
            <v>9</v>
          </cell>
          <cell r="E1263">
            <v>100</v>
          </cell>
          <cell r="F1263" t="str">
            <v>3 Pin</v>
          </cell>
          <cell r="G1263" t="str">
            <v>LSC Plug-in Lighting</v>
          </cell>
          <cell r="H1263" t="str">
            <v>MEM series</v>
          </cell>
          <cell r="I1263" t="str">
            <v>3 PIN ASSEMBLY 2MTRS 0.75MM</v>
          </cell>
        </row>
        <row r="1264">
          <cell r="C1264" t="str">
            <v>F8571</v>
          </cell>
          <cell r="D1264">
            <v>9</v>
          </cell>
          <cell r="E1264">
            <v>100</v>
          </cell>
          <cell r="F1264" t="str">
            <v>3 Pin</v>
          </cell>
          <cell r="G1264" t="str">
            <v>LSC Plug-in Lighting</v>
          </cell>
          <cell r="H1264" t="str">
            <v>MEM series</v>
          </cell>
          <cell r="I1264" t="str">
            <v>3 PIN ASSEMBLY 2MTRS 1.00MM</v>
          </cell>
        </row>
        <row r="1265">
          <cell r="C1265" t="str">
            <v>F8572</v>
          </cell>
          <cell r="D1265">
            <v>9</v>
          </cell>
          <cell r="E1265">
            <v>100</v>
          </cell>
          <cell r="F1265" t="str">
            <v>3 Pin</v>
          </cell>
          <cell r="G1265" t="str">
            <v>LSC Plug-in Lighting</v>
          </cell>
          <cell r="H1265" t="str">
            <v>MEM series</v>
          </cell>
          <cell r="I1265" t="str">
            <v>3 PIN ASSEMBLY 3MTRS 0.75MM</v>
          </cell>
        </row>
        <row r="1266">
          <cell r="C1266" t="str">
            <v>F8573</v>
          </cell>
          <cell r="D1266">
            <v>9</v>
          </cell>
          <cell r="E1266">
            <v>100</v>
          </cell>
          <cell r="F1266" t="str">
            <v>3 Pin</v>
          </cell>
          <cell r="G1266" t="str">
            <v>LSC Plug-in Lighting</v>
          </cell>
          <cell r="H1266" t="str">
            <v>MEM series</v>
          </cell>
          <cell r="I1266" t="str">
            <v>3 PIN ASSEMBLY 3MTRS 1.00MM</v>
          </cell>
        </row>
        <row r="1267">
          <cell r="C1267" t="str">
            <v>F8580</v>
          </cell>
          <cell r="D1267">
            <v>9</v>
          </cell>
          <cell r="E1267">
            <v>100</v>
          </cell>
          <cell r="F1267" t="str">
            <v>3 Pin</v>
          </cell>
          <cell r="G1267" t="str">
            <v>LSC Plug-in Lighting</v>
          </cell>
          <cell r="H1267" t="str">
            <v>MEM series</v>
          </cell>
          <cell r="I1267" t="str">
            <v>3 PIN ASSEMBLY 2MTRS 0.75MM</v>
          </cell>
        </row>
        <row r="1268">
          <cell r="C1268" t="str">
            <v>F8581</v>
          </cell>
          <cell r="D1268">
            <v>9</v>
          </cell>
          <cell r="E1268">
            <v>100</v>
          </cell>
          <cell r="F1268" t="str">
            <v>3 Pin</v>
          </cell>
          <cell r="G1268" t="str">
            <v>LSC Plug-in Lighting</v>
          </cell>
          <cell r="H1268" t="str">
            <v>MEM series</v>
          </cell>
          <cell r="I1268" t="str">
            <v>3 PIN ASSEMBLY 2MTRS 1.00MM</v>
          </cell>
        </row>
        <row r="1269">
          <cell r="C1269" t="str">
            <v>F8582</v>
          </cell>
          <cell r="D1269">
            <v>9</v>
          </cell>
          <cell r="E1269">
            <v>100</v>
          </cell>
          <cell r="F1269" t="str">
            <v>3 Pin</v>
          </cell>
          <cell r="G1269" t="str">
            <v>LSC Plug-in Lighting</v>
          </cell>
          <cell r="H1269" t="str">
            <v>MEM series</v>
          </cell>
          <cell r="I1269" t="str">
            <v>3 PIN ASSEMBLY 3MTRS 0.75MM</v>
          </cell>
        </row>
        <row r="1270">
          <cell r="C1270" t="str">
            <v>F8583</v>
          </cell>
          <cell r="D1270">
            <v>9</v>
          </cell>
          <cell r="E1270">
            <v>100</v>
          </cell>
          <cell r="F1270" t="str">
            <v>3 Pin</v>
          </cell>
          <cell r="G1270" t="str">
            <v>LSC Plug-in Lighting</v>
          </cell>
          <cell r="H1270" t="str">
            <v>MEM series</v>
          </cell>
          <cell r="I1270" t="str">
            <v>3 PIN ASSEMBLY 3MTRS 1.00MM</v>
          </cell>
        </row>
        <row r="1271">
          <cell r="C1271" t="str">
            <v>F8584</v>
          </cell>
          <cell r="D1271">
            <v>9</v>
          </cell>
          <cell r="E1271">
            <v>100</v>
          </cell>
          <cell r="F1271" t="str">
            <v>3 Pin</v>
          </cell>
          <cell r="G1271" t="str">
            <v>LSC Plug-in Lighting</v>
          </cell>
          <cell r="H1271" t="str">
            <v>MEM series</v>
          </cell>
          <cell r="I1271" t="str">
            <v>3 PIN ASSEMBLY 1MTRS 1.00MM</v>
          </cell>
        </row>
        <row r="1272">
          <cell r="C1272" t="str">
            <v>F8540</v>
          </cell>
          <cell r="D1272">
            <v>9</v>
          </cell>
          <cell r="E1272">
            <v>105</v>
          </cell>
          <cell r="F1272" t="str">
            <v>Plug</v>
          </cell>
          <cell r="G1272" t="str">
            <v>LSC Plug-in Lighting</v>
          </cell>
          <cell r="H1272" t="str">
            <v>MEM series</v>
          </cell>
          <cell r="I1272" t="str">
            <v>3 PIN LSC RE-WIREABLE PLUG</v>
          </cell>
        </row>
        <row r="1273">
          <cell r="C1273" t="str">
            <v>F8534</v>
          </cell>
          <cell r="D1273">
            <v>9</v>
          </cell>
          <cell r="E1273">
            <v>110</v>
          </cell>
          <cell r="F1273" t="str">
            <v>Covers</v>
          </cell>
          <cell r="G1273" t="str">
            <v>LSC Plug-in Lighting</v>
          </cell>
          <cell r="H1273" t="str">
            <v>MEM series</v>
          </cell>
          <cell r="I1273" t="str">
            <v>CEILING ROSE COVER WHITE</v>
          </cell>
        </row>
        <row r="1274">
          <cell r="C1274" t="str">
            <v>F8635</v>
          </cell>
          <cell r="D1274">
            <v>9</v>
          </cell>
          <cell r="E1274">
            <v>110</v>
          </cell>
          <cell r="F1274" t="str">
            <v>Covers</v>
          </cell>
          <cell r="G1274" t="str">
            <v>LSC Plug-in Lighting</v>
          </cell>
          <cell r="H1274" t="str">
            <v>MEM series</v>
          </cell>
          <cell r="I1274" t="str">
            <v>CEILING ROSE COVER RED</v>
          </cell>
        </row>
        <row r="1275">
          <cell r="C1275" t="str">
            <v>F8601</v>
          </cell>
          <cell r="D1275">
            <v>9</v>
          </cell>
          <cell r="E1275">
            <v>200</v>
          </cell>
          <cell r="F1275" t="str">
            <v>4 Pin</v>
          </cell>
          <cell r="G1275" t="str">
            <v>LSC Plug-in Lighting</v>
          </cell>
          <cell r="H1275" t="str">
            <v>MEM series</v>
          </cell>
          <cell r="I1275" t="str">
            <v>4 PIN LSC CEILING ASSEMBLY</v>
          </cell>
        </row>
        <row r="1276">
          <cell r="C1276" t="str">
            <v>F8602</v>
          </cell>
          <cell r="D1276">
            <v>9</v>
          </cell>
          <cell r="E1276">
            <v>200</v>
          </cell>
          <cell r="F1276" t="str">
            <v>4 Pin</v>
          </cell>
          <cell r="G1276" t="str">
            <v>LSC Plug-in Lighting</v>
          </cell>
          <cell r="H1276" t="str">
            <v>MEM series</v>
          </cell>
          <cell r="I1276" t="str">
            <v>4 PIN LSC CEILING OUTLET</v>
          </cell>
        </row>
        <row r="1277">
          <cell r="C1277" t="str">
            <v>F8603</v>
          </cell>
          <cell r="D1277">
            <v>9</v>
          </cell>
          <cell r="E1277">
            <v>200</v>
          </cell>
          <cell r="F1277" t="str">
            <v>4 Pin</v>
          </cell>
          <cell r="G1277" t="str">
            <v>LSC Plug-in Lighting</v>
          </cell>
          <cell r="H1277" t="str">
            <v>MEM series</v>
          </cell>
          <cell r="I1277" t="str">
            <v>4 PIN LSC CEILING ASSY RED CVR</v>
          </cell>
        </row>
        <row r="1278">
          <cell r="C1278" t="str">
            <v>F8670</v>
          </cell>
          <cell r="D1278">
            <v>9</v>
          </cell>
          <cell r="E1278">
            <v>200</v>
          </cell>
          <cell r="F1278" t="str">
            <v>4 Pin</v>
          </cell>
          <cell r="G1278" t="str">
            <v>LSC Plug-in Lighting</v>
          </cell>
          <cell r="H1278" t="str">
            <v>MEM series</v>
          </cell>
          <cell r="I1278" t="str">
            <v>4 PIN ASSY 2MTS 0.75 HR CABLE</v>
          </cell>
        </row>
        <row r="1279">
          <cell r="C1279" t="str">
            <v>F8671</v>
          </cell>
          <cell r="D1279">
            <v>9</v>
          </cell>
          <cell r="E1279">
            <v>200</v>
          </cell>
          <cell r="F1279" t="str">
            <v>4 Pin</v>
          </cell>
          <cell r="G1279" t="str">
            <v>LSC Plug-in Lighting</v>
          </cell>
          <cell r="H1279" t="str">
            <v>MEM series</v>
          </cell>
          <cell r="I1279" t="str">
            <v>4 PIN ASSEMBLY 2MTRS 1.00MM</v>
          </cell>
        </row>
        <row r="1280">
          <cell r="C1280" t="str">
            <v>F8672</v>
          </cell>
          <cell r="D1280">
            <v>9</v>
          </cell>
          <cell r="E1280">
            <v>200</v>
          </cell>
          <cell r="F1280" t="str">
            <v>4 Pin</v>
          </cell>
          <cell r="G1280" t="str">
            <v>LSC Plug-in Lighting</v>
          </cell>
          <cell r="H1280" t="str">
            <v>MEM series</v>
          </cell>
          <cell r="I1280" t="str">
            <v>4 PIN ASSEMBLY 3MTRS 1.00MM</v>
          </cell>
        </row>
        <row r="1281">
          <cell r="C1281" t="str">
            <v>F8681</v>
          </cell>
          <cell r="D1281">
            <v>9</v>
          </cell>
          <cell r="E1281">
            <v>200</v>
          </cell>
          <cell r="F1281" t="str">
            <v>4 Pin</v>
          </cell>
          <cell r="G1281" t="str">
            <v>LSC Plug-in Lighting</v>
          </cell>
          <cell r="H1281" t="str">
            <v>MEM series</v>
          </cell>
          <cell r="I1281" t="str">
            <v>4 PIN ASSEMBLY 2MTRS 1.00MM</v>
          </cell>
        </row>
        <row r="1282">
          <cell r="C1282" t="str">
            <v>F8682</v>
          </cell>
          <cell r="D1282">
            <v>9</v>
          </cell>
          <cell r="E1282">
            <v>200</v>
          </cell>
          <cell r="F1282" t="str">
            <v>4 Pin</v>
          </cell>
          <cell r="G1282" t="str">
            <v>LSC Plug-in Lighting</v>
          </cell>
          <cell r="H1282" t="str">
            <v>MEM series</v>
          </cell>
          <cell r="I1282" t="str">
            <v>4 PIN ASSEMBLY 3MTRS 1.00MM</v>
          </cell>
        </row>
        <row r="1283">
          <cell r="C1283" t="str">
            <v>F8684</v>
          </cell>
          <cell r="D1283">
            <v>9</v>
          </cell>
          <cell r="E1283">
            <v>200</v>
          </cell>
          <cell r="F1283" t="str">
            <v>4 Pin</v>
          </cell>
          <cell r="G1283" t="str">
            <v>LSC Plug-in Lighting</v>
          </cell>
          <cell r="H1283" t="str">
            <v>MEM series</v>
          </cell>
          <cell r="I1283" t="str">
            <v>4 PIN ASSEMBLY 1MTRS 1.00MM</v>
          </cell>
        </row>
        <row r="1284">
          <cell r="C1284" t="str">
            <v>F8640</v>
          </cell>
          <cell r="D1284">
            <v>9</v>
          </cell>
          <cell r="E1284">
            <v>205</v>
          </cell>
          <cell r="F1284" t="str">
            <v>Plug</v>
          </cell>
          <cell r="G1284" t="str">
            <v>LSC Plug-in Lighting</v>
          </cell>
          <cell r="H1284" t="str">
            <v>MEM series</v>
          </cell>
          <cell r="I1284" t="str">
            <v>4 PIN LSC RE-WIREABLE PLUG</v>
          </cell>
        </row>
        <row r="1285">
          <cell r="C1285" t="str">
            <v>F8641</v>
          </cell>
          <cell r="D1285">
            <v>9</v>
          </cell>
          <cell r="E1285">
            <v>205</v>
          </cell>
          <cell r="F1285" t="str">
            <v>Plug</v>
          </cell>
          <cell r="G1285" t="str">
            <v>LSC Plug-in Lighting</v>
          </cell>
          <cell r="H1285" t="str">
            <v>MEM series</v>
          </cell>
          <cell r="I1285" t="str">
            <v>4 PIN LSC RE-WIREABLE PLUG WHI</v>
          </cell>
        </row>
        <row r="1286">
          <cell r="C1286" t="str">
            <v>LDU6</v>
          </cell>
          <cell r="D1286">
            <v>9</v>
          </cell>
          <cell r="E1286">
            <v>300</v>
          </cell>
          <cell r="F1286" t="str">
            <v>LDU</v>
          </cell>
          <cell r="G1286" t="str">
            <v>LSC Plug-in Lighting</v>
          </cell>
          <cell r="H1286" t="str">
            <v>MEM series</v>
          </cell>
          <cell r="I1286" t="str">
            <v>6G LSC OUTLET UNIT 4 PIN (LDU6</v>
          </cell>
        </row>
        <row r="1287">
          <cell r="C1287" t="str">
            <v>LDU8</v>
          </cell>
          <cell r="D1287">
            <v>9</v>
          </cell>
          <cell r="E1287">
            <v>301</v>
          </cell>
          <cell r="F1287" t="str">
            <v>LDU</v>
          </cell>
          <cell r="G1287" t="str">
            <v>LSC Plug-in Lighting</v>
          </cell>
          <cell r="H1287" t="str">
            <v>MEM series</v>
          </cell>
          <cell r="I1287" t="str">
            <v>8G LSC OUTLET UNIT 4 PIN (LDU8</v>
          </cell>
        </row>
        <row r="1288">
          <cell r="C1288" t="str">
            <v>LDU10</v>
          </cell>
          <cell r="D1288">
            <v>9</v>
          </cell>
          <cell r="E1288">
            <v>302</v>
          </cell>
          <cell r="F1288" t="str">
            <v>LDU</v>
          </cell>
          <cell r="G1288" t="str">
            <v>LSC Plug-in Lighting</v>
          </cell>
          <cell r="H1288" t="str">
            <v>MEM series</v>
          </cell>
          <cell r="I1288" t="str">
            <v>10G LSC OUTLET UNIT 4 PIN (LDU10</v>
          </cell>
        </row>
        <row r="1289">
          <cell r="C1289" t="str">
            <v>LDU12</v>
          </cell>
          <cell r="D1289">
            <v>9</v>
          </cell>
          <cell r="E1289">
            <v>303</v>
          </cell>
          <cell r="F1289" t="str">
            <v>LDU</v>
          </cell>
          <cell r="G1289" t="str">
            <v>LSC Plug-in Lighting</v>
          </cell>
          <cell r="H1289" t="str">
            <v>MEM series</v>
          </cell>
          <cell r="I1289" t="str">
            <v>12G LSC OUTLET UNIT 4 PIN (LDU12</v>
          </cell>
        </row>
        <row r="1290">
          <cell r="C1290" t="str">
            <v>FL321</v>
          </cell>
          <cell r="D1290">
            <v>9</v>
          </cell>
          <cell r="E1290">
            <v>400</v>
          </cell>
          <cell r="F1290" t="str">
            <v>Leads</v>
          </cell>
          <cell r="G1290" t="str">
            <v>LSC Plug-in Lighting</v>
          </cell>
          <cell r="H1290" t="str">
            <v>MEM series</v>
          </cell>
          <cell r="I1290" t="str">
            <v>3 PIN LSC PLUG 2MTRS  1.00MM</v>
          </cell>
        </row>
        <row r="1291">
          <cell r="C1291" t="str">
            <v>FL331</v>
          </cell>
          <cell r="D1291">
            <v>9</v>
          </cell>
          <cell r="E1291">
            <v>400</v>
          </cell>
          <cell r="F1291" t="str">
            <v>Leads</v>
          </cell>
          <cell r="G1291" t="str">
            <v>LSC Plug-in Lighting</v>
          </cell>
          <cell r="H1291" t="str">
            <v>MEM series</v>
          </cell>
          <cell r="I1291" t="str">
            <v>3 PIN LSC PLUG 3MTRS  1.00MM</v>
          </cell>
        </row>
        <row r="1292">
          <cell r="C1292" t="str">
            <v>FL341</v>
          </cell>
          <cell r="D1292">
            <v>9</v>
          </cell>
          <cell r="E1292">
            <v>400</v>
          </cell>
          <cell r="F1292" t="str">
            <v>Leads</v>
          </cell>
          <cell r="G1292" t="str">
            <v>LSC Plug-in Lighting</v>
          </cell>
          <cell r="H1292" t="str">
            <v>MEM series</v>
          </cell>
          <cell r="I1292" t="str">
            <v>3 PIN LSC PLUG 4MTRS  1.00MM</v>
          </cell>
        </row>
        <row r="1293">
          <cell r="C1293" t="str">
            <v>FL351</v>
          </cell>
          <cell r="D1293">
            <v>9</v>
          </cell>
          <cell r="E1293">
            <v>400</v>
          </cell>
          <cell r="F1293" t="str">
            <v>Leads</v>
          </cell>
          <cell r="G1293" t="str">
            <v>LSC Plug-in Lighting</v>
          </cell>
          <cell r="H1293" t="str">
            <v>MEM series</v>
          </cell>
          <cell r="I1293" t="str">
            <v>3 PIN LSC PLUG 5MTRS  1.00MM</v>
          </cell>
        </row>
        <row r="1294">
          <cell r="C1294" t="str">
            <v>FL421</v>
          </cell>
          <cell r="D1294">
            <v>9</v>
          </cell>
          <cell r="E1294">
            <v>400</v>
          </cell>
          <cell r="F1294" t="str">
            <v>Leads</v>
          </cell>
          <cell r="G1294" t="str">
            <v>LSC Plug-in Lighting</v>
          </cell>
          <cell r="H1294" t="str">
            <v>MEM series</v>
          </cell>
          <cell r="I1294" t="str">
            <v>4 PIN LSC PLUG 2MTRS  1.00MM</v>
          </cell>
        </row>
        <row r="1295">
          <cell r="C1295" t="str">
            <v>FL431</v>
          </cell>
          <cell r="D1295">
            <v>9</v>
          </cell>
          <cell r="E1295">
            <v>400</v>
          </cell>
          <cell r="F1295" t="str">
            <v>Leads</v>
          </cell>
          <cell r="G1295" t="str">
            <v>LSC Plug-in Lighting</v>
          </cell>
          <cell r="H1295" t="str">
            <v>MEM series</v>
          </cell>
          <cell r="I1295" t="str">
            <v>4 PIN LSC PLUG 3MTRS  1.00MM</v>
          </cell>
        </row>
        <row r="1296">
          <cell r="C1296" t="str">
            <v>FL441</v>
          </cell>
          <cell r="D1296">
            <v>9</v>
          </cell>
          <cell r="E1296">
            <v>400</v>
          </cell>
          <cell r="F1296" t="str">
            <v>Leads</v>
          </cell>
          <cell r="G1296" t="str">
            <v>LSC Plug-in Lighting</v>
          </cell>
          <cell r="H1296" t="str">
            <v>MEM series</v>
          </cell>
          <cell r="I1296" t="str">
            <v>4 PIN LSC PLUG 4MTRS  1.00MM</v>
          </cell>
        </row>
        <row r="1297">
          <cell r="C1297" t="str">
            <v>FL451</v>
          </cell>
          <cell r="D1297">
            <v>9</v>
          </cell>
          <cell r="E1297">
            <v>400</v>
          </cell>
          <cell r="F1297" t="str">
            <v>Leads</v>
          </cell>
          <cell r="G1297" t="str">
            <v>LSC Plug-in Lighting</v>
          </cell>
          <cell r="H1297" t="str">
            <v>MEM series</v>
          </cell>
          <cell r="I1297" t="str">
            <v>4 PIN LSC PLUG 5MTRS  1.00MM</v>
          </cell>
        </row>
        <row r="1298">
          <cell r="C1298" t="str">
            <v>FP320</v>
          </cell>
          <cell r="D1298">
            <v>9</v>
          </cell>
          <cell r="E1298">
            <v>400</v>
          </cell>
          <cell r="F1298" t="str">
            <v>Leads</v>
          </cell>
          <cell r="G1298" t="str">
            <v>LSC Plug-in Lighting</v>
          </cell>
          <cell r="H1298" t="str">
            <v>MEM series</v>
          </cell>
          <cell r="I1298" t="str">
            <v>3 PIN LSC PLUG 2MTRS  0.75MM</v>
          </cell>
        </row>
        <row r="1299">
          <cell r="C1299" t="str">
            <v>FP321</v>
          </cell>
          <cell r="D1299">
            <v>9</v>
          </cell>
          <cell r="E1299">
            <v>400</v>
          </cell>
          <cell r="F1299" t="str">
            <v>Leads</v>
          </cell>
          <cell r="G1299" t="str">
            <v>LSC Plug-in Lighting</v>
          </cell>
          <cell r="H1299" t="str">
            <v>MEM series</v>
          </cell>
          <cell r="I1299" t="str">
            <v>3 PIN LSC PLUG 2MTRS  1.00MM</v>
          </cell>
        </row>
        <row r="1300">
          <cell r="C1300" t="str">
            <v>FP330</v>
          </cell>
          <cell r="D1300">
            <v>9</v>
          </cell>
          <cell r="E1300">
            <v>400</v>
          </cell>
          <cell r="F1300" t="str">
            <v>Leads</v>
          </cell>
          <cell r="G1300" t="str">
            <v>LSC Plug-in Lighting</v>
          </cell>
          <cell r="H1300" t="str">
            <v>MEM series</v>
          </cell>
          <cell r="I1300" t="str">
            <v>3 PIN LSC PLUG 3MTRS  0.75MM</v>
          </cell>
        </row>
        <row r="1301">
          <cell r="C1301" t="str">
            <v>FP331</v>
          </cell>
          <cell r="D1301">
            <v>9</v>
          </cell>
          <cell r="E1301">
            <v>400</v>
          </cell>
          <cell r="F1301" t="str">
            <v>Leads</v>
          </cell>
          <cell r="G1301" t="str">
            <v>LSC Plug-in Lighting</v>
          </cell>
          <cell r="H1301" t="str">
            <v>MEM series</v>
          </cell>
          <cell r="I1301" t="str">
            <v>3 PIN LSC PLUG 3MTRS  1.00MM</v>
          </cell>
        </row>
        <row r="1302">
          <cell r="C1302" t="str">
            <v>FP340</v>
          </cell>
          <cell r="D1302">
            <v>9</v>
          </cell>
          <cell r="E1302">
            <v>400</v>
          </cell>
          <cell r="F1302" t="str">
            <v>Leads</v>
          </cell>
          <cell r="G1302" t="str">
            <v>LSC Plug-in Lighting</v>
          </cell>
          <cell r="H1302" t="str">
            <v>MEM series</v>
          </cell>
          <cell r="I1302" t="str">
            <v>3 PIN LSC PLUG 4MTRS  0.75MM</v>
          </cell>
        </row>
        <row r="1303">
          <cell r="C1303" t="str">
            <v>FP341</v>
          </cell>
          <cell r="D1303">
            <v>9</v>
          </cell>
          <cell r="E1303">
            <v>400</v>
          </cell>
          <cell r="F1303" t="str">
            <v>Leads</v>
          </cell>
          <cell r="G1303" t="str">
            <v>LSC Plug-in Lighting</v>
          </cell>
          <cell r="H1303" t="str">
            <v>MEM series</v>
          </cell>
          <cell r="I1303" t="str">
            <v>3 PIN LSC PLUG 4MTRS  1.00MM</v>
          </cell>
        </row>
        <row r="1304">
          <cell r="C1304" t="str">
            <v>FP351</v>
          </cell>
          <cell r="D1304">
            <v>9</v>
          </cell>
          <cell r="E1304">
            <v>400</v>
          </cell>
          <cell r="F1304" t="str">
            <v>Leads</v>
          </cell>
          <cell r="G1304" t="str">
            <v>LSC Plug-in Lighting</v>
          </cell>
          <cell r="H1304" t="str">
            <v>MEM series</v>
          </cell>
          <cell r="I1304" t="str">
            <v>3 PIN LSC PLUG 5MTRS  1.00MM</v>
          </cell>
        </row>
        <row r="1305">
          <cell r="C1305" t="str">
            <v>FP421</v>
          </cell>
          <cell r="D1305">
            <v>9</v>
          </cell>
          <cell r="E1305">
            <v>400</v>
          </cell>
          <cell r="F1305" t="str">
            <v>Leads</v>
          </cell>
          <cell r="G1305" t="str">
            <v>LSC Plug-in Lighting</v>
          </cell>
          <cell r="H1305" t="str">
            <v>MEM series</v>
          </cell>
          <cell r="I1305" t="str">
            <v>4 PIN LSC PLUG 2MTRS  1.00MM</v>
          </cell>
        </row>
        <row r="1306">
          <cell r="C1306" t="str">
            <v>FP431</v>
          </cell>
          <cell r="D1306">
            <v>9</v>
          </cell>
          <cell r="E1306">
            <v>400</v>
          </cell>
          <cell r="F1306" t="str">
            <v>Leads</v>
          </cell>
          <cell r="G1306" t="str">
            <v>LSC Plug-in Lighting</v>
          </cell>
          <cell r="H1306" t="str">
            <v>MEM series</v>
          </cell>
          <cell r="I1306" t="str">
            <v>4 PIN LSC PLUG 3MTS  1.00MM</v>
          </cell>
        </row>
        <row r="1307">
          <cell r="C1307" t="str">
            <v>FP441</v>
          </cell>
          <cell r="D1307">
            <v>9</v>
          </cell>
          <cell r="E1307">
            <v>400</v>
          </cell>
          <cell r="F1307" t="str">
            <v>Leads</v>
          </cell>
          <cell r="G1307" t="str">
            <v>LSC Plug-in Lighting</v>
          </cell>
          <cell r="H1307" t="str">
            <v>MEM series</v>
          </cell>
          <cell r="I1307" t="str">
            <v>4 PIN LSC PLUG 4MTS  1.00MM</v>
          </cell>
        </row>
        <row r="1308">
          <cell r="C1308" t="str">
            <v>FP451</v>
          </cell>
          <cell r="D1308">
            <v>9</v>
          </cell>
          <cell r="E1308">
            <v>400</v>
          </cell>
          <cell r="F1308" t="str">
            <v>Leads</v>
          </cell>
          <cell r="G1308" t="str">
            <v>LSC Plug-in Lighting</v>
          </cell>
          <cell r="H1308" t="str">
            <v>MEM series</v>
          </cell>
          <cell r="I1308" t="str">
            <v>4 PIN LSC PLUG 5MTS  1.00MM</v>
          </cell>
        </row>
        <row r="1309">
          <cell r="C1309" t="str">
            <v>F2630</v>
          </cell>
          <cell r="D1309">
            <v>999</v>
          </cell>
          <cell r="E1309">
            <v>9999</v>
          </cell>
          <cell r="F1309" t="e">
            <v>#N/A</v>
          </cell>
          <cell r="G1309" t="str">
            <v>GALA Weatherproof</v>
          </cell>
          <cell r="H1309" t="str">
            <v>MEM series</v>
          </cell>
          <cell r="I1309" t="str">
            <v>10A 1G 2W SPLASHPROOF SWITCH I</v>
          </cell>
        </row>
        <row r="1310">
          <cell r="C1310" t="str">
            <v>F2631</v>
          </cell>
          <cell r="D1310">
            <v>999</v>
          </cell>
          <cell r="E1310">
            <v>9999</v>
          </cell>
          <cell r="F1310" t="e">
            <v>#N/A</v>
          </cell>
          <cell r="G1310" t="str">
            <v>GALA Weatherproof</v>
          </cell>
          <cell r="H1310" t="str">
            <v>MEM series</v>
          </cell>
          <cell r="I1310" t="str">
            <v>10A 2G 1W SPLASHPROOF SWITCH I</v>
          </cell>
        </row>
        <row r="1311">
          <cell r="C1311" t="str">
            <v>F2632</v>
          </cell>
          <cell r="D1311">
            <v>999</v>
          </cell>
          <cell r="E1311">
            <v>9999</v>
          </cell>
          <cell r="F1311" t="e">
            <v>#N/A</v>
          </cell>
          <cell r="G1311" t="str">
            <v>GALA Weatherproof</v>
          </cell>
          <cell r="H1311" t="str">
            <v>MEM series</v>
          </cell>
          <cell r="I1311" t="str">
            <v>10A 2G 2W SPLASHPROOF SWITCH I</v>
          </cell>
        </row>
        <row r="1312">
          <cell r="C1312" t="str">
            <v>F2633</v>
          </cell>
          <cell r="D1312">
            <v>999</v>
          </cell>
          <cell r="E1312">
            <v>9999</v>
          </cell>
          <cell r="F1312" t="e">
            <v>#N/A</v>
          </cell>
          <cell r="G1312" t="str">
            <v>GALA Weatherproof</v>
          </cell>
          <cell r="H1312" t="str">
            <v>MEM series</v>
          </cell>
          <cell r="I1312" t="str">
            <v>10A 1G 1W SPLASHPROOF SWITCH I</v>
          </cell>
        </row>
        <row r="1313">
          <cell r="C1313" t="str">
            <v>F2634</v>
          </cell>
          <cell r="D1313">
            <v>999</v>
          </cell>
          <cell r="E1313">
            <v>9999</v>
          </cell>
          <cell r="F1313" t="e">
            <v>#N/A</v>
          </cell>
          <cell r="G1313" t="str">
            <v>GALA Weatherproof</v>
          </cell>
          <cell r="H1313" t="str">
            <v>MEM series</v>
          </cell>
          <cell r="I1313" t="str">
            <v>10A 1G DP SPLASHPROOF SWITCH I</v>
          </cell>
        </row>
        <row r="1314">
          <cell r="C1314" t="str">
            <v>F2635</v>
          </cell>
          <cell r="D1314">
            <v>999</v>
          </cell>
          <cell r="E1314">
            <v>9999</v>
          </cell>
          <cell r="F1314" t="e">
            <v>#N/A</v>
          </cell>
          <cell r="G1314" t="str">
            <v>GALA Weatherproof</v>
          </cell>
          <cell r="H1314" t="str">
            <v>MEM series</v>
          </cell>
          <cell r="I1314" t="str">
            <v>13A 1G SPLASHPROOF SOCKET IP54</v>
          </cell>
        </row>
        <row r="1315">
          <cell r="C1315" t="str">
            <v>F2636</v>
          </cell>
          <cell r="D1315">
            <v>999</v>
          </cell>
          <cell r="E1315">
            <v>9999</v>
          </cell>
          <cell r="F1315" t="e">
            <v>#N/A</v>
          </cell>
          <cell r="G1315" t="str">
            <v>GALA Weatherproof</v>
          </cell>
          <cell r="H1315" t="str">
            <v>MEM series</v>
          </cell>
          <cell r="I1315" t="str">
            <v>13A 1G SKT &amp; 10A 1G 2W SWITCH</v>
          </cell>
        </row>
        <row r="1316">
          <cell r="C1316" t="str">
            <v>F2640</v>
          </cell>
          <cell r="D1316">
            <v>999</v>
          </cell>
          <cell r="E1316">
            <v>9999</v>
          </cell>
          <cell r="F1316" t="e">
            <v>#N/A</v>
          </cell>
          <cell r="G1316" t="str">
            <v>GALA Weatherproof</v>
          </cell>
          <cell r="H1316" t="str">
            <v>MEM series</v>
          </cell>
          <cell r="I1316" t="str">
            <v>16A 1G 1W HOSEPROOF SWITCH IP5</v>
          </cell>
        </row>
        <row r="1317">
          <cell r="C1317" t="str">
            <v>F2641</v>
          </cell>
          <cell r="D1317">
            <v>999</v>
          </cell>
          <cell r="E1317">
            <v>9999</v>
          </cell>
          <cell r="F1317" t="e">
            <v>#N/A</v>
          </cell>
          <cell r="G1317" t="str">
            <v>GALA Weatherproof</v>
          </cell>
          <cell r="H1317" t="str">
            <v>MEM series</v>
          </cell>
          <cell r="I1317" t="str">
            <v>16A 1G DP HOSEPROOF SWITCH  NE</v>
          </cell>
        </row>
        <row r="1318">
          <cell r="C1318" t="str">
            <v>F2642</v>
          </cell>
          <cell r="D1318">
            <v>999</v>
          </cell>
          <cell r="E1318">
            <v>9999</v>
          </cell>
          <cell r="F1318" t="e">
            <v>#N/A</v>
          </cell>
          <cell r="G1318" t="str">
            <v>GALA Weatherproof</v>
          </cell>
          <cell r="H1318" t="str">
            <v>MEM series</v>
          </cell>
          <cell r="I1318" t="str">
            <v>13A 1G HOSEPROOF SOCKET IP56</v>
          </cell>
        </row>
        <row r="1319">
          <cell r="C1319" t="str">
            <v>F2643</v>
          </cell>
          <cell r="D1319">
            <v>999</v>
          </cell>
          <cell r="E1319">
            <v>9999</v>
          </cell>
          <cell r="F1319" t="e">
            <v>#N/A</v>
          </cell>
          <cell r="G1319" t="str">
            <v>GALA Weatherproof</v>
          </cell>
          <cell r="H1319" t="str">
            <v>MEM series</v>
          </cell>
          <cell r="I1319" t="str">
            <v>13A 2G HOSEPROOF SOCKET IP56</v>
          </cell>
        </row>
        <row r="1320">
          <cell r="C1320" t="str">
            <v>F2644</v>
          </cell>
          <cell r="D1320">
            <v>999</v>
          </cell>
          <cell r="E1320">
            <v>9999</v>
          </cell>
          <cell r="F1320" t="e">
            <v>#N/A</v>
          </cell>
          <cell r="G1320" t="str">
            <v>GALA Weatherproof</v>
          </cell>
          <cell r="H1320" t="str">
            <v>MEM series</v>
          </cell>
          <cell r="I1320" t="str">
            <v>16A 1G SWITCH &amp; 13A 1G SOCKET</v>
          </cell>
        </row>
        <row r="1321">
          <cell r="C1321" t="str">
            <v>F2645</v>
          </cell>
          <cell r="D1321">
            <v>999</v>
          </cell>
          <cell r="E1321">
            <v>9999</v>
          </cell>
          <cell r="F1321" t="e">
            <v>#N/A</v>
          </cell>
          <cell r="G1321" t="str">
            <v>GALA Weatherproof</v>
          </cell>
          <cell r="H1321" t="str">
            <v>MEM series</v>
          </cell>
          <cell r="I1321" t="str">
            <v>16A 1G DP SWITCH &amp;  13A 1G SOC</v>
          </cell>
        </row>
        <row r="1322">
          <cell r="C1322" t="str">
            <v>F2646</v>
          </cell>
          <cell r="D1322">
            <v>999</v>
          </cell>
          <cell r="E1322">
            <v>9999</v>
          </cell>
          <cell r="F1322" t="e">
            <v>#N/A</v>
          </cell>
          <cell r="G1322" t="str">
            <v>GALA Weatherproof</v>
          </cell>
          <cell r="H1322" t="str">
            <v>MEM series</v>
          </cell>
          <cell r="I1322" t="str">
            <v>13A 1G RCD SOCKET HOSEPROOF IP</v>
          </cell>
        </row>
        <row r="1323">
          <cell r="C1323" t="str">
            <v>F2647</v>
          </cell>
          <cell r="D1323">
            <v>999</v>
          </cell>
          <cell r="E1323">
            <v>9999</v>
          </cell>
          <cell r="F1323" t="e">
            <v>#N/A</v>
          </cell>
          <cell r="G1323" t="str">
            <v>GALA Weatherproof</v>
          </cell>
          <cell r="H1323" t="str">
            <v>MEM series</v>
          </cell>
          <cell r="I1323" t="str">
            <v>1G S GRID MODULE ENCLOSURE HOS</v>
          </cell>
        </row>
        <row r="1324">
          <cell r="C1324" t="str">
            <v>F4507</v>
          </cell>
          <cell r="D1324">
            <v>999</v>
          </cell>
          <cell r="E1324">
            <v>9999</v>
          </cell>
          <cell r="F1324" t="e">
            <v>#N/A</v>
          </cell>
          <cell r="G1324" t="str">
            <v>PREMERA Wiring Accessories</v>
          </cell>
          <cell r="H1324" t="str">
            <v>MEM series</v>
          </cell>
          <cell r="I1324" t="str">
            <v>1G PATTRESS 32MM DEEP  PVC</v>
          </cell>
        </row>
        <row r="1325">
          <cell r="C1325" t="str">
            <v>F4508</v>
          </cell>
          <cell r="D1325">
            <v>999</v>
          </cell>
          <cell r="E1325">
            <v>9999</v>
          </cell>
          <cell r="F1325" t="e">
            <v>#N/A</v>
          </cell>
          <cell r="G1325" t="str">
            <v>PREMERA Wiring Accessories</v>
          </cell>
          <cell r="H1325" t="str">
            <v>MEM series</v>
          </cell>
          <cell r="I1325" t="str">
            <v>2G PATTRESS 32MM DEEP  PVC</v>
          </cell>
        </row>
        <row r="1326">
          <cell r="C1326" t="str">
            <v>CSEZ-01/13</v>
          </cell>
          <cell r="E1326">
            <v>410</v>
          </cell>
          <cell r="F1326" t="str">
            <v>PIR</v>
          </cell>
          <cell r="G1326" t="str">
            <v>LSC Plug-in Lighting</v>
          </cell>
          <cell r="H1326" t="str">
            <v>MEM series</v>
          </cell>
          <cell r="I1326" t="str">
            <v>360 deg PIR 10A 230v ceiling mounted</v>
          </cell>
        </row>
        <row r="1327">
          <cell r="C1327" t="str">
            <v>CSEZ-01/12</v>
          </cell>
          <cell r="E1327">
            <v>411</v>
          </cell>
          <cell r="F1327" t="str">
            <v>PIR</v>
          </cell>
          <cell r="G1327" t="str">
            <v>LSC Plug-in Lighting</v>
          </cell>
          <cell r="H1327" t="str">
            <v>MEM series</v>
          </cell>
          <cell r="I1327" t="str">
            <v>180 deg PIR 10A 230v wall mounted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abSelected="1" zoomScale="90" zoomScaleNormal="90" workbookViewId="0">
      <selection activeCell="B5" sqref="B5"/>
    </sheetView>
  </sheetViews>
  <sheetFormatPr defaultRowHeight="12.75" x14ac:dyDescent="0.2"/>
  <cols>
    <col min="1" max="1" width="16" customWidth="1"/>
    <col min="2" max="2" width="32.42578125" style="12" customWidth="1"/>
    <col min="3" max="3" width="43.5703125" style="1" bestFit="1" customWidth="1"/>
    <col min="4" max="4" width="29.85546875" style="1" customWidth="1"/>
    <col min="5" max="5" width="38" customWidth="1"/>
    <col min="6" max="6" width="33.42578125" style="12" customWidth="1"/>
  </cols>
  <sheetData>
    <row r="1" spans="1:6" ht="60.75" customHeight="1" x14ac:dyDescent="0.2"/>
    <row r="2" spans="1:6" ht="31.5" x14ac:dyDescent="0.2">
      <c r="A2" s="36" t="s">
        <v>4768</v>
      </c>
      <c r="B2" s="37"/>
      <c r="C2" s="37"/>
      <c r="D2" s="37"/>
      <c r="E2" s="38"/>
      <c r="F2" s="39"/>
    </row>
    <row r="3" spans="1:6" ht="30" x14ac:dyDescent="0.2">
      <c r="A3" s="32" t="s">
        <v>1320</v>
      </c>
      <c r="B3" s="33"/>
      <c r="C3" s="33"/>
      <c r="D3" s="33"/>
      <c r="E3" s="34"/>
      <c r="F3" s="35"/>
    </row>
    <row r="4" spans="1:6" ht="23.25" x14ac:dyDescent="0.35">
      <c r="A4" s="15" t="s">
        <v>4761</v>
      </c>
    </row>
    <row r="5" spans="1:6" ht="15" x14ac:dyDescent="0.2">
      <c r="A5" s="2"/>
    </row>
    <row r="6" spans="1:6" ht="15" x14ac:dyDescent="0.2">
      <c r="A6" s="2"/>
    </row>
    <row r="7" spans="1:6" ht="85.5" customHeight="1" x14ac:dyDescent="0.25">
      <c r="A7" s="28" t="s">
        <v>4762</v>
      </c>
      <c r="B7" s="29" t="s">
        <v>1160</v>
      </c>
      <c r="C7" s="30" t="s">
        <v>1520</v>
      </c>
      <c r="D7" s="31" t="s">
        <v>3611</v>
      </c>
      <c r="E7" s="17" t="s">
        <v>1521</v>
      </c>
      <c r="F7" s="17" t="s">
        <v>3934</v>
      </c>
    </row>
    <row r="8" spans="1:6" ht="16.5" customHeight="1" x14ac:dyDescent="0.2">
      <c r="A8" s="16"/>
      <c r="B8" s="23" t="e">
        <f>VLOOKUP(A8,data!A:E,4,0)</f>
        <v>#N/A</v>
      </c>
      <c r="C8" s="24" t="e">
        <f>VLOOKUP(A8,data!A:C,2,0)</f>
        <v>#N/A</v>
      </c>
      <c r="D8" s="25" t="e">
        <f>VLOOKUP(A8,data!A:C,3,0)</f>
        <v>#N/A</v>
      </c>
      <c r="E8" s="26" t="e">
        <f>VLOOKUP(A8,data!A:H,5,0)</f>
        <v>#N/A</v>
      </c>
      <c r="F8" s="27" t="e">
        <f>VLOOKUP(A8,data!A:F,6,0)</f>
        <v>#N/A</v>
      </c>
    </row>
    <row r="9" spans="1:6" ht="16.5" customHeight="1" x14ac:dyDescent="0.2">
      <c r="A9" s="16"/>
      <c r="B9" s="23" t="e">
        <f>VLOOKUP(A9,data!A:E,4,0)</f>
        <v>#N/A</v>
      </c>
      <c r="C9" s="24" t="e">
        <f>VLOOKUP(A9,data!A:C,2,0)</f>
        <v>#N/A</v>
      </c>
      <c r="D9" s="25" t="e">
        <f>VLOOKUP(A9,data!A:C,3,0)</f>
        <v>#N/A</v>
      </c>
      <c r="E9" s="26" t="e">
        <f>VLOOKUP(A9,data!A:H,5,0)</f>
        <v>#N/A</v>
      </c>
      <c r="F9" s="27" t="e">
        <f>VLOOKUP(A9,data!A:F,6,0)</f>
        <v>#N/A</v>
      </c>
    </row>
    <row r="10" spans="1:6" ht="16.5" customHeight="1" x14ac:dyDescent="0.2">
      <c r="A10" s="16"/>
      <c r="B10" s="23" t="e">
        <f>VLOOKUP(A10,data!A:E,4,0)</f>
        <v>#N/A</v>
      </c>
      <c r="C10" s="24" t="e">
        <f>VLOOKUP(A10,data!A:C,2,0)</f>
        <v>#N/A</v>
      </c>
      <c r="D10" s="25" t="e">
        <f>VLOOKUP(A10,data!A:C,3,0)</f>
        <v>#N/A</v>
      </c>
      <c r="E10" s="26" t="e">
        <f>VLOOKUP(A10,data!A:H,5,0)</f>
        <v>#N/A</v>
      </c>
      <c r="F10" s="27" t="e">
        <f>VLOOKUP(A10,data!A:F,6,0)</f>
        <v>#N/A</v>
      </c>
    </row>
    <row r="11" spans="1:6" ht="16.5" customHeight="1" x14ac:dyDescent="0.2">
      <c r="A11" s="16"/>
      <c r="B11" s="23" t="e">
        <f>VLOOKUP(A11,data!A:E,4,0)</f>
        <v>#N/A</v>
      </c>
      <c r="C11" s="24" t="e">
        <f>VLOOKUP(A11,data!A:C,2,0)</f>
        <v>#N/A</v>
      </c>
      <c r="D11" s="25" t="e">
        <f>VLOOKUP(A11,data!A:C,3,0)</f>
        <v>#N/A</v>
      </c>
      <c r="E11" s="26" t="e">
        <f>VLOOKUP(A11,data!A:H,5,0)</f>
        <v>#N/A</v>
      </c>
      <c r="F11" s="27" t="e">
        <f>VLOOKUP(A11,data!A:F,6,0)</f>
        <v>#N/A</v>
      </c>
    </row>
    <row r="12" spans="1:6" ht="16.5" customHeight="1" x14ac:dyDescent="0.2">
      <c r="A12" s="16"/>
      <c r="B12" s="23" t="e">
        <f>VLOOKUP(A12,data!A:E,4,0)</f>
        <v>#N/A</v>
      </c>
      <c r="C12" s="24" t="e">
        <f>VLOOKUP(A12,data!A:C,2,0)</f>
        <v>#N/A</v>
      </c>
      <c r="D12" s="25" t="e">
        <f>VLOOKUP(A12,data!A:C,3,0)</f>
        <v>#N/A</v>
      </c>
      <c r="E12" s="26" t="e">
        <f>VLOOKUP(A12,data!A:H,5,0)</f>
        <v>#N/A</v>
      </c>
      <c r="F12" s="27" t="e">
        <f>VLOOKUP(A12,data!A:F,6,0)</f>
        <v>#N/A</v>
      </c>
    </row>
    <row r="13" spans="1:6" ht="16.5" customHeight="1" x14ac:dyDescent="0.2">
      <c r="A13" s="16"/>
      <c r="B13" s="23" t="e">
        <f>VLOOKUP(A13,data!A:E,4,0)</f>
        <v>#N/A</v>
      </c>
      <c r="C13" s="24" t="e">
        <f>VLOOKUP(A13,data!A:C,2,0)</f>
        <v>#N/A</v>
      </c>
      <c r="D13" s="25" t="e">
        <f>VLOOKUP(A13,data!A:C,3,0)</f>
        <v>#N/A</v>
      </c>
      <c r="E13" s="26" t="e">
        <f>VLOOKUP(A13,data!A:H,5,0)</f>
        <v>#N/A</v>
      </c>
      <c r="F13" s="27" t="e">
        <f>VLOOKUP(A13,data!A:F,6,0)</f>
        <v>#N/A</v>
      </c>
    </row>
    <row r="14" spans="1:6" ht="16.5" customHeight="1" x14ac:dyDescent="0.2">
      <c r="A14" s="16"/>
      <c r="B14" s="23" t="e">
        <f>VLOOKUP(A14,data!A:E,4,0)</f>
        <v>#N/A</v>
      </c>
      <c r="C14" s="24" t="e">
        <f>VLOOKUP(A14,data!A:C,2,0)</f>
        <v>#N/A</v>
      </c>
      <c r="D14" s="25" t="e">
        <f>VLOOKUP(A14,data!A:C,3,0)</f>
        <v>#N/A</v>
      </c>
      <c r="E14" s="26" t="e">
        <f>VLOOKUP(A14,data!A:H,5,0)</f>
        <v>#N/A</v>
      </c>
      <c r="F14" s="27" t="e">
        <f>VLOOKUP(A14,data!A:F,6,0)</f>
        <v>#N/A</v>
      </c>
    </row>
    <row r="15" spans="1:6" ht="16.5" customHeight="1" x14ac:dyDescent="0.2">
      <c r="A15" s="16"/>
      <c r="B15" s="23" t="e">
        <f>VLOOKUP(A15,data!A:E,4,0)</f>
        <v>#N/A</v>
      </c>
      <c r="C15" s="24" t="e">
        <f>VLOOKUP(A15,data!A:C,2,0)</f>
        <v>#N/A</v>
      </c>
      <c r="D15" s="25" t="e">
        <f>VLOOKUP(A15,data!A:C,3,0)</f>
        <v>#N/A</v>
      </c>
      <c r="E15" s="26" t="e">
        <f>VLOOKUP(A15,data!A:H,5,0)</f>
        <v>#N/A</v>
      </c>
      <c r="F15" s="27" t="e">
        <f>VLOOKUP(A15,data!A:F,6,0)</f>
        <v>#N/A</v>
      </c>
    </row>
    <row r="16" spans="1:6" ht="16.5" customHeight="1" x14ac:dyDescent="0.2">
      <c r="A16" s="16"/>
      <c r="B16" s="23" t="e">
        <f>VLOOKUP(A16,data!A:E,4,0)</f>
        <v>#N/A</v>
      </c>
      <c r="C16" s="24" t="e">
        <f>VLOOKUP(A16,data!A:C,2,0)</f>
        <v>#N/A</v>
      </c>
      <c r="D16" s="25" t="e">
        <f>VLOOKUP(A16,data!A:C,3,0)</f>
        <v>#N/A</v>
      </c>
      <c r="E16" s="26" t="e">
        <f>VLOOKUP(A16,data!A:H,5,0)</f>
        <v>#N/A</v>
      </c>
      <c r="F16" s="27" t="e">
        <f>VLOOKUP(A16,data!A:F,6,0)</f>
        <v>#N/A</v>
      </c>
    </row>
    <row r="17" spans="1:6" ht="16.5" customHeight="1" x14ac:dyDescent="0.2">
      <c r="A17" s="16"/>
      <c r="B17" s="23" t="e">
        <f>VLOOKUP(A17,data!A:E,4,0)</f>
        <v>#N/A</v>
      </c>
      <c r="C17" s="24" t="e">
        <f>VLOOKUP(A17,data!A:C,2,0)</f>
        <v>#N/A</v>
      </c>
      <c r="D17" s="25" t="e">
        <f>VLOOKUP(A17,data!A:C,3,0)</f>
        <v>#N/A</v>
      </c>
      <c r="E17" s="26" t="e">
        <f>VLOOKUP(A17,data!A:H,5,0)</f>
        <v>#N/A</v>
      </c>
      <c r="F17" s="27" t="e">
        <f>VLOOKUP(A17,data!A:F,6,0)</f>
        <v>#N/A</v>
      </c>
    </row>
    <row r="18" spans="1:6" ht="16.5" customHeight="1" x14ac:dyDescent="0.2">
      <c r="A18" s="16"/>
      <c r="B18" s="23" t="e">
        <f>VLOOKUP(A18,data!A:E,4,0)</f>
        <v>#N/A</v>
      </c>
      <c r="C18" s="24" t="e">
        <f>VLOOKUP(A18,data!A:C,2,0)</f>
        <v>#N/A</v>
      </c>
      <c r="D18" s="25" t="e">
        <f>VLOOKUP(A18,data!A:C,3,0)</f>
        <v>#N/A</v>
      </c>
      <c r="E18" s="26" t="e">
        <f>VLOOKUP(A18,data!A:H,5,0)</f>
        <v>#N/A</v>
      </c>
      <c r="F18" s="27" t="e">
        <f>VLOOKUP(A18,data!A:F,6,0)</f>
        <v>#N/A</v>
      </c>
    </row>
    <row r="19" spans="1:6" ht="16.5" customHeight="1" x14ac:dyDescent="0.2">
      <c r="A19" s="16"/>
      <c r="B19" s="23" t="e">
        <f>VLOOKUP(A19,data!A:E,4,0)</f>
        <v>#N/A</v>
      </c>
      <c r="C19" s="24" t="e">
        <f>VLOOKUP(A19,data!A:C,2,0)</f>
        <v>#N/A</v>
      </c>
      <c r="D19" s="25" t="e">
        <f>VLOOKUP(A19,data!A:C,3,0)</f>
        <v>#N/A</v>
      </c>
      <c r="E19" s="26" t="e">
        <f>VLOOKUP(A19,data!A:H,5,0)</f>
        <v>#N/A</v>
      </c>
      <c r="F19" s="27" t="e">
        <f>VLOOKUP(A19,data!A:F,6,0)</f>
        <v>#N/A</v>
      </c>
    </row>
    <row r="20" spans="1:6" ht="16.5" customHeight="1" x14ac:dyDescent="0.2">
      <c r="A20" s="16"/>
      <c r="B20" s="23" t="e">
        <f>VLOOKUP(A20,data!A:E,4,0)</f>
        <v>#N/A</v>
      </c>
      <c r="C20" s="24" t="e">
        <f>VLOOKUP(A20,data!A:C,2,0)</f>
        <v>#N/A</v>
      </c>
      <c r="D20" s="25" t="e">
        <f>VLOOKUP(A20,data!A:C,3,0)</f>
        <v>#N/A</v>
      </c>
      <c r="E20" s="26" t="e">
        <f>VLOOKUP(A20,data!A:H,5,0)</f>
        <v>#N/A</v>
      </c>
      <c r="F20" s="27" t="e">
        <f>VLOOKUP(A20,data!A:F,6,0)</f>
        <v>#N/A</v>
      </c>
    </row>
    <row r="21" spans="1:6" ht="16.5" customHeight="1" x14ac:dyDescent="0.2">
      <c r="A21" s="16"/>
      <c r="B21" s="23" t="e">
        <f>VLOOKUP(A21,data!A:E,4,0)</f>
        <v>#N/A</v>
      </c>
      <c r="C21" s="24" t="e">
        <f>VLOOKUP(A21,data!A:C,2,0)</f>
        <v>#N/A</v>
      </c>
      <c r="D21" s="25" t="e">
        <f>VLOOKUP(A21,data!A:C,3,0)</f>
        <v>#N/A</v>
      </c>
      <c r="E21" s="26" t="e">
        <f>VLOOKUP(A21,data!A:H,5,0)</f>
        <v>#N/A</v>
      </c>
      <c r="F21" s="27" t="e">
        <f>VLOOKUP(A21,data!A:F,6,0)</f>
        <v>#N/A</v>
      </c>
    </row>
    <row r="22" spans="1:6" ht="16.5" customHeight="1" x14ac:dyDescent="0.2">
      <c r="A22" s="16"/>
      <c r="B22" s="23" t="e">
        <f>VLOOKUP(A22,data!A:E,4,0)</f>
        <v>#N/A</v>
      </c>
      <c r="C22" s="24" t="e">
        <f>VLOOKUP(A22,data!A:C,2,0)</f>
        <v>#N/A</v>
      </c>
      <c r="D22" s="25" t="e">
        <f>VLOOKUP(A22,data!A:C,3,0)</f>
        <v>#N/A</v>
      </c>
      <c r="E22" s="26" t="e">
        <f>VLOOKUP(A22,data!A:H,5,0)</f>
        <v>#N/A</v>
      </c>
      <c r="F22" s="27" t="e">
        <f>VLOOKUP(A22,data!A:F,6,0)</f>
        <v>#N/A</v>
      </c>
    </row>
    <row r="23" spans="1:6" ht="16.5" customHeight="1" x14ac:dyDescent="0.2">
      <c r="A23" s="16"/>
      <c r="B23" s="23" t="e">
        <f>VLOOKUP(A23,data!A:E,4,0)</f>
        <v>#N/A</v>
      </c>
      <c r="C23" s="24" t="e">
        <f>VLOOKUP(A23,data!A:C,2,0)</f>
        <v>#N/A</v>
      </c>
      <c r="D23" s="25" t="e">
        <f>VLOOKUP(A23,data!A:C,3,0)</f>
        <v>#N/A</v>
      </c>
      <c r="E23" s="26" t="e">
        <f>VLOOKUP(A23,data!A:H,5,0)</f>
        <v>#N/A</v>
      </c>
      <c r="F23" s="27" t="e">
        <f>VLOOKUP(A23,data!A:F,6,0)</f>
        <v>#N/A</v>
      </c>
    </row>
    <row r="24" spans="1:6" ht="16.5" customHeight="1" x14ac:dyDescent="0.2">
      <c r="A24" s="16"/>
      <c r="B24" s="23" t="e">
        <f>VLOOKUP(A24,data!A:E,4,0)</f>
        <v>#N/A</v>
      </c>
      <c r="C24" s="24" t="e">
        <f>VLOOKUP(A24,data!A:C,2,0)</f>
        <v>#N/A</v>
      </c>
      <c r="D24" s="25" t="e">
        <f>VLOOKUP(A24,data!A:C,3,0)</f>
        <v>#N/A</v>
      </c>
      <c r="E24" s="26" t="e">
        <f>VLOOKUP(A24,data!A:H,5,0)</f>
        <v>#N/A</v>
      </c>
      <c r="F24" s="27" t="e">
        <f>VLOOKUP(A24,data!A:F,6,0)</f>
        <v>#N/A</v>
      </c>
    </row>
    <row r="25" spans="1:6" ht="16.5" customHeight="1" x14ac:dyDescent="0.2">
      <c r="A25" s="16"/>
      <c r="B25" s="23" t="e">
        <f>VLOOKUP(A25,data!A:E,4,0)</f>
        <v>#N/A</v>
      </c>
      <c r="C25" s="24" t="e">
        <f>VLOOKUP(A25,data!A:C,2,0)</f>
        <v>#N/A</v>
      </c>
      <c r="D25" s="25" t="e">
        <f>VLOOKUP(A25,data!A:C,3,0)</f>
        <v>#N/A</v>
      </c>
      <c r="E25" s="26" t="e">
        <f>VLOOKUP(A25,data!A:H,5,0)</f>
        <v>#N/A</v>
      </c>
      <c r="F25" s="27" t="e">
        <f>VLOOKUP(A25,data!A:F,6,0)</f>
        <v>#N/A</v>
      </c>
    </row>
    <row r="26" spans="1:6" ht="16.5" customHeight="1" x14ac:dyDescent="0.2">
      <c r="A26" s="16"/>
      <c r="B26" s="23" t="e">
        <f>VLOOKUP(A26,data!A:E,4,0)</f>
        <v>#N/A</v>
      </c>
      <c r="C26" s="24" t="e">
        <f>VLOOKUP(A26,data!A:C,2,0)</f>
        <v>#N/A</v>
      </c>
      <c r="D26" s="25" t="e">
        <f>VLOOKUP(A26,data!A:C,3,0)</f>
        <v>#N/A</v>
      </c>
      <c r="E26" s="26" t="e">
        <f>VLOOKUP(A26,data!A:H,5,0)</f>
        <v>#N/A</v>
      </c>
      <c r="F26" s="27" t="e">
        <f>VLOOKUP(A26,data!A:F,6,0)</f>
        <v>#N/A</v>
      </c>
    </row>
    <row r="27" spans="1:6" ht="16.5" customHeight="1" x14ac:dyDescent="0.2">
      <c r="A27" s="16"/>
      <c r="B27" s="23" t="e">
        <f>VLOOKUP(A27,data!A:E,4,0)</f>
        <v>#N/A</v>
      </c>
      <c r="C27" s="24" t="e">
        <f>VLOOKUP(A27,data!A:C,2,0)</f>
        <v>#N/A</v>
      </c>
      <c r="D27" s="25" t="e">
        <f>VLOOKUP(A27,data!A:C,3,0)</f>
        <v>#N/A</v>
      </c>
      <c r="E27" s="26" t="e">
        <f>VLOOKUP(A27,data!A:H,5,0)</f>
        <v>#N/A</v>
      </c>
      <c r="F27" s="27" t="e">
        <f>VLOOKUP(A27,data!A:F,6,0)</f>
        <v>#N/A</v>
      </c>
    </row>
    <row r="28" spans="1:6" ht="16.5" customHeight="1" x14ac:dyDescent="0.2">
      <c r="A28" s="16"/>
      <c r="B28" s="23" t="e">
        <f>VLOOKUP(A28,data!A:E,4,0)</f>
        <v>#N/A</v>
      </c>
      <c r="C28" s="24" t="e">
        <f>VLOOKUP(A28,data!A:C,2,0)</f>
        <v>#N/A</v>
      </c>
      <c r="D28" s="25" t="e">
        <f>VLOOKUP(A28,data!A:C,3,0)</f>
        <v>#N/A</v>
      </c>
      <c r="E28" s="26" t="e">
        <f>VLOOKUP(A28,data!A:H,5,0)</f>
        <v>#N/A</v>
      </c>
      <c r="F28" s="27" t="e">
        <f>VLOOKUP(A28,data!A:F,6,0)</f>
        <v>#N/A</v>
      </c>
    </row>
    <row r="29" spans="1:6" ht="16.5" customHeight="1" x14ac:dyDescent="0.2">
      <c r="A29" s="16"/>
      <c r="B29" s="23" t="e">
        <f>VLOOKUP(A29,data!A:E,4,0)</f>
        <v>#N/A</v>
      </c>
      <c r="C29" s="24" t="e">
        <f>VLOOKUP(A29,data!A:C,2,0)</f>
        <v>#N/A</v>
      </c>
      <c r="D29" s="25" t="e">
        <f>VLOOKUP(A29,data!A:C,3,0)</f>
        <v>#N/A</v>
      </c>
      <c r="E29" s="26" t="e">
        <f>VLOOKUP(A29,data!A:H,5,0)</f>
        <v>#N/A</v>
      </c>
      <c r="F29" s="27" t="e">
        <f>VLOOKUP(A29,data!A:F,6,0)</f>
        <v>#N/A</v>
      </c>
    </row>
    <row r="30" spans="1:6" ht="16.5" customHeight="1" x14ac:dyDescent="0.2">
      <c r="A30" s="16"/>
      <c r="B30" s="23" t="e">
        <f>VLOOKUP(A30,data!A:E,4,0)</f>
        <v>#N/A</v>
      </c>
      <c r="C30" s="24" t="e">
        <f>VLOOKUP(A30,data!A:C,2,0)</f>
        <v>#N/A</v>
      </c>
      <c r="D30" s="25" t="e">
        <f>VLOOKUP(A30,data!A:C,3,0)</f>
        <v>#N/A</v>
      </c>
      <c r="E30" s="26" t="e">
        <f>VLOOKUP(A30,data!A:H,5,0)</f>
        <v>#N/A</v>
      </c>
      <c r="F30" s="27" t="e">
        <f>VLOOKUP(A30,data!A:F,6,0)</f>
        <v>#N/A</v>
      </c>
    </row>
    <row r="31" spans="1:6" ht="16.5" customHeight="1" x14ac:dyDescent="0.2">
      <c r="A31" s="16"/>
      <c r="B31" s="23" t="e">
        <f>VLOOKUP(A31,data!A:E,4,0)</f>
        <v>#N/A</v>
      </c>
      <c r="C31" s="24" t="e">
        <f>VLOOKUP(A31,data!A:C,2,0)</f>
        <v>#N/A</v>
      </c>
      <c r="D31" s="25" t="e">
        <f>VLOOKUP(A31,data!A:C,3,0)</f>
        <v>#N/A</v>
      </c>
      <c r="E31" s="26" t="e">
        <f>VLOOKUP(A31,data!A:H,5,0)</f>
        <v>#N/A</v>
      </c>
      <c r="F31" s="27" t="e">
        <f>VLOOKUP(A31,data!A:F,6,0)</f>
        <v>#N/A</v>
      </c>
    </row>
    <row r="32" spans="1:6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</sheetData>
  <mergeCells count="2">
    <mergeCell ref="A3:F3"/>
    <mergeCell ref="A2:F2"/>
  </mergeCells>
  <phoneticPr fontId="0" type="noConversion"/>
  <pageMargins left="0.33" right="0.26" top="0.49" bottom="0.47" header="0.5" footer="0.5"/>
  <pageSetup paperSize="9" scale="96" orientation="landscape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76"/>
  <sheetViews>
    <sheetView workbookViewId="0">
      <selection activeCell="A2" sqref="A2"/>
    </sheetView>
  </sheetViews>
  <sheetFormatPr defaultRowHeight="12.75" x14ac:dyDescent="0.2"/>
  <cols>
    <col min="1" max="1" width="14.5703125" style="14" bestFit="1" customWidth="1"/>
    <col min="2" max="2" width="38.140625" style="14" bestFit="1" customWidth="1"/>
    <col min="3" max="3" width="26.140625" style="14" bestFit="1" customWidth="1"/>
    <col min="4" max="4" width="37" style="14" bestFit="1" customWidth="1"/>
    <col min="5" max="5" width="30" style="9" customWidth="1"/>
    <col min="6" max="6" width="27.5703125" style="4" bestFit="1" customWidth="1"/>
    <col min="7" max="7" width="9.140625" style="4"/>
    <col min="8" max="8" width="11.85546875" style="4" customWidth="1"/>
    <col min="9" max="16384" width="9.140625" style="4"/>
  </cols>
  <sheetData>
    <row r="1" spans="1:8" ht="25.5" x14ac:dyDescent="0.2">
      <c r="A1" s="18" t="s">
        <v>507</v>
      </c>
      <c r="B1" s="18" t="s">
        <v>1520</v>
      </c>
      <c r="C1" s="18" t="s">
        <v>2848</v>
      </c>
      <c r="D1" s="18" t="s">
        <v>3941</v>
      </c>
      <c r="E1" s="9" t="s">
        <v>3614</v>
      </c>
      <c r="F1" s="4" t="s">
        <v>3942</v>
      </c>
      <c r="G1" s="4" t="s">
        <v>1052</v>
      </c>
      <c r="H1" s="4" t="s">
        <v>1051</v>
      </c>
    </row>
    <row r="2" spans="1:8" x14ac:dyDescent="0.2">
      <c r="A2" s="14" t="s">
        <v>488</v>
      </c>
      <c r="B2" s="14" t="s">
        <v>3612</v>
      </c>
      <c r="C2" s="14" t="s">
        <v>2970</v>
      </c>
      <c r="D2" s="14" t="s">
        <v>120</v>
      </c>
      <c r="E2" s="11" t="s">
        <v>3657</v>
      </c>
      <c r="F2" s="4" t="s">
        <v>1523</v>
      </c>
    </row>
    <row r="3" spans="1:8" x14ac:dyDescent="0.2">
      <c r="A3" s="14" t="s">
        <v>483</v>
      </c>
      <c r="B3" s="14" t="s">
        <v>4746</v>
      </c>
      <c r="C3" s="14" t="s">
        <v>2971</v>
      </c>
      <c r="D3" s="14" t="s">
        <v>121</v>
      </c>
      <c r="E3" s="11"/>
      <c r="F3" s="4" t="s">
        <v>1523</v>
      </c>
    </row>
    <row r="4" spans="1:8" x14ac:dyDescent="0.2">
      <c r="A4" s="14" t="s">
        <v>478</v>
      </c>
      <c r="B4" s="14" t="s">
        <v>3612</v>
      </c>
      <c r="C4" s="14" t="s">
        <v>2972</v>
      </c>
      <c r="D4" s="14" t="s">
        <v>122</v>
      </c>
      <c r="E4" s="11" t="s">
        <v>3658</v>
      </c>
      <c r="F4" s="4" t="s">
        <v>1523</v>
      </c>
    </row>
    <row r="5" spans="1:8" x14ac:dyDescent="0.2">
      <c r="A5" s="14" t="s">
        <v>487</v>
      </c>
      <c r="B5" s="14" t="s">
        <v>3612</v>
      </c>
      <c r="C5" s="14" t="s">
        <v>2973</v>
      </c>
      <c r="D5" s="14" t="s">
        <v>123</v>
      </c>
      <c r="E5" s="11" t="s">
        <v>3659</v>
      </c>
      <c r="F5" s="4" t="s">
        <v>1523</v>
      </c>
    </row>
    <row r="6" spans="1:8" x14ac:dyDescent="0.2">
      <c r="A6" s="14" t="s">
        <v>482</v>
      </c>
      <c r="B6" s="14" t="s">
        <v>4746</v>
      </c>
      <c r="C6" s="14" t="s">
        <v>2971</v>
      </c>
      <c r="D6" s="14" t="s">
        <v>124</v>
      </c>
      <c r="E6" s="11"/>
      <c r="F6" s="4" t="s">
        <v>1523</v>
      </c>
    </row>
    <row r="7" spans="1:8" x14ac:dyDescent="0.2">
      <c r="A7" s="14" t="s">
        <v>477</v>
      </c>
      <c r="B7" s="14" t="s">
        <v>3612</v>
      </c>
      <c r="C7" s="14" t="s">
        <v>2974</v>
      </c>
      <c r="D7" s="14" t="s">
        <v>125</v>
      </c>
      <c r="E7" s="11" t="s">
        <v>3660</v>
      </c>
      <c r="F7" s="4" t="s">
        <v>1523</v>
      </c>
    </row>
    <row r="8" spans="1:8" x14ac:dyDescent="0.2">
      <c r="A8" s="14" t="s">
        <v>484</v>
      </c>
      <c r="B8" s="14" t="s">
        <v>3612</v>
      </c>
      <c r="C8" s="14" t="s">
        <v>2975</v>
      </c>
      <c r="D8" s="14" t="s">
        <v>126</v>
      </c>
      <c r="E8" s="11" t="s">
        <v>3661</v>
      </c>
      <c r="F8" s="4" t="s">
        <v>1523</v>
      </c>
    </row>
    <row r="9" spans="1:8" x14ac:dyDescent="0.2">
      <c r="A9" s="14" t="s">
        <v>479</v>
      </c>
      <c r="B9" s="14" t="s">
        <v>4746</v>
      </c>
      <c r="C9" s="14" t="s">
        <v>2971</v>
      </c>
      <c r="D9" s="14" t="s">
        <v>127</v>
      </c>
      <c r="E9" s="11"/>
      <c r="F9" s="4" t="s">
        <v>1523</v>
      </c>
    </row>
    <row r="10" spans="1:8" x14ac:dyDescent="0.2">
      <c r="A10" s="14" t="s">
        <v>474</v>
      </c>
      <c r="B10" s="14" t="s">
        <v>3612</v>
      </c>
      <c r="C10" s="14" t="s">
        <v>2976</v>
      </c>
      <c r="D10" s="14" t="s">
        <v>128</v>
      </c>
      <c r="E10" s="11" t="s">
        <v>128</v>
      </c>
      <c r="F10" s="4" t="s">
        <v>1523</v>
      </c>
    </row>
    <row r="11" spans="1:8" x14ac:dyDescent="0.2">
      <c r="A11" s="14" t="s">
        <v>485</v>
      </c>
      <c r="B11" s="14" t="s">
        <v>3612</v>
      </c>
      <c r="C11" s="14" t="s">
        <v>2977</v>
      </c>
      <c r="D11" s="14" t="s">
        <v>129</v>
      </c>
      <c r="E11" s="11" t="s">
        <v>3662</v>
      </c>
      <c r="F11" s="4" t="s">
        <v>1523</v>
      </c>
    </row>
    <row r="12" spans="1:8" x14ac:dyDescent="0.2">
      <c r="A12" s="14" t="s">
        <v>480</v>
      </c>
      <c r="B12" s="14" t="s">
        <v>4746</v>
      </c>
      <c r="C12" s="14" t="s">
        <v>2971</v>
      </c>
      <c r="D12" s="14" t="s">
        <v>130</v>
      </c>
      <c r="E12" s="11"/>
      <c r="F12" s="4" t="s">
        <v>1523</v>
      </c>
    </row>
    <row r="13" spans="1:8" x14ac:dyDescent="0.2">
      <c r="A13" s="14" t="s">
        <v>475</v>
      </c>
      <c r="B13" s="14" t="s">
        <v>3612</v>
      </c>
      <c r="C13" s="14" t="s">
        <v>2978</v>
      </c>
      <c r="D13" s="14" t="s">
        <v>131</v>
      </c>
      <c r="E13" s="11" t="s">
        <v>131</v>
      </c>
      <c r="F13" s="4" t="s">
        <v>1523</v>
      </c>
    </row>
    <row r="14" spans="1:8" x14ac:dyDescent="0.2">
      <c r="A14" s="14" t="s">
        <v>486</v>
      </c>
      <c r="B14" s="14" t="s">
        <v>3612</v>
      </c>
      <c r="C14" s="14" t="s">
        <v>2979</v>
      </c>
      <c r="D14" s="14" t="s">
        <v>132</v>
      </c>
      <c r="E14" s="11" t="s">
        <v>3663</v>
      </c>
      <c r="F14" s="4" t="s">
        <v>1523</v>
      </c>
    </row>
    <row r="15" spans="1:8" x14ac:dyDescent="0.2">
      <c r="A15" s="14" t="s">
        <v>481</v>
      </c>
      <c r="B15" s="14" t="s">
        <v>4746</v>
      </c>
      <c r="C15" s="14" t="s">
        <v>2971</v>
      </c>
      <c r="D15" s="14" t="s">
        <v>133</v>
      </c>
      <c r="E15" s="11"/>
      <c r="F15" s="4" t="s">
        <v>1523</v>
      </c>
    </row>
    <row r="16" spans="1:8" x14ac:dyDescent="0.2">
      <c r="A16" s="14" t="s">
        <v>476</v>
      </c>
      <c r="B16" s="14" t="s">
        <v>3612</v>
      </c>
      <c r="C16" s="14" t="s">
        <v>2980</v>
      </c>
      <c r="D16" s="14" t="s">
        <v>134</v>
      </c>
      <c r="E16" s="11" t="s">
        <v>3664</v>
      </c>
      <c r="F16" s="4" t="s">
        <v>1523</v>
      </c>
    </row>
    <row r="17" spans="1:6" x14ac:dyDescent="0.2">
      <c r="A17" s="14" t="s">
        <v>1430</v>
      </c>
      <c r="B17" s="14" t="s">
        <v>4746</v>
      </c>
      <c r="C17" s="14" t="s">
        <v>2993</v>
      </c>
      <c r="D17" s="14" t="s">
        <v>135</v>
      </c>
      <c r="E17" s="11"/>
      <c r="F17" s="4" t="s">
        <v>1523</v>
      </c>
    </row>
    <row r="18" spans="1:6" x14ac:dyDescent="0.2">
      <c r="A18" s="14" t="s">
        <v>498</v>
      </c>
      <c r="B18" s="14" t="s">
        <v>4746</v>
      </c>
      <c r="C18" s="14" t="s">
        <v>2992</v>
      </c>
      <c r="D18" s="14" t="s">
        <v>136</v>
      </c>
      <c r="E18" s="11"/>
      <c r="F18" s="4" t="s">
        <v>1523</v>
      </c>
    </row>
    <row r="19" spans="1:6" x14ac:dyDescent="0.2">
      <c r="A19" s="14" t="s">
        <v>1431</v>
      </c>
      <c r="B19" s="14" t="s">
        <v>3612</v>
      </c>
      <c r="C19" s="14" t="s">
        <v>2981</v>
      </c>
      <c r="D19" s="14" t="s">
        <v>137</v>
      </c>
      <c r="E19" s="11" t="s">
        <v>3665</v>
      </c>
      <c r="F19" s="4" t="s">
        <v>1523</v>
      </c>
    </row>
    <row r="20" spans="1:6" x14ac:dyDescent="0.2">
      <c r="A20" s="14" t="s">
        <v>1429</v>
      </c>
      <c r="B20" s="14" t="s">
        <v>4746</v>
      </c>
      <c r="C20" s="14" t="s">
        <v>2971</v>
      </c>
      <c r="D20" s="14" t="s">
        <v>138</v>
      </c>
      <c r="E20" s="11"/>
      <c r="F20" s="4" t="s">
        <v>1523</v>
      </c>
    </row>
    <row r="21" spans="1:6" x14ac:dyDescent="0.2">
      <c r="A21" s="14" t="s">
        <v>499</v>
      </c>
      <c r="B21" s="14" t="s">
        <v>3612</v>
      </c>
      <c r="C21" s="14" t="s">
        <v>2982</v>
      </c>
      <c r="D21" s="14" t="s">
        <v>139</v>
      </c>
      <c r="E21" s="11" t="s">
        <v>3666</v>
      </c>
      <c r="F21" s="4" t="s">
        <v>1523</v>
      </c>
    </row>
    <row r="22" spans="1:6" x14ac:dyDescent="0.2">
      <c r="A22" s="14" t="s">
        <v>1438</v>
      </c>
      <c r="B22" s="14" t="s">
        <v>4746</v>
      </c>
      <c r="C22" s="14" t="s">
        <v>2993</v>
      </c>
      <c r="D22" s="14" t="s">
        <v>172</v>
      </c>
      <c r="E22" s="11"/>
      <c r="F22" s="4" t="s">
        <v>1523</v>
      </c>
    </row>
    <row r="23" spans="1:6" x14ac:dyDescent="0.2">
      <c r="A23" s="14" t="s">
        <v>1436</v>
      </c>
      <c r="B23" s="14" t="s">
        <v>3612</v>
      </c>
      <c r="C23" s="14" t="s">
        <v>2994</v>
      </c>
      <c r="D23" s="14" t="s">
        <v>173</v>
      </c>
      <c r="E23" s="11" t="s">
        <v>3673</v>
      </c>
      <c r="F23" s="4" t="s">
        <v>1523</v>
      </c>
    </row>
    <row r="24" spans="1:6" x14ac:dyDescent="0.2">
      <c r="A24" s="14" t="s">
        <v>1439</v>
      </c>
      <c r="B24" s="14" t="s">
        <v>4746</v>
      </c>
      <c r="C24" s="14" t="s">
        <v>2993</v>
      </c>
      <c r="D24" s="14" t="s">
        <v>174</v>
      </c>
      <c r="E24" s="11"/>
      <c r="F24" s="4" t="s">
        <v>1523</v>
      </c>
    </row>
    <row r="25" spans="1:6" x14ac:dyDescent="0.2">
      <c r="A25" s="14" t="s">
        <v>1437</v>
      </c>
      <c r="B25" s="14" t="s">
        <v>3612</v>
      </c>
      <c r="C25" s="14" t="s">
        <v>2995</v>
      </c>
      <c r="D25" s="14" t="s">
        <v>175</v>
      </c>
      <c r="E25" s="11" t="s">
        <v>3674</v>
      </c>
      <c r="F25" s="4" t="s">
        <v>1523</v>
      </c>
    </row>
    <row r="26" spans="1:6" x14ac:dyDescent="0.2">
      <c r="A26" s="14" t="s">
        <v>1156</v>
      </c>
      <c r="B26" s="14" t="s">
        <v>4746</v>
      </c>
      <c r="C26" s="14" t="s">
        <v>2993</v>
      </c>
      <c r="D26" s="14" t="s">
        <v>199</v>
      </c>
      <c r="E26" s="11"/>
      <c r="F26" s="4" t="s">
        <v>1523</v>
      </c>
    </row>
    <row r="27" spans="1:6" x14ac:dyDescent="0.2">
      <c r="A27" s="14" t="s">
        <v>1158</v>
      </c>
      <c r="B27" s="14" t="s">
        <v>4746</v>
      </c>
      <c r="C27" s="14" t="s">
        <v>2993</v>
      </c>
      <c r="D27" s="14" t="s">
        <v>200</v>
      </c>
      <c r="E27" s="11"/>
      <c r="F27" s="4" t="s">
        <v>1523</v>
      </c>
    </row>
    <row r="28" spans="1:6" x14ac:dyDescent="0.2">
      <c r="A28" s="14" t="s">
        <v>628</v>
      </c>
      <c r="B28" s="14" t="s">
        <v>4746</v>
      </c>
      <c r="C28" s="14" t="s">
        <v>2853</v>
      </c>
      <c r="D28" s="14" t="s">
        <v>201</v>
      </c>
      <c r="E28" s="11"/>
      <c r="F28" s="4" t="s">
        <v>4751</v>
      </c>
    </row>
    <row r="29" spans="1:6" x14ac:dyDescent="0.2">
      <c r="A29" s="14" t="s">
        <v>1145</v>
      </c>
      <c r="B29" s="14" t="s">
        <v>4746</v>
      </c>
      <c r="C29" s="14" t="s">
        <v>2971</v>
      </c>
      <c r="D29" s="14" t="s">
        <v>202</v>
      </c>
      <c r="E29" s="11"/>
      <c r="F29" s="4" t="s">
        <v>1523</v>
      </c>
    </row>
    <row r="30" spans="1:6" x14ac:dyDescent="0.2">
      <c r="A30" s="14" t="s">
        <v>1142</v>
      </c>
      <c r="B30" s="14" t="s">
        <v>3612</v>
      </c>
      <c r="C30" s="14" t="s">
        <v>3013</v>
      </c>
      <c r="D30" s="14" t="s">
        <v>203</v>
      </c>
      <c r="E30" s="11" t="s">
        <v>3676</v>
      </c>
      <c r="F30" s="4" t="s">
        <v>1523</v>
      </c>
    </row>
    <row r="31" spans="1:6" x14ac:dyDescent="0.2">
      <c r="A31" s="14" t="s">
        <v>600</v>
      </c>
      <c r="B31" s="14" t="s">
        <v>4746</v>
      </c>
      <c r="C31" s="14" t="s">
        <v>2992</v>
      </c>
      <c r="D31" s="14" t="s">
        <v>164</v>
      </c>
      <c r="E31" s="11"/>
      <c r="F31" s="4" t="s">
        <v>1523</v>
      </c>
    </row>
    <row r="32" spans="1:6" x14ac:dyDescent="0.2">
      <c r="A32" s="14" t="s">
        <v>1154</v>
      </c>
      <c r="B32" s="14" t="s">
        <v>4746</v>
      </c>
      <c r="C32" s="14" t="s">
        <v>2971</v>
      </c>
      <c r="D32" s="14" t="s">
        <v>204</v>
      </c>
      <c r="E32" s="11"/>
      <c r="F32" s="4" t="s">
        <v>1523</v>
      </c>
    </row>
    <row r="33" spans="1:6" x14ac:dyDescent="0.2">
      <c r="A33" s="14" t="s">
        <v>1140</v>
      </c>
      <c r="B33" s="14" t="s">
        <v>3612</v>
      </c>
      <c r="C33" s="14" t="s">
        <v>3014</v>
      </c>
      <c r="D33" s="14" t="s">
        <v>205</v>
      </c>
      <c r="E33" s="11" t="s">
        <v>3677</v>
      </c>
      <c r="F33" s="4" t="s">
        <v>1523</v>
      </c>
    </row>
    <row r="34" spans="1:6" x14ac:dyDescent="0.2">
      <c r="A34" s="14" t="s">
        <v>1155</v>
      </c>
      <c r="B34" s="14" t="s">
        <v>3612</v>
      </c>
      <c r="C34" s="14" t="s">
        <v>3015</v>
      </c>
      <c r="D34" s="14" t="s">
        <v>206</v>
      </c>
      <c r="E34" s="11" t="s">
        <v>3678</v>
      </c>
      <c r="F34" s="4" t="s">
        <v>1523</v>
      </c>
    </row>
    <row r="35" spans="1:6" x14ac:dyDescent="0.2">
      <c r="A35" s="14" t="s">
        <v>1157</v>
      </c>
      <c r="B35" s="14" t="s">
        <v>3612</v>
      </c>
      <c r="C35" s="14" t="s">
        <v>3016</v>
      </c>
      <c r="D35" s="14" t="s">
        <v>207</v>
      </c>
      <c r="E35" s="11" t="s">
        <v>3679</v>
      </c>
      <c r="F35" s="4" t="s">
        <v>1523</v>
      </c>
    </row>
    <row r="36" spans="1:6" x14ac:dyDescent="0.2">
      <c r="A36" s="14" t="s">
        <v>601</v>
      </c>
      <c r="B36" s="14" t="s">
        <v>4746</v>
      </c>
      <c r="C36" s="14" t="s">
        <v>2992</v>
      </c>
      <c r="D36" s="14" t="s">
        <v>165</v>
      </c>
      <c r="E36" s="11"/>
      <c r="F36" s="4" t="s">
        <v>1523</v>
      </c>
    </row>
    <row r="37" spans="1:6" x14ac:dyDescent="0.2">
      <c r="A37" s="14" t="s">
        <v>1144</v>
      </c>
      <c r="B37" s="14" t="s">
        <v>4746</v>
      </c>
      <c r="C37" s="14" t="s">
        <v>2971</v>
      </c>
      <c r="D37" s="14" t="s">
        <v>208</v>
      </c>
      <c r="E37" s="11"/>
      <c r="F37" s="4" t="s">
        <v>1523</v>
      </c>
    </row>
    <row r="38" spans="1:6" x14ac:dyDescent="0.2">
      <c r="A38" s="14" t="s">
        <v>1141</v>
      </c>
      <c r="B38" s="14" t="s">
        <v>3612</v>
      </c>
      <c r="C38" s="14" t="s">
        <v>3017</v>
      </c>
      <c r="D38" s="14" t="s">
        <v>209</v>
      </c>
      <c r="E38" s="11" t="s">
        <v>209</v>
      </c>
      <c r="F38" s="4" t="s">
        <v>1523</v>
      </c>
    </row>
    <row r="39" spans="1:6" x14ac:dyDescent="0.2">
      <c r="A39" s="14" t="s">
        <v>629</v>
      </c>
      <c r="B39" s="14" t="s">
        <v>4746</v>
      </c>
      <c r="C39" s="14" t="s">
        <v>2992</v>
      </c>
      <c r="D39" s="14" t="s">
        <v>210</v>
      </c>
      <c r="E39" s="11"/>
      <c r="F39" s="4" t="s">
        <v>1523</v>
      </c>
    </row>
    <row r="40" spans="1:6" x14ac:dyDescent="0.2">
      <c r="A40" s="14" t="s">
        <v>1143</v>
      </c>
      <c r="B40" s="14" t="s">
        <v>4746</v>
      </c>
      <c r="C40" s="14" t="s">
        <v>2971</v>
      </c>
      <c r="D40" s="14" t="s">
        <v>211</v>
      </c>
      <c r="E40" s="11"/>
      <c r="F40" s="4" t="s">
        <v>1523</v>
      </c>
    </row>
    <row r="41" spans="1:6" x14ac:dyDescent="0.2">
      <c r="A41" s="14" t="s">
        <v>1139</v>
      </c>
      <c r="B41" s="14" t="s">
        <v>3612</v>
      </c>
      <c r="C41" s="14" t="s">
        <v>3018</v>
      </c>
      <c r="D41" s="14" t="s">
        <v>212</v>
      </c>
      <c r="E41" s="11" t="s">
        <v>212</v>
      </c>
      <c r="F41" s="4" t="s">
        <v>1523</v>
      </c>
    </row>
    <row r="42" spans="1:6" x14ac:dyDescent="0.2">
      <c r="A42" s="14" t="s">
        <v>1108</v>
      </c>
      <c r="B42" s="14" t="s">
        <v>4746</v>
      </c>
      <c r="C42" s="14" t="s">
        <v>2993</v>
      </c>
      <c r="D42" s="14" t="s">
        <v>141</v>
      </c>
      <c r="E42" s="11"/>
      <c r="F42" s="4" t="s">
        <v>1523</v>
      </c>
    </row>
    <row r="43" spans="1:6" x14ac:dyDescent="0.2">
      <c r="A43" s="14" t="s">
        <v>1109</v>
      </c>
      <c r="B43" s="14" t="s">
        <v>4746</v>
      </c>
      <c r="C43" s="14" t="s">
        <v>2993</v>
      </c>
      <c r="D43" s="14" t="s">
        <v>142</v>
      </c>
      <c r="E43" s="11"/>
      <c r="F43" s="4" t="s">
        <v>1523</v>
      </c>
    </row>
    <row r="44" spans="1:6" x14ac:dyDescent="0.2">
      <c r="A44" s="14" t="s">
        <v>598</v>
      </c>
      <c r="B44" s="14" t="s">
        <v>4746</v>
      </c>
      <c r="C44" s="14" t="s">
        <v>2971</v>
      </c>
      <c r="D44" s="14" t="s">
        <v>140</v>
      </c>
      <c r="E44" s="11"/>
      <c r="F44" s="4" t="s">
        <v>1523</v>
      </c>
    </row>
    <row r="45" spans="1:6" x14ac:dyDescent="0.2">
      <c r="A45" s="14" t="s">
        <v>1104</v>
      </c>
      <c r="B45" s="14" t="s">
        <v>4746</v>
      </c>
      <c r="C45" s="14" t="s">
        <v>2971</v>
      </c>
      <c r="D45" s="14" t="s">
        <v>143</v>
      </c>
      <c r="E45" s="11"/>
      <c r="F45" s="4" t="s">
        <v>1523</v>
      </c>
    </row>
    <row r="46" spans="1:6" x14ac:dyDescent="0.2">
      <c r="A46" s="14" t="s">
        <v>1101</v>
      </c>
      <c r="B46" s="14" t="s">
        <v>3612</v>
      </c>
      <c r="C46" s="14" t="s">
        <v>2983</v>
      </c>
      <c r="D46" s="14" t="s">
        <v>144</v>
      </c>
      <c r="E46" s="11" t="s">
        <v>3667</v>
      </c>
      <c r="F46" s="4" t="s">
        <v>1523</v>
      </c>
    </row>
    <row r="47" spans="1:6" x14ac:dyDescent="0.2">
      <c r="A47" s="14" t="s">
        <v>1100</v>
      </c>
      <c r="B47" s="14" t="s">
        <v>3612</v>
      </c>
      <c r="C47" s="14" t="s">
        <v>2984</v>
      </c>
      <c r="D47" s="14" t="s">
        <v>145</v>
      </c>
      <c r="E47" s="11" t="s">
        <v>3668</v>
      </c>
      <c r="F47" s="4" t="s">
        <v>1523</v>
      </c>
    </row>
    <row r="48" spans="1:6" x14ac:dyDescent="0.2">
      <c r="A48" s="14" t="s">
        <v>1110</v>
      </c>
      <c r="B48" s="14" t="s">
        <v>4746</v>
      </c>
      <c r="C48" s="14" t="s">
        <v>2993</v>
      </c>
      <c r="D48" s="14" t="s">
        <v>146</v>
      </c>
      <c r="E48" s="11"/>
      <c r="F48" s="4" t="s">
        <v>1523</v>
      </c>
    </row>
    <row r="49" spans="1:6" x14ac:dyDescent="0.2">
      <c r="A49" s="14" t="s">
        <v>1105</v>
      </c>
      <c r="B49" s="14" t="s">
        <v>4746</v>
      </c>
      <c r="C49" s="14" t="s">
        <v>2971</v>
      </c>
      <c r="D49" s="14" t="s">
        <v>146</v>
      </c>
      <c r="E49" s="11"/>
      <c r="F49" s="4" t="s">
        <v>1523</v>
      </c>
    </row>
    <row r="50" spans="1:6" x14ac:dyDescent="0.2">
      <c r="A50" s="14" t="s">
        <v>1102</v>
      </c>
      <c r="B50" s="14" t="s">
        <v>3612</v>
      </c>
      <c r="C50" s="14" t="s">
        <v>2985</v>
      </c>
      <c r="D50" s="14" t="s">
        <v>146</v>
      </c>
      <c r="E50" s="11" t="s">
        <v>146</v>
      </c>
      <c r="F50" s="4" t="s">
        <v>1523</v>
      </c>
    </row>
    <row r="51" spans="1:6" x14ac:dyDescent="0.2">
      <c r="A51" s="14" t="s">
        <v>1103</v>
      </c>
      <c r="B51" s="14" t="s">
        <v>3612</v>
      </c>
      <c r="C51" s="14" t="s">
        <v>2986</v>
      </c>
      <c r="D51" s="14" t="s">
        <v>3530</v>
      </c>
      <c r="E51" s="11" t="s">
        <v>3530</v>
      </c>
      <c r="F51" s="4" t="s">
        <v>1523</v>
      </c>
    </row>
    <row r="52" spans="1:6" x14ac:dyDescent="0.2">
      <c r="A52" s="14" t="s">
        <v>1442</v>
      </c>
      <c r="B52" s="14" t="s">
        <v>4746</v>
      </c>
      <c r="C52" s="14" t="s">
        <v>2993</v>
      </c>
      <c r="D52" s="14" t="s">
        <v>188</v>
      </c>
      <c r="E52" s="11"/>
      <c r="F52" s="4" t="s">
        <v>1523</v>
      </c>
    </row>
    <row r="53" spans="1:6" x14ac:dyDescent="0.2">
      <c r="A53" s="14" t="s">
        <v>1441</v>
      </c>
      <c r="B53" s="14" t="s">
        <v>4746</v>
      </c>
      <c r="C53" s="14" t="s">
        <v>2971</v>
      </c>
      <c r="D53" s="14" t="s">
        <v>189</v>
      </c>
      <c r="E53" s="11"/>
      <c r="F53" s="4" t="s">
        <v>1523</v>
      </c>
    </row>
    <row r="54" spans="1:6" x14ac:dyDescent="0.2">
      <c r="A54" s="14" t="s">
        <v>1440</v>
      </c>
      <c r="B54" s="14" t="s">
        <v>3612</v>
      </c>
      <c r="C54" s="14" t="s">
        <v>3009</v>
      </c>
      <c r="D54" s="14" t="s">
        <v>190</v>
      </c>
      <c r="E54" s="11" t="s">
        <v>3675</v>
      </c>
      <c r="F54" s="4" t="s">
        <v>1523</v>
      </c>
    </row>
    <row r="55" spans="1:6" x14ac:dyDescent="0.2">
      <c r="A55" s="14" t="s">
        <v>1496</v>
      </c>
      <c r="B55" s="14" t="s">
        <v>4746</v>
      </c>
      <c r="C55" s="14" t="s">
        <v>2853</v>
      </c>
      <c r="D55" s="14" t="s">
        <v>191</v>
      </c>
      <c r="E55" s="11"/>
      <c r="F55" s="4" t="s">
        <v>4751</v>
      </c>
    </row>
    <row r="56" spans="1:6" x14ac:dyDescent="0.2">
      <c r="A56" s="14" t="s">
        <v>1495</v>
      </c>
      <c r="B56" s="14" t="s">
        <v>4746</v>
      </c>
      <c r="C56" s="14" t="s">
        <v>2971</v>
      </c>
      <c r="D56" s="14" t="s">
        <v>192</v>
      </c>
      <c r="E56" s="11"/>
      <c r="F56" s="4" t="s">
        <v>1523</v>
      </c>
    </row>
    <row r="57" spans="1:6" x14ac:dyDescent="0.2">
      <c r="A57" s="14" t="s">
        <v>1494</v>
      </c>
      <c r="B57" s="14" t="s">
        <v>4746</v>
      </c>
      <c r="C57" s="14" t="s">
        <v>2853</v>
      </c>
      <c r="D57" s="14" t="s">
        <v>193</v>
      </c>
      <c r="E57" s="11"/>
      <c r="F57" s="4" t="s">
        <v>4751</v>
      </c>
    </row>
    <row r="58" spans="1:6" x14ac:dyDescent="0.2">
      <c r="A58" s="14" t="s">
        <v>1499</v>
      </c>
      <c r="B58" s="14" t="s">
        <v>4746</v>
      </c>
      <c r="C58" s="14" t="s">
        <v>2993</v>
      </c>
      <c r="D58" s="14" t="s">
        <v>194</v>
      </c>
      <c r="E58" s="11"/>
      <c r="F58" s="4" t="s">
        <v>1523</v>
      </c>
    </row>
    <row r="59" spans="1:6" x14ac:dyDescent="0.2">
      <c r="A59" s="14" t="s">
        <v>1498</v>
      </c>
      <c r="B59" s="14" t="s">
        <v>4746</v>
      </c>
      <c r="C59" s="14" t="s">
        <v>2971</v>
      </c>
      <c r="D59" s="14" t="s">
        <v>195</v>
      </c>
      <c r="E59" s="11"/>
      <c r="F59" s="4" t="s">
        <v>1523</v>
      </c>
    </row>
    <row r="60" spans="1:6" x14ac:dyDescent="0.2">
      <c r="A60" s="14" t="s">
        <v>1497</v>
      </c>
      <c r="B60" s="14" t="s">
        <v>3612</v>
      </c>
      <c r="C60" s="14" t="s">
        <v>3010</v>
      </c>
      <c r="D60" s="14" t="s">
        <v>196</v>
      </c>
      <c r="E60" s="11" t="s">
        <v>196</v>
      </c>
      <c r="F60" s="4" t="s">
        <v>1523</v>
      </c>
    </row>
    <row r="61" spans="1:6" x14ac:dyDescent="0.2">
      <c r="A61" s="14" t="s">
        <v>451</v>
      </c>
      <c r="B61" s="14" t="s">
        <v>4746</v>
      </c>
      <c r="C61" s="14" t="s">
        <v>2993</v>
      </c>
      <c r="D61" s="14" t="s">
        <v>148</v>
      </c>
      <c r="E61" s="11"/>
      <c r="F61" s="4" t="s">
        <v>1523</v>
      </c>
    </row>
    <row r="62" spans="1:6" x14ac:dyDescent="0.2">
      <c r="A62" s="14" t="s">
        <v>452</v>
      </c>
      <c r="B62" s="14" t="s">
        <v>4746</v>
      </c>
      <c r="C62" s="14" t="s">
        <v>2993</v>
      </c>
      <c r="D62" s="14" t="s">
        <v>149</v>
      </c>
      <c r="E62" s="11"/>
      <c r="F62" s="4" t="s">
        <v>1523</v>
      </c>
    </row>
    <row r="63" spans="1:6" x14ac:dyDescent="0.2">
      <c r="A63" s="14" t="s">
        <v>450</v>
      </c>
      <c r="B63" s="14" t="s">
        <v>4746</v>
      </c>
      <c r="C63" s="14" t="s">
        <v>2971</v>
      </c>
      <c r="D63" s="14" t="s">
        <v>150</v>
      </c>
      <c r="E63" s="11"/>
      <c r="F63" s="4" t="s">
        <v>1523</v>
      </c>
    </row>
    <row r="64" spans="1:6" x14ac:dyDescent="0.2">
      <c r="A64" s="14" t="s">
        <v>448</v>
      </c>
      <c r="B64" s="14" t="s">
        <v>3612</v>
      </c>
      <c r="C64" s="14" t="s">
        <v>2988</v>
      </c>
      <c r="D64" s="14" t="s">
        <v>151</v>
      </c>
      <c r="E64" s="11" t="s">
        <v>3670</v>
      </c>
      <c r="F64" s="4" t="s">
        <v>1523</v>
      </c>
    </row>
    <row r="65" spans="1:6" x14ac:dyDescent="0.2">
      <c r="A65" s="14" t="s">
        <v>447</v>
      </c>
      <c r="B65" s="14" t="s">
        <v>4746</v>
      </c>
      <c r="C65" s="14" t="s">
        <v>2992</v>
      </c>
      <c r="D65" s="14" t="s">
        <v>152</v>
      </c>
      <c r="E65" s="11"/>
      <c r="F65" s="4" t="s">
        <v>1523</v>
      </c>
    </row>
    <row r="66" spans="1:6" x14ac:dyDescent="0.2">
      <c r="A66" s="14" t="s">
        <v>458</v>
      </c>
      <c r="B66" s="14" t="s">
        <v>4746</v>
      </c>
      <c r="C66" s="14" t="s">
        <v>2993</v>
      </c>
      <c r="D66" s="14" t="s">
        <v>153</v>
      </c>
      <c r="E66" s="11"/>
      <c r="F66" s="4" t="s">
        <v>1523</v>
      </c>
    </row>
    <row r="67" spans="1:6" x14ac:dyDescent="0.2">
      <c r="A67" s="14" t="s">
        <v>456</v>
      </c>
      <c r="B67" s="14" t="s">
        <v>4746</v>
      </c>
      <c r="C67" s="14" t="s">
        <v>2971</v>
      </c>
      <c r="D67" s="14" t="s">
        <v>154</v>
      </c>
      <c r="E67" s="11"/>
      <c r="F67" s="4" t="s">
        <v>1523</v>
      </c>
    </row>
    <row r="68" spans="1:6" x14ac:dyDescent="0.2">
      <c r="A68" s="14" t="s">
        <v>453</v>
      </c>
      <c r="B68" s="14" t="s">
        <v>3612</v>
      </c>
      <c r="C68" s="14" t="s">
        <v>2989</v>
      </c>
      <c r="D68" s="14" t="s">
        <v>155</v>
      </c>
      <c r="E68" s="11" t="s">
        <v>3670</v>
      </c>
      <c r="F68" s="4" t="s">
        <v>1523</v>
      </c>
    </row>
    <row r="69" spans="1:6" x14ac:dyDescent="0.2">
      <c r="A69" s="14" t="s">
        <v>449</v>
      </c>
      <c r="B69" s="14" t="s">
        <v>4746</v>
      </c>
      <c r="C69" s="14" t="s">
        <v>2992</v>
      </c>
      <c r="D69" s="14" t="s">
        <v>156</v>
      </c>
      <c r="E69" s="11"/>
      <c r="F69" s="4" t="s">
        <v>1523</v>
      </c>
    </row>
    <row r="70" spans="1:6" x14ac:dyDescent="0.2">
      <c r="A70" s="14" t="s">
        <v>437</v>
      </c>
      <c r="B70" s="14" t="s">
        <v>4746</v>
      </c>
      <c r="C70" s="14" t="s">
        <v>2993</v>
      </c>
      <c r="D70" s="14" t="s">
        <v>157</v>
      </c>
      <c r="E70" s="11"/>
      <c r="F70" s="4" t="s">
        <v>1523</v>
      </c>
    </row>
    <row r="71" spans="1:6" x14ac:dyDescent="0.2">
      <c r="A71" s="14" t="s">
        <v>438</v>
      </c>
      <c r="B71" s="14" t="s">
        <v>4746</v>
      </c>
      <c r="C71" s="14" t="s">
        <v>2971</v>
      </c>
      <c r="D71" s="14" t="s">
        <v>158</v>
      </c>
      <c r="E71" s="11"/>
      <c r="F71" s="4" t="s">
        <v>1523</v>
      </c>
    </row>
    <row r="72" spans="1:6" x14ac:dyDescent="0.2">
      <c r="A72" s="14" t="s">
        <v>436</v>
      </c>
      <c r="B72" s="14" t="s">
        <v>3612</v>
      </c>
      <c r="C72" s="14" t="s">
        <v>2990</v>
      </c>
      <c r="D72" s="14" t="s">
        <v>159</v>
      </c>
      <c r="E72" s="11" t="s">
        <v>3671</v>
      </c>
      <c r="F72" s="4" t="s">
        <v>1523</v>
      </c>
    </row>
    <row r="73" spans="1:6" x14ac:dyDescent="0.2">
      <c r="A73" s="14" t="s">
        <v>459</v>
      </c>
      <c r="B73" s="14" t="s">
        <v>4746</v>
      </c>
      <c r="C73" s="14" t="s">
        <v>2993</v>
      </c>
      <c r="D73" s="14" t="s">
        <v>160</v>
      </c>
      <c r="E73" s="11"/>
      <c r="F73" s="4" t="s">
        <v>1523</v>
      </c>
    </row>
    <row r="74" spans="1:6" x14ac:dyDescent="0.2">
      <c r="A74" s="14" t="s">
        <v>454</v>
      </c>
      <c r="B74" s="14" t="s">
        <v>3612</v>
      </c>
      <c r="C74" s="14" t="s">
        <v>2991</v>
      </c>
      <c r="D74" s="14" t="s">
        <v>161</v>
      </c>
      <c r="E74" s="11" t="s">
        <v>3672</v>
      </c>
      <c r="F74" s="4" t="s">
        <v>1523</v>
      </c>
    </row>
    <row r="75" spans="1:6" x14ac:dyDescent="0.2">
      <c r="A75" s="14" t="s">
        <v>457</v>
      </c>
      <c r="B75" s="14" t="s">
        <v>4746</v>
      </c>
      <c r="C75" s="14" t="s">
        <v>2971</v>
      </c>
      <c r="D75" s="14" t="s">
        <v>162</v>
      </c>
      <c r="E75" s="11"/>
      <c r="F75" s="4" t="s">
        <v>1523</v>
      </c>
    </row>
    <row r="76" spans="1:6" x14ac:dyDescent="0.2">
      <c r="A76" s="14" t="s">
        <v>455</v>
      </c>
      <c r="B76" s="14" t="s">
        <v>4746</v>
      </c>
      <c r="C76" s="14" t="s">
        <v>2992</v>
      </c>
      <c r="D76" s="14" t="s">
        <v>163</v>
      </c>
      <c r="E76" s="11"/>
      <c r="F76" s="4" t="s">
        <v>1523</v>
      </c>
    </row>
    <row r="77" spans="1:6" x14ac:dyDescent="0.2">
      <c r="A77" s="14" t="s">
        <v>1452</v>
      </c>
      <c r="B77" s="14" t="s">
        <v>4746</v>
      </c>
      <c r="C77" s="14" t="s">
        <v>2993</v>
      </c>
      <c r="D77" s="14" t="s">
        <v>214</v>
      </c>
      <c r="E77" s="11"/>
      <c r="F77" s="4" t="s">
        <v>1523</v>
      </c>
    </row>
    <row r="78" spans="1:6" x14ac:dyDescent="0.2">
      <c r="A78" s="14" t="s">
        <v>1451</v>
      </c>
      <c r="B78" s="14" t="s">
        <v>4746</v>
      </c>
      <c r="C78" s="14" t="s">
        <v>2971</v>
      </c>
      <c r="D78" s="14" t="s">
        <v>215</v>
      </c>
      <c r="E78" s="11"/>
      <c r="F78" s="4" t="s">
        <v>1523</v>
      </c>
    </row>
    <row r="79" spans="1:6" x14ac:dyDescent="0.2">
      <c r="A79" s="14" t="s">
        <v>1450</v>
      </c>
      <c r="B79" s="14" t="s">
        <v>3612</v>
      </c>
      <c r="C79" s="14" t="s">
        <v>3019</v>
      </c>
      <c r="D79" s="14" t="s">
        <v>216</v>
      </c>
      <c r="E79" s="11" t="s">
        <v>3680</v>
      </c>
      <c r="F79" s="4" t="s">
        <v>1523</v>
      </c>
    </row>
    <row r="80" spans="1:6" x14ac:dyDescent="0.2">
      <c r="A80" s="14" t="s">
        <v>1447</v>
      </c>
      <c r="B80" s="14" t="s">
        <v>4746</v>
      </c>
      <c r="C80" s="14" t="s">
        <v>2993</v>
      </c>
      <c r="D80" s="14" t="s">
        <v>217</v>
      </c>
      <c r="E80" s="11"/>
      <c r="F80" s="4" t="s">
        <v>1523</v>
      </c>
    </row>
    <row r="81" spans="1:6" x14ac:dyDescent="0.2">
      <c r="A81" s="14" t="s">
        <v>1446</v>
      </c>
      <c r="B81" s="14" t="s">
        <v>4746</v>
      </c>
      <c r="C81" s="14" t="s">
        <v>2992</v>
      </c>
      <c r="D81" s="14" t="s">
        <v>218</v>
      </c>
      <c r="E81" s="11"/>
      <c r="F81" s="4" t="s">
        <v>1523</v>
      </c>
    </row>
    <row r="82" spans="1:6" x14ac:dyDescent="0.2">
      <c r="A82" s="14" t="s">
        <v>1449</v>
      </c>
      <c r="B82" s="14" t="s">
        <v>4746</v>
      </c>
      <c r="C82" s="14" t="s">
        <v>2971</v>
      </c>
      <c r="D82" s="14" t="s">
        <v>219</v>
      </c>
      <c r="E82" s="11"/>
      <c r="F82" s="4" t="s">
        <v>1523</v>
      </c>
    </row>
    <row r="83" spans="1:6" x14ac:dyDescent="0.2">
      <c r="A83" s="14" t="s">
        <v>1448</v>
      </c>
      <c r="B83" s="14" t="s">
        <v>3612</v>
      </c>
      <c r="C83" s="14" t="s">
        <v>3020</v>
      </c>
      <c r="D83" s="14" t="s">
        <v>220</v>
      </c>
      <c r="E83" s="11" t="s">
        <v>3681</v>
      </c>
      <c r="F83" s="4" t="s">
        <v>1523</v>
      </c>
    </row>
    <row r="84" spans="1:6" x14ac:dyDescent="0.2">
      <c r="A84" s="14" t="s">
        <v>1488</v>
      </c>
      <c r="B84" s="14" t="s">
        <v>4746</v>
      </c>
      <c r="C84" s="14" t="s">
        <v>2971</v>
      </c>
      <c r="D84" s="14" t="s">
        <v>221</v>
      </c>
      <c r="E84" s="11"/>
      <c r="F84" s="4" t="s">
        <v>1523</v>
      </c>
    </row>
    <row r="85" spans="1:6" x14ac:dyDescent="0.2">
      <c r="A85" s="14" t="s">
        <v>1486</v>
      </c>
      <c r="B85" s="14" t="s">
        <v>3612</v>
      </c>
      <c r="C85" s="14" t="s">
        <v>3021</v>
      </c>
      <c r="D85" s="14" t="s">
        <v>222</v>
      </c>
      <c r="E85" s="11" t="s">
        <v>3682</v>
      </c>
      <c r="F85" s="4" t="s">
        <v>1523</v>
      </c>
    </row>
    <row r="86" spans="1:6" x14ac:dyDescent="0.2">
      <c r="A86" s="14" t="s">
        <v>1490</v>
      </c>
      <c r="B86" s="14" t="s">
        <v>4746</v>
      </c>
      <c r="C86" s="14" t="s">
        <v>2993</v>
      </c>
      <c r="D86" s="14" t="s">
        <v>223</v>
      </c>
      <c r="E86" s="11"/>
      <c r="F86" s="4" t="s">
        <v>1523</v>
      </c>
    </row>
    <row r="87" spans="1:6" x14ac:dyDescent="0.2">
      <c r="A87" s="14" t="s">
        <v>1489</v>
      </c>
      <c r="B87" s="14" t="s">
        <v>4746</v>
      </c>
      <c r="C87" s="14" t="s">
        <v>2971</v>
      </c>
      <c r="D87" s="14" t="s">
        <v>224</v>
      </c>
      <c r="E87" s="11"/>
      <c r="F87" s="4" t="s">
        <v>1523</v>
      </c>
    </row>
    <row r="88" spans="1:6" x14ac:dyDescent="0.2">
      <c r="A88" s="14" t="s">
        <v>1487</v>
      </c>
      <c r="B88" s="14" t="s">
        <v>3612</v>
      </c>
      <c r="C88" s="14" t="s">
        <v>3022</v>
      </c>
      <c r="D88" s="14" t="s">
        <v>225</v>
      </c>
      <c r="E88" s="11" t="s">
        <v>3683</v>
      </c>
      <c r="F88" s="4" t="s">
        <v>1523</v>
      </c>
    </row>
    <row r="89" spans="1:6" x14ac:dyDescent="0.2">
      <c r="A89" s="14" t="s">
        <v>1458</v>
      </c>
      <c r="B89" s="14" t="s">
        <v>4746</v>
      </c>
      <c r="C89" s="14" t="s">
        <v>2993</v>
      </c>
      <c r="D89" s="14" t="s">
        <v>226</v>
      </c>
      <c r="E89" s="11"/>
      <c r="F89" s="4" t="s">
        <v>1523</v>
      </c>
    </row>
    <row r="90" spans="1:6" x14ac:dyDescent="0.2">
      <c r="A90" s="14" t="s">
        <v>1456</v>
      </c>
      <c r="B90" s="14" t="s">
        <v>4746</v>
      </c>
      <c r="C90" s="14" t="s">
        <v>2971</v>
      </c>
      <c r="D90" s="14" t="s">
        <v>227</v>
      </c>
      <c r="E90" s="11"/>
      <c r="F90" s="4" t="s">
        <v>1523</v>
      </c>
    </row>
    <row r="91" spans="1:6" x14ac:dyDescent="0.2">
      <c r="A91" s="14" t="s">
        <v>1454</v>
      </c>
      <c r="B91" s="14" t="s">
        <v>3612</v>
      </c>
      <c r="C91" s="14" t="s">
        <v>3023</v>
      </c>
      <c r="D91" s="14" t="s">
        <v>228</v>
      </c>
      <c r="E91" s="11" t="s">
        <v>3684</v>
      </c>
      <c r="F91" s="4" t="s">
        <v>1523</v>
      </c>
    </row>
    <row r="92" spans="1:6" x14ac:dyDescent="0.2">
      <c r="A92" s="14" t="s">
        <v>1345</v>
      </c>
      <c r="B92" s="14" t="s">
        <v>4746</v>
      </c>
      <c r="C92" s="14" t="s">
        <v>2993</v>
      </c>
      <c r="D92" s="14" t="s">
        <v>229</v>
      </c>
      <c r="E92" s="11"/>
      <c r="F92" s="4" t="s">
        <v>1523</v>
      </c>
    </row>
    <row r="93" spans="1:6" x14ac:dyDescent="0.2">
      <c r="A93" s="14" t="s">
        <v>1457</v>
      </c>
      <c r="B93" s="14" t="s">
        <v>4746</v>
      </c>
      <c r="C93" s="14" t="s">
        <v>2971</v>
      </c>
      <c r="D93" s="14" t="s">
        <v>230</v>
      </c>
      <c r="E93" s="11"/>
      <c r="F93" s="4" t="s">
        <v>1523</v>
      </c>
    </row>
    <row r="94" spans="1:6" x14ac:dyDescent="0.2">
      <c r="A94" s="14" t="s">
        <v>1455</v>
      </c>
      <c r="B94" s="14" t="s">
        <v>3612</v>
      </c>
      <c r="C94" s="14" t="s">
        <v>3024</v>
      </c>
      <c r="D94" s="14" t="s">
        <v>231</v>
      </c>
      <c r="E94" s="11" t="s">
        <v>3685</v>
      </c>
      <c r="F94" s="4" t="s">
        <v>1523</v>
      </c>
    </row>
    <row r="95" spans="1:6" x14ac:dyDescent="0.2">
      <c r="A95" s="14" t="s">
        <v>1464</v>
      </c>
      <c r="B95" s="14" t="s">
        <v>4746</v>
      </c>
      <c r="C95" s="14" t="s">
        <v>2993</v>
      </c>
      <c r="D95" s="14" t="s">
        <v>119</v>
      </c>
      <c r="E95" s="11"/>
      <c r="F95" s="4" t="s">
        <v>1523</v>
      </c>
    </row>
    <row r="96" spans="1:6" x14ac:dyDescent="0.2">
      <c r="A96" s="14" t="s">
        <v>1462</v>
      </c>
      <c r="B96" s="14" t="s">
        <v>4746</v>
      </c>
      <c r="C96" s="14" t="s">
        <v>2971</v>
      </c>
      <c r="D96" s="14" t="s">
        <v>119</v>
      </c>
      <c r="E96" s="11"/>
      <c r="F96" s="4" t="s">
        <v>1523</v>
      </c>
    </row>
    <row r="97" spans="1:6" x14ac:dyDescent="0.2">
      <c r="A97" s="14" t="s">
        <v>1463</v>
      </c>
      <c r="B97" s="14" t="s">
        <v>3612</v>
      </c>
      <c r="C97" s="14" t="s">
        <v>3045</v>
      </c>
      <c r="D97" s="14" t="s">
        <v>119</v>
      </c>
      <c r="E97" s="11" t="s">
        <v>119</v>
      </c>
      <c r="F97" s="4" t="s">
        <v>1523</v>
      </c>
    </row>
    <row r="98" spans="1:6" x14ac:dyDescent="0.2">
      <c r="A98" s="14" t="s">
        <v>1053</v>
      </c>
      <c r="B98" s="14" t="s">
        <v>4746</v>
      </c>
      <c r="C98" s="14" t="s">
        <v>2993</v>
      </c>
      <c r="D98" s="14" t="s">
        <v>288</v>
      </c>
      <c r="E98" s="11"/>
      <c r="F98" s="4" t="s">
        <v>1523</v>
      </c>
    </row>
    <row r="99" spans="1:6" x14ac:dyDescent="0.2">
      <c r="A99" s="14" t="s">
        <v>1318</v>
      </c>
      <c r="B99" s="14" t="s">
        <v>4746</v>
      </c>
      <c r="C99" s="14" t="s">
        <v>2971</v>
      </c>
      <c r="D99" s="14" t="s">
        <v>289</v>
      </c>
      <c r="E99" s="11"/>
      <c r="F99" s="4" t="s">
        <v>1523</v>
      </c>
    </row>
    <row r="100" spans="1:6" x14ac:dyDescent="0.2">
      <c r="A100" s="14" t="s">
        <v>1316</v>
      </c>
      <c r="B100" s="14" t="s">
        <v>3612</v>
      </c>
      <c r="C100" s="14" t="s">
        <v>3046</v>
      </c>
      <c r="D100" s="14" t="s">
        <v>290</v>
      </c>
      <c r="E100" s="11" t="s">
        <v>1330</v>
      </c>
      <c r="F100" s="4" t="s">
        <v>1523</v>
      </c>
    </row>
    <row r="101" spans="1:6" x14ac:dyDescent="0.2">
      <c r="A101" s="14" t="s">
        <v>1054</v>
      </c>
      <c r="B101" s="14" t="s">
        <v>4746</v>
      </c>
      <c r="C101" s="14" t="s">
        <v>2993</v>
      </c>
      <c r="D101" s="14" t="s">
        <v>291</v>
      </c>
      <c r="E101" s="11"/>
      <c r="F101" s="4" t="s">
        <v>1523</v>
      </c>
    </row>
    <row r="102" spans="1:6" x14ac:dyDescent="0.2">
      <c r="A102" s="14" t="s">
        <v>1319</v>
      </c>
      <c r="B102" s="14" t="s">
        <v>4746</v>
      </c>
      <c r="C102" s="14" t="s">
        <v>2971</v>
      </c>
      <c r="D102" s="14" t="s">
        <v>292</v>
      </c>
      <c r="E102" s="11"/>
      <c r="F102" s="4" t="s">
        <v>1523</v>
      </c>
    </row>
    <row r="103" spans="1:6" x14ac:dyDescent="0.2">
      <c r="A103" s="14" t="s">
        <v>1317</v>
      </c>
      <c r="B103" s="14" t="s">
        <v>3612</v>
      </c>
      <c r="C103" s="14" t="s">
        <v>3047</v>
      </c>
      <c r="D103" s="14" t="s">
        <v>293</v>
      </c>
      <c r="E103" s="11" t="s">
        <v>1331</v>
      </c>
      <c r="F103" s="4" t="s">
        <v>1523</v>
      </c>
    </row>
    <row r="104" spans="1:6" x14ac:dyDescent="0.2">
      <c r="A104" s="14" t="s">
        <v>362</v>
      </c>
      <c r="B104" s="14" t="s">
        <v>3612</v>
      </c>
      <c r="C104" s="14" t="s">
        <v>2996</v>
      </c>
      <c r="D104" s="14" t="s">
        <v>178</v>
      </c>
      <c r="E104" s="11" t="s">
        <v>178</v>
      </c>
      <c r="F104" s="4" t="s">
        <v>1523</v>
      </c>
    </row>
    <row r="105" spans="1:6" x14ac:dyDescent="0.2">
      <c r="A105" s="14" t="s">
        <v>363</v>
      </c>
      <c r="B105" s="14" t="s">
        <v>3612</v>
      </c>
      <c r="C105" s="14" t="s">
        <v>2997</v>
      </c>
      <c r="D105" s="14" t="s">
        <v>3567</v>
      </c>
      <c r="E105" s="11" t="s">
        <v>3567</v>
      </c>
      <c r="F105" s="4" t="s">
        <v>1523</v>
      </c>
    </row>
    <row r="106" spans="1:6" x14ac:dyDescent="0.2">
      <c r="A106" s="14" t="s">
        <v>364</v>
      </c>
      <c r="B106" s="14" t="s">
        <v>4746</v>
      </c>
      <c r="C106" s="14" t="s">
        <v>2971</v>
      </c>
      <c r="D106" s="14" t="s">
        <v>3567</v>
      </c>
      <c r="E106" s="11"/>
      <c r="F106" s="4" t="s">
        <v>1523</v>
      </c>
    </row>
    <row r="107" spans="1:6" x14ac:dyDescent="0.2">
      <c r="A107" s="14" t="s">
        <v>365</v>
      </c>
      <c r="B107" s="14" t="s">
        <v>3612</v>
      </c>
      <c r="C107" s="14" t="s">
        <v>2998</v>
      </c>
      <c r="D107" s="14" t="s">
        <v>3567</v>
      </c>
      <c r="E107" s="11" t="s">
        <v>3567</v>
      </c>
      <c r="F107" s="4" t="s">
        <v>1523</v>
      </c>
    </row>
    <row r="108" spans="1:6" x14ac:dyDescent="0.2">
      <c r="A108" s="14" t="s">
        <v>366</v>
      </c>
      <c r="B108" s="14" t="s">
        <v>3612</v>
      </c>
      <c r="C108" s="14" t="s">
        <v>2999</v>
      </c>
      <c r="D108" s="14" t="s">
        <v>3569</v>
      </c>
      <c r="E108" s="11" t="s">
        <v>3569</v>
      </c>
      <c r="F108" s="4" t="s">
        <v>1523</v>
      </c>
    </row>
    <row r="109" spans="1:6" x14ac:dyDescent="0.2">
      <c r="A109" s="14" t="s">
        <v>367</v>
      </c>
      <c r="B109" s="14" t="s">
        <v>4746</v>
      </c>
      <c r="C109" s="14" t="s">
        <v>2971</v>
      </c>
      <c r="D109" s="14" t="s">
        <v>179</v>
      </c>
      <c r="E109" s="11"/>
      <c r="F109" s="4" t="s">
        <v>1523</v>
      </c>
    </row>
    <row r="110" spans="1:6" x14ac:dyDescent="0.2">
      <c r="A110" s="14" t="s">
        <v>368</v>
      </c>
      <c r="B110" s="14" t="s">
        <v>3612</v>
      </c>
      <c r="C110" s="14" t="s">
        <v>3000</v>
      </c>
      <c r="D110" s="14" t="s">
        <v>180</v>
      </c>
      <c r="E110" s="11" t="s">
        <v>180</v>
      </c>
      <c r="F110" s="4" t="s">
        <v>1523</v>
      </c>
    </row>
    <row r="111" spans="1:6" x14ac:dyDescent="0.2">
      <c r="A111" s="14" t="s">
        <v>500</v>
      </c>
      <c r="B111" s="14" t="s">
        <v>3612</v>
      </c>
      <c r="C111" s="14" t="s">
        <v>3001</v>
      </c>
      <c r="D111" s="14" t="s">
        <v>181</v>
      </c>
      <c r="E111" s="11" t="s">
        <v>181</v>
      </c>
      <c r="F111" s="4" t="s">
        <v>1523</v>
      </c>
    </row>
    <row r="112" spans="1:6" x14ac:dyDescent="0.2">
      <c r="A112" s="14" t="s">
        <v>501</v>
      </c>
      <c r="B112" s="14" t="s">
        <v>3612</v>
      </c>
      <c r="C112" s="14" t="s">
        <v>3002</v>
      </c>
      <c r="D112" s="14" t="s">
        <v>9</v>
      </c>
      <c r="E112" s="11" t="s">
        <v>9</v>
      </c>
      <c r="F112" s="4" t="s">
        <v>1523</v>
      </c>
    </row>
    <row r="113" spans="1:6" x14ac:dyDescent="0.2">
      <c r="A113" s="14" t="s">
        <v>502</v>
      </c>
      <c r="B113" s="14" t="s">
        <v>4746</v>
      </c>
      <c r="C113" s="14" t="s">
        <v>2971</v>
      </c>
      <c r="D113" s="14" t="s">
        <v>9</v>
      </c>
      <c r="E113" s="11"/>
      <c r="F113" s="4" t="s">
        <v>1523</v>
      </c>
    </row>
    <row r="114" spans="1:6" x14ac:dyDescent="0.2">
      <c r="A114" s="14" t="s">
        <v>503</v>
      </c>
      <c r="B114" s="14" t="s">
        <v>3612</v>
      </c>
      <c r="C114" s="14" t="s">
        <v>3003</v>
      </c>
      <c r="D114" s="14" t="s">
        <v>9</v>
      </c>
      <c r="E114" s="11" t="s">
        <v>9</v>
      </c>
      <c r="F114" s="4" t="s">
        <v>1523</v>
      </c>
    </row>
    <row r="115" spans="1:6" x14ac:dyDescent="0.2">
      <c r="A115" s="14" t="s">
        <v>504</v>
      </c>
      <c r="B115" s="14" t="s">
        <v>3612</v>
      </c>
      <c r="C115" s="14" t="s">
        <v>3004</v>
      </c>
      <c r="D115" s="14" t="s">
        <v>3570</v>
      </c>
      <c r="E115" s="11" t="s">
        <v>3570</v>
      </c>
      <c r="F115" s="4" t="s">
        <v>1523</v>
      </c>
    </row>
    <row r="116" spans="1:6" x14ac:dyDescent="0.2">
      <c r="A116" s="14" t="s">
        <v>505</v>
      </c>
      <c r="B116" s="14" t="s">
        <v>4746</v>
      </c>
      <c r="C116" s="14" t="s">
        <v>2971</v>
      </c>
      <c r="D116" s="14" t="s">
        <v>182</v>
      </c>
      <c r="E116" s="11"/>
      <c r="F116" s="4" t="s">
        <v>1523</v>
      </c>
    </row>
    <row r="117" spans="1:6" x14ac:dyDescent="0.2">
      <c r="A117" s="14" t="s">
        <v>506</v>
      </c>
      <c r="B117" s="14" t="s">
        <v>3612</v>
      </c>
      <c r="C117" s="14" t="s">
        <v>3005</v>
      </c>
      <c r="D117" s="14" t="s">
        <v>183</v>
      </c>
      <c r="E117" s="11" t="s">
        <v>183</v>
      </c>
      <c r="F117" s="4" t="s">
        <v>1523</v>
      </c>
    </row>
    <row r="118" spans="1:6" x14ac:dyDescent="0.2">
      <c r="A118" s="14" t="s">
        <v>1026</v>
      </c>
      <c r="B118" s="14" t="s">
        <v>4746</v>
      </c>
      <c r="C118" s="14" t="s">
        <v>2993</v>
      </c>
      <c r="D118" s="14" t="s">
        <v>3571</v>
      </c>
      <c r="E118" s="11"/>
      <c r="F118" s="4" t="s">
        <v>1523</v>
      </c>
    </row>
    <row r="119" spans="1:6" x14ac:dyDescent="0.2">
      <c r="A119" s="14" t="s">
        <v>1024</v>
      </c>
      <c r="B119" s="14" t="s">
        <v>4746</v>
      </c>
      <c r="C119" s="14" t="s">
        <v>2971</v>
      </c>
      <c r="D119" s="14" t="s">
        <v>3571</v>
      </c>
      <c r="E119" s="11"/>
      <c r="F119" s="4" t="s">
        <v>1523</v>
      </c>
    </row>
    <row r="120" spans="1:6" x14ac:dyDescent="0.2">
      <c r="A120" s="14" t="s">
        <v>1025</v>
      </c>
      <c r="B120" s="14" t="s">
        <v>3612</v>
      </c>
      <c r="C120" s="14" t="s">
        <v>3006</v>
      </c>
      <c r="D120" s="14" t="s">
        <v>3571</v>
      </c>
      <c r="E120" s="11" t="s">
        <v>3571</v>
      </c>
      <c r="F120" s="4" t="s">
        <v>1523</v>
      </c>
    </row>
    <row r="121" spans="1:6" x14ac:dyDescent="0.2">
      <c r="A121" s="14" t="s">
        <v>1251</v>
      </c>
      <c r="B121" s="14" t="s">
        <v>3612</v>
      </c>
      <c r="C121" s="14" t="s">
        <v>3007</v>
      </c>
      <c r="D121" s="14" t="s">
        <v>3574</v>
      </c>
      <c r="E121" s="11" t="s">
        <v>3574</v>
      </c>
      <c r="F121" s="4" t="s">
        <v>1523</v>
      </c>
    </row>
    <row r="122" spans="1:6" x14ac:dyDescent="0.2">
      <c r="A122" s="14" t="s">
        <v>1321</v>
      </c>
      <c r="B122" s="14" t="s">
        <v>3612</v>
      </c>
      <c r="C122" s="14" t="s">
        <v>3008</v>
      </c>
      <c r="D122" s="14" t="s">
        <v>3571</v>
      </c>
      <c r="E122" s="11" t="s">
        <v>3571</v>
      </c>
      <c r="F122" s="4" t="s">
        <v>1523</v>
      </c>
    </row>
    <row r="123" spans="1:6" x14ac:dyDescent="0.2">
      <c r="A123" s="14" t="s">
        <v>626</v>
      </c>
      <c r="B123" s="14" t="s">
        <v>4746</v>
      </c>
      <c r="C123" s="14" t="s">
        <v>2853</v>
      </c>
      <c r="D123" s="14" t="s">
        <v>197</v>
      </c>
      <c r="E123" s="11"/>
    </row>
    <row r="124" spans="1:6" x14ac:dyDescent="0.2">
      <c r="A124" s="14" t="s">
        <v>627</v>
      </c>
      <c r="B124" s="14" t="s">
        <v>4746</v>
      </c>
      <c r="C124" s="14" t="s">
        <v>2853</v>
      </c>
      <c r="D124" s="14" t="s">
        <v>198</v>
      </c>
      <c r="E124" s="11"/>
    </row>
    <row r="125" spans="1:6" x14ac:dyDescent="0.2">
      <c r="A125" s="14" t="s">
        <v>1084</v>
      </c>
      <c r="B125" s="14" t="s">
        <v>3612</v>
      </c>
      <c r="C125" s="14" t="s">
        <v>3025</v>
      </c>
      <c r="D125" s="14" t="s">
        <v>237</v>
      </c>
      <c r="E125" s="11" t="s">
        <v>3689</v>
      </c>
      <c r="F125" s="4" t="s">
        <v>1523</v>
      </c>
    </row>
    <row r="126" spans="1:6" x14ac:dyDescent="0.2">
      <c r="A126" s="14" t="s">
        <v>1074</v>
      </c>
      <c r="B126" s="14" t="s">
        <v>4746</v>
      </c>
      <c r="C126" s="14" t="s">
        <v>2971</v>
      </c>
      <c r="D126" s="14" t="s">
        <v>238</v>
      </c>
      <c r="E126" s="11"/>
      <c r="F126" s="4" t="s">
        <v>1523</v>
      </c>
    </row>
    <row r="127" spans="1:6" x14ac:dyDescent="0.2">
      <c r="A127" s="14" t="s">
        <v>1064</v>
      </c>
      <c r="B127" s="14" t="s">
        <v>3612</v>
      </c>
      <c r="C127" s="14" t="s">
        <v>3026</v>
      </c>
      <c r="D127" s="14" t="s">
        <v>239</v>
      </c>
      <c r="E127" s="11" t="s">
        <v>3689</v>
      </c>
      <c r="F127" s="4" t="s">
        <v>1523</v>
      </c>
    </row>
    <row r="128" spans="1:6" x14ac:dyDescent="0.2">
      <c r="A128" s="14" t="s">
        <v>1085</v>
      </c>
      <c r="B128" s="14" t="s">
        <v>3612</v>
      </c>
      <c r="C128" s="14" t="s">
        <v>3027</v>
      </c>
      <c r="D128" s="14" t="s">
        <v>240</v>
      </c>
      <c r="E128" s="11" t="s">
        <v>3690</v>
      </c>
      <c r="F128" s="4" t="s">
        <v>1523</v>
      </c>
    </row>
    <row r="129" spans="1:6" x14ac:dyDescent="0.2">
      <c r="A129" s="14" t="s">
        <v>1075</v>
      </c>
      <c r="B129" s="14" t="s">
        <v>4746</v>
      </c>
      <c r="C129" s="14" t="s">
        <v>2971</v>
      </c>
      <c r="D129" s="14" t="s">
        <v>241</v>
      </c>
      <c r="E129" s="11"/>
      <c r="F129" s="4" t="s">
        <v>1523</v>
      </c>
    </row>
    <row r="130" spans="1:6" x14ac:dyDescent="0.2">
      <c r="A130" s="14" t="s">
        <v>1065</v>
      </c>
      <c r="B130" s="14" t="s">
        <v>3612</v>
      </c>
      <c r="C130" s="14" t="s">
        <v>3028</v>
      </c>
      <c r="D130" s="14" t="s">
        <v>242</v>
      </c>
      <c r="E130" s="11" t="s">
        <v>3690</v>
      </c>
      <c r="F130" s="4" t="s">
        <v>1523</v>
      </c>
    </row>
    <row r="131" spans="1:6" x14ac:dyDescent="0.2">
      <c r="A131" s="14" t="s">
        <v>1086</v>
      </c>
      <c r="B131" s="14" t="s">
        <v>3612</v>
      </c>
      <c r="C131" s="14" t="s">
        <v>3029</v>
      </c>
      <c r="D131" s="14" t="s">
        <v>243</v>
      </c>
      <c r="E131" s="11" t="s">
        <v>3691</v>
      </c>
      <c r="F131" s="4" t="s">
        <v>1523</v>
      </c>
    </row>
    <row r="132" spans="1:6" x14ac:dyDescent="0.2">
      <c r="A132" s="14" t="s">
        <v>1076</v>
      </c>
      <c r="B132" s="14" t="s">
        <v>4746</v>
      </c>
      <c r="C132" s="14" t="s">
        <v>2971</v>
      </c>
      <c r="D132" s="14" t="s">
        <v>244</v>
      </c>
      <c r="E132" s="11"/>
      <c r="F132" s="4" t="s">
        <v>1523</v>
      </c>
    </row>
    <row r="133" spans="1:6" x14ac:dyDescent="0.2">
      <c r="A133" s="14" t="s">
        <v>1066</v>
      </c>
      <c r="B133" s="14" t="s">
        <v>3612</v>
      </c>
      <c r="C133" s="14" t="s">
        <v>3030</v>
      </c>
      <c r="D133" s="14" t="s">
        <v>245</v>
      </c>
      <c r="E133" s="11" t="s">
        <v>3691</v>
      </c>
      <c r="F133" s="4" t="s">
        <v>1523</v>
      </c>
    </row>
    <row r="134" spans="1:6" x14ac:dyDescent="0.2">
      <c r="A134" s="14" t="s">
        <v>1087</v>
      </c>
      <c r="B134" s="14" t="s">
        <v>3612</v>
      </c>
      <c r="C134" s="14" t="s">
        <v>3031</v>
      </c>
      <c r="D134" s="14" t="s">
        <v>246</v>
      </c>
      <c r="E134" s="11" t="s">
        <v>3692</v>
      </c>
      <c r="F134" s="4" t="s">
        <v>1523</v>
      </c>
    </row>
    <row r="135" spans="1:6" x14ac:dyDescent="0.2">
      <c r="A135" s="14" t="s">
        <v>1077</v>
      </c>
      <c r="B135" s="14" t="s">
        <v>4746</v>
      </c>
      <c r="C135" s="14" t="s">
        <v>2971</v>
      </c>
      <c r="D135" s="14" t="s">
        <v>247</v>
      </c>
      <c r="E135" s="11"/>
      <c r="F135" s="4" t="s">
        <v>1523</v>
      </c>
    </row>
    <row r="136" spans="1:6" x14ac:dyDescent="0.2">
      <c r="A136" s="14" t="s">
        <v>1067</v>
      </c>
      <c r="B136" s="14" t="s">
        <v>3612</v>
      </c>
      <c r="C136" s="14" t="s">
        <v>3032</v>
      </c>
      <c r="D136" s="14" t="s">
        <v>248</v>
      </c>
      <c r="E136" s="11" t="s">
        <v>3692</v>
      </c>
      <c r="F136" s="4" t="s">
        <v>1523</v>
      </c>
    </row>
    <row r="137" spans="1:6" x14ac:dyDescent="0.2">
      <c r="A137" s="14" t="s">
        <v>1088</v>
      </c>
      <c r="B137" s="14" t="s">
        <v>3612</v>
      </c>
      <c r="C137" s="14" t="s">
        <v>3033</v>
      </c>
      <c r="D137" s="14" t="s">
        <v>249</v>
      </c>
      <c r="E137" s="11" t="s">
        <v>3693</v>
      </c>
      <c r="F137" s="4" t="s">
        <v>1523</v>
      </c>
    </row>
    <row r="138" spans="1:6" x14ac:dyDescent="0.2">
      <c r="A138" s="14" t="s">
        <v>1078</v>
      </c>
      <c r="B138" s="14" t="s">
        <v>4746</v>
      </c>
      <c r="C138" s="14" t="s">
        <v>2971</v>
      </c>
      <c r="D138" s="14" t="s">
        <v>250</v>
      </c>
      <c r="E138" s="11" t="s">
        <v>3693</v>
      </c>
      <c r="F138" s="4" t="s">
        <v>1523</v>
      </c>
    </row>
    <row r="139" spans="1:6" x14ac:dyDescent="0.2">
      <c r="A139" s="14" t="s">
        <v>1068</v>
      </c>
      <c r="B139" s="14" t="s">
        <v>3612</v>
      </c>
      <c r="C139" s="14" t="s">
        <v>3035</v>
      </c>
      <c r="D139" s="14" t="s">
        <v>251</v>
      </c>
      <c r="E139" s="11" t="s">
        <v>3693</v>
      </c>
      <c r="F139" s="4" t="s">
        <v>1523</v>
      </c>
    </row>
    <row r="140" spans="1:6" x14ac:dyDescent="0.2">
      <c r="A140" s="14" t="s">
        <v>1089</v>
      </c>
      <c r="B140" s="14" t="s">
        <v>3612</v>
      </c>
      <c r="C140" s="14" t="s">
        <v>3036</v>
      </c>
      <c r="D140" s="14" t="s">
        <v>252</v>
      </c>
      <c r="E140" s="11" t="s">
        <v>3694</v>
      </c>
      <c r="F140" s="4" t="s">
        <v>1523</v>
      </c>
    </row>
    <row r="141" spans="1:6" x14ac:dyDescent="0.2">
      <c r="A141" s="14" t="s">
        <v>1079</v>
      </c>
      <c r="B141" s="14" t="s">
        <v>4746</v>
      </c>
      <c r="C141" s="14" t="s">
        <v>2971</v>
      </c>
      <c r="D141" s="14" t="s">
        <v>253</v>
      </c>
      <c r="E141" s="11" t="s">
        <v>3694</v>
      </c>
      <c r="F141" s="4" t="s">
        <v>1523</v>
      </c>
    </row>
    <row r="142" spans="1:6" x14ac:dyDescent="0.2">
      <c r="A142" s="14" t="s">
        <v>1069</v>
      </c>
      <c r="B142" s="14" t="s">
        <v>3612</v>
      </c>
      <c r="C142" s="14" t="s">
        <v>3038</v>
      </c>
      <c r="D142" s="14" t="s">
        <v>254</v>
      </c>
      <c r="E142" s="11" t="s">
        <v>3694</v>
      </c>
      <c r="F142" s="4" t="s">
        <v>1523</v>
      </c>
    </row>
    <row r="143" spans="1:6" x14ac:dyDescent="0.2">
      <c r="A143" s="14" t="s">
        <v>1090</v>
      </c>
      <c r="B143" s="14" t="s">
        <v>4746</v>
      </c>
      <c r="C143" s="14" t="s">
        <v>2853</v>
      </c>
      <c r="D143" s="14" t="s">
        <v>255</v>
      </c>
      <c r="E143" s="11"/>
      <c r="F143" s="4" t="s">
        <v>4751</v>
      </c>
    </row>
    <row r="144" spans="1:6" x14ac:dyDescent="0.2">
      <c r="A144" s="14" t="s">
        <v>1080</v>
      </c>
      <c r="B144" s="14" t="s">
        <v>4746</v>
      </c>
      <c r="C144" s="14" t="s">
        <v>2853</v>
      </c>
      <c r="D144" s="14" t="s">
        <v>256</v>
      </c>
      <c r="E144" s="11"/>
      <c r="F144" s="4" t="s">
        <v>4751</v>
      </c>
    </row>
    <row r="145" spans="1:8" x14ac:dyDescent="0.2">
      <c r="A145" s="14" t="s">
        <v>1070</v>
      </c>
      <c r="B145" s="14" t="s">
        <v>4746</v>
      </c>
      <c r="C145" s="14" t="s">
        <v>2853</v>
      </c>
      <c r="D145" s="14" t="s">
        <v>257</v>
      </c>
      <c r="E145" s="11"/>
      <c r="F145" s="4" t="s">
        <v>4751</v>
      </c>
    </row>
    <row r="146" spans="1:8" x14ac:dyDescent="0.2">
      <c r="A146" s="14" t="s">
        <v>2615</v>
      </c>
      <c r="B146" s="14" t="s">
        <v>3609</v>
      </c>
      <c r="C146" s="14" t="s">
        <v>2850</v>
      </c>
      <c r="D146" s="14" t="s">
        <v>1756</v>
      </c>
      <c r="E146" s="11"/>
      <c r="F146" s="4" t="s">
        <v>4751</v>
      </c>
      <c r="H146" s="6"/>
    </row>
    <row r="147" spans="1:8" x14ac:dyDescent="0.2">
      <c r="A147" s="14" t="s">
        <v>1091</v>
      </c>
      <c r="B147" s="14" t="s">
        <v>4746</v>
      </c>
      <c r="C147" s="14" t="s">
        <v>2993</v>
      </c>
      <c r="D147" s="14" t="s">
        <v>258</v>
      </c>
      <c r="E147" s="11"/>
      <c r="F147" s="4" t="s">
        <v>1523</v>
      </c>
    </row>
    <row r="148" spans="1:8" x14ac:dyDescent="0.2">
      <c r="A148" s="14" t="s">
        <v>1081</v>
      </c>
      <c r="B148" s="14" t="s">
        <v>4746</v>
      </c>
      <c r="C148" s="14" t="s">
        <v>2971</v>
      </c>
      <c r="D148" s="14" t="s">
        <v>259</v>
      </c>
      <c r="E148" s="11" t="s">
        <v>3695</v>
      </c>
      <c r="F148" s="4" t="s">
        <v>1523</v>
      </c>
    </row>
    <row r="149" spans="1:8" x14ac:dyDescent="0.2">
      <c r="A149" s="14" t="s">
        <v>1071</v>
      </c>
      <c r="B149" s="14" t="s">
        <v>3612</v>
      </c>
      <c r="C149" s="14" t="s">
        <v>3040</v>
      </c>
      <c r="D149" s="14" t="s">
        <v>260</v>
      </c>
      <c r="E149" s="11" t="s">
        <v>3695</v>
      </c>
      <c r="F149" s="4" t="s">
        <v>1523</v>
      </c>
    </row>
    <row r="150" spans="1:8" x14ac:dyDescent="0.2">
      <c r="A150" s="14" t="s">
        <v>1092</v>
      </c>
      <c r="B150" s="14" t="s">
        <v>4746</v>
      </c>
      <c r="C150" s="14" t="s">
        <v>2993</v>
      </c>
      <c r="D150" s="14" t="s">
        <v>261</v>
      </c>
      <c r="E150" s="11"/>
      <c r="F150" s="4" t="s">
        <v>1523</v>
      </c>
    </row>
    <row r="151" spans="1:8" x14ac:dyDescent="0.2">
      <c r="A151" s="14" t="s">
        <v>1082</v>
      </c>
      <c r="B151" s="14" t="s">
        <v>4746</v>
      </c>
      <c r="C151" s="14" t="s">
        <v>2971</v>
      </c>
      <c r="D151" s="14" t="s">
        <v>262</v>
      </c>
      <c r="E151" s="11" t="s">
        <v>3696</v>
      </c>
      <c r="F151" s="4" t="s">
        <v>1523</v>
      </c>
    </row>
    <row r="152" spans="1:8" x14ac:dyDescent="0.2">
      <c r="A152" s="14" t="s">
        <v>1072</v>
      </c>
      <c r="B152" s="14" t="s">
        <v>3612</v>
      </c>
      <c r="C152" s="14" t="s">
        <v>3042</v>
      </c>
      <c r="D152" s="14" t="s">
        <v>263</v>
      </c>
      <c r="E152" s="11" t="s">
        <v>3696</v>
      </c>
      <c r="F152" s="4" t="s">
        <v>1523</v>
      </c>
    </row>
    <row r="153" spans="1:8" x14ac:dyDescent="0.2">
      <c r="A153" s="14" t="s">
        <v>1093</v>
      </c>
      <c r="B153" s="14" t="s">
        <v>4746</v>
      </c>
      <c r="C153" s="14" t="s">
        <v>2993</v>
      </c>
      <c r="D153" s="14" t="s">
        <v>264</v>
      </c>
      <c r="E153" s="11"/>
      <c r="F153" s="4" t="s">
        <v>1523</v>
      </c>
    </row>
    <row r="154" spans="1:8" x14ac:dyDescent="0.2">
      <c r="A154" s="14" t="s">
        <v>1083</v>
      </c>
      <c r="B154" s="14" t="s">
        <v>4746</v>
      </c>
      <c r="C154" s="14" t="s">
        <v>2971</v>
      </c>
      <c r="D154" s="14" t="s">
        <v>265</v>
      </c>
      <c r="E154" s="11" t="s">
        <v>3697</v>
      </c>
      <c r="F154" s="4" t="s">
        <v>1523</v>
      </c>
    </row>
    <row r="155" spans="1:8" x14ac:dyDescent="0.2">
      <c r="A155" s="14" t="s">
        <v>1073</v>
      </c>
      <c r="B155" s="14" t="s">
        <v>3612</v>
      </c>
      <c r="C155" s="14" t="s">
        <v>3044</v>
      </c>
      <c r="D155" s="14" t="s">
        <v>266</v>
      </c>
      <c r="E155" s="11" t="s">
        <v>3697</v>
      </c>
      <c r="F155" s="4" t="s">
        <v>1523</v>
      </c>
    </row>
    <row r="156" spans="1:8" x14ac:dyDescent="0.2">
      <c r="A156" s="14" t="s">
        <v>1477</v>
      </c>
      <c r="B156" s="14" t="s">
        <v>3612</v>
      </c>
      <c r="C156" s="14" t="s">
        <v>3025</v>
      </c>
      <c r="D156" s="14" t="s">
        <v>267</v>
      </c>
      <c r="E156" s="11" t="s">
        <v>3689</v>
      </c>
      <c r="F156" s="4" t="s">
        <v>1523</v>
      </c>
    </row>
    <row r="157" spans="1:8" x14ac:dyDescent="0.2">
      <c r="A157" s="14" t="s">
        <v>1478</v>
      </c>
      <c r="B157" s="14" t="s">
        <v>4746</v>
      </c>
      <c r="C157" s="14" t="s">
        <v>2971</v>
      </c>
      <c r="D157" s="14" t="s">
        <v>268</v>
      </c>
      <c r="E157" s="11"/>
      <c r="F157" s="4" t="s">
        <v>1523</v>
      </c>
    </row>
    <row r="158" spans="1:8" x14ac:dyDescent="0.2">
      <c r="A158" s="14" t="s">
        <v>1476</v>
      </c>
      <c r="B158" s="14" t="s">
        <v>3612</v>
      </c>
      <c r="C158" s="14" t="s">
        <v>3026</v>
      </c>
      <c r="D158" s="14" t="s">
        <v>269</v>
      </c>
      <c r="E158" s="11" t="s">
        <v>3689</v>
      </c>
      <c r="F158" s="4" t="s">
        <v>1523</v>
      </c>
    </row>
    <row r="159" spans="1:8" x14ac:dyDescent="0.2">
      <c r="A159" s="14" t="s">
        <v>1479</v>
      </c>
      <c r="B159" s="14" t="s">
        <v>3612</v>
      </c>
      <c r="C159" s="14" t="s">
        <v>3028</v>
      </c>
      <c r="D159" s="14" t="s">
        <v>270</v>
      </c>
      <c r="E159" s="11" t="s">
        <v>3690</v>
      </c>
      <c r="F159" s="4" t="s">
        <v>1523</v>
      </c>
    </row>
    <row r="160" spans="1:8" x14ac:dyDescent="0.2">
      <c r="A160" s="14" t="s">
        <v>1480</v>
      </c>
      <c r="B160" s="14" t="s">
        <v>3612</v>
      </c>
      <c r="C160" s="14" t="s">
        <v>3032</v>
      </c>
      <c r="D160" s="14" t="s">
        <v>271</v>
      </c>
      <c r="E160" s="11" t="s">
        <v>3692</v>
      </c>
      <c r="F160" s="4" t="s">
        <v>1523</v>
      </c>
    </row>
    <row r="161" spans="1:6" x14ac:dyDescent="0.2">
      <c r="A161" s="14" t="s">
        <v>631</v>
      </c>
      <c r="B161" s="14" t="s">
        <v>3612</v>
      </c>
      <c r="C161" s="14" t="s">
        <v>3028</v>
      </c>
      <c r="D161" s="14" t="s">
        <v>232</v>
      </c>
      <c r="E161" s="11" t="s">
        <v>3690</v>
      </c>
      <c r="F161" s="4" t="s">
        <v>1523</v>
      </c>
    </row>
    <row r="162" spans="1:6" x14ac:dyDescent="0.2">
      <c r="A162" s="14" t="s">
        <v>343</v>
      </c>
      <c r="B162" s="14" t="s">
        <v>4746</v>
      </c>
      <c r="C162" s="14" t="s">
        <v>2992</v>
      </c>
      <c r="D162" s="14" t="s">
        <v>344</v>
      </c>
      <c r="E162" s="11"/>
      <c r="F162" s="4" t="s">
        <v>1523</v>
      </c>
    </row>
    <row r="163" spans="1:6" x14ac:dyDescent="0.2">
      <c r="A163" s="14" t="s">
        <v>345</v>
      </c>
      <c r="B163" s="14" t="s">
        <v>4746</v>
      </c>
      <c r="C163" s="14" t="s">
        <v>2993</v>
      </c>
      <c r="D163" s="14" t="s">
        <v>346</v>
      </c>
      <c r="E163" s="11"/>
      <c r="F163" s="4" t="s">
        <v>1523</v>
      </c>
    </row>
    <row r="164" spans="1:6" x14ac:dyDescent="0.2">
      <c r="A164" s="14" t="s">
        <v>347</v>
      </c>
      <c r="B164" s="14" t="s">
        <v>4746</v>
      </c>
      <c r="C164" s="14" t="s">
        <v>2992</v>
      </c>
      <c r="D164" s="14" t="s">
        <v>348</v>
      </c>
      <c r="E164" s="11"/>
      <c r="F164" s="4" t="s">
        <v>1523</v>
      </c>
    </row>
    <row r="165" spans="1:6" x14ac:dyDescent="0.2">
      <c r="A165" s="14" t="s">
        <v>349</v>
      </c>
      <c r="B165" s="14" t="s">
        <v>4746</v>
      </c>
      <c r="C165" s="14" t="s">
        <v>2993</v>
      </c>
      <c r="D165" s="14" t="s">
        <v>350</v>
      </c>
      <c r="E165" s="11"/>
      <c r="F165" s="4" t="s">
        <v>1523</v>
      </c>
    </row>
    <row r="166" spans="1:6" x14ac:dyDescent="0.2">
      <c r="A166" s="14" t="s">
        <v>351</v>
      </c>
      <c r="B166" s="14" t="s">
        <v>4746</v>
      </c>
      <c r="C166" s="14" t="s">
        <v>2971</v>
      </c>
      <c r="D166" s="14" t="s">
        <v>352</v>
      </c>
      <c r="E166" s="11"/>
      <c r="F166" s="4" t="s">
        <v>1523</v>
      </c>
    </row>
    <row r="167" spans="1:6" x14ac:dyDescent="0.2">
      <c r="A167" s="14" t="s">
        <v>353</v>
      </c>
      <c r="B167" s="14" t="s">
        <v>4746</v>
      </c>
      <c r="C167" s="14" t="s">
        <v>2992</v>
      </c>
      <c r="D167" s="14" t="s">
        <v>354</v>
      </c>
      <c r="E167" s="11"/>
      <c r="F167" s="4" t="s">
        <v>1523</v>
      </c>
    </row>
    <row r="168" spans="1:6" x14ac:dyDescent="0.2">
      <c r="A168" s="14" t="s">
        <v>602</v>
      </c>
      <c r="B168" s="14" t="s">
        <v>4746</v>
      </c>
      <c r="C168" s="14" t="s">
        <v>2993</v>
      </c>
      <c r="D168" s="14" t="s">
        <v>166</v>
      </c>
      <c r="E168" s="11"/>
      <c r="F168" s="4" t="s">
        <v>1523</v>
      </c>
    </row>
    <row r="169" spans="1:6" x14ac:dyDescent="0.2">
      <c r="A169" s="14" t="s">
        <v>603</v>
      </c>
      <c r="B169" s="14" t="s">
        <v>4746</v>
      </c>
      <c r="C169" s="14" t="s">
        <v>2971</v>
      </c>
      <c r="D169" s="14" t="s">
        <v>166</v>
      </c>
      <c r="E169" s="11"/>
      <c r="F169" s="4" t="s">
        <v>1523</v>
      </c>
    </row>
    <row r="170" spans="1:6" x14ac:dyDescent="0.2">
      <c r="A170" s="14" t="s">
        <v>604</v>
      </c>
      <c r="B170" s="14" t="s">
        <v>4746</v>
      </c>
      <c r="C170" s="14" t="s">
        <v>2992</v>
      </c>
      <c r="D170" s="14" t="s">
        <v>166</v>
      </c>
      <c r="E170" s="11"/>
      <c r="F170" s="4" t="s">
        <v>1523</v>
      </c>
    </row>
    <row r="171" spans="1:6" x14ac:dyDescent="0.2">
      <c r="A171" s="14" t="s">
        <v>605</v>
      </c>
      <c r="B171" s="14" t="s">
        <v>4746</v>
      </c>
      <c r="C171" s="14" t="s">
        <v>2993</v>
      </c>
      <c r="D171" s="14" t="s">
        <v>167</v>
      </c>
      <c r="E171" s="11"/>
      <c r="F171" s="4" t="s">
        <v>1523</v>
      </c>
    </row>
    <row r="172" spans="1:6" x14ac:dyDescent="0.2">
      <c r="A172" s="14" t="s">
        <v>606</v>
      </c>
      <c r="B172" s="14" t="s">
        <v>4746</v>
      </c>
      <c r="C172" s="14" t="s">
        <v>2971</v>
      </c>
      <c r="D172" s="14" t="s">
        <v>167</v>
      </c>
      <c r="E172" s="11"/>
      <c r="F172" s="4" t="s">
        <v>1523</v>
      </c>
    </row>
    <row r="173" spans="1:6" x14ac:dyDescent="0.2">
      <c r="A173" s="14" t="s">
        <v>607</v>
      </c>
      <c r="B173" s="14" t="s">
        <v>4746</v>
      </c>
      <c r="C173" s="14" t="s">
        <v>2992</v>
      </c>
      <c r="D173" s="14" t="s">
        <v>167</v>
      </c>
      <c r="E173" s="11"/>
      <c r="F173" s="4" t="s">
        <v>1523</v>
      </c>
    </row>
    <row r="174" spans="1:6" x14ac:dyDescent="0.2">
      <c r="A174" s="14" t="s">
        <v>608</v>
      </c>
      <c r="B174" s="14" t="s">
        <v>4746</v>
      </c>
      <c r="C174" s="14" t="s">
        <v>2993</v>
      </c>
      <c r="D174" s="14" t="s">
        <v>168</v>
      </c>
      <c r="E174" s="11"/>
      <c r="F174" s="4" t="s">
        <v>1523</v>
      </c>
    </row>
    <row r="175" spans="1:6" x14ac:dyDescent="0.2">
      <c r="A175" s="14" t="s">
        <v>609</v>
      </c>
      <c r="B175" s="14" t="s">
        <v>4746</v>
      </c>
      <c r="C175" s="14" t="s">
        <v>2971</v>
      </c>
      <c r="D175" s="14" t="s">
        <v>168</v>
      </c>
      <c r="E175" s="11"/>
      <c r="F175" s="4" t="s">
        <v>1523</v>
      </c>
    </row>
    <row r="176" spans="1:6" x14ac:dyDescent="0.2">
      <c r="A176" s="14" t="s">
        <v>610</v>
      </c>
      <c r="B176" s="14" t="s">
        <v>4746</v>
      </c>
      <c r="C176" s="14" t="s">
        <v>2992</v>
      </c>
      <c r="D176" s="14" t="s">
        <v>168</v>
      </c>
      <c r="E176" s="11"/>
      <c r="F176" s="4" t="s">
        <v>1523</v>
      </c>
    </row>
    <row r="177" spans="1:8" x14ac:dyDescent="0.2">
      <c r="A177" s="14" t="s">
        <v>611</v>
      </c>
      <c r="B177" s="14" t="s">
        <v>4746</v>
      </c>
      <c r="C177" s="14" t="s">
        <v>2993</v>
      </c>
      <c r="D177" s="14" t="s">
        <v>169</v>
      </c>
      <c r="E177" s="11"/>
      <c r="F177" s="4" t="s">
        <v>1523</v>
      </c>
    </row>
    <row r="178" spans="1:8" x14ac:dyDescent="0.2">
      <c r="A178" s="14" t="s">
        <v>612</v>
      </c>
      <c r="B178" s="14" t="s">
        <v>4746</v>
      </c>
      <c r="C178" s="14" t="s">
        <v>2971</v>
      </c>
      <c r="D178" s="14" t="s">
        <v>169</v>
      </c>
      <c r="E178" s="11"/>
      <c r="F178" s="4" t="s">
        <v>1523</v>
      </c>
    </row>
    <row r="179" spans="1:8" x14ac:dyDescent="0.2">
      <c r="A179" s="14" t="s">
        <v>613</v>
      </c>
      <c r="B179" s="14" t="s">
        <v>4746</v>
      </c>
      <c r="C179" s="14" t="s">
        <v>2992</v>
      </c>
      <c r="D179" s="14" t="s">
        <v>169</v>
      </c>
      <c r="E179" s="11"/>
      <c r="F179" s="4" t="s">
        <v>1523</v>
      </c>
    </row>
    <row r="180" spans="1:8" x14ac:dyDescent="0.2">
      <c r="A180" s="14" t="s">
        <v>632</v>
      </c>
      <c r="B180" s="14" t="s">
        <v>4746</v>
      </c>
      <c r="C180" s="14" t="s">
        <v>2993</v>
      </c>
      <c r="D180" s="14" t="s">
        <v>233</v>
      </c>
      <c r="E180" s="11" t="s">
        <v>3686</v>
      </c>
      <c r="F180" s="4" t="s">
        <v>1523</v>
      </c>
    </row>
    <row r="181" spans="1:8" x14ac:dyDescent="0.2">
      <c r="A181" s="14" t="s">
        <v>633</v>
      </c>
      <c r="B181" s="14" t="s">
        <v>4746</v>
      </c>
      <c r="C181" s="14" t="s">
        <v>2992</v>
      </c>
      <c r="D181" s="14" t="s">
        <v>234</v>
      </c>
      <c r="E181" s="11" t="s">
        <v>3687</v>
      </c>
      <c r="F181" s="4" t="s">
        <v>1523</v>
      </c>
    </row>
    <row r="182" spans="1:8" x14ac:dyDescent="0.2">
      <c r="A182" s="14" t="s">
        <v>634</v>
      </c>
      <c r="B182" s="14" t="s">
        <v>4746</v>
      </c>
      <c r="C182" s="14" t="s">
        <v>2853</v>
      </c>
      <c r="D182" s="14" t="s">
        <v>235</v>
      </c>
      <c r="E182" s="11"/>
      <c r="F182" s="4" t="s">
        <v>4751</v>
      </c>
    </row>
    <row r="183" spans="1:8" x14ac:dyDescent="0.2">
      <c r="A183" s="14" t="s">
        <v>635</v>
      </c>
      <c r="B183" s="14" t="s">
        <v>4746</v>
      </c>
      <c r="C183" s="14" t="s">
        <v>2993</v>
      </c>
      <c r="D183" s="14" t="s">
        <v>235</v>
      </c>
      <c r="E183" s="11" t="s">
        <v>3688</v>
      </c>
      <c r="F183" s="4" t="s">
        <v>1523</v>
      </c>
    </row>
    <row r="184" spans="1:8" x14ac:dyDescent="0.2">
      <c r="A184" s="14" t="s">
        <v>636</v>
      </c>
      <c r="B184" s="14" t="s">
        <v>4746</v>
      </c>
      <c r="C184" s="14" t="s">
        <v>2992</v>
      </c>
      <c r="D184" s="14" t="s">
        <v>236</v>
      </c>
      <c r="E184" s="11" t="s">
        <v>3688</v>
      </c>
      <c r="F184" s="4" t="s">
        <v>1523</v>
      </c>
    </row>
    <row r="185" spans="1:8" x14ac:dyDescent="0.2">
      <c r="A185" s="14" t="s">
        <v>614</v>
      </c>
      <c r="B185" s="14" t="s">
        <v>4746</v>
      </c>
      <c r="C185" s="14" t="s">
        <v>2853</v>
      </c>
      <c r="D185" s="14" t="s">
        <v>170</v>
      </c>
      <c r="E185" s="11"/>
      <c r="F185" s="4" t="s">
        <v>4751</v>
      </c>
    </row>
    <row r="186" spans="1:8" x14ac:dyDescent="0.2">
      <c r="A186" s="14" t="s">
        <v>615</v>
      </c>
      <c r="B186" s="14" t="s">
        <v>4746</v>
      </c>
      <c r="C186" s="14" t="s">
        <v>2853</v>
      </c>
      <c r="D186" s="14" t="s">
        <v>170</v>
      </c>
      <c r="E186" s="11"/>
      <c r="F186" s="4" t="s">
        <v>4751</v>
      </c>
    </row>
    <row r="187" spans="1:8" x14ac:dyDescent="0.2">
      <c r="A187" s="14" t="s">
        <v>616</v>
      </c>
      <c r="B187" s="14" t="s">
        <v>4746</v>
      </c>
      <c r="C187" s="14" t="s">
        <v>2853</v>
      </c>
      <c r="D187" s="14" t="s">
        <v>170</v>
      </c>
      <c r="E187" s="11"/>
      <c r="F187" s="4" t="s">
        <v>4751</v>
      </c>
    </row>
    <row r="188" spans="1:8" x14ac:dyDescent="0.2">
      <c r="A188" s="14" t="s">
        <v>617</v>
      </c>
      <c r="B188" s="14" t="s">
        <v>4746</v>
      </c>
      <c r="C188" s="14" t="s">
        <v>2993</v>
      </c>
      <c r="D188" s="14" t="s">
        <v>171</v>
      </c>
      <c r="E188" s="11"/>
      <c r="F188" s="4" t="s">
        <v>1523</v>
      </c>
    </row>
    <row r="189" spans="1:8" x14ac:dyDescent="0.2">
      <c r="A189" s="14" t="s">
        <v>618</v>
      </c>
      <c r="B189" s="14" t="s">
        <v>4746</v>
      </c>
      <c r="C189" s="14" t="s">
        <v>2971</v>
      </c>
      <c r="D189" s="14" t="s">
        <v>171</v>
      </c>
      <c r="E189" s="11"/>
      <c r="F189" s="4" t="s">
        <v>1523</v>
      </c>
    </row>
    <row r="190" spans="1:8" x14ac:dyDescent="0.2">
      <c r="A190" s="14" t="s">
        <v>619</v>
      </c>
      <c r="B190" s="14" t="s">
        <v>4746</v>
      </c>
      <c r="C190" s="14" t="s">
        <v>2992</v>
      </c>
      <c r="D190" s="14" t="s">
        <v>171</v>
      </c>
      <c r="E190" s="11"/>
      <c r="F190" s="4" t="s">
        <v>1523</v>
      </c>
    </row>
    <row r="191" spans="1:8" x14ac:dyDescent="0.2">
      <c r="A191" s="14" t="s">
        <v>2649</v>
      </c>
      <c r="B191" s="14" t="s">
        <v>3613</v>
      </c>
      <c r="C191" s="14" t="s">
        <v>2649</v>
      </c>
      <c r="D191" s="14" t="s">
        <v>1839</v>
      </c>
      <c r="E191" s="11" t="s">
        <v>3929</v>
      </c>
      <c r="F191" s="4" t="s">
        <v>1523</v>
      </c>
      <c r="H191" s="6"/>
    </row>
    <row r="192" spans="1:8" x14ac:dyDescent="0.2">
      <c r="A192" s="14" t="s">
        <v>2650</v>
      </c>
      <c r="B192" s="14" t="s">
        <v>3613</v>
      </c>
      <c r="C192" s="14" t="s">
        <v>2650</v>
      </c>
      <c r="D192" s="14" t="s">
        <v>1840</v>
      </c>
      <c r="E192" s="11" t="s">
        <v>3930</v>
      </c>
      <c r="F192" s="4" t="s">
        <v>1523</v>
      </c>
      <c r="H192" s="6"/>
    </row>
    <row r="193" spans="1:8" x14ac:dyDescent="0.2">
      <c r="A193" s="14" t="s">
        <v>2651</v>
      </c>
      <c r="B193" s="14" t="s">
        <v>3613</v>
      </c>
      <c r="C193" s="14" t="s">
        <v>2651</v>
      </c>
      <c r="D193" s="14" t="s">
        <v>1841</v>
      </c>
      <c r="E193" s="11" t="s">
        <v>3931</v>
      </c>
      <c r="F193" s="4" t="s">
        <v>1523</v>
      </c>
      <c r="H193" s="6"/>
    </row>
    <row r="194" spans="1:8" x14ac:dyDescent="0.2">
      <c r="A194" s="14" t="s">
        <v>2632</v>
      </c>
      <c r="B194" s="14" t="s">
        <v>4746</v>
      </c>
      <c r="C194" s="14" t="s">
        <v>2853</v>
      </c>
      <c r="D194" s="14" t="s">
        <v>1792</v>
      </c>
      <c r="E194" s="11"/>
      <c r="F194" s="4" t="s">
        <v>4752</v>
      </c>
      <c r="H194" s="6"/>
    </row>
    <row r="195" spans="1:8" x14ac:dyDescent="0.2">
      <c r="A195" s="14" t="s">
        <v>637</v>
      </c>
      <c r="B195" s="14" t="s">
        <v>4746</v>
      </c>
      <c r="C195" s="14" t="s">
        <v>2853</v>
      </c>
      <c r="D195" s="14" t="s">
        <v>272</v>
      </c>
      <c r="E195" s="11"/>
      <c r="F195" s="4" t="s">
        <v>4752</v>
      </c>
    </row>
    <row r="196" spans="1:8" x14ac:dyDescent="0.2">
      <c r="A196" s="14" t="s">
        <v>2633</v>
      </c>
      <c r="B196" s="14" t="s">
        <v>4746</v>
      </c>
      <c r="C196" s="14" t="s">
        <v>2853</v>
      </c>
      <c r="D196" s="14" t="s">
        <v>1793</v>
      </c>
      <c r="E196" s="11"/>
      <c r="F196" s="4" t="s">
        <v>4752</v>
      </c>
      <c r="H196" s="6"/>
    </row>
    <row r="197" spans="1:8" x14ac:dyDescent="0.2">
      <c r="A197" s="14" t="s">
        <v>2616</v>
      </c>
      <c r="B197" s="14" t="s">
        <v>3609</v>
      </c>
      <c r="C197" s="14" t="s">
        <v>2850</v>
      </c>
      <c r="D197" s="14" t="s">
        <v>1757</v>
      </c>
      <c r="E197" s="11"/>
      <c r="F197" s="4" t="s">
        <v>1523</v>
      </c>
      <c r="H197" s="6"/>
    </row>
    <row r="198" spans="1:8" x14ac:dyDescent="0.2">
      <c r="A198" s="14" t="s">
        <v>655</v>
      </c>
      <c r="B198" s="14" t="s">
        <v>3613</v>
      </c>
      <c r="C198" s="14" t="s">
        <v>655</v>
      </c>
      <c r="D198" s="14" t="s">
        <v>296</v>
      </c>
      <c r="E198" s="11" t="s">
        <v>296</v>
      </c>
      <c r="F198" s="4" t="s">
        <v>1523</v>
      </c>
    </row>
    <row r="199" spans="1:8" x14ac:dyDescent="0.2">
      <c r="A199" s="14" t="s">
        <v>656</v>
      </c>
      <c r="B199" s="14" t="s">
        <v>3613</v>
      </c>
      <c r="C199" s="14" t="s">
        <v>656</v>
      </c>
      <c r="D199" s="14" t="s">
        <v>297</v>
      </c>
      <c r="E199" s="11" t="s">
        <v>297</v>
      </c>
      <c r="F199" s="4" t="s">
        <v>1523</v>
      </c>
    </row>
    <row r="200" spans="1:8" x14ac:dyDescent="0.2">
      <c r="A200" s="14" t="s">
        <v>657</v>
      </c>
      <c r="B200" s="14" t="s">
        <v>3613</v>
      </c>
      <c r="C200" s="14" t="s">
        <v>657</v>
      </c>
      <c r="D200" s="14" t="s">
        <v>361</v>
      </c>
      <c r="E200" s="11" t="s">
        <v>361</v>
      </c>
      <c r="F200" s="4" t="s">
        <v>1523</v>
      </c>
    </row>
    <row r="201" spans="1:8" x14ac:dyDescent="0.2">
      <c r="A201" s="14" t="s">
        <v>658</v>
      </c>
      <c r="B201" s="14" t="s">
        <v>3613</v>
      </c>
      <c r="C201" s="14" t="s">
        <v>658</v>
      </c>
      <c r="D201" s="14" t="s">
        <v>1322</v>
      </c>
      <c r="E201" s="11" t="s">
        <v>1322</v>
      </c>
      <c r="F201" s="4" t="s">
        <v>1523</v>
      </c>
    </row>
    <row r="202" spans="1:8" x14ac:dyDescent="0.2">
      <c r="A202" s="14" t="s">
        <v>659</v>
      </c>
      <c r="B202" s="14" t="s">
        <v>3613</v>
      </c>
      <c r="C202" s="14" t="s">
        <v>659</v>
      </c>
      <c r="D202" s="14" t="s">
        <v>298</v>
      </c>
      <c r="E202" s="11" t="s">
        <v>298</v>
      </c>
      <c r="F202" s="4" t="s">
        <v>1523</v>
      </c>
    </row>
    <row r="203" spans="1:8" x14ac:dyDescent="0.2">
      <c r="A203" s="14" t="s">
        <v>660</v>
      </c>
      <c r="B203" s="14" t="s">
        <v>3613</v>
      </c>
      <c r="C203" s="14" t="s">
        <v>660</v>
      </c>
      <c r="D203" s="14" t="s">
        <v>1322</v>
      </c>
      <c r="E203" s="11" t="s">
        <v>1322</v>
      </c>
      <c r="F203" s="4" t="s">
        <v>1523</v>
      </c>
    </row>
    <row r="204" spans="1:8" x14ac:dyDescent="0.2">
      <c r="A204" s="14" t="s">
        <v>661</v>
      </c>
      <c r="B204" s="14" t="s">
        <v>3613</v>
      </c>
      <c r="C204" s="14" t="s">
        <v>661</v>
      </c>
      <c r="D204" s="14" t="s">
        <v>299</v>
      </c>
      <c r="E204" s="11" t="s">
        <v>299</v>
      </c>
      <c r="F204" s="4" t="s">
        <v>1523</v>
      </c>
    </row>
    <row r="205" spans="1:8" x14ac:dyDescent="0.2">
      <c r="A205" s="14" t="s">
        <v>662</v>
      </c>
      <c r="B205" s="14" t="s">
        <v>3613</v>
      </c>
      <c r="C205" s="14" t="s">
        <v>662</v>
      </c>
      <c r="D205" s="14" t="s">
        <v>300</v>
      </c>
      <c r="E205" s="11" t="s">
        <v>300</v>
      </c>
      <c r="F205" s="4" t="s">
        <v>1523</v>
      </c>
    </row>
    <row r="206" spans="1:8" x14ac:dyDescent="0.2">
      <c r="A206" s="14" t="s">
        <v>663</v>
      </c>
      <c r="B206" s="14" t="s">
        <v>3613</v>
      </c>
      <c r="C206" s="14" t="s">
        <v>663</v>
      </c>
      <c r="D206" s="14" t="s">
        <v>1323</v>
      </c>
      <c r="E206" s="11" t="s">
        <v>1323</v>
      </c>
      <c r="F206" s="4" t="s">
        <v>1523</v>
      </c>
    </row>
    <row r="207" spans="1:8" x14ac:dyDescent="0.2">
      <c r="A207" s="14" t="s">
        <v>664</v>
      </c>
      <c r="B207" s="14" t="s">
        <v>3613</v>
      </c>
      <c r="C207" s="14" t="s">
        <v>664</v>
      </c>
      <c r="D207" s="14" t="s">
        <v>301</v>
      </c>
      <c r="E207" s="11" t="s">
        <v>301</v>
      </c>
      <c r="F207" s="4" t="s">
        <v>1523</v>
      </c>
    </row>
    <row r="208" spans="1:8" x14ac:dyDescent="0.2">
      <c r="A208" s="14" t="s">
        <v>665</v>
      </c>
      <c r="B208" s="14" t="s">
        <v>3613</v>
      </c>
      <c r="C208" s="14" t="s">
        <v>665</v>
      </c>
      <c r="D208" s="14" t="s">
        <v>301</v>
      </c>
      <c r="E208" s="11" t="s">
        <v>301</v>
      </c>
      <c r="F208" s="4" t="s">
        <v>1523</v>
      </c>
    </row>
    <row r="209" spans="1:6" x14ac:dyDescent="0.2">
      <c r="A209" s="14" t="s">
        <v>666</v>
      </c>
      <c r="B209" s="14" t="s">
        <v>3613</v>
      </c>
      <c r="C209" s="14" t="s">
        <v>666</v>
      </c>
      <c r="D209" s="14" t="s">
        <v>1324</v>
      </c>
      <c r="E209" s="11" t="s">
        <v>1324</v>
      </c>
      <c r="F209" s="4" t="s">
        <v>1523</v>
      </c>
    </row>
    <row r="210" spans="1:6" x14ac:dyDescent="0.2">
      <c r="A210" s="14" t="s">
        <v>667</v>
      </c>
      <c r="B210" s="14" t="s">
        <v>3613</v>
      </c>
      <c r="C210" s="14" t="s">
        <v>667</v>
      </c>
      <c r="D210" s="14" t="s">
        <v>3508</v>
      </c>
      <c r="E210" s="11" t="s">
        <v>3508</v>
      </c>
      <c r="F210" s="4" t="s">
        <v>1523</v>
      </c>
    </row>
    <row r="211" spans="1:6" x14ac:dyDescent="0.2">
      <c r="A211" s="14" t="s">
        <v>668</v>
      </c>
      <c r="B211" s="14" t="s">
        <v>3613</v>
      </c>
      <c r="C211" s="14" t="s">
        <v>668</v>
      </c>
      <c r="D211" s="14" t="s">
        <v>302</v>
      </c>
      <c r="E211" s="11" t="s">
        <v>302</v>
      </c>
      <c r="F211" s="4" t="s">
        <v>1523</v>
      </c>
    </row>
    <row r="212" spans="1:6" x14ac:dyDescent="0.2">
      <c r="A212" s="14" t="s">
        <v>669</v>
      </c>
      <c r="B212" s="14" t="s">
        <v>3613</v>
      </c>
      <c r="C212" s="14" t="s">
        <v>669</v>
      </c>
      <c r="D212" s="14" t="s">
        <v>303</v>
      </c>
      <c r="E212" s="11" t="s">
        <v>303</v>
      </c>
      <c r="F212" s="4" t="s">
        <v>1523</v>
      </c>
    </row>
    <row r="213" spans="1:6" x14ac:dyDescent="0.2">
      <c r="A213" s="14" t="s">
        <v>670</v>
      </c>
      <c r="B213" s="14" t="s">
        <v>3613</v>
      </c>
      <c r="C213" s="14" t="s">
        <v>670</v>
      </c>
      <c r="D213" s="14" t="s">
        <v>3508</v>
      </c>
      <c r="E213" s="11" t="s">
        <v>3508</v>
      </c>
      <c r="F213" s="4" t="s">
        <v>1523</v>
      </c>
    </row>
    <row r="214" spans="1:6" x14ac:dyDescent="0.2">
      <c r="A214" s="14" t="s">
        <v>671</v>
      </c>
      <c r="B214" s="14" t="s">
        <v>3613</v>
      </c>
      <c r="C214" s="14" t="s">
        <v>671</v>
      </c>
      <c r="D214" s="14" t="s">
        <v>304</v>
      </c>
      <c r="E214" s="11" t="s">
        <v>304</v>
      </c>
      <c r="F214" s="4" t="s">
        <v>1523</v>
      </c>
    </row>
    <row r="215" spans="1:6" x14ac:dyDescent="0.2">
      <c r="A215" s="14" t="s">
        <v>672</v>
      </c>
      <c r="B215" s="14" t="s">
        <v>3613</v>
      </c>
      <c r="C215" s="14" t="s">
        <v>672</v>
      </c>
      <c r="D215" s="14" t="s">
        <v>305</v>
      </c>
      <c r="E215" s="11" t="s">
        <v>305</v>
      </c>
      <c r="F215" s="4" t="s">
        <v>1523</v>
      </c>
    </row>
    <row r="216" spans="1:6" x14ac:dyDescent="0.2">
      <c r="A216" s="14" t="s">
        <v>673</v>
      </c>
      <c r="B216" s="14" t="s">
        <v>3613</v>
      </c>
      <c r="C216" s="14" t="s">
        <v>673</v>
      </c>
      <c r="D216" s="14" t="s">
        <v>306</v>
      </c>
      <c r="E216" s="11" t="s">
        <v>306</v>
      </c>
      <c r="F216" s="4" t="s">
        <v>1523</v>
      </c>
    </row>
    <row r="217" spans="1:6" x14ac:dyDescent="0.2">
      <c r="A217" s="14" t="s">
        <v>674</v>
      </c>
      <c r="B217" s="14" t="s">
        <v>3613</v>
      </c>
      <c r="C217" s="14" t="s">
        <v>674</v>
      </c>
      <c r="D217" s="14" t="s">
        <v>307</v>
      </c>
      <c r="E217" s="11" t="s">
        <v>307</v>
      </c>
      <c r="F217" s="4" t="s">
        <v>1523</v>
      </c>
    </row>
    <row r="218" spans="1:6" x14ac:dyDescent="0.2">
      <c r="A218" s="14" t="s">
        <v>675</v>
      </c>
      <c r="B218" s="14" t="s">
        <v>3613</v>
      </c>
      <c r="C218" s="14" t="s">
        <v>675</v>
      </c>
      <c r="D218" s="14" t="s">
        <v>308</v>
      </c>
      <c r="E218" s="11" t="s">
        <v>308</v>
      </c>
      <c r="F218" s="4" t="s">
        <v>1523</v>
      </c>
    </row>
    <row r="219" spans="1:6" x14ac:dyDescent="0.2">
      <c r="A219" s="14" t="s">
        <v>676</v>
      </c>
      <c r="B219" s="14" t="s">
        <v>3613</v>
      </c>
      <c r="C219" s="14" t="s">
        <v>676</v>
      </c>
      <c r="D219" s="14" t="s">
        <v>1325</v>
      </c>
      <c r="E219" s="11" t="s">
        <v>1325</v>
      </c>
      <c r="F219" s="4" t="s">
        <v>1523</v>
      </c>
    </row>
    <row r="220" spans="1:6" x14ac:dyDescent="0.2">
      <c r="A220" s="14" t="s">
        <v>677</v>
      </c>
      <c r="B220" s="14" t="s">
        <v>3613</v>
      </c>
      <c r="C220" s="14" t="s">
        <v>677</v>
      </c>
      <c r="D220" s="14" t="s">
        <v>309</v>
      </c>
      <c r="E220" s="11" t="s">
        <v>309</v>
      </c>
      <c r="F220" s="4" t="s">
        <v>1523</v>
      </c>
    </row>
    <row r="221" spans="1:6" x14ac:dyDescent="0.2">
      <c r="A221" s="14" t="s">
        <v>678</v>
      </c>
      <c r="B221" s="14" t="s">
        <v>3613</v>
      </c>
      <c r="C221" s="14" t="s">
        <v>678</v>
      </c>
      <c r="D221" s="14" t="s">
        <v>310</v>
      </c>
      <c r="E221" s="11" t="s">
        <v>310</v>
      </c>
      <c r="F221" s="4" t="s">
        <v>1523</v>
      </c>
    </row>
    <row r="222" spans="1:6" x14ac:dyDescent="0.2">
      <c r="A222" s="14" t="s">
        <v>679</v>
      </c>
      <c r="B222" s="14" t="s">
        <v>3613</v>
      </c>
      <c r="C222" s="14" t="s">
        <v>679</v>
      </c>
      <c r="D222" s="14" t="s">
        <v>1326</v>
      </c>
      <c r="E222" s="11" t="s">
        <v>1326</v>
      </c>
      <c r="F222" s="4" t="s">
        <v>1523</v>
      </c>
    </row>
    <row r="223" spans="1:6" x14ac:dyDescent="0.2">
      <c r="A223" s="14" t="s">
        <v>680</v>
      </c>
      <c r="B223" s="14" t="s">
        <v>3613</v>
      </c>
      <c r="C223" s="14" t="s">
        <v>680</v>
      </c>
      <c r="D223" s="14" t="s">
        <v>311</v>
      </c>
      <c r="E223" s="11" t="s">
        <v>311</v>
      </c>
      <c r="F223" s="4" t="s">
        <v>1523</v>
      </c>
    </row>
    <row r="224" spans="1:6" x14ac:dyDescent="0.2">
      <c r="A224" s="14" t="s">
        <v>681</v>
      </c>
      <c r="B224" s="14" t="s">
        <v>3613</v>
      </c>
      <c r="C224" s="14" t="s">
        <v>681</v>
      </c>
      <c r="D224" s="14" t="s">
        <v>312</v>
      </c>
      <c r="E224" s="11" t="s">
        <v>312</v>
      </c>
      <c r="F224" s="4" t="s">
        <v>1523</v>
      </c>
    </row>
    <row r="225" spans="1:6" x14ac:dyDescent="0.2">
      <c r="A225" s="14" t="s">
        <v>682</v>
      </c>
      <c r="B225" s="14" t="s">
        <v>3613</v>
      </c>
      <c r="C225" s="14" t="s">
        <v>682</v>
      </c>
      <c r="D225" s="14" t="s">
        <v>311</v>
      </c>
      <c r="E225" s="11" t="s">
        <v>311</v>
      </c>
      <c r="F225" s="4" t="s">
        <v>1523</v>
      </c>
    </row>
    <row r="226" spans="1:6" x14ac:dyDescent="0.2">
      <c r="A226" s="14" t="s">
        <v>683</v>
      </c>
      <c r="B226" s="14" t="s">
        <v>3613</v>
      </c>
      <c r="C226" s="14" t="s">
        <v>683</v>
      </c>
      <c r="D226" s="14" t="s">
        <v>313</v>
      </c>
      <c r="E226" s="11" t="s">
        <v>313</v>
      </c>
      <c r="F226" s="4" t="s">
        <v>1523</v>
      </c>
    </row>
    <row r="227" spans="1:6" x14ac:dyDescent="0.2">
      <c r="A227" s="14" t="s">
        <v>684</v>
      </c>
      <c r="B227" s="14" t="s">
        <v>3613</v>
      </c>
      <c r="C227" s="14" t="s">
        <v>684</v>
      </c>
      <c r="D227" s="14" t="s">
        <v>314</v>
      </c>
      <c r="E227" s="11" t="s">
        <v>314</v>
      </c>
      <c r="F227" s="4" t="s">
        <v>1523</v>
      </c>
    </row>
    <row r="228" spans="1:6" x14ac:dyDescent="0.2">
      <c r="A228" s="14" t="s">
        <v>685</v>
      </c>
      <c r="B228" s="14" t="s">
        <v>3613</v>
      </c>
      <c r="C228" s="14" t="s">
        <v>685</v>
      </c>
      <c r="D228" s="14" t="s">
        <v>1328</v>
      </c>
      <c r="E228" s="11" t="s">
        <v>1328</v>
      </c>
      <c r="F228" s="4" t="s">
        <v>1523</v>
      </c>
    </row>
    <row r="229" spans="1:6" x14ac:dyDescent="0.2">
      <c r="A229" s="14" t="s">
        <v>686</v>
      </c>
      <c r="B229" s="14" t="s">
        <v>3613</v>
      </c>
      <c r="C229" s="14" t="s">
        <v>686</v>
      </c>
      <c r="D229" s="14" t="s">
        <v>315</v>
      </c>
      <c r="E229" s="11" t="s">
        <v>315</v>
      </c>
      <c r="F229" s="4" t="s">
        <v>1523</v>
      </c>
    </row>
    <row r="230" spans="1:6" x14ac:dyDescent="0.2">
      <c r="A230" s="14" t="s">
        <v>687</v>
      </c>
      <c r="B230" s="14" t="s">
        <v>3613</v>
      </c>
      <c r="C230" s="14" t="s">
        <v>687</v>
      </c>
      <c r="D230" s="14" t="s">
        <v>316</v>
      </c>
      <c r="E230" s="11" t="s">
        <v>316</v>
      </c>
      <c r="F230" s="4" t="s">
        <v>1523</v>
      </c>
    </row>
    <row r="231" spans="1:6" x14ac:dyDescent="0.2">
      <c r="A231" s="14" t="s">
        <v>688</v>
      </c>
      <c r="B231" s="14" t="s">
        <v>3613</v>
      </c>
      <c r="C231" s="14" t="s">
        <v>688</v>
      </c>
      <c r="D231" s="14" t="s">
        <v>1329</v>
      </c>
      <c r="E231" s="11" t="s">
        <v>1329</v>
      </c>
      <c r="F231" s="4" t="s">
        <v>1523</v>
      </c>
    </row>
    <row r="232" spans="1:6" x14ac:dyDescent="0.2">
      <c r="A232" s="14" t="s">
        <v>689</v>
      </c>
      <c r="B232" s="14" t="s">
        <v>3613</v>
      </c>
      <c r="C232" s="14" t="s">
        <v>689</v>
      </c>
      <c r="D232" s="14" t="s">
        <v>317</v>
      </c>
      <c r="E232" s="11" t="s">
        <v>317</v>
      </c>
      <c r="F232" s="4" t="s">
        <v>1523</v>
      </c>
    </row>
    <row r="233" spans="1:6" x14ac:dyDescent="0.2">
      <c r="A233" s="14" t="s">
        <v>690</v>
      </c>
      <c r="B233" s="14" t="s">
        <v>3613</v>
      </c>
      <c r="C233" s="14" t="s">
        <v>690</v>
      </c>
      <c r="D233" s="14" t="s">
        <v>318</v>
      </c>
      <c r="E233" s="11" t="s">
        <v>318</v>
      </c>
      <c r="F233" s="4" t="s">
        <v>1523</v>
      </c>
    </row>
    <row r="234" spans="1:6" x14ac:dyDescent="0.2">
      <c r="A234" s="14" t="s">
        <v>691</v>
      </c>
      <c r="B234" s="14" t="s">
        <v>3613</v>
      </c>
      <c r="C234" s="14" t="s">
        <v>691</v>
      </c>
      <c r="D234" s="14" t="s">
        <v>317</v>
      </c>
      <c r="E234" s="11" t="s">
        <v>317</v>
      </c>
      <c r="F234" s="4" t="s">
        <v>1523</v>
      </c>
    </row>
    <row r="235" spans="1:6" x14ac:dyDescent="0.2">
      <c r="A235" s="14" t="s">
        <v>692</v>
      </c>
      <c r="B235" s="14" t="s">
        <v>3613</v>
      </c>
      <c r="C235" s="14" t="s">
        <v>692</v>
      </c>
      <c r="D235" s="14" t="s">
        <v>319</v>
      </c>
      <c r="E235" s="11" t="s">
        <v>319</v>
      </c>
      <c r="F235" s="4" t="s">
        <v>1523</v>
      </c>
    </row>
    <row r="236" spans="1:6" x14ac:dyDescent="0.2">
      <c r="A236" s="14" t="s">
        <v>693</v>
      </c>
      <c r="B236" s="14" t="s">
        <v>3613</v>
      </c>
      <c r="C236" s="14" t="s">
        <v>693</v>
      </c>
      <c r="D236" s="14" t="s">
        <v>320</v>
      </c>
      <c r="E236" s="11" t="s">
        <v>320</v>
      </c>
      <c r="F236" s="4" t="s">
        <v>1523</v>
      </c>
    </row>
    <row r="237" spans="1:6" x14ac:dyDescent="0.2">
      <c r="A237" s="14" t="s">
        <v>694</v>
      </c>
      <c r="B237" s="14" t="s">
        <v>3613</v>
      </c>
      <c r="C237" s="14" t="s">
        <v>694</v>
      </c>
      <c r="D237" s="14" t="s">
        <v>321</v>
      </c>
      <c r="E237" s="11" t="s">
        <v>321</v>
      </c>
      <c r="F237" s="4" t="s">
        <v>1523</v>
      </c>
    </row>
    <row r="238" spans="1:6" x14ac:dyDescent="0.2">
      <c r="A238" s="14" t="s">
        <v>695</v>
      </c>
      <c r="B238" s="14" t="s">
        <v>3613</v>
      </c>
      <c r="C238" s="14" t="s">
        <v>695</v>
      </c>
      <c r="D238" s="14" t="s">
        <v>322</v>
      </c>
      <c r="E238" s="11" t="s">
        <v>322</v>
      </c>
      <c r="F238" s="4" t="s">
        <v>1523</v>
      </c>
    </row>
    <row r="239" spans="1:6" x14ac:dyDescent="0.2">
      <c r="A239" s="14" t="s">
        <v>696</v>
      </c>
      <c r="B239" s="14" t="s">
        <v>3613</v>
      </c>
      <c r="C239" s="14" t="s">
        <v>696</v>
      </c>
      <c r="D239" s="14" t="s">
        <v>323</v>
      </c>
      <c r="E239" s="11" t="s">
        <v>323</v>
      </c>
      <c r="F239" s="4" t="s">
        <v>1523</v>
      </c>
    </row>
    <row r="240" spans="1:6" x14ac:dyDescent="0.2">
      <c r="A240" s="14" t="s">
        <v>697</v>
      </c>
      <c r="B240" s="14" t="s">
        <v>3613</v>
      </c>
      <c r="C240" s="14" t="s">
        <v>697</v>
      </c>
      <c r="D240" s="14" t="s">
        <v>322</v>
      </c>
      <c r="E240" s="11" t="s">
        <v>322</v>
      </c>
      <c r="F240" s="4" t="s">
        <v>1523</v>
      </c>
    </row>
    <row r="241" spans="1:6" x14ac:dyDescent="0.2">
      <c r="A241" s="14" t="s">
        <v>698</v>
      </c>
      <c r="B241" s="14" t="s">
        <v>3613</v>
      </c>
      <c r="C241" s="14" t="s">
        <v>698</v>
      </c>
      <c r="D241" s="14" t="s">
        <v>324</v>
      </c>
      <c r="E241" s="11" t="s">
        <v>324</v>
      </c>
      <c r="F241" s="4" t="s">
        <v>1523</v>
      </c>
    </row>
    <row r="242" spans="1:6" x14ac:dyDescent="0.2">
      <c r="A242" s="14" t="s">
        <v>699</v>
      </c>
      <c r="B242" s="14" t="s">
        <v>3613</v>
      </c>
      <c r="C242" s="14" t="s">
        <v>699</v>
      </c>
      <c r="D242" s="14" t="s">
        <v>325</v>
      </c>
      <c r="E242" s="11" t="s">
        <v>325</v>
      </c>
      <c r="F242" s="4" t="s">
        <v>1523</v>
      </c>
    </row>
    <row r="243" spans="1:6" x14ac:dyDescent="0.2">
      <c r="A243" s="14" t="s">
        <v>700</v>
      </c>
      <c r="B243" s="14" t="s">
        <v>3613</v>
      </c>
      <c r="C243" s="14" t="s">
        <v>700</v>
      </c>
      <c r="D243" s="14" t="s">
        <v>324</v>
      </c>
      <c r="E243" s="11" t="s">
        <v>324</v>
      </c>
      <c r="F243" s="4" t="s">
        <v>1523</v>
      </c>
    </row>
    <row r="244" spans="1:6" x14ac:dyDescent="0.2">
      <c r="A244" s="14" t="s">
        <v>701</v>
      </c>
      <c r="B244" s="14" t="s">
        <v>3613</v>
      </c>
      <c r="C244" s="14" t="s">
        <v>701</v>
      </c>
      <c r="D244" s="14" t="s">
        <v>326</v>
      </c>
      <c r="E244" s="11" t="s">
        <v>326</v>
      </c>
      <c r="F244" s="4" t="s">
        <v>1523</v>
      </c>
    </row>
    <row r="245" spans="1:6" x14ac:dyDescent="0.2">
      <c r="A245" s="14" t="s">
        <v>702</v>
      </c>
      <c r="B245" s="14" t="s">
        <v>3613</v>
      </c>
      <c r="C245" s="14" t="s">
        <v>702</v>
      </c>
      <c r="D245" s="14" t="s">
        <v>327</v>
      </c>
      <c r="E245" s="11" t="s">
        <v>327</v>
      </c>
      <c r="F245" s="4" t="s">
        <v>1523</v>
      </c>
    </row>
    <row r="246" spans="1:6" x14ac:dyDescent="0.2">
      <c r="A246" s="14" t="s">
        <v>703</v>
      </c>
      <c r="B246" s="14" t="s">
        <v>3613</v>
      </c>
      <c r="C246" s="14" t="s">
        <v>703</v>
      </c>
      <c r="D246" s="14" t="s">
        <v>326</v>
      </c>
      <c r="E246" s="11" t="s">
        <v>326</v>
      </c>
      <c r="F246" s="4" t="s">
        <v>1523</v>
      </c>
    </row>
    <row r="247" spans="1:6" x14ac:dyDescent="0.2">
      <c r="A247" s="14" t="s">
        <v>704</v>
      </c>
      <c r="B247" s="14" t="s">
        <v>3613</v>
      </c>
      <c r="C247" s="14" t="s">
        <v>704</v>
      </c>
      <c r="D247" s="14" t="s">
        <v>328</v>
      </c>
      <c r="E247" s="11" t="s">
        <v>328</v>
      </c>
      <c r="F247" s="4" t="s">
        <v>1523</v>
      </c>
    </row>
    <row r="248" spans="1:6" x14ac:dyDescent="0.2">
      <c r="A248" s="14" t="s">
        <v>753</v>
      </c>
      <c r="B248" s="14" t="s">
        <v>3612</v>
      </c>
      <c r="C248" s="14" t="s">
        <v>4733</v>
      </c>
      <c r="D248" s="14" t="s">
        <v>3954</v>
      </c>
      <c r="E248" s="11" t="s">
        <v>3954</v>
      </c>
      <c r="F248" s="4" t="s">
        <v>1523</v>
      </c>
    </row>
    <row r="249" spans="1:6" x14ac:dyDescent="0.2">
      <c r="A249" s="14" t="s">
        <v>754</v>
      </c>
      <c r="B249" s="14" t="s">
        <v>3612</v>
      </c>
      <c r="C249" s="14" t="s">
        <v>4734</v>
      </c>
      <c r="D249" s="14" t="s">
        <v>3955</v>
      </c>
      <c r="E249" s="11" t="s">
        <v>3955</v>
      </c>
      <c r="F249" s="4" t="s">
        <v>1523</v>
      </c>
    </row>
    <row r="250" spans="1:6" x14ac:dyDescent="0.2">
      <c r="A250" s="14" t="s">
        <v>755</v>
      </c>
      <c r="B250" s="14" t="s">
        <v>3612</v>
      </c>
      <c r="C250" s="14" t="s">
        <v>4735</v>
      </c>
      <c r="D250" s="14" t="s">
        <v>3956</v>
      </c>
      <c r="E250" s="11" t="s">
        <v>3956</v>
      </c>
      <c r="F250" s="4" t="s">
        <v>1523</v>
      </c>
    </row>
    <row r="251" spans="1:6" x14ac:dyDescent="0.2">
      <c r="A251" s="14" t="s">
        <v>809</v>
      </c>
      <c r="B251" s="14" t="s">
        <v>3612</v>
      </c>
      <c r="C251" s="14" t="s">
        <v>3083</v>
      </c>
      <c r="D251" s="14" t="s">
        <v>4001</v>
      </c>
      <c r="E251" s="11" t="s">
        <v>4001</v>
      </c>
      <c r="F251" s="4" t="s">
        <v>1523</v>
      </c>
    </row>
    <row r="252" spans="1:6" x14ac:dyDescent="0.2">
      <c r="A252" s="14" t="s">
        <v>810</v>
      </c>
      <c r="B252" s="14" t="s">
        <v>3612</v>
      </c>
      <c r="C252" s="14" t="s">
        <v>3084</v>
      </c>
      <c r="D252" s="14" t="s">
        <v>4002</v>
      </c>
      <c r="E252" s="11" t="s">
        <v>4002</v>
      </c>
      <c r="F252" s="4" t="s">
        <v>1523</v>
      </c>
    </row>
    <row r="253" spans="1:6" x14ac:dyDescent="0.2">
      <c r="A253" s="14" t="s">
        <v>811</v>
      </c>
      <c r="B253" s="14" t="s">
        <v>3612</v>
      </c>
      <c r="C253" s="14" t="s">
        <v>3085</v>
      </c>
      <c r="D253" s="14" t="s">
        <v>4003</v>
      </c>
      <c r="E253" s="11" t="s">
        <v>4003</v>
      </c>
      <c r="F253" s="4" t="s">
        <v>1523</v>
      </c>
    </row>
    <row r="254" spans="1:6" x14ac:dyDescent="0.2">
      <c r="A254" s="14" t="s">
        <v>812</v>
      </c>
      <c r="B254" s="14" t="s">
        <v>3612</v>
      </c>
      <c r="C254" s="14" t="s">
        <v>3086</v>
      </c>
      <c r="D254" s="14" t="s">
        <v>4003</v>
      </c>
      <c r="E254" s="11" t="s">
        <v>4003</v>
      </c>
      <c r="F254" s="4" t="s">
        <v>1523</v>
      </c>
    </row>
    <row r="255" spans="1:6" x14ac:dyDescent="0.2">
      <c r="A255" s="14" t="s">
        <v>813</v>
      </c>
      <c r="B255" s="14" t="s">
        <v>3612</v>
      </c>
      <c r="C255" s="14" t="s">
        <v>3087</v>
      </c>
      <c r="D255" s="14" t="s">
        <v>4004</v>
      </c>
      <c r="E255" s="11" t="s">
        <v>4004</v>
      </c>
      <c r="F255" s="4" t="s">
        <v>1523</v>
      </c>
    </row>
    <row r="256" spans="1:6" x14ac:dyDescent="0.2">
      <c r="A256" s="14" t="s">
        <v>814</v>
      </c>
      <c r="B256" s="14" t="s">
        <v>3612</v>
      </c>
      <c r="C256" s="14" t="s">
        <v>3088</v>
      </c>
      <c r="D256" s="14" t="s">
        <v>4001</v>
      </c>
      <c r="E256" s="11" t="s">
        <v>4001</v>
      </c>
      <c r="F256" s="4" t="s">
        <v>1523</v>
      </c>
    </row>
    <row r="257" spans="1:6" x14ac:dyDescent="0.2">
      <c r="A257" s="14" t="s">
        <v>815</v>
      </c>
      <c r="B257" s="14" t="s">
        <v>3612</v>
      </c>
      <c r="C257" s="14" t="s">
        <v>3089</v>
      </c>
      <c r="D257" s="14" t="s">
        <v>4005</v>
      </c>
      <c r="E257" s="11" t="s">
        <v>4005</v>
      </c>
      <c r="F257" s="4" t="s">
        <v>1523</v>
      </c>
    </row>
    <row r="258" spans="1:6" x14ac:dyDescent="0.2">
      <c r="A258" s="14" t="s">
        <v>816</v>
      </c>
      <c r="B258" s="14" t="s">
        <v>3612</v>
      </c>
      <c r="C258" s="14" t="s">
        <v>3090</v>
      </c>
      <c r="D258" s="14" t="s">
        <v>4006</v>
      </c>
      <c r="E258" s="11" t="s">
        <v>4006</v>
      </c>
      <c r="F258" s="4" t="s">
        <v>1523</v>
      </c>
    </row>
    <row r="259" spans="1:6" x14ac:dyDescent="0.2">
      <c r="A259" s="14" t="s">
        <v>817</v>
      </c>
      <c r="B259" s="14" t="s">
        <v>3612</v>
      </c>
      <c r="C259" s="14" t="s">
        <v>3091</v>
      </c>
      <c r="D259" s="14" t="s">
        <v>4007</v>
      </c>
      <c r="E259" s="11" t="s">
        <v>4007</v>
      </c>
      <c r="F259" s="4" t="s">
        <v>1523</v>
      </c>
    </row>
    <row r="260" spans="1:6" x14ac:dyDescent="0.2">
      <c r="A260" s="14" t="s">
        <v>818</v>
      </c>
      <c r="B260" s="14" t="s">
        <v>3612</v>
      </c>
      <c r="C260" s="14" t="s">
        <v>3092</v>
      </c>
      <c r="D260" s="14" t="s">
        <v>4008</v>
      </c>
      <c r="E260" s="11" t="s">
        <v>4008</v>
      </c>
      <c r="F260" s="4" t="s">
        <v>1523</v>
      </c>
    </row>
    <row r="261" spans="1:6" x14ac:dyDescent="0.2">
      <c r="A261" s="14" t="s">
        <v>819</v>
      </c>
      <c r="B261" s="14" t="s">
        <v>4746</v>
      </c>
      <c r="C261" s="14" t="s">
        <v>2853</v>
      </c>
      <c r="D261" s="14" t="s">
        <v>4009</v>
      </c>
      <c r="E261" s="11" t="s">
        <v>4009</v>
      </c>
      <c r="F261" s="4" t="s">
        <v>1523</v>
      </c>
    </row>
    <row r="262" spans="1:6" x14ac:dyDescent="0.2">
      <c r="A262" s="14" t="s">
        <v>820</v>
      </c>
      <c r="B262" s="14" t="s">
        <v>4746</v>
      </c>
      <c r="C262" s="14" t="s">
        <v>2853</v>
      </c>
      <c r="D262" s="14" t="s">
        <v>4010</v>
      </c>
      <c r="E262" s="11" t="s">
        <v>4010</v>
      </c>
      <c r="F262" s="4" t="s">
        <v>1523</v>
      </c>
    </row>
    <row r="263" spans="1:6" x14ac:dyDescent="0.2">
      <c r="A263" s="14" t="s">
        <v>821</v>
      </c>
      <c r="B263" s="14" t="s">
        <v>4746</v>
      </c>
      <c r="C263" s="14" t="s">
        <v>2853</v>
      </c>
      <c r="D263" s="14" t="s">
        <v>4011</v>
      </c>
      <c r="E263" s="11" t="s">
        <v>4011</v>
      </c>
      <c r="F263" s="4" t="s">
        <v>1523</v>
      </c>
    </row>
    <row r="264" spans="1:6" x14ac:dyDescent="0.2">
      <c r="A264" s="14" t="s">
        <v>822</v>
      </c>
      <c r="B264" s="14" t="s">
        <v>4746</v>
      </c>
      <c r="C264" s="14" t="s">
        <v>2853</v>
      </c>
      <c r="D264" s="14" t="s">
        <v>4012</v>
      </c>
      <c r="E264" s="11" t="s">
        <v>4012</v>
      </c>
      <c r="F264" s="4" t="s">
        <v>1523</v>
      </c>
    </row>
    <row r="265" spans="1:6" x14ac:dyDescent="0.2">
      <c r="A265" s="14" t="s">
        <v>823</v>
      </c>
      <c r="B265" s="14" t="s">
        <v>4746</v>
      </c>
      <c r="C265" s="14" t="s">
        <v>2853</v>
      </c>
      <c r="D265" s="14" t="s">
        <v>4013</v>
      </c>
      <c r="E265" s="11" t="s">
        <v>4013</v>
      </c>
      <c r="F265" s="4" t="s">
        <v>1523</v>
      </c>
    </row>
    <row r="266" spans="1:6" x14ac:dyDescent="0.2">
      <c r="A266" s="14" t="s">
        <v>824</v>
      </c>
      <c r="B266" s="14" t="s">
        <v>4746</v>
      </c>
      <c r="C266" s="14" t="s">
        <v>2853</v>
      </c>
      <c r="D266" s="14" t="s">
        <v>4014</v>
      </c>
      <c r="E266" s="11" t="s">
        <v>4014</v>
      </c>
      <c r="F266" s="4" t="s">
        <v>1523</v>
      </c>
    </row>
    <row r="267" spans="1:6" x14ac:dyDescent="0.2">
      <c r="A267" s="14" t="s">
        <v>825</v>
      </c>
      <c r="B267" s="14" t="s">
        <v>4746</v>
      </c>
      <c r="C267" s="14" t="s">
        <v>2853</v>
      </c>
      <c r="D267" s="14" t="s">
        <v>4015</v>
      </c>
      <c r="E267" s="11" t="s">
        <v>4015</v>
      </c>
      <c r="F267" s="4" t="s">
        <v>1523</v>
      </c>
    </row>
    <row r="268" spans="1:6" x14ac:dyDescent="0.2">
      <c r="A268" s="14" t="s">
        <v>826</v>
      </c>
      <c r="B268" s="14" t="s">
        <v>4746</v>
      </c>
      <c r="C268" s="14" t="s">
        <v>2853</v>
      </c>
      <c r="D268" s="14" t="s">
        <v>4016</v>
      </c>
      <c r="E268" s="11" t="s">
        <v>4016</v>
      </c>
      <c r="F268" s="4" t="s">
        <v>1523</v>
      </c>
    </row>
    <row r="269" spans="1:6" x14ac:dyDescent="0.2">
      <c r="A269" s="14" t="s">
        <v>827</v>
      </c>
      <c r="B269" s="14" t="s">
        <v>4746</v>
      </c>
      <c r="C269" s="14" t="s">
        <v>2853</v>
      </c>
      <c r="D269" s="14" t="s">
        <v>4017</v>
      </c>
      <c r="E269" s="11" t="s">
        <v>4017</v>
      </c>
      <c r="F269" s="4" t="s">
        <v>1523</v>
      </c>
    </row>
    <row r="270" spans="1:6" x14ac:dyDescent="0.2">
      <c r="A270" s="14" t="s">
        <v>828</v>
      </c>
      <c r="B270" s="14" t="s">
        <v>3612</v>
      </c>
      <c r="C270" s="14" t="s">
        <v>3102</v>
      </c>
      <c r="D270" s="14" t="s">
        <v>4007</v>
      </c>
      <c r="E270" s="11" t="s">
        <v>4007</v>
      </c>
      <c r="F270" s="4" t="s">
        <v>1523</v>
      </c>
    </row>
    <row r="271" spans="1:6" x14ac:dyDescent="0.2">
      <c r="A271" s="14" t="s">
        <v>829</v>
      </c>
      <c r="B271" s="14" t="s">
        <v>4746</v>
      </c>
      <c r="C271" s="14" t="s">
        <v>2853</v>
      </c>
      <c r="D271" s="14" t="s">
        <v>4018</v>
      </c>
      <c r="E271" s="11" t="s">
        <v>4018</v>
      </c>
      <c r="F271" s="4" t="s">
        <v>1523</v>
      </c>
    </row>
    <row r="272" spans="1:6" x14ac:dyDescent="0.2">
      <c r="A272" s="14" t="s">
        <v>830</v>
      </c>
      <c r="B272" s="14" t="s">
        <v>4746</v>
      </c>
      <c r="C272" s="14" t="s">
        <v>2853</v>
      </c>
      <c r="D272" s="14" t="s">
        <v>4019</v>
      </c>
      <c r="E272" s="11" t="s">
        <v>4019</v>
      </c>
      <c r="F272" s="4" t="s">
        <v>1523</v>
      </c>
    </row>
    <row r="273" spans="1:6" x14ac:dyDescent="0.2">
      <c r="A273" s="14" t="s">
        <v>831</v>
      </c>
      <c r="B273" s="14" t="s">
        <v>4746</v>
      </c>
      <c r="C273" s="14" t="s">
        <v>2853</v>
      </c>
      <c r="D273" s="14" t="s">
        <v>4020</v>
      </c>
      <c r="E273" s="11" t="s">
        <v>4020</v>
      </c>
      <c r="F273" s="4" t="s">
        <v>1523</v>
      </c>
    </row>
    <row r="274" spans="1:6" x14ac:dyDescent="0.2">
      <c r="A274" s="14" t="s">
        <v>832</v>
      </c>
      <c r="B274" s="14" t="s">
        <v>3612</v>
      </c>
      <c r="C274" s="14" t="s">
        <v>3106</v>
      </c>
      <c r="D274" s="14" t="s">
        <v>4005</v>
      </c>
      <c r="E274" s="11" t="s">
        <v>4005</v>
      </c>
      <c r="F274" s="4" t="s">
        <v>1523</v>
      </c>
    </row>
    <row r="275" spans="1:6" x14ac:dyDescent="0.2">
      <c r="A275" s="14" t="s">
        <v>833</v>
      </c>
      <c r="B275" s="14" t="s">
        <v>4746</v>
      </c>
      <c r="C275" s="14" t="s">
        <v>2853</v>
      </c>
      <c r="D275" s="14" t="s">
        <v>4021</v>
      </c>
      <c r="E275" s="11" t="s">
        <v>4021</v>
      </c>
      <c r="F275" s="4" t="s">
        <v>1523</v>
      </c>
    </row>
    <row r="276" spans="1:6" x14ac:dyDescent="0.2">
      <c r="A276" s="14" t="s">
        <v>714</v>
      </c>
      <c r="B276" s="14" t="s">
        <v>3612</v>
      </c>
      <c r="C276" s="14" t="s">
        <v>3048</v>
      </c>
      <c r="D276" s="14" t="s">
        <v>336</v>
      </c>
      <c r="E276" s="11" t="s">
        <v>336</v>
      </c>
      <c r="F276" s="4" t="s">
        <v>1523</v>
      </c>
    </row>
    <row r="277" spans="1:6" x14ac:dyDescent="0.2">
      <c r="A277" s="14" t="s">
        <v>715</v>
      </c>
      <c r="B277" s="14" t="s">
        <v>3612</v>
      </c>
      <c r="C277" s="14" t="s">
        <v>3049</v>
      </c>
      <c r="D277" s="14" t="s">
        <v>336</v>
      </c>
      <c r="E277" s="11" t="s">
        <v>336</v>
      </c>
      <c r="F277" s="4" t="s">
        <v>1523</v>
      </c>
    </row>
    <row r="278" spans="1:6" x14ac:dyDescent="0.2">
      <c r="A278" s="14" t="s">
        <v>716</v>
      </c>
      <c r="B278" s="14" t="s">
        <v>3612</v>
      </c>
      <c r="C278" s="14" t="s">
        <v>3050</v>
      </c>
      <c r="D278" s="14" t="s">
        <v>337</v>
      </c>
      <c r="E278" s="11" t="s">
        <v>337</v>
      </c>
      <c r="F278" s="4" t="s">
        <v>1523</v>
      </c>
    </row>
    <row r="279" spans="1:6" x14ac:dyDescent="0.2">
      <c r="A279" s="14" t="s">
        <v>717</v>
      </c>
      <c r="B279" s="14" t="s">
        <v>3612</v>
      </c>
      <c r="C279" s="14" t="s">
        <v>3051</v>
      </c>
      <c r="D279" s="14" t="s">
        <v>337</v>
      </c>
      <c r="E279" s="11" t="s">
        <v>337</v>
      </c>
      <c r="F279" s="4" t="s">
        <v>1523</v>
      </c>
    </row>
    <row r="280" spans="1:6" x14ac:dyDescent="0.2">
      <c r="A280" s="14" t="s">
        <v>718</v>
      </c>
      <c r="B280" s="14" t="s">
        <v>3612</v>
      </c>
      <c r="C280" s="14" t="s">
        <v>3052</v>
      </c>
      <c r="D280" s="14" t="s">
        <v>338</v>
      </c>
      <c r="E280" s="11" t="s">
        <v>338</v>
      </c>
      <c r="F280" s="4" t="s">
        <v>1523</v>
      </c>
    </row>
    <row r="281" spans="1:6" x14ac:dyDescent="0.2">
      <c r="A281" s="14" t="s">
        <v>719</v>
      </c>
      <c r="B281" s="14" t="s">
        <v>3612</v>
      </c>
      <c r="C281" s="14" t="s">
        <v>3053</v>
      </c>
      <c r="D281" s="14" t="s">
        <v>339</v>
      </c>
      <c r="E281" s="11" t="s">
        <v>339</v>
      </c>
      <c r="F281" s="4" t="s">
        <v>1523</v>
      </c>
    </row>
    <row r="282" spans="1:6" x14ac:dyDescent="0.2">
      <c r="A282" s="14" t="s">
        <v>720</v>
      </c>
      <c r="B282" s="14" t="s">
        <v>3612</v>
      </c>
      <c r="C282" s="14" t="s">
        <v>3054</v>
      </c>
      <c r="D282" s="14" t="s">
        <v>340</v>
      </c>
      <c r="E282" s="11" t="s">
        <v>340</v>
      </c>
      <c r="F282" s="4" t="s">
        <v>1523</v>
      </c>
    </row>
    <row r="283" spans="1:6" x14ac:dyDescent="0.2">
      <c r="A283" s="14" t="s">
        <v>721</v>
      </c>
      <c r="B283" s="14" t="s">
        <v>3612</v>
      </c>
      <c r="C283" s="14" t="s">
        <v>3055</v>
      </c>
      <c r="D283" s="14" t="s">
        <v>1161</v>
      </c>
      <c r="E283" s="11" t="s">
        <v>1161</v>
      </c>
      <c r="F283" s="4" t="s">
        <v>1523</v>
      </c>
    </row>
    <row r="284" spans="1:6" x14ac:dyDescent="0.2">
      <c r="A284" s="14" t="s">
        <v>800</v>
      </c>
      <c r="B284" s="14" t="s">
        <v>3613</v>
      </c>
      <c r="C284" s="14" t="s">
        <v>800</v>
      </c>
      <c r="D284" s="14" t="s">
        <v>1163</v>
      </c>
      <c r="E284" s="11" t="s">
        <v>1163</v>
      </c>
      <c r="F284" s="4" t="s">
        <v>1523</v>
      </c>
    </row>
    <row r="285" spans="1:6" x14ac:dyDescent="0.2">
      <c r="A285" s="14" t="s">
        <v>801</v>
      </c>
      <c r="B285" s="14" t="s">
        <v>3613</v>
      </c>
      <c r="C285" s="14" t="s">
        <v>801</v>
      </c>
      <c r="D285" s="14" t="s">
        <v>3995</v>
      </c>
      <c r="E285" s="11" t="s">
        <v>3995</v>
      </c>
      <c r="F285" s="4" t="s">
        <v>1523</v>
      </c>
    </row>
    <row r="286" spans="1:6" x14ac:dyDescent="0.2">
      <c r="A286" s="14" t="s">
        <v>802</v>
      </c>
      <c r="B286" s="14" t="s">
        <v>3613</v>
      </c>
      <c r="C286" s="14" t="s">
        <v>802</v>
      </c>
      <c r="D286" s="14" t="s">
        <v>1163</v>
      </c>
      <c r="E286" s="11" t="s">
        <v>1163</v>
      </c>
      <c r="F286" s="4" t="s">
        <v>1523</v>
      </c>
    </row>
    <row r="287" spans="1:6" x14ac:dyDescent="0.2">
      <c r="A287" s="14" t="s">
        <v>803</v>
      </c>
      <c r="B287" s="14" t="s">
        <v>3612</v>
      </c>
      <c r="C287" s="14" t="s">
        <v>3080</v>
      </c>
      <c r="D287" s="14" t="s">
        <v>3996</v>
      </c>
      <c r="E287" s="11" t="s">
        <v>3996</v>
      </c>
      <c r="F287" s="4" t="s">
        <v>1523</v>
      </c>
    </row>
    <row r="288" spans="1:6" x14ac:dyDescent="0.2">
      <c r="A288" s="14" t="s">
        <v>804</v>
      </c>
      <c r="B288" s="14" t="s">
        <v>3612</v>
      </c>
      <c r="C288" s="14" t="s">
        <v>3081</v>
      </c>
      <c r="D288" s="14" t="s">
        <v>3997</v>
      </c>
      <c r="E288" s="11" t="s">
        <v>3997</v>
      </c>
      <c r="F288" s="4" t="s">
        <v>1523</v>
      </c>
    </row>
    <row r="289" spans="1:6" x14ac:dyDescent="0.2">
      <c r="A289" s="14" t="s">
        <v>805</v>
      </c>
      <c r="B289" s="14" t="s">
        <v>3612</v>
      </c>
      <c r="C289" s="14" t="s">
        <v>3082</v>
      </c>
      <c r="D289" s="14" t="s">
        <v>15</v>
      </c>
      <c r="E289" s="11" t="s">
        <v>15</v>
      </c>
      <c r="F289" s="4" t="s">
        <v>1523</v>
      </c>
    </row>
    <row r="290" spans="1:6" x14ac:dyDescent="0.2">
      <c r="A290" s="14" t="s">
        <v>722</v>
      </c>
      <c r="B290" s="14" t="s">
        <v>3612</v>
      </c>
      <c r="C290" s="14" t="s">
        <v>3056</v>
      </c>
      <c r="D290" s="14" t="s">
        <v>341</v>
      </c>
      <c r="E290" s="11" t="s">
        <v>341</v>
      </c>
      <c r="F290" s="4" t="s">
        <v>1523</v>
      </c>
    </row>
    <row r="291" spans="1:6" x14ac:dyDescent="0.2">
      <c r="A291" s="14" t="s">
        <v>723</v>
      </c>
      <c r="B291" s="14" t="s">
        <v>3612</v>
      </c>
      <c r="C291" s="14" t="s">
        <v>3057</v>
      </c>
      <c r="D291" s="14" t="s">
        <v>342</v>
      </c>
      <c r="E291" s="11" t="s">
        <v>342</v>
      </c>
      <c r="F291" s="4" t="s">
        <v>1523</v>
      </c>
    </row>
    <row r="292" spans="1:6" x14ac:dyDescent="0.2">
      <c r="A292" s="14" t="s">
        <v>724</v>
      </c>
      <c r="B292" s="14" t="s">
        <v>3612</v>
      </c>
      <c r="C292" s="14" t="s">
        <v>3058</v>
      </c>
      <c r="D292" s="14" t="s">
        <v>341</v>
      </c>
      <c r="E292" s="11" t="s">
        <v>341</v>
      </c>
      <c r="F292" s="4" t="s">
        <v>1523</v>
      </c>
    </row>
    <row r="293" spans="1:6" x14ac:dyDescent="0.2">
      <c r="A293" s="14" t="s">
        <v>725</v>
      </c>
      <c r="B293" s="14" t="s">
        <v>3612</v>
      </c>
      <c r="C293" s="14" t="s">
        <v>3059</v>
      </c>
      <c r="D293" s="14" t="s">
        <v>3943</v>
      </c>
      <c r="E293" s="11" t="s">
        <v>3943</v>
      </c>
      <c r="F293" s="4" t="s">
        <v>1523</v>
      </c>
    </row>
    <row r="294" spans="1:6" x14ac:dyDescent="0.2">
      <c r="A294" s="14" t="s">
        <v>726</v>
      </c>
      <c r="B294" s="14" t="s">
        <v>3612</v>
      </c>
      <c r="C294" s="14" t="s">
        <v>3060</v>
      </c>
      <c r="D294" s="14" t="s">
        <v>3944</v>
      </c>
      <c r="E294" s="11" t="s">
        <v>3944</v>
      </c>
      <c r="F294" s="4" t="s">
        <v>1523</v>
      </c>
    </row>
    <row r="295" spans="1:6" x14ac:dyDescent="0.2">
      <c r="A295" s="14" t="s">
        <v>727</v>
      </c>
      <c r="B295" s="14" t="s">
        <v>3612</v>
      </c>
      <c r="C295" s="14" t="s">
        <v>3061</v>
      </c>
      <c r="D295" s="14" t="s">
        <v>3945</v>
      </c>
      <c r="E295" s="11" t="s">
        <v>3945</v>
      </c>
      <c r="F295" s="4" t="s">
        <v>1523</v>
      </c>
    </row>
    <row r="296" spans="1:6" x14ac:dyDescent="0.2">
      <c r="A296" s="14" t="s">
        <v>728</v>
      </c>
      <c r="B296" s="14" t="s">
        <v>3612</v>
      </c>
      <c r="C296" s="14" t="s">
        <v>3062</v>
      </c>
      <c r="D296" s="14" t="s">
        <v>3946</v>
      </c>
      <c r="E296" s="11" t="s">
        <v>3946</v>
      </c>
      <c r="F296" s="4" t="s">
        <v>1523</v>
      </c>
    </row>
    <row r="297" spans="1:6" x14ac:dyDescent="0.2">
      <c r="A297" s="14" t="s">
        <v>729</v>
      </c>
      <c r="B297" s="14" t="s">
        <v>3612</v>
      </c>
      <c r="C297" s="14" t="s">
        <v>3063</v>
      </c>
      <c r="D297" s="14" t="s">
        <v>3947</v>
      </c>
      <c r="E297" s="11" t="s">
        <v>3947</v>
      </c>
      <c r="F297" s="4" t="s">
        <v>1523</v>
      </c>
    </row>
    <row r="298" spans="1:6" x14ac:dyDescent="0.2">
      <c r="A298" s="14" t="s">
        <v>730</v>
      </c>
      <c r="B298" s="14" t="s">
        <v>3612</v>
      </c>
      <c r="C298" s="14" t="s">
        <v>3064</v>
      </c>
      <c r="D298" s="14" t="s">
        <v>1165</v>
      </c>
      <c r="E298" s="11" t="s">
        <v>1165</v>
      </c>
      <c r="F298" s="4" t="s">
        <v>1523</v>
      </c>
    </row>
    <row r="299" spans="1:6" x14ac:dyDescent="0.2">
      <c r="A299" s="14" t="s">
        <v>731</v>
      </c>
      <c r="B299" s="14" t="s">
        <v>3612</v>
      </c>
      <c r="C299" s="14" t="s">
        <v>3065</v>
      </c>
      <c r="D299" s="14" t="s">
        <v>1165</v>
      </c>
      <c r="E299" s="11" t="s">
        <v>1165</v>
      </c>
      <c r="F299" s="4" t="s">
        <v>1523</v>
      </c>
    </row>
    <row r="300" spans="1:6" x14ac:dyDescent="0.2">
      <c r="A300" s="14" t="s">
        <v>732</v>
      </c>
      <c r="B300" s="14" t="s">
        <v>3612</v>
      </c>
      <c r="C300" s="14" t="s">
        <v>3066</v>
      </c>
      <c r="D300" s="14" t="s">
        <v>3948</v>
      </c>
      <c r="E300" s="11" t="s">
        <v>3948</v>
      </c>
      <c r="F300" s="4" t="s">
        <v>1523</v>
      </c>
    </row>
    <row r="301" spans="1:6" x14ac:dyDescent="0.2">
      <c r="A301" s="14" t="s">
        <v>733</v>
      </c>
      <c r="B301" s="14" t="s">
        <v>3612</v>
      </c>
      <c r="C301" s="14" t="s">
        <v>3067</v>
      </c>
      <c r="D301" s="14" t="s">
        <v>3948</v>
      </c>
      <c r="E301" s="11" t="s">
        <v>3948</v>
      </c>
      <c r="F301" s="4" t="s">
        <v>1523</v>
      </c>
    </row>
    <row r="302" spans="1:6" x14ac:dyDescent="0.2">
      <c r="A302" s="14" t="s">
        <v>734</v>
      </c>
      <c r="B302" s="14" t="s">
        <v>3612</v>
      </c>
      <c r="C302" s="14" t="s">
        <v>3068</v>
      </c>
      <c r="D302" s="14" t="s">
        <v>3948</v>
      </c>
      <c r="E302" s="11" t="s">
        <v>3948</v>
      </c>
      <c r="F302" s="4" t="s">
        <v>1523</v>
      </c>
    </row>
    <row r="303" spans="1:6" x14ac:dyDescent="0.2">
      <c r="A303" s="14" t="s">
        <v>735</v>
      </c>
      <c r="B303" s="14" t="s">
        <v>3612</v>
      </c>
      <c r="C303" s="14" t="s">
        <v>3069</v>
      </c>
      <c r="D303" s="14" t="s">
        <v>1165</v>
      </c>
      <c r="E303" s="11" t="s">
        <v>1165</v>
      </c>
      <c r="F303" s="4" t="s">
        <v>1523</v>
      </c>
    </row>
    <row r="304" spans="1:6" x14ac:dyDescent="0.2">
      <c r="A304" s="14" t="s">
        <v>736</v>
      </c>
      <c r="B304" s="14" t="s">
        <v>3612</v>
      </c>
      <c r="C304" s="14" t="s">
        <v>3070</v>
      </c>
      <c r="D304" s="14" t="s">
        <v>3949</v>
      </c>
      <c r="E304" s="11" t="s">
        <v>3949</v>
      </c>
      <c r="F304" s="4" t="s">
        <v>1523</v>
      </c>
    </row>
    <row r="305" spans="1:6" x14ac:dyDescent="0.2">
      <c r="A305" s="14" t="s">
        <v>839</v>
      </c>
      <c r="B305" s="14" t="s">
        <v>3613</v>
      </c>
      <c r="C305" s="14" t="s">
        <v>839</v>
      </c>
      <c r="D305" s="14" t="s">
        <v>4022</v>
      </c>
      <c r="E305" s="11" t="s">
        <v>4022</v>
      </c>
      <c r="F305" s="4" t="s">
        <v>1523</v>
      </c>
    </row>
    <row r="306" spans="1:6" x14ac:dyDescent="0.2">
      <c r="A306" s="14" t="s">
        <v>840</v>
      </c>
      <c r="B306" s="14" t="s">
        <v>3613</v>
      </c>
      <c r="C306" s="14" t="s">
        <v>840</v>
      </c>
      <c r="D306" s="14" t="s">
        <v>4023</v>
      </c>
      <c r="E306" s="11" t="s">
        <v>4023</v>
      </c>
      <c r="F306" s="4" t="s">
        <v>1523</v>
      </c>
    </row>
    <row r="307" spans="1:6" x14ac:dyDescent="0.2">
      <c r="A307" s="14" t="s">
        <v>841</v>
      </c>
      <c r="B307" s="14" t="s">
        <v>3613</v>
      </c>
      <c r="C307" s="14" t="s">
        <v>841</v>
      </c>
      <c r="D307" s="14" t="s">
        <v>4022</v>
      </c>
      <c r="E307" s="11" t="s">
        <v>4022</v>
      </c>
      <c r="F307" s="4" t="s">
        <v>1523</v>
      </c>
    </row>
    <row r="308" spans="1:6" x14ac:dyDescent="0.2">
      <c r="A308" s="14" t="s">
        <v>842</v>
      </c>
      <c r="B308" s="14" t="s">
        <v>3613</v>
      </c>
      <c r="C308" s="14" t="s">
        <v>842</v>
      </c>
      <c r="D308" s="14" t="s">
        <v>4024</v>
      </c>
      <c r="E308" s="11" t="s">
        <v>4024</v>
      </c>
      <c r="F308" s="4" t="s">
        <v>1523</v>
      </c>
    </row>
    <row r="309" spans="1:6" x14ac:dyDescent="0.2">
      <c r="A309" s="14" t="s">
        <v>843</v>
      </c>
      <c r="B309" s="14" t="s">
        <v>3613</v>
      </c>
      <c r="C309" s="14" t="s">
        <v>843</v>
      </c>
      <c r="D309" s="14" t="s">
        <v>4025</v>
      </c>
      <c r="E309" s="11" t="s">
        <v>4025</v>
      </c>
      <c r="F309" s="4" t="s">
        <v>1523</v>
      </c>
    </row>
    <row r="310" spans="1:6" x14ac:dyDescent="0.2">
      <c r="A310" s="14" t="s">
        <v>844</v>
      </c>
      <c r="B310" s="14" t="s">
        <v>3613</v>
      </c>
      <c r="C310" s="14" t="s">
        <v>844</v>
      </c>
      <c r="D310" s="14" t="s">
        <v>4024</v>
      </c>
      <c r="E310" s="11" t="s">
        <v>4024</v>
      </c>
      <c r="F310" s="4" t="s">
        <v>1523</v>
      </c>
    </row>
    <row r="311" spans="1:6" x14ac:dyDescent="0.2">
      <c r="A311" s="14" t="s">
        <v>845</v>
      </c>
      <c r="B311" s="14" t="s">
        <v>3613</v>
      </c>
      <c r="C311" s="14" t="s">
        <v>845</v>
      </c>
      <c r="D311" s="14" t="s">
        <v>4026</v>
      </c>
      <c r="E311" s="11" t="s">
        <v>4026</v>
      </c>
      <c r="F311" s="4" t="s">
        <v>1523</v>
      </c>
    </row>
    <row r="312" spans="1:6" x14ac:dyDescent="0.2">
      <c r="A312" s="14" t="s">
        <v>846</v>
      </c>
      <c r="B312" s="14" t="s">
        <v>3613</v>
      </c>
      <c r="C312" s="14" t="s">
        <v>846</v>
      </c>
      <c r="D312" s="14" t="s">
        <v>4027</v>
      </c>
      <c r="E312" s="11" t="s">
        <v>4027</v>
      </c>
      <c r="F312" s="4" t="s">
        <v>1523</v>
      </c>
    </row>
    <row r="313" spans="1:6" x14ac:dyDescent="0.2">
      <c r="A313" s="14" t="s">
        <v>847</v>
      </c>
      <c r="B313" s="14" t="s">
        <v>3613</v>
      </c>
      <c r="C313" s="14" t="s">
        <v>847</v>
      </c>
      <c r="D313" s="14" t="s">
        <v>4026</v>
      </c>
      <c r="E313" s="11" t="s">
        <v>4026</v>
      </c>
      <c r="F313" s="4" t="s">
        <v>1523</v>
      </c>
    </row>
    <row r="314" spans="1:6" x14ac:dyDescent="0.2">
      <c r="A314" s="14" t="s">
        <v>848</v>
      </c>
      <c r="B314" s="14" t="s">
        <v>3613</v>
      </c>
      <c r="C314" s="14" t="s">
        <v>848</v>
      </c>
      <c r="D314" s="14" t="s">
        <v>4028</v>
      </c>
      <c r="E314" s="11" t="s">
        <v>4028</v>
      </c>
      <c r="F314" s="4" t="s">
        <v>1523</v>
      </c>
    </row>
    <row r="315" spans="1:6" x14ac:dyDescent="0.2">
      <c r="A315" s="14" t="s">
        <v>849</v>
      </c>
      <c r="B315" s="14" t="s">
        <v>3613</v>
      </c>
      <c r="C315" s="14" t="s">
        <v>849</v>
      </c>
      <c r="D315" s="14" t="s">
        <v>4029</v>
      </c>
      <c r="E315" s="11" t="s">
        <v>4029</v>
      </c>
      <c r="F315" s="4" t="s">
        <v>1523</v>
      </c>
    </row>
    <row r="316" spans="1:6" x14ac:dyDescent="0.2">
      <c r="A316" s="14" t="s">
        <v>850</v>
      </c>
      <c r="B316" s="14" t="s">
        <v>3613</v>
      </c>
      <c r="C316" s="14" t="s">
        <v>850</v>
      </c>
      <c r="D316" s="14" t="s">
        <v>4028</v>
      </c>
      <c r="E316" s="11" t="s">
        <v>4026</v>
      </c>
      <c r="F316" s="4" t="s">
        <v>1523</v>
      </c>
    </row>
    <row r="317" spans="1:6" x14ac:dyDescent="0.2">
      <c r="A317" s="14" t="s">
        <v>851</v>
      </c>
      <c r="B317" s="14" t="s">
        <v>3613</v>
      </c>
      <c r="C317" s="14" t="s">
        <v>851</v>
      </c>
      <c r="D317" s="14" t="s">
        <v>1166</v>
      </c>
      <c r="E317" s="11" t="s">
        <v>1166</v>
      </c>
      <c r="F317" s="4" t="s">
        <v>1523</v>
      </c>
    </row>
    <row r="318" spans="1:6" x14ac:dyDescent="0.2">
      <c r="A318" s="14" t="s">
        <v>852</v>
      </c>
      <c r="B318" s="14" t="s">
        <v>3613</v>
      </c>
      <c r="C318" s="14" t="s">
        <v>852</v>
      </c>
      <c r="D318" s="14" t="s">
        <v>4030</v>
      </c>
      <c r="E318" s="11" t="s">
        <v>4030</v>
      </c>
      <c r="F318" s="4" t="s">
        <v>1523</v>
      </c>
    </row>
    <row r="319" spans="1:6" x14ac:dyDescent="0.2">
      <c r="A319" s="14" t="s">
        <v>853</v>
      </c>
      <c r="B319" s="14" t="s">
        <v>3613</v>
      </c>
      <c r="C319" s="14" t="s">
        <v>853</v>
      </c>
      <c r="D319" s="14" t="s">
        <v>1166</v>
      </c>
      <c r="E319" s="11" t="s">
        <v>1166</v>
      </c>
      <c r="F319" s="4" t="s">
        <v>1523</v>
      </c>
    </row>
    <row r="320" spans="1:6" x14ac:dyDescent="0.2">
      <c r="A320" s="14" t="s">
        <v>854</v>
      </c>
      <c r="B320" s="14" t="s">
        <v>3613</v>
      </c>
      <c r="C320" s="14" t="s">
        <v>854</v>
      </c>
      <c r="D320" s="14" t="s">
        <v>1167</v>
      </c>
      <c r="E320" s="11" t="s">
        <v>1167</v>
      </c>
      <c r="F320" s="4" t="s">
        <v>1523</v>
      </c>
    </row>
    <row r="321" spans="1:8" x14ac:dyDescent="0.2">
      <c r="A321" s="14" t="s">
        <v>855</v>
      </c>
      <c r="B321" s="14" t="s">
        <v>3613</v>
      </c>
      <c r="C321" s="14" t="s">
        <v>855</v>
      </c>
      <c r="D321" s="14" t="s">
        <v>4031</v>
      </c>
      <c r="E321" s="11" t="s">
        <v>4031</v>
      </c>
      <c r="F321" s="4" t="s">
        <v>1523</v>
      </c>
    </row>
    <row r="322" spans="1:8" x14ac:dyDescent="0.2">
      <c r="A322" s="14" t="s">
        <v>856</v>
      </c>
      <c r="B322" s="14" t="s">
        <v>3613</v>
      </c>
      <c r="C322" s="14" t="s">
        <v>856</v>
      </c>
      <c r="D322" s="14" t="s">
        <v>1167</v>
      </c>
      <c r="E322" s="11" t="s">
        <v>1167</v>
      </c>
      <c r="F322" s="4" t="s">
        <v>1523</v>
      </c>
    </row>
    <row r="323" spans="1:8" x14ac:dyDescent="0.2">
      <c r="A323" s="14" t="s">
        <v>857</v>
      </c>
      <c r="B323" s="14" t="s">
        <v>3613</v>
      </c>
      <c r="C323" s="14" t="s">
        <v>857</v>
      </c>
      <c r="D323" s="14" t="s">
        <v>4032</v>
      </c>
      <c r="E323" s="11" t="s">
        <v>4032</v>
      </c>
      <c r="F323" s="4" t="s">
        <v>1523</v>
      </c>
    </row>
    <row r="324" spans="1:8" x14ac:dyDescent="0.2">
      <c r="A324" s="14" t="s">
        <v>858</v>
      </c>
      <c r="B324" s="14" t="s">
        <v>3613</v>
      </c>
      <c r="C324" s="14" t="s">
        <v>858</v>
      </c>
      <c r="D324" s="14" t="s">
        <v>4033</v>
      </c>
      <c r="E324" s="11" t="s">
        <v>4033</v>
      </c>
      <c r="F324" s="4" t="s">
        <v>1523</v>
      </c>
    </row>
    <row r="325" spans="1:8" x14ac:dyDescent="0.2">
      <c r="A325" s="14" t="s">
        <v>859</v>
      </c>
      <c r="B325" s="14" t="s">
        <v>3613</v>
      </c>
      <c r="C325" s="14" t="s">
        <v>859</v>
      </c>
      <c r="D325" s="14" t="s">
        <v>4034</v>
      </c>
      <c r="E325" s="11" t="s">
        <v>4034</v>
      </c>
      <c r="F325" s="4" t="s">
        <v>1523</v>
      </c>
    </row>
    <row r="326" spans="1:8" x14ac:dyDescent="0.2">
      <c r="A326" s="14" t="s">
        <v>860</v>
      </c>
      <c r="B326" s="14" t="s">
        <v>3613</v>
      </c>
      <c r="C326" s="14" t="s">
        <v>860</v>
      </c>
      <c r="D326" s="14" t="s">
        <v>4035</v>
      </c>
      <c r="E326" s="11" t="s">
        <v>4035</v>
      </c>
      <c r="F326" s="4" t="s">
        <v>1523</v>
      </c>
    </row>
    <row r="327" spans="1:8" x14ac:dyDescent="0.2">
      <c r="A327" s="14" t="s">
        <v>861</v>
      </c>
      <c r="B327" s="14" t="s">
        <v>3613</v>
      </c>
      <c r="C327" s="14" t="s">
        <v>861</v>
      </c>
      <c r="D327" s="14" t="s">
        <v>4036</v>
      </c>
      <c r="E327" s="11" t="s">
        <v>4036</v>
      </c>
      <c r="F327" s="4" t="s">
        <v>1523</v>
      </c>
    </row>
    <row r="328" spans="1:8" x14ac:dyDescent="0.2">
      <c r="A328" s="14" t="s">
        <v>862</v>
      </c>
      <c r="B328" s="14" t="s">
        <v>3613</v>
      </c>
      <c r="C328" s="14" t="s">
        <v>862</v>
      </c>
      <c r="D328" s="14" t="s">
        <v>4035</v>
      </c>
      <c r="E328" s="11" t="s">
        <v>4035</v>
      </c>
      <c r="F328" s="4" t="s">
        <v>1523</v>
      </c>
    </row>
    <row r="329" spans="1:8" x14ac:dyDescent="0.2">
      <c r="A329" s="14" t="s">
        <v>863</v>
      </c>
      <c r="B329" s="14" t="s">
        <v>3613</v>
      </c>
      <c r="C329" s="14" t="s">
        <v>863</v>
      </c>
      <c r="D329" s="14" t="s">
        <v>4037</v>
      </c>
      <c r="E329" s="11" t="s">
        <v>4037</v>
      </c>
      <c r="F329" s="4" t="s">
        <v>1523</v>
      </c>
    </row>
    <row r="330" spans="1:8" x14ac:dyDescent="0.2">
      <c r="A330" s="14" t="s">
        <v>864</v>
      </c>
      <c r="B330" s="14" t="s">
        <v>3613</v>
      </c>
      <c r="C330" s="14" t="s">
        <v>864</v>
      </c>
      <c r="D330" s="14" t="s">
        <v>4038</v>
      </c>
      <c r="E330" s="11" t="s">
        <v>4038</v>
      </c>
      <c r="F330" s="4" t="s">
        <v>1523</v>
      </c>
    </row>
    <row r="331" spans="1:8" x14ac:dyDescent="0.2">
      <c r="A331" s="14" t="s">
        <v>865</v>
      </c>
      <c r="B331" s="14" t="s">
        <v>3613</v>
      </c>
      <c r="C331" s="14" t="s">
        <v>865</v>
      </c>
      <c r="D331" s="14" t="s">
        <v>4037</v>
      </c>
      <c r="E331" s="11" t="s">
        <v>4037</v>
      </c>
      <c r="F331" s="4" t="s">
        <v>1523</v>
      </c>
    </row>
    <row r="332" spans="1:8" x14ac:dyDescent="0.2">
      <c r="A332" s="14" t="s">
        <v>866</v>
      </c>
      <c r="B332" s="14" t="s">
        <v>3613</v>
      </c>
      <c r="C332" s="14" t="s">
        <v>866</v>
      </c>
      <c r="D332" s="14" t="s">
        <v>4039</v>
      </c>
      <c r="E332" s="11" t="s">
        <v>4039</v>
      </c>
      <c r="F332" s="4" t="s">
        <v>1523</v>
      </c>
    </row>
    <row r="333" spans="1:8" x14ac:dyDescent="0.2">
      <c r="A333" s="14" t="s">
        <v>867</v>
      </c>
      <c r="B333" s="14" t="s">
        <v>3613</v>
      </c>
      <c r="C333" s="14" t="s">
        <v>867</v>
      </c>
      <c r="D333" s="14" t="s">
        <v>4040</v>
      </c>
      <c r="E333" s="11" t="s">
        <v>4040</v>
      </c>
      <c r="F333" s="4" t="s">
        <v>1523</v>
      </c>
    </row>
    <row r="334" spans="1:8" x14ac:dyDescent="0.2">
      <c r="A334" s="14" t="s">
        <v>2376</v>
      </c>
      <c r="B334" s="14" t="s">
        <v>3613</v>
      </c>
      <c r="C334" s="14" t="s">
        <v>2376</v>
      </c>
      <c r="D334" s="14" t="s">
        <v>4039</v>
      </c>
      <c r="E334" s="11" t="s">
        <v>4039</v>
      </c>
      <c r="F334" s="4" t="s">
        <v>1523</v>
      </c>
      <c r="H334" s="6"/>
    </row>
    <row r="335" spans="1:8" x14ac:dyDescent="0.2">
      <c r="A335" s="14" t="s">
        <v>2377</v>
      </c>
      <c r="B335" s="14" t="s">
        <v>3613</v>
      </c>
      <c r="C335" s="14" t="s">
        <v>2377</v>
      </c>
      <c r="D335" s="14" t="s">
        <v>4591</v>
      </c>
      <c r="E335" s="11" t="s">
        <v>4591</v>
      </c>
      <c r="F335" s="4" t="s">
        <v>1523</v>
      </c>
      <c r="H335" s="6"/>
    </row>
    <row r="336" spans="1:8" x14ac:dyDescent="0.2">
      <c r="A336" s="14" t="s">
        <v>2378</v>
      </c>
      <c r="B336" s="14" t="s">
        <v>3613</v>
      </c>
      <c r="C336" s="14" t="s">
        <v>2378</v>
      </c>
      <c r="D336" s="14" t="s">
        <v>4591</v>
      </c>
      <c r="E336" s="11" t="s">
        <v>4591</v>
      </c>
      <c r="F336" s="4" t="s">
        <v>1523</v>
      </c>
      <c r="H336" s="6"/>
    </row>
    <row r="337" spans="1:8" x14ac:dyDescent="0.2">
      <c r="A337" s="14" t="s">
        <v>2379</v>
      </c>
      <c r="B337" s="14" t="s">
        <v>3613</v>
      </c>
      <c r="C337" s="14" t="s">
        <v>2379</v>
      </c>
      <c r="D337" s="14" t="s">
        <v>4592</v>
      </c>
      <c r="E337" s="11" t="s">
        <v>4592</v>
      </c>
      <c r="F337" s="4" t="s">
        <v>1523</v>
      </c>
      <c r="H337" s="6"/>
    </row>
    <row r="338" spans="1:8" x14ac:dyDescent="0.2">
      <c r="A338" s="14" t="s">
        <v>2426</v>
      </c>
      <c r="B338" s="14" t="s">
        <v>3613</v>
      </c>
      <c r="C338" s="14" t="s">
        <v>2426</v>
      </c>
      <c r="D338" s="14" t="s">
        <v>4616</v>
      </c>
      <c r="E338" s="11" t="s">
        <v>4616</v>
      </c>
      <c r="F338" s="4" t="s">
        <v>1523</v>
      </c>
      <c r="H338" s="6"/>
    </row>
    <row r="339" spans="1:8" x14ac:dyDescent="0.2">
      <c r="A339" s="14" t="s">
        <v>806</v>
      </c>
      <c r="B339" s="14" t="s">
        <v>3613</v>
      </c>
      <c r="C339" s="14" t="s">
        <v>806</v>
      </c>
      <c r="D339" s="14" t="s">
        <v>3998</v>
      </c>
      <c r="E339" s="11" t="s">
        <v>3998</v>
      </c>
      <c r="F339" s="4" t="s">
        <v>1523</v>
      </c>
    </row>
    <row r="340" spans="1:8" x14ac:dyDescent="0.2">
      <c r="A340" s="14" t="s">
        <v>2427</v>
      </c>
      <c r="B340" s="14" t="s">
        <v>3613</v>
      </c>
      <c r="C340" s="14" t="s">
        <v>2427</v>
      </c>
      <c r="D340" s="14" t="s">
        <v>4616</v>
      </c>
      <c r="E340" s="11" t="s">
        <v>4616</v>
      </c>
      <c r="F340" s="4" t="s">
        <v>1523</v>
      </c>
      <c r="H340" s="6"/>
    </row>
    <row r="341" spans="1:8" x14ac:dyDescent="0.2">
      <c r="A341" s="14" t="s">
        <v>2428</v>
      </c>
      <c r="B341" s="14" t="s">
        <v>3613</v>
      </c>
      <c r="C341" s="14" t="s">
        <v>2428</v>
      </c>
      <c r="D341" s="14" t="s">
        <v>1346</v>
      </c>
      <c r="E341" s="11" t="s">
        <v>1346</v>
      </c>
      <c r="F341" s="4" t="s">
        <v>1523</v>
      </c>
      <c r="H341" s="6"/>
    </row>
    <row r="342" spans="1:8" x14ac:dyDescent="0.2">
      <c r="A342" s="14" t="s">
        <v>2429</v>
      </c>
      <c r="B342" s="14" t="s">
        <v>3613</v>
      </c>
      <c r="C342" s="14" t="s">
        <v>2429</v>
      </c>
      <c r="D342" s="14" t="s">
        <v>1346</v>
      </c>
      <c r="E342" s="11" t="s">
        <v>1346</v>
      </c>
      <c r="F342" s="4" t="s">
        <v>1523</v>
      </c>
      <c r="H342" s="6"/>
    </row>
    <row r="343" spans="1:8" x14ac:dyDescent="0.2">
      <c r="A343" s="14" t="s">
        <v>2430</v>
      </c>
      <c r="B343" s="14" t="s">
        <v>3613</v>
      </c>
      <c r="C343" s="14" t="s">
        <v>2430</v>
      </c>
      <c r="D343" s="14" t="s">
        <v>1347</v>
      </c>
      <c r="E343" s="11" t="s">
        <v>1347</v>
      </c>
      <c r="F343" s="4" t="s">
        <v>1523</v>
      </c>
      <c r="H343" s="6"/>
    </row>
    <row r="344" spans="1:8" x14ac:dyDescent="0.2">
      <c r="A344" s="14" t="s">
        <v>2431</v>
      </c>
      <c r="B344" s="14" t="s">
        <v>3613</v>
      </c>
      <c r="C344" s="14" t="s">
        <v>2431</v>
      </c>
      <c r="D344" s="14" t="s">
        <v>1347</v>
      </c>
      <c r="E344" s="11" t="s">
        <v>1347</v>
      </c>
      <c r="F344" s="4" t="s">
        <v>1523</v>
      </c>
      <c r="H344" s="6"/>
    </row>
    <row r="345" spans="1:8" x14ac:dyDescent="0.2">
      <c r="A345" s="14" t="s">
        <v>807</v>
      </c>
      <c r="B345" s="14" t="s">
        <v>3613</v>
      </c>
      <c r="C345" s="14" t="s">
        <v>807</v>
      </c>
      <c r="D345" s="14" t="s">
        <v>3999</v>
      </c>
      <c r="E345" s="11" t="s">
        <v>3999</v>
      </c>
      <c r="F345" s="4" t="s">
        <v>1523</v>
      </c>
    </row>
    <row r="346" spans="1:8" x14ac:dyDescent="0.2">
      <c r="A346" s="14" t="s">
        <v>776</v>
      </c>
      <c r="B346" s="14" t="s">
        <v>3613</v>
      </c>
      <c r="C346" s="14" t="s">
        <v>776</v>
      </c>
      <c r="D346" s="14" t="s">
        <v>3978</v>
      </c>
      <c r="E346" s="11" t="s">
        <v>3978</v>
      </c>
      <c r="F346" s="4" t="s">
        <v>1523</v>
      </c>
    </row>
    <row r="347" spans="1:8" x14ac:dyDescent="0.2">
      <c r="A347" s="14" t="s">
        <v>808</v>
      </c>
      <c r="B347" s="14" t="s">
        <v>3613</v>
      </c>
      <c r="C347" s="14" t="s">
        <v>808</v>
      </c>
      <c r="D347" s="14" t="s">
        <v>4000</v>
      </c>
      <c r="E347" s="11" t="s">
        <v>3999</v>
      </c>
      <c r="F347" s="4" t="s">
        <v>1523</v>
      </c>
    </row>
    <row r="348" spans="1:8" x14ac:dyDescent="0.2">
      <c r="A348" s="14" t="s">
        <v>777</v>
      </c>
      <c r="B348" s="14" t="s">
        <v>3609</v>
      </c>
      <c r="C348" s="14" t="s">
        <v>788</v>
      </c>
      <c r="D348" s="14" t="s">
        <v>3979</v>
      </c>
      <c r="E348" s="11" t="s">
        <v>3984</v>
      </c>
      <c r="F348" s="4" t="s">
        <v>1523</v>
      </c>
    </row>
    <row r="349" spans="1:8" x14ac:dyDescent="0.2">
      <c r="A349" s="14" t="s">
        <v>778</v>
      </c>
      <c r="B349" s="14" t="s">
        <v>3609</v>
      </c>
      <c r="C349" s="14" t="s">
        <v>789</v>
      </c>
      <c r="D349" s="14" t="s">
        <v>3979</v>
      </c>
      <c r="E349" s="11" t="s">
        <v>3985</v>
      </c>
      <c r="F349" s="4" t="s">
        <v>1523</v>
      </c>
    </row>
    <row r="350" spans="1:8" x14ac:dyDescent="0.2">
      <c r="A350" s="14" t="s">
        <v>779</v>
      </c>
      <c r="B350" s="14" t="s">
        <v>3612</v>
      </c>
      <c r="C350" s="14" t="s">
        <v>3071</v>
      </c>
      <c r="D350" s="14" t="s">
        <v>3980</v>
      </c>
      <c r="E350" s="11" t="s">
        <v>3980</v>
      </c>
      <c r="F350" s="4" t="s">
        <v>1523</v>
      </c>
    </row>
    <row r="351" spans="1:8" x14ac:dyDescent="0.2">
      <c r="A351" s="14" t="s">
        <v>780</v>
      </c>
      <c r="B351" s="14" t="s">
        <v>3612</v>
      </c>
      <c r="C351" s="14" t="s">
        <v>3072</v>
      </c>
      <c r="D351" s="14" t="s">
        <v>3980</v>
      </c>
      <c r="E351" s="11" t="s">
        <v>3980</v>
      </c>
      <c r="F351" s="4" t="s">
        <v>1523</v>
      </c>
    </row>
    <row r="352" spans="1:8" x14ac:dyDescent="0.2">
      <c r="A352" s="14" t="s">
        <v>781</v>
      </c>
      <c r="B352" s="14" t="s">
        <v>3612</v>
      </c>
      <c r="C352" s="14" t="s">
        <v>3073</v>
      </c>
      <c r="D352" s="14" t="s">
        <v>3981</v>
      </c>
      <c r="E352" s="11" t="s">
        <v>3981</v>
      </c>
      <c r="F352" s="4" t="s">
        <v>1523</v>
      </c>
    </row>
    <row r="353" spans="1:6" x14ac:dyDescent="0.2">
      <c r="A353" s="14" t="s">
        <v>782</v>
      </c>
      <c r="B353" s="14" t="s">
        <v>3612</v>
      </c>
      <c r="C353" s="14" t="s">
        <v>3074</v>
      </c>
      <c r="D353" s="14" t="s">
        <v>3982</v>
      </c>
      <c r="E353" s="11" t="s">
        <v>3982</v>
      </c>
      <c r="F353" s="4" t="s">
        <v>1523</v>
      </c>
    </row>
    <row r="354" spans="1:6" x14ac:dyDescent="0.2">
      <c r="A354" s="14" t="s">
        <v>783</v>
      </c>
      <c r="B354" s="14" t="s">
        <v>3612</v>
      </c>
      <c r="C354" s="14" t="s">
        <v>3075</v>
      </c>
      <c r="D354" s="14" t="s">
        <v>3982</v>
      </c>
      <c r="E354" s="11" t="s">
        <v>3982</v>
      </c>
      <c r="F354" s="4" t="s">
        <v>1523</v>
      </c>
    </row>
    <row r="355" spans="1:6" x14ac:dyDescent="0.2">
      <c r="A355" s="14" t="s">
        <v>784</v>
      </c>
      <c r="B355" s="14" t="s">
        <v>3612</v>
      </c>
      <c r="C355" s="14" t="s">
        <v>3076</v>
      </c>
      <c r="D355" s="14" t="s">
        <v>3982</v>
      </c>
      <c r="E355" s="11" t="s">
        <v>3982</v>
      </c>
      <c r="F355" s="4" t="s">
        <v>1523</v>
      </c>
    </row>
    <row r="356" spans="1:6" x14ac:dyDescent="0.2">
      <c r="A356" s="14" t="s">
        <v>785</v>
      </c>
      <c r="B356" s="14" t="s">
        <v>3612</v>
      </c>
      <c r="C356" s="14" t="s">
        <v>3077</v>
      </c>
      <c r="D356" s="14" t="s">
        <v>3983</v>
      </c>
      <c r="E356" s="11" t="s">
        <v>3983</v>
      </c>
      <c r="F356" s="4" t="s">
        <v>1523</v>
      </c>
    </row>
    <row r="357" spans="1:6" x14ac:dyDescent="0.2">
      <c r="A357" s="14" t="s">
        <v>786</v>
      </c>
      <c r="B357" s="14" t="s">
        <v>3612</v>
      </c>
      <c r="C357" s="14" t="s">
        <v>3078</v>
      </c>
      <c r="D357" s="14" t="s">
        <v>3983</v>
      </c>
      <c r="E357" s="11" t="s">
        <v>3983</v>
      </c>
      <c r="F357" s="4" t="s">
        <v>1523</v>
      </c>
    </row>
    <row r="358" spans="1:6" x14ac:dyDescent="0.2">
      <c r="A358" s="14" t="s">
        <v>787</v>
      </c>
      <c r="B358" s="14" t="s">
        <v>3612</v>
      </c>
      <c r="C358" s="14" t="s">
        <v>3079</v>
      </c>
      <c r="D358" s="14" t="s">
        <v>3983</v>
      </c>
      <c r="E358" s="11" t="s">
        <v>3983</v>
      </c>
      <c r="F358" s="4" t="s">
        <v>1523</v>
      </c>
    </row>
    <row r="359" spans="1:6" x14ac:dyDescent="0.2">
      <c r="A359" s="14" t="s">
        <v>788</v>
      </c>
      <c r="B359" s="14" t="s">
        <v>3613</v>
      </c>
      <c r="C359" s="14" t="s">
        <v>788</v>
      </c>
      <c r="D359" s="14" t="s">
        <v>3984</v>
      </c>
      <c r="E359" s="11" t="s">
        <v>3984</v>
      </c>
      <c r="F359" s="4" t="s">
        <v>1523</v>
      </c>
    </row>
    <row r="360" spans="1:6" x14ac:dyDescent="0.2">
      <c r="A360" s="14" t="s">
        <v>789</v>
      </c>
      <c r="B360" s="14" t="s">
        <v>3613</v>
      </c>
      <c r="C360" s="14" t="s">
        <v>789</v>
      </c>
      <c r="D360" s="14" t="s">
        <v>3985</v>
      </c>
      <c r="E360" s="11" t="s">
        <v>3985</v>
      </c>
      <c r="F360" s="4" t="s">
        <v>1523</v>
      </c>
    </row>
    <row r="361" spans="1:6" x14ac:dyDescent="0.2">
      <c r="A361" s="14" t="s">
        <v>790</v>
      </c>
      <c r="B361" s="14" t="s">
        <v>3613</v>
      </c>
      <c r="C361" s="14" t="s">
        <v>790</v>
      </c>
      <c r="D361" s="14" t="s">
        <v>3986</v>
      </c>
      <c r="E361" s="11" t="s">
        <v>3986</v>
      </c>
      <c r="F361" s="4" t="s">
        <v>1523</v>
      </c>
    </row>
    <row r="362" spans="1:6" x14ac:dyDescent="0.2">
      <c r="A362" s="14" t="s">
        <v>791</v>
      </c>
      <c r="B362" s="14" t="s">
        <v>3613</v>
      </c>
      <c r="C362" s="14" t="s">
        <v>791</v>
      </c>
      <c r="D362" s="14" t="s">
        <v>3987</v>
      </c>
      <c r="E362" s="11" t="s">
        <v>3987</v>
      </c>
      <c r="F362" s="4" t="s">
        <v>1523</v>
      </c>
    </row>
    <row r="363" spans="1:6" x14ac:dyDescent="0.2">
      <c r="A363" s="14" t="s">
        <v>792</v>
      </c>
      <c r="B363" s="14" t="s">
        <v>3613</v>
      </c>
      <c r="C363" s="14" t="s">
        <v>792</v>
      </c>
      <c r="D363" s="14" t="s">
        <v>3988</v>
      </c>
      <c r="E363" s="11" t="s">
        <v>3988</v>
      </c>
      <c r="F363" s="4" t="s">
        <v>1523</v>
      </c>
    </row>
    <row r="364" spans="1:6" x14ac:dyDescent="0.2">
      <c r="A364" s="14" t="s">
        <v>793</v>
      </c>
      <c r="B364" s="14" t="s">
        <v>3613</v>
      </c>
      <c r="C364" s="14" t="s">
        <v>793</v>
      </c>
      <c r="D364" s="14" t="s">
        <v>3989</v>
      </c>
      <c r="E364" s="11" t="s">
        <v>3989</v>
      </c>
      <c r="F364" s="4" t="s">
        <v>1523</v>
      </c>
    </row>
    <row r="365" spans="1:6" x14ac:dyDescent="0.2">
      <c r="A365" s="14" t="s">
        <v>794</v>
      </c>
      <c r="B365" s="14" t="s">
        <v>3613</v>
      </c>
      <c r="C365" s="14" t="s">
        <v>794</v>
      </c>
      <c r="D365" s="14" t="s">
        <v>3990</v>
      </c>
      <c r="E365" s="11" t="s">
        <v>3990</v>
      </c>
      <c r="F365" s="4" t="s">
        <v>1523</v>
      </c>
    </row>
    <row r="366" spans="1:6" x14ac:dyDescent="0.2">
      <c r="A366" s="14" t="s">
        <v>795</v>
      </c>
      <c r="B366" s="14" t="s">
        <v>3613</v>
      </c>
      <c r="C366" s="14" t="s">
        <v>795</v>
      </c>
      <c r="D366" s="14" t="s">
        <v>3991</v>
      </c>
      <c r="E366" s="11" t="s">
        <v>3991</v>
      </c>
      <c r="F366" s="4" t="s">
        <v>1523</v>
      </c>
    </row>
    <row r="367" spans="1:6" x14ac:dyDescent="0.2">
      <c r="A367" s="14" t="s">
        <v>796</v>
      </c>
      <c r="B367" s="14" t="s">
        <v>3613</v>
      </c>
      <c r="C367" s="14" t="s">
        <v>796</v>
      </c>
      <c r="D367" s="14" t="s">
        <v>3992</v>
      </c>
      <c r="E367" s="11" t="s">
        <v>3992</v>
      </c>
      <c r="F367" s="4" t="s">
        <v>1523</v>
      </c>
    </row>
    <row r="368" spans="1:6" x14ac:dyDescent="0.2">
      <c r="A368" s="14" t="s">
        <v>797</v>
      </c>
      <c r="B368" s="14" t="s">
        <v>3613</v>
      </c>
      <c r="C368" s="14" t="s">
        <v>797</v>
      </c>
      <c r="D368" s="14" t="s">
        <v>3992</v>
      </c>
      <c r="E368" s="11" t="s">
        <v>3992</v>
      </c>
      <c r="F368" s="4" t="s">
        <v>1523</v>
      </c>
    </row>
    <row r="369" spans="1:8" x14ac:dyDescent="0.2">
      <c r="A369" s="14" t="s">
        <v>798</v>
      </c>
      <c r="B369" s="14" t="s">
        <v>3613</v>
      </c>
      <c r="C369" s="14" t="s">
        <v>798</v>
      </c>
      <c r="D369" s="14" t="s">
        <v>3993</v>
      </c>
      <c r="E369" s="11" t="s">
        <v>3993</v>
      </c>
      <c r="F369" s="4" t="s">
        <v>1523</v>
      </c>
    </row>
    <row r="370" spans="1:8" x14ac:dyDescent="0.2">
      <c r="A370" s="14" t="s">
        <v>799</v>
      </c>
      <c r="B370" s="14" t="s">
        <v>3613</v>
      </c>
      <c r="C370" s="14" t="s">
        <v>799</v>
      </c>
      <c r="D370" s="14" t="s">
        <v>3994</v>
      </c>
      <c r="E370" s="11" t="s">
        <v>3994</v>
      </c>
      <c r="F370" s="4" t="s">
        <v>1523</v>
      </c>
    </row>
    <row r="371" spans="1:8" x14ac:dyDescent="0.2">
      <c r="A371" s="14" t="s">
        <v>2380</v>
      </c>
      <c r="B371" s="14" t="s">
        <v>3612</v>
      </c>
      <c r="C371" s="14" t="s">
        <v>3327</v>
      </c>
      <c r="D371" s="14" t="s">
        <v>4593</v>
      </c>
      <c r="E371" s="11" t="s">
        <v>3764</v>
      </c>
      <c r="F371" s="4" t="s">
        <v>1523</v>
      </c>
      <c r="H371" s="6"/>
    </row>
    <row r="372" spans="1:8" x14ac:dyDescent="0.2">
      <c r="A372" s="14" t="s">
        <v>2381</v>
      </c>
      <c r="B372" s="14" t="s">
        <v>3612</v>
      </c>
      <c r="C372" s="14" t="s">
        <v>3328</v>
      </c>
      <c r="D372" s="14" t="s">
        <v>4593</v>
      </c>
      <c r="E372" s="11" t="s">
        <v>3764</v>
      </c>
      <c r="F372" s="4" t="s">
        <v>1523</v>
      </c>
      <c r="H372" s="6"/>
    </row>
    <row r="373" spans="1:8" x14ac:dyDescent="0.2">
      <c r="A373" s="14" t="s">
        <v>2382</v>
      </c>
      <c r="B373" s="14" t="s">
        <v>3612</v>
      </c>
      <c r="C373" s="14" t="s">
        <v>3329</v>
      </c>
      <c r="D373" s="14" t="s">
        <v>4594</v>
      </c>
      <c r="E373" s="11" t="s">
        <v>3765</v>
      </c>
      <c r="F373" s="4" t="s">
        <v>1523</v>
      </c>
      <c r="H373" s="6"/>
    </row>
    <row r="374" spans="1:8" x14ac:dyDescent="0.2">
      <c r="A374" s="14" t="s">
        <v>2383</v>
      </c>
      <c r="B374" s="14" t="s">
        <v>3612</v>
      </c>
      <c r="C374" s="14" t="s">
        <v>3330</v>
      </c>
      <c r="D374" s="14" t="s">
        <v>4594</v>
      </c>
      <c r="E374" s="11" t="s">
        <v>3765</v>
      </c>
      <c r="F374" s="4" t="s">
        <v>1523</v>
      </c>
      <c r="H374" s="6"/>
    </row>
    <row r="375" spans="1:8" x14ac:dyDescent="0.2">
      <c r="A375" s="14" t="s">
        <v>2384</v>
      </c>
      <c r="B375" s="14" t="s">
        <v>3612</v>
      </c>
      <c r="C375" s="14" t="s">
        <v>3331</v>
      </c>
      <c r="D375" s="14" t="s">
        <v>90</v>
      </c>
      <c r="E375" s="11" t="s">
        <v>3766</v>
      </c>
      <c r="F375" s="4" t="s">
        <v>1523</v>
      </c>
      <c r="H375" s="6"/>
    </row>
    <row r="376" spans="1:8" x14ac:dyDescent="0.2">
      <c r="A376" s="14" t="s">
        <v>2385</v>
      </c>
      <c r="B376" s="14" t="s">
        <v>3612</v>
      </c>
      <c r="C376" s="14" t="s">
        <v>3332</v>
      </c>
      <c r="D376" s="14" t="s">
        <v>90</v>
      </c>
      <c r="E376" s="11" t="s">
        <v>3766</v>
      </c>
      <c r="F376" s="4" t="s">
        <v>1523</v>
      </c>
      <c r="H376" s="6"/>
    </row>
    <row r="377" spans="1:8" x14ac:dyDescent="0.2">
      <c r="A377" s="14" t="s">
        <v>2386</v>
      </c>
      <c r="B377" s="14" t="s">
        <v>3612</v>
      </c>
      <c r="C377" s="14" t="s">
        <v>3333</v>
      </c>
      <c r="D377" s="14" t="s">
        <v>92</v>
      </c>
      <c r="E377" s="11" t="s">
        <v>3767</v>
      </c>
      <c r="F377" s="4" t="s">
        <v>1523</v>
      </c>
      <c r="H377" s="6"/>
    </row>
    <row r="378" spans="1:8" x14ac:dyDescent="0.2">
      <c r="A378" s="14" t="s">
        <v>2387</v>
      </c>
      <c r="B378" s="14" t="s">
        <v>3612</v>
      </c>
      <c r="C378" s="14" t="s">
        <v>3334</v>
      </c>
      <c r="D378" s="14" t="s">
        <v>92</v>
      </c>
      <c r="E378" s="11" t="s">
        <v>3767</v>
      </c>
      <c r="F378" s="4" t="s">
        <v>1523</v>
      </c>
      <c r="H378" s="6"/>
    </row>
    <row r="379" spans="1:8" x14ac:dyDescent="0.2">
      <c r="A379" s="14" t="s">
        <v>2388</v>
      </c>
      <c r="B379" s="14" t="s">
        <v>3612</v>
      </c>
      <c r="C379" s="14" t="s">
        <v>3327</v>
      </c>
      <c r="D379" s="14" t="s">
        <v>4595</v>
      </c>
      <c r="E379" s="11" t="s">
        <v>3764</v>
      </c>
      <c r="F379" s="4" t="s">
        <v>1523</v>
      </c>
      <c r="H379" s="6"/>
    </row>
    <row r="380" spans="1:8" x14ac:dyDescent="0.2">
      <c r="A380" s="14" t="s">
        <v>2389</v>
      </c>
      <c r="B380" s="14" t="s">
        <v>3612</v>
      </c>
      <c r="C380" s="14" t="s">
        <v>3335</v>
      </c>
      <c r="D380" s="14" t="s">
        <v>4596</v>
      </c>
      <c r="E380" s="11" t="s">
        <v>3764</v>
      </c>
      <c r="F380" s="4" t="s">
        <v>1523</v>
      </c>
      <c r="H380" s="6"/>
    </row>
    <row r="381" spans="1:8" x14ac:dyDescent="0.2">
      <c r="A381" s="14" t="s">
        <v>2390</v>
      </c>
      <c r="B381" s="14" t="s">
        <v>3612</v>
      </c>
      <c r="C381" s="14" t="s">
        <v>3328</v>
      </c>
      <c r="D381" s="14" t="s">
        <v>4597</v>
      </c>
      <c r="E381" s="11" t="s">
        <v>3764</v>
      </c>
      <c r="F381" s="4" t="s">
        <v>1523</v>
      </c>
      <c r="H381" s="6"/>
    </row>
    <row r="382" spans="1:8" x14ac:dyDescent="0.2">
      <c r="A382" s="14" t="s">
        <v>2391</v>
      </c>
      <c r="B382" s="14" t="s">
        <v>3612</v>
      </c>
      <c r="C382" s="14" t="s">
        <v>3329</v>
      </c>
      <c r="D382" s="14" t="s">
        <v>4598</v>
      </c>
      <c r="E382" s="11" t="s">
        <v>3765</v>
      </c>
      <c r="F382" s="4" t="s">
        <v>1523</v>
      </c>
      <c r="H382" s="6"/>
    </row>
    <row r="383" spans="1:8" x14ac:dyDescent="0.2">
      <c r="A383" s="14" t="s">
        <v>2392</v>
      </c>
      <c r="B383" s="14" t="s">
        <v>3612</v>
      </c>
      <c r="C383" s="14" t="s">
        <v>3330</v>
      </c>
      <c r="D383" s="14" t="s">
        <v>4599</v>
      </c>
      <c r="E383" s="11" t="s">
        <v>3765</v>
      </c>
      <c r="F383" s="4" t="s">
        <v>1523</v>
      </c>
      <c r="H383" s="6"/>
    </row>
    <row r="384" spans="1:8" x14ac:dyDescent="0.2">
      <c r="A384" s="14" t="s">
        <v>2393</v>
      </c>
      <c r="B384" s="14" t="s">
        <v>3612</v>
      </c>
      <c r="C384" s="14" t="s">
        <v>3327</v>
      </c>
      <c r="D384" s="14" t="s">
        <v>4600</v>
      </c>
      <c r="E384" s="11" t="s">
        <v>3764</v>
      </c>
      <c r="F384" s="4" t="s">
        <v>1523</v>
      </c>
      <c r="H384" s="6"/>
    </row>
    <row r="385" spans="1:8" x14ac:dyDescent="0.2">
      <c r="A385" s="14" t="s">
        <v>2394</v>
      </c>
      <c r="B385" s="14" t="s">
        <v>3612</v>
      </c>
      <c r="C385" s="14" t="s">
        <v>3335</v>
      </c>
      <c r="D385" s="14" t="s">
        <v>4600</v>
      </c>
      <c r="E385" s="11" t="s">
        <v>3764</v>
      </c>
      <c r="F385" s="4" t="s">
        <v>1523</v>
      </c>
      <c r="H385" s="6"/>
    </row>
    <row r="386" spans="1:8" x14ac:dyDescent="0.2">
      <c r="A386" s="14" t="s">
        <v>2395</v>
      </c>
      <c r="B386" s="14" t="s">
        <v>3612</v>
      </c>
      <c r="C386" s="14" t="s">
        <v>3328</v>
      </c>
      <c r="D386" s="14" t="s">
        <v>4601</v>
      </c>
      <c r="E386" s="11" t="s">
        <v>3764</v>
      </c>
      <c r="F386" s="4" t="s">
        <v>1523</v>
      </c>
      <c r="H386" s="6"/>
    </row>
    <row r="387" spans="1:8" x14ac:dyDescent="0.2">
      <c r="A387" s="14" t="s">
        <v>2396</v>
      </c>
      <c r="B387" s="14" t="s">
        <v>3612</v>
      </c>
      <c r="C387" s="14" t="s">
        <v>3329</v>
      </c>
      <c r="D387" s="14" t="s">
        <v>4602</v>
      </c>
      <c r="E387" s="11" t="s">
        <v>3765</v>
      </c>
      <c r="F387" s="4" t="s">
        <v>1523</v>
      </c>
      <c r="H387" s="6"/>
    </row>
    <row r="388" spans="1:8" x14ac:dyDescent="0.2">
      <c r="A388" s="14" t="s">
        <v>2397</v>
      </c>
      <c r="B388" s="14" t="s">
        <v>3612</v>
      </c>
      <c r="C388" s="14" t="s">
        <v>3336</v>
      </c>
      <c r="D388" s="14" t="s">
        <v>4602</v>
      </c>
      <c r="E388" s="11" t="s">
        <v>3765</v>
      </c>
      <c r="F388" s="4" t="s">
        <v>1523</v>
      </c>
      <c r="H388" s="6"/>
    </row>
    <row r="389" spans="1:8" x14ac:dyDescent="0.2">
      <c r="A389" s="14" t="s">
        <v>2398</v>
      </c>
      <c r="B389" s="14" t="s">
        <v>3612</v>
      </c>
      <c r="C389" s="14" t="s">
        <v>3330</v>
      </c>
      <c r="D389" s="14" t="s">
        <v>4603</v>
      </c>
      <c r="E389" s="11" t="s">
        <v>3765</v>
      </c>
      <c r="F389" s="4" t="s">
        <v>1523</v>
      </c>
      <c r="H389" s="6"/>
    </row>
    <row r="390" spans="1:8" x14ac:dyDescent="0.2">
      <c r="A390" s="14" t="s">
        <v>2399</v>
      </c>
      <c r="B390" s="14" t="s">
        <v>3612</v>
      </c>
      <c r="C390" s="14" t="s">
        <v>3333</v>
      </c>
      <c r="D390" s="14" t="s">
        <v>4604</v>
      </c>
      <c r="E390" s="11" t="s">
        <v>3767</v>
      </c>
      <c r="F390" s="4" t="s">
        <v>1523</v>
      </c>
      <c r="H390" s="6"/>
    </row>
    <row r="391" spans="1:8" x14ac:dyDescent="0.2">
      <c r="A391" s="14" t="s">
        <v>2400</v>
      </c>
      <c r="B391" s="14" t="s">
        <v>3612</v>
      </c>
      <c r="C391" s="14" t="s">
        <v>3337</v>
      </c>
      <c r="D391" s="14" t="s">
        <v>4604</v>
      </c>
      <c r="E391" s="11" t="s">
        <v>3767</v>
      </c>
      <c r="F391" s="4" t="s">
        <v>1523</v>
      </c>
      <c r="H391" s="6"/>
    </row>
    <row r="392" spans="1:8" x14ac:dyDescent="0.2">
      <c r="A392" s="14" t="s">
        <v>2401</v>
      </c>
      <c r="B392" s="14" t="s">
        <v>3612</v>
      </c>
      <c r="C392" s="14" t="s">
        <v>3334</v>
      </c>
      <c r="D392" s="14" t="s">
        <v>4605</v>
      </c>
      <c r="E392" s="11" t="s">
        <v>3767</v>
      </c>
      <c r="F392" s="4" t="s">
        <v>1523</v>
      </c>
      <c r="H392" s="6"/>
    </row>
    <row r="393" spans="1:8" x14ac:dyDescent="0.2">
      <c r="A393" s="14" t="s">
        <v>737</v>
      </c>
      <c r="B393" s="14" t="s">
        <v>3613</v>
      </c>
      <c r="C393" s="14" t="s">
        <v>737</v>
      </c>
      <c r="D393" s="14" t="s">
        <v>1229</v>
      </c>
      <c r="E393" s="11" t="s">
        <v>1229</v>
      </c>
      <c r="F393" s="4" t="s">
        <v>1523</v>
      </c>
    </row>
    <row r="394" spans="1:8" x14ac:dyDescent="0.2">
      <c r="A394" s="14" t="s">
        <v>738</v>
      </c>
      <c r="B394" s="14" t="s">
        <v>3613</v>
      </c>
      <c r="C394" s="14" t="s">
        <v>738</v>
      </c>
      <c r="D394" s="14" t="s">
        <v>1229</v>
      </c>
      <c r="E394" s="11" t="s">
        <v>1229</v>
      </c>
      <c r="F394" s="4" t="s">
        <v>1523</v>
      </c>
    </row>
    <row r="395" spans="1:8" x14ac:dyDescent="0.2">
      <c r="A395" s="14" t="s">
        <v>739</v>
      </c>
      <c r="B395" s="14" t="s">
        <v>3613</v>
      </c>
      <c r="C395" s="14" t="s">
        <v>739</v>
      </c>
      <c r="D395" s="14" t="s">
        <v>1231</v>
      </c>
      <c r="E395" s="11" t="s">
        <v>1231</v>
      </c>
      <c r="F395" s="4" t="s">
        <v>1523</v>
      </c>
    </row>
    <row r="396" spans="1:8" x14ac:dyDescent="0.2">
      <c r="A396" s="14" t="s">
        <v>740</v>
      </c>
      <c r="B396" s="14" t="s">
        <v>3613</v>
      </c>
      <c r="C396" s="14" t="s">
        <v>740</v>
      </c>
      <c r="D396" s="14" t="s">
        <v>1231</v>
      </c>
      <c r="E396" s="11" t="s">
        <v>1231</v>
      </c>
      <c r="F396" s="4" t="s">
        <v>1523</v>
      </c>
    </row>
    <row r="397" spans="1:8" x14ac:dyDescent="0.2">
      <c r="A397" s="14" t="s">
        <v>741</v>
      </c>
      <c r="B397" s="14" t="s">
        <v>4746</v>
      </c>
      <c r="C397" s="14" t="s">
        <v>2853</v>
      </c>
      <c r="D397" s="14" t="s">
        <v>1233</v>
      </c>
      <c r="E397" s="11"/>
      <c r="F397" s="4" t="s">
        <v>1523</v>
      </c>
    </row>
    <row r="398" spans="1:8" x14ac:dyDescent="0.2">
      <c r="A398" s="14" t="s">
        <v>742</v>
      </c>
      <c r="B398" s="14" t="s">
        <v>4746</v>
      </c>
      <c r="C398" s="14" t="s">
        <v>2853</v>
      </c>
      <c r="D398" s="14" t="s">
        <v>1233</v>
      </c>
      <c r="E398" s="11"/>
      <c r="F398" s="4" t="s">
        <v>1523</v>
      </c>
    </row>
    <row r="399" spans="1:8" x14ac:dyDescent="0.2">
      <c r="A399" s="14" t="s">
        <v>743</v>
      </c>
      <c r="B399" s="14" t="s">
        <v>4746</v>
      </c>
      <c r="C399" s="14" t="s">
        <v>2853</v>
      </c>
      <c r="D399" s="14" t="s">
        <v>1235</v>
      </c>
      <c r="E399" s="11"/>
      <c r="F399" s="4" t="s">
        <v>1523</v>
      </c>
    </row>
    <row r="400" spans="1:8" x14ac:dyDescent="0.2">
      <c r="A400" s="14" t="s">
        <v>744</v>
      </c>
      <c r="B400" s="14" t="s">
        <v>4746</v>
      </c>
      <c r="C400" s="14" t="s">
        <v>2853</v>
      </c>
      <c r="D400" s="14" t="s">
        <v>1235</v>
      </c>
      <c r="E400" s="11"/>
      <c r="F400" s="4" t="s">
        <v>1523</v>
      </c>
    </row>
    <row r="401" spans="1:6" x14ac:dyDescent="0.2">
      <c r="A401" s="14" t="s">
        <v>745</v>
      </c>
      <c r="B401" s="14" t="s">
        <v>3613</v>
      </c>
      <c r="C401" s="14" t="s">
        <v>745</v>
      </c>
      <c r="D401" s="14" t="s">
        <v>3950</v>
      </c>
      <c r="E401" s="11" t="s">
        <v>3950</v>
      </c>
      <c r="F401" s="4" t="s">
        <v>1523</v>
      </c>
    </row>
    <row r="402" spans="1:6" x14ac:dyDescent="0.2">
      <c r="A402" s="14" t="s">
        <v>746</v>
      </c>
      <c r="B402" s="14" t="s">
        <v>3613</v>
      </c>
      <c r="C402" s="14" t="s">
        <v>746</v>
      </c>
      <c r="D402" s="14" t="s">
        <v>3950</v>
      </c>
      <c r="E402" s="11" t="s">
        <v>3950</v>
      </c>
      <c r="F402" s="4" t="s">
        <v>1523</v>
      </c>
    </row>
    <row r="403" spans="1:6" x14ac:dyDescent="0.2">
      <c r="A403" s="14" t="s">
        <v>747</v>
      </c>
      <c r="B403" s="14" t="s">
        <v>3613</v>
      </c>
      <c r="C403" s="14" t="s">
        <v>747</v>
      </c>
      <c r="D403" s="14" t="s">
        <v>3951</v>
      </c>
      <c r="E403" s="11" t="s">
        <v>3951</v>
      </c>
      <c r="F403" s="4" t="s">
        <v>1523</v>
      </c>
    </row>
    <row r="404" spans="1:6" x14ac:dyDescent="0.2">
      <c r="A404" s="14" t="s">
        <v>748</v>
      </c>
      <c r="B404" s="14" t="s">
        <v>3613</v>
      </c>
      <c r="C404" s="14" t="s">
        <v>748</v>
      </c>
      <c r="D404" s="14" t="s">
        <v>3951</v>
      </c>
      <c r="E404" s="11" t="s">
        <v>3951</v>
      </c>
      <c r="F404" s="4" t="s">
        <v>1523</v>
      </c>
    </row>
    <row r="405" spans="1:6" x14ac:dyDescent="0.2">
      <c r="A405" s="14" t="s">
        <v>749</v>
      </c>
      <c r="B405" s="14" t="s">
        <v>3613</v>
      </c>
      <c r="C405" s="14" t="s">
        <v>749</v>
      </c>
      <c r="D405" s="14" t="s">
        <v>3952</v>
      </c>
      <c r="E405" s="11" t="s">
        <v>3952</v>
      </c>
      <c r="F405" s="4" t="s">
        <v>1523</v>
      </c>
    </row>
    <row r="406" spans="1:6" x14ac:dyDescent="0.2">
      <c r="A406" s="14" t="s">
        <v>750</v>
      </c>
      <c r="B406" s="14" t="s">
        <v>3613</v>
      </c>
      <c r="C406" s="14" t="s">
        <v>750</v>
      </c>
      <c r="D406" s="14" t="s">
        <v>3952</v>
      </c>
      <c r="E406" s="11" t="s">
        <v>3952</v>
      </c>
      <c r="F406" s="4" t="s">
        <v>1523</v>
      </c>
    </row>
    <row r="407" spans="1:6" x14ac:dyDescent="0.2">
      <c r="A407" s="14" t="s">
        <v>751</v>
      </c>
      <c r="B407" s="14" t="s">
        <v>3613</v>
      </c>
      <c r="C407" s="14" t="s">
        <v>751</v>
      </c>
      <c r="D407" s="14" t="s">
        <v>3953</v>
      </c>
      <c r="E407" s="11" t="s">
        <v>3953</v>
      </c>
      <c r="F407" s="4" t="s">
        <v>1523</v>
      </c>
    </row>
    <row r="408" spans="1:6" x14ac:dyDescent="0.2">
      <c r="A408" s="14" t="s">
        <v>752</v>
      </c>
      <c r="B408" s="14" t="s">
        <v>3613</v>
      </c>
      <c r="C408" s="14" t="s">
        <v>752</v>
      </c>
      <c r="D408" s="14" t="s">
        <v>3953</v>
      </c>
      <c r="E408" s="11" t="s">
        <v>3953</v>
      </c>
      <c r="F408" s="4" t="s">
        <v>1523</v>
      </c>
    </row>
    <row r="409" spans="1:6" x14ac:dyDescent="0.2">
      <c r="A409" s="14" t="s">
        <v>868</v>
      </c>
      <c r="B409" s="14" t="s">
        <v>3613</v>
      </c>
      <c r="C409" s="14" t="s">
        <v>868</v>
      </c>
      <c r="D409" s="14" t="s">
        <v>4041</v>
      </c>
      <c r="E409" s="11" t="s">
        <v>4041</v>
      </c>
      <c r="F409" s="4" t="s">
        <v>1523</v>
      </c>
    </row>
    <row r="410" spans="1:6" x14ac:dyDescent="0.2">
      <c r="A410" s="14" t="s">
        <v>869</v>
      </c>
      <c r="B410" s="14" t="s">
        <v>3613</v>
      </c>
      <c r="C410" s="14" t="s">
        <v>869</v>
      </c>
      <c r="D410" s="14" t="s">
        <v>4042</v>
      </c>
      <c r="E410" s="11" t="s">
        <v>4042</v>
      </c>
      <c r="F410" s="4" t="s">
        <v>1523</v>
      </c>
    </row>
    <row r="411" spans="1:6" x14ac:dyDescent="0.2">
      <c r="A411" s="14" t="s">
        <v>870</v>
      </c>
      <c r="B411" s="14" t="s">
        <v>3613</v>
      </c>
      <c r="C411" s="14" t="s">
        <v>870</v>
      </c>
      <c r="D411" s="14" t="s">
        <v>4043</v>
      </c>
      <c r="E411" s="11" t="s">
        <v>4043</v>
      </c>
      <c r="F411" s="4" t="s">
        <v>1523</v>
      </c>
    </row>
    <row r="412" spans="1:6" x14ac:dyDescent="0.2">
      <c r="A412" s="14" t="s">
        <v>871</v>
      </c>
      <c r="B412" s="14" t="s">
        <v>3613</v>
      </c>
      <c r="C412" s="14" t="s">
        <v>871</v>
      </c>
      <c r="D412" s="14" t="s">
        <v>4044</v>
      </c>
      <c r="E412" s="11" t="s">
        <v>4044</v>
      </c>
      <c r="F412" s="4" t="s">
        <v>1523</v>
      </c>
    </row>
    <row r="413" spans="1:6" x14ac:dyDescent="0.2">
      <c r="A413" s="14" t="s">
        <v>872</v>
      </c>
      <c r="B413" s="14" t="s">
        <v>3613</v>
      </c>
      <c r="C413" s="14" t="s">
        <v>872</v>
      </c>
      <c r="D413" s="14" t="s">
        <v>4045</v>
      </c>
      <c r="E413" s="11" t="s">
        <v>4045</v>
      </c>
      <c r="F413" s="4" t="s">
        <v>1523</v>
      </c>
    </row>
    <row r="414" spans="1:6" x14ac:dyDescent="0.2">
      <c r="A414" s="14" t="s">
        <v>873</v>
      </c>
      <c r="B414" s="14" t="s">
        <v>3613</v>
      </c>
      <c r="C414" s="14" t="s">
        <v>873</v>
      </c>
      <c r="D414" s="14" t="s">
        <v>4046</v>
      </c>
      <c r="E414" s="11" t="s">
        <v>4046</v>
      </c>
      <c r="F414" s="4" t="s">
        <v>1523</v>
      </c>
    </row>
    <row r="415" spans="1:6" x14ac:dyDescent="0.2">
      <c r="A415" s="14" t="s">
        <v>874</v>
      </c>
      <c r="B415" s="14" t="s">
        <v>3613</v>
      </c>
      <c r="C415" s="14" t="s">
        <v>874</v>
      </c>
      <c r="D415" s="14" t="s">
        <v>4047</v>
      </c>
      <c r="E415" s="11" t="s">
        <v>4047</v>
      </c>
      <c r="F415" s="4" t="s">
        <v>1523</v>
      </c>
    </row>
    <row r="416" spans="1:6" x14ac:dyDescent="0.2">
      <c r="A416" s="14" t="s">
        <v>875</v>
      </c>
      <c r="B416" s="14" t="s">
        <v>3613</v>
      </c>
      <c r="C416" s="14" t="s">
        <v>875</v>
      </c>
      <c r="D416" s="14" t="s">
        <v>4048</v>
      </c>
      <c r="E416" s="11" t="s">
        <v>4048</v>
      </c>
      <c r="F416" s="4" t="s">
        <v>1523</v>
      </c>
    </row>
    <row r="417" spans="1:6" x14ac:dyDescent="0.2">
      <c r="A417" s="14" t="s">
        <v>876</v>
      </c>
      <c r="B417" s="14" t="s">
        <v>3613</v>
      </c>
      <c r="C417" s="14" t="s">
        <v>876</v>
      </c>
      <c r="D417" s="14" t="s">
        <v>4049</v>
      </c>
      <c r="E417" s="11" t="s">
        <v>4049</v>
      </c>
      <c r="F417" s="4" t="s">
        <v>1523</v>
      </c>
    </row>
    <row r="418" spans="1:6" x14ac:dyDescent="0.2">
      <c r="A418" s="14" t="s">
        <v>877</v>
      </c>
      <c r="B418" s="14" t="s">
        <v>3613</v>
      </c>
      <c r="C418" s="14" t="s">
        <v>877</v>
      </c>
      <c r="D418" s="14" t="s">
        <v>4050</v>
      </c>
      <c r="E418" s="11" t="s">
        <v>4050</v>
      </c>
      <c r="F418" s="4" t="s">
        <v>1523</v>
      </c>
    </row>
    <row r="419" spans="1:6" x14ac:dyDescent="0.2">
      <c r="A419" s="14" t="s">
        <v>878</v>
      </c>
      <c r="B419" s="14" t="s">
        <v>3613</v>
      </c>
      <c r="C419" s="14" t="s">
        <v>878</v>
      </c>
      <c r="D419" s="14" t="s">
        <v>4051</v>
      </c>
      <c r="E419" s="11" t="s">
        <v>4051</v>
      </c>
      <c r="F419" s="4" t="s">
        <v>1523</v>
      </c>
    </row>
    <row r="420" spans="1:6" x14ac:dyDescent="0.2">
      <c r="A420" s="14" t="s">
        <v>879</v>
      </c>
      <c r="B420" s="14" t="s">
        <v>3613</v>
      </c>
      <c r="C420" s="14" t="s">
        <v>879</v>
      </c>
      <c r="D420" s="14" t="s">
        <v>4052</v>
      </c>
      <c r="E420" s="11" t="s">
        <v>4052</v>
      </c>
      <c r="F420" s="4" t="s">
        <v>1523</v>
      </c>
    </row>
    <row r="421" spans="1:6" x14ac:dyDescent="0.2">
      <c r="A421" s="14" t="s">
        <v>880</v>
      </c>
      <c r="B421" s="14" t="s">
        <v>3613</v>
      </c>
      <c r="C421" s="14" t="s">
        <v>880</v>
      </c>
      <c r="D421" s="14" t="s">
        <v>4053</v>
      </c>
      <c r="E421" s="11" t="s">
        <v>4053</v>
      </c>
      <c r="F421" s="4" t="s">
        <v>1523</v>
      </c>
    </row>
    <row r="422" spans="1:6" x14ac:dyDescent="0.2">
      <c r="A422" s="14" t="s">
        <v>881</v>
      </c>
      <c r="B422" s="14" t="s">
        <v>3613</v>
      </c>
      <c r="C422" s="14" t="s">
        <v>881</v>
      </c>
      <c r="D422" s="14" t="s">
        <v>4054</v>
      </c>
      <c r="E422" s="11" t="s">
        <v>4054</v>
      </c>
      <c r="F422" s="4" t="s">
        <v>1523</v>
      </c>
    </row>
    <row r="423" spans="1:6" x14ac:dyDescent="0.2">
      <c r="A423" s="14" t="s">
        <v>882</v>
      </c>
      <c r="B423" s="14" t="s">
        <v>3613</v>
      </c>
      <c r="C423" s="14" t="s">
        <v>882</v>
      </c>
      <c r="D423" s="14" t="s">
        <v>4055</v>
      </c>
      <c r="E423" s="11" t="s">
        <v>4055</v>
      </c>
      <c r="F423" s="4" t="s">
        <v>1523</v>
      </c>
    </row>
    <row r="424" spans="1:6" x14ac:dyDescent="0.2">
      <c r="A424" s="14" t="s">
        <v>883</v>
      </c>
      <c r="B424" s="14" t="s">
        <v>3613</v>
      </c>
      <c r="C424" s="14" t="s">
        <v>883</v>
      </c>
      <c r="D424" s="14" t="s">
        <v>4056</v>
      </c>
      <c r="E424" s="11" t="s">
        <v>4056</v>
      </c>
      <c r="F424" s="4" t="s">
        <v>1523</v>
      </c>
    </row>
    <row r="425" spans="1:6" x14ac:dyDescent="0.2">
      <c r="A425" s="14" t="s">
        <v>884</v>
      </c>
      <c r="B425" s="14" t="s">
        <v>3613</v>
      </c>
      <c r="C425" s="14" t="s">
        <v>884</v>
      </c>
      <c r="D425" s="14" t="s">
        <v>4057</v>
      </c>
      <c r="E425" s="11" t="s">
        <v>4057</v>
      </c>
      <c r="F425" s="4" t="s">
        <v>1523</v>
      </c>
    </row>
    <row r="426" spans="1:6" x14ac:dyDescent="0.2">
      <c r="A426" s="14" t="s">
        <v>885</v>
      </c>
      <c r="B426" s="14" t="s">
        <v>3613</v>
      </c>
      <c r="C426" s="14" t="s">
        <v>885</v>
      </c>
      <c r="D426" s="14" t="s">
        <v>4058</v>
      </c>
      <c r="E426" s="11" t="s">
        <v>4058</v>
      </c>
      <c r="F426" s="4" t="s">
        <v>1523</v>
      </c>
    </row>
    <row r="427" spans="1:6" x14ac:dyDescent="0.2">
      <c r="A427" s="14" t="s">
        <v>886</v>
      </c>
      <c r="B427" s="14" t="s">
        <v>3613</v>
      </c>
      <c r="C427" s="14" t="s">
        <v>886</v>
      </c>
      <c r="D427" s="14" t="s">
        <v>4059</v>
      </c>
      <c r="E427" s="11" t="s">
        <v>4059</v>
      </c>
      <c r="F427" s="4" t="s">
        <v>1523</v>
      </c>
    </row>
    <row r="428" spans="1:6" x14ac:dyDescent="0.2">
      <c r="A428" s="14" t="s">
        <v>887</v>
      </c>
      <c r="B428" s="14" t="s">
        <v>3613</v>
      </c>
      <c r="C428" s="14" t="s">
        <v>887</v>
      </c>
      <c r="D428" s="14" t="s">
        <v>4060</v>
      </c>
      <c r="E428" s="11" t="s">
        <v>4060</v>
      </c>
      <c r="F428" s="4" t="s">
        <v>1523</v>
      </c>
    </row>
    <row r="429" spans="1:6" x14ac:dyDescent="0.2">
      <c r="A429" s="14" t="s">
        <v>888</v>
      </c>
      <c r="B429" s="14" t="s">
        <v>3613</v>
      </c>
      <c r="C429" s="14" t="s">
        <v>888</v>
      </c>
      <c r="D429" s="14" t="s">
        <v>4061</v>
      </c>
      <c r="E429" s="11" t="s">
        <v>4061</v>
      </c>
      <c r="F429" s="4" t="s">
        <v>1523</v>
      </c>
    </row>
    <row r="430" spans="1:6" x14ac:dyDescent="0.2">
      <c r="A430" s="14" t="s">
        <v>889</v>
      </c>
      <c r="B430" s="14" t="s">
        <v>3613</v>
      </c>
      <c r="C430" s="14" t="s">
        <v>889</v>
      </c>
      <c r="D430" s="14" t="s">
        <v>4062</v>
      </c>
      <c r="E430" s="11" t="s">
        <v>4062</v>
      </c>
      <c r="F430" s="4" t="s">
        <v>1523</v>
      </c>
    </row>
    <row r="431" spans="1:6" x14ac:dyDescent="0.2">
      <c r="A431" s="14" t="s">
        <v>890</v>
      </c>
      <c r="B431" s="14" t="s">
        <v>3613</v>
      </c>
      <c r="C431" s="14" t="s">
        <v>890</v>
      </c>
      <c r="D431" s="14" t="s">
        <v>4063</v>
      </c>
      <c r="E431" s="11" t="s">
        <v>4063</v>
      </c>
      <c r="F431" s="4" t="s">
        <v>1523</v>
      </c>
    </row>
    <row r="432" spans="1:6" x14ac:dyDescent="0.2">
      <c r="A432" s="14" t="s">
        <v>891</v>
      </c>
      <c r="B432" s="14" t="s">
        <v>3613</v>
      </c>
      <c r="C432" s="14" t="s">
        <v>891</v>
      </c>
      <c r="D432" s="14" t="s">
        <v>4064</v>
      </c>
      <c r="E432" s="11" t="s">
        <v>4064</v>
      </c>
      <c r="F432" s="4" t="s">
        <v>1523</v>
      </c>
    </row>
    <row r="433" spans="1:8" x14ac:dyDescent="0.2">
      <c r="A433" s="14" t="s">
        <v>892</v>
      </c>
      <c r="B433" s="14" t="s">
        <v>3613</v>
      </c>
      <c r="C433" s="14" t="s">
        <v>892</v>
      </c>
      <c r="D433" s="14" t="s">
        <v>4065</v>
      </c>
      <c r="E433" s="11" t="s">
        <v>4065</v>
      </c>
      <c r="F433" s="4" t="s">
        <v>1523</v>
      </c>
    </row>
    <row r="434" spans="1:8" x14ac:dyDescent="0.2">
      <c r="A434" s="14" t="s">
        <v>893</v>
      </c>
      <c r="B434" s="14" t="s">
        <v>3613</v>
      </c>
      <c r="C434" s="14" t="s">
        <v>893</v>
      </c>
      <c r="D434" s="14" t="s">
        <v>4066</v>
      </c>
      <c r="E434" s="11" t="s">
        <v>4066</v>
      </c>
      <c r="F434" s="4" t="s">
        <v>1523</v>
      </c>
    </row>
    <row r="435" spans="1:8" x14ac:dyDescent="0.2">
      <c r="A435" s="14" t="s">
        <v>894</v>
      </c>
      <c r="B435" s="14" t="s">
        <v>3613</v>
      </c>
      <c r="C435" s="14" t="s">
        <v>894</v>
      </c>
      <c r="D435" s="14" t="s">
        <v>4067</v>
      </c>
      <c r="E435" s="11" t="s">
        <v>4067</v>
      </c>
      <c r="F435" s="4" t="s">
        <v>1523</v>
      </c>
      <c r="H435" s="6"/>
    </row>
    <row r="436" spans="1:8" x14ac:dyDescent="0.2">
      <c r="A436" s="14" t="s">
        <v>895</v>
      </c>
      <c r="B436" s="14" t="s">
        <v>3613</v>
      </c>
      <c r="C436" s="14" t="s">
        <v>895</v>
      </c>
      <c r="D436" s="14" t="s">
        <v>4068</v>
      </c>
      <c r="E436" s="11" t="s">
        <v>4068</v>
      </c>
      <c r="F436" s="4" t="s">
        <v>1523</v>
      </c>
      <c r="H436" s="6"/>
    </row>
    <row r="437" spans="1:8" x14ac:dyDescent="0.2">
      <c r="A437" s="14" t="s">
        <v>896</v>
      </c>
      <c r="B437" s="14" t="s">
        <v>3613</v>
      </c>
      <c r="C437" s="14" t="s">
        <v>896</v>
      </c>
      <c r="D437" s="14" t="s">
        <v>4069</v>
      </c>
      <c r="E437" s="11" t="s">
        <v>4069</v>
      </c>
      <c r="F437" s="4" t="s">
        <v>1523</v>
      </c>
      <c r="H437" s="6"/>
    </row>
    <row r="438" spans="1:8" x14ac:dyDescent="0.2">
      <c r="A438" s="14" t="s">
        <v>897</v>
      </c>
      <c r="B438" s="14" t="s">
        <v>3613</v>
      </c>
      <c r="C438" s="14" t="s">
        <v>897</v>
      </c>
      <c r="D438" s="14" t="s">
        <v>4070</v>
      </c>
      <c r="E438" s="11" t="s">
        <v>4070</v>
      </c>
      <c r="F438" s="4" t="s">
        <v>1523</v>
      </c>
      <c r="H438" s="6"/>
    </row>
    <row r="439" spans="1:8" x14ac:dyDescent="0.2">
      <c r="A439" s="14" t="s">
        <v>898</v>
      </c>
      <c r="B439" s="14" t="s">
        <v>3613</v>
      </c>
      <c r="C439" s="14" t="s">
        <v>898</v>
      </c>
      <c r="D439" s="14" t="s">
        <v>4071</v>
      </c>
      <c r="E439" s="11" t="s">
        <v>4071</v>
      </c>
      <c r="F439" s="4" t="s">
        <v>1523</v>
      </c>
      <c r="H439" s="6"/>
    </row>
    <row r="440" spans="1:8" x14ac:dyDescent="0.2">
      <c r="A440" s="14" t="s">
        <v>899</v>
      </c>
      <c r="B440" s="14" t="s">
        <v>3613</v>
      </c>
      <c r="C440" s="14" t="s">
        <v>899</v>
      </c>
      <c r="D440" s="14" t="s">
        <v>4072</v>
      </c>
      <c r="E440" s="11" t="s">
        <v>4072</v>
      </c>
      <c r="F440" s="4" t="s">
        <v>1523</v>
      </c>
      <c r="H440" s="6"/>
    </row>
    <row r="441" spans="1:8" x14ac:dyDescent="0.2">
      <c r="A441" s="14" t="s">
        <v>900</v>
      </c>
      <c r="B441" s="14" t="s">
        <v>3613</v>
      </c>
      <c r="C441" s="14" t="s">
        <v>900</v>
      </c>
      <c r="D441" s="14" t="s">
        <v>4073</v>
      </c>
      <c r="E441" s="11" t="s">
        <v>4073</v>
      </c>
      <c r="F441" s="4" t="s">
        <v>1523</v>
      </c>
      <c r="H441" s="6"/>
    </row>
    <row r="442" spans="1:8" x14ac:dyDescent="0.2">
      <c r="A442" s="14" t="s">
        <v>901</v>
      </c>
      <c r="B442" s="14" t="s">
        <v>3613</v>
      </c>
      <c r="C442" s="14" t="s">
        <v>901</v>
      </c>
      <c r="D442" s="14" t="s">
        <v>4074</v>
      </c>
      <c r="E442" s="11" t="s">
        <v>4074</v>
      </c>
      <c r="F442" s="4" t="s">
        <v>1523</v>
      </c>
      <c r="H442" s="6"/>
    </row>
    <row r="443" spans="1:8" x14ac:dyDescent="0.2">
      <c r="A443" s="14" t="s">
        <v>902</v>
      </c>
      <c r="B443" s="14" t="s">
        <v>3613</v>
      </c>
      <c r="C443" s="14" t="s">
        <v>902</v>
      </c>
      <c r="D443" s="14" t="s">
        <v>4075</v>
      </c>
      <c r="E443" s="11" t="s">
        <v>4075</v>
      </c>
      <c r="F443" s="4" t="s">
        <v>1523</v>
      </c>
      <c r="H443" s="6"/>
    </row>
    <row r="444" spans="1:8" x14ac:dyDescent="0.2">
      <c r="A444" s="14" t="s">
        <v>903</v>
      </c>
      <c r="B444" s="14" t="s">
        <v>3613</v>
      </c>
      <c r="C444" s="14" t="s">
        <v>903</v>
      </c>
      <c r="D444" s="14" t="s">
        <v>4076</v>
      </c>
      <c r="E444" s="11" t="s">
        <v>4076</v>
      </c>
      <c r="F444" s="4" t="s">
        <v>1523</v>
      </c>
      <c r="H444" s="6"/>
    </row>
    <row r="445" spans="1:8" x14ac:dyDescent="0.2">
      <c r="A445" s="14" t="s">
        <v>904</v>
      </c>
      <c r="B445" s="14" t="s">
        <v>3613</v>
      </c>
      <c r="C445" s="14" t="s">
        <v>904</v>
      </c>
      <c r="D445" s="14" t="s">
        <v>4077</v>
      </c>
      <c r="E445" s="11" t="s">
        <v>4077</v>
      </c>
      <c r="F445" s="4" t="s">
        <v>1523</v>
      </c>
      <c r="H445" s="6"/>
    </row>
    <row r="446" spans="1:8" x14ac:dyDescent="0.2">
      <c r="A446" s="14" t="s">
        <v>905</v>
      </c>
      <c r="B446" s="14" t="s">
        <v>3613</v>
      </c>
      <c r="C446" s="14" t="s">
        <v>905</v>
      </c>
      <c r="D446" s="14" t="s">
        <v>4078</v>
      </c>
      <c r="E446" s="11" t="s">
        <v>4078</v>
      </c>
      <c r="F446" s="4" t="s">
        <v>1523</v>
      </c>
      <c r="H446" s="6"/>
    </row>
    <row r="447" spans="1:8" x14ac:dyDescent="0.2">
      <c r="A447" s="14" t="s">
        <v>906</v>
      </c>
      <c r="B447" s="14" t="s">
        <v>3613</v>
      </c>
      <c r="C447" s="14" t="s">
        <v>906</v>
      </c>
      <c r="D447" s="14" t="s">
        <v>4079</v>
      </c>
      <c r="E447" s="11" t="s">
        <v>4079</v>
      </c>
      <c r="F447" s="4" t="s">
        <v>1523</v>
      </c>
      <c r="H447" s="6"/>
    </row>
    <row r="448" spans="1:8" x14ac:dyDescent="0.2">
      <c r="A448" s="14" t="s">
        <v>907</v>
      </c>
      <c r="B448" s="14" t="s">
        <v>3612</v>
      </c>
      <c r="C448" s="14" t="s">
        <v>4736</v>
      </c>
      <c r="D448" s="14" t="s">
        <v>4080</v>
      </c>
      <c r="E448" s="11" t="s">
        <v>4080</v>
      </c>
      <c r="F448" s="4" t="s">
        <v>1523</v>
      </c>
      <c r="H448" s="6"/>
    </row>
    <row r="449" spans="1:8" x14ac:dyDescent="0.2">
      <c r="A449" s="14" t="s">
        <v>908</v>
      </c>
      <c r="B449" s="14" t="s">
        <v>3612</v>
      </c>
      <c r="C449" s="14" t="s">
        <v>4737</v>
      </c>
      <c r="D449" s="14" t="s">
        <v>4081</v>
      </c>
      <c r="E449" s="11" t="s">
        <v>4081</v>
      </c>
      <c r="F449" s="4" t="s">
        <v>1523</v>
      </c>
      <c r="H449" s="6"/>
    </row>
    <row r="450" spans="1:8" x14ac:dyDescent="0.2">
      <c r="A450" s="14" t="s">
        <v>909</v>
      </c>
      <c r="B450" s="14" t="s">
        <v>3612</v>
      </c>
      <c r="C450" s="14" t="s">
        <v>4738</v>
      </c>
      <c r="D450" s="14" t="s">
        <v>4082</v>
      </c>
      <c r="E450" s="11" t="s">
        <v>4082</v>
      </c>
      <c r="F450" s="4" t="s">
        <v>1523</v>
      </c>
      <c r="H450" s="6"/>
    </row>
    <row r="451" spans="1:8" x14ac:dyDescent="0.2">
      <c r="A451" s="14" t="s">
        <v>910</v>
      </c>
      <c r="B451" s="14" t="s">
        <v>3612</v>
      </c>
      <c r="C451" s="14" t="s">
        <v>4739</v>
      </c>
      <c r="D451" s="14" t="s">
        <v>4083</v>
      </c>
      <c r="E451" s="11" t="s">
        <v>4083</v>
      </c>
      <c r="F451" s="4" t="s">
        <v>1523</v>
      </c>
      <c r="H451" s="6"/>
    </row>
    <row r="452" spans="1:8" x14ac:dyDescent="0.2">
      <c r="A452" s="14" t="s">
        <v>911</v>
      </c>
      <c r="B452" s="14" t="s">
        <v>3612</v>
      </c>
      <c r="C452" s="14" t="s">
        <v>3108</v>
      </c>
      <c r="D452" s="14" t="s">
        <v>4084</v>
      </c>
      <c r="E452" s="11" t="s">
        <v>3698</v>
      </c>
      <c r="F452" s="4" t="s">
        <v>1523</v>
      </c>
      <c r="H452" s="6"/>
    </row>
    <row r="453" spans="1:8" x14ac:dyDescent="0.2">
      <c r="A453" s="14" t="s">
        <v>912</v>
      </c>
      <c r="B453" s="14" t="s">
        <v>3612</v>
      </c>
      <c r="C453" s="14" t="s">
        <v>3109</v>
      </c>
      <c r="D453" s="14" t="s">
        <v>4085</v>
      </c>
      <c r="E453" s="11" t="s">
        <v>3699</v>
      </c>
      <c r="F453" s="4" t="s">
        <v>1523</v>
      </c>
      <c r="H453" s="6"/>
    </row>
    <row r="454" spans="1:8" x14ac:dyDescent="0.2">
      <c r="A454" s="14" t="s">
        <v>913</v>
      </c>
      <c r="B454" s="14" t="s">
        <v>3612</v>
      </c>
      <c r="C454" s="14" t="s">
        <v>3110</v>
      </c>
      <c r="D454" s="14" t="s">
        <v>4086</v>
      </c>
      <c r="E454" s="11" t="s">
        <v>3700</v>
      </c>
      <c r="F454" s="4" t="s">
        <v>1523</v>
      </c>
      <c r="H454" s="6"/>
    </row>
    <row r="455" spans="1:8" x14ac:dyDescent="0.2">
      <c r="A455" s="14" t="s">
        <v>914</v>
      </c>
      <c r="B455" s="14" t="s">
        <v>3612</v>
      </c>
      <c r="C455" s="14" t="s">
        <v>3111</v>
      </c>
      <c r="D455" s="14" t="s">
        <v>4087</v>
      </c>
      <c r="E455" s="11" t="s">
        <v>3701</v>
      </c>
      <c r="F455" s="4" t="s">
        <v>1523</v>
      </c>
      <c r="H455" s="6"/>
    </row>
    <row r="456" spans="1:8" x14ac:dyDescent="0.2">
      <c r="A456" s="14" t="s">
        <v>915</v>
      </c>
      <c r="B456" s="14" t="s">
        <v>3612</v>
      </c>
      <c r="C456" s="14" t="s">
        <v>3112</v>
      </c>
      <c r="D456" s="14" t="s">
        <v>4088</v>
      </c>
      <c r="E456" s="11" t="s">
        <v>3702</v>
      </c>
      <c r="F456" s="4" t="s">
        <v>1523</v>
      </c>
      <c r="H456" s="6"/>
    </row>
    <row r="457" spans="1:8" x14ac:dyDescent="0.2">
      <c r="A457" s="14" t="s">
        <v>916</v>
      </c>
      <c r="B457" s="14" t="s">
        <v>3612</v>
      </c>
      <c r="C457" s="14" t="s">
        <v>3113</v>
      </c>
      <c r="D457" s="14" t="s">
        <v>4089</v>
      </c>
      <c r="E457" s="11" t="s">
        <v>3703</v>
      </c>
      <c r="F457" s="4" t="s">
        <v>1523</v>
      </c>
      <c r="H457" s="6"/>
    </row>
    <row r="458" spans="1:8" x14ac:dyDescent="0.2">
      <c r="A458" s="14" t="s">
        <v>917</v>
      </c>
      <c r="B458" s="14" t="s">
        <v>3612</v>
      </c>
      <c r="C458" s="14" t="s">
        <v>3114</v>
      </c>
      <c r="D458" s="14" t="s">
        <v>4090</v>
      </c>
      <c r="E458" s="11" t="s">
        <v>3704</v>
      </c>
      <c r="F458" s="4" t="s">
        <v>1523</v>
      </c>
      <c r="H458" s="6"/>
    </row>
    <row r="459" spans="1:8" x14ac:dyDescent="0.2">
      <c r="A459" s="14" t="s">
        <v>918</v>
      </c>
      <c r="B459" s="14" t="s">
        <v>3612</v>
      </c>
      <c r="C459" s="14" t="s">
        <v>3115</v>
      </c>
      <c r="D459" s="14" t="s">
        <v>4091</v>
      </c>
      <c r="E459" s="11" t="s">
        <v>3705</v>
      </c>
      <c r="F459" s="4" t="s">
        <v>1523</v>
      </c>
      <c r="H459" s="6"/>
    </row>
    <row r="460" spans="1:8" x14ac:dyDescent="0.2">
      <c r="A460" s="14" t="s">
        <v>919</v>
      </c>
      <c r="B460" s="14" t="s">
        <v>3612</v>
      </c>
      <c r="C460" s="14" t="s">
        <v>3116</v>
      </c>
      <c r="D460" s="14" t="s">
        <v>4092</v>
      </c>
      <c r="E460" s="11" t="s">
        <v>3706</v>
      </c>
      <c r="F460" s="4" t="s">
        <v>1523</v>
      </c>
      <c r="H460" s="6"/>
    </row>
    <row r="461" spans="1:8" x14ac:dyDescent="0.2">
      <c r="A461" s="14" t="s">
        <v>920</v>
      </c>
      <c r="B461" s="14" t="s">
        <v>4746</v>
      </c>
      <c r="C461" s="14" t="s">
        <v>2853</v>
      </c>
      <c r="D461" s="14" t="s">
        <v>4093</v>
      </c>
      <c r="E461" s="11" t="s">
        <v>4093</v>
      </c>
      <c r="F461" s="4" t="s">
        <v>1523</v>
      </c>
      <c r="H461" s="6"/>
    </row>
    <row r="462" spans="1:8" x14ac:dyDescent="0.2">
      <c r="A462" s="14" t="s">
        <v>921</v>
      </c>
      <c r="B462" s="14" t="s">
        <v>4746</v>
      </c>
      <c r="C462" s="14" t="s">
        <v>2853</v>
      </c>
      <c r="D462" s="14" t="s">
        <v>4094</v>
      </c>
      <c r="E462" s="11" t="s">
        <v>4094</v>
      </c>
      <c r="F462" s="4" t="s">
        <v>1523</v>
      </c>
      <c r="H462" s="6"/>
    </row>
    <row r="463" spans="1:8" x14ac:dyDescent="0.2">
      <c r="A463" s="14" t="s">
        <v>922</v>
      </c>
      <c r="B463" s="14" t="s">
        <v>4746</v>
      </c>
      <c r="C463" s="14" t="s">
        <v>2853</v>
      </c>
      <c r="D463" s="14" t="s">
        <v>4095</v>
      </c>
      <c r="E463" s="11"/>
      <c r="F463" s="4" t="s">
        <v>1523</v>
      </c>
      <c r="H463" s="6"/>
    </row>
    <row r="464" spans="1:8" x14ac:dyDescent="0.2">
      <c r="A464" s="14" t="s">
        <v>923</v>
      </c>
      <c r="B464" s="14" t="s">
        <v>4746</v>
      </c>
      <c r="C464" s="14" t="s">
        <v>2853</v>
      </c>
      <c r="D464" s="14" t="s">
        <v>4096</v>
      </c>
      <c r="E464" s="11" t="s">
        <v>4096</v>
      </c>
      <c r="F464" s="4" t="s">
        <v>1523</v>
      </c>
      <c r="H464" s="6"/>
    </row>
    <row r="465" spans="1:8" x14ac:dyDescent="0.2">
      <c r="A465" s="14" t="s">
        <v>924</v>
      </c>
      <c r="B465" s="14" t="s">
        <v>4746</v>
      </c>
      <c r="C465" s="14" t="s">
        <v>2853</v>
      </c>
      <c r="D465" s="14" t="s">
        <v>4097</v>
      </c>
      <c r="E465" s="11" t="s">
        <v>4097</v>
      </c>
      <c r="F465" s="4" t="s">
        <v>1523</v>
      </c>
      <c r="H465" s="6"/>
    </row>
    <row r="466" spans="1:8" x14ac:dyDescent="0.2">
      <c r="A466" s="14" t="s">
        <v>925</v>
      </c>
      <c r="B466" s="14" t="s">
        <v>4746</v>
      </c>
      <c r="C466" s="14" t="s">
        <v>2853</v>
      </c>
      <c r="D466" s="14" t="s">
        <v>4098</v>
      </c>
      <c r="E466" s="11" t="s">
        <v>4098</v>
      </c>
      <c r="F466" s="4" t="s">
        <v>1523</v>
      </c>
      <c r="H466" s="6"/>
    </row>
    <row r="467" spans="1:8" x14ac:dyDescent="0.2">
      <c r="A467" s="14" t="s">
        <v>926</v>
      </c>
      <c r="B467" s="14" t="s">
        <v>4746</v>
      </c>
      <c r="C467" s="14" t="s">
        <v>2853</v>
      </c>
      <c r="D467" s="14" t="s">
        <v>4099</v>
      </c>
      <c r="E467" s="11"/>
      <c r="F467" s="4" t="s">
        <v>1523</v>
      </c>
      <c r="H467" s="6"/>
    </row>
    <row r="468" spans="1:8" x14ac:dyDescent="0.2">
      <c r="A468" s="14" t="s">
        <v>927</v>
      </c>
      <c r="B468" s="14" t="s">
        <v>4746</v>
      </c>
      <c r="C468" s="14" t="s">
        <v>2853</v>
      </c>
      <c r="D468" s="14" t="s">
        <v>4100</v>
      </c>
      <c r="E468" s="11" t="s">
        <v>4100</v>
      </c>
      <c r="F468" s="4" t="s">
        <v>1523</v>
      </c>
      <c r="H468" s="6"/>
    </row>
    <row r="469" spans="1:8" x14ac:dyDescent="0.2">
      <c r="A469" s="14" t="s">
        <v>928</v>
      </c>
      <c r="B469" s="14" t="s">
        <v>4746</v>
      </c>
      <c r="C469" s="14" t="s">
        <v>2853</v>
      </c>
      <c r="D469" s="14" t="s">
        <v>4101</v>
      </c>
      <c r="E469" s="11" t="s">
        <v>3707</v>
      </c>
      <c r="F469" s="4" t="s">
        <v>1523</v>
      </c>
      <c r="H469" s="6"/>
    </row>
    <row r="470" spans="1:8" x14ac:dyDescent="0.2">
      <c r="A470" s="14" t="s">
        <v>929</v>
      </c>
      <c r="B470" s="14" t="s">
        <v>4746</v>
      </c>
      <c r="C470" s="14" t="s">
        <v>2853</v>
      </c>
      <c r="D470" s="14" t="s">
        <v>4102</v>
      </c>
      <c r="E470" s="11" t="s">
        <v>3708</v>
      </c>
      <c r="F470" s="4" t="s">
        <v>1523</v>
      </c>
      <c r="H470" s="6"/>
    </row>
    <row r="471" spans="1:8" x14ac:dyDescent="0.2">
      <c r="A471" s="14" t="s">
        <v>930</v>
      </c>
      <c r="B471" s="14" t="s">
        <v>4746</v>
      </c>
      <c r="C471" s="14" t="s">
        <v>2853</v>
      </c>
      <c r="D471" s="14" t="s">
        <v>4103</v>
      </c>
      <c r="E471" s="11"/>
      <c r="F471" s="4" t="s">
        <v>1523</v>
      </c>
      <c r="H471" s="6"/>
    </row>
    <row r="472" spans="1:8" x14ac:dyDescent="0.2">
      <c r="A472" s="14" t="s">
        <v>931</v>
      </c>
      <c r="B472" s="14" t="s">
        <v>4746</v>
      </c>
      <c r="C472" s="14" t="s">
        <v>2853</v>
      </c>
      <c r="D472" s="14" t="s">
        <v>4104</v>
      </c>
      <c r="E472" s="11" t="s">
        <v>3709</v>
      </c>
      <c r="F472" s="4" t="s">
        <v>1523</v>
      </c>
      <c r="H472" s="6"/>
    </row>
    <row r="473" spans="1:8" x14ac:dyDescent="0.2">
      <c r="A473" s="14" t="s">
        <v>932</v>
      </c>
      <c r="B473" s="14" t="s">
        <v>3612</v>
      </c>
      <c r="C473" s="14" t="s">
        <v>3126</v>
      </c>
      <c r="D473" s="14" t="s">
        <v>4105</v>
      </c>
      <c r="E473" s="11" t="s">
        <v>3710</v>
      </c>
      <c r="F473" s="4" t="s">
        <v>1523</v>
      </c>
      <c r="H473" s="6"/>
    </row>
    <row r="474" spans="1:8" x14ac:dyDescent="0.2">
      <c r="A474" s="14" t="s">
        <v>933</v>
      </c>
      <c r="B474" s="14" t="s">
        <v>3612</v>
      </c>
      <c r="C474" s="14" t="s">
        <v>3127</v>
      </c>
      <c r="D474" s="14" t="s">
        <v>4106</v>
      </c>
      <c r="E474" s="11" t="s">
        <v>3711</v>
      </c>
      <c r="F474" s="4" t="s">
        <v>1523</v>
      </c>
      <c r="H474" s="6"/>
    </row>
    <row r="475" spans="1:8" x14ac:dyDescent="0.2">
      <c r="A475" s="14" t="s">
        <v>934</v>
      </c>
      <c r="B475" s="14" t="s">
        <v>4746</v>
      </c>
      <c r="C475" s="14" t="s">
        <v>2853</v>
      </c>
      <c r="D475" s="14" t="s">
        <v>4107</v>
      </c>
      <c r="E475" s="11" t="s">
        <v>4107</v>
      </c>
      <c r="F475" s="4" t="s">
        <v>1523</v>
      </c>
      <c r="H475" s="6"/>
    </row>
    <row r="476" spans="1:8" x14ac:dyDescent="0.2">
      <c r="A476" s="14" t="s">
        <v>935</v>
      </c>
      <c r="B476" s="14" t="s">
        <v>4746</v>
      </c>
      <c r="C476" s="14" t="s">
        <v>2853</v>
      </c>
      <c r="D476" s="14" t="s">
        <v>4108</v>
      </c>
      <c r="E476" s="11"/>
      <c r="F476" s="4" t="s">
        <v>1523</v>
      </c>
      <c r="H476" s="6"/>
    </row>
    <row r="477" spans="1:8" x14ac:dyDescent="0.2">
      <c r="A477" s="14" t="s">
        <v>936</v>
      </c>
      <c r="B477" s="14" t="s">
        <v>4746</v>
      </c>
      <c r="C477" s="14" t="s">
        <v>2853</v>
      </c>
      <c r="D477" s="14" t="s">
        <v>4109</v>
      </c>
      <c r="E477" s="11"/>
      <c r="F477" s="4" t="s">
        <v>1523</v>
      </c>
      <c r="H477" s="6"/>
    </row>
    <row r="478" spans="1:8" x14ac:dyDescent="0.2">
      <c r="A478" s="14" t="s">
        <v>937</v>
      </c>
      <c r="B478" s="14" t="s">
        <v>4746</v>
      </c>
      <c r="C478" s="14" t="s">
        <v>2853</v>
      </c>
      <c r="D478" s="14" t="s">
        <v>4110</v>
      </c>
      <c r="E478" s="11" t="s">
        <v>4110</v>
      </c>
      <c r="F478" s="4" t="s">
        <v>1523</v>
      </c>
      <c r="H478" s="6"/>
    </row>
    <row r="479" spans="1:8" x14ac:dyDescent="0.2">
      <c r="A479" s="14" t="s">
        <v>938</v>
      </c>
      <c r="B479" s="14" t="s">
        <v>3612</v>
      </c>
      <c r="C479" s="14" t="s">
        <v>3130</v>
      </c>
      <c r="D479" s="14" t="s">
        <v>4111</v>
      </c>
      <c r="E479" s="11" t="s">
        <v>3712</v>
      </c>
      <c r="F479" s="4" t="s">
        <v>1523</v>
      </c>
      <c r="H479" s="6"/>
    </row>
    <row r="480" spans="1:8" x14ac:dyDescent="0.2">
      <c r="A480" s="14" t="s">
        <v>939</v>
      </c>
      <c r="B480" s="14" t="s">
        <v>3612</v>
      </c>
      <c r="C480" s="14" t="s">
        <v>3131</v>
      </c>
      <c r="D480" s="14" t="s">
        <v>4112</v>
      </c>
      <c r="E480" s="11" t="s">
        <v>3713</v>
      </c>
      <c r="F480" s="4" t="s">
        <v>1523</v>
      </c>
      <c r="H480" s="6"/>
    </row>
    <row r="481" spans="1:8" x14ac:dyDescent="0.2">
      <c r="A481" s="14" t="s">
        <v>940</v>
      </c>
      <c r="B481" s="14" t="s">
        <v>4746</v>
      </c>
      <c r="C481" s="14" t="s">
        <v>2853</v>
      </c>
      <c r="D481" s="14" t="s">
        <v>4113</v>
      </c>
      <c r="E481" s="11" t="s">
        <v>4113</v>
      </c>
      <c r="F481" s="4" t="s">
        <v>1523</v>
      </c>
      <c r="H481" s="5"/>
    </row>
    <row r="482" spans="1:8" x14ac:dyDescent="0.2">
      <c r="A482" s="14" t="s">
        <v>941</v>
      </c>
      <c r="B482" s="14" t="s">
        <v>4746</v>
      </c>
      <c r="C482" s="14" t="s">
        <v>2853</v>
      </c>
      <c r="D482" s="14" t="s">
        <v>4114</v>
      </c>
      <c r="E482" s="11" t="s">
        <v>4114</v>
      </c>
      <c r="F482" s="4" t="s">
        <v>1523</v>
      </c>
      <c r="H482" s="5"/>
    </row>
    <row r="483" spans="1:8" x14ac:dyDescent="0.2">
      <c r="A483" s="14" t="s">
        <v>942</v>
      </c>
      <c r="B483" s="14" t="s">
        <v>3612</v>
      </c>
      <c r="C483" s="14" t="s">
        <v>3134</v>
      </c>
      <c r="D483" s="14" t="s">
        <v>4115</v>
      </c>
      <c r="E483" s="11" t="s">
        <v>3714</v>
      </c>
      <c r="F483" s="4" t="s">
        <v>1523</v>
      </c>
      <c r="H483" s="6"/>
    </row>
    <row r="484" spans="1:8" x14ac:dyDescent="0.2">
      <c r="A484" s="14" t="s">
        <v>943</v>
      </c>
      <c r="B484" s="14" t="s">
        <v>4746</v>
      </c>
      <c r="C484" s="14" t="s">
        <v>2853</v>
      </c>
      <c r="D484" s="14" t="s">
        <v>4116</v>
      </c>
      <c r="E484" s="11" t="s">
        <v>4116</v>
      </c>
      <c r="F484" s="4" t="s">
        <v>1523</v>
      </c>
      <c r="H484" s="6"/>
    </row>
    <row r="485" spans="1:8" x14ac:dyDescent="0.2">
      <c r="A485" s="14" t="s">
        <v>944</v>
      </c>
      <c r="B485" s="14" t="s">
        <v>4746</v>
      </c>
      <c r="C485" s="14" t="s">
        <v>2853</v>
      </c>
      <c r="D485" s="14" t="s">
        <v>4117</v>
      </c>
      <c r="E485" s="11" t="s">
        <v>4117</v>
      </c>
      <c r="F485" s="4" t="s">
        <v>1523</v>
      </c>
      <c r="H485" s="6"/>
    </row>
    <row r="486" spans="1:8" x14ac:dyDescent="0.2">
      <c r="A486" s="14" t="s">
        <v>945</v>
      </c>
      <c r="B486" s="14" t="s">
        <v>4746</v>
      </c>
      <c r="C486" s="14" t="s">
        <v>2853</v>
      </c>
      <c r="D486" s="14" t="s">
        <v>4118</v>
      </c>
      <c r="E486" s="11"/>
      <c r="F486" s="4" t="s">
        <v>1523</v>
      </c>
      <c r="H486" s="6"/>
    </row>
    <row r="487" spans="1:8" x14ac:dyDescent="0.2">
      <c r="A487" s="14" t="s">
        <v>946</v>
      </c>
      <c r="B487" s="14" t="s">
        <v>4746</v>
      </c>
      <c r="C487" s="14" t="s">
        <v>2853</v>
      </c>
      <c r="D487" s="14" t="s">
        <v>4119</v>
      </c>
      <c r="E487" s="11" t="s">
        <v>4119</v>
      </c>
      <c r="F487" s="4" t="s">
        <v>1523</v>
      </c>
      <c r="H487" s="6"/>
    </row>
    <row r="488" spans="1:8" x14ac:dyDescent="0.2">
      <c r="A488" s="14" t="s">
        <v>947</v>
      </c>
      <c r="B488" s="14" t="s">
        <v>3612</v>
      </c>
      <c r="C488" s="14" t="s">
        <v>3138</v>
      </c>
      <c r="D488" s="14" t="s">
        <v>4120</v>
      </c>
      <c r="E488" s="11" t="s">
        <v>3715</v>
      </c>
      <c r="F488" s="4" t="s">
        <v>1523</v>
      </c>
      <c r="H488" s="6"/>
    </row>
    <row r="489" spans="1:8" x14ac:dyDescent="0.2">
      <c r="A489" s="14" t="s">
        <v>948</v>
      </c>
      <c r="B489" s="14" t="s">
        <v>3612</v>
      </c>
      <c r="C489" s="14" t="s">
        <v>3139</v>
      </c>
      <c r="D489" s="14" t="s">
        <v>4121</v>
      </c>
      <c r="E489" s="11" t="s">
        <v>3716</v>
      </c>
      <c r="F489" s="4" t="s">
        <v>1523</v>
      </c>
      <c r="H489" s="6"/>
    </row>
    <row r="490" spans="1:8" x14ac:dyDescent="0.2">
      <c r="A490" s="14" t="s">
        <v>949</v>
      </c>
      <c r="B490" s="14" t="s">
        <v>4746</v>
      </c>
      <c r="C490" s="14" t="s">
        <v>2853</v>
      </c>
      <c r="D490" s="14" t="s">
        <v>4122</v>
      </c>
      <c r="E490" s="11" t="s">
        <v>4122</v>
      </c>
      <c r="F490" s="4" t="s">
        <v>1523</v>
      </c>
      <c r="H490" s="6"/>
    </row>
    <row r="491" spans="1:8" x14ac:dyDescent="0.2">
      <c r="A491" s="14" t="s">
        <v>950</v>
      </c>
      <c r="B491" s="14" t="s">
        <v>4746</v>
      </c>
      <c r="C491" s="14" t="s">
        <v>2853</v>
      </c>
      <c r="D491" s="14" t="s">
        <v>4123</v>
      </c>
      <c r="E491" s="11" t="s">
        <v>4123</v>
      </c>
      <c r="F491" s="4" t="s">
        <v>1523</v>
      </c>
      <c r="H491" s="6"/>
    </row>
    <row r="492" spans="1:8" x14ac:dyDescent="0.2">
      <c r="A492" s="14" t="s">
        <v>951</v>
      </c>
      <c r="B492" s="14" t="s">
        <v>4746</v>
      </c>
      <c r="C492" s="14" t="s">
        <v>2853</v>
      </c>
      <c r="D492" s="14" t="s">
        <v>4124</v>
      </c>
      <c r="E492" s="11"/>
      <c r="F492" s="4" t="s">
        <v>1523</v>
      </c>
      <c r="H492" s="6"/>
    </row>
    <row r="493" spans="1:8" x14ac:dyDescent="0.2">
      <c r="A493" s="14" t="s">
        <v>952</v>
      </c>
      <c r="B493" s="14" t="s">
        <v>4746</v>
      </c>
      <c r="C493" s="14" t="s">
        <v>2853</v>
      </c>
      <c r="D493" s="14" t="s">
        <v>4125</v>
      </c>
      <c r="E493" s="11" t="s">
        <v>4125</v>
      </c>
      <c r="F493" s="4" t="s">
        <v>1523</v>
      </c>
      <c r="H493" s="6"/>
    </row>
    <row r="494" spans="1:8" x14ac:dyDescent="0.2">
      <c r="A494" s="14" t="s">
        <v>953</v>
      </c>
      <c r="B494" s="14" t="s">
        <v>4746</v>
      </c>
      <c r="C494" s="14" t="s">
        <v>2853</v>
      </c>
      <c r="D494" s="14" t="s">
        <v>4126</v>
      </c>
      <c r="E494" s="11" t="s">
        <v>4126</v>
      </c>
      <c r="F494" s="4" t="s">
        <v>1523</v>
      </c>
      <c r="H494" s="6"/>
    </row>
    <row r="495" spans="1:8" x14ac:dyDescent="0.2">
      <c r="A495" s="14" t="s">
        <v>954</v>
      </c>
      <c r="B495" s="14" t="s">
        <v>4746</v>
      </c>
      <c r="C495" s="14" t="s">
        <v>2853</v>
      </c>
      <c r="D495" s="14" t="s">
        <v>4127</v>
      </c>
      <c r="E495" s="11"/>
      <c r="F495" s="4" t="s">
        <v>1523</v>
      </c>
      <c r="H495" s="6"/>
    </row>
    <row r="496" spans="1:8" x14ac:dyDescent="0.2">
      <c r="A496" s="14" t="s">
        <v>955</v>
      </c>
      <c r="B496" s="14" t="s">
        <v>4746</v>
      </c>
      <c r="C496" s="14" t="s">
        <v>2853</v>
      </c>
      <c r="D496" s="14" t="s">
        <v>4128</v>
      </c>
      <c r="E496" s="11" t="s">
        <v>4128</v>
      </c>
      <c r="F496" s="4" t="s">
        <v>1523</v>
      </c>
      <c r="H496" s="6"/>
    </row>
    <row r="497" spans="1:8" x14ac:dyDescent="0.2">
      <c r="A497" s="14" t="s">
        <v>956</v>
      </c>
      <c r="B497" s="14" t="s">
        <v>3612</v>
      </c>
      <c r="C497" s="14" t="s">
        <v>3145</v>
      </c>
      <c r="D497" s="14" t="s">
        <v>4129</v>
      </c>
      <c r="E497" s="11" t="s">
        <v>3717</v>
      </c>
      <c r="F497" s="4" t="s">
        <v>1523</v>
      </c>
      <c r="H497" s="6"/>
    </row>
    <row r="498" spans="1:8" x14ac:dyDescent="0.2">
      <c r="A498" s="14" t="s">
        <v>957</v>
      </c>
      <c r="B498" s="14" t="s">
        <v>3612</v>
      </c>
      <c r="C498" s="14" t="s">
        <v>3146</v>
      </c>
      <c r="D498" s="14" t="s">
        <v>4130</v>
      </c>
      <c r="E498" s="11" t="s">
        <v>3718</v>
      </c>
      <c r="F498" s="4" t="s">
        <v>1523</v>
      </c>
      <c r="H498" s="6"/>
    </row>
    <row r="499" spans="1:8" x14ac:dyDescent="0.2">
      <c r="A499" s="14" t="s">
        <v>958</v>
      </c>
      <c r="B499" s="14" t="s">
        <v>3612</v>
      </c>
      <c r="C499" s="14" t="s">
        <v>3147</v>
      </c>
      <c r="D499" s="14" t="s">
        <v>4131</v>
      </c>
      <c r="E499" s="11" t="s">
        <v>3719</v>
      </c>
      <c r="F499" s="4" t="s">
        <v>1523</v>
      </c>
      <c r="H499" s="6"/>
    </row>
    <row r="500" spans="1:8" x14ac:dyDescent="0.2">
      <c r="A500" s="14" t="s">
        <v>959</v>
      </c>
      <c r="B500" s="14" t="s">
        <v>3612</v>
      </c>
      <c r="C500" s="14" t="s">
        <v>3148</v>
      </c>
      <c r="D500" s="14" t="s">
        <v>4132</v>
      </c>
      <c r="E500" s="11" t="s">
        <v>3720</v>
      </c>
      <c r="F500" s="4" t="s">
        <v>1523</v>
      </c>
      <c r="H500" s="6"/>
    </row>
    <row r="501" spans="1:8" x14ac:dyDescent="0.2">
      <c r="A501" s="14" t="s">
        <v>960</v>
      </c>
      <c r="B501" s="14" t="s">
        <v>3612</v>
      </c>
      <c r="C501" s="14" t="s">
        <v>3149</v>
      </c>
      <c r="D501" s="14" t="s">
        <v>4133</v>
      </c>
      <c r="E501" s="11" t="s">
        <v>3721</v>
      </c>
      <c r="F501" s="4" t="s">
        <v>1523</v>
      </c>
      <c r="H501" s="6"/>
    </row>
    <row r="502" spans="1:8" x14ac:dyDescent="0.2">
      <c r="A502" s="14" t="s">
        <v>961</v>
      </c>
      <c r="B502" s="14" t="s">
        <v>3612</v>
      </c>
      <c r="C502" s="14" t="s">
        <v>3150</v>
      </c>
      <c r="D502" s="14" t="s">
        <v>4134</v>
      </c>
      <c r="E502" s="11" t="s">
        <v>3722</v>
      </c>
      <c r="F502" s="4" t="s">
        <v>1523</v>
      </c>
      <c r="H502" s="6"/>
    </row>
    <row r="503" spans="1:8" x14ac:dyDescent="0.2">
      <c r="A503" s="14" t="s">
        <v>962</v>
      </c>
      <c r="B503" s="14" t="s">
        <v>3612</v>
      </c>
      <c r="C503" s="14" t="s">
        <v>3151</v>
      </c>
      <c r="D503" s="14" t="s">
        <v>4135</v>
      </c>
      <c r="E503" s="11" t="s">
        <v>3723</v>
      </c>
      <c r="F503" s="4" t="s">
        <v>1523</v>
      </c>
      <c r="H503" s="6"/>
    </row>
    <row r="504" spans="1:8" x14ac:dyDescent="0.2">
      <c r="A504" s="14" t="s">
        <v>963</v>
      </c>
      <c r="B504" s="14" t="s">
        <v>3612</v>
      </c>
      <c r="C504" s="14" t="s">
        <v>3152</v>
      </c>
      <c r="D504" s="14" t="s">
        <v>4136</v>
      </c>
      <c r="E504" s="11" t="s">
        <v>3724</v>
      </c>
      <c r="F504" s="4" t="s">
        <v>1523</v>
      </c>
      <c r="H504" s="6"/>
    </row>
    <row r="505" spans="1:8" x14ac:dyDescent="0.2">
      <c r="A505" s="14" t="s">
        <v>964</v>
      </c>
      <c r="B505" s="14" t="s">
        <v>3612</v>
      </c>
      <c r="C505" s="14" t="s">
        <v>3153</v>
      </c>
      <c r="D505" s="14" t="s">
        <v>4137</v>
      </c>
      <c r="E505" s="11" t="s">
        <v>3725</v>
      </c>
      <c r="F505" s="4" t="s">
        <v>1523</v>
      </c>
      <c r="H505" s="6"/>
    </row>
    <row r="506" spans="1:8" x14ac:dyDescent="0.2">
      <c r="A506" s="14" t="s">
        <v>965</v>
      </c>
      <c r="B506" s="14" t="s">
        <v>4746</v>
      </c>
      <c r="C506" s="14" t="s">
        <v>2853</v>
      </c>
      <c r="D506" s="14" t="s">
        <v>4138</v>
      </c>
      <c r="E506" s="11"/>
      <c r="F506" s="4" t="s">
        <v>1523</v>
      </c>
      <c r="H506" s="6"/>
    </row>
    <row r="507" spans="1:8" x14ac:dyDescent="0.2">
      <c r="A507" s="14" t="s">
        <v>966</v>
      </c>
      <c r="B507" s="14" t="s">
        <v>3612</v>
      </c>
      <c r="C507" s="14" t="s">
        <v>3154</v>
      </c>
      <c r="D507" s="14" t="s">
        <v>4139</v>
      </c>
      <c r="E507" s="11" t="s">
        <v>3726</v>
      </c>
      <c r="F507" s="4" t="s">
        <v>1523</v>
      </c>
      <c r="H507" s="6"/>
    </row>
    <row r="508" spans="1:8" x14ac:dyDescent="0.2">
      <c r="A508" s="14" t="s">
        <v>967</v>
      </c>
      <c r="B508" s="14" t="s">
        <v>4746</v>
      </c>
      <c r="C508" s="14" t="s">
        <v>2853</v>
      </c>
      <c r="D508" s="14" t="s">
        <v>4140</v>
      </c>
      <c r="E508" s="11"/>
      <c r="F508" s="4" t="s">
        <v>1523</v>
      </c>
      <c r="H508" s="6"/>
    </row>
    <row r="509" spans="1:8" x14ac:dyDescent="0.2">
      <c r="A509" s="14" t="s">
        <v>968</v>
      </c>
      <c r="B509" s="14" t="s">
        <v>3612</v>
      </c>
      <c r="C509" s="14" t="s">
        <v>3155</v>
      </c>
      <c r="D509" s="14" t="s">
        <v>4141</v>
      </c>
      <c r="E509" s="11" t="s">
        <v>3727</v>
      </c>
      <c r="F509" s="4" t="s">
        <v>1523</v>
      </c>
      <c r="H509" s="6"/>
    </row>
    <row r="510" spans="1:8" x14ac:dyDescent="0.2">
      <c r="A510" s="14" t="s">
        <v>969</v>
      </c>
      <c r="B510" s="14" t="s">
        <v>3612</v>
      </c>
      <c r="C510" s="14" t="s">
        <v>3156</v>
      </c>
      <c r="D510" s="14" t="s">
        <v>4142</v>
      </c>
      <c r="E510" s="11" t="s">
        <v>3728</v>
      </c>
      <c r="F510" s="4" t="s">
        <v>1523</v>
      </c>
      <c r="H510" s="6"/>
    </row>
    <row r="511" spans="1:8" x14ac:dyDescent="0.2">
      <c r="A511" s="14" t="s">
        <v>970</v>
      </c>
      <c r="B511" s="14" t="s">
        <v>3612</v>
      </c>
      <c r="C511" s="14" t="s">
        <v>3157</v>
      </c>
      <c r="D511" s="14" t="s">
        <v>4143</v>
      </c>
      <c r="E511" s="11" t="s">
        <v>3729</v>
      </c>
      <c r="F511" s="4" t="s">
        <v>1523</v>
      </c>
      <c r="H511" s="6"/>
    </row>
    <row r="512" spans="1:8" x14ac:dyDescent="0.2">
      <c r="A512" s="14" t="s">
        <v>971</v>
      </c>
      <c r="B512" s="14" t="s">
        <v>4746</v>
      </c>
      <c r="C512" s="14" t="s">
        <v>2853</v>
      </c>
      <c r="D512" s="14" t="s">
        <v>4144</v>
      </c>
      <c r="E512" s="11"/>
      <c r="F512" s="4" t="s">
        <v>1523</v>
      </c>
      <c r="H512" s="6"/>
    </row>
    <row r="513" spans="1:8" x14ac:dyDescent="0.2">
      <c r="A513" s="14" t="s">
        <v>972</v>
      </c>
      <c r="B513" s="14" t="s">
        <v>3612</v>
      </c>
      <c r="C513" s="14" t="s">
        <v>3158</v>
      </c>
      <c r="D513" s="14" t="s">
        <v>4145</v>
      </c>
      <c r="E513" s="11" t="s">
        <v>3730</v>
      </c>
      <c r="F513" s="4" t="s">
        <v>1523</v>
      </c>
      <c r="H513" s="6"/>
    </row>
    <row r="514" spans="1:8" x14ac:dyDescent="0.2">
      <c r="A514" s="14" t="s">
        <v>973</v>
      </c>
      <c r="B514" s="14" t="s">
        <v>3612</v>
      </c>
      <c r="C514" s="14" t="s">
        <v>3159</v>
      </c>
      <c r="D514" s="14" t="s">
        <v>4146</v>
      </c>
      <c r="E514" s="11" t="s">
        <v>3731</v>
      </c>
      <c r="F514" s="4" t="s">
        <v>1523</v>
      </c>
      <c r="H514" s="6"/>
    </row>
    <row r="515" spans="1:8" x14ac:dyDescent="0.2">
      <c r="A515" s="14" t="s">
        <v>974</v>
      </c>
      <c r="B515" s="14" t="s">
        <v>3613</v>
      </c>
      <c r="C515" s="14" t="s">
        <v>974</v>
      </c>
      <c r="D515" s="14" t="s">
        <v>4147</v>
      </c>
      <c r="E515" s="11" t="s">
        <v>4147</v>
      </c>
      <c r="F515" s="4" t="s">
        <v>1523</v>
      </c>
      <c r="H515" s="6"/>
    </row>
    <row r="516" spans="1:8" x14ac:dyDescent="0.2">
      <c r="A516" s="14" t="s">
        <v>975</v>
      </c>
      <c r="B516" s="14" t="s">
        <v>3613</v>
      </c>
      <c r="C516" s="14" t="s">
        <v>975</v>
      </c>
      <c r="D516" s="14" t="s">
        <v>4148</v>
      </c>
      <c r="E516" s="11" t="s">
        <v>4148</v>
      </c>
      <c r="F516" s="4" t="s">
        <v>1523</v>
      </c>
      <c r="H516" s="6"/>
    </row>
    <row r="517" spans="1:8" x14ac:dyDescent="0.2">
      <c r="A517" s="14" t="s">
        <v>976</v>
      </c>
      <c r="B517" s="14" t="s">
        <v>3613</v>
      </c>
      <c r="C517" s="14" t="s">
        <v>976</v>
      </c>
      <c r="D517" s="14" t="s">
        <v>4149</v>
      </c>
      <c r="E517" s="11" t="s">
        <v>4149</v>
      </c>
      <c r="F517" s="4" t="s">
        <v>1523</v>
      </c>
      <c r="H517" s="6"/>
    </row>
    <row r="518" spans="1:8" x14ac:dyDescent="0.2">
      <c r="A518" s="14" t="s">
        <v>977</v>
      </c>
      <c r="B518" s="14" t="s">
        <v>3613</v>
      </c>
      <c r="C518" s="14" t="s">
        <v>977</v>
      </c>
      <c r="D518" s="14" t="s">
        <v>4150</v>
      </c>
      <c r="E518" s="11" t="s">
        <v>4150</v>
      </c>
      <c r="F518" s="4" t="s">
        <v>1523</v>
      </c>
      <c r="H518" s="6"/>
    </row>
    <row r="519" spans="1:8" x14ac:dyDescent="0.2">
      <c r="A519" s="14" t="s">
        <v>978</v>
      </c>
      <c r="B519" s="14" t="s">
        <v>3612</v>
      </c>
      <c r="C519" s="14" t="s">
        <v>3160</v>
      </c>
      <c r="D519" s="14" t="s">
        <v>4151</v>
      </c>
      <c r="E519" s="11" t="s">
        <v>3732</v>
      </c>
      <c r="F519" s="4" t="s">
        <v>1523</v>
      </c>
      <c r="H519" s="6"/>
    </row>
    <row r="520" spans="1:8" x14ac:dyDescent="0.2">
      <c r="A520" s="14" t="s">
        <v>979</v>
      </c>
      <c r="B520" s="14" t="s">
        <v>3612</v>
      </c>
      <c r="C520" s="14" t="s">
        <v>3161</v>
      </c>
      <c r="D520" s="14" t="s">
        <v>4152</v>
      </c>
      <c r="E520" s="11" t="s">
        <v>3733</v>
      </c>
      <c r="F520" s="4" t="s">
        <v>1523</v>
      </c>
      <c r="H520" s="6"/>
    </row>
    <row r="521" spans="1:8" x14ac:dyDescent="0.2">
      <c r="A521" s="14" t="s">
        <v>980</v>
      </c>
      <c r="B521" s="14" t="s">
        <v>3612</v>
      </c>
      <c r="C521" s="14" t="s">
        <v>3162</v>
      </c>
      <c r="D521" s="14" t="s">
        <v>4153</v>
      </c>
      <c r="E521" s="11" t="s">
        <v>3734</v>
      </c>
      <c r="F521" s="4" t="s">
        <v>1523</v>
      </c>
      <c r="H521" s="6"/>
    </row>
    <row r="522" spans="1:8" x14ac:dyDescent="0.2">
      <c r="A522" s="14" t="s">
        <v>981</v>
      </c>
      <c r="B522" s="14" t="s">
        <v>3612</v>
      </c>
      <c r="C522" s="14" t="s">
        <v>3163</v>
      </c>
      <c r="D522" s="14" t="s">
        <v>4154</v>
      </c>
      <c r="E522" s="11" t="s">
        <v>3735</v>
      </c>
      <c r="F522" s="4" t="s">
        <v>1523</v>
      </c>
      <c r="H522" s="6"/>
    </row>
    <row r="523" spans="1:8" x14ac:dyDescent="0.2">
      <c r="A523" s="14" t="s">
        <v>1919</v>
      </c>
      <c r="B523" s="14" t="s">
        <v>3612</v>
      </c>
      <c r="C523" s="14" t="s">
        <v>3164</v>
      </c>
      <c r="D523" s="14" t="s">
        <v>4155</v>
      </c>
      <c r="E523" s="11" t="s">
        <v>3736</v>
      </c>
      <c r="F523" s="4" t="s">
        <v>1523</v>
      </c>
      <c r="H523" s="6"/>
    </row>
    <row r="524" spans="1:8" x14ac:dyDescent="0.2">
      <c r="A524" s="14" t="s">
        <v>1920</v>
      </c>
      <c r="B524" s="14" t="s">
        <v>3612</v>
      </c>
      <c r="C524" s="14" t="s">
        <v>3165</v>
      </c>
      <c r="D524" s="14" t="s">
        <v>4156</v>
      </c>
      <c r="E524" s="11" t="s">
        <v>3737</v>
      </c>
      <c r="F524" s="4" t="s">
        <v>1523</v>
      </c>
      <c r="H524" s="6"/>
    </row>
    <row r="525" spans="1:8" x14ac:dyDescent="0.2">
      <c r="A525" s="14" t="s">
        <v>1921</v>
      </c>
      <c r="B525" s="14" t="s">
        <v>3612</v>
      </c>
      <c r="C525" s="14" t="s">
        <v>3166</v>
      </c>
      <c r="D525" s="14" t="s">
        <v>4157</v>
      </c>
      <c r="E525" s="11" t="s">
        <v>3738</v>
      </c>
      <c r="F525" s="4" t="s">
        <v>1523</v>
      </c>
      <c r="H525" s="6"/>
    </row>
    <row r="526" spans="1:8" x14ac:dyDescent="0.2">
      <c r="A526" s="14" t="s">
        <v>1922</v>
      </c>
      <c r="B526" s="14" t="s">
        <v>3612</v>
      </c>
      <c r="C526" s="14" t="s">
        <v>3167</v>
      </c>
      <c r="D526" s="14" t="s">
        <v>4158</v>
      </c>
      <c r="E526" s="11" t="s">
        <v>3739</v>
      </c>
      <c r="F526" s="4" t="s">
        <v>1523</v>
      </c>
      <c r="H526" s="6"/>
    </row>
    <row r="527" spans="1:8" x14ac:dyDescent="0.2">
      <c r="A527" s="14" t="s">
        <v>1923</v>
      </c>
      <c r="B527" s="14" t="s">
        <v>3612</v>
      </c>
      <c r="C527" s="14" t="s">
        <v>3168</v>
      </c>
      <c r="D527" s="14" t="s">
        <v>4159</v>
      </c>
      <c r="E527" s="11" t="s">
        <v>3740</v>
      </c>
      <c r="F527" s="4" t="s">
        <v>1523</v>
      </c>
      <c r="H527" s="6"/>
    </row>
    <row r="528" spans="1:8" x14ac:dyDescent="0.2">
      <c r="A528" s="14" t="s">
        <v>1924</v>
      </c>
      <c r="B528" s="14" t="s">
        <v>3612</v>
      </c>
      <c r="C528" s="14" t="s">
        <v>3169</v>
      </c>
      <c r="D528" s="14" t="s">
        <v>4160</v>
      </c>
      <c r="E528" s="11" t="s">
        <v>3741</v>
      </c>
      <c r="F528" s="4" t="s">
        <v>1523</v>
      </c>
      <c r="H528" s="6"/>
    </row>
    <row r="529" spans="1:8" x14ac:dyDescent="0.2">
      <c r="A529" s="14" t="s">
        <v>1925</v>
      </c>
      <c r="B529" s="14" t="s">
        <v>3612</v>
      </c>
      <c r="C529" s="14" t="s">
        <v>3170</v>
      </c>
      <c r="D529" s="14" t="s">
        <v>4161</v>
      </c>
      <c r="E529" s="11" t="s">
        <v>3742</v>
      </c>
      <c r="F529" s="4" t="s">
        <v>1523</v>
      </c>
      <c r="H529" s="6"/>
    </row>
    <row r="530" spans="1:8" x14ac:dyDescent="0.2">
      <c r="A530" s="14" t="s">
        <v>1926</v>
      </c>
      <c r="B530" s="14" t="s">
        <v>3612</v>
      </c>
      <c r="C530" s="14" t="s">
        <v>3171</v>
      </c>
      <c r="D530" s="14" t="s">
        <v>4162</v>
      </c>
      <c r="E530" s="11" t="s">
        <v>3743</v>
      </c>
      <c r="F530" s="4" t="s">
        <v>1523</v>
      </c>
      <c r="H530" s="6"/>
    </row>
    <row r="531" spans="1:8" x14ac:dyDescent="0.2">
      <c r="A531" s="14" t="s">
        <v>1927</v>
      </c>
      <c r="B531" s="14" t="s">
        <v>3612</v>
      </c>
      <c r="C531" s="14" t="s">
        <v>3172</v>
      </c>
      <c r="D531" s="14" t="s">
        <v>4163</v>
      </c>
      <c r="E531" s="11" t="s">
        <v>3744</v>
      </c>
      <c r="F531" s="4" t="s">
        <v>1523</v>
      </c>
      <c r="H531" s="6"/>
    </row>
    <row r="532" spans="1:8" x14ac:dyDescent="0.2">
      <c r="A532" s="14" t="s">
        <v>1928</v>
      </c>
      <c r="B532" s="14" t="s">
        <v>3612</v>
      </c>
      <c r="C532" s="14" t="s">
        <v>3173</v>
      </c>
      <c r="D532" s="14" t="s">
        <v>4164</v>
      </c>
      <c r="E532" s="11" t="s">
        <v>3745</v>
      </c>
      <c r="F532" s="4" t="s">
        <v>1523</v>
      </c>
      <c r="H532" s="6"/>
    </row>
    <row r="533" spans="1:8" x14ac:dyDescent="0.2">
      <c r="A533" s="14" t="s">
        <v>1929</v>
      </c>
      <c r="B533" s="14" t="s">
        <v>3612</v>
      </c>
      <c r="C533" s="14" t="s">
        <v>3174</v>
      </c>
      <c r="D533" s="14" t="s">
        <v>4165</v>
      </c>
      <c r="E533" s="11" t="s">
        <v>3746</v>
      </c>
      <c r="F533" s="4" t="s">
        <v>1523</v>
      </c>
      <c r="H533" s="6"/>
    </row>
    <row r="534" spans="1:8" x14ac:dyDescent="0.2">
      <c r="A534" s="14" t="s">
        <v>1930</v>
      </c>
      <c r="B534" s="14" t="s">
        <v>3612</v>
      </c>
      <c r="C534" s="14" t="s">
        <v>3175</v>
      </c>
      <c r="D534" s="14" t="s">
        <v>4166</v>
      </c>
      <c r="E534" s="11" t="s">
        <v>3747</v>
      </c>
      <c r="F534" s="4" t="s">
        <v>1523</v>
      </c>
      <c r="H534" s="6"/>
    </row>
    <row r="535" spans="1:8" x14ac:dyDescent="0.2">
      <c r="A535" s="14" t="s">
        <v>1931</v>
      </c>
      <c r="B535" s="14" t="s">
        <v>3612</v>
      </c>
      <c r="C535" s="14" t="s">
        <v>3176</v>
      </c>
      <c r="D535" s="14" t="s">
        <v>4167</v>
      </c>
      <c r="E535" s="11" t="s">
        <v>3748</v>
      </c>
      <c r="F535" s="4" t="s">
        <v>1523</v>
      </c>
      <c r="H535" s="6"/>
    </row>
    <row r="536" spans="1:8" x14ac:dyDescent="0.2">
      <c r="A536" s="14" t="s">
        <v>1932</v>
      </c>
      <c r="B536" s="14" t="s">
        <v>3612</v>
      </c>
      <c r="C536" s="14" t="s">
        <v>3177</v>
      </c>
      <c r="D536" s="14" t="s">
        <v>4168</v>
      </c>
      <c r="E536" s="11" t="s">
        <v>3749</v>
      </c>
      <c r="F536" s="4" t="s">
        <v>1523</v>
      </c>
      <c r="H536" s="6"/>
    </row>
    <row r="537" spans="1:8" x14ac:dyDescent="0.2">
      <c r="A537" s="14" t="s">
        <v>1933</v>
      </c>
      <c r="B537" s="14" t="s">
        <v>3612</v>
      </c>
      <c r="C537" s="14" t="s">
        <v>3178</v>
      </c>
      <c r="D537" s="14" t="s">
        <v>4169</v>
      </c>
      <c r="E537" s="11" t="s">
        <v>3750</v>
      </c>
      <c r="F537" s="4" t="s">
        <v>1523</v>
      </c>
      <c r="H537" s="6"/>
    </row>
    <row r="538" spans="1:8" x14ac:dyDescent="0.2">
      <c r="A538" s="14" t="s">
        <v>1934</v>
      </c>
      <c r="B538" s="14" t="s">
        <v>3612</v>
      </c>
      <c r="C538" s="14" t="s">
        <v>3179</v>
      </c>
      <c r="D538" s="14" t="s">
        <v>4170</v>
      </c>
      <c r="E538" s="11" t="s">
        <v>3751</v>
      </c>
      <c r="F538" s="4" t="s">
        <v>1523</v>
      </c>
      <c r="H538" s="6"/>
    </row>
    <row r="539" spans="1:8" x14ac:dyDescent="0.2">
      <c r="A539" s="14" t="s">
        <v>1935</v>
      </c>
      <c r="B539" s="14" t="s">
        <v>3612</v>
      </c>
      <c r="C539" s="14" t="s">
        <v>3180</v>
      </c>
      <c r="D539" s="14" t="s">
        <v>4171</v>
      </c>
      <c r="E539" s="11" t="s">
        <v>3752</v>
      </c>
      <c r="F539" s="4" t="s">
        <v>1523</v>
      </c>
      <c r="H539" s="6"/>
    </row>
    <row r="540" spans="1:8" x14ac:dyDescent="0.2">
      <c r="A540" s="14" t="s">
        <v>1936</v>
      </c>
      <c r="B540" s="14" t="s">
        <v>3612</v>
      </c>
      <c r="C540" s="14" t="s">
        <v>3181</v>
      </c>
      <c r="D540" s="14" t="s">
        <v>4172</v>
      </c>
      <c r="E540" s="11" t="s">
        <v>3753</v>
      </c>
      <c r="F540" s="4" t="s">
        <v>1523</v>
      </c>
      <c r="H540" s="6"/>
    </row>
    <row r="541" spans="1:8" x14ac:dyDescent="0.2">
      <c r="A541" s="14" t="s">
        <v>1937</v>
      </c>
      <c r="B541" s="14" t="s">
        <v>3612</v>
      </c>
      <c r="C541" s="14" t="s">
        <v>3182</v>
      </c>
      <c r="D541" s="14" t="s">
        <v>4173</v>
      </c>
      <c r="E541" s="11" t="s">
        <v>3754</v>
      </c>
      <c r="F541" s="4" t="s">
        <v>1523</v>
      </c>
      <c r="H541" s="6"/>
    </row>
    <row r="542" spans="1:8" x14ac:dyDescent="0.2">
      <c r="A542" s="14" t="s">
        <v>1938</v>
      </c>
      <c r="B542" s="14" t="s">
        <v>3612</v>
      </c>
      <c r="C542" s="14" t="s">
        <v>3183</v>
      </c>
      <c r="D542" s="14" t="s">
        <v>4174</v>
      </c>
      <c r="E542" s="11" t="s">
        <v>3755</v>
      </c>
      <c r="F542" s="4" t="s">
        <v>1523</v>
      </c>
      <c r="H542" s="6"/>
    </row>
    <row r="543" spans="1:8" x14ac:dyDescent="0.2">
      <c r="A543" s="14" t="s">
        <v>1939</v>
      </c>
      <c r="B543" s="14" t="s">
        <v>3612</v>
      </c>
      <c r="C543" s="14" t="s">
        <v>3184</v>
      </c>
      <c r="D543" s="14" t="s">
        <v>4175</v>
      </c>
      <c r="E543" s="11" t="s">
        <v>3756</v>
      </c>
      <c r="F543" s="4" t="s">
        <v>1523</v>
      </c>
      <c r="H543" s="6"/>
    </row>
    <row r="544" spans="1:8" x14ac:dyDescent="0.2">
      <c r="A544" s="14" t="s">
        <v>1940</v>
      </c>
      <c r="B544" s="14" t="s">
        <v>3612</v>
      </c>
      <c r="C544" s="14" t="s">
        <v>3185</v>
      </c>
      <c r="D544" s="14" t="s">
        <v>4176</v>
      </c>
      <c r="E544" s="11" t="s">
        <v>3757</v>
      </c>
      <c r="F544" s="4" t="s">
        <v>1523</v>
      </c>
      <c r="H544" s="6"/>
    </row>
    <row r="545" spans="1:8" x14ac:dyDescent="0.2">
      <c r="A545" s="14" t="s">
        <v>1941</v>
      </c>
      <c r="B545" s="14" t="s">
        <v>3612</v>
      </c>
      <c r="C545" s="14" t="s">
        <v>3186</v>
      </c>
      <c r="D545" s="14" t="s">
        <v>4177</v>
      </c>
      <c r="E545" s="11" t="s">
        <v>3758</v>
      </c>
      <c r="F545" s="4" t="s">
        <v>1523</v>
      </c>
      <c r="H545" s="6"/>
    </row>
    <row r="546" spans="1:8" x14ac:dyDescent="0.2">
      <c r="A546" s="14" t="s">
        <v>1942</v>
      </c>
      <c r="B546" s="14" t="s">
        <v>3612</v>
      </c>
      <c r="C546" s="14" t="s">
        <v>3187</v>
      </c>
      <c r="D546" s="14" t="s">
        <v>4178</v>
      </c>
      <c r="E546" s="11" t="s">
        <v>3759</v>
      </c>
      <c r="F546" s="4" t="s">
        <v>1523</v>
      </c>
      <c r="H546" s="6"/>
    </row>
    <row r="547" spans="1:8" x14ac:dyDescent="0.2">
      <c r="A547" s="14" t="s">
        <v>1943</v>
      </c>
      <c r="B547" s="14" t="s">
        <v>3613</v>
      </c>
      <c r="C547" s="14" t="s">
        <v>1943</v>
      </c>
      <c r="D547" s="14" t="s">
        <v>4179</v>
      </c>
      <c r="E547" s="11" t="s">
        <v>4179</v>
      </c>
      <c r="F547" s="4" t="s">
        <v>1523</v>
      </c>
      <c r="H547" s="6"/>
    </row>
    <row r="548" spans="1:8" x14ac:dyDescent="0.2">
      <c r="A548" s="14" t="s">
        <v>1944</v>
      </c>
      <c r="B548" s="14" t="s">
        <v>3613</v>
      </c>
      <c r="C548" s="14" t="s">
        <v>1944</v>
      </c>
      <c r="D548" s="14" t="s">
        <v>4180</v>
      </c>
      <c r="E548" s="11" t="s">
        <v>4180</v>
      </c>
      <c r="F548" s="4" t="s">
        <v>1523</v>
      </c>
      <c r="H548" s="6"/>
    </row>
    <row r="549" spans="1:8" x14ac:dyDescent="0.2">
      <c r="A549" s="14" t="s">
        <v>1945</v>
      </c>
      <c r="B549" s="14" t="s">
        <v>3613</v>
      </c>
      <c r="C549" s="14" t="s">
        <v>1945</v>
      </c>
      <c r="D549" s="14" t="s">
        <v>4181</v>
      </c>
      <c r="E549" s="11" t="s">
        <v>4181</v>
      </c>
      <c r="F549" s="4" t="s">
        <v>1523</v>
      </c>
      <c r="H549" s="6"/>
    </row>
    <row r="550" spans="1:8" x14ac:dyDescent="0.2">
      <c r="A550" s="14" t="s">
        <v>1946</v>
      </c>
      <c r="B550" s="14" t="s">
        <v>3613</v>
      </c>
      <c r="C550" s="14" t="s">
        <v>1946</v>
      </c>
      <c r="D550" s="14" t="s">
        <v>4182</v>
      </c>
      <c r="E550" s="11" t="s">
        <v>4182</v>
      </c>
      <c r="F550" s="4" t="s">
        <v>1523</v>
      </c>
      <c r="H550" s="6"/>
    </row>
    <row r="551" spans="1:8" x14ac:dyDescent="0.2">
      <c r="A551" s="14" t="s">
        <v>1947</v>
      </c>
      <c r="B551" s="14" t="s">
        <v>3613</v>
      </c>
      <c r="C551" s="14" t="s">
        <v>1947</v>
      </c>
      <c r="D551" s="14" t="s">
        <v>4183</v>
      </c>
      <c r="E551" s="11" t="s">
        <v>4183</v>
      </c>
      <c r="F551" s="4" t="s">
        <v>1523</v>
      </c>
      <c r="H551" s="6"/>
    </row>
    <row r="552" spans="1:8" x14ac:dyDescent="0.2">
      <c r="A552" s="14" t="s">
        <v>1948</v>
      </c>
      <c r="B552" s="14" t="s">
        <v>3613</v>
      </c>
      <c r="C552" s="14" t="s">
        <v>1948</v>
      </c>
      <c r="D552" s="14" t="s">
        <v>4184</v>
      </c>
      <c r="E552" s="11" t="s">
        <v>4184</v>
      </c>
      <c r="F552" s="4" t="s">
        <v>1523</v>
      </c>
      <c r="H552" s="6"/>
    </row>
    <row r="553" spans="1:8" x14ac:dyDescent="0.2">
      <c r="A553" s="14" t="s">
        <v>1949</v>
      </c>
      <c r="B553" s="14" t="s">
        <v>3613</v>
      </c>
      <c r="C553" s="14" t="s">
        <v>1949</v>
      </c>
      <c r="D553" s="14" t="s">
        <v>4185</v>
      </c>
      <c r="E553" s="11" t="s">
        <v>4185</v>
      </c>
      <c r="F553" s="4" t="s">
        <v>1523</v>
      </c>
      <c r="H553" s="6"/>
    </row>
    <row r="554" spans="1:8" x14ac:dyDescent="0.2">
      <c r="A554" s="14" t="s">
        <v>1950</v>
      </c>
      <c r="B554" s="14" t="s">
        <v>3613</v>
      </c>
      <c r="C554" s="14" t="s">
        <v>1950</v>
      </c>
      <c r="D554" s="14" t="s">
        <v>4186</v>
      </c>
      <c r="E554" s="11" t="s">
        <v>4186</v>
      </c>
      <c r="F554" s="4" t="s">
        <v>1523</v>
      </c>
      <c r="H554" s="6"/>
    </row>
    <row r="555" spans="1:8" x14ac:dyDescent="0.2">
      <c r="A555" s="14" t="s">
        <v>1951</v>
      </c>
      <c r="B555" s="14" t="s">
        <v>3613</v>
      </c>
      <c r="C555" s="14" t="s">
        <v>1951</v>
      </c>
      <c r="D555" s="14" t="s">
        <v>4187</v>
      </c>
      <c r="E555" s="11" t="s">
        <v>4187</v>
      </c>
      <c r="F555" s="4" t="s">
        <v>1523</v>
      </c>
      <c r="H555" s="6"/>
    </row>
    <row r="556" spans="1:8" x14ac:dyDescent="0.2">
      <c r="A556" s="14" t="s">
        <v>1952</v>
      </c>
      <c r="B556" s="14" t="s">
        <v>3613</v>
      </c>
      <c r="C556" s="14" t="s">
        <v>1952</v>
      </c>
      <c r="D556" s="14" t="s">
        <v>4188</v>
      </c>
      <c r="E556" s="11" t="s">
        <v>4188</v>
      </c>
      <c r="F556" s="4" t="s">
        <v>1523</v>
      </c>
      <c r="H556" s="6"/>
    </row>
    <row r="557" spans="1:8" x14ac:dyDescent="0.2">
      <c r="A557" s="14" t="s">
        <v>1953</v>
      </c>
      <c r="B557" s="14" t="s">
        <v>3613</v>
      </c>
      <c r="C557" s="14" t="s">
        <v>1953</v>
      </c>
      <c r="D557" s="14" t="s">
        <v>4189</v>
      </c>
      <c r="E557" s="11" t="s">
        <v>4189</v>
      </c>
      <c r="F557" s="4" t="s">
        <v>1523</v>
      </c>
      <c r="H557" s="6"/>
    </row>
    <row r="558" spans="1:8" x14ac:dyDescent="0.2">
      <c r="A558" s="14" t="s">
        <v>1954</v>
      </c>
      <c r="B558" s="14" t="s">
        <v>3613</v>
      </c>
      <c r="C558" s="14" t="s">
        <v>1954</v>
      </c>
      <c r="D558" s="14" t="s">
        <v>4190</v>
      </c>
      <c r="E558" s="11" t="s">
        <v>4190</v>
      </c>
      <c r="F558" s="4" t="s">
        <v>1523</v>
      </c>
      <c r="H558" s="6"/>
    </row>
    <row r="559" spans="1:8" x14ac:dyDescent="0.2">
      <c r="A559" s="14" t="s">
        <v>1955</v>
      </c>
      <c r="B559" s="14" t="s">
        <v>3613</v>
      </c>
      <c r="C559" s="14" t="s">
        <v>1955</v>
      </c>
      <c r="D559" s="14" t="s">
        <v>4191</v>
      </c>
      <c r="E559" s="11" t="s">
        <v>4191</v>
      </c>
      <c r="F559" s="4" t="s">
        <v>1523</v>
      </c>
      <c r="H559" s="6"/>
    </row>
    <row r="560" spans="1:8" x14ac:dyDescent="0.2">
      <c r="A560" s="14" t="s">
        <v>1956</v>
      </c>
      <c r="B560" s="14" t="s">
        <v>3613</v>
      </c>
      <c r="C560" s="14" t="s">
        <v>1956</v>
      </c>
      <c r="D560" s="14" t="s">
        <v>4192</v>
      </c>
      <c r="E560" s="11" t="s">
        <v>4192</v>
      </c>
      <c r="F560" s="4" t="s">
        <v>1523</v>
      </c>
      <c r="H560" s="6"/>
    </row>
    <row r="561" spans="1:8" x14ac:dyDescent="0.2">
      <c r="A561" s="14" t="s">
        <v>1957</v>
      </c>
      <c r="B561" s="14" t="s">
        <v>3613</v>
      </c>
      <c r="C561" s="14" t="s">
        <v>1957</v>
      </c>
      <c r="D561" s="14" t="s">
        <v>4193</v>
      </c>
      <c r="E561" s="11" t="s">
        <v>4193</v>
      </c>
      <c r="F561" s="4" t="s">
        <v>1523</v>
      </c>
      <c r="H561" s="6"/>
    </row>
    <row r="562" spans="1:8" x14ac:dyDescent="0.2">
      <c r="A562" s="14" t="s">
        <v>1958</v>
      </c>
      <c r="B562" s="14" t="s">
        <v>3613</v>
      </c>
      <c r="C562" s="14" t="s">
        <v>1958</v>
      </c>
      <c r="D562" s="14" t="s">
        <v>4194</v>
      </c>
      <c r="E562" s="11" t="s">
        <v>4194</v>
      </c>
      <c r="F562" s="4" t="s">
        <v>1523</v>
      </c>
      <c r="H562" s="6"/>
    </row>
    <row r="563" spans="1:8" x14ac:dyDescent="0.2">
      <c r="A563" s="14" t="s">
        <v>1959</v>
      </c>
      <c r="B563" s="14" t="s">
        <v>3613</v>
      </c>
      <c r="C563" s="14" t="s">
        <v>1959</v>
      </c>
      <c r="D563" s="14" t="s">
        <v>4195</v>
      </c>
      <c r="E563" s="11" t="s">
        <v>4195</v>
      </c>
      <c r="F563" s="4" t="s">
        <v>1523</v>
      </c>
      <c r="H563" s="6"/>
    </row>
    <row r="564" spans="1:8" x14ac:dyDescent="0.2">
      <c r="A564" s="14" t="s">
        <v>1960</v>
      </c>
      <c r="B564" s="14" t="s">
        <v>3613</v>
      </c>
      <c r="C564" s="14" t="s">
        <v>1960</v>
      </c>
      <c r="D564" s="14" t="s">
        <v>4196</v>
      </c>
      <c r="E564" s="11" t="s">
        <v>4196</v>
      </c>
      <c r="F564" s="4" t="s">
        <v>1523</v>
      </c>
      <c r="H564" s="6"/>
    </row>
    <row r="565" spans="1:8" x14ac:dyDescent="0.2">
      <c r="A565" s="14" t="s">
        <v>1961</v>
      </c>
      <c r="B565" s="14" t="s">
        <v>3613</v>
      </c>
      <c r="C565" s="14" t="s">
        <v>1961</v>
      </c>
      <c r="D565" s="14" t="s">
        <v>4197</v>
      </c>
      <c r="E565" s="11" t="s">
        <v>4197</v>
      </c>
      <c r="F565" s="4" t="s">
        <v>1523</v>
      </c>
      <c r="H565" s="6"/>
    </row>
    <row r="566" spans="1:8" x14ac:dyDescent="0.2">
      <c r="A566" s="14" t="s">
        <v>1962</v>
      </c>
      <c r="B566" s="14" t="s">
        <v>3613</v>
      </c>
      <c r="C566" s="14" t="s">
        <v>1962</v>
      </c>
      <c r="D566" s="14" t="s">
        <v>4198</v>
      </c>
      <c r="E566" s="11" t="s">
        <v>4198</v>
      </c>
      <c r="F566" s="4" t="s">
        <v>1523</v>
      </c>
      <c r="H566" s="6"/>
    </row>
    <row r="567" spans="1:8" x14ac:dyDescent="0.2">
      <c r="A567" s="14" t="s">
        <v>1963</v>
      </c>
      <c r="B567" s="14" t="s">
        <v>3613</v>
      </c>
      <c r="C567" s="14" t="s">
        <v>1963</v>
      </c>
      <c r="D567" s="14" t="s">
        <v>4199</v>
      </c>
      <c r="E567" s="11" t="s">
        <v>4199</v>
      </c>
      <c r="F567" s="4" t="s">
        <v>1523</v>
      </c>
      <c r="H567" s="6"/>
    </row>
    <row r="568" spans="1:8" x14ac:dyDescent="0.2">
      <c r="A568" s="14" t="s">
        <v>1964</v>
      </c>
      <c r="B568" s="14" t="s">
        <v>3613</v>
      </c>
      <c r="C568" s="14" t="s">
        <v>1964</v>
      </c>
      <c r="D568" s="14" t="s">
        <v>4200</v>
      </c>
      <c r="E568" s="11" t="s">
        <v>4200</v>
      </c>
      <c r="F568" s="4" t="s">
        <v>1523</v>
      </c>
      <c r="H568" s="6"/>
    </row>
    <row r="569" spans="1:8" x14ac:dyDescent="0.2">
      <c r="A569" s="14" t="s">
        <v>1965</v>
      </c>
      <c r="B569" s="14" t="s">
        <v>3613</v>
      </c>
      <c r="C569" s="14" t="s">
        <v>1965</v>
      </c>
      <c r="D569" s="14" t="s">
        <v>4201</v>
      </c>
      <c r="E569" s="11" t="s">
        <v>4201</v>
      </c>
      <c r="F569" s="4" t="s">
        <v>1523</v>
      </c>
      <c r="H569" s="6"/>
    </row>
    <row r="570" spans="1:8" x14ac:dyDescent="0.2">
      <c r="A570" s="14" t="s">
        <v>1966</v>
      </c>
      <c r="B570" s="14" t="s">
        <v>3613</v>
      </c>
      <c r="C570" s="14" t="s">
        <v>1966</v>
      </c>
      <c r="D570" s="14" t="s">
        <v>4202</v>
      </c>
      <c r="E570" s="11" t="s">
        <v>4202</v>
      </c>
      <c r="F570" s="4" t="s">
        <v>1523</v>
      </c>
      <c r="H570" s="6"/>
    </row>
    <row r="571" spans="1:8" x14ac:dyDescent="0.2">
      <c r="A571" s="14" t="s">
        <v>1967</v>
      </c>
      <c r="B571" s="14" t="s">
        <v>3613</v>
      </c>
      <c r="C571" s="14" t="s">
        <v>1967</v>
      </c>
      <c r="D571" s="14" t="s">
        <v>4203</v>
      </c>
      <c r="E571" s="11" t="s">
        <v>4203</v>
      </c>
      <c r="F571" s="4" t="s">
        <v>1523</v>
      </c>
      <c r="H571" s="6"/>
    </row>
    <row r="572" spans="1:8" x14ac:dyDescent="0.2">
      <c r="A572" s="14" t="s">
        <v>1968</v>
      </c>
      <c r="B572" s="14" t="s">
        <v>3613</v>
      </c>
      <c r="C572" s="14" t="s">
        <v>1968</v>
      </c>
      <c r="D572" s="14" t="s">
        <v>4204</v>
      </c>
      <c r="E572" s="11" t="s">
        <v>4204</v>
      </c>
      <c r="F572" s="4" t="s">
        <v>1523</v>
      </c>
      <c r="H572" s="6"/>
    </row>
    <row r="573" spans="1:8" x14ac:dyDescent="0.2">
      <c r="A573" s="14" t="s">
        <v>1969</v>
      </c>
      <c r="B573" s="14" t="s">
        <v>3613</v>
      </c>
      <c r="C573" s="14" t="s">
        <v>1969</v>
      </c>
      <c r="D573" s="14" t="s">
        <v>4205</v>
      </c>
      <c r="E573" s="11" t="s">
        <v>4205</v>
      </c>
      <c r="F573" s="4" t="s">
        <v>1523</v>
      </c>
      <c r="H573" s="6"/>
    </row>
    <row r="574" spans="1:8" x14ac:dyDescent="0.2">
      <c r="A574" s="14" t="s">
        <v>1970</v>
      </c>
      <c r="B574" s="14" t="s">
        <v>3613</v>
      </c>
      <c r="C574" s="14" t="s">
        <v>1970</v>
      </c>
      <c r="D574" s="14" t="s">
        <v>4206</v>
      </c>
      <c r="E574" s="11" t="s">
        <v>4206</v>
      </c>
      <c r="F574" s="4" t="s">
        <v>1523</v>
      </c>
      <c r="H574" s="6"/>
    </row>
    <row r="575" spans="1:8" x14ac:dyDescent="0.2">
      <c r="A575" s="14" t="s">
        <v>1971</v>
      </c>
      <c r="B575" s="14" t="s">
        <v>3612</v>
      </c>
      <c r="C575" s="14" t="s">
        <v>1983</v>
      </c>
      <c r="D575" s="14" t="s">
        <v>4207</v>
      </c>
      <c r="E575" s="11" t="s">
        <v>4219</v>
      </c>
      <c r="F575" s="4" t="s">
        <v>1523</v>
      </c>
      <c r="H575" s="6"/>
    </row>
    <row r="576" spans="1:8" x14ac:dyDescent="0.2">
      <c r="A576" s="14" t="s">
        <v>1972</v>
      </c>
      <c r="B576" s="14" t="s">
        <v>3612</v>
      </c>
      <c r="C576" s="14" t="s">
        <v>1988</v>
      </c>
      <c r="D576" s="14" t="s">
        <v>4208</v>
      </c>
      <c r="E576" s="11" t="s">
        <v>4219</v>
      </c>
      <c r="F576" s="4" t="s">
        <v>1523</v>
      </c>
      <c r="H576" s="6"/>
    </row>
    <row r="577" spans="1:8" x14ac:dyDescent="0.2">
      <c r="A577" s="14" t="s">
        <v>1973</v>
      </c>
      <c r="B577" s="14" t="s">
        <v>3612</v>
      </c>
      <c r="C577" s="14" t="s">
        <v>1989</v>
      </c>
      <c r="D577" s="14" t="s">
        <v>4209</v>
      </c>
      <c r="E577" s="11" t="s">
        <v>4219</v>
      </c>
      <c r="F577" s="4" t="s">
        <v>1523</v>
      </c>
      <c r="H577" s="6"/>
    </row>
    <row r="578" spans="1:8" x14ac:dyDescent="0.2">
      <c r="A578" s="14" t="s">
        <v>1974</v>
      </c>
      <c r="B578" s="14" t="s">
        <v>3612</v>
      </c>
      <c r="C578" s="14" t="s">
        <v>1990</v>
      </c>
      <c r="D578" s="14" t="s">
        <v>4210</v>
      </c>
      <c r="E578" s="11" t="s">
        <v>4219</v>
      </c>
      <c r="F578" s="4" t="s">
        <v>1523</v>
      </c>
      <c r="H578" s="6"/>
    </row>
    <row r="579" spans="1:8" x14ac:dyDescent="0.2">
      <c r="A579" s="14" t="s">
        <v>1975</v>
      </c>
      <c r="B579" s="14" t="s">
        <v>3612</v>
      </c>
      <c r="C579" s="14" t="s">
        <v>1991</v>
      </c>
      <c r="D579" s="14" t="s">
        <v>4211</v>
      </c>
      <c r="E579" s="11" t="s">
        <v>4221</v>
      </c>
      <c r="F579" s="4" t="s">
        <v>1523</v>
      </c>
      <c r="H579" s="6"/>
    </row>
    <row r="580" spans="1:8" x14ac:dyDescent="0.2">
      <c r="A580" s="14" t="s">
        <v>1976</v>
      </c>
      <c r="B580" s="14" t="s">
        <v>3612</v>
      </c>
      <c r="C580" s="14" t="s">
        <v>1996</v>
      </c>
      <c r="D580" s="14" t="s">
        <v>4212</v>
      </c>
      <c r="E580" s="11" t="s">
        <v>4221</v>
      </c>
      <c r="F580" s="4" t="s">
        <v>1523</v>
      </c>
      <c r="H580" s="6"/>
    </row>
    <row r="581" spans="1:8" x14ac:dyDescent="0.2">
      <c r="A581" s="14" t="s">
        <v>1977</v>
      </c>
      <c r="B581" s="14" t="s">
        <v>3612</v>
      </c>
      <c r="C581" s="14" t="s">
        <v>1997</v>
      </c>
      <c r="D581" s="14" t="s">
        <v>4213</v>
      </c>
      <c r="E581" s="11" t="s">
        <v>4221</v>
      </c>
      <c r="F581" s="4" t="s">
        <v>1523</v>
      </c>
      <c r="H581" s="6"/>
    </row>
    <row r="582" spans="1:8" x14ac:dyDescent="0.2">
      <c r="A582" s="14" t="s">
        <v>1978</v>
      </c>
      <c r="B582" s="14" t="s">
        <v>3612</v>
      </c>
      <c r="C582" s="14" t="s">
        <v>1998</v>
      </c>
      <c r="D582" s="14" t="s">
        <v>4214</v>
      </c>
      <c r="E582" s="11" t="s">
        <v>4221</v>
      </c>
      <c r="F582" s="4" t="s">
        <v>1523</v>
      </c>
      <c r="H582" s="6"/>
    </row>
    <row r="583" spans="1:8" x14ac:dyDescent="0.2">
      <c r="A583" s="14" t="s">
        <v>1979</v>
      </c>
      <c r="B583" s="14" t="s">
        <v>3612</v>
      </c>
      <c r="C583" s="14" t="s">
        <v>3188</v>
      </c>
      <c r="D583" s="14" t="s">
        <v>4215</v>
      </c>
      <c r="E583" s="11" t="s">
        <v>3760</v>
      </c>
      <c r="F583" s="4" t="s">
        <v>1523</v>
      </c>
      <c r="H583" s="6"/>
    </row>
    <row r="584" spans="1:8" x14ac:dyDescent="0.2">
      <c r="A584" s="14" t="s">
        <v>1980</v>
      </c>
      <c r="B584" s="14" t="s">
        <v>3612</v>
      </c>
      <c r="C584" s="14" t="s">
        <v>3189</v>
      </c>
      <c r="D584" s="14" t="s">
        <v>4216</v>
      </c>
      <c r="E584" s="11" t="s">
        <v>3761</v>
      </c>
      <c r="F584" s="4" t="s">
        <v>1523</v>
      </c>
      <c r="H584" s="6"/>
    </row>
    <row r="585" spans="1:8" x14ac:dyDescent="0.2">
      <c r="A585" s="14" t="s">
        <v>1981</v>
      </c>
      <c r="B585" s="14" t="s">
        <v>3612</v>
      </c>
      <c r="C585" s="14" t="s">
        <v>3190</v>
      </c>
      <c r="D585" s="14" t="s">
        <v>4217</v>
      </c>
      <c r="E585" s="11" t="s">
        <v>3762</v>
      </c>
      <c r="F585" s="4" t="s">
        <v>1523</v>
      </c>
      <c r="H585" s="6"/>
    </row>
    <row r="586" spans="1:8" x14ac:dyDescent="0.2">
      <c r="A586" s="14" t="s">
        <v>1982</v>
      </c>
      <c r="B586" s="14" t="s">
        <v>3612</v>
      </c>
      <c r="C586" s="14" t="s">
        <v>3191</v>
      </c>
      <c r="D586" s="14" t="s">
        <v>4218</v>
      </c>
      <c r="E586" s="11" t="s">
        <v>3763</v>
      </c>
      <c r="F586" s="4" t="s">
        <v>1523</v>
      </c>
      <c r="H586" s="6"/>
    </row>
    <row r="587" spans="1:8" x14ac:dyDescent="0.2">
      <c r="A587" s="14" t="s">
        <v>1983</v>
      </c>
      <c r="B587" s="14" t="s">
        <v>3613</v>
      </c>
      <c r="C587" s="14" t="s">
        <v>1983</v>
      </c>
      <c r="D587" s="14" t="s">
        <v>4219</v>
      </c>
      <c r="E587" s="11" t="s">
        <v>4219</v>
      </c>
      <c r="F587" s="4" t="s">
        <v>1523</v>
      </c>
      <c r="H587" s="6"/>
    </row>
    <row r="588" spans="1:8" x14ac:dyDescent="0.2">
      <c r="A588" s="14" t="s">
        <v>1984</v>
      </c>
      <c r="B588" s="14" t="s">
        <v>3613</v>
      </c>
      <c r="C588" s="14" t="s">
        <v>1984</v>
      </c>
      <c r="D588" s="14" t="s">
        <v>4220</v>
      </c>
      <c r="E588" s="11" t="s">
        <v>4220</v>
      </c>
      <c r="F588" s="4" t="s">
        <v>1523</v>
      </c>
      <c r="H588" s="6"/>
    </row>
    <row r="589" spans="1:8" x14ac:dyDescent="0.2">
      <c r="A589" s="14" t="s">
        <v>1985</v>
      </c>
      <c r="B589" s="14" t="s">
        <v>3613</v>
      </c>
      <c r="C589" s="14" t="s">
        <v>1985</v>
      </c>
      <c r="D589" s="14" t="s">
        <v>4220</v>
      </c>
      <c r="E589" s="11" t="s">
        <v>4220</v>
      </c>
      <c r="F589" s="4" t="s">
        <v>1523</v>
      </c>
      <c r="H589" s="6"/>
    </row>
    <row r="590" spans="1:8" x14ac:dyDescent="0.2">
      <c r="A590" s="14" t="s">
        <v>1986</v>
      </c>
      <c r="B590" s="14" t="s">
        <v>3613</v>
      </c>
      <c r="C590" s="14" t="s">
        <v>1986</v>
      </c>
      <c r="D590" s="14" t="s">
        <v>4220</v>
      </c>
      <c r="E590" s="11" t="s">
        <v>4220</v>
      </c>
      <c r="F590" s="4" t="s">
        <v>1523</v>
      </c>
      <c r="H590" s="6"/>
    </row>
    <row r="591" spans="1:8" x14ac:dyDescent="0.2">
      <c r="A591" s="14" t="s">
        <v>1987</v>
      </c>
      <c r="B591" s="14" t="s">
        <v>3613</v>
      </c>
      <c r="C591" s="14" t="s">
        <v>1987</v>
      </c>
      <c r="D591" s="14" t="s">
        <v>4220</v>
      </c>
      <c r="E591" s="11" t="s">
        <v>4220</v>
      </c>
      <c r="F591" s="4" t="s">
        <v>1523</v>
      </c>
      <c r="H591" s="6"/>
    </row>
    <row r="592" spans="1:8" x14ac:dyDescent="0.2">
      <c r="A592" s="14" t="s">
        <v>1988</v>
      </c>
      <c r="B592" s="14" t="s">
        <v>3613</v>
      </c>
      <c r="C592" s="14" t="s">
        <v>1988</v>
      </c>
      <c r="D592" s="14" t="s">
        <v>4219</v>
      </c>
      <c r="E592" s="11" t="s">
        <v>4219</v>
      </c>
      <c r="F592" s="4" t="s">
        <v>1523</v>
      </c>
      <c r="H592" s="6"/>
    </row>
    <row r="593" spans="1:8" x14ac:dyDescent="0.2">
      <c r="A593" s="14" t="s">
        <v>1989</v>
      </c>
      <c r="B593" s="14" t="s">
        <v>3613</v>
      </c>
      <c r="C593" s="14" t="s">
        <v>1989</v>
      </c>
      <c r="D593" s="14" t="s">
        <v>4219</v>
      </c>
      <c r="E593" s="11" t="s">
        <v>4219</v>
      </c>
      <c r="F593" s="4" t="s">
        <v>1523</v>
      </c>
      <c r="H593" s="6"/>
    </row>
    <row r="594" spans="1:8" x14ac:dyDescent="0.2">
      <c r="A594" s="14" t="s">
        <v>1990</v>
      </c>
      <c r="B594" s="14" t="s">
        <v>3613</v>
      </c>
      <c r="C594" s="14" t="s">
        <v>1990</v>
      </c>
      <c r="D594" s="14" t="s">
        <v>4219</v>
      </c>
      <c r="E594" s="11" t="s">
        <v>4219</v>
      </c>
      <c r="F594" s="4" t="s">
        <v>1523</v>
      </c>
      <c r="H594" s="6"/>
    </row>
    <row r="595" spans="1:8" x14ac:dyDescent="0.2">
      <c r="A595" s="14" t="s">
        <v>1991</v>
      </c>
      <c r="B595" s="14" t="s">
        <v>3613</v>
      </c>
      <c r="C595" s="14" t="s">
        <v>1991</v>
      </c>
      <c r="D595" s="14" t="s">
        <v>4221</v>
      </c>
      <c r="E595" s="11" t="s">
        <v>4221</v>
      </c>
      <c r="F595" s="4" t="s">
        <v>1523</v>
      </c>
      <c r="H595" s="6"/>
    </row>
    <row r="596" spans="1:8" x14ac:dyDescent="0.2">
      <c r="A596" s="14" t="s">
        <v>1992</v>
      </c>
      <c r="B596" s="14" t="s">
        <v>3613</v>
      </c>
      <c r="C596" s="14" t="s">
        <v>1992</v>
      </c>
      <c r="D596" s="14" t="s">
        <v>4222</v>
      </c>
      <c r="E596" s="11" t="s">
        <v>4222</v>
      </c>
      <c r="F596" s="4" t="s">
        <v>1523</v>
      </c>
      <c r="H596" s="6"/>
    </row>
    <row r="597" spans="1:8" x14ac:dyDescent="0.2">
      <c r="A597" s="14" t="s">
        <v>1993</v>
      </c>
      <c r="B597" s="14" t="s">
        <v>3613</v>
      </c>
      <c r="C597" s="14" t="s">
        <v>1993</v>
      </c>
      <c r="D597" s="14" t="s">
        <v>4222</v>
      </c>
      <c r="E597" s="11" t="s">
        <v>4222</v>
      </c>
      <c r="F597" s="4" t="s">
        <v>1523</v>
      </c>
      <c r="H597" s="6"/>
    </row>
    <row r="598" spans="1:8" x14ac:dyDescent="0.2">
      <c r="A598" s="14" t="s">
        <v>1994</v>
      </c>
      <c r="B598" s="14" t="s">
        <v>3613</v>
      </c>
      <c r="C598" s="14" t="s">
        <v>1994</v>
      </c>
      <c r="D598" s="14" t="s">
        <v>4222</v>
      </c>
      <c r="E598" s="11" t="s">
        <v>4222</v>
      </c>
      <c r="F598" s="4" t="s">
        <v>1523</v>
      </c>
      <c r="H598" s="6"/>
    </row>
    <row r="599" spans="1:8" x14ac:dyDescent="0.2">
      <c r="A599" s="14" t="s">
        <v>1995</v>
      </c>
      <c r="B599" s="14" t="s">
        <v>3613</v>
      </c>
      <c r="C599" s="14" t="s">
        <v>1995</v>
      </c>
      <c r="D599" s="14" t="s">
        <v>4222</v>
      </c>
      <c r="E599" s="11" t="s">
        <v>4222</v>
      </c>
      <c r="F599" s="4" t="s">
        <v>1523</v>
      </c>
      <c r="H599" s="6"/>
    </row>
    <row r="600" spans="1:8" x14ac:dyDescent="0.2">
      <c r="A600" s="14" t="s">
        <v>1996</v>
      </c>
      <c r="B600" s="14" t="s">
        <v>3613</v>
      </c>
      <c r="C600" s="14" t="s">
        <v>1996</v>
      </c>
      <c r="D600" s="14" t="s">
        <v>4221</v>
      </c>
      <c r="E600" s="11" t="s">
        <v>4221</v>
      </c>
      <c r="F600" s="4" t="s">
        <v>1523</v>
      </c>
      <c r="H600" s="6"/>
    </row>
    <row r="601" spans="1:8" x14ac:dyDescent="0.2">
      <c r="A601" s="14" t="s">
        <v>1997</v>
      </c>
      <c r="B601" s="14" t="s">
        <v>3613</v>
      </c>
      <c r="C601" s="14" t="s">
        <v>1997</v>
      </c>
      <c r="D601" s="14" t="s">
        <v>4221</v>
      </c>
      <c r="E601" s="11" t="s">
        <v>4221</v>
      </c>
      <c r="F601" s="4" t="s">
        <v>1523</v>
      </c>
      <c r="H601" s="6"/>
    </row>
    <row r="602" spans="1:8" x14ac:dyDescent="0.2">
      <c r="A602" s="14" t="s">
        <v>1998</v>
      </c>
      <c r="B602" s="14" t="s">
        <v>3613</v>
      </c>
      <c r="C602" s="14" t="s">
        <v>1998</v>
      </c>
      <c r="D602" s="14" t="s">
        <v>4221</v>
      </c>
      <c r="E602" s="11" t="s">
        <v>4221</v>
      </c>
      <c r="F602" s="4" t="s">
        <v>1523</v>
      </c>
      <c r="H602" s="6"/>
    </row>
    <row r="603" spans="1:8" x14ac:dyDescent="0.2">
      <c r="A603" s="14" t="s">
        <v>1999</v>
      </c>
      <c r="B603" s="14" t="s">
        <v>3612</v>
      </c>
      <c r="C603" s="14" t="s">
        <v>3192</v>
      </c>
      <c r="D603" s="14" t="s">
        <v>4223</v>
      </c>
      <c r="E603" s="11" t="s">
        <v>3764</v>
      </c>
      <c r="F603" s="4" t="s">
        <v>1523</v>
      </c>
      <c r="H603" s="6"/>
    </row>
    <row r="604" spans="1:8" x14ac:dyDescent="0.2">
      <c r="A604" s="14" t="s">
        <v>2000</v>
      </c>
      <c r="B604" s="14" t="s">
        <v>3612</v>
      </c>
      <c r="C604" s="14" t="s">
        <v>3193</v>
      </c>
      <c r="D604" s="14" t="s">
        <v>4224</v>
      </c>
      <c r="E604" s="11" t="s">
        <v>3764</v>
      </c>
      <c r="F604" s="4" t="s">
        <v>1523</v>
      </c>
      <c r="H604" s="6"/>
    </row>
    <row r="605" spans="1:8" x14ac:dyDescent="0.2">
      <c r="A605" s="14" t="s">
        <v>2001</v>
      </c>
      <c r="B605" s="14" t="s">
        <v>3612</v>
      </c>
      <c r="C605" s="14" t="s">
        <v>3194</v>
      </c>
      <c r="D605" s="14" t="s">
        <v>4225</v>
      </c>
      <c r="E605" s="11" t="s">
        <v>3764</v>
      </c>
      <c r="F605" s="4" t="s">
        <v>1523</v>
      </c>
      <c r="H605" s="6"/>
    </row>
    <row r="606" spans="1:8" x14ac:dyDescent="0.2">
      <c r="A606" s="14" t="s">
        <v>2002</v>
      </c>
      <c r="B606" s="14" t="s">
        <v>3612</v>
      </c>
      <c r="C606" s="14" t="s">
        <v>3195</v>
      </c>
      <c r="D606" s="14" t="s">
        <v>4226</v>
      </c>
      <c r="E606" s="11" t="s">
        <v>3764</v>
      </c>
      <c r="F606" s="4" t="s">
        <v>1523</v>
      </c>
      <c r="H606" s="6"/>
    </row>
    <row r="607" spans="1:8" x14ac:dyDescent="0.2">
      <c r="A607" s="14" t="s">
        <v>2003</v>
      </c>
      <c r="B607" s="14" t="s">
        <v>3612</v>
      </c>
      <c r="C607" s="14" t="s">
        <v>3196</v>
      </c>
      <c r="D607" s="14" t="s">
        <v>4227</v>
      </c>
      <c r="E607" s="11" t="s">
        <v>3765</v>
      </c>
      <c r="F607" s="4" t="s">
        <v>1523</v>
      </c>
      <c r="H607" s="6"/>
    </row>
    <row r="608" spans="1:8" x14ac:dyDescent="0.2">
      <c r="A608" s="14" t="s">
        <v>2004</v>
      </c>
      <c r="B608" s="14" t="s">
        <v>3612</v>
      </c>
      <c r="C608" s="14" t="s">
        <v>3197</v>
      </c>
      <c r="D608" s="14" t="s">
        <v>4228</v>
      </c>
      <c r="E608" s="11" t="s">
        <v>3765</v>
      </c>
      <c r="F608" s="4" t="s">
        <v>1523</v>
      </c>
      <c r="H608" s="6"/>
    </row>
    <row r="609" spans="1:8" x14ac:dyDescent="0.2">
      <c r="A609" s="14" t="s">
        <v>2005</v>
      </c>
      <c r="B609" s="14" t="s">
        <v>3612</v>
      </c>
      <c r="C609" s="14" t="s">
        <v>3198</v>
      </c>
      <c r="D609" s="14" t="s">
        <v>4229</v>
      </c>
      <c r="E609" s="11" t="s">
        <v>3765</v>
      </c>
      <c r="F609" s="4" t="s">
        <v>1523</v>
      </c>
      <c r="H609" s="6"/>
    </row>
    <row r="610" spans="1:8" x14ac:dyDescent="0.2">
      <c r="A610" s="14" t="s">
        <v>2006</v>
      </c>
      <c r="B610" s="14" t="s">
        <v>3612</v>
      </c>
      <c r="C610" s="14" t="s">
        <v>3199</v>
      </c>
      <c r="D610" s="14" t="s">
        <v>4230</v>
      </c>
      <c r="E610" s="11" t="s">
        <v>3765</v>
      </c>
      <c r="F610" s="4" t="s">
        <v>1523</v>
      </c>
      <c r="H610" s="6"/>
    </row>
    <row r="611" spans="1:8" x14ac:dyDescent="0.2">
      <c r="A611" s="14" t="s">
        <v>2007</v>
      </c>
      <c r="B611" s="14" t="s">
        <v>3612</v>
      </c>
      <c r="C611" s="14" t="s">
        <v>3200</v>
      </c>
      <c r="D611" s="14" t="s">
        <v>4231</v>
      </c>
      <c r="E611" s="11" t="s">
        <v>3766</v>
      </c>
      <c r="F611" s="4" t="s">
        <v>1523</v>
      </c>
      <c r="H611" s="6"/>
    </row>
    <row r="612" spans="1:8" x14ac:dyDescent="0.2">
      <c r="A612" s="14" t="s">
        <v>2008</v>
      </c>
      <c r="B612" s="14" t="s">
        <v>3612</v>
      </c>
      <c r="C612" s="14" t="s">
        <v>3201</v>
      </c>
      <c r="D612" s="14" t="s">
        <v>4232</v>
      </c>
      <c r="E612" s="11" t="s">
        <v>3766</v>
      </c>
      <c r="F612" s="4" t="s">
        <v>1523</v>
      </c>
      <c r="H612" s="6"/>
    </row>
    <row r="613" spans="1:8" x14ac:dyDescent="0.2">
      <c r="A613" s="14" t="s">
        <v>2009</v>
      </c>
      <c r="B613" s="14" t="s">
        <v>3612</v>
      </c>
      <c r="C613" s="14" t="s">
        <v>3202</v>
      </c>
      <c r="D613" s="14" t="s">
        <v>4233</v>
      </c>
      <c r="E613" s="11" t="s">
        <v>3766</v>
      </c>
      <c r="F613" s="4" t="s">
        <v>1523</v>
      </c>
      <c r="H613" s="6"/>
    </row>
    <row r="614" spans="1:8" x14ac:dyDescent="0.2">
      <c r="A614" s="14" t="s">
        <v>2010</v>
      </c>
      <c r="B614" s="14" t="s">
        <v>3612</v>
      </c>
      <c r="C614" s="14" t="s">
        <v>3203</v>
      </c>
      <c r="D614" s="14" t="s">
        <v>4234</v>
      </c>
      <c r="E614" s="11" t="s">
        <v>3766</v>
      </c>
      <c r="F614" s="4" t="s">
        <v>1523</v>
      </c>
      <c r="H614" s="6"/>
    </row>
    <row r="615" spans="1:8" x14ac:dyDescent="0.2">
      <c r="A615" s="14" t="s">
        <v>2011</v>
      </c>
      <c r="B615" s="14" t="s">
        <v>3612</v>
      </c>
      <c r="C615" s="14" t="s">
        <v>3204</v>
      </c>
      <c r="D615" s="14" t="s">
        <v>4235</v>
      </c>
      <c r="E615" s="11" t="s">
        <v>3767</v>
      </c>
      <c r="F615" s="4" t="s">
        <v>1523</v>
      </c>
      <c r="H615" s="6"/>
    </row>
    <row r="616" spans="1:8" x14ac:dyDescent="0.2">
      <c r="A616" s="14" t="s">
        <v>2012</v>
      </c>
      <c r="B616" s="14" t="s">
        <v>3612</v>
      </c>
      <c r="C616" s="14" t="s">
        <v>3205</v>
      </c>
      <c r="D616" s="14" t="s">
        <v>4236</v>
      </c>
      <c r="E616" s="11" t="s">
        <v>3767</v>
      </c>
      <c r="F616" s="4" t="s">
        <v>1523</v>
      </c>
      <c r="H616" s="6"/>
    </row>
    <row r="617" spans="1:8" x14ac:dyDescent="0.2">
      <c r="A617" s="14" t="s">
        <v>2013</v>
      </c>
      <c r="B617" s="14" t="s">
        <v>3612</v>
      </c>
      <c r="C617" s="14" t="s">
        <v>3206</v>
      </c>
      <c r="D617" s="14" t="s">
        <v>4237</v>
      </c>
      <c r="E617" s="11" t="s">
        <v>3767</v>
      </c>
      <c r="F617" s="4" t="s">
        <v>1523</v>
      </c>
      <c r="H617" s="6"/>
    </row>
    <row r="618" spans="1:8" x14ac:dyDescent="0.2">
      <c r="A618" s="14" t="s">
        <v>2014</v>
      </c>
      <c r="B618" s="14" t="s">
        <v>3612</v>
      </c>
      <c r="C618" s="14" t="s">
        <v>3207</v>
      </c>
      <c r="D618" s="14" t="s">
        <v>4238</v>
      </c>
      <c r="E618" s="11" t="s">
        <v>3767</v>
      </c>
      <c r="F618" s="4" t="s">
        <v>1523</v>
      </c>
      <c r="H618" s="6"/>
    </row>
    <row r="619" spans="1:8" x14ac:dyDescent="0.2">
      <c r="A619" s="14" t="s">
        <v>2015</v>
      </c>
      <c r="B619" s="14" t="s">
        <v>3612</v>
      </c>
      <c r="C619" s="14" t="s">
        <v>3192</v>
      </c>
      <c r="D619" s="14" t="s">
        <v>4239</v>
      </c>
      <c r="E619" s="11" t="s">
        <v>3764</v>
      </c>
      <c r="F619" s="4" t="s">
        <v>1523</v>
      </c>
      <c r="H619" s="6"/>
    </row>
    <row r="620" spans="1:8" x14ac:dyDescent="0.2">
      <c r="A620" s="14" t="s">
        <v>2016</v>
      </c>
      <c r="B620" s="14" t="s">
        <v>3612</v>
      </c>
      <c r="C620" s="14" t="s">
        <v>3193</v>
      </c>
      <c r="D620" s="14" t="s">
        <v>4240</v>
      </c>
      <c r="E620" s="11" t="s">
        <v>3764</v>
      </c>
      <c r="F620" s="4" t="s">
        <v>1523</v>
      </c>
      <c r="H620" s="6"/>
    </row>
    <row r="621" spans="1:8" x14ac:dyDescent="0.2">
      <c r="A621" s="14" t="s">
        <v>2017</v>
      </c>
      <c r="B621" s="14" t="s">
        <v>3612</v>
      </c>
      <c r="C621" s="14" t="s">
        <v>3194</v>
      </c>
      <c r="D621" s="14" t="s">
        <v>4241</v>
      </c>
      <c r="E621" s="11" t="s">
        <v>3764</v>
      </c>
      <c r="F621" s="4" t="s">
        <v>1523</v>
      </c>
      <c r="H621" s="6"/>
    </row>
    <row r="622" spans="1:8" x14ac:dyDescent="0.2">
      <c r="A622" s="14" t="s">
        <v>2018</v>
      </c>
      <c r="B622" s="14" t="s">
        <v>3612</v>
      </c>
      <c r="C622" s="14" t="s">
        <v>3195</v>
      </c>
      <c r="D622" s="14" t="s">
        <v>4242</v>
      </c>
      <c r="E622" s="11" t="s">
        <v>3764</v>
      </c>
      <c r="F622" s="4" t="s">
        <v>1523</v>
      </c>
      <c r="H622" s="6"/>
    </row>
    <row r="623" spans="1:8" x14ac:dyDescent="0.2">
      <c r="A623" s="14" t="s">
        <v>2019</v>
      </c>
      <c r="B623" s="14" t="s">
        <v>3612</v>
      </c>
      <c r="C623" s="14" t="s">
        <v>3196</v>
      </c>
      <c r="D623" s="14" t="s">
        <v>4243</v>
      </c>
      <c r="E623" s="11" t="s">
        <v>3765</v>
      </c>
      <c r="F623" s="4" t="s">
        <v>1523</v>
      </c>
      <c r="H623" s="6"/>
    </row>
    <row r="624" spans="1:8" x14ac:dyDescent="0.2">
      <c r="A624" s="14" t="s">
        <v>2020</v>
      </c>
      <c r="B624" s="14" t="s">
        <v>3612</v>
      </c>
      <c r="C624" s="14" t="s">
        <v>3197</v>
      </c>
      <c r="D624" s="14" t="s">
        <v>4244</v>
      </c>
      <c r="E624" s="11" t="s">
        <v>3765</v>
      </c>
      <c r="F624" s="4" t="s">
        <v>1523</v>
      </c>
      <c r="H624" s="6"/>
    </row>
    <row r="625" spans="1:8" x14ac:dyDescent="0.2">
      <c r="A625" s="14" t="s">
        <v>2021</v>
      </c>
      <c r="B625" s="14" t="s">
        <v>3612</v>
      </c>
      <c r="C625" s="14" t="s">
        <v>3198</v>
      </c>
      <c r="D625" s="14" t="s">
        <v>4245</v>
      </c>
      <c r="E625" s="11" t="s">
        <v>3765</v>
      </c>
      <c r="F625" s="4" t="s">
        <v>1523</v>
      </c>
      <c r="H625" s="6"/>
    </row>
    <row r="626" spans="1:8" x14ac:dyDescent="0.2">
      <c r="A626" s="14" t="s">
        <v>2022</v>
      </c>
      <c r="B626" s="14" t="s">
        <v>3612</v>
      </c>
      <c r="C626" s="14" t="s">
        <v>3199</v>
      </c>
      <c r="D626" s="14" t="s">
        <v>4246</v>
      </c>
      <c r="E626" s="11" t="s">
        <v>3765</v>
      </c>
      <c r="F626" s="4" t="s">
        <v>1523</v>
      </c>
      <c r="H626" s="6"/>
    </row>
    <row r="627" spans="1:8" x14ac:dyDescent="0.2">
      <c r="A627" s="14" t="s">
        <v>2023</v>
      </c>
      <c r="B627" s="14" t="s">
        <v>3612</v>
      </c>
      <c r="C627" s="14" t="s">
        <v>3192</v>
      </c>
      <c r="D627" s="14" t="s">
        <v>4247</v>
      </c>
      <c r="E627" s="11" t="s">
        <v>3764</v>
      </c>
      <c r="F627" s="4" t="s">
        <v>1523</v>
      </c>
      <c r="H627" s="6"/>
    </row>
    <row r="628" spans="1:8" x14ac:dyDescent="0.2">
      <c r="A628" s="14" t="s">
        <v>2024</v>
      </c>
      <c r="B628" s="14" t="s">
        <v>3612</v>
      </c>
      <c r="C628" s="14" t="s">
        <v>3193</v>
      </c>
      <c r="D628" s="14" t="s">
        <v>4247</v>
      </c>
      <c r="E628" s="11" t="s">
        <v>3764</v>
      </c>
      <c r="F628" s="4" t="s">
        <v>1523</v>
      </c>
      <c r="H628" s="6"/>
    </row>
    <row r="629" spans="1:8" x14ac:dyDescent="0.2">
      <c r="A629" s="14" t="s">
        <v>2025</v>
      </c>
      <c r="B629" s="14" t="s">
        <v>3612</v>
      </c>
      <c r="C629" s="14" t="s">
        <v>3194</v>
      </c>
      <c r="D629" s="14" t="s">
        <v>4247</v>
      </c>
      <c r="E629" s="11" t="s">
        <v>3764</v>
      </c>
      <c r="F629" s="4" t="s">
        <v>1523</v>
      </c>
      <c r="H629" s="6"/>
    </row>
    <row r="630" spans="1:8" x14ac:dyDescent="0.2">
      <c r="A630" s="14" t="s">
        <v>2026</v>
      </c>
      <c r="B630" s="14" t="s">
        <v>3612</v>
      </c>
      <c r="C630" s="14" t="s">
        <v>3195</v>
      </c>
      <c r="D630" s="14" t="s">
        <v>4247</v>
      </c>
      <c r="E630" s="11" t="s">
        <v>3764</v>
      </c>
      <c r="F630" s="4" t="s">
        <v>1523</v>
      </c>
      <c r="H630" s="6"/>
    </row>
    <row r="631" spans="1:8" x14ac:dyDescent="0.2">
      <c r="A631" s="14" t="s">
        <v>2027</v>
      </c>
      <c r="B631" s="14" t="s">
        <v>3612</v>
      </c>
      <c r="C631" s="14" t="s">
        <v>3196</v>
      </c>
      <c r="D631" s="14" t="s">
        <v>4248</v>
      </c>
      <c r="E631" s="11" t="s">
        <v>3765</v>
      </c>
      <c r="F631" s="4" t="s">
        <v>1523</v>
      </c>
      <c r="H631" s="6"/>
    </row>
    <row r="632" spans="1:8" x14ac:dyDescent="0.2">
      <c r="A632" s="14" t="s">
        <v>2028</v>
      </c>
      <c r="B632" s="14" t="s">
        <v>3612</v>
      </c>
      <c r="C632" s="14" t="s">
        <v>3197</v>
      </c>
      <c r="D632" s="14" t="s">
        <v>4248</v>
      </c>
      <c r="E632" s="11" t="s">
        <v>3765</v>
      </c>
      <c r="F632" s="4" t="s">
        <v>1523</v>
      </c>
      <c r="H632" s="6"/>
    </row>
    <row r="633" spans="1:8" x14ac:dyDescent="0.2">
      <c r="A633" s="14" t="s">
        <v>2029</v>
      </c>
      <c r="B633" s="14" t="s">
        <v>3612</v>
      </c>
      <c r="C633" s="14" t="s">
        <v>3198</v>
      </c>
      <c r="D633" s="14" t="s">
        <v>4248</v>
      </c>
      <c r="E633" s="11" t="s">
        <v>3765</v>
      </c>
      <c r="F633" s="4" t="s">
        <v>1523</v>
      </c>
      <c r="H633" s="6"/>
    </row>
    <row r="634" spans="1:8" x14ac:dyDescent="0.2">
      <c r="A634" s="14" t="s">
        <v>2030</v>
      </c>
      <c r="B634" s="14" t="s">
        <v>3612</v>
      </c>
      <c r="C634" s="14" t="s">
        <v>3199</v>
      </c>
      <c r="D634" s="14" t="s">
        <v>4248</v>
      </c>
      <c r="E634" s="11" t="s">
        <v>3765</v>
      </c>
      <c r="F634" s="4" t="s">
        <v>1523</v>
      </c>
      <c r="H634" s="6"/>
    </row>
    <row r="635" spans="1:8" x14ac:dyDescent="0.2">
      <c r="A635" s="14" t="s">
        <v>2031</v>
      </c>
      <c r="B635" s="14" t="s">
        <v>3612</v>
      </c>
      <c r="C635" s="14" t="s">
        <v>3204</v>
      </c>
      <c r="D635" s="14" t="s">
        <v>4249</v>
      </c>
      <c r="E635" s="11" t="s">
        <v>3767</v>
      </c>
      <c r="F635" s="4" t="s">
        <v>1523</v>
      </c>
      <c r="H635" s="6"/>
    </row>
    <row r="636" spans="1:8" x14ac:dyDescent="0.2">
      <c r="A636" s="14" t="s">
        <v>2032</v>
      </c>
      <c r="B636" s="14" t="s">
        <v>3612</v>
      </c>
      <c r="C636" s="14" t="s">
        <v>3205</v>
      </c>
      <c r="D636" s="14" t="s">
        <v>4249</v>
      </c>
      <c r="E636" s="11" t="s">
        <v>3767</v>
      </c>
      <c r="F636" s="4" t="s">
        <v>1523</v>
      </c>
      <c r="H636" s="6"/>
    </row>
    <row r="637" spans="1:8" x14ac:dyDescent="0.2">
      <c r="A637" s="14" t="s">
        <v>2033</v>
      </c>
      <c r="B637" s="14" t="s">
        <v>3612</v>
      </c>
      <c r="C637" s="14" t="s">
        <v>3206</v>
      </c>
      <c r="D637" s="14" t="s">
        <v>4249</v>
      </c>
      <c r="E637" s="11" t="s">
        <v>3767</v>
      </c>
      <c r="F637" s="4" t="s">
        <v>1523</v>
      </c>
      <c r="H637" s="6"/>
    </row>
    <row r="638" spans="1:8" x14ac:dyDescent="0.2">
      <c r="A638" s="14" t="s">
        <v>2034</v>
      </c>
      <c r="B638" s="14" t="s">
        <v>3612</v>
      </c>
      <c r="C638" s="14" t="s">
        <v>3207</v>
      </c>
      <c r="D638" s="14" t="s">
        <v>4249</v>
      </c>
      <c r="E638" s="11" t="s">
        <v>3767</v>
      </c>
      <c r="F638" s="4" t="s">
        <v>1523</v>
      </c>
      <c r="H638" s="6"/>
    </row>
    <row r="639" spans="1:8" x14ac:dyDescent="0.2">
      <c r="A639" s="14" t="s">
        <v>2035</v>
      </c>
      <c r="B639" s="14" t="s">
        <v>3613</v>
      </c>
      <c r="C639" s="14" t="s">
        <v>2035</v>
      </c>
      <c r="D639" s="14" t="s">
        <v>4250</v>
      </c>
      <c r="E639" s="11" t="s">
        <v>4250</v>
      </c>
      <c r="F639" s="4" t="s">
        <v>1523</v>
      </c>
      <c r="H639" s="6"/>
    </row>
    <row r="640" spans="1:8" x14ac:dyDescent="0.2">
      <c r="A640" s="14" t="s">
        <v>2036</v>
      </c>
      <c r="B640" s="14" t="s">
        <v>3613</v>
      </c>
      <c r="C640" s="14" t="s">
        <v>2036</v>
      </c>
      <c r="D640" s="14" t="s">
        <v>4251</v>
      </c>
      <c r="E640" s="11" t="s">
        <v>4251</v>
      </c>
      <c r="F640" s="4" t="s">
        <v>1523</v>
      </c>
      <c r="H640" s="6"/>
    </row>
    <row r="641" spans="1:8" x14ac:dyDescent="0.2">
      <c r="A641" s="14" t="s">
        <v>2037</v>
      </c>
      <c r="B641" s="14" t="s">
        <v>3613</v>
      </c>
      <c r="C641" s="14" t="s">
        <v>2037</v>
      </c>
      <c r="D641" s="14" t="s">
        <v>4252</v>
      </c>
      <c r="E641" s="11" t="s">
        <v>4252</v>
      </c>
      <c r="F641" s="4" t="s">
        <v>1523</v>
      </c>
      <c r="H641" s="6"/>
    </row>
    <row r="642" spans="1:8" x14ac:dyDescent="0.2">
      <c r="A642" s="14" t="s">
        <v>2038</v>
      </c>
      <c r="B642" s="14" t="s">
        <v>3613</v>
      </c>
      <c r="C642" s="14" t="s">
        <v>2038</v>
      </c>
      <c r="D642" s="14" t="s">
        <v>4253</v>
      </c>
      <c r="E642" s="11" t="s">
        <v>4253</v>
      </c>
      <c r="F642" s="4" t="s">
        <v>1523</v>
      </c>
      <c r="H642" s="6"/>
    </row>
    <row r="643" spans="1:8" x14ac:dyDescent="0.2">
      <c r="A643" s="14" t="s">
        <v>2039</v>
      </c>
      <c r="B643" s="14" t="s">
        <v>4746</v>
      </c>
      <c r="C643" s="14" t="s">
        <v>2853</v>
      </c>
      <c r="D643" s="14" t="s">
        <v>4254</v>
      </c>
      <c r="E643" s="11"/>
      <c r="F643" s="4" t="s">
        <v>1523</v>
      </c>
      <c r="H643" s="6"/>
    </row>
    <row r="644" spans="1:8" x14ac:dyDescent="0.2">
      <c r="A644" s="14" t="s">
        <v>2040</v>
      </c>
      <c r="B644" s="14" t="s">
        <v>4746</v>
      </c>
      <c r="C644" s="14" t="s">
        <v>2853</v>
      </c>
      <c r="D644" s="14" t="s">
        <v>4255</v>
      </c>
      <c r="E644" s="11"/>
      <c r="F644" s="4" t="s">
        <v>1523</v>
      </c>
      <c r="H644" s="6"/>
    </row>
    <row r="645" spans="1:8" x14ac:dyDescent="0.2">
      <c r="A645" s="14" t="s">
        <v>2041</v>
      </c>
      <c r="B645" s="14" t="s">
        <v>4746</v>
      </c>
      <c r="C645" s="14" t="s">
        <v>2853</v>
      </c>
      <c r="D645" s="14" t="s">
        <v>4256</v>
      </c>
      <c r="E645" s="11"/>
      <c r="F645" s="4" t="s">
        <v>1523</v>
      </c>
      <c r="H645" s="6"/>
    </row>
    <row r="646" spans="1:8" x14ac:dyDescent="0.2">
      <c r="A646" s="14" t="s">
        <v>2042</v>
      </c>
      <c r="B646" s="14" t="s">
        <v>4746</v>
      </c>
      <c r="C646" s="14" t="s">
        <v>2853</v>
      </c>
      <c r="D646" s="14" t="s">
        <v>4257</v>
      </c>
      <c r="E646" s="11"/>
      <c r="F646" s="4" t="s">
        <v>1523</v>
      </c>
      <c r="H646" s="6"/>
    </row>
    <row r="647" spans="1:8" x14ac:dyDescent="0.2">
      <c r="A647" s="14" t="s">
        <v>2043</v>
      </c>
      <c r="B647" s="14" t="s">
        <v>4746</v>
      </c>
      <c r="C647" s="14" t="s">
        <v>2853</v>
      </c>
      <c r="D647" s="14" t="s">
        <v>4258</v>
      </c>
      <c r="E647" s="11"/>
      <c r="F647" s="4" t="s">
        <v>1523</v>
      </c>
      <c r="H647" s="6"/>
    </row>
    <row r="648" spans="1:8" x14ac:dyDescent="0.2">
      <c r="A648" s="14" t="s">
        <v>2044</v>
      </c>
      <c r="B648" s="14" t="s">
        <v>4746</v>
      </c>
      <c r="C648" s="14" t="s">
        <v>2853</v>
      </c>
      <c r="D648" s="14" t="s">
        <v>4259</v>
      </c>
      <c r="E648" s="11"/>
      <c r="F648" s="4" t="s">
        <v>1523</v>
      </c>
      <c r="H648" s="6"/>
    </row>
    <row r="649" spans="1:8" x14ac:dyDescent="0.2">
      <c r="A649" s="14" t="s">
        <v>2045</v>
      </c>
      <c r="B649" s="14" t="s">
        <v>4746</v>
      </c>
      <c r="C649" s="14" t="s">
        <v>2853</v>
      </c>
      <c r="D649" s="14" t="s">
        <v>4260</v>
      </c>
      <c r="E649" s="11"/>
      <c r="F649" s="4" t="s">
        <v>1523</v>
      </c>
      <c r="H649" s="6"/>
    </row>
    <row r="650" spans="1:8" x14ac:dyDescent="0.2">
      <c r="A650" s="14" t="s">
        <v>2046</v>
      </c>
      <c r="B650" s="14" t="s">
        <v>4746</v>
      </c>
      <c r="C650" s="14" t="s">
        <v>2853</v>
      </c>
      <c r="D650" s="14" t="s">
        <v>4261</v>
      </c>
      <c r="E650" s="11"/>
      <c r="F650" s="4" t="s">
        <v>1523</v>
      </c>
      <c r="H650" s="6"/>
    </row>
    <row r="651" spans="1:8" x14ac:dyDescent="0.2">
      <c r="A651" s="14" t="s">
        <v>2047</v>
      </c>
      <c r="B651" s="14" t="s">
        <v>3613</v>
      </c>
      <c r="C651" s="14" t="s">
        <v>2047</v>
      </c>
      <c r="D651" s="14" t="s">
        <v>4262</v>
      </c>
      <c r="E651" s="11" t="s">
        <v>4262</v>
      </c>
      <c r="F651" s="4" t="s">
        <v>1523</v>
      </c>
      <c r="H651" s="6"/>
    </row>
    <row r="652" spans="1:8" x14ac:dyDescent="0.2">
      <c r="A652" s="14" t="s">
        <v>2048</v>
      </c>
      <c r="B652" s="14" t="s">
        <v>3613</v>
      </c>
      <c r="C652" s="14" t="s">
        <v>2048</v>
      </c>
      <c r="D652" s="14" t="s">
        <v>4263</v>
      </c>
      <c r="E652" s="11" t="s">
        <v>4263</v>
      </c>
      <c r="F652" s="4" t="s">
        <v>1523</v>
      </c>
      <c r="H652" s="6"/>
    </row>
    <row r="653" spans="1:8" x14ac:dyDescent="0.2">
      <c r="A653" s="14" t="s">
        <v>2049</v>
      </c>
      <c r="B653" s="14" t="s">
        <v>3613</v>
      </c>
      <c r="C653" s="14" t="s">
        <v>2049</v>
      </c>
      <c r="D653" s="14" t="s">
        <v>4264</v>
      </c>
      <c r="E653" s="11" t="s">
        <v>4264</v>
      </c>
      <c r="F653" s="4" t="s">
        <v>1523</v>
      </c>
      <c r="H653" s="6"/>
    </row>
    <row r="654" spans="1:8" x14ac:dyDescent="0.2">
      <c r="A654" s="14" t="s">
        <v>2050</v>
      </c>
      <c r="B654" s="14" t="s">
        <v>3613</v>
      </c>
      <c r="C654" s="14" t="s">
        <v>2050</v>
      </c>
      <c r="D654" s="14" t="s">
        <v>4265</v>
      </c>
      <c r="E654" s="11" t="s">
        <v>4265</v>
      </c>
      <c r="F654" s="4" t="s">
        <v>1523</v>
      </c>
      <c r="H654" s="6"/>
    </row>
    <row r="655" spans="1:8" x14ac:dyDescent="0.2">
      <c r="A655" s="14" t="s">
        <v>2051</v>
      </c>
      <c r="B655" s="14" t="s">
        <v>3613</v>
      </c>
      <c r="C655" s="14" t="s">
        <v>2051</v>
      </c>
      <c r="D655" s="14" t="s">
        <v>4266</v>
      </c>
      <c r="E655" s="11" t="s">
        <v>4266</v>
      </c>
      <c r="F655" s="4" t="s">
        <v>1523</v>
      </c>
      <c r="H655" s="6"/>
    </row>
    <row r="656" spans="1:8" x14ac:dyDescent="0.2">
      <c r="A656" s="14" t="s">
        <v>2052</v>
      </c>
      <c r="B656" s="14" t="s">
        <v>3613</v>
      </c>
      <c r="C656" s="14" t="s">
        <v>2052</v>
      </c>
      <c r="D656" s="14" t="s">
        <v>4267</v>
      </c>
      <c r="E656" s="11" t="s">
        <v>4267</v>
      </c>
      <c r="F656" s="4" t="s">
        <v>1523</v>
      </c>
      <c r="H656" s="6"/>
    </row>
    <row r="657" spans="1:8" x14ac:dyDescent="0.2">
      <c r="A657" s="14" t="s">
        <v>2053</v>
      </c>
      <c r="B657" s="14" t="s">
        <v>3613</v>
      </c>
      <c r="C657" s="14" t="s">
        <v>2053</v>
      </c>
      <c r="D657" s="14" t="s">
        <v>4268</v>
      </c>
      <c r="E657" s="11" t="s">
        <v>4268</v>
      </c>
      <c r="F657" s="4" t="s">
        <v>1523</v>
      </c>
      <c r="H657" s="6"/>
    </row>
    <row r="658" spans="1:8" x14ac:dyDescent="0.2">
      <c r="A658" s="14" t="s">
        <v>2054</v>
      </c>
      <c r="B658" s="14" t="s">
        <v>3613</v>
      </c>
      <c r="C658" s="14" t="s">
        <v>2054</v>
      </c>
      <c r="D658" s="14" t="s">
        <v>4269</v>
      </c>
      <c r="E658" s="11" t="s">
        <v>4269</v>
      </c>
      <c r="F658" s="4" t="s">
        <v>1523</v>
      </c>
      <c r="H658" s="6"/>
    </row>
    <row r="659" spans="1:8" x14ac:dyDescent="0.2">
      <c r="A659" s="14" t="s">
        <v>2055</v>
      </c>
      <c r="B659" s="14" t="s">
        <v>3613</v>
      </c>
      <c r="C659" s="14" t="s">
        <v>2055</v>
      </c>
      <c r="D659" s="14" t="s">
        <v>4270</v>
      </c>
      <c r="E659" s="11" t="s">
        <v>4270</v>
      </c>
      <c r="F659" s="4" t="s">
        <v>1523</v>
      </c>
      <c r="H659" s="6"/>
    </row>
    <row r="660" spans="1:8" x14ac:dyDescent="0.2">
      <c r="A660" s="14" t="s">
        <v>2056</v>
      </c>
      <c r="B660" s="14" t="s">
        <v>3613</v>
      </c>
      <c r="C660" s="14" t="s">
        <v>2056</v>
      </c>
      <c r="D660" s="14" t="s">
        <v>4271</v>
      </c>
      <c r="E660" s="11" t="s">
        <v>4271</v>
      </c>
      <c r="F660" s="4" t="s">
        <v>1523</v>
      </c>
      <c r="H660" s="6"/>
    </row>
    <row r="661" spans="1:8" x14ac:dyDescent="0.2">
      <c r="A661" s="14" t="s">
        <v>2057</v>
      </c>
      <c r="B661" s="14" t="s">
        <v>3613</v>
      </c>
      <c r="C661" s="14" t="s">
        <v>2057</v>
      </c>
      <c r="D661" s="14" t="s">
        <v>4272</v>
      </c>
      <c r="E661" s="11" t="s">
        <v>4272</v>
      </c>
      <c r="F661" s="4" t="s">
        <v>1523</v>
      </c>
      <c r="H661" s="6"/>
    </row>
    <row r="662" spans="1:8" x14ac:dyDescent="0.2">
      <c r="A662" s="14" t="s">
        <v>2058</v>
      </c>
      <c r="B662" s="14" t="s">
        <v>3613</v>
      </c>
      <c r="C662" s="14" t="s">
        <v>2058</v>
      </c>
      <c r="D662" s="14" t="s">
        <v>4273</v>
      </c>
      <c r="E662" s="11" t="s">
        <v>4273</v>
      </c>
      <c r="F662" s="4" t="s">
        <v>1523</v>
      </c>
      <c r="H662" s="6"/>
    </row>
    <row r="663" spans="1:8" x14ac:dyDescent="0.2">
      <c r="A663" s="14" t="s">
        <v>2059</v>
      </c>
      <c r="B663" s="14" t="s">
        <v>3613</v>
      </c>
      <c r="C663" s="14" t="s">
        <v>2059</v>
      </c>
      <c r="D663" s="14" t="s">
        <v>4274</v>
      </c>
      <c r="E663" s="11" t="s">
        <v>4274</v>
      </c>
      <c r="F663" s="4" t="s">
        <v>1523</v>
      </c>
      <c r="H663" s="6"/>
    </row>
    <row r="664" spans="1:8" x14ac:dyDescent="0.2">
      <c r="A664" s="14" t="s">
        <v>2060</v>
      </c>
      <c r="B664" s="14" t="s">
        <v>3613</v>
      </c>
      <c r="C664" s="14" t="s">
        <v>2060</v>
      </c>
      <c r="D664" s="14" t="s">
        <v>4275</v>
      </c>
      <c r="E664" s="11" t="s">
        <v>4275</v>
      </c>
      <c r="F664" s="4" t="s">
        <v>1523</v>
      </c>
      <c r="H664" s="6"/>
    </row>
    <row r="665" spans="1:8" x14ac:dyDescent="0.2">
      <c r="A665" s="14" t="s">
        <v>2061</v>
      </c>
      <c r="B665" s="14" t="s">
        <v>3613</v>
      </c>
      <c r="C665" s="14" t="s">
        <v>2061</v>
      </c>
      <c r="D665" s="14" t="s">
        <v>4276</v>
      </c>
      <c r="E665" s="11" t="s">
        <v>4276</v>
      </c>
      <c r="F665" s="4" t="s">
        <v>1523</v>
      </c>
      <c r="H665" s="6"/>
    </row>
    <row r="666" spans="1:8" x14ac:dyDescent="0.2">
      <c r="A666" s="14" t="s">
        <v>2062</v>
      </c>
      <c r="B666" s="14" t="s">
        <v>3613</v>
      </c>
      <c r="C666" s="14" t="s">
        <v>2062</v>
      </c>
      <c r="D666" s="14" t="s">
        <v>4277</v>
      </c>
      <c r="E666" s="11" t="s">
        <v>4277</v>
      </c>
      <c r="F666" s="4" t="s">
        <v>1523</v>
      </c>
      <c r="H666" s="6"/>
    </row>
    <row r="667" spans="1:8" x14ac:dyDescent="0.2">
      <c r="A667" s="14" t="s">
        <v>2063</v>
      </c>
      <c r="B667" s="14" t="s">
        <v>3613</v>
      </c>
      <c r="C667" s="14" t="s">
        <v>2063</v>
      </c>
      <c r="D667" s="14" t="s">
        <v>4278</v>
      </c>
      <c r="E667" s="11" t="s">
        <v>4278</v>
      </c>
      <c r="F667" s="4" t="s">
        <v>1523</v>
      </c>
      <c r="H667" s="6"/>
    </row>
    <row r="668" spans="1:8" x14ac:dyDescent="0.2">
      <c r="A668" s="14" t="s">
        <v>2064</v>
      </c>
      <c r="B668" s="14" t="s">
        <v>3613</v>
      </c>
      <c r="C668" s="14" t="s">
        <v>2064</v>
      </c>
      <c r="D668" s="14" t="s">
        <v>4279</v>
      </c>
      <c r="E668" s="11" t="s">
        <v>4279</v>
      </c>
      <c r="F668" s="4" t="s">
        <v>1523</v>
      </c>
      <c r="H668" s="6"/>
    </row>
    <row r="669" spans="1:8" x14ac:dyDescent="0.2">
      <c r="A669" s="14" t="s">
        <v>2065</v>
      </c>
      <c r="B669" s="14" t="s">
        <v>3613</v>
      </c>
      <c r="C669" s="14" t="s">
        <v>2065</v>
      </c>
      <c r="D669" s="14" t="s">
        <v>4280</v>
      </c>
      <c r="E669" s="11" t="s">
        <v>4280</v>
      </c>
      <c r="F669" s="4" t="s">
        <v>1523</v>
      </c>
      <c r="H669" s="6"/>
    </row>
    <row r="670" spans="1:8" x14ac:dyDescent="0.2">
      <c r="A670" s="14" t="s">
        <v>2066</v>
      </c>
      <c r="B670" s="14" t="s">
        <v>3613</v>
      </c>
      <c r="C670" s="14" t="s">
        <v>2066</v>
      </c>
      <c r="D670" s="14" t="s">
        <v>4281</v>
      </c>
      <c r="E670" s="11" t="s">
        <v>4281</v>
      </c>
      <c r="F670" s="4" t="s">
        <v>1523</v>
      </c>
      <c r="H670" s="6"/>
    </row>
    <row r="671" spans="1:8" x14ac:dyDescent="0.2">
      <c r="A671" s="14" t="s">
        <v>2067</v>
      </c>
      <c r="B671" s="14" t="s">
        <v>3613</v>
      </c>
      <c r="C671" s="14" t="s">
        <v>2067</v>
      </c>
      <c r="D671" s="14" t="s">
        <v>4282</v>
      </c>
      <c r="E671" s="11" t="s">
        <v>4282</v>
      </c>
      <c r="F671" s="4" t="s">
        <v>1523</v>
      </c>
      <c r="H671" s="6"/>
    </row>
    <row r="672" spans="1:8" x14ac:dyDescent="0.2">
      <c r="A672" s="14" t="s">
        <v>2068</v>
      </c>
      <c r="B672" s="14" t="s">
        <v>3613</v>
      </c>
      <c r="C672" s="14" t="s">
        <v>2068</v>
      </c>
      <c r="D672" s="14" t="s">
        <v>4283</v>
      </c>
      <c r="E672" s="11" t="s">
        <v>4283</v>
      </c>
      <c r="F672" s="4" t="s">
        <v>1523</v>
      </c>
      <c r="H672" s="6"/>
    </row>
    <row r="673" spans="1:8" x14ac:dyDescent="0.2">
      <c r="A673" s="14" t="s">
        <v>2069</v>
      </c>
      <c r="B673" s="14" t="s">
        <v>3613</v>
      </c>
      <c r="C673" s="14" t="s">
        <v>2069</v>
      </c>
      <c r="D673" s="14" t="s">
        <v>4284</v>
      </c>
      <c r="E673" s="11" t="s">
        <v>4284</v>
      </c>
      <c r="F673" s="4" t="s">
        <v>1523</v>
      </c>
      <c r="H673" s="6"/>
    </row>
    <row r="674" spans="1:8" x14ac:dyDescent="0.2">
      <c r="A674" s="14" t="s">
        <v>2070</v>
      </c>
      <c r="B674" s="14" t="s">
        <v>3613</v>
      </c>
      <c r="C674" s="14" t="s">
        <v>2070</v>
      </c>
      <c r="D674" s="14" t="s">
        <v>4285</v>
      </c>
      <c r="E674" s="11" t="s">
        <v>4285</v>
      </c>
      <c r="F674" s="4" t="s">
        <v>1523</v>
      </c>
      <c r="H674" s="6"/>
    </row>
    <row r="675" spans="1:8" x14ac:dyDescent="0.2">
      <c r="A675" s="14" t="s">
        <v>2071</v>
      </c>
      <c r="B675" s="14" t="s">
        <v>3613</v>
      </c>
      <c r="C675" s="14" t="s">
        <v>2071</v>
      </c>
      <c r="D675" s="14" t="s">
        <v>4286</v>
      </c>
      <c r="E675" s="11" t="s">
        <v>4286</v>
      </c>
      <c r="F675" s="4" t="s">
        <v>1523</v>
      </c>
      <c r="H675" s="6"/>
    </row>
    <row r="676" spans="1:8" x14ac:dyDescent="0.2">
      <c r="A676" s="14" t="s">
        <v>2072</v>
      </c>
      <c r="B676" s="14" t="s">
        <v>3613</v>
      </c>
      <c r="C676" s="14" t="s">
        <v>2072</v>
      </c>
      <c r="D676" s="14" t="s">
        <v>4287</v>
      </c>
      <c r="E676" s="11" t="s">
        <v>4287</v>
      </c>
      <c r="F676" s="4" t="s">
        <v>1523</v>
      </c>
      <c r="H676" s="6"/>
    </row>
    <row r="677" spans="1:8" x14ac:dyDescent="0.2">
      <c r="A677" s="14" t="s">
        <v>2073</v>
      </c>
      <c r="B677" s="14" t="s">
        <v>3613</v>
      </c>
      <c r="C677" s="14" t="s">
        <v>2073</v>
      </c>
      <c r="D677" s="14" t="s">
        <v>4288</v>
      </c>
      <c r="E677" s="11" t="s">
        <v>4288</v>
      </c>
      <c r="F677" s="4" t="s">
        <v>1523</v>
      </c>
      <c r="H677" s="6"/>
    </row>
    <row r="678" spans="1:8" x14ac:dyDescent="0.2">
      <c r="A678" s="14" t="s">
        <v>2074</v>
      </c>
      <c r="B678" s="14" t="s">
        <v>3613</v>
      </c>
      <c r="C678" s="14" t="s">
        <v>2074</v>
      </c>
      <c r="D678" s="14" t="s">
        <v>4289</v>
      </c>
      <c r="E678" s="11" t="s">
        <v>4289</v>
      </c>
      <c r="F678" s="4" t="s">
        <v>1523</v>
      </c>
      <c r="H678" s="6"/>
    </row>
    <row r="679" spans="1:8" x14ac:dyDescent="0.2">
      <c r="A679" s="14" t="s">
        <v>2075</v>
      </c>
      <c r="B679" s="14" t="s">
        <v>3613</v>
      </c>
      <c r="C679" s="14" t="s">
        <v>2075</v>
      </c>
      <c r="D679" s="14" t="s">
        <v>4290</v>
      </c>
      <c r="E679" s="11" t="s">
        <v>4290</v>
      </c>
      <c r="F679" s="4" t="s">
        <v>1523</v>
      </c>
      <c r="H679" s="6"/>
    </row>
    <row r="680" spans="1:8" x14ac:dyDescent="0.2">
      <c r="A680" s="14" t="s">
        <v>2076</v>
      </c>
      <c r="B680" s="14" t="s">
        <v>3613</v>
      </c>
      <c r="C680" s="14" t="s">
        <v>2076</v>
      </c>
      <c r="D680" s="14" t="s">
        <v>4291</v>
      </c>
      <c r="E680" s="11" t="s">
        <v>4291</v>
      </c>
      <c r="F680" s="4" t="s">
        <v>1523</v>
      </c>
      <c r="H680" s="6"/>
    </row>
    <row r="681" spans="1:8" x14ac:dyDescent="0.2">
      <c r="A681" s="14" t="s">
        <v>2077</v>
      </c>
      <c r="B681" s="14" t="s">
        <v>3613</v>
      </c>
      <c r="C681" s="14" t="s">
        <v>2077</v>
      </c>
      <c r="D681" s="14" t="s">
        <v>4292</v>
      </c>
      <c r="E681" s="11" t="s">
        <v>4292</v>
      </c>
      <c r="F681" s="4" t="s">
        <v>1523</v>
      </c>
      <c r="H681" s="6"/>
    </row>
    <row r="682" spans="1:8" x14ac:dyDescent="0.2">
      <c r="A682" s="14" t="s">
        <v>2078</v>
      </c>
      <c r="B682" s="14" t="s">
        <v>3613</v>
      </c>
      <c r="C682" s="14" t="s">
        <v>2078</v>
      </c>
      <c r="D682" s="14" t="s">
        <v>4293</v>
      </c>
      <c r="E682" s="11" t="s">
        <v>4293</v>
      </c>
      <c r="F682" s="4" t="s">
        <v>1523</v>
      </c>
      <c r="H682" s="6"/>
    </row>
    <row r="683" spans="1:8" x14ac:dyDescent="0.2">
      <c r="A683" s="14" t="s">
        <v>2079</v>
      </c>
      <c r="B683" s="14" t="s">
        <v>3613</v>
      </c>
      <c r="C683" s="14" t="s">
        <v>2079</v>
      </c>
      <c r="D683" s="14" t="s">
        <v>4294</v>
      </c>
      <c r="E683" s="11" t="s">
        <v>4294</v>
      </c>
      <c r="F683" s="4" t="s">
        <v>1523</v>
      </c>
      <c r="H683" s="6"/>
    </row>
    <row r="684" spans="1:8" x14ac:dyDescent="0.2">
      <c r="A684" s="14" t="s">
        <v>2080</v>
      </c>
      <c r="B684" s="14" t="s">
        <v>3613</v>
      </c>
      <c r="C684" s="14" t="s">
        <v>2080</v>
      </c>
      <c r="D684" s="14" t="s">
        <v>4295</v>
      </c>
      <c r="E684" s="11" t="s">
        <v>4295</v>
      </c>
      <c r="F684" s="4" t="s">
        <v>1523</v>
      </c>
      <c r="H684" s="6"/>
    </row>
    <row r="685" spans="1:8" x14ac:dyDescent="0.2">
      <c r="A685" s="14" t="s">
        <v>2081</v>
      </c>
      <c r="B685" s="14" t="s">
        <v>3613</v>
      </c>
      <c r="C685" s="14" t="s">
        <v>2081</v>
      </c>
      <c r="D685" s="14" t="s">
        <v>4296</v>
      </c>
      <c r="E685" s="11" t="s">
        <v>4296</v>
      </c>
      <c r="F685" s="4" t="s">
        <v>1523</v>
      </c>
      <c r="H685" s="6"/>
    </row>
    <row r="686" spans="1:8" x14ac:dyDescent="0.2">
      <c r="A686" s="14" t="s">
        <v>2082</v>
      </c>
      <c r="B686" s="14" t="s">
        <v>3613</v>
      </c>
      <c r="C686" s="14" t="s">
        <v>2082</v>
      </c>
      <c r="D686" s="14" t="s">
        <v>4297</v>
      </c>
      <c r="E686" s="11" t="s">
        <v>4297</v>
      </c>
      <c r="F686" s="4" t="s">
        <v>1523</v>
      </c>
      <c r="H686" s="6"/>
    </row>
    <row r="687" spans="1:8" x14ac:dyDescent="0.2">
      <c r="A687" s="14" t="s">
        <v>2083</v>
      </c>
      <c r="B687" s="14" t="s">
        <v>3613</v>
      </c>
      <c r="C687" s="14" t="s">
        <v>2083</v>
      </c>
      <c r="D687" s="14" t="s">
        <v>4298</v>
      </c>
      <c r="E687" s="11" t="s">
        <v>4298</v>
      </c>
      <c r="F687" s="4" t="s">
        <v>1523</v>
      </c>
      <c r="H687" s="6"/>
    </row>
    <row r="688" spans="1:8" x14ac:dyDescent="0.2">
      <c r="A688" s="14" t="s">
        <v>2084</v>
      </c>
      <c r="B688" s="14" t="s">
        <v>3613</v>
      </c>
      <c r="C688" s="14" t="s">
        <v>2084</v>
      </c>
      <c r="D688" s="14" t="s">
        <v>4299</v>
      </c>
      <c r="E688" s="11" t="s">
        <v>4299</v>
      </c>
      <c r="F688" s="4" t="s">
        <v>1523</v>
      </c>
      <c r="H688" s="6"/>
    </row>
    <row r="689" spans="1:8" x14ac:dyDescent="0.2">
      <c r="A689" s="14" t="s">
        <v>2085</v>
      </c>
      <c r="B689" s="14" t="s">
        <v>3613</v>
      </c>
      <c r="C689" s="14" t="s">
        <v>2085</v>
      </c>
      <c r="D689" s="14" t="s">
        <v>4300</v>
      </c>
      <c r="E689" s="11" t="s">
        <v>4300</v>
      </c>
      <c r="F689" s="4" t="s">
        <v>1523</v>
      </c>
      <c r="H689" s="6"/>
    </row>
    <row r="690" spans="1:8" x14ac:dyDescent="0.2">
      <c r="A690" s="14" t="s">
        <v>2086</v>
      </c>
      <c r="B690" s="14" t="s">
        <v>3613</v>
      </c>
      <c r="C690" s="14" t="s">
        <v>2086</v>
      </c>
      <c r="D690" s="14" t="s">
        <v>4301</v>
      </c>
      <c r="E690" s="11" t="s">
        <v>4301</v>
      </c>
      <c r="F690" s="4" t="s">
        <v>1523</v>
      </c>
      <c r="H690" s="6"/>
    </row>
    <row r="691" spans="1:8" x14ac:dyDescent="0.2">
      <c r="A691" s="14" t="s">
        <v>2087</v>
      </c>
      <c r="B691" s="14" t="s">
        <v>3613</v>
      </c>
      <c r="C691" s="14" t="s">
        <v>2087</v>
      </c>
      <c r="D691" s="14" t="s">
        <v>4302</v>
      </c>
      <c r="E691" s="11" t="s">
        <v>4302</v>
      </c>
      <c r="F691" s="4" t="s">
        <v>1523</v>
      </c>
      <c r="H691" s="6"/>
    </row>
    <row r="692" spans="1:8" x14ac:dyDescent="0.2">
      <c r="A692" s="14" t="s">
        <v>2088</v>
      </c>
      <c r="B692" s="14" t="s">
        <v>3613</v>
      </c>
      <c r="C692" s="14" t="s">
        <v>2088</v>
      </c>
      <c r="D692" s="14" t="s">
        <v>4303</v>
      </c>
      <c r="E692" s="11" t="s">
        <v>4303</v>
      </c>
      <c r="F692" s="4" t="s">
        <v>1523</v>
      </c>
      <c r="H692" s="6"/>
    </row>
    <row r="693" spans="1:8" x14ac:dyDescent="0.2">
      <c r="A693" s="14" t="s">
        <v>2089</v>
      </c>
      <c r="B693" s="14" t="s">
        <v>3613</v>
      </c>
      <c r="C693" s="14" t="s">
        <v>2089</v>
      </c>
      <c r="D693" s="14" t="s">
        <v>4304</v>
      </c>
      <c r="E693" s="11" t="s">
        <v>4304</v>
      </c>
      <c r="F693" s="4" t="s">
        <v>1523</v>
      </c>
      <c r="H693" s="6"/>
    </row>
    <row r="694" spans="1:8" x14ac:dyDescent="0.2">
      <c r="A694" s="14" t="s">
        <v>2090</v>
      </c>
      <c r="B694" s="14" t="s">
        <v>3613</v>
      </c>
      <c r="C694" s="14" t="s">
        <v>2090</v>
      </c>
      <c r="D694" s="14" t="s">
        <v>4305</v>
      </c>
      <c r="E694" s="11" t="s">
        <v>4305</v>
      </c>
      <c r="F694" s="4" t="s">
        <v>1523</v>
      </c>
      <c r="H694" s="6"/>
    </row>
    <row r="695" spans="1:8" x14ac:dyDescent="0.2">
      <c r="A695" s="14" t="s">
        <v>2091</v>
      </c>
      <c r="B695" s="14" t="s">
        <v>3613</v>
      </c>
      <c r="C695" s="14" t="s">
        <v>2091</v>
      </c>
      <c r="D695" s="14" t="s">
        <v>4306</v>
      </c>
      <c r="E695" s="11" t="s">
        <v>4306</v>
      </c>
      <c r="F695" s="4" t="s">
        <v>1523</v>
      </c>
      <c r="H695" s="6"/>
    </row>
    <row r="696" spans="1:8" x14ac:dyDescent="0.2">
      <c r="A696" s="14" t="s">
        <v>2092</v>
      </c>
      <c r="B696" s="14" t="s">
        <v>3613</v>
      </c>
      <c r="C696" s="14" t="s">
        <v>2092</v>
      </c>
      <c r="D696" s="14" t="s">
        <v>4307</v>
      </c>
      <c r="E696" s="11" t="s">
        <v>4307</v>
      </c>
      <c r="F696" s="4" t="s">
        <v>1523</v>
      </c>
      <c r="H696" s="6"/>
    </row>
    <row r="697" spans="1:8" x14ac:dyDescent="0.2">
      <c r="A697" s="14" t="s">
        <v>2093</v>
      </c>
      <c r="B697" s="14" t="s">
        <v>3613</v>
      </c>
      <c r="C697" s="14" t="s">
        <v>2093</v>
      </c>
      <c r="D697" s="14" t="s">
        <v>4308</v>
      </c>
      <c r="E697" s="11" t="s">
        <v>4308</v>
      </c>
      <c r="F697" s="4" t="s">
        <v>1523</v>
      </c>
      <c r="H697" s="6"/>
    </row>
    <row r="698" spans="1:8" x14ac:dyDescent="0.2">
      <c r="A698" s="14" t="s">
        <v>2094</v>
      </c>
      <c r="B698" s="14" t="s">
        <v>3613</v>
      </c>
      <c r="C698" s="14" t="s">
        <v>2094</v>
      </c>
      <c r="D698" s="14" t="s">
        <v>4309</v>
      </c>
      <c r="E698" s="11" t="s">
        <v>4309</v>
      </c>
      <c r="F698" s="4" t="s">
        <v>1523</v>
      </c>
      <c r="H698" s="6"/>
    </row>
    <row r="699" spans="1:8" x14ac:dyDescent="0.2">
      <c r="A699" s="14" t="s">
        <v>2095</v>
      </c>
      <c r="B699" s="14" t="s">
        <v>3613</v>
      </c>
      <c r="C699" s="14" t="s">
        <v>2095</v>
      </c>
      <c r="D699" s="14" t="s">
        <v>4310</v>
      </c>
      <c r="E699" s="11" t="s">
        <v>4310</v>
      </c>
      <c r="F699" s="4" t="s">
        <v>1523</v>
      </c>
      <c r="H699" s="6"/>
    </row>
    <row r="700" spans="1:8" x14ac:dyDescent="0.2">
      <c r="A700" s="14" t="s">
        <v>2096</v>
      </c>
      <c r="B700" s="14" t="s">
        <v>3613</v>
      </c>
      <c r="C700" s="14" t="s">
        <v>2096</v>
      </c>
      <c r="D700" s="14" t="s">
        <v>4311</v>
      </c>
      <c r="E700" s="11" t="s">
        <v>4311</v>
      </c>
      <c r="F700" s="4" t="s">
        <v>1523</v>
      </c>
      <c r="H700" s="6"/>
    </row>
    <row r="701" spans="1:8" x14ac:dyDescent="0.2">
      <c r="A701" s="14" t="s">
        <v>2097</v>
      </c>
      <c r="B701" s="14" t="s">
        <v>3613</v>
      </c>
      <c r="C701" s="14" t="s">
        <v>2097</v>
      </c>
      <c r="D701" s="14" t="s">
        <v>4312</v>
      </c>
      <c r="E701" s="11" t="s">
        <v>4312</v>
      </c>
      <c r="F701" s="4" t="s">
        <v>1523</v>
      </c>
      <c r="H701" s="6"/>
    </row>
    <row r="702" spans="1:8" x14ac:dyDescent="0.2">
      <c r="A702" s="14" t="s">
        <v>2098</v>
      </c>
      <c r="B702" s="14" t="s">
        <v>3613</v>
      </c>
      <c r="C702" s="14" t="s">
        <v>2098</v>
      </c>
      <c r="D702" s="14" t="s">
        <v>4313</v>
      </c>
      <c r="E702" s="11" t="s">
        <v>4313</v>
      </c>
      <c r="F702" s="4" t="s">
        <v>1523</v>
      </c>
      <c r="H702" s="6"/>
    </row>
    <row r="703" spans="1:8" x14ac:dyDescent="0.2">
      <c r="A703" s="14" t="s">
        <v>2099</v>
      </c>
      <c r="B703" s="14" t="s">
        <v>3613</v>
      </c>
      <c r="C703" s="14" t="s">
        <v>2099</v>
      </c>
      <c r="D703" s="14" t="s">
        <v>4314</v>
      </c>
      <c r="E703" s="11" t="s">
        <v>4314</v>
      </c>
      <c r="F703" s="4" t="s">
        <v>1523</v>
      </c>
      <c r="H703" s="6"/>
    </row>
    <row r="704" spans="1:8" x14ac:dyDescent="0.2">
      <c r="A704" s="14" t="s">
        <v>2100</v>
      </c>
      <c r="B704" s="14" t="s">
        <v>3613</v>
      </c>
      <c r="C704" s="14" t="s">
        <v>2100</v>
      </c>
      <c r="D704" s="14" t="s">
        <v>4315</v>
      </c>
      <c r="E704" s="11" t="s">
        <v>4315</v>
      </c>
      <c r="F704" s="4" t="s">
        <v>1523</v>
      </c>
      <c r="H704" s="6"/>
    </row>
    <row r="705" spans="1:8" x14ac:dyDescent="0.2">
      <c r="A705" s="14" t="s">
        <v>2101</v>
      </c>
      <c r="B705" s="14" t="s">
        <v>3613</v>
      </c>
      <c r="C705" s="14" t="s">
        <v>2101</v>
      </c>
      <c r="D705" s="14" t="s">
        <v>4316</v>
      </c>
      <c r="E705" s="11" t="s">
        <v>4316</v>
      </c>
      <c r="F705" s="4" t="s">
        <v>1523</v>
      </c>
      <c r="H705" s="6"/>
    </row>
    <row r="706" spans="1:8" x14ac:dyDescent="0.2">
      <c r="A706" s="14" t="s">
        <v>2102</v>
      </c>
      <c r="B706" s="14" t="s">
        <v>3613</v>
      </c>
      <c r="C706" s="14" t="s">
        <v>2102</v>
      </c>
      <c r="D706" s="14" t="s">
        <v>4317</v>
      </c>
      <c r="E706" s="11" t="s">
        <v>4317</v>
      </c>
      <c r="F706" s="4" t="s">
        <v>1523</v>
      </c>
      <c r="H706" s="6"/>
    </row>
    <row r="707" spans="1:8" x14ac:dyDescent="0.2">
      <c r="A707" s="14" t="s">
        <v>2103</v>
      </c>
      <c r="B707" s="14" t="s">
        <v>3613</v>
      </c>
      <c r="C707" s="14" t="s">
        <v>2103</v>
      </c>
      <c r="D707" s="14" t="s">
        <v>4318</v>
      </c>
      <c r="E707" s="11" t="s">
        <v>4318</v>
      </c>
      <c r="F707" s="4" t="s">
        <v>1523</v>
      </c>
      <c r="H707" s="6"/>
    </row>
    <row r="708" spans="1:8" x14ac:dyDescent="0.2">
      <c r="A708" s="14" t="s">
        <v>2104</v>
      </c>
      <c r="B708" s="14" t="s">
        <v>3613</v>
      </c>
      <c r="C708" s="14" t="s">
        <v>2104</v>
      </c>
      <c r="D708" s="14" t="s">
        <v>4319</v>
      </c>
      <c r="E708" s="11" t="s">
        <v>4319</v>
      </c>
      <c r="F708" s="4" t="s">
        <v>1523</v>
      </c>
      <c r="H708" s="6"/>
    </row>
    <row r="709" spans="1:8" x14ac:dyDescent="0.2">
      <c r="A709" s="14" t="s">
        <v>2105</v>
      </c>
      <c r="B709" s="14" t="s">
        <v>3613</v>
      </c>
      <c r="C709" s="14" t="s">
        <v>2105</v>
      </c>
      <c r="D709" s="14" t="s">
        <v>4320</v>
      </c>
      <c r="E709" s="11" t="s">
        <v>4320</v>
      </c>
      <c r="F709" s="4" t="s">
        <v>1523</v>
      </c>
      <c r="H709" s="6"/>
    </row>
    <row r="710" spans="1:8" x14ac:dyDescent="0.2">
      <c r="A710" s="14" t="s">
        <v>2106</v>
      </c>
      <c r="B710" s="14" t="s">
        <v>3612</v>
      </c>
      <c r="C710" s="14" t="s">
        <v>4740</v>
      </c>
      <c r="D710" s="14" t="s">
        <v>4321</v>
      </c>
      <c r="E710" s="11" t="s">
        <v>4321</v>
      </c>
      <c r="F710" s="4" t="s">
        <v>1523</v>
      </c>
      <c r="H710" s="6"/>
    </row>
    <row r="711" spans="1:8" x14ac:dyDescent="0.2">
      <c r="A711" s="14" t="s">
        <v>2107</v>
      </c>
      <c r="B711" s="14" t="s">
        <v>3612</v>
      </c>
      <c r="C711" s="14" t="s">
        <v>4741</v>
      </c>
      <c r="D711" s="14" t="s">
        <v>4322</v>
      </c>
      <c r="E711" s="11" t="s">
        <v>4322</v>
      </c>
      <c r="F711" s="4" t="s">
        <v>1523</v>
      </c>
      <c r="H711" s="6"/>
    </row>
    <row r="712" spans="1:8" x14ac:dyDescent="0.2">
      <c r="A712" s="14" t="s">
        <v>2108</v>
      </c>
      <c r="B712" s="14" t="s">
        <v>3612</v>
      </c>
      <c r="C712" s="14" t="s">
        <v>4742</v>
      </c>
      <c r="D712" s="14" t="s">
        <v>4323</v>
      </c>
      <c r="E712" s="11" t="s">
        <v>4323</v>
      </c>
      <c r="F712" s="4" t="s">
        <v>1523</v>
      </c>
      <c r="H712" s="6"/>
    </row>
    <row r="713" spans="1:8" x14ac:dyDescent="0.2">
      <c r="A713" s="14" t="s">
        <v>2109</v>
      </c>
      <c r="B713" s="14" t="s">
        <v>3612</v>
      </c>
      <c r="C713" s="14" t="s">
        <v>4743</v>
      </c>
      <c r="D713" s="14" t="s">
        <v>4324</v>
      </c>
      <c r="E713" s="11" t="s">
        <v>4324</v>
      </c>
      <c r="F713" s="4" t="s">
        <v>1523</v>
      </c>
      <c r="H713" s="6"/>
    </row>
    <row r="714" spans="1:8" x14ac:dyDescent="0.2">
      <c r="A714" s="14" t="s">
        <v>2110</v>
      </c>
      <c r="B714" s="14" t="s">
        <v>3612</v>
      </c>
      <c r="C714" s="14" t="s">
        <v>4744</v>
      </c>
      <c r="D714" s="14" t="s">
        <v>4325</v>
      </c>
      <c r="E714" s="11" t="s">
        <v>4325</v>
      </c>
      <c r="F714" s="4" t="s">
        <v>1523</v>
      </c>
      <c r="H714" s="6"/>
    </row>
    <row r="715" spans="1:8" x14ac:dyDescent="0.2">
      <c r="A715" s="14" t="s">
        <v>2111</v>
      </c>
      <c r="B715" s="14" t="s">
        <v>3612</v>
      </c>
      <c r="C715" s="14" t="s">
        <v>4745</v>
      </c>
      <c r="D715" s="14" t="s">
        <v>4326</v>
      </c>
      <c r="E715" s="11" t="s">
        <v>4326</v>
      </c>
      <c r="F715" s="4" t="s">
        <v>1523</v>
      </c>
      <c r="H715" s="6"/>
    </row>
    <row r="716" spans="1:8" x14ac:dyDescent="0.2">
      <c r="A716" s="14" t="s">
        <v>2112</v>
      </c>
      <c r="B716" s="14" t="s">
        <v>3612</v>
      </c>
      <c r="C716" s="14" t="s">
        <v>3208</v>
      </c>
      <c r="D716" s="14" t="s">
        <v>4327</v>
      </c>
      <c r="E716" s="11" t="s">
        <v>3768</v>
      </c>
      <c r="F716" s="4" t="s">
        <v>1523</v>
      </c>
      <c r="H716" s="6"/>
    </row>
    <row r="717" spans="1:8" x14ac:dyDescent="0.2">
      <c r="A717" s="14" t="s">
        <v>2113</v>
      </c>
      <c r="B717" s="14" t="s">
        <v>3612</v>
      </c>
      <c r="C717" s="14" t="s">
        <v>3209</v>
      </c>
      <c r="D717" s="14" t="s">
        <v>4328</v>
      </c>
      <c r="E717" s="11" t="s">
        <v>3769</v>
      </c>
      <c r="F717" s="4" t="s">
        <v>1523</v>
      </c>
      <c r="H717" s="6"/>
    </row>
    <row r="718" spans="1:8" x14ac:dyDescent="0.2">
      <c r="A718" s="14" t="s">
        <v>2114</v>
      </c>
      <c r="B718" s="14" t="s">
        <v>3612</v>
      </c>
      <c r="C718" s="14" t="s">
        <v>3210</v>
      </c>
      <c r="D718" s="14" t="s">
        <v>4329</v>
      </c>
      <c r="E718" s="11" t="s">
        <v>3770</v>
      </c>
      <c r="F718" s="4" t="s">
        <v>1523</v>
      </c>
      <c r="H718" s="6"/>
    </row>
    <row r="719" spans="1:8" x14ac:dyDescent="0.2">
      <c r="A719" s="14" t="s">
        <v>2115</v>
      </c>
      <c r="B719" s="14" t="s">
        <v>3612</v>
      </c>
      <c r="C719" s="14" t="s">
        <v>3211</v>
      </c>
      <c r="D719" s="14" t="s">
        <v>4330</v>
      </c>
      <c r="E719" s="11" t="s">
        <v>3771</v>
      </c>
      <c r="F719" s="4" t="s">
        <v>1523</v>
      </c>
      <c r="H719" s="6"/>
    </row>
    <row r="720" spans="1:8" x14ac:dyDescent="0.2">
      <c r="A720" s="14" t="s">
        <v>2116</v>
      </c>
      <c r="B720" s="14" t="s">
        <v>3612</v>
      </c>
      <c r="C720" s="14" t="s">
        <v>3212</v>
      </c>
      <c r="D720" s="14" t="s">
        <v>4331</v>
      </c>
      <c r="E720" s="11" t="s">
        <v>3772</v>
      </c>
      <c r="F720" s="4" t="s">
        <v>1523</v>
      </c>
      <c r="H720" s="6"/>
    </row>
    <row r="721" spans="1:8" x14ac:dyDescent="0.2">
      <c r="A721" s="14" t="s">
        <v>2117</v>
      </c>
      <c r="B721" s="14" t="s">
        <v>3612</v>
      </c>
      <c r="C721" s="14" t="s">
        <v>3213</v>
      </c>
      <c r="D721" s="14" t="s">
        <v>4332</v>
      </c>
      <c r="E721" s="11" t="s">
        <v>3773</v>
      </c>
      <c r="F721" s="4" t="s">
        <v>1523</v>
      </c>
      <c r="H721" s="6"/>
    </row>
    <row r="722" spans="1:8" x14ac:dyDescent="0.2">
      <c r="A722" s="14" t="s">
        <v>2118</v>
      </c>
      <c r="B722" s="14" t="s">
        <v>3612</v>
      </c>
      <c r="C722" s="14" t="s">
        <v>3214</v>
      </c>
      <c r="D722" s="14" t="s">
        <v>4333</v>
      </c>
      <c r="E722" s="11" t="s">
        <v>3774</v>
      </c>
      <c r="F722" s="4" t="s">
        <v>1523</v>
      </c>
      <c r="H722" s="6"/>
    </row>
    <row r="723" spans="1:8" x14ac:dyDescent="0.2">
      <c r="A723" s="14" t="s">
        <v>2119</v>
      </c>
      <c r="B723" s="14" t="s">
        <v>3612</v>
      </c>
      <c r="C723" s="14" t="s">
        <v>3215</v>
      </c>
      <c r="D723" s="14" t="s">
        <v>4334</v>
      </c>
      <c r="E723" s="11" t="s">
        <v>3775</v>
      </c>
      <c r="F723" s="4" t="s">
        <v>1523</v>
      </c>
      <c r="H723" s="6"/>
    </row>
    <row r="724" spans="1:8" x14ac:dyDescent="0.2">
      <c r="A724" s="14" t="s">
        <v>2120</v>
      </c>
      <c r="B724" s="14" t="s">
        <v>3612</v>
      </c>
      <c r="C724" s="14" t="s">
        <v>3216</v>
      </c>
      <c r="D724" s="14" t="s">
        <v>4335</v>
      </c>
      <c r="E724" s="11" t="s">
        <v>3776</v>
      </c>
      <c r="F724" s="4" t="s">
        <v>1523</v>
      </c>
      <c r="H724" s="6"/>
    </row>
    <row r="725" spans="1:8" x14ac:dyDescent="0.2">
      <c r="A725" s="14" t="s">
        <v>2121</v>
      </c>
      <c r="B725" s="14" t="s">
        <v>3612</v>
      </c>
      <c r="C725" s="14" t="s">
        <v>3217</v>
      </c>
      <c r="D725" s="14" t="s">
        <v>4336</v>
      </c>
      <c r="E725" s="11" t="s">
        <v>3777</v>
      </c>
      <c r="F725" s="4" t="s">
        <v>1523</v>
      </c>
      <c r="H725" s="6"/>
    </row>
    <row r="726" spans="1:8" x14ac:dyDescent="0.2">
      <c r="A726" s="14" t="s">
        <v>2122</v>
      </c>
      <c r="B726" s="14" t="s">
        <v>3612</v>
      </c>
      <c r="C726" s="14" t="s">
        <v>3218</v>
      </c>
      <c r="D726" s="14" t="s">
        <v>4337</v>
      </c>
      <c r="E726" s="11" t="s">
        <v>3778</v>
      </c>
      <c r="F726" s="4" t="s">
        <v>1523</v>
      </c>
      <c r="H726" s="6"/>
    </row>
    <row r="727" spans="1:8" x14ac:dyDescent="0.2">
      <c r="A727" s="14" t="s">
        <v>2123</v>
      </c>
      <c r="B727" s="14" t="s">
        <v>3612</v>
      </c>
      <c r="C727" s="14" t="s">
        <v>3219</v>
      </c>
      <c r="D727" s="14" t="s">
        <v>4338</v>
      </c>
      <c r="E727" s="11" t="s">
        <v>3779</v>
      </c>
      <c r="F727" s="4" t="s">
        <v>1523</v>
      </c>
      <c r="H727" s="6"/>
    </row>
    <row r="728" spans="1:8" x14ac:dyDescent="0.2">
      <c r="A728" s="14" t="s">
        <v>2124</v>
      </c>
      <c r="B728" s="14" t="s">
        <v>3612</v>
      </c>
      <c r="C728" s="14" t="s">
        <v>3220</v>
      </c>
      <c r="D728" s="14" t="s">
        <v>4339</v>
      </c>
      <c r="E728" s="11" t="s">
        <v>3780</v>
      </c>
      <c r="F728" s="4" t="s">
        <v>1523</v>
      </c>
      <c r="H728" s="6"/>
    </row>
    <row r="729" spans="1:8" x14ac:dyDescent="0.2">
      <c r="A729" s="14" t="s">
        <v>2125</v>
      </c>
      <c r="B729" s="14" t="s">
        <v>3612</v>
      </c>
      <c r="C729" s="14" t="s">
        <v>3221</v>
      </c>
      <c r="D729" s="14" t="s">
        <v>4340</v>
      </c>
      <c r="E729" s="11" t="s">
        <v>3781</v>
      </c>
      <c r="F729" s="4" t="s">
        <v>1523</v>
      </c>
      <c r="H729" s="6"/>
    </row>
    <row r="730" spans="1:8" x14ac:dyDescent="0.2">
      <c r="A730" s="14" t="s">
        <v>2126</v>
      </c>
      <c r="B730" s="14" t="s">
        <v>3612</v>
      </c>
      <c r="C730" s="14" t="s">
        <v>3222</v>
      </c>
      <c r="D730" s="14" t="s">
        <v>4341</v>
      </c>
      <c r="E730" s="11" t="s">
        <v>3782</v>
      </c>
      <c r="F730" s="4" t="s">
        <v>1523</v>
      </c>
      <c r="H730" s="6"/>
    </row>
    <row r="731" spans="1:8" x14ac:dyDescent="0.2">
      <c r="A731" s="14" t="s">
        <v>2127</v>
      </c>
      <c r="B731" s="14" t="s">
        <v>3612</v>
      </c>
      <c r="C731" s="14" t="s">
        <v>3223</v>
      </c>
      <c r="D731" s="14" t="s">
        <v>4342</v>
      </c>
      <c r="E731" s="11" t="s">
        <v>3783</v>
      </c>
      <c r="F731" s="4" t="s">
        <v>1523</v>
      </c>
      <c r="H731" s="6"/>
    </row>
    <row r="732" spans="1:8" x14ac:dyDescent="0.2">
      <c r="A732" s="14" t="s">
        <v>2128</v>
      </c>
      <c r="B732" s="14" t="s">
        <v>3612</v>
      </c>
      <c r="C732" s="14" t="s">
        <v>3224</v>
      </c>
      <c r="D732" s="14" t="s">
        <v>4343</v>
      </c>
      <c r="E732" s="11" t="s">
        <v>3784</v>
      </c>
      <c r="F732" s="4" t="s">
        <v>1523</v>
      </c>
      <c r="H732" s="6"/>
    </row>
    <row r="733" spans="1:8" x14ac:dyDescent="0.2">
      <c r="A733" s="14" t="s">
        <v>2129</v>
      </c>
      <c r="B733" s="14" t="s">
        <v>3612</v>
      </c>
      <c r="C733" s="14" t="s">
        <v>3225</v>
      </c>
      <c r="D733" s="14" t="s">
        <v>4344</v>
      </c>
      <c r="E733" s="11" t="s">
        <v>3785</v>
      </c>
      <c r="F733" s="4" t="s">
        <v>1523</v>
      </c>
      <c r="H733" s="6"/>
    </row>
    <row r="734" spans="1:8" x14ac:dyDescent="0.2">
      <c r="A734" s="14" t="s">
        <v>2130</v>
      </c>
      <c r="B734" s="14" t="s">
        <v>4746</v>
      </c>
      <c r="C734" s="14" t="s">
        <v>2853</v>
      </c>
      <c r="D734" s="14" t="s">
        <v>4345</v>
      </c>
      <c r="E734" s="11"/>
      <c r="F734" s="4" t="s">
        <v>1523</v>
      </c>
      <c r="H734" s="6"/>
    </row>
    <row r="735" spans="1:8" x14ac:dyDescent="0.2">
      <c r="A735" s="14" t="s">
        <v>2131</v>
      </c>
      <c r="B735" s="14" t="s">
        <v>4746</v>
      </c>
      <c r="C735" s="14" t="s">
        <v>2853</v>
      </c>
      <c r="D735" s="14" t="s">
        <v>4346</v>
      </c>
      <c r="E735" s="11"/>
      <c r="F735" s="4" t="s">
        <v>1523</v>
      </c>
      <c r="H735" s="6"/>
    </row>
    <row r="736" spans="1:8" x14ac:dyDescent="0.2">
      <c r="A736" s="14" t="s">
        <v>2132</v>
      </c>
      <c r="B736" s="14" t="s">
        <v>4746</v>
      </c>
      <c r="C736" s="14" t="s">
        <v>2853</v>
      </c>
      <c r="D736" s="14" t="s">
        <v>4347</v>
      </c>
      <c r="E736" s="11"/>
      <c r="F736" s="4" t="s">
        <v>1523</v>
      </c>
      <c r="H736" s="6"/>
    </row>
    <row r="737" spans="1:8" x14ac:dyDescent="0.2">
      <c r="A737" s="14" t="s">
        <v>2133</v>
      </c>
      <c r="B737" s="14" t="s">
        <v>4746</v>
      </c>
      <c r="C737" s="14" t="s">
        <v>2853</v>
      </c>
      <c r="D737" s="14" t="s">
        <v>4348</v>
      </c>
      <c r="E737" s="11"/>
      <c r="F737" s="4" t="s">
        <v>1523</v>
      </c>
      <c r="H737" s="6"/>
    </row>
    <row r="738" spans="1:8" x14ac:dyDescent="0.2">
      <c r="A738" s="14" t="s">
        <v>2134</v>
      </c>
      <c r="B738" s="14" t="s">
        <v>3612</v>
      </c>
      <c r="C738" s="14" t="s">
        <v>3226</v>
      </c>
      <c r="D738" s="14" t="s">
        <v>4349</v>
      </c>
      <c r="E738" s="11" t="s">
        <v>4349</v>
      </c>
      <c r="F738" s="4" t="s">
        <v>1523</v>
      </c>
      <c r="H738" s="6"/>
    </row>
    <row r="739" spans="1:8" x14ac:dyDescent="0.2">
      <c r="A739" s="14" t="s">
        <v>2135</v>
      </c>
      <c r="B739" s="14" t="s">
        <v>4746</v>
      </c>
      <c r="C739" s="14" t="s">
        <v>2853</v>
      </c>
      <c r="D739" s="14" t="s">
        <v>4350</v>
      </c>
      <c r="E739" s="11"/>
      <c r="F739" s="4" t="s">
        <v>1523</v>
      </c>
      <c r="H739" s="6"/>
    </row>
    <row r="740" spans="1:8" x14ac:dyDescent="0.2">
      <c r="A740" s="14" t="s">
        <v>2136</v>
      </c>
      <c r="B740" s="14" t="s">
        <v>4746</v>
      </c>
      <c r="C740" s="14" t="s">
        <v>2853</v>
      </c>
      <c r="D740" s="14" t="s">
        <v>4351</v>
      </c>
      <c r="E740" s="11"/>
      <c r="F740" s="4" t="s">
        <v>1523</v>
      </c>
      <c r="H740" s="6"/>
    </row>
    <row r="741" spans="1:8" x14ac:dyDescent="0.2">
      <c r="A741" s="14" t="s">
        <v>2137</v>
      </c>
      <c r="B741" s="14" t="s">
        <v>4746</v>
      </c>
      <c r="C741" s="14" t="s">
        <v>2853</v>
      </c>
      <c r="D741" s="14" t="s">
        <v>4352</v>
      </c>
      <c r="E741" s="11"/>
      <c r="F741" s="4" t="s">
        <v>1523</v>
      </c>
      <c r="H741" s="6"/>
    </row>
    <row r="742" spans="1:8" x14ac:dyDescent="0.2">
      <c r="A742" s="14" t="s">
        <v>2138</v>
      </c>
      <c r="B742" s="14" t="s">
        <v>4746</v>
      </c>
      <c r="C742" s="14" t="s">
        <v>2853</v>
      </c>
      <c r="D742" s="14" t="s">
        <v>4353</v>
      </c>
      <c r="E742" s="11"/>
      <c r="F742" s="4" t="s">
        <v>1523</v>
      </c>
      <c r="H742" s="6"/>
    </row>
    <row r="743" spans="1:8" x14ac:dyDescent="0.2">
      <c r="A743" s="14" t="s">
        <v>2139</v>
      </c>
      <c r="B743" s="14" t="s">
        <v>3612</v>
      </c>
      <c r="C743" s="14" t="s">
        <v>3227</v>
      </c>
      <c r="D743" s="14" t="s">
        <v>4354</v>
      </c>
      <c r="E743" s="11" t="s">
        <v>4354</v>
      </c>
      <c r="F743" s="4" t="s">
        <v>1523</v>
      </c>
      <c r="H743" s="6"/>
    </row>
    <row r="744" spans="1:8" x14ac:dyDescent="0.2">
      <c r="A744" s="14" t="s">
        <v>2140</v>
      </c>
      <c r="B744" s="14" t="s">
        <v>3612</v>
      </c>
      <c r="C744" s="14" t="s">
        <v>3228</v>
      </c>
      <c r="D744" s="14" t="s">
        <v>4355</v>
      </c>
      <c r="E744" s="11" t="s">
        <v>3786</v>
      </c>
      <c r="F744" s="4" t="s">
        <v>1523</v>
      </c>
      <c r="H744" s="6"/>
    </row>
    <row r="745" spans="1:8" x14ac:dyDescent="0.2">
      <c r="A745" s="14" t="s">
        <v>2141</v>
      </c>
      <c r="B745" s="14" t="s">
        <v>3612</v>
      </c>
      <c r="C745" s="14" t="s">
        <v>3229</v>
      </c>
      <c r="D745" s="14" t="s">
        <v>4356</v>
      </c>
      <c r="E745" s="11" t="s">
        <v>3787</v>
      </c>
      <c r="F745" s="4" t="s">
        <v>1523</v>
      </c>
      <c r="H745" s="6"/>
    </row>
    <row r="746" spans="1:8" x14ac:dyDescent="0.2">
      <c r="A746" s="14" t="s">
        <v>2142</v>
      </c>
      <c r="B746" s="14" t="s">
        <v>4746</v>
      </c>
      <c r="C746" s="14" t="s">
        <v>2853</v>
      </c>
      <c r="D746" s="14" t="s">
        <v>4357</v>
      </c>
      <c r="E746" s="11"/>
      <c r="F746" s="4" t="s">
        <v>1523</v>
      </c>
      <c r="H746" s="6"/>
    </row>
    <row r="747" spans="1:8" x14ac:dyDescent="0.2">
      <c r="A747" s="14" t="s">
        <v>2143</v>
      </c>
      <c r="B747" s="14" t="s">
        <v>4746</v>
      </c>
      <c r="C747" s="14" t="s">
        <v>2853</v>
      </c>
      <c r="D747" s="14" t="s">
        <v>4358</v>
      </c>
      <c r="E747" s="11"/>
      <c r="F747" s="4" t="s">
        <v>1523</v>
      </c>
      <c r="H747" s="6"/>
    </row>
    <row r="748" spans="1:8" x14ac:dyDescent="0.2">
      <c r="A748" s="14" t="s">
        <v>2144</v>
      </c>
      <c r="B748" s="14" t="s">
        <v>4746</v>
      </c>
      <c r="C748" s="14" t="s">
        <v>2853</v>
      </c>
      <c r="D748" s="14" t="s">
        <v>4359</v>
      </c>
      <c r="E748" s="11"/>
      <c r="F748" s="4" t="s">
        <v>1523</v>
      </c>
      <c r="H748" s="6"/>
    </row>
    <row r="749" spans="1:8" x14ac:dyDescent="0.2">
      <c r="A749" s="14" t="s">
        <v>2145</v>
      </c>
      <c r="B749" s="14" t="s">
        <v>4746</v>
      </c>
      <c r="C749" s="14" t="s">
        <v>2853</v>
      </c>
      <c r="D749" s="14" t="s">
        <v>4360</v>
      </c>
      <c r="E749" s="11"/>
      <c r="F749" s="4" t="s">
        <v>1523</v>
      </c>
      <c r="H749" s="6"/>
    </row>
    <row r="750" spans="1:8" x14ac:dyDescent="0.2">
      <c r="A750" s="14" t="s">
        <v>2146</v>
      </c>
      <c r="B750" s="14" t="s">
        <v>3612</v>
      </c>
      <c r="C750" s="14" t="s">
        <v>3230</v>
      </c>
      <c r="D750" s="14" t="s">
        <v>4361</v>
      </c>
      <c r="E750" s="11" t="s">
        <v>4361</v>
      </c>
      <c r="F750" s="4" t="s">
        <v>1523</v>
      </c>
      <c r="H750" s="6"/>
    </row>
    <row r="751" spans="1:8" x14ac:dyDescent="0.2">
      <c r="A751" s="14" t="s">
        <v>2147</v>
      </c>
      <c r="B751" s="14" t="s">
        <v>4746</v>
      </c>
      <c r="C751" s="14" t="s">
        <v>2853</v>
      </c>
      <c r="D751" s="14" t="s">
        <v>4362</v>
      </c>
      <c r="E751" s="11"/>
      <c r="F751" s="4" t="s">
        <v>1523</v>
      </c>
      <c r="H751" s="6"/>
    </row>
    <row r="752" spans="1:8" x14ac:dyDescent="0.2">
      <c r="A752" s="14" t="s">
        <v>2148</v>
      </c>
      <c r="B752" s="14" t="s">
        <v>4746</v>
      </c>
      <c r="C752" s="14" t="s">
        <v>2853</v>
      </c>
      <c r="D752" s="14" t="s">
        <v>4363</v>
      </c>
      <c r="E752" s="11"/>
      <c r="F752" s="4" t="s">
        <v>1523</v>
      </c>
      <c r="H752" s="6"/>
    </row>
    <row r="753" spans="1:8" x14ac:dyDescent="0.2">
      <c r="A753" s="14" t="s">
        <v>2149</v>
      </c>
      <c r="B753" s="14" t="s">
        <v>4746</v>
      </c>
      <c r="C753" s="14" t="s">
        <v>2853</v>
      </c>
      <c r="D753" s="14" t="s">
        <v>4364</v>
      </c>
      <c r="E753" s="11"/>
      <c r="F753" s="4" t="s">
        <v>1523</v>
      </c>
      <c r="H753" s="6"/>
    </row>
    <row r="754" spans="1:8" x14ac:dyDescent="0.2">
      <c r="A754" s="14" t="s">
        <v>2150</v>
      </c>
      <c r="B754" s="14" t="s">
        <v>4746</v>
      </c>
      <c r="C754" s="14" t="s">
        <v>2853</v>
      </c>
      <c r="D754" s="14" t="s">
        <v>4365</v>
      </c>
      <c r="E754" s="11"/>
      <c r="F754" s="4" t="s">
        <v>1523</v>
      </c>
      <c r="H754" s="6"/>
    </row>
    <row r="755" spans="1:8" x14ac:dyDescent="0.2">
      <c r="A755" s="14" t="s">
        <v>2151</v>
      </c>
      <c r="B755" s="14" t="s">
        <v>3612</v>
      </c>
      <c r="C755" s="14" t="s">
        <v>3231</v>
      </c>
      <c r="D755" s="14" t="s">
        <v>4366</v>
      </c>
      <c r="E755" s="11" t="s">
        <v>4366</v>
      </c>
      <c r="F755" s="4" t="s">
        <v>1523</v>
      </c>
      <c r="H755" s="6"/>
    </row>
    <row r="756" spans="1:8" x14ac:dyDescent="0.2">
      <c r="A756" s="14" t="s">
        <v>2152</v>
      </c>
      <c r="B756" s="14" t="s">
        <v>3612</v>
      </c>
      <c r="C756" s="14" t="s">
        <v>3232</v>
      </c>
      <c r="D756" s="14" t="s">
        <v>4367</v>
      </c>
      <c r="E756" s="11" t="s">
        <v>3788</v>
      </c>
      <c r="F756" s="4" t="s">
        <v>1523</v>
      </c>
      <c r="H756" s="6"/>
    </row>
    <row r="757" spans="1:8" x14ac:dyDescent="0.2">
      <c r="A757" s="14" t="s">
        <v>2153</v>
      </c>
      <c r="B757" s="14" t="s">
        <v>3612</v>
      </c>
      <c r="C757" s="14" t="s">
        <v>3233</v>
      </c>
      <c r="D757" s="14" t="s">
        <v>4368</v>
      </c>
      <c r="E757" s="11" t="s">
        <v>3789</v>
      </c>
      <c r="F757" s="4" t="s">
        <v>1523</v>
      </c>
      <c r="H757" s="6"/>
    </row>
    <row r="758" spans="1:8" x14ac:dyDescent="0.2">
      <c r="A758" s="14" t="s">
        <v>2154</v>
      </c>
      <c r="B758" s="14" t="s">
        <v>4746</v>
      </c>
      <c r="C758" s="14" t="s">
        <v>2853</v>
      </c>
      <c r="D758" s="14" t="s">
        <v>4369</v>
      </c>
      <c r="E758" s="11"/>
      <c r="F758" s="4" t="s">
        <v>1523</v>
      </c>
      <c r="H758" s="6"/>
    </row>
    <row r="759" spans="1:8" x14ac:dyDescent="0.2">
      <c r="A759" s="14" t="s">
        <v>2155</v>
      </c>
      <c r="B759" s="14" t="s">
        <v>4746</v>
      </c>
      <c r="C759" s="14" t="s">
        <v>2853</v>
      </c>
      <c r="D759" s="14" t="s">
        <v>4370</v>
      </c>
      <c r="E759" s="11"/>
      <c r="F759" s="4" t="s">
        <v>1523</v>
      </c>
      <c r="H759" s="6"/>
    </row>
    <row r="760" spans="1:8" x14ac:dyDescent="0.2">
      <c r="A760" s="14" t="s">
        <v>2156</v>
      </c>
      <c r="B760" s="14" t="s">
        <v>4746</v>
      </c>
      <c r="C760" s="14" t="s">
        <v>2853</v>
      </c>
      <c r="D760" s="14" t="s">
        <v>4371</v>
      </c>
      <c r="E760" s="11"/>
      <c r="F760" s="4" t="s">
        <v>1523</v>
      </c>
      <c r="H760" s="6"/>
    </row>
    <row r="761" spans="1:8" x14ac:dyDescent="0.2">
      <c r="A761" s="14" t="s">
        <v>2157</v>
      </c>
      <c r="B761" s="14" t="s">
        <v>3612</v>
      </c>
      <c r="C761" s="14" t="s">
        <v>3234</v>
      </c>
      <c r="D761" s="14" t="s">
        <v>4372</v>
      </c>
      <c r="E761" s="11" t="s">
        <v>4372</v>
      </c>
      <c r="F761" s="4" t="s">
        <v>1523</v>
      </c>
      <c r="H761" s="6"/>
    </row>
    <row r="762" spans="1:8" x14ac:dyDescent="0.2">
      <c r="A762" s="14" t="s">
        <v>2158</v>
      </c>
      <c r="B762" s="14" t="s">
        <v>4746</v>
      </c>
      <c r="C762" s="14" t="s">
        <v>2853</v>
      </c>
      <c r="D762" s="14" t="s">
        <v>4373</v>
      </c>
      <c r="E762" s="11"/>
      <c r="F762" s="4" t="s">
        <v>1523</v>
      </c>
      <c r="H762" s="6"/>
    </row>
    <row r="763" spans="1:8" x14ac:dyDescent="0.2">
      <c r="A763" s="14" t="s">
        <v>2159</v>
      </c>
      <c r="B763" s="14" t="s">
        <v>4746</v>
      </c>
      <c r="C763" s="14" t="s">
        <v>2853</v>
      </c>
      <c r="D763" s="14" t="s">
        <v>4374</v>
      </c>
      <c r="E763" s="11"/>
      <c r="F763" s="4" t="s">
        <v>1523</v>
      </c>
      <c r="H763" s="6"/>
    </row>
    <row r="764" spans="1:8" x14ac:dyDescent="0.2">
      <c r="A764" s="14" t="s">
        <v>2160</v>
      </c>
      <c r="B764" s="14" t="s">
        <v>4746</v>
      </c>
      <c r="C764" s="14" t="s">
        <v>2853</v>
      </c>
      <c r="D764" s="14" t="s">
        <v>4375</v>
      </c>
      <c r="E764" s="11"/>
      <c r="F764" s="4" t="s">
        <v>1523</v>
      </c>
      <c r="H764" s="6"/>
    </row>
    <row r="765" spans="1:8" x14ac:dyDescent="0.2">
      <c r="A765" s="14" t="s">
        <v>2161</v>
      </c>
      <c r="B765" s="14" t="s">
        <v>4746</v>
      </c>
      <c r="C765" s="14" t="s">
        <v>2853</v>
      </c>
      <c r="D765" s="14" t="s">
        <v>4376</v>
      </c>
      <c r="E765" s="11"/>
      <c r="F765" s="4" t="s">
        <v>1523</v>
      </c>
      <c r="H765" s="6"/>
    </row>
    <row r="766" spans="1:8" x14ac:dyDescent="0.2">
      <c r="A766" s="14" t="s">
        <v>2162</v>
      </c>
      <c r="B766" s="14" t="s">
        <v>3612</v>
      </c>
      <c r="C766" s="14" t="s">
        <v>3235</v>
      </c>
      <c r="D766" s="14" t="s">
        <v>4377</v>
      </c>
      <c r="E766" s="11" t="s">
        <v>4377</v>
      </c>
      <c r="F766" s="4" t="s">
        <v>1523</v>
      </c>
      <c r="H766" s="6"/>
    </row>
    <row r="767" spans="1:8" x14ac:dyDescent="0.2">
      <c r="A767" s="14" t="s">
        <v>2163</v>
      </c>
      <c r="B767" s="14" t="s">
        <v>3612</v>
      </c>
      <c r="C767" s="14" t="s">
        <v>3236</v>
      </c>
      <c r="D767" s="14" t="s">
        <v>4378</v>
      </c>
      <c r="E767" s="11" t="s">
        <v>3790</v>
      </c>
      <c r="F767" s="4" t="s">
        <v>1523</v>
      </c>
      <c r="H767" s="6"/>
    </row>
    <row r="768" spans="1:8" x14ac:dyDescent="0.2">
      <c r="A768" s="14" t="s">
        <v>2164</v>
      </c>
      <c r="B768" s="14" t="s">
        <v>4746</v>
      </c>
      <c r="C768" s="14" t="s">
        <v>2853</v>
      </c>
      <c r="D768" s="14" t="s">
        <v>4379</v>
      </c>
      <c r="E768" s="11"/>
      <c r="F768" s="4" t="s">
        <v>1523</v>
      </c>
      <c r="H768" s="6"/>
    </row>
    <row r="769" spans="1:8" x14ac:dyDescent="0.2">
      <c r="A769" s="14" t="s">
        <v>2165</v>
      </c>
      <c r="B769" s="14" t="s">
        <v>4746</v>
      </c>
      <c r="C769" s="14" t="s">
        <v>2853</v>
      </c>
      <c r="D769" s="14" t="s">
        <v>4380</v>
      </c>
      <c r="E769" s="11"/>
      <c r="F769" s="4" t="s">
        <v>1523</v>
      </c>
      <c r="H769" s="6"/>
    </row>
    <row r="770" spans="1:8" x14ac:dyDescent="0.2">
      <c r="A770" s="14" t="s">
        <v>2166</v>
      </c>
      <c r="B770" s="14" t="s">
        <v>4746</v>
      </c>
      <c r="C770" s="14" t="s">
        <v>2853</v>
      </c>
      <c r="D770" s="14" t="s">
        <v>4381</v>
      </c>
      <c r="E770" s="11"/>
      <c r="F770" s="4" t="s">
        <v>1523</v>
      </c>
      <c r="H770" s="6"/>
    </row>
    <row r="771" spans="1:8" x14ac:dyDescent="0.2">
      <c r="A771" s="14" t="s">
        <v>2167</v>
      </c>
      <c r="B771" s="14" t="s">
        <v>4746</v>
      </c>
      <c r="C771" s="14" t="s">
        <v>2853</v>
      </c>
      <c r="D771" s="14" t="s">
        <v>4382</v>
      </c>
      <c r="E771" s="11"/>
      <c r="F771" s="4" t="s">
        <v>1523</v>
      </c>
      <c r="H771" s="6"/>
    </row>
    <row r="772" spans="1:8" x14ac:dyDescent="0.2">
      <c r="A772" s="14" t="s">
        <v>2168</v>
      </c>
      <c r="B772" s="14" t="s">
        <v>3612</v>
      </c>
      <c r="C772" s="14" t="s">
        <v>3237</v>
      </c>
      <c r="D772" s="14" t="s">
        <v>4383</v>
      </c>
      <c r="E772" s="11" t="s">
        <v>4383</v>
      </c>
      <c r="F772" s="4" t="s">
        <v>1523</v>
      </c>
      <c r="H772" s="6"/>
    </row>
    <row r="773" spans="1:8" x14ac:dyDescent="0.2">
      <c r="A773" s="14" t="s">
        <v>2169</v>
      </c>
      <c r="B773" s="14" t="s">
        <v>3612</v>
      </c>
      <c r="C773" s="14" t="s">
        <v>3238</v>
      </c>
      <c r="D773" s="14" t="s">
        <v>4384</v>
      </c>
      <c r="E773" s="11" t="s">
        <v>3791</v>
      </c>
      <c r="F773" s="4" t="s">
        <v>1523</v>
      </c>
      <c r="H773" s="6"/>
    </row>
    <row r="774" spans="1:8" x14ac:dyDescent="0.2">
      <c r="A774" s="14" t="s">
        <v>2170</v>
      </c>
      <c r="B774" s="14" t="s">
        <v>4746</v>
      </c>
      <c r="C774" s="14" t="s">
        <v>2853</v>
      </c>
      <c r="D774" s="14" t="s">
        <v>4385</v>
      </c>
      <c r="E774" s="11"/>
      <c r="F774" s="4" t="s">
        <v>1523</v>
      </c>
      <c r="H774" s="6"/>
    </row>
    <row r="775" spans="1:8" x14ac:dyDescent="0.2">
      <c r="A775" s="14" t="s">
        <v>2171</v>
      </c>
      <c r="B775" s="14" t="s">
        <v>4746</v>
      </c>
      <c r="C775" s="14" t="s">
        <v>2853</v>
      </c>
      <c r="D775" s="14" t="s">
        <v>4386</v>
      </c>
      <c r="E775" s="11"/>
      <c r="F775" s="4" t="s">
        <v>1523</v>
      </c>
      <c r="H775" s="6"/>
    </row>
    <row r="776" spans="1:8" x14ac:dyDescent="0.2">
      <c r="A776" s="14" t="s">
        <v>2172</v>
      </c>
      <c r="B776" s="14" t="s">
        <v>4746</v>
      </c>
      <c r="C776" s="14" t="s">
        <v>2853</v>
      </c>
      <c r="D776" s="14" t="s">
        <v>4387</v>
      </c>
      <c r="E776" s="11"/>
      <c r="F776" s="4" t="s">
        <v>1523</v>
      </c>
      <c r="H776" s="6"/>
    </row>
    <row r="777" spans="1:8" x14ac:dyDescent="0.2">
      <c r="A777" s="14" t="s">
        <v>2173</v>
      </c>
      <c r="B777" s="14" t="s">
        <v>3612</v>
      </c>
      <c r="C777" s="14" t="s">
        <v>3239</v>
      </c>
      <c r="D777" s="14" t="s">
        <v>4388</v>
      </c>
      <c r="E777" s="11" t="s">
        <v>4388</v>
      </c>
      <c r="F777" s="4" t="s">
        <v>1523</v>
      </c>
      <c r="H777" s="6"/>
    </row>
    <row r="778" spans="1:8" x14ac:dyDescent="0.2">
      <c r="A778" s="14" t="s">
        <v>2174</v>
      </c>
      <c r="B778" s="14" t="s">
        <v>3612</v>
      </c>
      <c r="C778" s="14" t="s">
        <v>3240</v>
      </c>
      <c r="D778" s="14" t="s">
        <v>4389</v>
      </c>
      <c r="E778" s="11" t="s">
        <v>3792</v>
      </c>
      <c r="F778" s="4" t="s">
        <v>1523</v>
      </c>
      <c r="H778" s="6"/>
    </row>
    <row r="779" spans="1:8" x14ac:dyDescent="0.2">
      <c r="A779" s="14" t="s">
        <v>2175</v>
      </c>
      <c r="B779" s="14" t="s">
        <v>3612</v>
      </c>
      <c r="C779" s="14" t="s">
        <v>3241</v>
      </c>
      <c r="D779" s="14" t="s">
        <v>4390</v>
      </c>
      <c r="E779" s="11" t="s">
        <v>3793</v>
      </c>
      <c r="F779" s="4" t="s">
        <v>1523</v>
      </c>
      <c r="H779" s="6"/>
    </row>
    <row r="780" spans="1:8" x14ac:dyDescent="0.2">
      <c r="A780" s="14" t="s">
        <v>2176</v>
      </c>
      <c r="B780" s="14" t="s">
        <v>3612</v>
      </c>
      <c r="C780" s="14" t="s">
        <v>3242</v>
      </c>
      <c r="D780" s="14" t="s">
        <v>4391</v>
      </c>
      <c r="E780" s="11" t="s">
        <v>3794</v>
      </c>
      <c r="F780" s="4" t="s">
        <v>1523</v>
      </c>
      <c r="H780" s="6"/>
    </row>
    <row r="781" spans="1:8" x14ac:dyDescent="0.2">
      <c r="A781" s="14" t="s">
        <v>2177</v>
      </c>
      <c r="B781" s="14" t="s">
        <v>3612</v>
      </c>
      <c r="C781" s="14" t="s">
        <v>3243</v>
      </c>
      <c r="D781" s="14" t="s">
        <v>4392</v>
      </c>
      <c r="E781" s="11" t="s">
        <v>3795</v>
      </c>
      <c r="F781" s="4" t="s">
        <v>1523</v>
      </c>
      <c r="H781" s="6"/>
    </row>
    <row r="782" spans="1:8" x14ac:dyDescent="0.2">
      <c r="A782" s="14" t="s">
        <v>2178</v>
      </c>
      <c r="B782" s="14" t="s">
        <v>3612</v>
      </c>
      <c r="C782" s="14" t="s">
        <v>3244</v>
      </c>
      <c r="D782" s="14" t="s">
        <v>4393</v>
      </c>
      <c r="E782" s="11" t="s">
        <v>3796</v>
      </c>
      <c r="F782" s="4" t="s">
        <v>1523</v>
      </c>
      <c r="H782" s="6"/>
    </row>
    <row r="783" spans="1:8" x14ac:dyDescent="0.2">
      <c r="A783" s="14" t="s">
        <v>2179</v>
      </c>
      <c r="B783" s="14" t="s">
        <v>3612</v>
      </c>
      <c r="C783" s="14" t="s">
        <v>3245</v>
      </c>
      <c r="D783" s="14" t="s">
        <v>4394</v>
      </c>
      <c r="E783" s="11" t="s">
        <v>3797</v>
      </c>
      <c r="F783" s="4" t="s">
        <v>1523</v>
      </c>
      <c r="H783" s="6"/>
    </row>
    <row r="784" spans="1:8" x14ac:dyDescent="0.2">
      <c r="A784" s="14" t="s">
        <v>2180</v>
      </c>
      <c r="B784" s="14" t="s">
        <v>3612</v>
      </c>
      <c r="C784" s="14" t="s">
        <v>3246</v>
      </c>
      <c r="D784" s="14" t="s">
        <v>4395</v>
      </c>
      <c r="E784" s="11" t="s">
        <v>3798</v>
      </c>
      <c r="F784" s="4" t="s">
        <v>1523</v>
      </c>
      <c r="H784" s="6"/>
    </row>
    <row r="785" spans="1:8" x14ac:dyDescent="0.2">
      <c r="A785" s="14" t="s">
        <v>2181</v>
      </c>
      <c r="B785" s="14" t="s">
        <v>3612</v>
      </c>
      <c r="C785" s="14" t="s">
        <v>3247</v>
      </c>
      <c r="D785" s="14" t="s">
        <v>4396</v>
      </c>
      <c r="E785" s="11" t="s">
        <v>3799</v>
      </c>
      <c r="F785" s="4" t="s">
        <v>1523</v>
      </c>
      <c r="H785" s="6"/>
    </row>
    <row r="786" spans="1:8" x14ac:dyDescent="0.2">
      <c r="A786" s="14" t="s">
        <v>2182</v>
      </c>
      <c r="B786" s="14" t="s">
        <v>3612</v>
      </c>
      <c r="C786" s="14" t="s">
        <v>3248</v>
      </c>
      <c r="D786" s="14" t="s">
        <v>4397</v>
      </c>
      <c r="E786" s="11" t="s">
        <v>3800</v>
      </c>
      <c r="F786" s="4" t="s">
        <v>1523</v>
      </c>
      <c r="H786" s="6"/>
    </row>
    <row r="787" spans="1:8" x14ac:dyDescent="0.2">
      <c r="A787" s="14" t="s">
        <v>2183</v>
      </c>
      <c r="B787" s="14" t="s">
        <v>3612</v>
      </c>
      <c r="C787" s="14" t="s">
        <v>3249</v>
      </c>
      <c r="D787" s="14" t="s">
        <v>4398</v>
      </c>
      <c r="E787" s="11" t="s">
        <v>3801</v>
      </c>
      <c r="F787" s="4" t="s">
        <v>1523</v>
      </c>
      <c r="H787" s="6"/>
    </row>
    <row r="788" spans="1:8" x14ac:dyDescent="0.2">
      <c r="A788" s="14" t="s">
        <v>2184</v>
      </c>
      <c r="B788" s="14" t="s">
        <v>3612</v>
      </c>
      <c r="C788" s="14" t="s">
        <v>3250</v>
      </c>
      <c r="D788" s="14" t="s">
        <v>4399</v>
      </c>
      <c r="E788" s="11" t="s">
        <v>3802</v>
      </c>
      <c r="F788" s="4" t="s">
        <v>1523</v>
      </c>
      <c r="H788" s="6"/>
    </row>
    <row r="789" spans="1:8" x14ac:dyDescent="0.2">
      <c r="A789" s="14" t="s">
        <v>2185</v>
      </c>
      <c r="B789" s="14" t="s">
        <v>3612</v>
      </c>
      <c r="C789" s="14" t="s">
        <v>3251</v>
      </c>
      <c r="D789" s="14" t="s">
        <v>4400</v>
      </c>
      <c r="E789" s="11" t="s">
        <v>3803</v>
      </c>
      <c r="F789" s="4" t="s">
        <v>1523</v>
      </c>
      <c r="H789" s="6"/>
    </row>
    <row r="790" spans="1:8" x14ac:dyDescent="0.2">
      <c r="A790" s="14" t="s">
        <v>2186</v>
      </c>
      <c r="B790" s="14" t="s">
        <v>4746</v>
      </c>
      <c r="C790" s="14" t="s">
        <v>2853</v>
      </c>
      <c r="D790" s="14" t="s">
        <v>4401</v>
      </c>
      <c r="E790" s="11"/>
      <c r="F790" s="4" t="s">
        <v>1523</v>
      </c>
      <c r="H790" s="6"/>
    </row>
    <row r="791" spans="1:8" x14ac:dyDescent="0.2">
      <c r="A791" s="14" t="s">
        <v>2187</v>
      </c>
      <c r="B791" s="14" t="s">
        <v>4746</v>
      </c>
      <c r="C791" s="14" t="s">
        <v>2853</v>
      </c>
      <c r="D791" s="14" t="s">
        <v>4402</v>
      </c>
      <c r="E791" s="11"/>
      <c r="F791" s="4" t="s">
        <v>1523</v>
      </c>
      <c r="H791" s="6"/>
    </row>
    <row r="792" spans="1:8" x14ac:dyDescent="0.2">
      <c r="A792" s="14" t="s">
        <v>2188</v>
      </c>
      <c r="B792" s="14" t="s">
        <v>4746</v>
      </c>
      <c r="C792" s="14" t="s">
        <v>2853</v>
      </c>
      <c r="D792" s="14" t="s">
        <v>4403</v>
      </c>
      <c r="E792" s="11"/>
      <c r="F792" s="4" t="s">
        <v>1523</v>
      </c>
      <c r="H792" s="6"/>
    </row>
    <row r="793" spans="1:8" x14ac:dyDescent="0.2">
      <c r="A793" s="14" t="s">
        <v>2189</v>
      </c>
      <c r="B793" s="14" t="s">
        <v>3612</v>
      </c>
      <c r="C793" s="14" t="s">
        <v>3252</v>
      </c>
      <c r="D793" s="14" t="s">
        <v>4404</v>
      </c>
      <c r="E793" s="11" t="s">
        <v>3804</v>
      </c>
      <c r="F793" s="4" t="s">
        <v>1523</v>
      </c>
      <c r="H793" s="6"/>
    </row>
    <row r="794" spans="1:8" x14ac:dyDescent="0.2">
      <c r="A794" s="14" t="s">
        <v>2190</v>
      </c>
      <c r="B794" s="14" t="s">
        <v>3612</v>
      </c>
      <c r="C794" s="14" t="s">
        <v>3253</v>
      </c>
      <c r="D794" s="14" t="s">
        <v>4405</v>
      </c>
      <c r="E794" s="11" t="s">
        <v>3805</v>
      </c>
      <c r="F794" s="4" t="s">
        <v>1523</v>
      </c>
      <c r="H794" s="6"/>
    </row>
    <row r="795" spans="1:8" x14ac:dyDescent="0.2">
      <c r="A795" s="14" t="s">
        <v>2191</v>
      </c>
      <c r="B795" s="14" t="s">
        <v>3612</v>
      </c>
      <c r="C795" s="14" t="s">
        <v>3254</v>
      </c>
      <c r="D795" s="14" t="s">
        <v>4406</v>
      </c>
      <c r="E795" s="11" t="s">
        <v>3806</v>
      </c>
      <c r="F795" s="4" t="s">
        <v>1523</v>
      </c>
      <c r="H795" s="6"/>
    </row>
    <row r="796" spans="1:8" x14ac:dyDescent="0.2">
      <c r="A796" s="14" t="s">
        <v>2192</v>
      </c>
      <c r="B796" s="14" t="s">
        <v>3612</v>
      </c>
      <c r="C796" s="14" t="s">
        <v>3255</v>
      </c>
      <c r="D796" s="14" t="s">
        <v>4407</v>
      </c>
      <c r="E796" s="11" t="s">
        <v>3807</v>
      </c>
      <c r="F796" s="4" t="s">
        <v>1523</v>
      </c>
      <c r="H796" s="6"/>
    </row>
    <row r="797" spans="1:8" x14ac:dyDescent="0.2">
      <c r="A797" s="14" t="s">
        <v>2193</v>
      </c>
      <c r="B797" s="14" t="s">
        <v>3612</v>
      </c>
      <c r="C797" s="14" t="s">
        <v>3256</v>
      </c>
      <c r="D797" s="14" t="s">
        <v>4408</v>
      </c>
      <c r="E797" s="11" t="s">
        <v>3808</v>
      </c>
      <c r="F797" s="4" t="s">
        <v>1523</v>
      </c>
      <c r="H797" s="6"/>
    </row>
    <row r="798" spans="1:8" x14ac:dyDescent="0.2">
      <c r="A798" s="14" t="s">
        <v>2194</v>
      </c>
      <c r="B798" s="14" t="s">
        <v>4746</v>
      </c>
      <c r="C798" s="14" t="s">
        <v>2853</v>
      </c>
      <c r="D798" s="14" t="s">
        <v>4409</v>
      </c>
      <c r="E798" s="11"/>
      <c r="F798" s="4" t="s">
        <v>1523</v>
      </c>
      <c r="H798" s="6"/>
    </row>
    <row r="799" spans="1:8" x14ac:dyDescent="0.2">
      <c r="A799" s="14" t="s">
        <v>2195</v>
      </c>
      <c r="B799" s="14" t="s">
        <v>3612</v>
      </c>
      <c r="C799" s="14" t="s">
        <v>3257</v>
      </c>
      <c r="D799" s="14" t="s">
        <v>4410</v>
      </c>
      <c r="E799" s="11" t="s">
        <v>3809</v>
      </c>
      <c r="F799" s="4" t="s">
        <v>1523</v>
      </c>
      <c r="H799" s="6"/>
    </row>
    <row r="800" spans="1:8" x14ac:dyDescent="0.2">
      <c r="A800" s="14" t="s">
        <v>2196</v>
      </c>
      <c r="B800" s="14" t="s">
        <v>3613</v>
      </c>
      <c r="C800" s="14" t="s">
        <v>2196</v>
      </c>
      <c r="D800" s="14" t="s">
        <v>4411</v>
      </c>
      <c r="E800" s="11" t="s">
        <v>4411</v>
      </c>
      <c r="F800" s="4" t="s">
        <v>1523</v>
      </c>
      <c r="H800" s="6"/>
    </row>
    <row r="801" spans="1:8" x14ac:dyDescent="0.2">
      <c r="A801" s="14" t="s">
        <v>2197</v>
      </c>
      <c r="B801" s="14" t="s">
        <v>3613</v>
      </c>
      <c r="C801" s="14" t="s">
        <v>2197</v>
      </c>
      <c r="D801" s="14" t="s">
        <v>4412</v>
      </c>
      <c r="E801" s="11" t="s">
        <v>4412</v>
      </c>
      <c r="F801" s="4" t="s">
        <v>1523</v>
      </c>
      <c r="H801" s="6"/>
    </row>
    <row r="802" spans="1:8" x14ac:dyDescent="0.2">
      <c r="A802" s="14" t="s">
        <v>2198</v>
      </c>
      <c r="B802" s="14" t="s">
        <v>3613</v>
      </c>
      <c r="C802" s="14" t="s">
        <v>2198</v>
      </c>
      <c r="D802" s="14" t="s">
        <v>4413</v>
      </c>
      <c r="E802" s="11" t="s">
        <v>4413</v>
      </c>
      <c r="F802" s="4" t="s">
        <v>1523</v>
      </c>
      <c r="H802" s="6"/>
    </row>
    <row r="803" spans="1:8" x14ac:dyDescent="0.2">
      <c r="A803" s="14" t="s">
        <v>2199</v>
      </c>
      <c r="B803" s="14" t="s">
        <v>3613</v>
      </c>
      <c r="C803" s="14" t="s">
        <v>2199</v>
      </c>
      <c r="D803" s="14" t="s">
        <v>4414</v>
      </c>
      <c r="E803" s="11" t="s">
        <v>4414</v>
      </c>
      <c r="F803" s="4" t="s">
        <v>1523</v>
      </c>
      <c r="H803" s="6"/>
    </row>
    <row r="804" spans="1:8" x14ac:dyDescent="0.2">
      <c r="A804" s="14" t="s">
        <v>2200</v>
      </c>
      <c r="B804" s="14" t="s">
        <v>3613</v>
      </c>
      <c r="C804" s="14" t="s">
        <v>2200</v>
      </c>
      <c r="D804" s="14" t="s">
        <v>4415</v>
      </c>
      <c r="E804" s="11" t="s">
        <v>4415</v>
      </c>
      <c r="F804" s="4" t="s">
        <v>1523</v>
      </c>
      <c r="H804" s="6"/>
    </row>
    <row r="805" spans="1:8" x14ac:dyDescent="0.2">
      <c r="A805" s="14" t="s">
        <v>2201</v>
      </c>
      <c r="B805" s="14" t="s">
        <v>3613</v>
      </c>
      <c r="C805" s="14" t="s">
        <v>2201</v>
      </c>
      <c r="D805" s="14" t="s">
        <v>4416</v>
      </c>
      <c r="E805" s="11" t="s">
        <v>4416</v>
      </c>
      <c r="F805" s="4" t="s">
        <v>1523</v>
      </c>
      <c r="H805" s="6"/>
    </row>
    <row r="806" spans="1:8" x14ac:dyDescent="0.2">
      <c r="A806" s="14" t="s">
        <v>2202</v>
      </c>
      <c r="B806" s="14" t="s">
        <v>3612</v>
      </c>
      <c r="C806" s="14" t="s">
        <v>3258</v>
      </c>
      <c r="D806" s="14" t="s">
        <v>4417</v>
      </c>
      <c r="E806" s="11" t="s">
        <v>3810</v>
      </c>
      <c r="F806" s="4" t="s">
        <v>1523</v>
      </c>
      <c r="H806" s="6"/>
    </row>
    <row r="807" spans="1:8" x14ac:dyDescent="0.2">
      <c r="A807" s="14" t="s">
        <v>2203</v>
      </c>
      <c r="B807" s="14" t="s">
        <v>3612</v>
      </c>
      <c r="C807" s="14" t="s">
        <v>3259</v>
      </c>
      <c r="D807" s="14" t="s">
        <v>4418</v>
      </c>
      <c r="E807" s="11" t="s">
        <v>3811</v>
      </c>
      <c r="F807" s="4" t="s">
        <v>1523</v>
      </c>
      <c r="H807" s="6"/>
    </row>
    <row r="808" spans="1:8" x14ac:dyDescent="0.2">
      <c r="A808" s="14" t="s">
        <v>2204</v>
      </c>
      <c r="B808" s="14" t="s">
        <v>3612</v>
      </c>
      <c r="C808" s="14" t="s">
        <v>3260</v>
      </c>
      <c r="D808" s="14" t="s">
        <v>4419</v>
      </c>
      <c r="E808" s="11" t="s">
        <v>3812</v>
      </c>
      <c r="F808" s="4" t="s">
        <v>1523</v>
      </c>
      <c r="H808" s="6"/>
    </row>
    <row r="809" spans="1:8" x14ac:dyDescent="0.2">
      <c r="A809" s="14" t="s">
        <v>2205</v>
      </c>
      <c r="B809" s="14" t="s">
        <v>3612</v>
      </c>
      <c r="C809" s="14" t="s">
        <v>3261</v>
      </c>
      <c r="D809" s="14" t="s">
        <v>4420</v>
      </c>
      <c r="E809" s="11" t="s">
        <v>3813</v>
      </c>
      <c r="F809" s="4" t="s">
        <v>1523</v>
      </c>
      <c r="H809" s="6"/>
    </row>
    <row r="810" spans="1:8" x14ac:dyDescent="0.2">
      <c r="A810" s="14" t="s">
        <v>2206</v>
      </c>
      <c r="B810" s="14" t="s">
        <v>3612</v>
      </c>
      <c r="C810" s="14" t="s">
        <v>3262</v>
      </c>
      <c r="D810" s="14" t="s">
        <v>4421</v>
      </c>
      <c r="E810" s="11" t="s">
        <v>3814</v>
      </c>
      <c r="F810" s="4" t="s">
        <v>1523</v>
      </c>
      <c r="H810" s="6"/>
    </row>
    <row r="811" spans="1:8" x14ac:dyDescent="0.2">
      <c r="A811" s="14" t="s">
        <v>2207</v>
      </c>
      <c r="B811" s="14" t="s">
        <v>3612</v>
      </c>
      <c r="C811" s="14" t="s">
        <v>3263</v>
      </c>
      <c r="D811" s="14" t="s">
        <v>4422</v>
      </c>
      <c r="E811" s="11" t="s">
        <v>3815</v>
      </c>
      <c r="F811" s="4" t="s">
        <v>1523</v>
      </c>
      <c r="H811" s="6"/>
    </row>
    <row r="812" spans="1:8" x14ac:dyDescent="0.2">
      <c r="A812" s="14" t="s">
        <v>2208</v>
      </c>
      <c r="B812" s="14" t="s">
        <v>3612</v>
      </c>
      <c r="C812" s="14" t="s">
        <v>3264</v>
      </c>
      <c r="D812" s="14" t="s">
        <v>4423</v>
      </c>
      <c r="E812" s="11" t="s">
        <v>3816</v>
      </c>
      <c r="F812" s="4" t="s">
        <v>1523</v>
      </c>
      <c r="H812" s="6"/>
    </row>
    <row r="813" spans="1:8" x14ac:dyDescent="0.2">
      <c r="A813" s="14" t="s">
        <v>2209</v>
      </c>
      <c r="B813" s="14" t="s">
        <v>3612</v>
      </c>
      <c r="C813" s="14" t="s">
        <v>3265</v>
      </c>
      <c r="D813" s="14" t="s">
        <v>4424</v>
      </c>
      <c r="E813" s="11" t="s">
        <v>3817</v>
      </c>
      <c r="F813" s="4" t="s">
        <v>1523</v>
      </c>
      <c r="H813" s="6"/>
    </row>
    <row r="814" spans="1:8" x14ac:dyDescent="0.2">
      <c r="A814" s="14" t="s">
        <v>2210</v>
      </c>
      <c r="B814" s="14" t="s">
        <v>3612</v>
      </c>
      <c r="C814" s="14" t="s">
        <v>3266</v>
      </c>
      <c r="D814" s="14" t="s">
        <v>4425</v>
      </c>
      <c r="E814" s="11" t="s">
        <v>3818</v>
      </c>
      <c r="F814" s="4" t="s">
        <v>1523</v>
      </c>
      <c r="H814" s="6"/>
    </row>
    <row r="815" spans="1:8" x14ac:dyDescent="0.2">
      <c r="A815" s="14" t="s">
        <v>2211</v>
      </c>
      <c r="B815" s="14" t="s">
        <v>3612</v>
      </c>
      <c r="C815" s="14" t="s">
        <v>3267</v>
      </c>
      <c r="D815" s="14" t="s">
        <v>4426</v>
      </c>
      <c r="E815" s="11" t="s">
        <v>3819</v>
      </c>
      <c r="F815" s="4" t="s">
        <v>1523</v>
      </c>
      <c r="H815" s="6"/>
    </row>
    <row r="816" spans="1:8" x14ac:dyDescent="0.2">
      <c r="A816" s="14" t="s">
        <v>2212</v>
      </c>
      <c r="B816" s="14" t="s">
        <v>3612</v>
      </c>
      <c r="C816" s="14" t="s">
        <v>3268</v>
      </c>
      <c r="D816" s="14" t="s">
        <v>4427</v>
      </c>
      <c r="E816" s="11" t="s">
        <v>3820</v>
      </c>
      <c r="F816" s="4" t="s">
        <v>1523</v>
      </c>
      <c r="H816" s="6"/>
    </row>
    <row r="817" spans="1:8" x14ac:dyDescent="0.2">
      <c r="A817" s="14" t="s">
        <v>2213</v>
      </c>
      <c r="B817" s="14" t="s">
        <v>3612</v>
      </c>
      <c r="C817" s="14" t="s">
        <v>3269</v>
      </c>
      <c r="D817" s="14" t="s">
        <v>4428</v>
      </c>
      <c r="E817" s="11" t="s">
        <v>3821</v>
      </c>
      <c r="F817" s="4" t="s">
        <v>1523</v>
      </c>
      <c r="H817" s="6"/>
    </row>
    <row r="818" spans="1:8" x14ac:dyDescent="0.2">
      <c r="A818" s="14" t="s">
        <v>2214</v>
      </c>
      <c r="B818" s="14" t="s">
        <v>3612</v>
      </c>
      <c r="C818" s="14" t="s">
        <v>3270</v>
      </c>
      <c r="D818" s="14" t="s">
        <v>4429</v>
      </c>
      <c r="E818" s="11" t="s">
        <v>3822</v>
      </c>
      <c r="F818" s="4" t="s">
        <v>1523</v>
      </c>
      <c r="H818" s="6"/>
    </row>
    <row r="819" spans="1:8" x14ac:dyDescent="0.2">
      <c r="A819" s="14" t="s">
        <v>2215</v>
      </c>
      <c r="B819" s="14" t="s">
        <v>3612</v>
      </c>
      <c r="C819" s="14" t="s">
        <v>3271</v>
      </c>
      <c r="D819" s="14" t="s">
        <v>4430</v>
      </c>
      <c r="E819" s="11" t="s">
        <v>3823</v>
      </c>
      <c r="F819" s="4" t="s">
        <v>1523</v>
      </c>
      <c r="H819" s="6"/>
    </row>
    <row r="820" spans="1:8" x14ac:dyDescent="0.2">
      <c r="A820" s="14" t="s">
        <v>2216</v>
      </c>
      <c r="B820" s="14" t="s">
        <v>3612</v>
      </c>
      <c r="C820" s="14" t="s">
        <v>3272</v>
      </c>
      <c r="D820" s="14" t="s">
        <v>4431</v>
      </c>
      <c r="E820" s="11" t="s">
        <v>3824</v>
      </c>
      <c r="F820" s="4" t="s">
        <v>1523</v>
      </c>
      <c r="H820" s="6"/>
    </row>
    <row r="821" spans="1:8" x14ac:dyDescent="0.2">
      <c r="A821" s="14" t="s">
        <v>2217</v>
      </c>
      <c r="B821" s="14" t="s">
        <v>3612</v>
      </c>
      <c r="C821" s="14" t="s">
        <v>3273</v>
      </c>
      <c r="D821" s="14" t="s">
        <v>4432</v>
      </c>
      <c r="E821" s="11" t="s">
        <v>3825</v>
      </c>
      <c r="F821" s="4" t="s">
        <v>1523</v>
      </c>
      <c r="H821" s="6"/>
    </row>
    <row r="822" spans="1:8" x14ac:dyDescent="0.2">
      <c r="A822" s="14" t="s">
        <v>2218</v>
      </c>
      <c r="B822" s="14" t="s">
        <v>3612</v>
      </c>
      <c r="C822" s="14" t="s">
        <v>3274</v>
      </c>
      <c r="D822" s="14" t="s">
        <v>4433</v>
      </c>
      <c r="E822" s="11" t="s">
        <v>3826</v>
      </c>
      <c r="F822" s="4" t="s">
        <v>1523</v>
      </c>
      <c r="H822" s="6"/>
    </row>
    <row r="823" spans="1:8" x14ac:dyDescent="0.2">
      <c r="A823" s="14" t="s">
        <v>2219</v>
      </c>
      <c r="B823" s="14" t="s">
        <v>3612</v>
      </c>
      <c r="C823" s="14" t="s">
        <v>3275</v>
      </c>
      <c r="D823" s="14" t="s">
        <v>4434</v>
      </c>
      <c r="E823" s="11" t="s">
        <v>3827</v>
      </c>
      <c r="F823" s="4" t="s">
        <v>1523</v>
      </c>
      <c r="H823" s="6"/>
    </row>
    <row r="824" spans="1:8" x14ac:dyDescent="0.2">
      <c r="A824" s="14" t="s">
        <v>2220</v>
      </c>
      <c r="B824" s="14" t="s">
        <v>4746</v>
      </c>
      <c r="C824" s="14" t="s">
        <v>2853</v>
      </c>
      <c r="D824" s="14" t="s">
        <v>4435</v>
      </c>
      <c r="E824" s="11"/>
      <c r="F824" s="4" t="s">
        <v>1523</v>
      </c>
      <c r="H824" s="6"/>
    </row>
    <row r="825" spans="1:8" x14ac:dyDescent="0.2">
      <c r="A825" s="14" t="s">
        <v>2221</v>
      </c>
      <c r="B825" s="14" t="s">
        <v>3612</v>
      </c>
      <c r="C825" s="14" t="s">
        <v>3276</v>
      </c>
      <c r="D825" s="14" t="s">
        <v>4436</v>
      </c>
      <c r="E825" s="11" t="s">
        <v>4436</v>
      </c>
      <c r="F825" s="4" t="s">
        <v>1523</v>
      </c>
      <c r="H825" s="6"/>
    </row>
    <row r="826" spans="1:8" x14ac:dyDescent="0.2">
      <c r="A826" s="14" t="s">
        <v>2222</v>
      </c>
      <c r="B826" s="14" t="s">
        <v>4746</v>
      </c>
      <c r="C826" s="14" t="s">
        <v>2853</v>
      </c>
      <c r="D826" s="14" t="s">
        <v>4437</v>
      </c>
      <c r="E826" s="11"/>
      <c r="F826" s="4" t="s">
        <v>1523</v>
      </c>
      <c r="H826" s="6"/>
    </row>
    <row r="827" spans="1:8" x14ac:dyDescent="0.2">
      <c r="A827" s="14" t="s">
        <v>2223</v>
      </c>
      <c r="B827" s="14" t="s">
        <v>3612</v>
      </c>
      <c r="C827" s="14" t="s">
        <v>3277</v>
      </c>
      <c r="D827" s="14" t="s">
        <v>4438</v>
      </c>
      <c r="E827" s="11" t="s">
        <v>4438</v>
      </c>
      <c r="F827" s="4" t="s">
        <v>1523</v>
      </c>
      <c r="H827" s="6"/>
    </row>
    <row r="828" spans="1:8" x14ac:dyDescent="0.2">
      <c r="A828" s="14" t="s">
        <v>2224</v>
      </c>
      <c r="B828" s="14" t="s">
        <v>3612</v>
      </c>
      <c r="C828" s="14" t="s">
        <v>3278</v>
      </c>
      <c r="D828" s="14" t="s">
        <v>4439</v>
      </c>
      <c r="E828" s="11" t="s">
        <v>4439</v>
      </c>
      <c r="F828" s="4" t="s">
        <v>1523</v>
      </c>
      <c r="H828" s="6"/>
    </row>
    <row r="829" spans="1:8" x14ac:dyDescent="0.2">
      <c r="A829" s="14" t="s">
        <v>2225</v>
      </c>
      <c r="B829" s="14" t="s">
        <v>3612</v>
      </c>
      <c r="C829" s="14" t="s">
        <v>3279</v>
      </c>
      <c r="D829" s="14" t="s">
        <v>4440</v>
      </c>
      <c r="E829" s="11" t="s">
        <v>4440</v>
      </c>
      <c r="F829" s="4" t="s">
        <v>1523</v>
      </c>
      <c r="H829" s="6"/>
    </row>
    <row r="830" spans="1:8" x14ac:dyDescent="0.2">
      <c r="A830" s="14" t="s">
        <v>2226</v>
      </c>
      <c r="B830" s="14" t="s">
        <v>3612</v>
      </c>
      <c r="C830" s="14" t="s">
        <v>3280</v>
      </c>
      <c r="D830" s="14" t="s">
        <v>4441</v>
      </c>
      <c r="E830" s="11" t="s">
        <v>4441</v>
      </c>
      <c r="F830" s="4" t="s">
        <v>1523</v>
      </c>
      <c r="H830" s="6"/>
    </row>
    <row r="831" spans="1:8" x14ac:dyDescent="0.2">
      <c r="A831" s="14" t="s">
        <v>2227</v>
      </c>
      <c r="B831" s="14" t="s">
        <v>3612</v>
      </c>
      <c r="C831" s="14" t="s">
        <v>3281</v>
      </c>
      <c r="D831" s="14" t="s">
        <v>4442</v>
      </c>
      <c r="E831" s="11" t="s">
        <v>4442</v>
      </c>
      <c r="F831" s="4" t="s">
        <v>1523</v>
      </c>
      <c r="H831" s="6"/>
    </row>
    <row r="832" spans="1:8" x14ac:dyDescent="0.2">
      <c r="A832" s="14" t="s">
        <v>2228</v>
      </c>
      <c r="B832" s="14" t="s">
        <v>3612</v>
      </c>
      <c r="C832" s="14" t="s">
        <v>3282</v>
      </c>
      <c r="D832" s="14" t="s">
        <v>4443</v>
      </c>
      <c r="E832" s="11" t="s">
        <v>4443</v>
      </c>
      <c r="F832" s="4" t="s">
        <v>1523</v>
      </c>
      <c r="H832" s="6"/>
    </row>
    <row r="833" spans="1:8" x14ac:dyDescent="0.2">
      <c r="A833" s="14" t="s">
        <v>2229</v>
      </c>
      <c r="B833" s="14" t="s">
        <v>3612</v>
      </c>
      <c r="C833" s="14" t="s">
        <v>3283</v>
      </c>
      <c r="D833" s="14" t="s">
        <v>4444</v>
      </c>
      <c r="E833" s="11" t="s">
        <v>4444</v>
      </c>
      <c r="F833" s="4" t="s">
        <v>1523</v>
      </c>
      <c r="H833" s="6"/>
    </row>
    <row r="834" spans="1:8" x14ac:dyDescent="0.2">
      <c r="A834" s="14" t="s">
        <v>2230</v>
      </c>
      <c r="B834" s="14" t="s">
        <v>3612</v>
      </c>
      <c r="C834" s="14" t="s">
        <v>3284</v>
      </c>
      <c r="D834" s="14" t="s">
        <v>4445</v>
      </c>
      <c r="E834" s="11" t="s">
        <v>4445</v>
      </c>
      <c r="F834" s="4" t="s">
        <v>1523</v>
      </c>
      <c r="H834" s="6"/>
    </row>
    <row r="835" spans="1:8" x14ac:dyDescent="0.2">
      <c r="A835" s="14" t="s">
        <v>2231</v>
      </c>
      <c r="B835" s="14" t="s">
        <v>3612</v>
      </c>
      <c r="C835" s="14" t="s">
        <v>3285</v>
      </c>
      <c r="D835" s="14" t="s">
        <v>4446</v>
      </c>
      <c r="E835" s="11" t="s">
        <v>3828</v>
      </c>
      <c r="F835" s="4" t="s">
        <v>1523</v>
      </c>
      <c r="H835" s="6"/>
    </row>
    <row r="836" spans="1:8" x14ac:dyDescent="0.2">
      <c r="A836" s="14" t="s">
        <v>2232</v>
      </c>
      <c r="B836" s="14" t="s">
        <v>3612</v>
      </c>
      <c r="C836" s="14" t="s">
        <v>3286</v>
      </c>
      <c r="D836" s="14" t="s">
        <v>4447</v>
      </c>
      <c r="E836" s="11" t="s">
        <v>3829</v>
      </c>
      <c r="F836" s="4" t="s">
        <v>1523</v>
      </c>
      <c r="H836" s="6"/>
    </row>
    <row r="837" spans="1:8" x14ac:dyDescent="0.2">
      <c r="A837" s="14" t="s">
        <v>2233</v>
      </c>
      <c r="B837" s="14" t="s">
        <v>3612</v>
      </c>
      <c r="C837" s="14" t="s">
        <v>3287</v>
      </c>
      <c r="D837" s="14" t="s">
        <v>4448</v>
      </c>
      <c r="E837" s="11" t="s">
        <v>3830</v>
      </c>
      <c r="F837" s="4" t="s">
        <v>1523</v>
      </c>
      <c r="H837" s="6"/>
    </row>
    <row r="838" spans="1:8" x14ac:dyDescent="0.2">
      <c r="A838" s="14" t="s">
        <v>2234</v>
      </c>
      <c r="B838" s="14" t="s">
        <v>3612</v>
      </c>
      <c r="C838" s="14" t="s">
        <v>3288</v>
      </c>
      <c r="D838" s="14" t="s">
        <v>4449</v>
      </c>
      <c r="E838" s="11" t="s">
        <v>3831</v>
      </c>
      <c r="F838" s="4" t="s">
        <v>1523</v>
      </c>
      <c r="H838" s="6"/>
    </row>
    <row r="839" spans="1:8" x14ac:dyDescent="0.2">
      <c r="A839" s="14" t="s">
        <v>2235</v>
      </c>
      <c r="B839" s="14" t="s">
        <v>3612</v>
      </c>
      <c r="C839" s="14" t="s">
        <v>3289</v>
      </c>
      <c r="D839" s="14" t="s">
        <v>4450</v>
      </c>
      <c r="E839" s="11" t="s">
        <v>3832</v>
      </c>
      <c r="F839" s="4" t="s">
        <v>1523</v>
      </c>
      <c r="H839" s="7"/>
    </row>
    <row r="840" spans="1:8" x14ac:dyDescent="0.2">
      <c r="A840" s="14" t="s">
        <v>2236</v>
      </c>
      <c r="B840" s="14" t="s">
        <v>3612</v>
      </c>
      <c r="C840" s="14" t="s">
        <v>3290</v>
      </c>
      <c r="D840" s="14" t="s">
        <v>4451</v>
      </c>
      <c r="E840" s="11" t="s">
        <v>3833</v>
      </c>
      <c r="F840" s="4" t="s">
        <v>1523</v>
      </c>
      <c r="H840" s="7"/>
    </row>
    <row r="841" spans="1:8" x14ac:dyDescent="0.2">
      <c r="A841" s="14" t="s">
        <v>2237</v>
      </c>
      <c r="B841" s="14" t="s">
        <v>3612</v>
      </c>
      <c r="C841" s="14" t="s">
        <v>3291</v>
      </c>
      <c r="D841" s="14" t="s">
        <v>4452</v>
      </c>
      <c r="E841" s="11" t="s">
        <v>3834</v>
      </c>
      <c r="F841" s="4" t="s">
        <v>1523</v>
      </c>
      <c r="H841" s="7"/>
    </row>
    <row r="842" spans="1:8" x14ac:dyDescent="0.2">
      <c r="A842" s="14" t="s">
        <v>2238</v>
      </c>
      <c r="B842" s="14" t="s">
        <v>3612</v>
      </c>
      <c r="C842" s="14" t="s">
        <v>3292</v>
      </c>
      <c r="D842" s="14" t="s">
        <v>4453</v>
      </c>
      <c r="E842" s="11" t="s">
        <v>3835</v>
      </c>
      <c r="F842" s="4" t="s">
        <v>1523</v>
      </c>
      <c r="H842" s="7"/>
    </row>
    <row r="843" spans="1:8" x14ac:dyDescent="0.2">
      <c r="A843" s="14" t="s">
        <v>2239</v>
      </c>
      <c r="B843" s="14" t="s">
        <v>3612</v>
      </c>
      <c r="C843" s="14" t="s">
        <v>3293</v>
      </c>
      <c r="D843" s="14" t="s">
        <v>4454</v>
      </c>
      <c r="E843" s="11" t="s">
        <v>3836</v>
      </c>
      <c r="F843" s="4" t="s">
        <v>1523</v>
      </c>
      <c r="H843" s="7"/>
    </row>
    <row r="844" spans="1:8" x14ac:dyDescent="0.2">
      <c r="A844" s="14" t="s">
        <v>2240</v>
      </c>
      <c r="B844" s="14" t="s">
        <v>3612</v>
      </c>
      <c r="C844" s="14" t="s">
        <v>3294</v>
      </c>
      <c r="D844" s="14" t="s">
        <v>4455</v>
      </c>
      <c r="E844" s="11" t="s">
        <v>3837</v>
      </c>
      <c r="F844" s="4" t="s">
        <v>1523</v>
      </c>
      <c r="H844" s="7"/>
    </row>
    <row r="845" spans="1:8" x14ac:dyDescent="0.2">
      <c r="A845" s="14" t="s">
        <v>2241</v>
      </c>
      <c r="B845" s="14" t="s">
        <v>3612</v>
      </c>
      <c r="C845" s="14" t="s">
        <v>3295</v>
      </c>
      <c r="D845" s="14" t="s">
        <v>4456</v>
      </c>
      <c r="E845" s="11" t="s">
        <v>3838</v>
      </c>
      <c r="F845" s="4" t="s">
        <v>1523</v>
      </c>
      <c r="H845" s="7"/>
    </row>
    <row r="846" spans="1:8" x14ac:dyDescent="0.2">
      <c r="A846" s="14" t="s">
        <v>2242</v>
      </c>
      <c r="B846" s="14" t="s">
        <v>3612</v>
      </c>
      <c r="C846" s="14" t="s">
        <v>3296</v>
      </c>
      <c r="D846" s="14" t="s">
        <v>4457</v>
      </c>
      <c r="E846" s="11" t="s">
        <v>3839</v>
      </c>
      <c r="F846" s="4" t="s">
        <v>1523</v>
      </c>
      <c r="H846" s="7"/>
    </row>
    <row r="847" spans="1:8" x14ac:dyDescent="0.2">
      <c r="A847" s="14" t="s">
        <v>2243</v>
      </c>
      <c r="B847" s="14" t="s">
        <v>3613</v>
      </c>
      <c r="C847" s="14" t="s">
        <v>2243</v>
      </c>
      <c r="D847" s="14" t="s">
        <v>4458</v>
      </c>
      <c r="E847" s="11" t="s">
        <v>4458</v>
      </c>
      <c r="F847" s="4" t="s">
        <v>1523</v>
      </c>
      <c r="H847" s="7"/>
    </row>
    <row r="848" spans="1:8" x14ac:dyDescent="0.2">
      <c r="A848" s="14" t="s">
        <v>2244</v>
      </c>
      <c r="B848" s="14" t="s">
        <v>3613</v>
      </c>
      <c r="C848" s="14" t="s">
        <v>2244</v>
      </c>
      <c r="D848" s="14" t="s">
        <v>4459</v>
      </c>
      <c r="E848" s="11" t="s">
        <v>4459</v>
      </c>
      <c r="F848" s="4" t="s">
        <v>1523</v>
      </c>
      <c r="H848" s="7"/>
    </row>
    <row r="849" spans="1:8" x14ac:dyDescent="0.2">
      <c r="A849" s="14" t="s">
        <v>2245</v>
      </c>
      <c r="B849" s="14" t="s">
        <v>3613</v>
      </c>
      <c r="C849" s="14" t="s">
        <v>2245</v>
      </c>
      <c r="D849" s="14" t="s">
        <v>4460</v>
      </c>
      <c r="E849" s="11" t="s">
        <v>4460</v>
      </c>
      <c r="F849" s="4" t="s">
        <v>1523</v>
      </c>
      <c r="H849" s="7"/>
    </row>
    <row r="850" spans="1:8" x14ac:dyDescent="0.2">
      <c r="A850" s="14" t="s">
        <v>2246</v>
      </c>
      <c r="B850" s="14" t="s">
        <v>3613</v>
      </c>
      <c r="C850" s="14" t="s">
        <v>2246</v>
      </c>
      <c r="D850" s="14" t="s">
        <v>4461</v>
      </c>
      <c r="E850" s="11" t="s">
        <v>4461</v>
      </c>
      <c r="F850" s="4" t="s">
        <v>1523</v>
      </c>
      <c r="H850" s="7"/>
    </row>
    <row r="851" spans="1:8" x14ac:dyDescent="0.2">
      <c r="A851" s="14" t="s">
        <v>2247</v>
      </c>
      <c r="B851" s="14" t="s">
        <v>3613</v>
      </c>
      <c r="C851" s="14" t="s">
        <v>2247</v>
      </c>
      <c r="D851" s="14" t="s">
        <v>4462</v>
      </c>
      <c r="E851" s="11" t="s">
        <v>4462</v>
      </c>
      <c r="F851" s="4" t="s">
        <v>1523</v>
      </c>
      <c r="H851" s="7"/>
    </row>
    <row r="852" spans="1:8" x14ac:dyDescent="0.2">
      <c r="A852" s="14" t="s">
        <v>2248</v>
      </c>
      <c r="B852" s="14" t="s">
        <v>3613</v>
      </c>
      <c r="C852" s="14" t="s">
        <v>2248</v>
      </c>
      <c r="D852" s="14" t="s">
        <v>4463</v>
      </c>
      <c r="E852" s="11" t="s">
        <v>4463</v>
      </c>
      <c r="F852" s="4" t="s">
        <v>1523</v>
      </c>
      <c r="H852" s="7"/>
    </row>
    <row r="853" spans="1:8" x14ac:dyDescent="0.2">
      <c r="A853" s="14" t="s">
        <v>2249</v>
      </c>
      <c r="B853" s="14" t="s">
        <v>3613</v>
      </c>
      <c r="C853" s="14" t="s">
        <v>2249</v>
      </c>
      <c r="D853" s="14" t="s">
        <v>4464</v>
      </c>
      <c r="E853" s="11" t="s">
        <v>4464</v>
      </c>
      <c r="F853" s="4" t="s">
        <v>1523</v>
      </c>
      <c r="H853" s="7"/>
    </row>
    <row r="854" spans="1:8" x14ac:dyDescent="0.2">
      <c r="A854" s="14" t="s">
        <v>2250</v>
      </c>
      <c r="B854" s="14" t="s">
        <v>3613</v>
      </c>
      <c r="C854" s="14" t="s">
        <v>2250</v>
      </c>
      <c r="D854" s="14" t="s">
        <v>4465</v>
      </c>
      <c r="E854" s="11" t="s">
        <v>4465</v>
      </c>
      <c r="F854" s="4" t="s">
        <v>1523</v>
      </c>
      <c r="H854" s="7"/>
    </row>
    <row r="855" spans="1:8" x14ac:dyDescent="0.2">
      <c r="A855" s="14" t="s">
        <v>2251</v>
      </c>
      <c r="B855" s="14" t="s">
        <v>3613</v>
      </c>
      <c r="C855" s="14" t="s">
        <v>2251</v>
      </c>
      <c r="D855" s="14" t="s">
        <v>4466</v>
      </c>
      <c r="E855" s="11" t="s">
        <v>4466</v>
      </c>
      <c r="F855" s="4" t="s">
        <v>1523</v>
      </c>
      <c r="H855" s="7"/>
    </row>
    <row r="856" spans="1:8" x14ac:dyDescent="0.2">
      <c r="A856" s="14" t="s">
        <v>2252</v>
      </c>
      <c r="B856" s="14" t="s">
        <v>3613</v>
      </c>
      <c r="C856" s="14" t="s">
        <v>2252</v>
      </c>
      <c r="D856" s="14" t="s">
        <v>4467</v>
      </c>
      <c r="E856" s="11" t="s">
        <v>4467</v>
      </c>
      <c r="F856" s="4" t="s">
        <v>1523</v>
      </c>
      <c r="H856" s="7"/>
    </row>
    <row r="857" spans="1:8" x14ac:dyDescent="0.2">
      <c r="A857" s="14" t="s">
        <v>2253</v>
      </c>
      <c r="B857" s="14" t="s">
        <v>3613</v>
      </c>
      <c r="C857" s="14" t="s">
        <v>2253</v>
      </c>
      <c r="D857" s="14" t="s">
        <v>4468</v>
      </c>
      <c r="E857" s="11" t="s">
        <v>4468</v>
      </c>
      <c r="F857" s="4" t="s">
        <v>1523</v>
      </c>
      <c r="H857" s="7"/>
    </row>
    <row r="858" spans="1:8" x14ac:dyDescent="0.2">
      <c r="A858" s="14" t="s">
        <v>2254</v>
      </c>
      <c r="B858" s="14" t="s">
        <v>3613</v>
      </c>
      <c r="C858" s="14" t="s">
        <v>2254</v>
      </c>
      <c r="D858" s="14" t="s">
        <v>4469</v>
      </c>
      <c r="E858" s="11" t="s">
        <v>4469</v>
      </c>
      <c r="F858" s="4" t="s">
        <v>1523</v>
      </c>
      <c r="H858" s="7"/>
    </row>
    <row r="859" spans="1:8" x14ac:dyDescent="0.2">
      <c r="A859" s="14" t="s">
        <v>2255</v>
      </c>
      <c r="B859" s="14" t="s">
        <v>3613</v>
      </c>
      <c r="C859" s="14" t="s">
        <v>2255</v>
      </c>
      <c r="D859" s="14" t="s">
        <v>4470</v>
      </c>
      <c r="E859" s="11" t="s">
        <v>4470</v>
      </c>
      <c r="F859" s="4" t="s">
        <v>1523</v>
      </c>
      <c r="H859" s="7"/>
    </row>
    <row r="860" spans="1:8" x14ac:dyDescent="0.2">
      <c r="A860" s="14" t="s">
        <v>2256</v>
      </c>
      <c r="B860" s="14" t="s">
        <v>3613</v>
      </c>
      <c r="C860" s="14" t="s">
        <v>2256</v>
      </c>
      <c r="D860" s="14" t="s">
        <v>4471</v>
      </c>
      <c r="E860" s="11" t="s">
        <v>4471</v>
      </c>
      <c r="F860" s="4" t="s">
        <v>1523</v>
      </c>
      <c r="H860" s="7"/>
    </row>
    <row r="861" spans="1:8" x14ac:dyDescent="0.2">
      <c r="A861" s="14" t="s">
        <v>2257</v>
      </c>
      <c r="B861" s="14" t="s">
        <v>3613</v>
      </c>
      <c r="C861" s="14" t="s">
        <v>2257</v>
      </c>
      <c r="D861" s="14" t="s">
        <v>4472</v>
      </c>
      <c r="E861" s="11" t="s">
        <v>4472</v>
      </c>
      <c r="F861" s="4" t="s">
        <v>1523</v>
      </c>
      <c r="H861" s="7"/>
    </row>
    <row r="862" spans="1:8" x14ac:dyDescent="0.2">
      <c r="A862" s="14" t="s">
        <v>2258</v>
      </c>
      <c r="B862" s="14" t="s">
        <v>3613</v>
      </c>
      <c r="C862" s="14" t="s">
        <v>2258</v>
      </c>
      <c r="D862" s="14" t="s">
        <v>4473</v>
      </c>
      <c r="E862" s="11" t="s">
        <v>4473</v>
      </c>
      <c r="F862" s="4" t="s">
        <v>1523</v>
      </c>
      <c r="H862" s="7"/>
    </row>
    <row r="863" spans="1:8" x14ac:dyDescent="0.2">
      <c r="A863" s="14" t="s">
        <v>2259</v>
      </c>
      <c r="B863" s="14" t="s">
        <v>3613</v>
      </c>
      <c r="C863" s="14" t="s">
        <v>2259</v>
      </c>
      <c r="D863" s="14" t="s">
        <v>4474</v>
      </c>
      <c r="E863" s="11" t="s">
        <v>4474</v>
      </c>
      <c r="F863" s="4" t="s">
        <v>1523</v>
      </c>
      <c r="H863" s="6"/>
    </row>
    <row r="864" spans="1:8" x14ac:dyDescent="0.2">
      <c r="A864" s="14" t="s">
        <v>2260</v>
      </c>
      <c r="B864" s="14" t="s">
        <v>3613</v>
      </c>
      <c r="C864" s="14" t="s">
        <v>2260</v>
      </c>
      <c r="D864" s="14" t="s">
        <v>4475</v>
      </c>
      <c r="E864" s="11" t="s">
        <v>4475</v>
      </c>
      <c r="F864" s="4" t="s">
        <v>1523</v>
      </c>
      <c r="H864" s="6"/>
    </row>
    <row r="865" spans="1:8" x14ac:dyDescent="0.2">
      <c r="A865" s="14" t="s">
        <v>2261</v>
      </c>
      <c r="B865" s="14" t="s">
        <v>3613</v>
      </c>
      <c r="C865" s="14" t="s">
        <v>2261</v>
      </c>
      <c r="D865" s="14" t="s">
        <v>4476</v>
      </c>
      <c r="E865" s="11" t="s">
        <v>4476</v>
      </c>
      <c r="F865" s="4" t="s">
        <v>1523</v>
      </c>
      <c r="H865" s="6"/>
    </row>
    <row r="866" spans="1:8" x14ac:dyDescent="0.2">
      <c r="A866" s="14" t="s">
        <v>2262</v>
      </c>
      <c r="B866" s="14" t="s">
        <v>3613</v>
      </c>
      <c r="C866" s="14" t="s">
        <v>2262</v>
      </c>
      <c r="D866" s="14" t="s">
        <v>4477</v>
      </c>
      <c r="E866" s="11" t="s">
        <v>4477</v>
      </c>
      <c r="F866" s="4" t="s">
        <v>1523</v>
      </c>
      <c r="H866" s="6"/>
    </row>
    <row r="867" spans="1:8" x14ac:dyDescent="0.2">
      <c r="A867" s="14" t="s">
        <v>2263</v>
      </c>
      <c r="B867" s="14" t="s">
        <v>3613</v>
      </c>
      <c r="C867" s="14" t="s">
        <v>2263</v>
      </c>
      <c r="D867" s="14" t="s">
        <v>4478</v>
      </c>
      <c r="E867" s="11" t="s">
        <v>4478</v>
      </c>
      <c r="F867" s="4" t="s">
        <v>1523</v>
      </c>
      <c r="H867" s="6"/>
    </row>
    <row r="868" spans="1:8" x14ac:dyDescent="0.2">
      <c r="A868" s="14" t="s">
        <v>2264</v>
      </c>
      <c r="B868" s="14" t="s">
        <v>3613</v>
      </c>
      <c r="C868" s="14" t="s">
        <v>2264</v>
      </c>
      <c r="D868" s="14" t="s">
        <v>4479</v>
      </c>
      <c r="E868" s="11" t="s">
        <v>4479</v>
      </c>
      <c r="F868" s="4" t="s">
        <v>1523</v>
      </c>
      <c r="H868" s="6"/>
    </row>
    <row r="869" spans="1:8" x14ac:dyDescent="0.2">
      <c r="A869" s="14" t="s">
        <v>2265</v>
      </c>
      <c r="B869" s="14" t="s">
        <v>3613</v>
      </c>
      <c r="C869" s="14" t="s">
        <v>2265</v>
      </c>
      <c r="D869" s="14" t="s">
        <v>4480</v>
      </c>
      <c r="E869" s="11" t="s">
        <v>4480</v>
      </c>
      <c r="F869" s="4" t="s">
        <v>1523</v>
      </c>
      <c r="H869" s="6"/>
    </row>
    <row r="870" spans="1:8" x14ac:dyDescent="0.2">
      <c r="A870" s="14" t="s">
        <v>2266</v>
      </c>
      <c r="B870" s="14" t="s">
        <v>3613</v>
      </c>
      <c r="C870" s="14" t="s">
        <v>2266</v>
      </c>
      <c r="D870" s="14" t="s">
        <v>4481</v>
      </c>
      <c r="E870" s="11" t="s">
        <v>4481</v>
      </c>
      <c r="F870" s="4" t="s">
        <v>1523</v>
      </c>
      <c r="H870" s="6"/>
    </row>
    <row r="871" spans="1:8" x14ac:dyDescent="0.2">
      <c r="A871" s="14" t="s">
        <v>2267</v>
      </c>
      <c r="B871" s="14" t="s">
        <v>3613</v>
      </c>
      <c r="C871" s="14" t="s">
        <v>2267</v>
      </c>
      <c r="D871" s="14" t="s">
        <v>4482</v>
      </c>
      <c r="E871" s="11" t="s">
        <v>4482</v>
      </c>
      <c r="F871" s="4" t="s">
        <v>1523</v>
      </c>
      <c r="H871" s="6"/>
    </row>
    <row r="872" spans="1:8" x14ac:dyDescent="0.2">
      <c r="A872" s="14" t="s">
        <v>2268</v>
      </c>
      <c r="B872" s="14" t="s">
        <v>3613</v>
      </c>
      <c r="C872" s="14" t="s">
        <v>2268</v>
      </c>
      <c r="D872" s="14" t="s">
        <v>4483</v>
      </c>
      <c r="E872" s="11" t="s">
        <v>4483</v>
      </c>
      <c r="F872" s="4" t="s">
        <v>1523</v>
      </c>
      <c r="H872" s="6"/>
    </row>
    <row r="873" spans="1:8" x14ac:dyDescent="0.2">
      <c r="A873" s="14" t="s">
        <v>2269</v>
      </c>
      <c r="B873" s="14" t="s">
        <v>3613</v>
      </c>
      <c r="C873" s="14" t="s">
        <v>2269</v>
      </c>
      <c r="D873" s="14" t="s">
        <v>4484</v>
      </c>
      <c r="E873" s="11" t="s">
        <v>4484</v>
      </c>
      <c r="F873" s="4" t="s">
        <v>1523</v>
      </c>
      <c r="H873" s="6"/>
    </row>
    <row r="874" spans="1:8" x14ac:dyDescent="0.2">
      <c r="A874" s="14" t="s">
        <v>2270</v>
      </c>
      <c r="B874" s="14" t="s">
        <v>3613</v>
      </c>
      <c r="C874" s="14" t="s">
        <v>2270</v>
      </c>
      <c r="D874" s="14" t="s">
        <v>4485</v>
      </c>
      <c r="E874" s="11" t="s">
        <v>4485</v>
      </c>
      <c r="F874" s="4" t="s">
        <v>1523</v>
      </c>
      <c r="H874" s="6"/>
    </row>
    <row r="875" spans="1:8" x14ac:dyDescent="0.2">
      <c r="A875" s="14" t="s">
        <v>2271</v>
      </c>
      <c r="B875" s="14" t="s">
        <v>3613</v>
      </c>
      <c r="C875" s="14" t="s">
        <v>2271</v>
      </c>
      <c r="D875" s="14" t="s">
        <v>4486</v>
      </c>
      <c r="E875" s="11" t="s">
        <v>4486</v>
      </c>
      <c r="F875" s="4" t="s">
        <v>1523</v>
      </c>
      <c r="H875" s="6"/>
    </row>
    <row r="876" spans="1:8" x14ac:dyDescent="0.2">
      <c r="A876" s="14" t="s">
        <v>2272</v>
      </c>
      <c r="B876" s="14" t="s">
        <v>3613</v>
      </c>
      <c r="C876" s="14" t="s">
        <v>2272</v>
      </c>
      <c r="D876" s="14" t="s">
        <v>4487</v>
      </c>
      <c r="E876" s="11" t="s">
        <v>4487</v>
      </c>
      <c r="F876" s="4" t="s">
        <v>1523</v>
      </c>
      <c r="H876" s="6"/>
    </row>
    <row r="877" spans="1:8" x14ac:dyDescent="0.2">
      <c r="A877" s="14" t="s">
        <v>2273</v>
      </c>
      <c r="B877" s="14" t="s">
        <v>3613</v>
      </c>
      <c r="C877" s="14" t="s">
        <v>2273</v>
      </c>
      <c r="D877" s="14" t="s">
        <v>4488</v>
      </c>
      <c r="E877" s="11" t="s">
        <v>4488</v>
      </c>
      <c r="F877" s="4" t="s">
        <v>1523</v>
      </c>
      <c r="H877" s="6"/>
    </row>
    <row r="878" spans="1:8" x14ac:dyDescent="0.2">
      <c r="A878" s="14" t="s">
        <v>2274</v>
      </c>
      <c r="B878" s="14" t="s">
        <v>3613</v>
      </c>
      <c r="C878" s="14" t="s">
        <v>2274</v>
      </c>
      <c r="D878" s="14" t="s">
        <v>4489</v>
      </c>
      <c r="E878" s="11" t="s">
        <v>4489</v>
      </c>
      <c r="F878" s="4" t="s">
        <v>1523</v>
      </c>
      <c r="H878" s="6"/>
    </row>
    <row r="879" spans="1:8" x14ac:dyDescent="0.2">
      <c r="A879" s="14" t="s">
        <v>2275</v>
      </c>
      <c r="B879" s="14" t="s">
        <v>3613</v>
      </c>
      <c r="C879" s="14" t="s">
        <v>2275</v>
      </c>
      <c r="D879" s="14" t="s">
        <v>4490</v>
      </c>
      <c r="E879" s="11" t="s">
        <v>4490</v>
      </c>
      <c r="F879" s="4" t="s">
        <v>1523</v>
      </c>
      <c r="H879" s="6"/>
    </row>
    <row r="880" spans="1:8" x14ac:dyDescent="0.2">
      <c r="A880" s="14" t="s">
        <v>2276</v>
      </c>
      <c r="B880" s="14" t="s">
        <v>3613</v>
      </c>
      <c r="C880" s="14" t="s">
        <v>2276</v>
      </c>
      <c r="D880" s="14" t="s">
        <v>4491</v>
      </c>
      <c r="E880" s="11" t="s">
        <v>4491</v>
      </c>
      <c r="F880" s="4" t="s">
        <v>1523</v>
      </c>
      <c r="H880" s="6"/>
    </row>
    <row r="881" spans="1:8" x14ac:dyDescent="0.2">
      <c r="A881" s="14" t="s">
        <v>2277</v>
      </c>
      <c r="B881" s="14" t="s">
        <v>3613</v>
      </c>
      <c r="C881" s="14" t="s">
        <v>2277</v>
      </c>
      <c r="D881" s="14" t="s">
        <v>4492</v>
      </c>
      <c r="E881" s="11" t="s">
        <v>4492</v>
      </c>
      <c r="F881" s="4" t="s">
        <v>1523</v>
      </c>
      <c r="H881" s="6"/>
    </row>
    <row r="882" spans="1:8" x14ac:dyDescent="0.2">
      <c r="A882" s="14" t="s">
        <v>2278</v>
      </c>
      <c r="B882" s="14" t="s">
        <v>3613</v>
      </c>
      <c r="C882" s="14" t="s">
        <v>2278</v>
      </c>
      <c r="D882" s="14" t="s">
        <v>4493</v>
      </c>
      <c r="E882" s="11" t="s">
        <v>4493</v>
      </c>
      <c r="F882" s="4" t="s">
        <v>1523</v>
      </c>
      <c r="H882" s="6"/>
    </row>
    <row r="883" spans="1:8" x14ac:dyDescent="0.2">
      <c r="A883" s="14" t="s">
        <v>2279</v>
      </c>
      <c r="B883" s="14" t="s">
        <v>3613</v>
      </c>
      <c r="C883" s="14" t="s">
        <v>2279</v>
      </c>
      <c r="D883" s="14" t="s">
        <v>4494</v>
      </c>
      <c r="E883" s="11" t="s">
        <v>4494</v>
      </c>
      <c r="F883" s="4" t="s">
        <v>1523</v>
      </c>
      <c r="H883" s="6"/>
    </row>
    <row r="884" spans="1:8" x14ac:dyDescent="0.2">
      <c r="A884" s="14" t="s">
        <v>2280</v>
      </c>
      <c r="B884" s="14" t="s">
        <v>3613</v>
      </c>
      <c r="C884" s="14" t="s">
        <v>2280</v>
      </c>
      <c r="D884" s="14" t="s">
        <v>4495</v>
      </c>
      <c r="E884" s="11" t="s">
        <v>4495</v>
      </c>
      <c r="F884" s="4" t="s">
        <v>1523</v>
      </c>
      <c r="H884" s="6"/>
    </row>
    <row r="885" spans="1:8" x14ac:dyDescent="0.2">
      <c r="A885" s="14" t="s">
        <v>2281</v>
      </c>
      <c r="B885" s="14" t="s">
        <v>3613</v>
      </c>
      <c r="C885" s="14" t="s">
        <v>2281</v>
      </c>
      <c r="D885" s="14" t="s">
        <v>4496</v>
      </c>
      <c r="E885" s="11" t="s">
        <v>4496</v>
      </c>
      <c r="F885" s="4" t="s">
        <v>1523</v>
      </c>
      <c r="H885" s="6"/>
    </row>
    <row r="886" spans="1:8" x14ac:dyDescent="0.2">
      <c r="A886" s="14" t="s">
        <v>2282</v>
      </c>
      <c r="B886" s="14" t="s">
        <v>3613</v>
      </c>
      <c r="C886" s="14" t="s">
        <v>2282</v>
      </c>
      <c r="D886" s="14" t="s">
        <v>4497</v>
      </c>
      <c r="E886" s="11" t="s">
        <v>4497</v>
      </c>
      <c r="F886" s="4" t="s">
        <v>1523</v>
      </c>
      <c r="H886" s="6"/>
    </row>
    <row r="887" spans="1:8" x14ac:dyDescent="0.2">
      <c r="A887" s="14" t="s">
        <v>2283</v>
      </c>
      <c r="B887" s="14" t="s">
        <v>3613</v>
      </c>
      <c r="C887" s="14" t="s">
        <v>2283</v>
      </c>
      <c r="D887" s="14" t="s">
        <v>4498</v>
      </c>
      <c r="E887" s="11" t="s">
        <v>4498</v>
      </c>
      <c r="F887" s="4" t="s">
        <v>1523</v>
      </c>
      <c r="H887" s="6"/>
    </row>
    <row r="888" spans="1:8" x14ac:dyDescent="0.2">
      <c r="A888" s="14" t="s">
        <v>2284</v>
      </c>
      <c r="B888" s="14" t="s">
        <v>3613</v>
      </c>
      <c r="C888" s="14" t="s">
        <v>2284</v>
      </c>
      <c r="D888" s="14" t="s">
        <v>4499</v>
      </c>
      <c r="E888" s="11" t="s">
        <v>4499</v>
      </c>
      <c r="F888" s="4" t="s">
        <v>1523</v>
      </c>
      <c r="H888" s="6"/>
    </row>
    <row r="889" spans="1:8" x14ac:dyDescent="0.2">
      <c r="A889" s="14" t="s">
        <v>2285</v>
      </c>
      <c r="B889" s="14" t="s">
        <v>3612</v>
      </c>
      <c r="C889" s="14" t="s">
        <v>756</v>
      </c>
      <c r="D889" s="14" t="s">
        <v>4500</v>
      </c>
      <c r="E889" s="11" t="s">
        <v>3959</v>
      </c>
      <c r="F889" s="4" t="s">
        <v>1523</v>
      </c>
      <c r="H889" s="6"/>
    </row>
    <row r="890" spans="1:8" x14ac:dyDescent="0.2">
      <c r="A890" s="14" t="s">
        <v>2286</v>
      </c>
      <c r="B890" s="14" t="s">
        <v>3612</v>
      </c>
      <c r="C890" s="14" t="s">
        <v>757</v>
      </c>
      <c r="D890" s="14" t="s">
        <v>4501</v>
      </c>
      <c r="E890" s="11" t="s">
        <v>3960</v>
      </c>
      <c r="F890" s="4" t="s">
        <v>1523</v>
      </c>
      <c r="H890" s="6"/>
    </row>
    <row r="891" spans="1:8" x14ac:dyDescent="0.2">
      <c r="A891" s="14" t="s">
        <v>2287</v>
      </c>
      <c r="B891" s="14" t="s">
        <v>3612</v>
      </c>
      <c r="C891" s="14" t="s">
        <v>758</v>
      </c>
      <c r="D891" s="14" t="s">
        <v>4502</v>
      </c>
      <c r="E891" s="11" t="s">
        <v>3961</v>
      </c>
      <c r="F891" s="4" t="s">
        <v>1523</v>
      </c>
      <c r="H891" s="6"/>
    </row>
    <row r="892" spans="1:8" x14ac:dyDescent="0.2">
      <c r="A892" s="14" t="s">
        <v>2288</v>
      </c>
      <c r="B892" s="14" t="s">
        <v>3612</v>
      </c>
      <c r="C892" s="14" t="s">
        <v>2303</v>
      </c>
      <c r="D892" s="14" t="s">
        <v>4503</v>
      </c>
      <c r="E892" s="11" t="s">
        <v>4518</v>
      </c>
      <c r="F892" s="4" t="s">
        <v>1523</v>
      </c>
      <c r="H892" s="6"/>
    </row>
    <row r="893" spans="1:8" x14ac:dyDescent="0.2">
      <c r="A893" s="14" t="s">
        <v>2289</v>
      </c>
      <c r="B893" s="14" t="s">
        <v>3612</v>
      </c>
      <c r="C893" s="14" t="s">
        <v>764</v>
      </c>
      <c r="D893" s="14" t="s">
        <v>4504</v>
      </c>
      <c r="E893" s="11" t="s">
        <v>3966</v>
      </c>
      <c r="F893" s="4" t="s">
        <v>1523</v>
      </c>
      <c r="H893" s="6"/>
    </row>
    <row r="894" spans="1:8" x14ac:dyDescent="0.2">
      <c r="A894" s="14" t="s">
        <v>2290</v>
      </c>
      <c r="B894" s="14" t="s">
        <v>3612</v>
      </c>
      <c r="C894" s="14" t="s">
        <v>765</v>
      </c>
      <c r="D894" s="14" t="s">
        <v>4505</v>
      </c>
      <c r="E894" s="11" t="s">
        <v>3967</v>
      </c>
      <c r="F894" s="4" t="s">
        <v>1523</v>
      </c>
      <c r="H894" s="6"/>
    </row>
    <row r="895" spans="1:8" x14ac:dyDescent="0.2">
      <c r="A895" s="14" t="s">
        <v>2291</v>
      </c>
      <c r="B895" s="14" t="s">
        <v>3612</v>
      </c>
      <c r="C895" s="14" t="s">
        <v>766</v>
      </c>
      <c r="D895" s="14" t="s">
        <v>4506</v>
      </c>
      <c r="E895" s="11" t="s">
        <v>3968</v>
      </c>
      <c r="F895" s="4" t="s">
        <v>1523</v>
      </c>
      <c r="H895" s="6"/>
    </row>
    <row r="896" spans="1:8" x14ac:dyDescent="0.2">
      <c r="A896" s="14" t="s">
        <v>2292</v>
      </c>
      <c r="B896" s="14" t="s">
        <v>3612</v>
      </c>
      <c r="C896" s="14" t="s">
        <v>767</v>
      </c>
      <c r="D896" s="14" t="s">
        <v>4507</v>
      </c>
      <c r="E896" s="11" t="s">
        <v>3969</v>
      </c>
      <c r="F896" s="4" t="s">
        <v>1523</v>
      </c>
      <c r="H896" s="6"/>
    </row>
    <row r="897" spans="1:8" x14ac:dyDescent="0.2">
      <c r="A897" s="14" t="s">
        <v>2293</v>
      </c>
      <c r="B897" s="14" t="s">
        <v>3612</v>
      </c>
      <c r="C897" s="14" t="s">
        <v>768</v>
      </c>
      <c r="D897" s="14" t="s">
        <v>4508</v>
      </c>
      <c r="E897" s="11" t="s">
        <v>3970</v>
      </c>
      <c r="F897" s="4" t="s">
        <v>1523</v>
      </c>
      <c r="H897" s="6"/>
    </row>
    <row r="898" spans="1:8" x14ac:dyDescent="0.2">
      <c r="A898" s="14" t="s">
        <v>2294</v>
      </c>
      <c r="B898" s="14" t="s">
        <v>3612</v>
      </c>
      <c r="C898" s="14" t="s">
        <v>2305</v>
      </c>
      <c r="D898" s="14" t="s">
        <v>4509</v>
      </c>
      <c r="E898" s="11" t="s">
        <v>4520</v>
      </c>
      <c r="F898" s="4" t="s">
        <v>1523</v>
      </c>
      <c r="H898" s="6"/>
    </row>
    <row r="899" spans="1:8" x14ac:dyDescent="0.2">
      <c r="A899" s="14" t="s">
        <v>2295</v>
      </c>
      <c r="B899" s="14" t="s">
        <v>3612</v>
      </c>
      <c r="C899" s="14" t="s">
        <v>774</v>
      </c>
      <c r="D899" s="14" t="s">
        <v>4510</v>
      </c>
      <c r="E899" s="11" t="s">
        <v>3976</v>
      </c>
      <c r="F899" s="4" t="s">
        <v>1523</v>
      </c>
      <c r="H899" s="6"/>
    </row>
    <row r="900" spans="1:8" x14ac:dyDescent="0.2">
      <c r="A900" s="14" t="s">
        <v>2296</v>
      </c>
      <c r="B900" s="14" t="s">
        <v>3612</v>
      </c>
      <c r="C900" s="14" t="s">
        <v>775</v>
      </c>
      <c r="D900" s="14" t="s">
        <v>4511</v>
      </c>
      <c r="E900" s="11" t="s">
        <v>3977</v>
      </c>
      <c r="F900" s="4" t="s">
        <v>1523</v>
      </c>
      <c r="H900" s="6"/>
    </row>
    <row r="901" spans="1:8" x14ac:dyDescent="0.2">
      <c r="A901" s="14" t="s">
        <v>2297</v>
      </c>
      <c r="B901" s="14" t="s">
        <v>3612</v>
      </c>
      <c r="C901" s="14" t="s">
        <v>3297</v>
      </c>
      <c r="D901" s="14" t="s">
        <v>4512</v>
      </c>
      <c r="E901" s="11" t="s">
        <v>3840</v>
      </c>
      <c r="F901" s="4" t="s">
        <v>1523</v>
      </c>
      <c r="H901" s="6"/>
    </row>
    <row r="902" spans="1:8" x14ac:dyDescent="0.2">
      <c r="A902" s="14" t="s">
        <v>2298</v>
      </c>
      <c r="B902" s="14" t="s">
        <v>3612</v>
      </c>
      <c r="C902" s="14" t="s">
        <v>3298</v>
      </c>
      <c r="D902" s="14" t="s">
        <v>4513</v>
      </c>
      <c r="E902" s="11" t="s">
        <v>3841</v>
      </c>
      <c r="F902" s="4" t="s">
        <v>1523</v>
      </c>
      <c r="H902" s="6"/>
    </row>
    <row r="903" spans="1:8" x14ac:dyDescent="0.2">
      <c r="A903" s="14" t="s">
        <v>2299</v>
      </c>
      <c r="B903" s="14" t="s">
        <v>3612</v>
      </c>
      <c r="C903" s="14" t="s">
        <v>3299</v>
      </c>
      <c r="D903" s="14" t="s">
        <v>4514</v>
      </c>
      <c r="E903" s="11" t="s">
        <v>3842</v>
      </c>
      <c r="F903" s="4" t="s">
        <v>1523</v>
      </c>
      <c r="H903" s="6"/>
    </row>
    <row r="904" spans="1:8" x14ac:dyDescent="0.2">
      <c r="A904" s="14" t="s">
        <v>2300</v>
      </c>
      <c r="B904" s="14" t="s">
        <v>3612</v>
      </c>
      <c r="C904" s="14" t="s">
        <v>3300</v>
      </c>
      <c r="D904" s="14" t="s">
        <v>4515</v>
      </c>
      <c r="E904" s="11" t="s">
        <v>3843</v>
      </c>
      <c r="F904" s="4" t="s">
        <v>1523</v>
      </c>
      <c r="H904" s="6"/>
    </row>
    <row r="905" spans="1:8" x14ac:dyDescent="0.2">
      <c r="A905" s="14" t="s">
        <v>2301</v>
      </c>
      <c r="B905" s="14" t="s">
        <v>3612</v>
      </c>
      <c r="C905" s="14" t="s">
        <v>3301</v>
      </c>
      <c r="D905" s="14" t="s">
        <v>4516</v>
      </c>
      <c r="E905" s="11" t="s">
        <v>3844</v>
      </c>
      <c r="F905" s="4" t="s">
        <v>1523</v>
      </c>
      <c r="H905" s="6"/>
    </row>
    <row r="906" spans="1:8" x14ac:dyDescent="0.2">
      <c r="A906" s="14" t="s">
        <v>2302</v>
      </c>
      <c r="B906" s="14" t="s">
        <v>3612</v>
      </c>
      <c r="C906" s="14" t="s">
        <v>3302</v>
      </c>
      <c r="D906" s="14" t="s">
        <v>4517</v>
      </c>
      <c r="E906" s="11" t="s">
        <v>3845</v>
      </c>
      <c r="F906" s="4" t="s">
        <v>1523</v>
      </c>
      <c r="H906" s="6"/>
    </row>
    <row r="907" spans="1:8" x14ac:dyDescent="0.2">
      <c r="A907" s="14" t="s">
        <v>756</v>
      </c>
      <c r="B907" s="14" t="s">
        <v>3613</v>
      </c>
      <c r="C907" s="14" t="s">
        <v>756</v>
      </c>
      <c r="D907" s="14" t="s">
        <v>3959</v>
      </c>
      <c r="E907" s="11" t="s">
        <v>3959</v>
      </c>
      <c r="F907" s="4" t="s">
        <v>1523</v>
      </c>
    </row>
    <row r="908" spans="1:8" x14ac:dyDescent="0.2">
      <c r="A908" s="14" t="s">
        <v>757</v>
      </c>
      <c r="B908" s="14" t="s">
        <v>3613</v>
      </c>
      <c r="C908" s="14" t="s">
        <v>757</v>
      </c>
      <c r="D908" s="14" t="s">
        <v>3960</v>
      </c>
      <c r="E908" s="11" t="s">
        <v>3960</v>
      </c>
      <c r="F908" s="4" t="s">
        <v>1523</v>
      </c>
    </row>
    <row r="909" spans="1:8" x14ac:dyDescent="0.2">
      <c r="A909" s="14" t="s">
        <v>758</v>
      </c>
      <c r="B909" s="14" t="s">
        <v>3613</v>
      </c>
      <c r="C909" s="14" t="s">
        <v>758</v>
      </c>
      <c r="D909" s="14" t="s">
        <v>3961</v>
      </c>
      <c r="E909" s="11" t="s">
        <v>3961</v>
      </c>
      <c r="F909" s="4" t="s">
        <v>1523</v>
      </c>
    </row>
    <row r="910" spans="1:8" x14ac:dyDescent="0.2">
      <c r="A910" s="14" t="s">
        <v>2303</v>
      </c>
      <c r="B910" s="14" t="s">
        <v>3613</v>
      </c>
      <c r="C910" s="14" t="s">
        <v>2303</v>
      </c>
      <c r="D910" s="14" t="s">
        <v>4518</v>
      </c>
      <c r="E910" s="11" t="s">
        <v>4518</v>
      </c>
      <c r="F910" s="4" t="s">
        <v>1523</v>
      </c>
      <c r="H910" s="6"/>
    </row>
    <row r="911" spans="1:8" x14ac:dyDescent="0.2">
      <c r="A911" s="14" t="s">
        <v>759</v>
      </c>
      <c r="B911" s="14" t="s">
        <v>3613</v>
      </c>
      <c r="C911" s="14" t="s">
        <v>759</v>
      </c>
      <c r="D911" s="14" t="s">
        <v>3962</v>
      </c>
      <c r="E911" s="11" t="s">
        <v>3962</v>
      </c>
      <c r="F911" s="4" t="s">
        <v>1523</v>
      </c>
    </row>
    <row r="912" spans="1:8" x14ac:dyDescent="0.2">
      <c r="A912" s="14" t="s">
        <v>760</v>
      </c>
      <c r="B912" s="14" t="s">
        <v>3613</v>
      </c>
      <c r="C912" s="14" t="s">
        <v>760</v>
      </c>
      <c r="D912" s="14" t="s">
        <v>3963</v>
      </c>
      <c r="E912" s="11" t="s">
        <v>3963</v>
      </c>
      <c r="F912" s="4" t="s">
        <v>1523</v>
      </c>
    </row>
    <row r="913" spans="1:8" x14ac:dyDescent="0.2">
      <c r="A913" s="14" t="s">
        <v>761</v>
      </c>
      <c r="B913" s="14" t="s">
        <v>3613</v>
      </c>
      <c r="C913" s="14" t="s">
        <v>761</v>
      </c>
      <c r="D913" s="14" t="s">
        <v>3964</v>
      </c>
      <c r="E913" s="11" t="s">
        <v>3964</v>
      </c>
      <c r="F913" s="4" t="s">
        <v>1523</v>
      </c>
    </row>
    <row r="914" spans="1:8" x14ac:dyDescent="0.2">
      <c r="A914" s="14" t="s">
        <v>2304</v>
      </c>
      <c r="B914" s="14" t="s">
        <v>3613</v>
      </c>
      <c r="C914" s="14" t="s">
        <v>2304</v>
      </c>
      <c r="D914" s="14" t="s">
        <v>4519</v>
      </c>
      <c r="E914" s="11" t="s">
        <v>4519</v>
      </c>
      <c r="F914" s="4" t="s">
        <v>1523</v>
      </c>
      <c r="H914" s="6"/>
    </row>
    <row r="915" spans="1:8" x14ac:dyDescent="0.2">
      <c r="A915" s="14" t="s">
        <v>762</v>
      </c>
      <c r="B915" s="14" t="s">
        <v>3613</v>
      </c>
      <c r="C915" s="14" t="s">
        <v>762</v>
      </c>
      <c r="D915" s="14" t="s">
        <v>3962</v>
      </c>
      <c r="E915" s="11" t="s">
        <v>3962</v>
      </c>
      <c r="F915" s="4" t="s">
        <v>1523</v>
      </c>
    </row>
    <row r="916" spans="1:8" x14ac:dyDescent="0.2">
      <c r="A916" s="14" t="s">
        <v>763</v>
      </c>
      <c r="B916" s="14" t="s">
        <v>3613</v>
      </c>
      <c r="C916" s="14" t="s">
        <v>763</v>
      </c>
      <c r="D916" s="14" t="s">
        <v>3965</v>
      </c>
      <c r="E916" s="11" t="s">
        <v>3965</v>
      </c>
      <c r="F916" s="4" t="s">
        <v>1523</v>
      </c>
    </row>
    <row r="917" spans="1:8" x14ac:dyDescent="0.2">
      <c r="A917" s="14" t="s">
        <v>764</v>
      </c>
      <c r="B917" s="14" t="s">
        <v>3613</v>
      </c>
      <c r="C917" s="14" t="s">
        <v>764</v>
      </c>
      <c r="D917" s="14" t="s">
        <v>3966</v>
      </c>
      <c r="E917" s="11" t="s">
        <v>3966</v>
      </c>
      <c r="F917" s="4" t="s">
        <v>1523</v>
      </c>
    </row>
    <row r="918" spans="1:8" x14ac:dyDescent="0.2">
      <c r="A918" s="14" t="s">
        <v>765</v>
      </c>
      <c r="B918" s="14" t="s">
        <v>3613</v>
      </c>
      <c r="C918" s="14" t="s">
        <v>765</v>
      </c>
      <c r="D918" s="14" t="s">
        <v>3967</v>
      </c>
      <c r="E918" s="11" t="s">
        <v>3967</v>
      </c>
      <c r="F918" s="4" t="s">
        <v>1523</v>
      </c>
    </row>
    <row r="919" spans="1:8" x14ac:dyDescent="0.2">
      <c r="A919" s="14" t="s">
        <v>766</v>
      </c>
      <c r="B919" s="14" t="s">
        <v>3613</v>
      </c>
      <c r="C919" s="14" t="s">
        <v>766</v>
      </c>
      <c r="D919" s="14" t="s">
        <v>3968</v>
      </c>
      <c r="E919" s="11" t="s">
        <v>3968</v>
      </c>
      <c r="F919" s="4" t="s">
        <v>1523</v>
      </c>
    </row>
    <row r="920" spans="1:8" x14ac:dyDescent="0.2">
      <c r="A920" s="14" t="s">
        <v>767</v>
      </c>
      <c r="B920" s="14" t="s">
        <v>3613</v>
      </c>
      <c r="C920" s="14" t="s">
        <v>767</v>
      </c>
      <c r="D920" s="14" t="s">
        <v>3969</v>
      </c>
      <c r="E920" s="11" t="s">
        <v>3969</v>
      </c>
      <c r="F920" s="4" t="s">
        <v>1523</v>
      </c>
    </row>
    <row r="921" spans="1:8" x14ac:dyDescent="0.2">
      <c r="A921" s="14" t="s">
        <v>768</v>
      </c>
      <c r="B921" s="14" t="s">
        <v>3613</v>
      </c>
      <c r="C921" s="14" t="s">
        <v>768</v>
      </c>
      <c r="D921" s="14" t="s">
        <v>3970</v>
      </c>
      <c r="E921" s="11" t="s">
        <v>3970</v>
      </c>
      <c r="F921" s="4" t="s">
        <v>1523</v>
      </c>
    </row>
    <row r="922" spans="1:8" x14ac:dyDescent="0.2">
      <c r="A922" s="14" t="s">
        <v>2305</v>
      </c>
      <c r="B922" s="14" t="s">
        <v>3613</v>
      </c>
      <c r="C922" s="14" t="s">
        <v>2305</v>
      </c>
      <c r="D922" s="14" t="s">
        <v>4520</v>
      </c>
      <c r="E922" s="11" t="s">
        <v>4520</v>
      </c>
      <c r="F922" s="4" t="s">
        <v>1523</v>
      </c>
      <c r="H922" s="6"/>
    </row>
    <row r="923" spans="1:8" x14ac:dyDescent="0.2">
      <c r="A923" s="14" t="s">
        <v>769</v>
      </c>
      <c r="B923" s="14" t="s">
        <v>3613</v>
      </c>
      <c r="C923" s="14" t="s">
        <v>769</v>
      </c>
      <c r="D923" s="14" t="s">
        <v>3971</v>
      </c>
      <c r="E923" s="11" t="s">
        <v>3971</v>
      </c>
      <c r="F923" s="4" t="s">
        <v>1523</v>
      </c>
    </row>
    <row r="924" spans="1:8" x14ac:dyDescent="0.2">
      <c r="A924" s="14" t="s">
        <v>770</v>
      </c>
      <c r="B924" s="14" t="s">
        <v>3613</v>
      </c>
      <c r="C924" s="14" t="s">
        <v>770</v>
      </c>
      <c r="D924" s="14" t="s">
        <v>3972</v>
      </c>
      <c r="E924" s="11" t="s">
        <v>3972</v>
      </c>
      <c r="F924" s="4" t="s">
        <v>1523</v>
      </c>
    </row>
    <row r="925" spans="1:8" x14ac:dyDescent="0.2">
      <c r="A925" s="14" t="s">
        <v>771</v>
      </c>
      <c r="B925" s="14" t="s">
        <v>3613</v>
      </c>
      <c r="C925" s="14" t="s">
        <v>771</v>
      </c>
      <c r="D925" s="14" t="s">
        <v>3973</v>
      </c>
      <c r="E925" s="11" t="s">
        <v>3973</v>
      </c>
      <c r="F925" s="4" t="s">
        <v>1523</v>
      </c>
    </row>
    <row r="926" spans="1:8" x14ac:dyDescent="0.2">
      <c r="A926" s="14" t="s">
        <v>2306</v>
      </c>
      <c r="B926" s="14" t="s">
        <v>3613</v>
      </c>
      <c r="C926" s="14" t="s">
        <v>2306</v>
      </c>
      <c r="D926" s="14" t="s">
        <v>4521</v>
      </c>
      <c r="E926" s="11" t="s">
        <v>4521</v>
      </c>
      <c r="F926" s="4" t="s">
        <v>1523</v>
      </c>
      <c r="H926" s="6"/>
    </row>
    <row r="927" spans="1:8" x14ac:dyDescent="0.2">
      <c r="A927" s="14" t="s">
        <v>772</v>
      </c>
      <c r="B927" s="14" t="s">
        <v>3613</v>
      </c>
      <c r="C927" s="14" t="s">
        <v>772</v>
      </c>
      <c r="D927" s="14" t="s">
        <v>3974</v>
      </c>
      <c r="E927" s="11" t="s">
        <v>3974</v>
      </c>
      <c r="F927" s="4" t="s">
        <v>1523</v>
      </c>
    </row>
    <row r="928" spans="1:8" x14ac:dyDescent="0.2">
      <c r="A928" s="14" t="s">
        <v>773</v>
      </c>
      <c r="B928" s="14" t="s">
        <v>3613</v>
      </c>
      <c r="C928" s="14" t="s">
        <v>773</v>
      </c>
      <c r="D928" s="14" t="s">
        <v>3975</v>
      </c>
      <c r="E928" s="11" t="s">
        <v>3975</v>
      </c>
      <c r="F928" s="4" t="s">
        <v>1523</v>
      </c>
    </row>
    <row r="929" spans="1:8" x14ac:dyDescent="0.2">
      <c r="A929" s="14" t="s">
        <v>774</v>
      </c>
      <c r="B929" s="14" t="s">
        <v>3613</v>
      </c>
      <c r="C929" s="14" t="s">
        <v>774</v>
      </c>
      <c r="D929" s="14" t="s">
        <v>3976</v>
      </c>
      <c r="E929" s="11" t="s">
        <v>3976</v>
      </c>
      <c r="F929" s="4" t="s">
        <v>1523</v>
      </c>
    </row>
    <row r="930" spans="1:8" x14ac:dyDescent="0.2">
      <c r="A930" s="14" t="s">
        <v>775</v>
      </c>
      <c r="B930" s="14" t="s">
        <v>3613</v>
      </c>
      <c r="C930" s="14" t="s">
        <v>775</v>
      </c>
      <c r="D930" s="14" t="s">
        <v>3977</v>
      </c>
      <c r="E930" s="11" t="s">
        <v>3977</v>
      </c>
      <c r="F930" s="4" t="s">
        <v>1523</v>
      </c>
    </row>
    <row r="931" spans="1:8" x14ac:dyDescent="0.2">
      <c r="A931" s="14" t="s">
        <v>2307</v>
      </c>
      <c r="B931" s="14" t="s">
        <v>3612</v>
      </c>
      <c r="C931" s="14" t="s">
        <v>3303</v>
      </c>
      <c r="D931" s="14" t="s">
        <v>4522</v>
      </c>
      <c r="E931" s="11" t="s">
        <v>3764</v>
      </c>
      <c r="F931" s="4" t="s">
        <v>1523</v>
      </c>
      <c r="H931" s="6"/>
    </row>
    <row r="932" spans="1:8" x14ac:dyDescent="0.2">
      <c r="A932" s="14" t="s">
        <v>2308</v>
      </c>
      <c r="B932" s="14" t="s">
        <v>3612</v>
      </c>
      <c r="C932" s="14" t="s">
        <v>3304</v>
      </c>
      <c r="D932" s="14" t="s">
        <v>4523</v>
      </c>
      <c r="E932" s="11" t="s">
        <v>3764</v>
      </c>
      <c r="F932" s="4" t="s">
        <v>1523</v>
      </c>
      <c r="H932" s="6"/>
    </row>
    <row r="933" spans="1:8" x14ac:dyDescent="0.2">
      <c r="A933" s="14" t="s">
        <v>2309</v>
      </c>
      <c r="B933" s="14" t="s">
        <v>3612</v>
      </c>
      <c r="C933" s="14" t="s">
        <v>3305</v>
      </c>
      <c r="D933" s="14" t="s">
        <v>4524</v>
      </c>
      <c r="E933" s="11" t="s">
        <v>3764</v>
      </c>
      <c r="F933" s="4" t="s">
        <v>1523</v>
      </c>
      <c r="H933" s="7"/>
    </row>
    <row r="934" spans="1:8" x14ac:dyDescent="0.2">
      <c r="A934" s="14" t="s">
        <v>2310</v>
      </c>
      <c r="B934" s="14" t="s">
        <v>3612</v>
      </c>
      <c r="C934" s="14" t="s">
        <v>3306</v>
      </c>
      <c r="D934" s="14" t="s">
        <v>4525</v>
      </c>
      <c r="E934" s="11" t="s">
        <v>3764</v>
      </c>
      <c r="F934" s="4" t="s">
        <v>1523</v>
      </c>
      <c r="H934" s="6"/>
    </row>
    <row r="935" spans="1:8" x14ac:dyDescent="0.2">
      <c r="A935" s="14" t="s">
        <v>2311</v>
      </c>
      <c r="B935" s="14" t="s">
        <v>3612</v>
      </c>
      <c r="C935" s="14" t="s">
        <v>3307</v>
      </c>
      <c r="D935" s="14" t="s">
        <v>4526</v>
      </c>
      <c r="E935" s="11" t="s">
        <v>3764</v>
      </c>
      <c r="F935" s="4" t="s">
        <v>1523</v>
      </c>
      <c r="H935" s="6"/>
    </row>
    <row r="936" spans="1:8" x14ac:dyDescent="0.2">
      <c r="A936" s="14" t="s">
        <v>2312</v>
      </c>
      <c r="B936" s="14" t="s">
        <v>3612</v>
      </c>
      <c r="C936" s="14" t="s">
        <v>3308</v>
      </c>
      <c r="D936" s="14" t="s">
        <v>4527</v>
      </c>
      <c r="E936" s="11" t="s">
        <v>3764</v>
      </c>
      <c r="F936" s="4" t="s">
        <v>1523</v>
      </c>
      <c r="H936" s="6"/>
    </row>
    <row r="937" spans="1:8" x14ac:dyDescent="0.2">
      <c r="A937" s="14" t="s">
        <v>2313</v>
      </c>
      <c r="B937" s="14" t="s">
        <v>3612</v>
      </c>
      <c r="C937" s="14" t="s">
        <v>3309</v>
      </c>
      <c r="D937" s="14" t="s">
        <v>4528</v>
      </c>
      <c r="E937" s="11" t="s">
        <v>3765</v>
      </c>
      <c r="F937" s="4" t="s">
        <v>1523</v>
      </c>
      <c r="H937" s="6"/>
    </row>
    <row r="938" spans="1:8" x14ac:dyDescent="0.2">
      <c r="A938" s="14" t="s">
        <v>2314</v>
      </c>
      <c r="B938" s="14" t="s">
        <v>3612</v>
      </c>
      <c r="C938" s="14" t="s">
        <v>3310</v>
      </c>
      <c r="D938" s="14" t="s">
        <v>4529</v>
      </c>
      <c r="E938" s="11" t="s">
        <v>3765</v>
      </c>
      <c r="F938" s="4" t="s">
        <v>1523</v>
      </c>
      <c r="H938" s="6"/>
    </row>
    <row r="939" spans="1:8" x14ac:dyDescent="0.2">
      <c r="A939" s="14" t="s">
        <v>2315</v>
      </c>
      <c r="B939" s="14" t="s">
        <v>3612</v>
      </c>
      <c r="C939" s="14" t="s">
        <v>3311</v>
      </c>
      <c r="D939" s="14" t="s">
        <v>4530</v>
      </c>
      <c r="E939" s="11" t="s">
        <v>3765</v>
      </c>
      <c r="F939" s="4" t="s">
        <v>1523</v>
      </c>
      <c r="H939" s="6"/>
    </row>
    <row r="940" spans="1:8" x14ac:dyDescent="0.2">
      <c r="A940" s="14" t="s">
        <v>2316</v>
      </c>
      <c r="B940" s="14" t="s">
        <v>3612</v>
      </c>
      <c r="C940" s="14" t="s">
        <v>3312</v>
      </c>
      <c r="D940" s="14" t="s">
        <v>4531</v>
      </c>
      <c r="E940" s="11" t="s">
        <v>3765</v>
      </c>
      <c r="F940" s="4" t="s">
        <v>1523</v>
      </c>
      <c r="H940" s="7"/>
    </row>
    <row r="941" spans="1:8" x14ac:dyDescent="0.2">
      <c r="A941" s="14" t="s">
        <v>2317</v>
      </c>
      <c r="B941" s="14" t="s">
        <v>3612</v>
      </c>
      <c r="C941" s="14" t="s">
        <v>3313</v>
      </c>
      <c r="D941" s="14" t="s">
        <v>4532</v>
      </c>
      <c r="E941" s="11" t="s">
        <v>3765</v>
      </c>
      <c r="F941" s="4" t="s">
        <v>1523</v>
      </c>
      <c r="H941" s="6"/>
    </row>
    <row r="942" spans="1:8" x14ac:dyDescent="0.2">
      <c r="A942" s="14" t="s">
        <v>2318</v>
      </c>
      <c r="B942" s="14" t="s">
        <v>3612</v>
      </c>
      <c r="C942" s="14" t="s">
        <v>3314</v>
      </c>
      <c r="D942" s="14" t="s">
        <v>4533</v>
      </c>
      <c r="E942" s="11" t="s">
        <v>3765</v>
      </c>
      <c r="F942" s="4" t="s">
        <v>1523</v>
      </c>
      <c r="H942" s="6"/>
    </row>
    <row r="943" spans="1:8" x14ac:dyDescent="0.2">
      <c r="A943" s="14" t="s">
        <v>2319</v>
      </c>
      <c r="B943" s="14" t="s">
        <v>3612</v>
      </c>
      <c r="C943" s="14" t="s">
        <v>3315</v>
      </c>
      <c r="D943" s="14" t="s">
        <v>4534</v>
      </c>
      <c r="E943" s="11" t="s">
        <v>3766</v>
      </c>
      <c r="F943" s="4" t="s">
        <v>1523</v>
      </c>
      <c r="H943" s="6"/>
    </row>
    <row r="944" spans="1:8" x14ac:dyDescent="0.2">
      <c r="A944" s="14" t="s">
        <v>2320</v>
      </c>
      <c r="B944" s="14" t="s">
        <v>3612</v>
      </c>
      <c r="C944" s="14" t="s">
        <v>3316</v>
      </c>
      <c r="D944" s="14" t="s">
        <v>4535</v>
      </c>
      <c r="E944" s="11" t="s">
        <v>3766</v>
      </c>
      <c r="F944" s="4" t="s">
        <v>1523</v>
      </c>
      <c r="H944" s="6"/>
    </row>
    <row r="945" spans="1:8" x14ac:dyDescent="0.2">
      <c r="A945" s="14" t="s">
        <v>2321</v>
      </c>
      <c r="B945" s="14" t="s">
        <v>3612</v>
      </c>
      <c r="C945" s="14" t="s">
        <v>3317</v>
      </c>
      <c r="D945" s="14" t="s">
        <v>4536</v>
      </c>
      <c r="E945" s="11" t="s">
        <v>3766</v>
      </c>
      <c r="F945" s="4" t="s">
        <v>1523</v>
      </c>
      <c r="H945" s="6"/>
    </row>
    <row r="946" spans="1:8" x14ac:dyDescent="0.2">
      <c r="A946" s="14" t="s">
        <v>2322</v>
      </c>
      <c r="B946" s="14" t="s">
        <v>3612</v>
      </c>
      <c r="C946" s="14" t="s">
        <v>3318</v>
      </c>
      <c r="D946" s="14" t="s">
        <v>4537</v>
      </c>
      <c r="E946" s="11" t="s">
        <v>3766</v>
      </c>
      <c r="F946" s="4" t="s">
        <v>1523</v>
      </c>
      <c r="H946" s="6"/>
    </row>
    <row r="947" spans="1:8" x14ac:dyDescent="0.2">
      <c r="A947" s="14" t="s">
        <v>2323</v>
      </c>
      <c r="B947" s="14" t="s">
        <v>3612</v>
      </c>
      <c r="C947" s="14" t="s">
        <v>3319</v>
      </c>
      <c r="D947" s="14" t="s">
        <v>4538</v>
      </c>
      <c r="E947" s="11" t="s">
        <v>3766</v>
      </c>
      <c r="F947" s="4" t="s">
        <v>1523</v>
      </c>
      <c r="H947" s="6"/>
    </row>
    <row r="948" spans="1:8" x14ac:dyDescent="0.2">
      <c r="A948" s="14" t="s">
        <v>2324</v>
      </c>
      <c r="B948" s="14" t="s">
        <v>3612</v>
      </c>
      <c r="C948" s="14" t="s">
        <v>3320</v>
      </c>
      <c r="D948" s="14" t="s">
        <v>4539</v>
      </c>
      <c r="E948" s="11" t="s">
        <v>3766</v>
      </c>
      <c r="F948" s="4" t="s">
        <v>1523</v>
      </c>
      <c r="H948" s="6"/>
    </row>
    <row r="949" spans="1:8" x14ac:dyDescent="0.2">
      <c r="A949" s="14" t="s">
        <v>2325</v>
      </c>
      <c r="B949" s="14" t="s">
        <v>3612</v>
      </c>
      <c r="C949" s="14" t="s">
        <v>3321</v>
      </c>
      <c r="D949" s="14" t="s">
        <v>4540</v>
      </c>
      <c r="E949" s="11" t="s">
        <v>3767</v>
      </c>
      <c r="F949" s="4" t="s">
        <v>1523</v>
      </c>
      <c r="H949" s="6"/>
    </row>
    <row r="950" spans="1:8" x14ac:dyDescent="0.2">
      <c r="A950" s="14" t="s">
        <v>2326</v>
      </c>
      <c r="B950" s="14" t="s">
        <v>3612</v>
      </c>
      <c r="C950" s="14" t="s">
        <v>3322</v>
      </c>
      <c r="D950" s="14" t="s">
        <v>4541</v>
      </c>
      <c r="E950" s="11" t="s">
        <v>3767</v>
      </c>
      <c r="F950" s="4" t="s">
        <v>1523</v>
      </c>
      <c r="H950" s="6"/>
    </row>
    <row r="951" spans="1:8" x14ac:dyDescent="0.2">
      <c r="A951" s="14" t="s">
        <v>2327</v>
      </c>
      <c r="B951" s="14" t="s">
        <v>3612</v>
      </c>
      <c r="C951" s="14" t="s">
        <v>3323</v>
      </c>
      <c r="D951" s="14" t="s">
        <v>4542</v>
      </c>
      <c r="E951" s="11" t="s">
        <v>3767</v>
      </c>
      <c r="F951" s="4" t="s">
        <v>1523</v>
      </c>
      <c r="H951" s="6"/>
    </row>
    <row r="952" spans="1:8" x14ac:dyDescent="0.2">
      <c r="A952" s="14" t="s">
        <v>2328</v>
      </c>
      <c r="B952" s="14" t="s">
        <v>3612</v>
      </c>
      <c r="C952" s="14" t="s">
        <v>3324</v>
      </c>
      <c r="D952" s="14" t="s">
        <v>4543</v>
      </c>
      <c r="E952" s="11" t="s">
        <v>3767</v>
      </c>
      <c r="F952" s="4" t="s">
        <v>1523</v>
      </c>
      <c r="H952" s="6"/>
    </row>
    <row r="953" spans="1:8" x14ac:dyDescent="0.2">
      <c r="A953" s="14" t="s">
        <v>2329</v>
      </c>
      <c r="B953" s="14" t="s">
        <v>3612</v>
      </c>
      <c r="C953" s="14" t="s">
        <v>3325</v>
      </c>
      <c r="D953" s="14" t="s">
        <v>4544</v>
      </c>
      <c r="E953" s="11" t="s">
        <v>3767</v>
      </c>
      <c r="F953" s="4" t="s">
        <v>1523</v>
      </c>
      <c r="H953" s="6"/>
    </row>
    <row r="954" spans="1:8" x14ac:dyDescent="0.2">
      <c r="A954" s="14" t="s">
        <v>2330</v>
      </c>
      <c r="B954" s="14" t="s">
        <v>3612</v>
      </c>
      <c r="C954" s="14" t="s">
        <v>3326</v>
      </c>
      <c r="D954" s="14" t="s">
        <v>4545</v>
      </c>
      <c r="E954" s="11" t="s">
        <v>3767</v>
      </c>
      <c r="F954" s="4" t="s">
        <v>1523</v>
      </c>
      <c r="H954" s="6"/>
    </row>
    <row r="955" spans="1:8" x14ac:dyDescent="0.2">
      <c r="A955" s="14" t="s">
        <v>2331</v>
      </c>
      <c r="B955" s="14" t="s">
        <v>3612</v>
      </c>
      <c r="C955" s="14" t="s">
        <v>3303</v>
      </c>
      <c r="D955" s="14" t="s">
        <v>4546</v>
      </c>
      <c r="E955" s="11" t="s">
        <v>3764</v>
      </c>
      <c r="F955" s="4" t="s">
        <v>1523</v>
      </c>
      <c r="H955" s="6"/>
    </row>
    <row r="956" spans="1:8" x14ac:dyDescent="0.2">
      <c r="A956" s="14" t="s">
        <v>2332</v>
      </c>
      <c r="B956" s="14" t="s">
        <v>3612</v>
      </c>
      <c r="C956" s="14" t="s">
        <v>3304</v>
      </c>
      <c r="D956" s="14" t="s">
        <v>4547</v>
      </c>
      <c r="E956" s="11" t="s">
        <v>3764</v>
      </c>
      <c r="F956" s="4" t="s">
        <v>1523</v>
      </c>
      <c r="H956" s="6"/>
    </row>
    <row r="957" spans="1:8" x14ac:dyDescent="0.2">
      <c r="A957" s="14" t="s">
        <v>2333</v>
      </c>
      <c r="B957" s="14" t="s">
        <v>3612</v>
      </c>
      <c r="C957" s="14" t="s">
        <v>3305</v>
      </c>
      <c r="D957" s="14" t="s">
        <v>4548</v>
      </c>
      <c r="E957" s="11" t="s">
        <v>3764</v>
      </c>
      <c r="F957" s="4" t="s">
        <v>1523</v>
      </c>
      <c r="H957" s="6"/>
    </row>
    <row r="958" spans="1:8" x14ac:dyDescent="0.2">
      <c r="A958" s="14" t="s">
        <v>2334</v>
      </c>
      <c r="B958" s="14" t="s">
        <v>3612</v>
      </c>
      <c r="C958" s="14" t="s">
        <v>3307</v>
      </c>
      <c r="D958" s="14" t="s">
        <v>4549</v>
      </c>
      <c r="E958" s="11" t="s">
        <v>3764</v>
      </c>
      <c r="F958" s="4" t="s">
        <v>1523</v>
      </c>
      <c r="H958" s="6"/>
    </row>
    <row r="959" spans="1:8" x14ac:dyDescent="0.2">
      <c r="A959" s="14" t="s">
        <v>2335</v>
      </c>
      <c r="B959" s="14" t="s">
        <v>3612</v>
      </c>
      <c r="C959" s="14" t="s">
        <v>3308</v>
      </c>
      <c r="D959" s="14" t="s">
        <v>4550</v>
      </c>
      <c r="E959" s="11" t="s">
        <v>3764</v>
      </c>
      <c r="F959" s="4" t="s">
        <v>1523</v>
      </c>
      <c r="H959" s="6"/>
    </row>
    <row r="960" spans="1:8" x14ac:dyDescent="0.2">
      <c r="A960" s="14" t="s">
        <v>2336</v>
      </c>
      <c r="B960" s="14" t="s">
        <v>3612</v>
      </c>
      <c r="C960" s="14" t="s">
        <v>3309</v>
      </c>
      <c r="D960" s="14" t="s">
        <v>4551</v>
      </c>
      <c r="E960" s="11" t="s">
        <v>3765</v>
      </c>
      <c r="F960" s="4" t="s">
        <v>1523</v>
      </c>
      <c r="H960" s="5"/>
    </row>
    <row r="961" spans="1:8" x14ac:dyDescent="0.2">
      <c r="A961" s="14" t="s">
        <v>2337</v>
      </c>
      <c r="B961" s="14" t="s">
        <v>3612</v>
      </c>
      <c r="C961" s="14" t="s">
        <v>3310</v>
      </c>
      <c r="D961" s="14" t="s">
        <v>4552</v>
      </c>
      <c r="E961" s="11" t="s">
        <v>3765</v>
      </c>
      <c r="F961" s="4" t="s">
        <v>1523</v>
      </c>
      <c r="G961" s="8"/>
      <c r="H961" s="5"/>
    </row>
    <row r="962" spans="1:8" x14ac:dyDescent="0.2">
      <c r="A962" s="14" t="s">
        <v>2338</v>
      </c>
      <c r="B962" s="14" t="s">
        <v>3612</v>
      </c>
      <c r="C962" s="14" t="s">
        <v>3311</v>
      </c>
      <c r="D962" s="14" t="s">
        <v>4553</v>
      </c>
      <c r="E962" s="11" t="s">
        <v>3765</v>
      </c>
      <c r="F962" s="4" t="s">
        <v>1523</v>
      </c>
      <c r="G962" s="8"/>
      <c r="H962" s="5"/>
    </row>
    <row r="963" spans="1:8" x14ac:dyDescent="0.2">
      <c r="A963" s="14" t="s">
        <v>2339</v>
      </c>
      <c r="B963" s="14" t="s">
        <v>3612</v>
      </c>
      <c r="C963" s="14" t="s">
        <v>3313</v>
      </c>
      <c r="D963" s="14" t="s">
        <v>4554</v>
      </c>
      <c r="E963" s="11" t="s">
        <v>3765</v>
      </c>
      <c r="F963" s="4" t="s">
        <v>1523</v>
      </c>
      <c r="H963" s="6"/>
    </row>
    <row r="964" spans="1:8" x14ac:dyDescent="0.2">
      <c r="A964" s="14" t="s">
        <v>2340</v>
      </c>
      <c r="B964" s="14" t="s">
        <v>3612</v>
      </c>
      <c r="C964" s="14" t="s">
        <v>3314</v>
      </c>
      <c r="D964" s="14" t="s">
        <v>4555</v>
      </c>
      <c r="E964" s="11" t="s">
        <v>3765</v>
      </c>
      <c r="F964" s="4" t="s">
        <v>1523</v>
      </c>
      <c r="H964" s="6"/>
    </row>
    <row r="965" spans="1:8" x14ac:dyDescent="0.2">
      <c r="A965" s="14" t="s">
        <v>2341</v>
      </c>
      <c r="B965" s="14" t="s">
        <v>3612</v>
      </c>
      <c r="C965" s="14" t="s">
        <v>3303</v>
      </c>
      <c r="D965" s="14" t="s">
        <v>4556</v>
      </c>
      <c r="E965" s="11" t="s">
        <v>3764</v>
      </c>
      <c r="F965" s="4" t="s">
        <v>1523</v>
      </c>
      <c r="H965" s="6"/>
    </row>
    <row r="966" spans="1:8" x14ac:dyDescent="0.2">
      <c r="A966" s="14" t="s">
        <v>2342</v>
      </c>
      <c r="B966" s="14" t="s">
        <v>3612</v>
      </c>
      <c r="C966" s="14" t="s">
        <v>3304</v>
      </c>
      <c r="D966" s="14" t="s">
        <v>4557</v>
      </c>
      <c r="E966" s="11" t="s">
        <v>3764</v>
      </c>
      <c r="F966" s="4" t="s">
        <v>1523</v>
      </c>
      <c r="H966" s="6"/>
    </row>
    <row r="967" spans="1:8" x14ac:dyDescent="0.2">
      <c r="A967" s="14" t="s">
        <v>2343</v>
      </c>
      <c r="B967" s="14" t="s">
        <v>3612</v>
      </c>
      <c r="C967" s="14" t="s">
        <v>3305</v>
      </c>
      <c r="D967" s="14" t="s">
        <v>4558</v>
      </c>
      <c r="E967" s="11" t="s">
        <v>3764</v>
      </c>
      <c r="F967" s="4" t="s">
        <v>1523</v>
      </c>
      <c r="H967" s="6"/>
    </row>
    <row r="968" spans="1:8" x14ac:dyDescent="0.2">
      <c r="A968" s="14" t="s">
        <v>2344</v>
      </c>
      <c r="B968" s="14" t="s">
        <v>3612</v>
      </c>
      <c r="C968" s="14" t="s">
        <v>3306</v>
      </c>
      <c r="D968" s="14" t="s">
        <v>4559</v>
      </c>
      <c r="E968" s="11" t="s">
        <v>3764</v>
      </c>
      <c r="F968" s="4" t="s">
        <v>1523</v>
      </c>
      <c r="H968" s="6"/>
    </row>
    <row r="969" spans="1:8" x14ac:dyDescent="0.2">
      <c r="A969" s="14" t="s">
        <v>2345</v>
      </c>
      <c r="B969" s="14" t="s">
        <v>3612</v>
      </c>
      <c r="C969" s="14" t="s">
        <v>3307</v>
      </c>
      <c r="D969" s="14" t="s">
        <v>4560</v>
      </c>
      <c r="E969" s="11" t="s">
        <v>3764</v>
      </c>
      <c r="F969" s="4" t="s">
        <v>1523</v>
      </c>
      <c r="H969" s="6"/>
    </row>
    <row r="970" spans="1:8" x14ac:dyDescent="0.2">
      <c r="A970" s="14" t="s">
        <v>2346</v>
      </c>
      <c r="B970" s="14" t="s">
        <v>3612</v>
      </c>
      <c r="C970" s="14" t="s">
        <v>3308</v>
      </c>
      <c r="D970" s="14" t="s">
        <v>4561</v>
      </c>
      <c r="E970" s="11" t="s">
        <v>3764</v>
      </c>
      <c r="F970" s="4" t="s">
        <v>1523</v>
      </c>
      <c r="H970" s="6"/>
    </row>
    <row r="971" spans="1:8" x14ac:dyDescent="0.2">
      <c r="A971" s="14" t="s">
        <v>2347</v>
      </c>
      <c r="B971" s="14" t="s">
        <v>3612</v>
      </c>
      <c r="C971" s="14" t="s">
        <v>3309</v>
      </c>
      <c r="D971" s="14" t="s">
        <v>4562</v>
      </c>
      <c r="E971" s="11" t="s">
        <v>3765</v>
      </c>
      <c r="F971" s="4" t="s">
        <v>1523</v>
      </c>
      <c r="H971" s="6"/>
    </row>
    <row r="972" spans="1:8" x14ac:dyDescent="0.2">
      <c r="A972" s="14" t="s">
        <v>2348</v>
      </c>
      <c r="B972" s="14" t="s">
        <v>3612</v>
      </c>
      <c r="C972" s="14" t="s">
        <v>3310</v>
      </c>
      <c r="D972" s="14" t="s">
        <v>4563</v>
      </c>
      <c r="E972" s="11" t="s">
        <v>3765</v>
      </c>
      <c r="F972" s="4" t="s">
        <v>1523</v>
      </c>
      <c r="H972" s="6"/>
    </row>
    <row r="973" spans="1:8" x14ac:dyDescent="0.2">
      <c r="A973" s="14" t="s">
        <v>2349</v>
      </c>
      <c r="B973" s="14" t="s">
        <v>3612</v>
      </c>
      <c r="C973" s="14" t="s">
        <v>3311</v>
      </c>
      <c r="D973" s="14" t="s">
        <v>4564</v>
      </c>
      <c r="E973" s="11" t="s">
        <v>3765</v>
      </c>
      <c r="F973" s="4" t="s">
        <v>1523</v>
      </c>
      <c r="H973" s="6"/>
    </row>
    <row r="974" spans="1:8" x14ac:dyDescent="0.2">
      <c r="A974" s="14" t="s">
        <v>2350</v>
      </c>
      <c r="B974" s="14" t="s">
        <v>3612</v>
      </c>
      <c r="C974" s="14" t="s">
        <v>3312</v>
      </c>
      <c r="D974" s="14" t="s">
        <v>4565</v>
      </c>
      <c r="E974" s="11" t="s">
        <v>3765</v>
      </c>
      <c r="F974" s="4" t="s">
        <v>1523</v>
      </c>
      <c r="H974" s="6"/>
    </row>
    <row r="975" spans="1:8" x14ac:dyDescent="0.2">
      <c r="A975" s="14" t="s">
        <v>2351</v>
      </c>
      <c r="B975" s="14" t="s">
        <v>3612</v>
      </c>
      <c r="C975" s="14" t="s">
        <v>3313</v>
      </c>
      <c r="D975" s="14" t="s">
        <v>4566</v>
      </c>
      <c r="E975" s="11" t="s">
        <v>3765</v>
      </c>
      <c r="F975" s="4" t="s">
        <v>1523</v>
      </c>
      <c r="H975" s="6"/>
    </row>
    <row r="976" spans="1:8" x14ac:dyDescent="0.2">
      <c r="A976" s="14" t="s">
        <v>2352</v>
      </c>
      <c r="B976" s="14" t="s">
        <v>3612</v>
      </c>
      <c r="C976" s="14" t="s">
        <v>3314</v>
      </c>
      <c r="D976" s="14" t="s">
        <v>4567</v>
      </c>
      <c r="E976" s="11" t="s">
        <v>3765</v>
      </c>
      <c r="F976" s="4" t="s">
        <v>1523</v>
      </c>
      <c r="H976" s="6"/>
    </row>
    <row r="977" spans="1:8" x14ac:dyDescent="0.2">
      <c r="A977" s="14" t="s">
        <v>2353</v>
      </c>
      <c r="B977" s="14" t="s">
        <v>3612</v>
      </c>
      <c r="C977" s="14" t="s">
        <v>3321</v>
      </c>
      <c r="D977" s="14" t="s">
        <v>4568</v>
      </c>
      <c r="E977" s="11" t="s">
        <v>3767</v>
      </c>
      <c r="F977" s="4" t="s">
        <v>1523</v>
      </c>
      <c r="H977" s="6"/>
    </row>
    <row r="978" spans="1:8" x14ac:dyDescent="0.2">
      <c r="A978" s="14" t="s">
        <v>2354</v>
      </c>
      <c r="B978" s="14" t="s">
        <v>3612</v>
      </c>
      <c r="C978" s="14" t="s">
        <v>3322</v>
      </c>
      <c r="D978" s="14" t="s">
        <v>4569</v>
      </c>
      <c r="E978" s="11" t="s">
        <v>3767</v>
      </c>
      <c r="F978" s="4" t="s">
        <v>1523</v>
      </c>
      <c r="H978" s="6"/>
    </row>
    <row r="979" spans="1:8" x14ac:dyDescent="0.2">
      <c r="A979" s="14" t="s">
        <v>2355</v>
      </c>
      <c r="B979" s="14" t="s">
        <v>3612</v>
      </c>
      <c r="C979" s="14" t="s">
        <v>3323</v>
      </c>
      <c r="D979" s="14" t="s">
        <v>4570</v>
      </c>
      <c r="E979" s="11" t="s">
        <v>3767</v>
      </c>
      <c r="F979" s="4" t="s">
        <v>1523</v>
      </c>
      <c r="H979" s="6"/>
    </row>
    <row r="980" spans="1:8" x14ac:dyDescent="0.2">
      <c r="A980" s="14" t="s">
        <v>2356</v>
      </c>
      <c r="B980" s="14" t="s">
        <v>3612</v>
      </c>
      <c r="C980" s="14" t="s">
        <v>3324</v>
      </c>
      <c r="D980" s="14" t="s">
        <v>4571</v>
      </c>
      <c r="E980" s="11" t="s">
        <v>3767</v>
      </c>
      <c r="F980" s="4" t="s">
        <v>1523</v>
      </c>
      <c r="H980" s="6"/>
    </row>
    <row r="981" spans="1:8" x14ac:dyDescent="0.2">
      <c r="A981" s="14" t="s">
        <v>2357</v>
      </c>
      <c r="B981" s="14" t="s">
        <v>3612</v>
      </c>
      <c r="C981" s="14" t="s">
        <v>3325</v>
      </c>
      <c r="D981" s="14" t="s">
        <v>4572</v>
      </c>
      <c r="E981" s="11" t="s">
        <v>3767</v>
      </c>
      <c r="F981" s="4" t="s">
        <v>1523</v>
      </c>
      <c r="H981" s="6"/>
    </row>
    <row r="982" spans="1:8" x14ac:dyDescent="0.2">
      <c r="A982" s="14" t="s">
        <v>2358</v>
      </c>
      <c r="B982" s="14" t="s">
        <v>3612</v>
      </c>
      <c r="C982" s="14" t="s">
        <v>3326</v>
      </c>
      <c r="D982" s="14" t="s">
        <v>4573</v>
      </c>
      <c r="E982" s="11" t="s">
        <v>3767</v>
      </c>
      <c r="F982" s="4" t="s">
        <v>1523</v>
      </c>
      <c r="H982" s="6"/>
    </row>
    <row r="983" spans="1:8" x14ac:dyDescent="0.2">
      <c r="A983" s="14" t="s">
        <v>2359</v>
      </c>
      <c r="B983" s="14" t="s">
        <v>3613</v>
      </c>
      <c r="C983" s="14" t="s">
        <v>2359</v>
      </c>
      <c r="D983" s="14" t="s">
        <v>4574</v>
      </c>
      <c r="E983" s="11" t="s">
        <v>4574</v>
      </c>
      <c r="F983" s="4" t="s">
        <v>1523</v>
      </c>
      <c r="H983" s="6"/>
    </row>
    <row r="984" spans="1:8" x14ac:dyDescent="0.2">
      <c r="A984" s="14" t="s">
        <v>2360</v>
      </c>
      <c r="B984" s="14" t="s">
        <v>3613</v>
      </c>
      <c r="C984" s="14" t="s">
        <v>2360</v>
      </c>
      <c r="D984" s="14" t="s">
        <v>4575</v>
      </c>
      <c r="E984" s="11" t="s">
        <v>4575</v>
      </c>
      <c r="F984" s="4" t="s">
        <v>1523</v>
      </c>
      <c r="H984" s="6"/>
    </row>
    <row r="985" spans="1:8" x14ac:dyDescent="0.2">
      <c r="A985" s="14" t="s">
        <v>2361</v>
      </c>
      <c r="B985" s="14" t="s">
        <v>3613</v>
      </c>
      <c r="C985" s="14" t="s">
        <v>2361</v>
      </c>
      <c r="D985" s="14" t="s">
        <v>4576</v>
      </c>
      <c r="E985" s="11" t="s">
        <v>4576</v>
      </c>
      <c r="F985" s="4" t="s">
        <v>1523</v>
      </c>
      <c r="H985" s="6"/>
    </row>
    <row r="986" spans="1:8" x14ac:dyDescent="0.2">
      <c r="A986" s="14" t="s">
        <v>2362</v>
      </c>
      <c r="B986" s="14" t="s">
        <v>3613</v>
      </c>
      <c r="C986" s="14" t="s">
        <v>2362</v>
      </c>
      <c r="D986" s="14" t="s">
        <v>4577</v>
      </c>
      <c r="E986" s="11" t="s">
        <v>4577</v>
      </c>
      <c r="F986" s="4" t="s">
        <v>1523</v>
      </c>
      <c r="H986" s="6"/>
    </row>
    <row r="987" spans="1:8" x14ac:dyDescent="0.2">
      <c r="A987" s="14" t="s">
        <v>2363</v>
      </c>
      <c r="B987" s="14" t="s">
        <v>3613</v>
      </c>
      <c r="C987" s="14" t="s">
        <v>2363</v>
      </c>
      <c r="D987" s="14" t="s">
        <v>4578</v>
      </c>
      <c r="E987" s="11" t="s">
        <v>4578</v>
      </c>
      <c r="F987" s="4" t="s">
        <v>1523</v>
      </c>
      <c r="H987" s="6"/>
    </row>
    <row r="988" spans="1:8" x14ac:dyDescent="0.2">
      <c r="A988" s="14" t="s">
        <v>2364</v>
      </c>
      <c r="B988" s="14" t="s">
        <v>3613</v>
      </c>
      <c r="C988" s="14" t="s">
        <v>2364</v>
      </c>
      <c r="D988" s="14" t="s">
        <v>4579</v>
      </c>
      <c r="E988" s="11" t="s">
        <v>4579</v>
      </c>
      <c r="F988" s="4" t="s">
        <v>1523</v>
      </c>
      <c r="H988" s="6"/>
    </row>
    <row r="989" spans="1:8" x14ac:dyDescent="0.2">
      <c r="A989" s="14" t="s">
        <v>2365</v>
      </c>
      <c r="B989" s="14" t="s">
        <v>4746</v>
      </c>
      <c r="C989" s="14" t="s">
        <v>2853</v>
      </c>
      <c r="D989" s="14" t="s">
        <v>4580</v>
      </c>
      <c r="E989" s="11"/>
      <c r="F989" s="4" t="s">
        <v>1523</v>
      </c>
      <c r="H989" s="6"/>
    </row>
    <row r="990" spans="1:8" x14ac:dyDescent="0.2">
      <c r="A990" s="14" t="s">
        <v>2366</v>
      </c>
      <c r="B990" s="14" t="s">
        <v>4746</v>
      </c>
      <c r="C990" s="14" t="s">
        <v>2853</v>
      </c>
      <c r="D990" s="14" t="s">
        <v>4581</v>
      </c>
      <c r="E990" s="11"/>
      <c r="F990" s="4" t="s">
        <v>1523</v>
      </c>
      <c r="H990" s="6"/>
    </row>
    <row r="991" spans="1:8" x14ac:dyDescent="0.2">
      <c r="A991" s="14" t="s">
        <v>2367</v>
      </c>
      <c r="B991" s="14" t="s">
        <v>4746</v>
      </c>
      <c r="C991" s="14" t="s">
        <v>2853</v>
      </c>
      <c r="D991" s="14" t="s">
        <v>4582</v>
      </c>
      <c r="E991" s="11"/>
      <c r="F991" s="4" t="s">
        <v>1523</v>
      </c>
      <c r="H991" s="6"/>
    </row>
    <row r="992" spans="1:8" x14ac:dyDescent="0.2">
      <c r="A992" s="14" t="s">
        <v>2368</v>
      </c>
      <c r="B992" s="14" t="s">
        <v>4746</v>
      </c>
      <c r="C992" s="14" t="s">
        <v>2853</v>
      </c>
      <c r="D992" s="14" t="s">
        <v>4583</v>
      </c>
      <c r="E992" s="11"/>
      <c r="F992" s="4" t="s">
        <v>1523</v>
      </c>
      <c r="H992" s="6"/>
    </row>
    <row r="993" spans="1:8" x14ac:dyDescent="0.2">
      <c r="A993" s="14" t="s">
        <v>2369</v>
      </c>
      <c r="B993" s="14" t="s">
        <v>4746</v>
      </c>
      <c r="C993" s="14" t="s">
        <v>2853</v>
      </c>
      <c r="D993" s="14" t="s">
        <v>4584</v>
      </c>
      <c r="E993" s="11"/>
      <c r="F993" s="4" t="s">
        <v>1523</v>
      </c>
      <c r="H993" s="6"/>
    </row>
    <row r="994" spans="1:8" x14ac:dyDescent="0.2">
      <c r="A994" s="14" t="s">
        <v>2370</v>
      </c>
      <c r="B994" s="14" t="s">
        <v>4746</v>
      </c>
      <c r="C994" s="14" t="s">
        <v>2853</v>
      </c>
      <c r="D994" s="14" t="s">
        <v>4585</v>
      </c>
      <c r="E994" s="11"/>
      <c r="F994" s="4" t="s">
        <v>1523</v>
      </c>
      <c r="H994" s="6"/>
    </row>
    <row r="995" spans="1:8" x14ac:dyDescent="0.2">
      <c r="A995" s="14" t="s">
        <v>2371</v>
      </c>
      <c r="B995" s="14" t="s">
        <v>4746</v>
      </c>
      <c r="C995" s="14" t="s">
        <v>2853</v>
      </c>
      <c r="D995" s="14" t="s">
        <v>4586</v>
      </c>
      <c r="E995" s="11"/>
      <c r="F995" s="4" t="s">
        <v>1523</v>
      </c>
      <c r="H995" s="6"/>
    </row>
    <row r="996" spans="1:8" x14ac:dyDescent="0.2">
      <c r="A996" s="14" t="s">
        <v>2372</v>
      </c>
      <c r="B996" s="14" t="s">
        <v>4746</v>
      </c>
      <c r="C996" s="14" t="s">
        <v>2853</v>
      </c>
      <c r="D996" s="14" t="s">
        <v>4587</v>
      </c>
      <c r="E996" s="11"/>
      <c r="F996" s="4" t="s">
        <v>1523</v>
      </c>
      <c r="H996" s="6"/>
    </row>
    <row r="997" spans="1:8" x14ac:dyDescent="0.2">
      <c r="A997" s="14" t="s">
        <v>2373</v>
      </c>
      <c r="B997" s="14" t="s">
        <v>4746</v>
      </c>
      <c r="C997" s="14" t="s">
        <v>2853</v>
      </c>
      <c r="D997" s="14" t="s">
        <v>4588</v>
      </c>
      <c r="E997" s="11"/>
      <c r="F997" s="4" t="s">
        <v>1523</v>
      </c>
      <c r="H997" s="6"/>
    </row>
    <row r="998" spans="1:8" x14ac:dyDescent="0.2">
      <c r="A998" s="14" t="s">
        <v>2374</v>
      </c>
      <c r="B998" s="14" t="s">
        <v>4746</v>
      </c>
      <c r="C998" s="14" t="s">
        <v>2853</v>
      </c>
      <c r="D998" s="14" t="s">
        <v>4589</v>
      </c>
      <c r="E998" s="11"/>
      <c r="F998" s="4" t="s">
        <v>1523</v>
      </c>
      <c r="H998" s="6"/>
    </row>
    <row r="999" spans="1:8" x14ac:dyDescent="0.2">
      <c r="A999" s="14" t="s">
        <v>2375</v>
      </c>
      <c r="B999" s="14" t="s">
        <v>4746</v>
      </c>
      <c r="C999" s="14" t="s">
        <v>2853</v>
      </c>
      <c r="D999" s="14" t="s">
        <v>4590</v>
      </c>
      <c r="E999" s="11"/>
      <c r="F999" s="4" t="s">
        <v>1523</v>
      </c>
      <c r="H999" s="6"/>
    </row>
    <row r="1000" spans="1:8" x14ac:dyDescent="0.2">
      <c r="A1000" s="14" t="s">
        <v>2510</v>
      </c>
      <c r="B1000" s="14" t="s">
        <v>2852</v>
      </c>
      <c r="C1000" s="14" t="s">
        <v>2852</v>
      </c>
      <c r="D1000" s="14" t="s">
        <v>4729</v>
      </c>
      <c r="E1000" s="11"/>
      <c r="F1000" s="4" t="s">
        <v>4753</v>
      </c>
      <c r="H1000" s="6"/>
    </row>
    <row r="1001" spans="1:8" x14ac:dyDescent="0.2">
      <c r="A1001" s="14" t="s">
        <v>2511</v>
      </c>
      <c r="B1001" s="14" t="s">
        <v>2852</v>
      </c>
      <c r="C1001" s="14" t="s">
        <v>2852</v>
      </c>
      <c r="D1001" s="14" t="s">
        <v>4730</v>
      </c>
      <c r="E1001" s="11"/>
      <c r="F1001" s="4" t="s">
        <v>4753</v>
      </c>
      <c r="H1001" s="6"/>
    </row>
    <row r="1002" spans="1:8" x14ac:dyDescent="0.2">
      <c r="A1002" s="14" t="s">
        <v>2512</v>
      </c>
      <c r="B1002" s="14" t="s">
        <v>2852</v>
      </c>
      <c r="C1002" s="14" t="s">
        <v>2852</v>
      </c>
      <c r="D1002" s="14" t="s">
        <v>4731</v>
      </c>
      <c r="E1002" s="11"/>
      <c r="F1002" s="4" t="s">
        <v>4753</v>
      </c>
      <c r="H1002" s="6"/>
    </row>
    <row r="1003" spans="1:8" x14ac:dyDescent="0.2">
      <c r="A1003" s="14" t="s">
        <v>2513</v>
      </c>
      <c r="B1003" s="14" t="s">
        <v>2852</v>
      </c>
      <c r="C1003" s="14" t="s">
        <v>2852</v>
      </c>
      <c r="D1003" s="14" t="s">
        <v>4732</v>
      </c>
      <c r="E1003" s="11"/>
      <c r="F1003" s="4" t="s">
        <v>4753</v>
      </c>
      <c r="H1003" s="6"/>
    </row>
    <row r="1004" spans="1:8" x14ac:dyDescent="0.2">
      <c r="A1004" s="14" t="s">
        <v>2514</v>
      </c>
      <c r="B1004" s="14" t="s">
        <v>2852</v>
      </c>
      <c r="C1004" s="14" t="s">
        <v>2852</v>
      </c>
      <c r="D1004" s="14" t="s">
        <v>1603</v>
      </c>
      <c r="E1004" s="11"/>
      <c r="F1004" s="4" t="s">
        <v>4753</v>
      </c>
      <c r="H1004" s="6"/>
    </row>
    <row r="1005" spans="1:8" x14ac:dyDescent="0.2">
      <c r="A1005" s="14" t="s">
        <v>2515</v>
      </c>
      <c r="B1005" s="14" t="s">
        <v>2852</v>
      </c>
      <c r="C1005" s="14" t="s">
        <v>2852</v>
      </c>
      <c r="D1005" s="14" t="s">
        <v>1604</v>
      </c>
      <c r="E1005" s="11"/>
      <c r="F1005" s="4" t="s">
        <v>4753</v>
      </c>
      <c r="H1005" s="6"/>
    </row>
    <row r="1006" spans="1:8" x14ac:dyDescent="0.2">
      <c r="A1006" s="14" t="s">
        <v>2516</v>
      </c>
      <c r="B1006" s="14" t="s">
        <v>2852</v>
      </c>
      <c r="C1006" s="14" t="s">
        <v>2852</v>
      </c>
      <c r="D1006" s="14" t="s">
        <v>1605</v>
      </c>
      <c r="E1006" s="11"/>
      <c r="F1006" s="4" t="s">
        <v>4753</v>
      </c>
      <c r="H1006" s="6"/>
    </row>
    <row r="1007" spans="1:8" x14ac:dyDescent="0.2">
      <c r="A1007" s="14" t="s">
        <v>2517</v>
      </c>
      <c r="B1007" s="14" t="s">
        <v>2852</v>
      </c>
      <c r="C1007" s="14" t="s">
        <v>2852</v>
      </c>
      <c r="D1007" s="14" t="s">
        <v>1606</v>
      </c>
      <c r="E1007" s="11"/>
      <c r="F1007" s="4" t="s">
        <v>4753</v>
      </c>
      <c r="H1007" s="6"/>
    </row>
    <row r="1008" spans="1:8" x14ac:dyDescent="0.2">
      <c r="A1008" s="14" t="s">
        <v>2518</v>
      </c>
      <c r="B1008" s="14" t="s">
        <v>2852</v>
      </c>
      <c r="C1008" s="14" t="s">
        <v>2852</v>
      </c>
      <c r="D1008" s="14" t="s">
        <v>1607</v>
      </c>
      <c r="E1008" s="11"/>
      <c r="F1008" s="4" t="s">
        <v>4753</v>
      </c>
      <c r="H1008" s="6"/>
    </row>
    <row r="1009" spans="1:8" x14ac:dyDescent="0.2">
      <c r="A1009" s="14" t="s">
        <v>2519</v>
      </c>
      <c r="B1009" s="14" t="s">
        <v>2852</v>
      </c>
      <c r="C1009" s="14" t="s">
        <v>2852</v>
      </c>
      <c r="D1009" s="14" t="s">
        <v>1608</v>
      </c>
      <c r="E1009" s="11"/>
      <c r="F1009" s="4" t="s">
        <v>4753</v>
      </c>
      <c r="H1009" s="6"/>
    </row>
    <row r="1010" spans="1:8" x14ac:dyDescent="0.2">
      <c r="A1010" s="14" t="s">
        <v>2520</v>
      </c>
      <c r="B1010" s="14" t="s">
        <v>2852</v>
      </c>
      <c r="C1010" s="14" t="s">
        <v>2852</v>
      </c>
      <c r="D1010" s="14" t="s">
        <v>1609</v>
      </c>
      <c r="E1010" s="11"/>
      <c r="F1010" s="4" t="s">
        <v>4753</v>
      </c>
      <c r="H1010" s="6"/>
    </row>
    <row r="1011" spans="1:8" x14ac:dyDescent="0.2">
      <c r="A1011" s="14" t="s">
        <v>2521</v>
      </c>
      <c r="B1011" s="14" t="s">
        <v>2852</v>
      </c>
      <c r="C1011" s="14" t="s">
        <v>2852</v>
      </c>
      <c r="D1011" s="14" t="s">
        <v>1610</v>
      </c>
      <c r="E1011" s="11"/>
      <c r="F1011" s="4" t="s">
        <v>4753</v>
      </c>
      <c r="H1011" s="6"/>
    </row>
    <row r="1012" spans="1:8" x14ac:dyDescent="0.2">
      <c r="A1012" s="14" t="s">
        <v>2522</v>
      </c>
      <c r="B1012" s="14" t="s">
        <v>2852</v>
      </c>
      <c r="C1012" s="14" t="s">
        <v>2852</v>
      </c>
      <c r="D1012" s="14" t="s">
        <v>1611</v>
      </c>
      <c r="E1012" s="11"/>
      <c r="F1012" s="4" t="s">
        <v>4753</v>
      </c>
      <c r="H1012" s="6"/>
    </row>
    <row r="1013" spans="1:8" x14ac:dyDescent="0.2">
      <c r="A1013" s="14" t="s">
        <v>2523</v>
      </c>
      <c r="B1013" s="14" t="s">
        <v>2852</v>
      </c>
      <c r="C1013" s="14" t="s">
        <v>2852</v>
      </c>
      <c r="D1013" s="14" t="s">
        <v>1612</v>
      </c>
      <c r="E1013" s="11"/>
      <c r="F1013" s="4" t="s">
        <v>4753</v>
      </c>
      <c r="H1013" s="6"/>
    </row>
    <row r="1014" spans="1:8" x14ac:dyDescent="0.2">
      <c r="A1014" s="14" t="s">
        <v>2524</v>
      </c>
      <c r="B1014" s="14" t="s">
        <v>2852</v>
      </c>
      <c r="C1014" s="14" t="s">
        <v>2852</v>
      </c>
      <c r="D1014" s="14" t="s">
        <v>1613</v>
      </c>
      <c r="E1014" s="11"/>
      <c r="F1014" s="4" t="s">
        <v>4753</v>
      </c>
      <c r="H1014" s="6"/>
    </row>
    <row r="1015" spans="1:8" x14ac:dyDescent="0.2">
      <c r="A1015" s="14" t="s">
        <v>2525</v>
      </c>
      <c r="B1015" s="14" t="s">
        <v>2852</v>
      </c>
      <c r="C1015" s="14" t="s">
        <v>2852</v>
      </c>
      <c r="D1015" s="14" t="s">
        <v>1614</v>
      </c>
      <c r="E1015" s="11"/>
      <c r="F1015" s="4" t="s">
        <v>4753</v>
      </c>
      <c r="H1015" s="6"/>
    </row>
    <row r="1016" spans="1:8" x14ac:dyDescent="0.2">
      <c r="A1016" s="14" t="s">
        <v>2526</v>
      </c>
      <c r="B1016" s="14" t="s">
        <v>2852</v>
      </c>
      <c r="C1016" s="14" t="s">
        <v>2852</v>
      </c>
      <c r="D1016" s="14" t="s">
        <v>1615</v>
      </c>
      <c r="E1016" s="11"/>
      <c r="F1016" s="4" t="s">
        <v>4753</v>
      </c>
      <c r="H1016" s="6"/>
    </row>
    <row r="1017" spans="1:8" x14ac:dyDescent="0.2">
      <c r="A1017" s="14" t="s">
        <v>2527</v>
      </c>
      <c r="B1017" s="14" t="s">
        <v>2852</v>
      </c>
      <c r="C1017" s="14" t="s">
        <v>2852</v>
      </c>
      <c r="D1017" s="14" t="s">
        <v>1616</v>
      </c>
      <c r="E1017" s="11"/>
      <c r="F1017" s="4" t="s">
        <v>4753</v>
      </c>
      <c r="H1017" s="6"/>
    </row>
    <row r="1018" spans="1:8" x14ac:dyDescent="0.2">
      <c r="A1018" s="14" t="s">
        <v>2528</v>
      </c>
      <c r="B1018" s="14" t="s">
        <v>2852</v>
      </c>
      <c r="C1018" s="14" t="s">
        <v>2852</v>
      </c>
      <c r="D1018" s="14" t="s">
        <v>1617</v>
      </c>
      <c r="E1018" s="11"/>
      <c r="F1018" s="4" t="s">
        <v>4753</v>
      </c>
      <c r="H1018" s="6"/>
    </row>
    <row r="1019" spans="1:8" x14ac:dyDescent="0.2">
      <c r="A1019" s="14" t="s">
        <v>2529</v>
      </c>
      <c r="B1019" s="14" t="s">
        <v>2852</v>
      </c>
      <c r="C1019" s="14" t="s">
        <v>2852</v>
      </c>
      <c r="D1019" s="14" t="s">
        <v>1618</v>
      </c>
      <c r="E1019" s="11"/>
      <c r="F1019" s="4" t="s">
        <v>4753</v>
      </c>
      <c r="H1019" s="6"/>
    </row>
    <row r="1020" spans="1:8" x14ac:dyDescent="0.2">
      <c r="A1020" s="14" t="s">
        <v>2530</v>
      </c>
      <c r="B1020" s="14" t="s">
        <v>2852</v>
      </c>
      <c r="C1020" s="14" t="s">
        <v>2852</v>
      </c>
      <c r="D1020" s="14" t="s">
        <v>1619</v>
      </c>
      <c r="E1020" s="11"/>
      <c r="F1020" s="4" t="s">
        <v>4753</v>
      </c>
      <c r="H1020" s="6"/>
    </row>
    <row r="1021" spans="1:8" x14ac:dyDescent="0.2">
      <c r="A1021" s="14" t="s">
        <v>2531</v>
      </c>
      <c r="B1021" s="14" t="s">
        <v>2852</v>
      </c>
      <c r="C1021" s="14" t="s">
        <v>2852</v>
      </c>
      <c r="D1021" s="14" t="s">
        <v>1620</v>
      </c>
      <c r="E1021" s="11"/>
      <c r="F1021" s="4" t="s">
        <v>4753</v>
      </c>
      <c r="H1021" s="6"/>
    </row>
    <row r="1022" spans="1:8" x14ac:dyDescent="0.2">
      <c r="A1022" s="14" t="s">
        <v>2532</v>
      </c>
      <c r="B1022" s="14" t="s">
        <v>2852</v>
      </c>
      <c r="C1022" s="14" t="s">
        <v>2852</v>
      </c>
      <c r="D1022" s="14" t="s">
        <v>1621</v>
      </c>
      <c r="E1022" s="11"/>
      <c r="F1022" s="4" t="s">
        <v>4753</v>
      </c>
      <c r="H1022" s="6"/>
    </row>
    <row r="1023" spans="1:8" x14ac:dyDescent="0.2">
      <c r="A1023" s="14" t="s">
        <v>2533</v>
      </c>
      <c r="B1023" s="14" t="s">
        <v>2852</v>
      </c>
      <c r="C1023" s="14" t="s">
        <v>2852</v>
      </c>
      <c r="D1023" s="14" t="s">
        <v>1622</v>
      </c>
      <c r="E1023" s="11"/>
      <c r="F1023" s="4" t="s">
        <v>4753</v>
      </c>
      <c r="H1023" s="6"/>
    </row>
    <row r="1024" spans="1:8" x14ac:dyDescent="0.2">
      <c r="A1024" s="14" t="s">
        <v>2534</v>
      </c>
      <c r="B1024" s="14" t="s">
        <v>2852</v>
      </c>
      <c r="C1024" s="14" t="s">
        <v>2852</v>
      </c>
      <c r="D1024" s="14" t="s">
        <v>1623</v>
      </c>
      <c r="E1024" s="11"/>
      <c r="F1024" s="4" t="s">
        <v>4753</v>
      </c>
      <c r="H1024" s="6"/>
    </row>
    <row r="1025" spans="1:8" x14ac:dyDescent="0.2">
      <c r="A1025" s="14" t="s">
        <v>2617</v>
      </c>
      <c r="B1025" s="14" t="s">
        <v>3610</v>
      </c>
      <c r="C1025" s="14" t="s">
        <v>2852</v>
      </c>
      <c r="D1025" s="14" t="s">
        <v>1758</v>
      </c>
      <c r="E1025" s="11"/>
      <c r="F1025" s="4" t="s">
        <v>4753</v>
      </c>
      <c r="H1025" s="6"/>
    </row>
    <row r="1026" spans="1:8" x14ac:dyDescent="0.2">
      <c r="A1026" s="14" t="s">
        <v>2535</v>
      </c>
      <c r="B1026" s="14" t="s">
        <v>2852</v>
      </c>
      <c r="C1026" s="14" t="s">
        <v>2852</v>
      </c>
      <c r="D1026" s="14" t="s">
        <v>1624</v>
      </c>
      <c r="E1026" s="11"/>
      <c r="F1026" s="4" t="s">
        <v>4753</v>
      </c>
      <c r="H1026" s="6"/>
    </row>
    <row r="1027" spans="1:8" x14ac:dyDescent="0.2">
      <c r="A1027" s="14" t="s">
        <v>2536</v>
      </c>
      <c r="B1027" s="14" t="s">
        <v>2852</v>
      </c>
      <c r="C1027" s="14" t="s">
        <v>2852</v>
      </c>
      <c r="D1027" s="14" t="s">
        <v>1625</v>
      </c>
      <c r="E1027" s="11"/>
      <c r="F1027" s="4" t="s">
        <v>4753</v>
      </c>
      <c r="H1027" s="6"/>
    </row>
    <row r="1028" spans="1:8" x14ac:dyDescent="0.2">
      <c r="A1028" s="14" t="s">
        <v>2537</v>
      </c>
      <c r="B1028" s="14" t="s">
        <v>2852</v>
      </c>
      <c r="C1028" s="14" t="s">
        <v>2852</v>
      </c>
      <c r="D1028" s="14" t="s">
        <v>1626</v>
      </c>
      <c r="E1028" s="11"/>
      <c r="F1028" s="4" t="s">
        <v>4753</v>
      </c>
      <c r="H1028" s="6"/>
    </row>
    <row r="1029" spans="1:8" x14ac:dyDescent="0.2">
      <c r="A1029" s="14" t="s">
        <v>2618</v>
      </c>
      <c r="B1029" s="14" t="s">
        <v>3610</v>
      </c>
      <c r="C1029" s="14" t="s">
        <v>2852</v>
      </c>
      <c r="D1029" s="14" t="s">
        <v>1759</v>
      </c>
      <c r="E1029" s="11"/>
      <c r="F1029" s="4" t="s">
        <v>4753</v>
      </c>
      <c r="H1029" s="6"/>
    </row>
    <row r="1030" spans="1:8" x14ac:dyDescent="0.2">
      <c r="A1030" s="14" t="s">
        <v>2619</v>
      </c>
      <c r="B1030" s="14" t="s">
        <v>3610</v>
      </c>
      <c r="C1030" s="14" t="s">
        <v>2852</v>
      </c>
      <c r="D1030" s="14" t="s">
        <v>1760</v>
      </c>
      <c r="E1030" s="11"/>
      <c r="F1030" s="4" t="s">
        <v>4753</v>
      </c>
      <c r="H1030" s="6"/>
    </row>
    <row r="1031" spans="1:8" x14ac:dyDescent="0.2">
      <c r="A1031" s="14" t="s">
        <v>2620</v>
      </c>
      <c r="B1031" s="14" t="s">
        <v>3610</v>
      </c>
      <c r="C1031" s="14" t="s">
        <v>2852</v>
      </c>
      <c r="D1031" s="14" t="s">
        <v>1761</v>
      </c>
      <c r="E1031" s="11"/>
      <c r="F1031" s="4" t="s">
        <v>4753</v>
      </c>
      <c r="H1031" s="6"/>
    </row>
    <row r="1032" spans="1:8" x14ac:dyDescent="0.2">
      <c r="A1032" s="14" t="s">
        <v>2621</v>
      </c>
      <c r="B1032" s="14" t="s">
        <v>3610</v>
      </c>
      <c r="C1032" s="14" t="s">
        <v>2852</v>
      </c>
      <c r="D1032" s="14" t="s">
        <v>1762</v>
      </c>
      <c r="E1032" s="11"/>
      <c r="F1032" s="4" t="s">
        <v>4753</v>
      </c>
      <c r="H1032" s="6"/>
    </row>
    <row r="1033" spans="1:8" x14ac:dyDescent="0.2">
      <c r="A1033" s="14" t="s">
        <v>576</v>
      </c>
      <c r="B1033" s="14" t="s">
        <v>2852</v>
      </c>
      <c r="C1033" s="14" t="s">
        <v>2852</v>
      </c>
      <c r="D1033" s="14" t="s">
        <v>78</v>
      </c>
      <c r="E1033" s="11"/>
      <c r="F1033" s="4" t="s">
        <v>4753</v>
      </c>
    </row>
    <row r="1034" spans="1:8" x14ac:dyDescent="0.2">
      <c r="A1034" s="14" t="s">
        <v>638</v>
      </c>
      <c r="B1034" s="14" t="s">
        <v>2852</v>
      </c>
      <c r="C1034" s="14" t="s">
        <v>2852</v>
      </c>
      <c r="D1034" s="14" t="s">
        <v>273</v>
      </c>
      <c r="E1034" s="11"/>
      <c r="F1034" s="4" t="s">
        <v>4753</v>
      </c>
    </row>
    <row r="1035" spans="1:8" x14ac:dyDescent="0.2">
      <c r="A1035" s="14" t="s">
        <v>639</v>
      </c>
      <c r="B1035" s="14" t="s">
        <v>2852</v>
      </c>
      <c r="C1035" s="14" t="s">
        <v>2852</v>
      </c>
      <c r="D1035" s="14" t="s">
        <v>274</v>
      </c>
      <c r="E1035" s="11"/>
      <c r="F1035" s="4" t="s">
        <v>4753</v>
      </c>
    </row>
    <row r="1036" spans="1:8" x14ac:dyDescent="0.2">
      <c r="A1036" s="14" t="s">
        <v>577</v>
      </c>
      <c r="B1036" s="14" t="s">
        <v>2852</v>
      </c>
      <c r="C1036" s="14" t="s">
        <v>2852</v>
      </c>
      <c r="D1036" s="14" t="s">
        <v>79</v>
      </c>
      <c r="E1036" s="11"/>
      <c r="F1036" s="4" t="s">
        <v>4753</v>
      </c>
    </row>
    <row r="1037" spans="1:8" x14ac:dyDescent="0.2">
      <c r="A1037" s="14" t="s">
        <v>640</v>
      </c>
      <c r="B1037" s="14" t="s">
        <v>2852</v>
      </c>
      <c r="C1037" s="14" t="s">
        <v>2852</v>
      </c>
      <c r="D1037" s="14" t="s">
        <v>275</v>
      </c>
      <c r="E1037" s="11"/>
      <c r="F1037" s="4" t="s">
        <v>4753</v>
      </c>
    </row>
    <row r="1038" spans="1:8" x14ac:dyDescent="0.2">
      <c r="A1038" s="14" t="s">
        <v>641</v>
      </c>
      <c r="B1038" s="14" t="s">
        <v>2852</v>
      </c>
      <c r="C1038" s="14" t="s">
        <v>2852</v>
      </c>
      <c r="D1038" s="14" t="s">
        <v>276</v>
      </c>
      <c r="E1038" s="11"/>
      <c r="F1038" s="4" t="s">
        <v>4753</v>
      </c>
    </row>
    <row r="1039" spans="1:8" x14ac:dyDescent="0.2">
      <c r="A1039" s="14" t="s">
        <v>578</v>
      </c>
      <c r="B1039" s="14" t="s">
        <v>2852</v>
      </c>
      <c r="C1039" s="14" t="s">
        <v>2852</v>
      </c>
      <c r="D1039" s="14" t="s">
        <v>80</v>
      </c>
      <c r="E1039" s="11"/>
      <c r="F1039" s="4" t="s">
        <v>4753</v>
      </c>
    </row>
    <row r="1040" spans="1:8" x14ac:dyDescent="0.2">
      <c r="A1040" s="14" t="s">
        <v>642</v>
      </c>
      <c r="B1040" s="14" t="s">
        <v>2852</v>
      </c>
      <c r="C1040" s="14" t="s">
        <v>2852</v>
      </c>
      <c r="D1040" s="14" t="s">
        <v>277</v>
      </c>
      <c r="E1040" s="11"/>
      <c r="F1040" s="4" t="s">
        <v>4753</v>
      </c>
    </row>
    <row r="1041" spans="1:8" x14ac:dyDescent="0.2">
      <c r="A1041" s="14" t="s">
        <v>643</v>
      </c>
      <c r="B1041" s="14" t="s">
        <v>2852</v>
      </c>
      <c r="C1041" s="14" t="s">
        <v>2852</v>
      </c>
      <c r="D1041" s="14" t="s">
        <v>278</v>
      </c>
      <c r="E1041" s="11"/>
      <c r="F1041" s="4" t="s">
        <v>4753</v>
      </c>
    </row>
    <row r="1042" spans="1:8" x14ac:dyDescent="0.2">
      <c r="A1042" s="14" t="s">
        <v>579</v>
      </c>
      <c r="B1042" s="14" t="s">
        <v>2852</v>
      </c>
      <c r="C1042" s="14" t="s">
        <v>2852</v>
      </c>
      <c r="D1042" s="14" t="s">
        <v>81</v>
      </c>
      <c r="E1042" s="11"/>
      <c r="F1042" s="4" t="s">
        <v>4753</v>
      </c>
    </row>
    <row r="1043" spans="1:8" x14ac:dyDescent="0.2">
      <c r="A1043" s="14" t="s">
        <v>644</v>
      </c>
      <c r="B1043" s="14" t="s">
        <v>2852</v>
      </c>
      <c r="C1043" s="14" t="s">
        <v>2852</v>
      </c>
      <c r="D1043" s="14" t="s">
        <v>279</v>
      </c>
      <c r="E1043" s="11"/>
      <c r="F1043" s="4" t="s">
        <v>4753</v>
      </c>
    </row>
    <row r="1044" spans="1:8" x14ac:dyDescent="0.2">
      <c r="A1044" s="14" t="s">
        <v>645</v>
      </c>
      <c r="B1044" s="14" t="s">
        <v>2852</v>
      </c>
      <c r="C1044" s="14" t="s">
        <v>2852</v>
      </c>
      <c r="D1044" s="14" t="s">
        <v>280</v>
      </c>
      <c r="E1044" s="11"/>
      <c r="F1044" s="4" t="s">
        <v>4753</v>
      </c>
    </row>
    <row r="1045" spans="1:8" x14ac:dyDescent="0.2">
      <c r="A1045" s="14" t="s">
        <v>580</v>
      </c>
      <c r="B1045" s="14" t="s">
        <v>2852</v>
      </c>
      <c r="C1045" s="14" t="s">
        <v>2852</v>
      </c>
      <c r="D1045" s="14" t="s">
        <v>82</v>
      </c>
      <c r="E1045" s="11"/>
      <c r="F1045" s="4" t="s">
        <v>4753</v>
      </c>
    </row>
    <row r="1046" spans="1:8" x14ac:dyDescent="0.2">
      <c r="A1046" s="14" t="s">
        <v>646</v>
      </c>
      <c r="B1046" s="14" t="s">
        <v>2852</v>
      </c>
      <c r="C1046" s="14" t="s">
        <v>2852</v>
      </c>
      <c r="D1046" s="14" t="s">
        <v>281</v>
      </c>
      <c r="E1046" s="11"/>
      <c r="F1046" s="4" t="s">
        <v>4753</v>
      </c>
    </row>
    <row r="1047" spans="1:8" x14ac:dyDescent="0.2">
      <c r="A1047" s="14" t="s">
        <v>2466</v>
      </c>
      <c r="B1047" s="14" t="s">
        <v>2852</v>
      </c>
      <c r="C1047" s="14" t="s">
        <v>2852</v>
      </c>
      <c r="D1047" s="14" t="s">
        <v>4674</v>
      </c>
      <c r="E1047" s="11"/>
      <c r="F1047" s="4" t="s">
        <v>4753</v>
      </c>
      <c r="H1047" s="6"/>
    </row>
    <row r="1048" spans="1:8" x14ac:dyDescent="0.2">
      <c r="A1048" s="14" t="s">
        <v>647</v>
      </c>
      <c r="B1048" s="14" t="s">
        <v>2852</v>
      </c>
      <c r="C1048" s="14" t="s">
        <v>2852</v>
      </c>
      <c r="D1048" s="14" t="s">
        <v>282</v>
      </c>
      <c r="E1048" s="11"/>
      <c r="F1048" s="4" t="s">
        <v>4753</v>
      </c>
    </row>
    <row r="1049" spans="1:8" x14ac:dyDescent="0.2">
      <c r="A1049" s="14" t="s">
        <v>581</v>
      </c>
      <c r="B1049" s="14" t="s">
        <v>2852</v>
      </c>
      <c r="C1049" s="14" t="s">
        <v>2852</v>
      </c>
      <c r="D1049" s="14" t="s">
        <v>83</v>
      </c>
      <c r="E1049" s="11"/>
      <c r="F1049" s="4" t="s">
        <v>4753</v>
      </c>
    </row>
    <row r="1050" spans="1:8" x14ac:dyDescent="0.2">
      <c r="A1050" s="14" t="s">
        <v>648</v>
      </c>
      <c r="B1050" s="14" t="s">
        <v>2852</v>
      </c>
      <c r="C1050" s="14" t="s">
        <v>2852</v>
      </c>
      <c r="D1050" s="14" t="s">
        <v>283</v>
      </c>
      <c r="E1050" s="11"/>
      <c r="F1050" s="4" t="s">
        <v>4753</v>
      </c>
    </row>
    <row r="1051" spans="1:8" x14ac:dyDescent="0.2">
      <c r="A1051" s="14" t="s">
        <v>2467</v>
      </c>
      <c r="B1051" s="14" t="s">
        <v>2852</v>
      </c>
      <c r="C1051" s="14" t="s">
        <v>2852</v>
      </c>
      <c r="D1051" s="14" t="s">
        <v>4675</v>
      </c>
      <c r="E1051" s="11"/>
      <c r="F1051" s="4" t="s">
        <v>4753</v>
      </c>
      <c r="H1051" s="6"/>
    </row>
    <row r="1052" spans="1:8" x14ac:dyDescent="0.2">
      <c r="A1052" s="14" t="s">
        <v>649</v>
      </c>
      <c r="B1052" s="14" t="s">
        <v>2852</v>
      </c>
      <c r="C1052" s="14" t="s">
        <v>2852</v>
      </c>
      <c r="D1052" s="14" t="s">
        <v>284</v>
      </c>
      <c r="E1052" s="11"/>
      <c r="F1052" s="4" t="s">
        <v>4753</v>
      </c>
    </row>
    <row r="1053" spans="1:8" x14ac:dyDescent="0.2">
      <c r="A1053" s="14" t="s">
        <v>650</v>
      </c>
      <c r="B1053" s="14" t="s">
        <v>2852</v>
      </c>
      <c r="C1053" s="14" t="s">
        <v>2852</v>
      </c>
      <c r="D1053" s="14" t="s">
        <v>285</v>
      </c>
      <c r="E1053" s="11"/>
      <c r="F1053" s="4" t="s">
        <v>4753</v>
      </c>
    </row>
    <row r="1054" spans="1:8" x14ac:dyDescent="0.2">
      <c r="A1054" s="14" t="s">
        <v>2468</v>
      </c>
      <c r="B1054" s="14" t="s">
        <v>2852</v>
      </c>
      <c r="C1054" s="14" t="s">
        <v>2852</v>
      </c>
      <c r="D1054" s="14" t="s">
        <v>4676</v>
      </c>
      <c r="E1054" s="11"/>
      <c r="F1054" s="4" t="s">
        <v>4753</v>
      </c>
      <c r="H1054" s="6"/>
    </row>
    <row r="1055" spans="1:8" x14ac:dyDescent="0.2">
      <c r="A1055" s="14" t="s">
        <v>651</v>
      </c>
      <c r="B1055" s="14" t="s">
        <v>2852</v>
      </c>
      <c r="C1055" s="14" t="s">
        <v>2852</v>
      </c>
      <c r="D1055" s="14" t="s">
        <v>286</v>
      </c>
      <c r="E1055" s="11"/>
      <c r="F1055" s="4" t="s">
        <v>4753</v>
      </c>
    </row>
    <row r="1056" spans="1:8" x14ac:dyDescent="0.2">
      <c r="A1056" s="14" t="s">
        <v>652</v>
      </c>
      <c r="B1056" s="14" t="s">
        <v>2852</v>
      </c>
      <c r="C1056" s="14" t="s">
        <v>2852</v>
      </c>
      <c r="D1056" s="14" t="s">
        <v>287</v>
      </c>
      <c r="E1056" s="11"/>
      <c r="F1056" s="4" t="s">
        <v>4753</v>
      </c>
    </row>
    <row r="1057" spans="1:8" x14ac:dyDescent="0.2">
      <c r="A1057" s="14" t="s">
        <v>2469</v>
      </c>
      <c r="B1057" s="14" t="s">
        <v>2852</v>
      </c>
      <c r="C1057" s="14" t="s">
        <v>2852</v>
      </c>
      <c r="D1057" s="14" t="s">
        <v>4677</v>
      </c>
      <c r="E1057" s="11"/>
      <c r="F1057" s="4" t="s">
        <v>4753</v>
      </c>
      <c r="H1057" s="6"/>
    </row>
    <row r="1058" spans="1:8" x14ac:dyDescent="0.2">
      <c r="A1058" s="14" t="s">
        <v>2483</v>
      </c>
      <c r="B1058" s="14" t="s">
        <v>4746</v>
      </c>
      <c r="C1058" s="14" t="s">
        <v>3372</v>
      </c>
      <c r="D1058" s="14" t="s">
        <v>4712</v>
      </c>
      <c r="E1058" s="11"/>
      <c r="F1058" s="4" t="s">
        <v>4753</v>
      </c>
      <c r="H1058" s="6"/>
    </row>
    <row r="1059" spans="1:8" x14ac:dyDescent="0.2">
      <c r="A1059" s="14" t="s">
        <v>2484</v>
      </c>
      <c r="B1059" s="14" t="s">
        <v>4746</v>
      </c>
      <c r="C1059" s="14" t="s">
        <v>3372</v>
      </c>
      <c r="D1059" s="14" t="s">
        <v>4712</v>
      </c>
      <c r="E1059" s="11"/>
      <c r="F1059" s="4" t="s">
        <v>4753</v>
      </c>
      <c r="H1059" s="6"/>
    </row>
    <row r="1060" spans="1:8" x14ac:dyDescent="0.2">
      <c r="A1060" s="14" t="s">
        <v>2485</v>
      </c>
      <c r="B1060" s="14" t="s">
        <v>4746</v>
      </c>
      <c r="C1060" s="14" t="s">
        <v>3372</v>
      </c>
      <c r="D1060" s="14" t="s">
        <v>4713</v>
      </c>
      <c r="E1060" s="11"/>
      <c r="F1060" s="4" t="s">
        <v>4753</v>
      </c>
      <c r="H1060" s="6"/>
    </row>
    <row r="1061" spans="1:8" x14ac:dyDescent="0.2">
      <c r="A1061" s="14" t="s">
        <v>2486</v>
      </c>
      <c r="B1061" s="14" t="s">
        <v>4746</v>
      </c>
      <c r="C1061" s="14" t="s">
        <v>3372</v>
      </c>
      <c r="D1061" s="14" t="s">
        <v>4714</v>
      </c>
      <c r="E1061" s="11"/>
      <c r="F1061" s="4" t="s">
        <v>4753</v>
      </c>
      <c r="H1061" s="6"/>
    </row>
    <row r="1062" spans="1:8" x14ac:dyDescent="0.2">
      <c r="A1062" s="14" t="s">
        <v>654</v>
      </c>
      <c r="B1062" s="14" t="s">
        <v>3609</v>
      </c>
      <c r="C1062" s="14" t="s">
        <v>2850</v>
      </c>
      <c r="D1062" s="14" t="s">
        <v>295</v>
      </c>
      <c r="E1062" s="11"/>
      <c r="F1062" s="4" t="s">
        <v>4754</v>
      </c>
    </row>
    <row r="1063" spans="1:8" x14ac:dyDescent="0.2">
      <c r="A1063" s="14" t="s">
        <v>2676</v>
      </c>
      <c r="B1063" s="14" t="s">
        <v>3612</v>
      </c>
      <c r="C1063" s="14" t="str">
        <f>VLOOKUP(A1063,'[1]comparison chart'!$B$1:$C$65536,2,0)</f>
        <v>P011</v>
      </c>
      <c r="D1063" s="14" t="s">
        <v>361</v>
      </c>
      <c r="E1063" s="11" t="s">
        <v>296</v>
      </c>
      <c r="F1063" s="4" t="s">
        <v>1524</v>
      </c>
      <c r="H1063" s="6"/>
    </row>
    <row r="1064" spans="1:8" x14ac:dyDescent="0.2">
      <c r="A1064" s="14" t="s">
        <v>2677</v>
      </c>
      <c r="B1064" s="14" t="s">
        <v>3612</v>
      </c>
      <c r="C1064" s="14" t="s">
        <v>2853</v>
      </c>
      <c r="D1064" s="14" t="s">
        <v>361</v>
      </c>
      <c r="E1064" s="11"/>
      <c r="F1064" s="4" t="s">
        <v>4755</v>
      </c>
      <c r="H1064" s="6"/>
    </row>
    <row r="1065" spans="1:8" x14ac:dyDescent="0.2">
      <c r="A1065" s="14" t="s">
        <v>2678</v>
      </c>
      <c r="B1065" s="14" t="s">
        <v>3612</v>
      </c>
      <c r="C1065" s="14" t="str">
        <f>VLOOKUP(A1065,'[1]comparison chart'!$B$1:$C$65536,2,0)</f>
        <v>P012</v>
      </c>
      <c r="D1065" s="14" t="s">
        <v>1322</v>
      </c>
      <c r="E1065" s="11" t="s">
        <v>1322</v>
      </c>
      <c r="F1065" s="4" t="s">
        <v>1524</v>
      </c>
      <c r="H1065" s="6"/>
    </row>
    <row r="1066" spans="1:8" x14ac:dyDescent="0.2">
      <c r="A1066" s="14" t="s">
        <v>2679</v>
      </c>
      <c r="B1066" s="14" t="s">
        <v>3612</v>
      </c>
      <c r="C1066" s="14" t="s">
        <v>2853</v>
      </c>
      <c r="D1066" s="14" t="s">
        <v>1322</v>
      </c>
      <c r="E1066" s="11"/>
      <c r="F1066" s="4" t="s">
        <v>4755</v>
      </c>
      <c r="H1066" s="6"/>
    </row>
    <row r="1067" spans="1:8" x14ac:dyDescent="0.2">
      <c r="A1067" s="14" t="s">
        <v>2680</v>
      </c>
      <c r="B1067" s="14" t="s">
        <v>3612</v>
      </c>
      <c r="C1067" s="14" t="str">
        <f>VLOOKUP(A1067,'[1]comparison chart'!$B$1:$C$65536,2,0)</f>
        <v>P013</v>
      </c>
      <c r="D1067" s="14" t="s">
        <v>1323</v>
      </c>
      <c r="E1067" s="11" t="s">
        <v>299</v>
      </c>
      <c r="F1067" s="4" t="s">
        <v>1524</v>
      </c>
      <c r="H1067" s="6"/>
    </row>
    <row r="1068" spans="1:8" x14ac:dyDescent="0.2">
      <c r="A1068" s="14" t="s">
        <v>2681</v>
      </c>
      <c r="B1068" s="14" t="s">
        <v>3612</v>
      </c>
      <c r="C1068" s="14" t="s">
        <v>2853</v>
      </c>
      <c r="D1068" s="14" t="s">
        <v>1323</v>
      </c>
      <c r="E1068" s="11"/>
      <c r="F1068" s="4" t="s">
        <v>4755</v>
      </c>
      <c r="H1068" s="6"/>
    </row>
    <row r="1069" spans="1:8" x14ac:dyDescent="0.2">
      <c r="A1069" s="14" t="s">
        <v>2682</v>
      </c>
      <c r="B1069" s="14" t="s">
        <v>3612</v>
      </c>
      <c r="C1069" s="14" t="str">
        <f>VLOOKUP(A1069,'[1]comparison chart'!$B$1:$C$65536,2,0)</f>
        <v>P015</v>
      </c>
      <c r="D1069" s="14" t="s">
        <v>1867</v>
      </c>
      <c r="E1069" s="11" t="s">
        <v>3508</v>
      </c>
      <c r="F1069" s="4" t="s">
        <v>1524</v>
      </c>
      <c r="H1069" s="6"/>
    </row>
    <row r="1070" spans="1:8" x14ac:dyDescent="0.2">
      <c r="A1070" s="14" t="s">
        <v>2683</v>
      </c>
      <c r="B1070" s="14" t="s">
        <v>3612</v>
      </c>
      <c r="C1070" s="14" t="s">
        <v>2853</v>
      </c>
      <c r="D1070" s="14" t="s">
        <v>1867</v>
      </c>
      <c r="E1070" s="11"/>
      <c r="F1070" s="4" t="s">
        <v>4755</v>
      </c>
      <c r="H1070" s="6"/>
    </row>
    <row r="1071" spans="1:8" x14ac:dyDescent="0.2">
      <c r="A1071" s="14" t="s">
        <v>2684</v>
      </c>
      <c r="B1071" s="14" t="s">
        <v>4746</v>
      </c>
      <c r="C1071" s="14" t="s">
        <v>2853</v>
      </c>
      <c r="D1071" s="14" t="s">
        <v>3508</v>
      </c>
      <c r="E1071" s="11"/>
      <c r="F1071" s="4" t="s">
        <v>4755</v>
      </c>
      <c r="H1071" s="6"/>
    </row>
    <row r="1072" spans="1:8" x14ac:dyDescent="0.2">
      <c r="A1072" s="14" t="s">
        <v>2685</v>
      </c>
      <c r="B1072" s="14" t="s">
        <v>3612</v>
      </c>
      <c r="C1072" s="14" t="str">
        <f>VLOOKUP(A1072,'[1]comparison chart'!$B$1:$C$65536,2,0)</f>
        <v>P017</v>
      </c>
      <c r="D1072" s="14" t="s">
        <v>306</v>
      </c>
      <c r="E1072" s="11" t="s">
        <v>304</v>
      </c>
      <c r="F1072" s="4" t="s">
        <v>1524</v>
      </c>
      <c r="H1072" s="6"/>
    </row>
    <row r="1073" spans="1:8" x14ac:dyDescent="0.2">
      <c r="A1073" s="14" t="s">
        <v>2686</v>
      </c>
      <c r="B1073" s="14" t="s">
        <v>3612</v>
      </c>
      <c r="C1073" s="14" t="s">
        <v>2853</v>
      </c>
      <c r="D1073" s="14" t="s">
        <v>306</v>
      </c>
      <c r="E1073" s="11"/>
      <c r="F1073" s="4" t="s">
        <v>4755</v>
      </c>
      <c r="H1073" s="6"/>
    </row>
    <row r="1074" spans="1:8" x14ac:dyDescent="0.2">
      <c r="A1074" s="14" t="s">
        <v>2687</v>
      </c>
      <c r="B1074" s="14" t="s">
        <v>3612</v>
      </c>
      <c r="C1074" s="14" t="str">
        <f>VLOOKUP(A1074,'[1]comparison chart'!$B$1:$C$65536,2,0)</f>
        <v>P021</v>
      </c>
      <c r="D1074" s="14" t="s">
        <v>1325</v>
      </c>
      <c r="E1074" s="11" t="s">
        <v>307</v>
      </c>
      <c r="F1074" s="4" t="s">
        <v>1524</v>
      </c>
      <c r="H1074" s="6"/>
    </row>
    <row r="1075" spans="1:8" x14ac:dyDescent="0.2">
      <c r="A1075" s="14" t="s">
        <v>2688</v>
      </c>
      <c r="B1075" s="14" t="s">
        <v>3612</v>
      </c>
      <c r="C1075" s="14" t="s">
        <v>2853</v>
      </c>
      <c r="D1075" s="14" t="s">
        <v>1325</v>
      </c>
      <c r="E1075" s="11"/>
      <c r="F1075" s="4" t="s">
        <v>4755</v>
      </c>
      <c r="H1075" s="6"/>
    </row>
    <row r="1076" spans="1:8" x14ac:dyDescent="0.2">
      <c r="A1076" s="14" t="s">
        <v>2689</v>
      </c>
      <c r="B1076" s="14" t="s">
        <v>3612</v>
      </c>
      <c r="C1076" s="14" t="str">
        <f>VLOOKUP(A1076,'[1]comparison chart'!$B$1:$C$65536,2,0)</f>
        <v>P022</v>
      </c>
      <c r="D1076" s="14" t="s">
        <v>1326</v>
      </c>
      <c r="E1076" s="11" t="s">
        <v>309</v>
      </c>
      <c r="F1076" s="4" t="s">
        <v>1524</v>
      </c>
      <c r="H1076" s="6"/>
    </row>
    <row r="1077" spans="1:8" x14ac:dyDescent="0.2">
      <c r="A1077" s="14" t="s">
        <v>2690</v>
      </c>
      <c r="B1077" s="14" t="s">
        <v>3612</v>
      </c>
      <c r="C1077" s="14" t="s">
        <v>2853</v>
      </c>
      <c r="D1077" s="14" t="s">
        <v>1326</v>
      </c>
      <c r="E1077" s="11"/>
      <c r="F1077" s="4" t="s">
        <v>4755</v>
      </c>
      <c r="H1077" s="6"/>
    </row>
    <row r="1078" spans="1:8" x14ac:dyDescent="0.2">
      <c r="A1078" s="14" t="s">
        <v>2691</v>
      </c>
      <c r="B1078" s="14" t="s">
        <v>3612</v>
      </c>
      <c r="C1078" s="14" t="str">
        <f>VLOOKUP(A1078,'[1]comparison chart'!$B$1:$C$65536,2,0)</f>
        <v>P023</v>
      </c>
      <c r="D1078" s="14" t="s">
        <v>1327</v>
      </c>
      <c r="E1078" s="11" t="s">
        <v>311</v>
      </c>
      <c r="F1078" s="4" t="s">
        <v>1524</v>
      </c>
      <c r="H1078" s="6"/>
    </row>
    <row r="1079" spans="1:8" x14ac:dyDescent="0.2">
      <c r="A1079" s="14" t="s">
        <v>2692</v>
      </c>
      <c r="B1079" s="14" t="s">
        <v>3612</v>
      </c>
      <c r="C1079" s="14" t="s">
        <v>2853</v>
      </c>
      <c r="D1079" s="14" t="s">
        <v>1327</v>
      </c>
      <c r="E1079" s="11"/>
      <c r="F1079" s="4" t="s">
        <v>4755</v>
      </c>
      <c r="H1079" s="6"/>
    </row>
    <row r="1080" spans="1:8" x14ac:dyDescent="0.2">
      <c r="A1080" s="14" t="s">
        <v>2693</v>
      </c>
      <c r="B1080" s="14" t="s">
        <v>3612</v>
      </c>
      <c r="C1080" s="14" t="str">
        <f>VLOOKUP(A1080,'[1]comparison chart'!$B$1:$C$65536,2,0)</f>
        <v>P024</v>
      </c>
      <c r="D1080" s="14" t="s">
        <v>1328</v>
      </c>
      <c r="E1080" s="11" t="s">
        <v>313</v>
      </c>
      <c r="F1080" s="4" t="s">
        <v>1524</v>
      </c>
      <c r="H1080" s="6"/>
    </row>
    <row r="1081" spans="1:8" x14ac:dyDescent="0.2">
      <c r="A1081" s="14" t="s">
        <v>2694</v>
      </c>
      <c r="B1081" s="14" t="s">
        <v>3612</v>
      </c>
      <c r="C1081" s="14" t="s">
        <v>2853</v>
      </c>
      <c r="D1081" s="14" t="s">
        <v>1328</v>
      </c>
      <c r="E1081" s="11"/>
      <c r="F1081" s="4" t="s">
        <v>4755</v>
      </c>
      <c r="H1081" s="6"/>
    </row>
    <row r="1082" spans="1:8" x14ac:dyDescent="0.2">
      <c r="A1082" s="14" t="s">
        <v>2695</v>
      </c>
      <c r="B1082" s="14" t="s">
        <v>3612</v>
      </c>
      <c r="C1082" s="14" t="str">
        <f>VLOOKUP(A1082,'[1]comparison chart'!$B$1:$C$65536,2,0)</f>
        <v>P048</v>
      </c>
      <c r="D1082" s="14" t="s">
        <v>1170</v>
      </c>
      <c r="E1082" s="11" t="s">
        <v>3615</v>
      </c>
      <c r="F1082" s="4" t="s">
        <v>1524</v>
      </c>
      <c r="H1082" s="6"/>
    </row>
    <row r="1083" spans="1:8" x14ac:dyDescent="0.2">
      <c r="A1083" s="14" t="s">
        <v>2722</v>
      </c>
      <c r="B1083" s="14" t="s">
        <v>3612</v>
      </c>
      <c r="C1083" s="14" t="str">
        <f>VLOOKUP(A1083,'[1]comparison chart'!$B$1:$C$65536,2,0)</f>
        <v>P111</v>
      </c>
      <c r="D1083" s="14" t="s">
        <v>1881</v>
      </c>
      <c r="E1083" s="11" t="s">
        <v>3954</v>
      </c>
      <c r="F1083" s="4" t="s">
        <v>1524</v>
      </c>
      <c r="H1083" s="6"/>
    </row>
    <row r="1084" spans="1:8" x14ac:dyDescent="0.2">
      <c r="A1084" s="14" t="s">
        <v>2737</v>
      </c>
      <c r="B1084" s="14" t="s">
        <v>3612</v>
      </c>
      <c r="C1084" s="14" t="str">
        <f>VLOOKUP(A1084,'[1]comparison chart'!$B$1:$C$65536,2,0)</f>
        <v>P220</v>
      </c>
      <c r="D1084" s="14" t="s">
        <v>4001</v>
      </c>
      <c r="E1084" s="11" t="s">
        <v>3634</v>
      </c>
      <c r="F1084" s="4" t="s">
        <v>1524</v>
      </c>
      <c r="H1084" s="6"/>
    </row>
    <row r="1085" spans="1:8" x14ac:dyDescent="0.2">
      <c r="A1085" s="14" t="s">
        <v>2738</v>
      </c>
      <c r="B1085" s="14" t="s">
        <v>3612</v>
      </c>
      <c r="C1085" s="14" t="str">
        <f>VLOOKUP(A1085,'[1]comparison chart'!$B$1:$C$65536,2,0)</f>
        <v>P220N</v>
      </c>
      <c r="D1085" s="14" t="s">
        <v>1889</v>
      </c>
      <c r="E1085" s="11" t="s">
        <v>4664</v>
      </c>
      <c r="F1085" s="4" t="s">
        <v>1524</v>
      </c>
      <c r="H1085" s="6"/>
    </row>
    <row r="1086" spans="1:8" x14ac:dyDescent="0.2">
      <c r="A1086" s="14" t="s">
        <v>2739</v>
      </c>
      <c r="B1086" s="14" t="s">
        <v>3612</v>
      </c>
      <c r="C1086" s="14" t="str">
        <f>VLOOKUP(A1086,'[1]comparison chart'!$B$1:$C$65536,2,0)</f>
        <v>P221</v>
      </c>
      <c r="D1086" s="14" t="s">
        <v>1890</v>
      </c>
      <c r="E1086" s="11" t="s">
        <v>38</v>
      </c>
      <c r="F1086" s="4" t="s">
        <v>1524</v>
      </c>
      <c r="H1086" s="6"/>
    </row>
    <row r="1087" spans="1:8" x14ac:dyDescent="0.2">
      <c r="A1087" s="14" t="s">
        <v>2740</v>
      </c>
      <c r="B1087" s="14" t="s">
        <v>3612</v>
      </c>
      <c r="C1087" s="14" t="str">
        <f>VLOOKUP(A1087,'[1]comparison chart'!$B$1:$C$65536,2,0)</f>
        <v>P221N</v>
      </c>
      <c r="D1087" s="14" t="s">
        <v>1891</v>
      </c>
      <c r="E1087" s="11" t="s">
        <v>1891</v>
      </c>
      <c r="F1087" s="4" t="s">
        <v>1524</v>
      </c>
      <c r="H1087" s="6"/>
    </row>
    <row r="1088" spans="1:8" x14ac:dyDescent="0.2">
      <c r="A1088" s="14" t="s">
        <v>2741</v>
      </c>
      <c r="B1088" s="14" t="s">
        <v>3612</v>
      </c>
      <c r="C1088" s="14" t="s">
        <v>3499</v>
      </c>
      <c r="D1088" s="14" t="s">
        <v>1892</v>
      </c>
      <c r="E1088" s="11"/>
      <c r="F1088" s="4" t="s">
        <v>4755</v>
      </c>
      <c r="H1088" s="6"/>
    </row>
    <row r="1089" spans="1:8" x14ac:dyDescent="0.2">
      <c r="A1089" s="14" t="s">
        <v>2742</v>
      </c>
      <c r="B1089" s="14" t="s">
        <v>3612</v>
      </c>
      <c r="C1089" s="14" t="s">
        <v>3499</v>
      </c>
      <c r="D1089" s="14" t="s">
        <v>1893</v>
      </c>
      <c r="E1089" s="11"/>
      <c r="F1089" s="4" t="s">
        <v>4755</v>
      </c>
      <c r="H1089" s="6"/>
    </row>
    <row r="1090" spans="1:8" x14ac:dyDescent="0.2">
      <c r="A1090" s="14" t="s">
        <v>2743</v>
      </c>
      <c r="B1090" s="14" t="s">
        <v>3612</v>
      </c>
      <c r="C1090" s="14" t="s">
        <v>3499</v>
      </c>
      <c r="D1090" s="14" t="s">
        <v>1894</v>
      </c>
      <c r="E1090" s="11"/>
      <c r="F1090" s="4" t="s">
        <v>4755</v>
      </c>
      <c r="H1090" s="6"/>
    </row>
    <row r="1091" spans="1:8" x14ac:dyDescent="0.2">
      <c r="A1091" s="14" t="s">
        <v>2744</v>
      </c>
      <c r="B1091" s="14" t="s">
        <v>3612</v>
      </c>
      <c r="C1091" s="14" t="s">
        <v>3499</v>
      </c>
      <c r="D1091" s="14" t="s">
        <v>1895</v>
      </c>
      <c r="E1091" s="11"/>
      <c r="F1091" s="4" t="s">
        <v>4755</v>
      </c>
      <c r="H1091" s="6"/>
    </row>
    <row r="1092" spans="1:8" x14ac:dyDescent="0.2">
      <c r="A1092" s="14" t="s">
        <v>2745</v>
      </c>
      <c r="B1092" s="14" t="s">
        <v>3612</v>
      </c>
      <c r="C1092" s="14" t="s">
        <v>3499</v>
      </c>
      <c r="D1092" s="14" t="s">
        <v>1896</v>
      </c>
      <c r="E1092" s="11"/>
      <c r="F1092" s="4" t="s">
        <v>4755</v>
      </c>
      <c r="H1092" s="6"/>
    </row>
    <row r="1093" spans="1:8" x14ac:dyDescent="0.2">
      <c r="A1093" s="14" t="s">
        <v>2746</v>
      </c>
      <c r="B1093" s="14" t="s">
        <v>3612</v>
      </c>
      <c r="C1093" s="13" t="s">
        <v>2939</v>
      </c>
      <c r="D1093" s="14" t="s">
        <v>1897</v>
      </c>
      <c r="E1093" s="11" t="s">
        <v>3640</v>
      </c>
      <c r="F1093" s="4" t="s">
        <v>1524</v>
      </c>
      <c r="H1093" s="6"/>
    </row>
    <row r="1094" spans="1:8" x14ac:dyDescent="0.2">
      <c r="A1094" s="14" t="s">
        <v>2791</v>
      </c>
      <c r="B1094" s="14" t="s">
        <v>3612</v>
      </c>
      <c r="C1094" s="14" t="str">
        <f>VLOOKUP(A1094,'[1]comparison chart'!$B$1:$C$65536,2,0)</f>
        <v>P210</v>
      </c>
      <c r="D1094" s="14" t="s">
        <v>1271</v>
      </c>
      <c r="E1094" s="11" t="s">
        <v>1271</v>
      </c>
      <c r="F1094" s="4" t="s">
        <v>1524</v>
      </c>
      <c r="H1094" s="6"/>
    </row>
    <row r="1095" spans="1:8" x14ac:dyDescent="0.2">
      <c r="A1095" s="14" t="s">
        <v>2792</v>
      </c>
      <c r="B1095" s="14" t="s">
        <v>3612</v>
      </c>
      <c r="C1095" s="14" t="str">
        <f>VLOOKUP(A1095,'[1]comparison chart'!$B$1:$C$65536,2,0)</f>
        <v>P212</v>
      </c>
      <c r="D1095" s="14" t="s">
        <v>1910</v>
      </c>
      <c r="E1095" s="11" t="s">
        <v>1910</v>
      </c>
      <c r="F1095" s="4" t="s">
        <v>1524</v>
      </c>
      <c r="H1095" s="6"/>
    </row>
    <row r="1096" spans="1:8" x14ac:dyDescent="0.2">
      <c r="A1096" s="14" t="s">
        <v>2696</v>
      </c>
      <c r="B1096" s="14" t="s">
        <v>3612</v>
      </c>
      <c r="C1096" s="14" t="str">
        <f>VLOOKUP(A1096,'[1]comparison chart'!$B$1:$C$65536,2,0)</f>
        <v>P401</v>
      </c>
      <c r="D1096" s="14" t="s">
        <v>1868</v>
      </c>
      <c r="E1096" s="11" t="s">
        <v>1162</v>
      </c>
      <c r="F1096" s="4" t="s">
        <v>1524</v>
      </c>
      <c r="H1096" s="6"/>
    </row>
    <row r="1097" spans="1:8" x14ac:dyDescent="0.2">
      <c r="A1097" s="14" t="s">
        <v>2697</v>
      </c>
      <c r="B1097" s="14" t="s">
        <v>3612</v>
      </c>
      <c r="C1097" s="14" t="str">
        <f>VLOOKUP(A1097,'[1]comparison chart'!$B$1:$C$65536,2,0)</f>
        <v>P401N</v>
      </c>
      <c r="D1097" s="14" t="s">
        <v>1869</v>
      </c>
      <c r="E1097" s="11" t="s">
        <v>3622</v>
      </c>
      <c r="F1097" s="4" t="s">
        <v>1524</v>
      </c>
      <c r="H1097" s="6"/>
    </row>
    <row r="1098" spans="1:8" x14ac:dyDescent="0.2">
      <c r="A1098" s="14" t="s">
        <v>2698</v>
      </c>
      <c r="B1098" s="14" t="s">
        <v>3612</v>
      </c>
      <c r="C1098" s="14" t="s">
        <v>2853</v>
      </c>
      <c r="D1098" s="14" t="s">
        <v>1869</v>
      </c>
      <c r="E1098" s="11"/>
      <c r="F1098" s="4" t="s">
        <v>4755</v>
      </c>
      <c r="H1098" s="6"/>
    </row>
    <row r="1099" spans="1:8" x14ac:dyDescent="0.2">
      <c r="A1099" s="14" t="s">
        <v>2699</v>
      </c>
      <c r="B1099" s="14" t="s">
        <v>3612</v>
      </c>
      <c r="C1099" s="14" t="str">
        <f>VLOOKUP(A1099,'[1]comparison chart'!$B$1:$C$65536,2,0)</f>
        <v>P403</v>
      </c>
      <c r="D1099" s="14" t="s">
        <v>1870</v>
      </c>
      <c r="E1099" s="11" t="s">
        <v>3534</v>
      </c>
      <c r="F1099" s="4" t="s">
        <v>1524</v>
      </c>
      <c r="H1099" s="6"/>
    </row>
    <row r="1100" spans="1:8" x14ac:dyDescent="0.2">
      <c r="A1100" s="14" t="s">
        <v>2700</v>
      </c>
      <c r="B1100" s="14" t="s">
        <v>3612</v>
      </c>
      <c r="C1100" s="14" t="str">
        <f>VLOOKUP(A1100,'[1]comparison chart'!$B$1:$C$65536,2,0)</f>
        <v>P403N</v>
      </c>
      <c r="D1100" s="14" t="s">
        <v>3535</v>
      </c>
      <c r="E1100" s="11" t="s">
        <v>3535</v>
      </c>
      <c r="F1100" s="4" t="s">
        <v>1524</v>
      </c>
      <c r="H1100" s="6"/>
    </row>
    <row r="1101" spans="1:8" x14ac:dyDescent="0.2">
      <c r="A1101" s="14" t="s">
        <v>2701</v>
      </c>
      <c r="B1101" s="14" t="s">
        <v>3612</v>
      </c>
      <c r="C1101" s="14" t="str">
        <f>VLOOKUP(A1101,'[1]comparison chart'!$B$1:$C$65536,2,0)</f>
        <v>P404N</v>
      </c>
      <c r="D1101" s="14" t="s">
        <v>1871</v>
      </c>
      <c r="E1101" s="11" t="s">
        <v>3530</v>
      </c>
      <c r="F1101" s="4" t="s">
        <v>1524</v>
      </c>
      <c r="H1101" s="6"/>
    </row>
    <row r="1102" spans="1:8" x14ac:dyDescent="0.2">
      <c r="A1102" s="14" t="s">
        <v>2729</v>
      </c>
      <c r="B1102" s="14" t="s">
        <v>3612</v>
      </c>
      <c r="C1102" s="14" t="str">
        <f>VLOOKUP(A1102,'[1]comparison chart'!$B$1:$C$65536,2,0)</f>
        <v>P415</v>
      </c>
      <c r="D1102" s="14" t="s">
        <v>3996</v>
      </c>
      <c r="E1102" s="11" t="s">
        <v>15</v>
      </c>
      <c r="F1102" s="4" t="s">
        <v>1524</v>
      </c>
      <c r="H1102" s="6"/>
    </row>
    <row r="1103" spans="1:8" x14ac:dyDescent="0.2">
      <c r="A1103" s="14" t="s">
        <v>2730</v>
      </c>
      <c r="B1103" s="14" t="s">
        <v>3612</v>
      </c>
      <c r="C1103" s="14" t="s">
        <v>2853</v>
      </c>
      <c r="D1103" s="14" t="s">
        <v>3996</v>
      </c>
      <c r="E1103" s="11"/>
      <c r="F1103" s="4" t="s">
        <v>4755</v>
      </c>
      <c r="H1103" s="6"/>
    </row>
    <row r="1104" spans="1:8" x14ac:dyDescent="0.2">
      <c r="A1104" s="14" t="s">
        <v>2703</v>
      </c>
      <c r="B1104" s="14" t="s">
        <v>3612</v>
      </c>
      <c r="C1104" s="14" t="str">
        <f>VLOOKUP(A1104,'[1]comparison chart'!$B$1:$C$65536,2,0)</f>
        <v>P421N</v>
      </c>
      <c r="D1104" s="14" t="s">
        <v>1873</v>
      </c>
      <c r="E1104" s="11" t="s">
        <v>3624</v>
      </c>
      <c r="F1104" s="4" t="s">
        <v>1524</v>
      </c>
      <c r="H1104" s="6"/>
    </row>
    <row r="1105" spans="1:8" x14ac:dyDescent="0.2">
      <c r="A1105" s="14" t="s">
        <v>2704</v>
      </c>
      <c r="B1105" s="14" t="s">
        <v>3612</v>
      </c>
      <c r="C1105" s="14" t="s">
        <v>2853</v>
      </c>
      <c r="D1105" s="14" t="s">
        <v>1873</v>
      </c>
      <c r="E1105" s="11"/>
      <c r="F1105" s="4" t="s">
        <v>4755</v>
      </c>
      <c r="H1105" s="6"/>
    </row>
    <row r="1106" spans="1:8" x14ac:dyDescent="0.2">
      <c r="A1106" s="14" t="s">
        <v>2705</v>
      </c>
      <c r="B1106" s="14" t="s">
        <v>4746</v>
      </c>
      <c r="C1106" s="14" t="s">
        <v>2853</v>
      </c>
      <c r="D1106" s="14" t="s">
        <v>1874</v>
      </c>
      <c r="E1106" s="11"/>
      <c r="F1106" s="4" t="s">
        <v>4755</v>
      </c>
      <c r="H1106" s="6"/>
    </row>
    <row r="1107" spans="1:8" x14ac:dyDescent="0.2">
      <c r="A1107" s="14" t="s">
        <v>2706</v>
      </c>
      <c r="B1107" s="14" t="s">
        <v>3612</v>
      </c>
      <c r="C1107" s="14" t="str">
        <f>VLOOKUP(A1107,'[1]comparison chart'!$B$1:$C$65536,2,0)</f>
        <v>P422N</v>
      </c>
      <c r="D1107" s="14" t="s">
        <v>1875</v>
      </c>
      <c r="E1107" s="11" t="s">
        <v>3625</v>
      </c>
      <c r="F1107" s="4" t="s">
        <v>1524</v>
      </c>
      <c r="H1107" s="6"/>
    </row>
    <row r="1108" spans="1:8" x14ac:dyDescent="0.2">
      <c r="A1108" s="14" t="s">
        <v>2707</v>
      </c>
      <c r="B1108" s="14" t="s">
        <v>3612</v>
      </c>
      <c r="C1108" s="14" t="s">
        <v>2853</v>
      </c>
      <c r="D1108" s="14" t="s">
        <v>1875</v>
      </c>
      <c r="E1108" s="11"/>
      <c r="F1108" s="4" t="s">
        <v>4755</v>
      </c>
      <c r="H1108" s="6"/>
    </row>
    <row r="1109" spans="1:8" x14ac:dyDescent="0.2">
      <c r="A1109" s="14" t="s">
        <v>2708</v>
      </c>
      <c r="B1109" s="14" t="s">
        <v>3612</v>
      </c>
      <c r="C1109" s="14" t="str">
        <f>VLOOKUP(A1109,'[1]comparison chart'!$B$1:$C$65536,2,0)</f>
        <v>P425</v>
      </c>
      <c r="D1109" s="14" t="s">
        <v>3543</v>
      </c>
      <c r="E1109" s="11" t="s">
        <v>3543</v>
      </c>
      <c r="F1109" s="4" t="s">
        <v>1524</v>
      </c>
      <c r="H1109" s="6"/>
    </row>
    <row r="1110" spans="1:8" x14ac:dyDescent="0.2">
      <c r="A1110" s="14" t="s">
        <v>2709</v>
      </c>
      <c r="B1110" s="14" t="s">
        <v>3612</v>
      </c>
      <c r="C1110" s="14" t="str">
        <f>VLOOKUP(A1110,'[1]comparison chart'!$B$1:$C$65536,2,0)</f>
        <v>P425N</v>
      </c>
      <c r="D1110" s="14" t="s">
        <v>1876</v>
      </c>
      <c r="E1110" s="11" t="s">
        <v>3629</v>
      </c>
      <c r="F1110" s="4" t="s">
        <v>1524</v>
      </c>
      <c r="H1110" s="6"/>
    </row>
    <row r="1111" spans="1:8" x14ac:dyDescent="0.2">
      <c r="A1111" s="14" t="s">
        <v>2710</v>
      </c>
      <c r="B1111" s="14" t="s">
        <v>3612</v>
      </c>
      <c r="C1111" s="14" t="s">
        <v>2853</v>
      </c>
      <c r="D1111" s="14" t="s">
        <v>1876</v>
      </c>
      <c r="E1111" s="11"/>
      <c r="F1111" s="4" t="s">
        <v>4755</v>
      </c>
      <c r="H1111" s="6"/>
    </row>
    <row r="1112" spans="1:8" x14ac:dyDescent="0.2">
      <c r="A1112" s="14" t="s">
        <v>2711</v>
      </c>
      <c r="B1112" s="14" t="s">
        <v>3612</v>
      </c>
      <c r="C1112" s="14" t="str">
        <f>VLOOKUP(A1112,'[1]comparison chart'!$B$1:$C$65536,2,0)</f>
        <v>P426N</v>
      </c>
      <c r="D1112" s="14" t="s">
        <v>1877</v>
      </c>
      <c r="E1112" s="11" t="s">
        <v>3630</v>
      </c>
      <c r="F1112" s="4" t="s">
        <v>1524</v>
      </c>
      <c r="H1112" s="6"/>
    </row>
    <row r="1113" spans="1:8" x14ac:dyDescent="0.2">
      <c r="A1113" s="14" t="s">
        <v>2712</v>
      </c>
      <c r="B1113" s="14" t="s">
        <v>3612</v>
      </c>
      <c r="C1113" s="14" t="str">
        <f>VLOOKUP(A1113,'[1]comparison chart'!$B$1:$C$65536,2,0)</f>
        <v>P345</v>
      </c>
      <c r="D1113" s="14" t="s">
        <v>1878</v>
      </c>
      <c r="E1113" s="11" t="s">
        <v>117</v>
      </c>
      <c r="F1113" s="4" t="s">
        <v>1524</v>
      </c>
      <c r="H1113" s="6"/>
    </row>
    <row r="1114" spans="1:8" x14ac:dyDescent="0.2">
      <c r="A1114" s="14" t="s">
        <v>2774</v>
      </c>
      <c r="B1114" s="14" t="s">
        <v>3612</v>
      </c>
      <c r="C1114" s="14" t="str">
        <f>VLOOKUP(A1114,'[1]comparison chart'!$B$1:$C$65536,2,0)</f>
        <v>P351</v>
      </c>
      <c r="D1114" s="14" t="s">
        <v>1007</v>
      </c>
      <c r="E1114" s="11" t="s">
        <v>60</v>
      </c>
      <c r="F1114" s="4" t="s">
        <v>1524</v>
      </c>
      <c r="H1114" s="6"/>
    </row>
    <row r="1115" spans="1:8" x14ac:dyDescent="0.2">
      <c r="A1115" s="14" t="s">
        <v>2775</v>
      </c>
      <c r="B1115" s="14" t="s">
        <v>3612</v>
      </c>
      <c r="C1115" s="14" t="s">
        <v>2853</v>
      </c>
      <c r="D1115" s="14" t="s">
        <v>1007</v>
      </c>
      <c r="E1115" s="11"/>
      <c r="F1115" s="4" t="s">
        <v>4755</v>
      </c>
      <c r="H1115" s="6"/>
    </row>
    <row r="1116" spans="1:8" x14ac:dyDescent="0.2">
      <c r="A1116" s="14" t="s">
        <v>2776</v>
      </c>
      <c r="B1116" s="14" t="s">
        <v>3612</v>
      </c>
      <c r="C1116" s="14" t="str">
        <f>VLOOKUP(A1116,'[1]comparison chart'!$B$1:$C$65536,2,0)</f>
        <v>P351D</v>
      </c>
      <c r="D1116" s="14" t="s">
        <v>1904</v>
      </c>
      <c r="E1116" s="11" t="s">
        <v>61</v>
      </c>
      <c r="F1116" s="4" t="s">
        <v>1524</v>
      </c>
      <c r="H1116" s="6"/>
    </row>
    <row r="1117" spans="1:8" x14ac:dyDescent="0.2">
      <c r="A1117" s="14" t="s">
        <v>2777</v>
      </c>
      <c r="B1117" s="14" t="s">
        <v>3612</v>
      </c>
      <c r="C1117" s="14" t="str">
        <f>VLOOKUP(A1117,'[1]comparison chart'!$B$1:$C$65536,2,0)</f>
        <v>P355</v>
      </c>
      <c r="D1117" s="14" t="s">
        <v>1166</v>
      </c>
      <c r="E1117" s="11" t="s">
        <v>3648</v>
      </c>
      <c r="F1117" s="4" t="s">
        <v>1524</v>
      </c>
      <c r="H1117" s="6"/>
    </row>
    <row r="1118" spans="1:8" x14ac:dyDescent="0.2">
      <c r="A1118" s="14" t="s">
        <v>2778</v>
      </c>
      <c r="B1118" s="14" t="s">
        <v>3612</v>
      </c>
      <c r="C1118" s="14" t="s">
        <v>2853</v>
      </c>
      <c r="D1118" s="14" t="s">
        <v>1166</v>
      </c>
      <c r="E1118" s="11"/>
      <c r="F1118" s="4" t="s">
        <v>4755</v>
      </c>
      <c r="H1118" s="6"/>
    </row>
    <row r="1119" spans="1:8" x14ac:dyDescent="0.2">
      <c r="A1119" s="14" t="s">
        <v>2779</v>
      </c>
      <c r="B1119" s="14" t="s">
        <v>3612</v>
      </c>
      <c r="C1119" s="14" t="str">
        <f>VLOOKUP(A1119,'[1]comparison chart'!$B$1:$C$65536,2,0)</f>
        <v>P356</v>
      </c>
      <c r="D1119" s="14" t="s">
        <v>1167</v>
      </c>
      <c r="E1119" s="11" t="s">
        <v>3649</v>
      </c>
      <c r="F1119" s="4" t="s">
        <v>1524</v>
      </c>
      <c r="H1119" s="6"/>
    </row>
    <row r="1120" spans="1:8" x14ac:dyDescent="0.2">
      <c r="A1120" s="14" t="s">
        <v>2780</v>
      </c>
      <c r="B1120" s="14" t="s">
        <v>3612</v>
      </c>
      <c r="C1120" s="14" t="str">
        <f>VLOOKUP(A1120,'[1]comparison chart'!$B$1:$C$65536,2,0)</f>
        <v>P360</v>
      </c>
      <c r="D1120" s="14" t="s">
        <v>1905</v>
      </c>
      <c r="E1120" s="11" t="s">
        <v>1905</v>
      </c>
      <c r="F1120" s="4" t="s">
        <v>1524</v>
      </c>
      <c r="H1120" s="6"/>
    </row>
    <row r="1121" spans="1:8" x14ac:dyDescent="0.2">
      <c r="A1121" s="14" t="s">
        <v>2781</v>
      </c>
      <c r="B1121" s="14" t="s">
        <v>3612</v>
      </c>
      <c r="C1121" s="14" t="str">
        <f>VLOOKUP(A1121,'[1]comparison chart'!$B$1:$C$65536,2,0)</f>
        <v>P361</v>
      </c>
      <c r="D1121" s="14" t="s">
        <v>1168</v>
      </c>
      <c r="E1121" s="11" t="s">
        <v>4037</v>
      </c>
      <c r="F1121" s="4" t="s">
        <v>1524</v>
      </c>
      <c r="H1121" s="6"/>
    </row>
    <row r="1122" spans="1:8" x14ac:dyDescent="0.2">
      <c r="A1122" s="14" t="s">
        <v>2782</v>
      </c>
      <c r="B1122" s="14" t="s">
        <v>3612</v>
      </c>
      <c r="C1122" s="14" t="str">
        <f>VLOOKUP(A1122,'[1]comparison chart'!$B$1:$C$65536,2,0)</f>
        <v>P362</v>
      </c>
      <c r="D1122" s="14" t="s">
        <v>1906</v>
      </c>
      <c r="E1122" s="11" t="s">
        <v>3651</v>
      </c>
      <c r="F1122" s="4" t="s">
        <v>1524</v>
      </c>
      <c r="H1122" s="6"/>
    </row>
    <row r="1123" spans="1:8" x14ac:dyDescent="0.2">
      <c r="A1123" s="14" t="s">
        <v>2783</v>
      </c>
      <c r="B1123" s="14" t="s">
        <v>3612</v>
      </c>
      <c r="C1123" s="14" t="s">
        <v>2853</v>
      </c>
      <c r="D1123" s="14" t="s">
        <v>1906</v>
      </c>
      <c r="E1123" s="11"/>
      <c r="F1123" s="4" t="s">
        <v>4755</v>
      </c>
      <c r="H1123" s="6"/>
    </row>
    <row r="1124" spans="1:8" x14ac:dyDescent="0.2">
      <c r="A1124" s="14" t="s">
        <v>2784</v>
      </c>
      <c r="B1124" s="14" t="s">
        <v>3612</v>
      </c>
      <c r="C1124" s="14" t="s">
        <v>3500</v>
      </c>
      <c r="D1124" s="14" t="s">
        <v>1907</v>
      </c>
      <c r="E1124" s="11"/>
      <c r="F1124" s="4" t="s">
        <v>4755</v>
      </c>
      <c r="H1124" s="6"/>
    </row>
    <row r="1125" spans="1:8" x14ac:dyDescent="0.2">
      <c r="A1125" s="14" t="s">
        <v>2731</v>
      </c>
      <c r="B1125" s="14" t="s">
        <v>3612</v>
      </c>
      <c r="C1125" s="14" t="str">
        <f>VLOOKUP(A1125,'[1]comparison chart'!$B$1:$C$65536,2,0)</f>
        <v>P370</v>
      </c>
      <c r="D1125" s="14" t="s">
        <v>1887</v>
      </c>
      <c r="E1125" s="11" t="s">
        <v>119</v>
      </c>
      <c r="F1125" s="4" t="s">
        <v>1524</v>
      </c>
      <c r="H1125" s="6"/>
    </row>
    <row r="1126" spans="1:8" x14ac:dyDescent="0.2">
      <c r="A1126" s="14" t="s">
        <v>2793</v>
      </c>
      <c r="B1126" s="14" t="s">
        <v>3612</v>
      </c>
      <c r="C1126" s="14" t="str">
        <f>VLOOKUP(A1126,'[1]comparison chart'!$B$1:$C$65536,2,0)</f>
        <v>P391</v>
      </c>
      <c r="D1126" s="14" t="s">
        <v>1346</v>
      </c>
      <c r="E1126" s="11" t="s">
        <v>1346</v>
      </c>
      <c r="F1126" s="4" t="s">
        <v>1524</v>
      </c>
      <c r="H1126" s="6"/>
    </row>
    <row r="1127" spans="1:8" x14ac:dyDescent="0.2">
      <c r="A1127" s="14" t="s">
        <v>2794</v>
      </c>
      <c r="B1127" s="14" t="s">
        <v>3612</v>
      </c>
      <c r="C1127" s="14" t="s">
        <v>2853</v>
      </c>
      <c r="D1127" s="14" t="s">
        <v>1346</v>
      </c>
      <c r="E1127" s="11"/>
      <c r="F1127" s="4" t="s">
        <v>4755</v>
      </c>
      <c r="H1127" s="6"/>
    </row>
    <row r="1128" spans="1:8" x14ac:dyDescent="0.2">
      <c r="A1128" s="14" t="s">
        <v>2795</v>
      </c>
      <c r="B1128" s="14" t="s">
        <v>3612</v>
      </c>
      <c r="C1128" s="14" t="str">
        <f>VLOOKUP(A1128,'[1]comparison chart'!$B$1:$C$65536,2,0)</f>
        <v>P392</v>
      </c>
      <c r="D1128" s="14" t="s">
        <v>1347</v>
      </c>
      <c r="E1128" s="11" t="s">
        <v>1347</v>
      </c>
      <c r="F1128" s="4" t="s">
        <v>1524</v>
      </c>
      <c r="H1128" s="6"/>
    </row>
    <row r="1129" spans="1:8" x14ac:dyDescent="0.2">
      <c r="A1129" s="14" t="s">
        <v>2702</v>
      </c>
      <c r="B1129" s="14" t="s">
        <v>3612</v>
      </c>
      <c r="C1129" s="14" t="str">
        <f>VLOOKUP(A1129,'[1]comparison chart'!$B$1:$C$65536,2,0)</f>
        <v>P450</v>
      </c>
      <c r="D1129" s="14" t="s">
        <v>1872</v>
      </c>
      <c r="E1129" s="11" t="s">
        <v>3932</v>
      </c>
      <c r="F1129" s="4" t="s">
        <v>1524</v>
      </c>
      <c r="H1129" s="6"/>
    </row>
    <row r="1130" spans="1:8" x14ac:dyDescent="0.2">
      <c r="A1130" s="14" t="s">
        <v>2713</v>
      </c>
      <c r="B1130" s="14" t="s">
        <v>3612</v>
      </c>
      <c r="C1130" s="14" t="s">
        <v>2853</v>
      </c>
      <c r="D1130" s="14" t="s">
        <v>1879</v>
      </c>
      <c r="E1130" s="11"/>
      <c r="F1130" s="4" t="s">
        <v>4755</v>
      </c>
      <c r="H1130" s="6"/>
    </row>
    <row r="1131" spans="1:8" x14ac:dyDescent="0.2">
      <c r="A1131" s="14" t="s">
        <v>2732</v>
      </c>
      <c r="B1131" s="14" t="s">
        <v>4746</v>
      </c>
      <c r="C1131" s="14" t="s">
        <v>2853</v>
      </c>
      <c r="D1131" s="14" t="s">
        <v>3999</v>
      </c>
      <c r="E1131" s="11"/>
      <c r="F1131" s="4" t="s">
        <v>4755</v>
      </c>
      <c r="H1131" s="6"/>
    </row>
    <row r="1132" spans="1:8" x14ac:dyDescent="0.2">
      <c r="A1132" s="14" t="s">
        <v>2733</v>
      </c>
      <c r="B1132" s="14" t="s">
        <v>4746</v>
      </c>
      <c r="C1132" s="14" t="s">
        <v>2853</v>
      </c>
      <c r="D1132" s="14" t="s">
        <v>3999</v>
      </c>
      <c r="E1132" s="11"/>
      <c r="F1132" s="4" t="s">
        <v>4755</v>
      </c>
      <c r="H1132" s="6"/>
    </row>
    <row r="1133" spans="1:8" x14ac:dyDescent="0.2">
      <c r="A1133" s="14" t="s">
        <v>2734</v>
      </c>
      <c r="B1133" s="14" t="s">
        <v>4746</v>
      </c>
      <c r="C1133" s="14" t="s">
        <v>2853</v>
      </c>
      <c r="D1133" s="14" t="s">
        <v>1888</v>
      </c>
      <c r="E1133" s="11"/>
      <c r="F1133" s="4" t="s">
        <v>4755</v>
      </c>
      <c r="H1133" s="6"/>
    </row>
    <row r="1134" spans="1:8" x14ac:dyDescent="0.2">
      <c r="A1134" s="14" t="s">
        <v>2714</v>
      </c>
      <c r="B1134" s="14" t="s">
        <v>4746</v>
      </c>
      <c r="C1134" s="14" t="s">
        <v>2853</v>
      </c>
      <c r="D1134" s="14" t="s">
        <v>1880</v>
      </c>
      <c r="E1134" s="11"/>
      <c r="F1134" s="4" t="s">
        <v>4755</v>
      </c>
      <c r="H1134" s="6"/>
    </row>
    <row r="1135" spans="1:8" x14ac:dyDescent="0.2">
      <c r="A1135" s="14" t="s">
        <v>2735</v>
      </c>
      <c r="B1135" s="14" t="s">
        <v>3612</v>
      </c>
      <c r="C1135" s="14" t="str">
        <f>VLOOKUP(A1135,'[1]comparison chart'!$B$1:$C$65536,2,0)</f>
        <v>P611</v>
      </c>
      <c r="D1135" s="14" t="s">
        <v>1882</v>
      </c>
      <c r="E1135" s="11" t="s">
        <v>3</v>
      </c>
      <c r="F1135" s="4" t="s">
        <v>1524</v>
      </c>
      <c r="H1135" s="6"/>
    </row>
    <row r="1136" spans="1:8" x14ac:dyDescent="0.2">
      <c r="A1136" s="14" t="s">
        <v>2723</v>
      </c>
      <c r="B1136" s="14" t="s">
        <v>4746</v>
      </c>
      <c r="C1136" s="14" t="s">
        <v>2853</v>
      </c>
      <c r="D1136" s="14" t="s">
        <v>1882</v>
      </c>
      <c r="E1136" s="11"/>
      <c r="F1136" s="4" t="s">
        <v>4755</v>
      </c>
      <c r="H1136" s="6"/>
    </row>
    <row r="1137" spans="1:8" x14ac:dyDescent="0.2">
      <c r="A1137" s="14" t="s">
        <v>2724</v>
      </c>
      <c r="B1137" s="14" t="s">
        <v>3612</v>
      </c>
      <c r="C1137" s="14" t="s">
        <v>2900</v>
      </c>
      <c r="D1137" s="14" t="s">
        <v>1883</v>
      </c>
      <c r="E1137" s="14" t="s">
        <v>1590</v>
      </c>
      <c r="F1137" s="4" t="s">
        <v>4755</v>
      </c>
      <c r="H1137" s="6"/>
    </row>
    <row r="1138" spans="1:8" x14ac:dyDescent="0.2">
      <c r="A1138" s="14" t="s">
        <v>2736</v>
      </c>
      <c r="B1138" s="14" t="s">
        <v>3612</v>
      </c>
      <c r="C1138" s="14" t="str">
        <f>VLOOKUP(A1138,'[1]comparison chart'!$B$1:$C$65536,2,0)</f>
        <v>P612</v>
      </c>
      <c r="D1138" s="14" t="s">
        <v>1884</v>
      </c>
      <c r="E1138" s="11" t="s">
        <v>4</v>
      </c>
      <c r="F1138" s="4" t="s">
        <v>1524</v>
      </c>
      <c r="H1138" s="6"/>
    </row>
    <row r="1139" spans="1:8" x14ac:dyDescent="0.2">
      <c r="A1139" s="14" t="s">
        <v>2725</v>
      </c>
      <c r="B1139" s="14" t="s">
        <v>4746</v>
      </c>
      <c r="C1139" s="14" t="s">
        <v>2853</v>
      </c>
      <c r="D1139" s="14" t="s">
        <v>1884</v>
      </c>
      <c r="E1139" s="11"/>
      <c r="F1139" s="4" t="s">
        <v>4755</v>
      </c>
      <c r="H1139" s="6"/>
    </row>
    <row r="1140" spans="1:8" x14ac:dyDescent="0.2">
      <c r="A1140" s="14" t="s">
        <v>2726</v>
      </c>
      <c r="B1140" s="14" t="s">
        <v>3612</v>
      </c>
      <c r="C1140" s="14" t="s">
        <v>2919</v>
      </c>
      <c r="D1140" s="14" t="s">
        <v>1885</v>
      </c>
      <c r="E1140" s="11" t="s">
        <v>9</v>
      </c>
      <c r="F1140" s="4" t="s">
        <v>1524</v>
      </c>
      <c r="H1140" s="6"/>
    </row>
    <row r="1141" spans="1:8" x14ac:dyDescent="0.2">
      <c r="A1141" s="14" t="s">
        <v>2727</v>
      </c>
      <c r="B1141" s="14" t="s">
        <v>3612</v>
      </c>
      <c r="C1141" s="14" t="str">
        <f>VLOOKUP(A1141,'[1]comparison chart'!$B$1:$C$65536,2,0)</f>
        <v>P621</v>
      </c>
      <c r="D1141" s="14" t="s">
        <v>5</v>
      </c>
      <c r="E1141" s="11" t="s">
        <v>7</v>
      </c>
      <c r="F1141" s="4" t="s">
        <v>1524</v>
      </c>
      <c r="H1141" s="6"/>
    </row>
    <row r="1142" spans="1:8" x14ac:dyDescent="0.2">
      <c r="A1142" s="14" t="s">
        <v>2728</v>
      </c>
      <c r="B1142" s="14" t="s">
        <v>3612</v>
      </c>
      <c r="C1142" s="14" t="str">
        <f>VLOOKUP(A1142,'[1]comparison chart'!$B$1:$C$65536,2,0)</f>
        <v>P622</v>
      </c>
      <c r="D1142" s="14" t="s">
        <v>1886</v>
      </c>
      <c r="E1142" s="11" t="s">
        <v>8</v>
      </c>
      <c r="F1142" s="4" t="s">
        <v>1524</v>
      </c>
      <c r="H1142" s="6"/>
    </row>
    <row r="1143" spans="1:8" x14ac:dyDescent="0.2">
      <c r="A1143" s="14" t="s">
        <v>2785</v>
      </c>
      <c r="B1143" s="14" t="s">
        <v>3612</v>
      </c>
      <c r="C1143" s="14" t="str">
        <f>VLOOKUP(A1143,'[1]comparison chart'!$B$1:$C$65536,2,0)</f>
        <v>P901</v>
      </c>
      <c r="D1143" s="14" t="s">
        <v>4593</v>
      </c>
      <c r="E1143" s="11" t="s">
        <v>4593</v>
      </c>
      <c r="F1143" s="4" t="s">
        <v>1524</v>
      </c>
      <c r="H1143" s="6"/>
    </row>
    <row r="1144" spans="1:8" x14ac:dyDescent="0.2">
      <c r="A1144" s="14" t="s">
        <v>2786</v>
      </c>
      <c r="B1144" s="14" t="s">
        <v>3612</v>
      </c>
      <c r="C1144" s="14" t="str">
        <f>VLOOKUP(A1144,'[1]comparison chart'!$B$1:$C$65536,2,0)</f>
        <v>P902</v>
      </c>
      <c r="D1144" s="14" t="s">
        <v>4594</v>
      </c>
      <c r="E1144" s="11" t="s">
        <v>4594</v>
      </c>
      <c r="F1144" s="4" t="s">
        <v>1524</v>
      </c>
      <c r="H1144" s="6"/>
    </row>
    <row r="1145" spans="1:8" x14ac:dyDescent="0.2">
      <c r="A1145" s="14" t="s">
        <v>2787</v>
      </c>
      <c r="B1145" s="14" t="s">
        <v>3612</v>
      </c>
      <c r="C1145" s="14" t="str">
        <f>VLOOKUP(A1145,'[1]comparison chart'!$B$1:$C$65536,2,0)</f>
        <v>P903</v>
      </c>
      <c r="D1145" s="14" t="s">
        <v>90</v>
      </c>
      <c r="E1145" s="11" t="s">
        <v>90</v>
      </c>
      <c r="F1145" s="4" t="s">
        <v>1524</v>
      </c>
      <c r="H1145" s="6"/>
    </row>
    <row r="1146" spans="1:8" x14ac:dyDescent="0.2">
      <c r="A1146" s="14" t="s">
        <v>2788</v>
      </c>
      <c r="B1146" s="14" t="s">
        <v>3612</v>
      </c>
      <c r="C1146" s="14" t="str">
        <f>VLOOKUP(A1146,'[1]comparison chart'!$B$1:$C$65536,2,0)</f>
        <v>P904</v>
      </c>
      <c r="D1146" s="14" t="s">
        <v>92</v>
      </c>
      <c r="E1146" s="11" t="s">
        <v>92</v>
      </c>
      <c r="F1146" s="4" t="s">
        <v>1524</v>
      </c>
      <c r="H1146" s="6"/>
    </row>
    <row r="1147" spans="1:8" x14ac:dyDescent="0.2">
      <c r="A1147" s="14" t="s">
        <v>2789</v>
      </c>
      <c r="B1147" s="14" t="s">
        <v>3612</v>
      </c>
      <c r="C1147" s="14" t="s">
        <v>2957</v>
      </c>
      <c r="D1147" s="14" t="s">
        <v>1908</v>
      </c>
      <c r="E1147" s="11" t="s">
        <v>4594</v>
      </c>
      <c r="F1147" s="4" t="s">
        <v>1524</v>
      </c>
      <c r="H1147" s="6"/>
    </row>
    <row r="1148" spans="1:8" x14ac:dyDescent="0.2">
      <c r="A1148" s="14" t="s">
        <v>2790</v>
      </c>
      <c r="B1148" s="14" t="s">
        <v>3612</v>
      </c>
      <c r="C1148" s="14" t="s">
        <v>2959</v>
      </c>
      <c r="D1148" s="14" t="s">
        <v>1909</v>
      </c>
      <c r="E1148" s="11" t="s">
        <v>92</v>
      </c>
      <c r="F1148" s="4" t="s">
        <v>1524</v>
      </c>
      <c r="H1148" s="6"/>
    </row>
    <row r="1149" spans="1:8" x14ac:dyDescent="0.2">
      <c r="A1149" s="14" t="s">
        <v>2715</v>
      </c>
      <c r="B1149" s="14" t="s">
        <v>3612</v>
      </c>
      <c r="C1149" s="14" t="str">
        <f>VLOOKUP(A1149,'[1]comparison chart'!$B$1:$C$65536,2,0)</f>
        <v>P9131</v>
      </c>
      <c r="D1149" s="14" t="s">
        <v>1229</v>
      </c>
      <c r="E1149" s="11" t="s">
        <v>1229</v>
      </c>
      <c r="F1149" s="4" t="s">
        <v>1524</v>
      </c>
      <c r="H1149" s="6"/>
    </row>
    <row r="1150" spans="1:8" x14ac:dyDescent="0.2">
      <c r="A1150" s="14" t="s">
        <v>2716</v>
      </c>
      <c r="B1150" s="14" t="s">
        <v>3612</v>
      </c>
      <c r="C1150" s="14" t="str">
        <f>VLOOKUP(A1150,'[1]comparison chart'!$B$1:$C$65536,2,0)</f>
        <v>P9132</v>
      </c>
      <c r="D1150" s="14" t="s">
        <v>1231</v>
      </c>
      <c r="E1150" s="11" t="s">
        <v>1231</v>
      </c>
      <c r="F1150" s="4" t="s">
        <v>1524</v>
      </c>
      <c r="H1150" s="6"/>
    </row>
    <row r="1151" spans="1:8" x14ac:dyDescent="0.2">
      <c r="A1151" s="14" t="s">
        <v>2717</v>
      </c>
      <c r="B1151" s="14" t="s">
        <v>3612</v>
      </c>
      <c r="C1151" s="14" t="str">
        <f>VLOOKUP(A1151,'[1]comparison chart'!$B$1:$C$65536,2,0)</f>
        <v>P9141</v>
      </c>
      <c r="D1151" s="14" t="s">
        <v>1237</v>
      </c>
      <c r="E1151" s="11" t="s">
        <v>1237</v>
      </c>
      <c r="F1151" s="4" t="s">
        <v>1524</v>
      </c>
      <c r="H1151" s="6"/>
    </row>
    <row r="1152" spans="1:8" x14ac:dyDescent="0.2">
      <c r="A1152" s="14" t="s">
        <v>2718</v>
      </c>
      <c r="B1152" s="14" t="s">
        <v>3612</v>
      </c>
      <c r="C1152" s="14" t="str">
        <f>VLOOKUP(A1152,'[1]comparison chart'!$B$1:$C$65536,2,0)</f>
        <v>P9511</v>
      </c>
      <c r="D1152" s="14" t="s">
        <v>3555</v>
      </c>
      <c r="E1152" s="11" t="s">
        <v>3555</v>
      </c>
      <c r="F1152" s="4" t="s">
        <v>1524</v>
      </c>
      <c r="H1152" s="6"/>
    </row>
    <row r="1153" spans="1:8" x14ac:dyDescent="0.2">
      <c r="A1153" s="14" t="s">
        <v>2719</v>
      </c>
      <c r="B1153" s="14" t="s">
        <v>3612</v>
      </c>
      <c r="C1153" s="14" t="str">
        <f>VLOOKUP(A1153,'[1]comparison chart'!$B$1:$C$65536,2,0)</f>
        <v>P9551</v>
      </c>
      <c r="D1153" s="14" t="s">
        <v>3556</v>
      </c>
      <c r="E1153" s="11" t="s">
        <v>3556</v>
      </c>
      <c r="F1153" s="4" t="s">
        <v>1524</v>
      </c>
      <c r="H1153" s="6"/>
    </row>
    <row r="1154" spans="1:8" x14ac:dyDescent="0.2">
      <c r="A1154" s="14" t="s">
        <v>2720</v>
      </c>
      <c r="B1154" s="14" t="s">
        <v>3612</v>
      </c>
      <c r="C1154" s="14" t="str">
        <f>VLOOKUP(A1154,'[1]comparison chart'!$B$1:$C$65536,2,0)</f>
        <v>P9552</v>
      </c>
      <c r="D1154" s="14" t="s">
        <v>3557</v>
      </c>
      <c r="E1154" s="11" t="s">
        <v>3557</v>
      </c>
      <c r="F1154" s="4" t="s">
        <v>1524</v>
      </c>
      <c r="H1154" s="6"/>
    </row>
    <row r="1155" spans="1:8" x14ac:dyDescent="0.2">
      <c r="A1155" s="14" t="s">
        <v>2721</v>
      </c>
      <c r="B1155" s="14" t="s">
        <v>3612</v>
      </c>
      <c r="C1155" s="14" t="str">
        <f>VLOOKUP(A1155,'[1]comparison chart'!$B$1:$C$65536,2,0)</f>
        <v>P9751</v>
      </c>
      <c r="D1155" s="14" t="s">
        <v>3560</v>
      </c>
      <c r="E1155" s="11" t="s">
        <v>3632</v>
      </c>
      <c r="F1155" s="4" t="s">
        <v>1524</v>
      </c>
      <c r="H1155" s="6"/>
    </row>
    <row r="1156" spans="1:8" x14ac:dyDescent="0.2">
      <c r="A1156" s="14" t="s">
        <v>2796</v>
      </c>
      <c r="B1156" s="14" t="s">
        <v>3612</v>
      </c>
      <c r="C1156" s="14" t="str">
        <f>VLOOKUP(A1156,'[1]comparison chart'!$B$1:$C$65536,2,0)</f>
        <v>P999</v>
      </c>
      <c r="D1156" s="14" t="s">
        <v>1911</v>
      </c>
      <c r="E1156" s="11" t="s">
        <v>3933</v>
      </c>
      <c r="F1156" s="4" t="s">
        <v>1524</v>
      </c>
      <c r="H1156" s="6"/>
    </row>
    <row r="1157" spans="1:8" x14ac:dyDescent="0.2">
      <c r="A1157" s="14" t="s">
        <v>2634</v>
      </c>
      <c r="B1157" s="14" t="s">
        <v>4746</v>
      </c>
      <c r="C1157" s="14" t="s">
        <v>2853</v>
      </c>
      <c r="D1157" s="14" t="s">
        <v>1794</v>
      </c>
      <c r="E1157" s="11"/>
      <c r="F1157" s="4" t="s">
        <v>4756</v>
      </c>
      <c r="H1157" s="6"/>
    </row>
    <row r="1158" spans="1:8" x14ac:dyDescent="0.2">
      <c r="A1158" s="14" t="s">
        <v>2635</v>
      </c>
      <c r="B1158" s="14" t="s">
        <v>4746</v>
      </c>
      <c r="C1158" s="14" t="s">
        <v>2853</v>
      </c>
      <c r="D1158" s="14" t="s">
        <v>1795</v>
      </c>
      <c r="E1158" s="11"/>
      <c r="F1158" s="4" t="s">
        <v>4756</v>
      </c>
      <c r="H1158" s="6"/>
    </row>
    <row r="1159" spans="1:8" x14ac:dyDescent="0.2">
      <c r="A1159" s="14" t="s">
        <v>2636</v>
      </c>
      <c r="B1159" s="14" t="s">
        <v>4746</v>
      </c>
      <c r="C1159" s="14" t="s">
        <v>2853</v>
      </c>
      <c r="D1159" s="14" t="s">
        <v>1796</v>
      </c>
      <c r="E1159" s="11"/>
      <c r="F1159" s="4" t="s">
        <v>4756</v>
      </c>
      <c r="H1159" s="6"/>
    </row>
    <row r="1160" spans="1:8" x14ac:dyDescent="0.2">
      <c r="A1160" s="14" t="s">
        <v>2637</v>
      </c>
      <c r="B1160" s="14" t="s">
        <v>4746</v>
      </c>
      <c r="C1160" s="14" t="s">
        <v>2853</v>
      </c>
      <c r="D1160" s="14" t="s">
        <v>1796</v>
      </c>
      <c r="E1160" s="11"/>
      <c r="F1160" s="4" t="s">
        <v>4756</v>
      </c>
      <c r="H1160" s="6"/>
    </row>
    <row r="1161" spans="1:8" x14ac:dyDescent="0.2">
      <c r="A1161" s="14" t="s">
        <v>2638</v>
      </c>
      <c r="B1161" s="14" t="s">
        <v>4746</v>
      </c>
      <c r="C1161" s="14" t="s">
        <v>2853</v>
      </c>
      <c r="D1161" s="14" t="s">
        <v>1797</v>
      </c>
      <c r="E1161" s="11"/>
      <c r="F1161" s="4" t="s">
        <v>4756</v>
      </c>
      <c r="H1161" s="6"/>
    </row>
    <row r="1162" spans="1:8" x14ac:dyDescent="0.2">
      <c r="A1162" s="14" t="s">
        <v>1398</v>
      </c>
      <c r="B1162" s="14" t="s">
        <v>3613</v>
      </c>
      <c r="C1162" s="14" t="s">
        <v>1398</v>
      </c>
      <c r="D1162" s="14" t="s">
        <v>1399</v>
      </c>
      <c r="E1162" s="11" t="s">
        <v>1399</v>
      </c>
      <c r="F1162" s="4" t="s">
        <v>1587</v>
      </c>
      <c r="H1162" s="6"/>
    </row>
    <row r="1163" spans="1:8" x14ac:dyDescent="0.2">
      <c r="A1163" s="14" t="s">
        <v>1400</v>
      </c>
      <c r="B1163" s="14" t="s">
        <v>3613</v>
      </c>
      <c r="C1163" s="14" t="s">
        <v>1400</v>
      </c>
      <c r="D1163" s="14" t="s">
        <v>1401</v>
      </c>
      <c r="E1163" s="11" t="s">
        <v>1401</v>
      </c>
      <c r="F1163" s="4" t="s">
        <v>1587</v>
      </c>
      <c r="H1163" s="6"/>
    </row>
    <row r="1164" spans="1:8" x14ac:dyDescent="0.2">
      <c r="A1164" s="14" t="s">
        <v>1402</v>
      </c>
      <c r="B1164" s="14" t="s">
        <v>3613</v>
      </c>
      <c r="C1164" s="14" t="s">
        <v>1402</v>
      </c>
      <c r="D1164" s="14" t="s">
        <v>1403</v>
      </c>
      <c r="E1164" s="11" t="s">
        <v>1403</v>
      </c>
      <c r="F1164" s="4" t="s">
        <v>1587</v>
      </c>
      <c r="H1164" s="6"/>
    </row>
    <row r="1165" spans="1:8" x14ac:dyDescent="0.2">
      <c r="A1165" s="14" t="s">
        <v>1404</v>
      </c>
      <c r="B1165" s="14" t="s">
        <v>3613</v>
      </c>
      <c r="C1165" s="14" t="s">
        <v>1404</v>
      </c>
      <c r="D1165" s="14" t="s">
        <v>1812</v>
      </c>
      <c r="E1165" s="11" t="s">
        <v>1812</v>
      </c>
      <c r="F1165" s="4" t="s">
        <v>1587</v>
      </c>
      <c r="H1165" s="6"/>
    </row>
    <row r="1166" spans="1:8" x14ac:dyDescent="0.2">
      <c r="A1166" s="14" t="s">
        <v>1405</v>
      </c>
      <c r="B1166" s="14" t="s">
        <v>3613</v>
      </c>
      <c r="C1166" s="14" t="s">
        <v>1405</v>
      </c>
      <c r="D1166" s="14" t="s">
        <v>1813</v>
      </c>
      <c r="E1166" s="11" t="s">
        <v>1813</v>
      </c>
      <c r="F1166" s="4" t="s">
        <v>1587</v>
      </c>
      <c r="H1166" s="6"/>
    </row>
    <row r="1167" spans="1:8" x14ac:dyDescent="0.2">
      <c r="A1167" s="14" t="s">
        <v>1406</v>
      </c>
      <c r="B1167" s="14" t="s">
        <v>3613</v>
      </c>
      <c r="C1167" s="14" t="s">
        <v>1406</v>
      </c>
      <c r="D1167" s="14" t="s">
        <v>1814</v>
      </c>
      <c r="E1167" s="11" t="s">
        <v>1814</v>
      </c>
      <c r="F1167" s="4" t="s">
        <v>1587</v>
      </c>
      <c r="H1167" s="6"/>
    </row>
    <row r="1168" spans="1:8" x14ac:dyDescent="0.2">
      <c r="A1168" s="14" t="s">
        <v>521</v>
      </c>
      <c r="B1168" s="14" t="s">
        <v>3609</v>
      </c>
      <c r="C1168" s="14" t="s">
        <v>2850</v>
      </c>
      <c r="D1168" s="14" t="s">
        <v>3549</v>
      </c>
      <c r="E1168" s="11"/>
      <c r="F1168" s="4" t="s">
        <v>1587</v>
      </c>
    </row>
    <row r="1169" spans="1:8" x14ac:dyDescent="0.2">
      <c r="A1169" s="14" t="s">
        <v>1407</v>
      </c>
      <c r="B1169" s="14" t="s">
        <v>3613</v>
      </c>
      <c r="C1169" s="14" t="s">
        <v>1407</v>
      </c>
      <c r="D1169" s="14" t="s">
        <v>1815</v>
      </c>
      <c r="E1169" s="11" t="s">
        <v>1815</v>
      </c>
      <c r="F1169" s="4" t="s">
        <v>1587</v>
      </c>
      <c r="H1169" s="6"/>
    </row>
    <row r="1170" spans="1:8" x14ac:dyDescent="0.2">
      <c r="A1170" s="14" t="s">
        <v>1408</v>
      </c>
      <c r="B1170" s="14" t="s">
        <v>3613</v>
      </c>
      <c r="C1170" s="14" t="s">
        <v>1408</v>
      </c>
      <c r="D1170" s="14" t="s">
        <v>1816</v>
      </c>
      <c r="E1170" s="11" t="s">
        <v>1816</v>
      </c>
      <c r="F1170" s="4" t="s">
        <v>1587</v>
      </c>
      <c r="H1170" s="6"/>
    </row>
    <row r="1171" spans="1:8" x14ac:dyDescent="0.2">
      <c r="A1171" s="14" t="s">
        <v>2641</v>
      </c>
      <c r="B1171" s="14" t="s">
        <v>3609</v>
      </c>
      <c r="C1171" s="14" t="s">
        <v>2850</v>
      </c>
      <c r="D1171" s="14" t="s">
        <v>1817</v>
      </c>
      <c r="E1171" s="11"/>
      <c r="F1171" s="4" t="s">
        <v>1587</v>
      </c>
      <c r="H1171" s="6"/>
    </row>
    <row r="1172" spans="1:8" x14ac:dyDescent="0.2">
      <c r="A1172" s="14" t="s">
        <v>2642</v>
      </c>
      <c r="B1172" s="14" t="s">
        <v>3609</v>
      </c>
      <c r="C1172" s="14" t="s">
        <v>2850</v>
      </c>
      <c r="D1172" s="14" t="s">
        <v>1818</v>
      </c>
      <c r="E1172" s="11"/>
      <c r="F1172" s="4" t="s">
        <v>1587</v>
      </c>
      <c r="H1172" s="6"/>
    </row>
    <row r="1173" spans="1:8" x14ac:dyDescent="0.2">
      <c r="A1173" s="14" t="s">
        <v>1409</v>
      </c>
      <c r="B1173" s="14" t="s">
        <v>3613</v>
      </c>
      <c r="C1173" s="14" t="s">
        <v>1409</v>
      </c>
      <c r="D1173" s="14" t="s">
        <v>1819</v>
      </c>
      <c r="E1173" s="11" t="s">
        <v>1819</v>
      </c>
      <c r="F1173" s="4" t="s">
        <v>1587</v>
      </c>
      <c r="H1173" s="6"/>
    </row>
    <row r="1174" spans="1:8" x14ac:dyDescent="0.2">
      <c r="A1174" s="14" t="s">
        <v>522</v>
      </c>
      <c r="B1174" s="14" t="s">
        <v>3609</v>
      </c>
      <c r="C1174" s="14" t="s">
        <v>2850</v>
      </c>
      <c r="D1174" s="14" t="s">
        <v>3550</v>
      </c>
      <c r="E1174" s="11"/>
      <c r="F1174" s="4" t="s">
        <v>1587</v>
      </c>
    </row>
    <row r="1175" spans="1:8" x14ac:dyDescent="0.2">
      <c r="A1175" s="14" t="s">
        <v>523</v>
      </c>
      <c r="B1175" s="14" t="s">
        <v>3609</v>
      </c>
      <c r="C1175" s="14" t="s">
        <v>2850</v>
      </c>
      <c r="D1175" s="14" t="s">
        <v>3551</v>
      </c>
      <c r="E1175" s="11"/>
      <c r="F1175" s="4" t="s">
        <v>1587</v>
      </c>
    </row>
    <row r="1176" spans="1:8" x14ac:dyDescent="0.2">
      <c r="A1176" s="14" t="s">
        <v>1410</v>
      </c>
      <c r="B1176" s="14" t="s">
        <v>3613</v>
      </c>
      <c r="C1176" s="14" t="s">
        <v>1410</v>
      </c>
      <c r="D1176" s="14" t="s">
        <v>1820</v>
      </c>
      <c r="E1176" s="11" t="s">
        <v>1820</v>
      </c>
      <c r="F1176" s="4" t="s">
        <v>1587</v>
      </c>
      <c r="H1176" s="6"/>
    </row>
    <row r="1177" spans="1:8" x14ac:dyDescent="0.2">
      <c r="A1177" s="14" t="s">
        <v>1411</v>
      </c>
      <c r="B1177" s="14" t="s">
        <v>3613</v>
      </c>
      <c r="C1177" s="14" t="s">
        <v>1411</v>
      </c>
      <c r="D1177" s="14" t="s">
        <v>1821</v>
      </c>
      <c r="E1177" s="11" t="s">
        <v>1821</v>
      </c>
      <c r="F1177" s="4" t="s">
        <v>1587</v>
      </c>
      <c r="H1177" s="6"/>
    </row>
    <row r="1178" spans="1:8" x14ac:dyDescent="0.2">
      <c r="A1178" s="14" t="s">
        <v>1412</v>
      </c>
      <c r="B1178" s="14" t="s">
        <v>3613</v>
      </c>
      <c r="C1178" s="14" t="s">
        <v>1412</v>
      </c>
      <c r="D1178" s="14" t="s">
        <v>1822</v>
      </c>
      <c r="E1178" s="11" t="s">
        <v>1822</v>
      </c>
      <c r="F1178" s="4" t="s">
        <v>1587</v>
      </c>
      <c r="H1178" s="6"/>
    </row>
    <row r="1179" spans="1:8" x14ac:dyDescent="0.2">
      <c r="A1179" s="14" t="s">
        <v>2643</v>
      </c>
      <c r="B1179" s="14" t="s">
        <v>3609</v>
      </c>
      <c r="C1179" s="14" t="s">
        <v>2850</v>
      </c>
      <c r="D1179" s="14" t="s">
        <v>1823</v>
      </c>
      <c r="E1179" s="11"/>
      <c r="F1179" s="4" t="s">
        <v>1587</v>
      </c>
      <c r="H1179" s="6"/>
    </row>
    <row r="1180" spans="1:8" x14ac:dyDescent="0.2">
      <c r="A1180" s="14" t="s">
        <v>1413</v>
      </c>
      <c r="B1180" s="14" t="s">
        <v>3613</v>
      </c>
      <c r="C1180" s="14" t="s">
        <v>1413</v>
      </c>
      <c r="D1180" s="14" t="s">
        <v>1831</v>
      </c>
      <c r="E1180" s="11" t="s">
        <v>1831</v>
      </c>
      <c r="F1180" s="4" t="s">
        <v>1587</v>
      </c>
      <c r="H1180" s="6"/>
    </row>
    <row r="1181" spans="1:8" x14ac:dyDescent="0.2">
      <c r="A1181" s="14" t="s">
        <v>1414</v>
      </c>
      <c r="B1181" s="14" t="s">
        <v>3613</v>
      </c>
      <c r="C1181" s="14" t="s">
        <v>1414</v>
      </c>
      <c r="D1181" s="14" t="s">
        <v>1831</v>
      </c>
      <c r="E1181" s="11" t="s">
        <v>1831</v>
      </c>
      <c r="F1181" s="4" t="s">
        <v>1587</v>
      </c>
      <c r="H1181" s="6"/>
    </row>
    <row r="1182" spans="1:8" x14ac:dyDescent="0.2">
      <c r="A1182" s="14" t="s">
        <v>1415</v>
      </c>
      <c r="B1182" s="14" t="s">
        <v>3613</v>
      </c>
      <c r="C1182" s="14" t="s">
        <v>1415</v>
      </c>
      <c r="D1182" s="14" t="s">
        <v>1832</v>
      </c>
      <c r="E1182" s="11" t="s">
        <v>1832</v>
      </c>
      <c r="F1182" s="4" t="s">
        <v>1587</v>
      </c>
      <c r="H1182" s="6"/>
    </row>
    <row r="1183" spans="1:8" x14ac:dyDescent="0.2">
      <c r="A1183" s="14" t="s">
        <v>1416</v>
      </c>
      <c r="B1183" s="14" t="s">
        <v>3613</v>
      </c>
      <c r="C1183" s="14" t="s">
        <v>1416</v>
      </c>
      <c r="D1183" s="14" t="s">
        <v>1833</v>
      </c>
      <c r="E1183" s="11" t="s">
        <v>1833</v>
      </c>
      <c r="F1183" s="4" t="s">
        <v>1587</v>
      </c>
      <c r="H1183" s="6"/>
    </row>
    <row r="1184" spans="1:8" x14ac:dyDescent="0.2">
      <c r="A1184" s="14" t="s">
        <v>1417</v>
      </c>
      <c r="B1184" s="14" t="s">
        <v>3613</v>
      </c>
      <c r="C1184" s="14" t="s">
        <v>1417</v>
      </c>
      <c r="D1184" s="14" t="s">
        <v>1834</v>
      </c>
      <c r="E1184" s="11" t="s">
        <v>1834</v>
      </c>
      <c r="F1184" s="4" t="s">
        <v>1587</v>
      </c>
      <c r="H1184" s="6"/>
    </row>
    <row r="1185" spans="1:8" x14ac:dyDescent="0.2">
      <c r="A1185" s="14" t="s">
        <v>1418</v>
      </c>
      <c r="B1185" s="14" t="s">
        <v>3613</v>
      </c>
      <c r="C1185" s="14" t="s">
        <v>1418</v>
      </c>
      <c r="D1185" s="14" t="s">
        <v>1835</v>
      </c>
      <c r="E1185" s="11" t="s">
        <v>1835</v>
      </c>
      <c r="F1185" s="4" t="s">
        <v>1587</v>
      </c>
      <c r="H1185" s="6"/>
    </row>
    <row r="1186" spans="1:8" x14ac:dyDescent="0.2">
      <c r="A1186" s="14" t="s">
        <v>1252</v>
      </c>
      <c r="B1186" s="14" t="s">
        <v>3613</v>
      </c>
      <c r="C1186" s="14" t="s">
        <v>1252</v>
      </c>
      <c r="D1186" s="14" t="s">
        <v>1836</v>
      </c>
      <c r="E1186" s="11" t="s">
        <v>1836</v>
      </c>
      <c r="F1186" s="4" t="s">
        <v>1587</v>
      </c>
      <c r="H1186" s="6"/>
    </row>
    <row r="1187" spans="1:8" x14ac:dyDescent="0.2">
      <c r="A1187" s="14" t="s">
        <v>1253</v>
      </c>
      <c r="B1187" s="14" t="s">
        <v>3613</v>
      </c>
      <c r="C1187" s="14" t="s">
        <v>1253</v>
      </c>
      <c r="D1187" s="14" t="s">
        <v>1835</v>
      </c>
      <c r="E1187" s="11" t="s">
        <v>1835</v>
      </c>
      <c r="F1187" s="4" t="s">
        <v>1587</v>
      </c>
      <c r="H1187" s="6"/>
    </row>
    <row r="1188" spans="1:8" x14ac:dyDescent="0.2">
      <c r="A1188" s="14" t="s">
        <v>1254</v>
      </c>
      <c r="B1188" s="14" t="s">
        <v>3613</v>
      </c>
      <c r="C1188" s="14" t="s">
        <v>1254</v>
      </c>
      <c r="D1188" s="14" t="s">
        <v>1836</v>
      </c>
      <c r="E1188" s="11" t="s">
        <v>1836</v>
      </c>
      <c r="F1188" s="4" t="s">
        <v>1587</v>
      </c>
      <c r="H1188" s="6"/>
    </row>
    <row r="1189" spans="1:8" x14ac:dyDescent="0.2">
      <c r="A1189" s="14" t="s">
        <v>1255</v>
      </c>
      <c r="B1189" s="14" t="s">
        <v>3613</v>
      </c>
      <c r="C1189" s="14" t="s">
        <v>1255</v>
      </c>
      <c r="D1189" s="14" t="s">
        <v>1256</v>
      </c>
      <c r="E1189" s="11" t="s">
        <v>1256</v>
      </c>
      <c r="F1189" s="4" t="s">
        <v>1587</v>
      </c>
      <c r="H1189" s="6"/>
    </row>
    <row r="1190" spans="1:8" x14ac:dyDescent="0.2">
      <c r="A1190" s="14" t="s">
        <v>1257</v>
      </c>
      <c r="B1190" s="14" t="s">
        <v>3613</v>
      </c>
      <c r="C1190" s="14" t="s">
        <v>1257</v>
      </c>
      <c r="D1190" s="14" t="s">
        <v>1809</v>
      </c>
      <c r="E1190" s="11" t="s">
        <v>1809</v>
      </c>
      <c r="F1190" s="4" t="s">
        <v>1587</v>
      </c>
      <c r="H1190" s="6"/>
    </row>
    <row r="1191" spans="1:8" x14ac:dyDescent="0.2">
      <c r="A1191" s="14" t="s">
        <v>1258</v>
      </c>
      <c r="B1191" s="14" t="s">
        <v>3613</v>
      </c>
      <c r="C1191" s="14" t="s">
        <v>1258</v>
      </c>
      <c r="D1191" s="14" t="s">
        <v>1259</v>
      </c>
      <c r="E1191" s="11" t="s">
        <v>1259</v>
      </c>
      <c r="F1191" s="4" t="s">
        <v>1587</v>
      </c>
      <c r="H1191" s="6"/>
    </row>
    <row r="1192" spans="1:8" x14ac:dyDescent="0.2">
      <c r="A1192" s="14" t="s">
        <v>1260</v>
      </c>
      <c r="B1192" s="14" t="s">
        <v>3613</v>
      </c>
      <c r="C1192" s="14" t="s">
        <v>1260</v>
      </c>
      <c r="D1192" s="14" t="s">
        <v>1810</v>
      </c>
      <c r="E1192" s="11" t="s">
        <v>1810</v>
      </c>
      <c r="F1192" s="4" t="s">
        <v>1587</v>
      </c>
      <c r="H1192" s="6"/>
    </row>
    <row r="1193" spans="1:8" x14ac:dyDescent="0.2">
      <c r="A1193" s="14" t="s">
        <v>1261</v>
      </c>
      <c r="B1193" s="14" t="s">
        <v>3613</v>
      </c>
      <c r="C1193" s="14" t="s">
        <v>1261</v>
      </c>
      <c r="D1193" s="14" t="s">
        <v>1825</v>
      </c>
      <c r="E1193" s="11" t="s">
        <v>1825</v>
      </c>
      <c r="F1193" s="4" t="s">
        <v>1587</v>
      </c>
      <c r="H1193" s="6"/>
    </row>
    <row r="1194" spans="1:8" x14ac:dyDescent="0.2">
      <c r="A1194" s="14" t="s">
        <v>2645</v>
      </c>
      <c r="B1194" s="14" t="s">
        <v>3609</v>
      </c>
      <c r="C1194" s="14" t="s">
        <v>2850</v>
      </c>
      <c r="D1194" s="14" t="s">
        <v>1826</v>
      </c>
      <c r="E1194" s="11"/>
      <c r="F1194" s="4" t="s">
        <v>1587</v>
      </c>
      <c r="H1194" s="6"/>
    </row>
    <row r="1195" spans="1:8" x14ac:dyDescent="0.2">
      <c r="A1195" s="14" t="s">
        <v>2646</v>
      </c>
      <c r="B1195" s="14" t="s">
        <v>3609</v>
      </c>
      <c r="C1195" s="14" t="s">
        <v>2850</v>
      </c>
      <c r="D1195" s="14" t="s">
        <v>1827</v>
      </c>
      <c r="E1195" s="11"/>
      <c r="F1195" s="4" t="s">
        <v>1587</v>
      </c>
      <c r="H1195" s="6"/>
    </row>
    <row r="1196" spans="1:8" x14ac:dyDescent="0.2">
      <c r="A1196" s="14" t="s">
        <v>1262</v>
      </c>
      <c r="B1196" s="14" t="s">
        <v>3613</v>
      </c>
      <c r="C1196" s="14" t="s">
        <v>1262</v>
      </c>
      <c r="D1196" s="14" t="s">
        <v>1828</v>
      </c>
      <c r="E1196" s="11" t="s">
        <v>1828</v>
      </c>
      <c r="F1196" s="4" t="s">
        <v>1587</v>
      </c>
      <c r="H1196" s="6"/>
    </row>
    <row r="1197" spans="1:8" x14ac:dyDescent="0.2">
      <c r="A1197" s="14" t="s">
        <v>1263</v>
      </c>
      <c r="B1197" s="14" t="s">
        <v>3613</v>
      </c>
      <c r="C1197" s="14" t="s">
        <v>1263</v>
      </c>
      <c r="D1197" s="14" t="s">
        <v>1829</v>
      </c>
      <c r="E1197" s="11" t="s">
        <v>1829</v>
      </c>
      <c r="F1197" s="4" t="s">
        <v>1587</v>
      </c>
      <c r="H1197" s="6"/>
    </row>
    <row r="1198" spans="1:8" x14ac:dyDescent="0.2">
      <c r="A1198" s="14" t="s">
        <v>2644</v>
      </c>
      <c r="B1198" s="14" t="s">
        <v>4746</v>
      </c>
      <c r="C1198" s="14" t="s">
        <v>2853</v>
      </c>
      <c r="D1198" s="14" t="s">
        <v>1824</v>
      </c>
      <c r="E1198" s="11"/>
      <c r="F1198" s="4" t="s">
        <v>1587</v>
      </c>
      <c r="H1198" s="6"/>
    </row>
    <row r="1199" spans="1:8" x14ac:dyDescent="0.2">
      <c r="A1199" s="14" t="s">
        <v>1264</v>
      </c>
      <c r="B1199" s="14" t="s">
        <v>3613</v>
      </c>
      <c r="C1199" s="14" t="s">
        <v>1264</v>
      </c>
      <c r="D1199" s="14" t="s">
        <v>1830</v>
      </c>
      <c r="E1199" s="11" t="s">
        <v>1830</v>
      </c>
      <c r="F1199" s="4" t="s">
        <v>1587</v>
      </c>
      <c r="H1199" s="6"/>
    </row>
    <row r="1200" spans="1:8" x14ac:dyDescent="0.2">
      <c r="A1200" s="14" t="s">
        <v>1265</v>
      </c>
      <c r="B1200" s="14" t="s">
        <v>3613</v>
      </c>
      <c r="C1200" s="14" t="s">
        <v>1265</v>
      </c>
      <c r="D1200" s="14" t="s">
        <v>1811</v>
      </c>
      <c r="E1200" s="11" t="s">
        <v>1811</v>
      </c>
      <c r="F1200" s="4" t="s">
        <v>1587</v>
      </c>
      <c r="H1200" s="6"/>
    </row>
    <row r="1201" spans="1:8" x14ac:dyDescent="0.2">
      <c r="A1201" s="14" t="s">
        <v>1266</v>
      </c>
      <c r="B1201" s="14" t="s">
        <v>3613</v>
      </c>
      <c r="C1201" s="14" t="s">
        <v>1266</v>
      </c>
      <c r="D1201" s="14" t="s">
        <v>1267</v>
      </c>
      <c r="E1201" s="11" t="s">
        <v>1267</v>
      </c>
      <c r="F1201" s="4" t="s">
        <v>1528</v>
      </c>
      <c r="H1201" s="6"/>
    </row>
    <row r="1202" spans="1:8" x14ac:dyDescent="0.2">
      <c r="A1202" s="14" t="s">
        <v>2481</v>
      </c>
      <c r="B1202" s="14" t="s">
        <v>3613</v>
      </c>
      <c r="C1202" s="14" t="s">
        <v>2481</v>
      </c>
      <c r="D1202" s="14" t="s">
        <v>4708</v>
      </c>
      <c r="E1202" s="11" t="s">
        <v>4708</v>
      </c>
      <c r="F1202" s="4" t="s">
        <v>1528</v>
      </c>
      <c r="H1202" s="6"/>
    </row>
    <row r="1203" spans="1:8" x14ac:dyDescent="0.2">
      <c r="A1203" s="14" t="s">
        <v>2482</v>
      </c>
      <c r="B1203" s="14" t="s">
        <v>3613</v>
      </c>
      <c r="C1203" s="14" t="s">
        <v>2482</v>
      </c>
      <c r="D1203" s="14" t="s">
        <v>4709</v>
      </c>
      <c r="E1203" s="11" t="s">
        <v>4709</v>
      </c>
      <c r="F1203" s="4" t="s">
        <v>1528</v>
      </c>
      <c r="H1203" s="6"/>
    </row>
    <row r="1204" spans="1:8" x14ac:dyDescent="0.2">
      <c r="A1204" s="14" t="s">
        <v>1268</v>
      </c>
      <c r="B1204" s="14" t="s">
        <v>3613</v>
      </c>
      <c r="C1204" s="14" t="s">
        <v>1268</v>
      </c>
      <c r="D1204" s="14" t="s">
        <v>4710</v>
      </c>
      <c r="E1204" s="11" t="s">
        <v>4710</v>
      </c>
      <c r="F1204" s="4" t="s">
        <v>1528</v>
      </c>
      <c r="H1204" s="6"/>
    </row>
    <row r="1205" spans="1:8" x14ac:dyDescent="0.2">
      <c r="A1205" s="14" t="s">
        <v>1269</v>
      </c>
      <c r="B1205" s="14" t="s">
        <v>4746</v>
      </c>
      <c r="C1205" s="14" t="s">
        <v>2853</v>
      </c>
      <c r="D1205" s="14" t="s">
        <v>4711</v>
      </c>
      <c r="E1205" s="11"/>
      <c r="F1205" s="4" t="s">
        <v>1587</v>
      </c>
      <c r="H1205" s="6"/>
    </row>
    <row r="1206" spans="1:8" x14ac:dyDescent="0.2">
      <c r="A1206" s="14" t="s">
        <v>1419</v>
      </c>
      <c r="B1206" s="14" t="s">
        <v>4746</v>
      </c>
      <c r="C1206" s="14" t="s">
        <v>2853</v>
      </c>
      <c r="D1206" s="14" t="s">
        <v>116</v>
      </c>
      <c r="E1206" s="11"/>
      <c r="F1206" s="4" t="s">
        <v>4757</v>
      </c>
    </row>
    <row r="1207" spans="1:8" x14ac:dyDescent="0.2">
      <c r="A1207" s="14" t="s">
        <v>1420</v>
      </c>
      <c r="B1207" s="14" t="s">
        <v>3612</v>
      </c>
      <c r="C1207" s="14" t="s">
        <v>2965</v>
      </c>
      <c r="D1207" s="14" t="s">
        <v>117</v>
      </c>
      <c r="E1207" s="11" t="s">
        <v>117</v>
      </c>
      <c r="F1207" s="4" t="s">
        <v>1524</v>
      </c>
    </row>
    <row r="1208" spans="1:8" x14ac:dyDescent="0.2">
      <c r="A1208" s="14" t="s">
        <v>524</v>
      </c>
      <c r="B1208" s="14" t="s">
        <v>3609</v>
      </c>
      <c r="C1208" s="14" t="s">
        <v>2850</v>
      </c>
      <c r="D1208" s="14" t="s">
        <v>3552</v>
      </c>
      <c r="E1208" s="11"/>
      <c r="F1208" s="4" t="s">
        <v>4757</v>
      </c>
    </row>
    <row r="1209" spans="1:8" x14ac:dyDescent="0.2">
      <c r="A1209" s="14" t="s">
        <v>1421</v>
      </c>
      <c r="B1209" s="14" t="s">
        <v>3612</v>
      </c>
      <c r="C1209" s="14" t="s">
        <v>2849</v>
      </c>
      <c r="D1209" s="14" t="s">
        <v>1170</v>
      </c>
      <c r="E1209" s="19" t="s">
        <v>3615</v>
      </c>
      <c r="F1209" s="4" t="s">
        <v>1524</v>
      </c>
      <c r="G1209" s="20"/>
    </row>
    <row r="1210" spans="1:8" x14ac:dyDescent="0.2">
      <c r="A1210" s="14" t="s">
        <v>508</v>
      </c>
      <c r="B1210" s="14" t="s">
        <v>3609</v>
      </c>
      <c r="C1210" s="14" t="s">
        <v>2850</v>
      </c>
      <c r="D1210" s="14" t="s">
        <v>3501</v>
      </c>
      <c r="E1210" s="19"/>
      <c r="F1210" s="4" t="s">
        <v>4757</v>
      </c>
      <c r="G1210" s="20"/>
    </row>
    <row r="1211" spans="1:8" x14ac:dyDescent="0.2">
      <c r="A1211" s="14" t="s">
        <v>1422</v>
      </c>
      <c r="B1211" s="14" t="s">
        <v>3612</v>
      </c>
      <c r="C1211" s="14" t="s">
        <v>2851</v>
      </c>
      <c r="D1211" s="14" t="s">
        <v>1171</v>
      </c>
      <c r="E1211" s="19" t="s">
        <v>3616</v>
      </c>
      <c r="F1211" s="4" t="s">
        <v>1524</v>
      </c>
      <c r="G1211" s="20"/>
    </row>
    <row r="1212" spans="1:8" x14ac:dyDescent="0.2">
      <c r="A1212" s="14" t="s">
        <v>1423</v>
      </c>
      <c r="B1212" s="14" t="s">
        <v>4746</v>
      </c>
      <c r="C1212" s="14" t="s">
        <v>2853</v>
      </c>
      <c r="D1212" s="14" t="s">
        <v>1424</v>
      </c>
      <c r="E1212" s="11"/>
      <c r="F1212" s="4" t="s">
        <v>4757</v>
      </c>
      <c r="H1212" s="6"/>
    </row>
    <row r="1213" spans="1:8" x14ac:dyDescent="0.2">
      <c r="A1213" s="14" t="s">
        <v>509</v>
      </c>
      <c r="B1213" s="14" t="s">
        <v>2852</v>
      </c>
      <c r="C1213" s="14" t="s">
        <v>2852</v>
      </c>
      <c r="D1213" s="14" t="s">
        <v>3502</v>
      </c>
      <c r="E1213" s="19"/>
      <c r="F1213" s="4" t="s">
        <v>4757</v>
      </c>
      <c r="G1213" s="20"/>
    </row>
    <row r="1214" spans="1:8" x14ac:dyDescent="0.2">
      <c r="A1214" s="14" t="s">
        <v>1425</v>
      </c>
      <c r="B1214" s="14" t="s">
        <v>3612</v>
      </c>
      <c r="C1214" s="14" t="s">
        <v>3489</v>
      </c>
      <c r="D1214" s="14" t="s">
        <v>1780</v>
      </c>
      <c r="E1214" s="11" t="s">
        <v>3936</v>
      </c>
      <c r="F1214" s="4" t="s">
        <v>3935</v>
      </c>
      <c r="H1214" s="6"/>
    </row>
    <row r="1215" spans="1:8" x14ac:dyDescent="0.2">
      <c r="A1215" s="14" t="s">
        <v>1426</v>
      </c>
      <c r="B1215" s="14" t="s">
        <v>3612</v>
      </c>
      <c r="C1215" s="14" t="s">
        <v>3490</v>
      </c>
      <c r="D1215" s="14" t="s">
        <v>1781</v>
      </c>
      <c r="E1215" s="11" t="s">
        <v>3937</v>
      </c>
      <c r="F1215" s="4" t="s">
        <v>3935</v>
      </c>
      <c r="H1215" s="6"/>
    </row>
    <row r="1216" spans="1:8" x14ac:dyDescent="0.2">
      <c r="A1216" s="14" t="s">
        <v>1427</v>
      </c>
      <c r="B1216" s="14" t="s">
        <v>3612</v>
      </c>
      <c r="C1216" s="14" t="s">
        <v>3490</v>
      </c>
      <c r="D1216" s="14" t="s">
        <v>1782</v>
      </c>
      <c r="E1216" s="11" t="s">
        <v>3937</v>
      </c>
      <c r="F1216" s="4" t="s">
        <v>3935</v>
      </c>
      <c r="H1216" s="6"/>
    </row>
    <row r="1217" spans="1:8" x14ac:dyDescent="0.2">
      <c r="A1217" s="14" t="s">
        <v>1428</v>
      </c>
      <c r="B1217" s="14" t="s">
        <v>3612</v>
      </c>
      <c r="C1217" s="14" t="s">
        <v>3491</v>
      </c>
      <c r="D1217" s="14" t="s">
        <v>1783</v>
      </c>
      <c r="E1217" s="11" t="s">
        <v>3938</v>
      </c>
      <c r="F1217" s="4" t="s">
        <v>3935</v>
      </c>
      <c r="H1217" s="6"/>
    </row>
    <row r="1218" spans="1:8" x14ac:dyDescent="0.2">
      <c r="A1218" s="14" t="s">
        <v>1500</v>
      </c>
      <c r="B1218" s="14" t="s">
        <v>3612</v>
      </c>
      <c r="C1218" s="14" t="s">
        <v>3492</v>
      </c>
      <c r="D1218" s="14" t="s">
        <v>1784</v>
      </c>
      <c r="E1218" s="11" t="s">
        <v>3939</v>
      </c>
      <c r="F1218" s="4" t="s">
        <v>3935</v>
      </c>
      <c r="H1218" s="6"/>
    </row>
    <row r="1219" spans="1:8" x14ac:dyDescent="0.2">
      <c r="A1219" s="14" t="s">
        <v>1501</v>
      </c>
      <c r="B1219" s="14" t="s">
        <v>3612</v>
      </c>
      <c r="C1219" s="14" t="s">
        <v>3493</v>
      </c>
      <c r="D1219" s="14" t="s">
        <v>1502</v>
      </c>
      <c r="E1219" s="11"/>
      <c r="F1219" s="4" t="s">
        <v>3935</v>
      </c>
      <c r="H1219" s="6"/>
    </row>
    <row r="1220" spans="1:8" x14ac:dyDescent="0.2">
      <c r="A1220" s="14" t="s">
        <v>1503</v>
      </c>
      <c r="B1220" s="14" t="s">
        <v>3612</v>
      </c>
      <c r="C1220" s="14" t="s">
        <v>3494</v>
      </c>
      <c r="D1220" s="14" t="s">
        <v>1785</v>
      </c>
      <c r="E1220" s="11" t="s">
        <v>3940</v>
      </c>
      <c r="F1220" s="4" t="s">
        <v>3935</v>
      </c>
      <c r="H1220" s="6"/>
    </row>
    <row r="1221" spans="1:8" x14ac:dyDescent="0.2">
      <c r="A1221" s="14" t="s">
        <v>1504</v>
      </c>
      <c r="B1221" s="14" t="s">
        <v>3612</v>
      </c>
      <c r="C1221" s="14" t="s">
        <v>3489</v>
      </c>
      <c r="D1221" s="14" t="s">
        <v>1798</v>
      </c>
      <c r="E1221" s="11" t="s">
        <v>3936</v>
      </c>
      <c r="F1221" s="4" t="s">
        <v>3935</v>
      </c>
      <c r="H1221" s="6"/>
    </row>
    <row r="1222" spans="1:8" x14ac:dyDescent="0.2">
      <c r="A1222" s="14" t="s">
        <v>1505</v>
      </c>
      <c r="B1222" s="14" t="s">
        <v>3612</v>
      </c>
      <c r="C1222" s="14" t="s">
        <v>3492</v>
      </c>
      <c r="D1222" s="14" t="s">
        <v>1799</v>
      </c>
      <c r="E1222" s="11" t="s">
        <v>3939</v>
      </c>
      <c r="F1222" s="4" t="s">
        <v>3935</v>
      </c>
      <c r="H1222" s="6"/>
    </row>
    <row r="1223" spans="1:8" x14ac:dyDescent="0.2">
      <c r="A1223" s="14" t="s">
        <v>1506</v>
      </c>
      <c r="B1223" s="14" t="s">
        <v>3612</v>
      </c>
      <c r="C1223" s="14" t="s">
        <v>3495</v>
      </c>
      <c r="D1223" s="14" t="s">
        <v>1507</v>
      </c>
      <c r="E1223" s="11"/>
      <c r="F1223" s="4" t="s">
        <v>3935</v>
      </c>
      <c r="H1223" s="6"/>
    </row>
    <row r="1224" spans="1:8" x14ac:dyDescent="0.2">
      <c r="A1224" s="14" t="s">
        <v>2629</v>
      </c>
      <c r="B1224" s="14" t="s">
        <v>3609</v>
      </c>
      <c r="C1224" s="14" t="s">
        <v>2850</v>
      </c>
      <c r="D1224" s="14" t="s">
        <v>1786</v>
      </c>
      <c r="E1224" s="11"/>
      <c r="F1224" s="4" t="s">
        <v>4756</v>
      </c>
      <c r="H1224" s="6"/>
    </row>
    <row r="1225" spans="1:8" x14ac:dyDescent="0.2">
      <c r="A1225" s="14" t="s">
        <v>1508</v>
      </c>
      <c r="B1225" s="14" t="s">
        <v>3612</v>
      </c>
      <c r="C1225" s="14" t="s">
        <v>3496</v>
      </c>
      <c r="D1225" s="14" t="s">
        <v>1509</v>
      </c>
      <c r="E1225" s="11"/>
      <c r="F1225" s="4" t="s">
        <v>3935</v>
      </c>
      <c r="H1225" s="6"/>
    </row>
    <row r="1226" spans="1:8" x14ac:dyDescent="0.2">
      <c r="A1226" s="14" t="s">
        <v>2630</v>
      </c>
      <c r="B1226" s="14" t="s">
        <v>3609</v>
      </c>
      <c r="C1226" s="14" t="s">
        <v>2850</v>
      </c>
      <c r="D1226" s="14" t="s">
        <v>1787</v>
      </c>
      <c r="E1226" s="11"/>
      <c r="F1226" s="4" t="s">
        <v>4756</v>
      </c>
      <c r="H1226" s="6"/>
    </row>
    <row r="1227" spans="1:8" x14ac:dyDescent="0.2">
      <c r="A1227" s="14" t="s">
        <v>1510</v>
      </c>
      <c r="B1227" s="14" t="s">
        <v>3612</v>
      </c>
      <c r="C1227" s="14" t="s">
        <v>3494</v>
      </c>
      <c r="D1227" s="14" t="s">
        <v>1788</v>
      </c>
      <c r="E1227" s="11" t="s">
        <v>3940</v>
      </c>
      <c r="F1227" s="4" t="s">
        <v>3935</v>
      </c>
      <c r="H1227" s="6"/>
    </row>
    <row r="1228" spans="1:8" x14ac:dyDescent="0.2">
      <c r="A1228" s="14" t="s">
        <v>1511</v>
      </c>
      <c r="B1228" s="14" t="s">
        <v>3612</v>
      </c>
      <c r="C1228" s="14" t="s">
        <v>3494</v>
      </c>
      <c r="D1228" s="14" t="s">
        <v>1789</v>
      </c>
      <c r="E1228" s="11" t="s">
        <v>3940</v>
      </c>
      <c r="F1228" s="4" t="s">
        <v>3935</v>
      </c>
      <c r="H1228" s="6"/>
    </row>
    <row r="1229" spans="1:8" x14ac:dyDescent="0.2">
      <c r="A1229" s="14" t="s">
        <v>1512</v>
      </c>
      <c r="B1229" s="14" t="s">
        <v>3612</v>
      </c>
      <c r="C1229" s="14" t="s">
        <v>3497</v>
      </c>
      <c r="D1229" s="14" t="s">
        <v>1790</v>
      </c>
      <c r="E1229" s="11"/>
      <c r="F1229" s="4" t="s">
        <v>3935</v>
      </c>
      <c r="H1229" s="6"/>
    </row>
    <row r="1230" spans="1:8" x14ac:dyDescent="0.2">
      <c r="A1230" s="14" t="s">
        <v>2631</v>
      </c>
      <c r="B1230" s="14" t="s">
        <v>3609</v>
      </c>
      <c r="C1230" s="14" t="s">
        <v>2850</v>
      </c>
      <c r="D1230" s="14" t="s">
        <v>1791</v>
      </c>
      <c r="E1230" s="11"/>
      <c r="F1230" s="4" t="s">
        <v>4756</v>
      </c>
      <c r="H1230" s="6"/>
    </row>
    <row r="1231" spans="1:8" x14ac:dyDescent="0.2">
      <c r="A1231" s="14" t="s">
        <v>1513</v>
      </c>
      <c r="B1231" s="14" t="s">
        <v>3612</v>
      </c>
      <c r="C1231" s="14" t="s">
        <v>3498</v>
      </c>
      <c r="D1231" s="14" t="s">
        <v>1800</v>
      </c>
      <c r="E1231" s="11"/>
      <c r="F1231" s="4" t="s">
        <v>3935</v>
      </c>
      <c r="H1231" s="6"/>
    </row>
    <row r="1232" spans="1:8" x14ac:dyDescent="0.2">
      <c r="A1232" s="14" t="s">
        <v>2639</v>
      </c>
      <c r="B1232" s="14" t="s">
        <v>3609</v>
      </c>
      <c r="C1232" s="14" t="s">
        <v>2850</v>
      </c>
      <c r="D1232" s="14" t="s">
        <v>1801</v>
      </c>
      <c r="E1232" s="11"/>
      <c r="F1232" s="4" t="s">
        <v>4757</v>
      </c>
      <c r="H1232" s="6"/>
    </row>
    <row r="1233" spans="1:8" x14ac:dyDescent="0.2">
      <c r="A1233" s="14" t="s">
        <v>1514</v>
      </c>
      <c r="B1233" s="14" t="s">
        <v>4746</v>
      </c>
      <c r="C1233" s="14" t="s">
        <v>2853</v>
      </c>
      <c r="D1233" s="14" t="s">
        <v>1515</v>
      </c>
      <c r="E1233" s="19"/>
      <c r="F1233" s="4" t="s">
        <v>4757</v>
      </c>
      <c r="G1233" s="20"/>
    </row>
    <row r="1234" spans="1:8" x14ac:dyDescent="0.2">
      <c r="A1234" s="14" t="s">
        <v>1516</v>
      </c>
      <c r="B1234" s="14" t="s">
        <v>4746</v>
      </c>
      <c r="C1234" s="14" t="s">
        <v>2853</v>
      </c>
      <c r="D1234" s="14" t="s">
        <v>1517</v>
      </c>
      <c r="E1234" s="19"/>
      <c r="F1234" s="4" t="s">
        <v>4757</v>
      </c>
      <c r="G1234" s="20"/>
    </row>
    <row r="1235" spans="1:8" x14ac:dyDescent="0.2">
      <c r="A1235" s="14" t="s">
        <v>1518</v>
      </c>
      <c r="B1235" s="14" t="s">
        <v>4746</v>
      </c>
      <c r="C1235" s="14" t="s">
        <v>2853</v>
      </c>
      <c r="D1235" s="14" t="s">
        <v>1519</v>
      </c>
      <c r="E1235" s="19"/>
      <c r="F1235" s="4" t="s">
        <v>4757</v>
      </c>
      <c r="G1235" s="20"/>
    </row>
    <row r="1236" spans="1:8" x14ac:dyDescent="0.2">
      <c r="A1236" s="14" t="s">
        <v>369</v>
      </c>
      <c r="B1236" s="14" t="s">
        <v>3613</v>
      </c>
      <c r="C1236" s="14" t="s">
        <v>369</v>
      </c>
      <c r="D1236" s="14" t="s">
        <v>1776</v>
      </c>
      <c r="E1236" s="11"/>
      <c r="F1236" s="4" t="s">
        <v>4757</v>
      </c>
      <c r="H1236" s="6"/>
    </row>
    <row r="1237" spans="1:8" x14ac:dyDescent="0.2">
      <c r="A1237" s="14" t="s">
        <v>2628</v>
      </c>
      <c r="B1237" s="14" t="s">
        <v>3609</v>
      </c>
      <c r="C1237" s="14" t="s">
        <v>2850</v>
      </c>
      <c r="D1237" s="14" t="s">
        <v>1777</v>
      </c>
      <c r="E1237" s="11"/>
      <c r="F1237" s="4" t="s">
        <v>4757</v>
      </c>
      <c r="H1237" s="6"/>
    </row>
    <row r="1238" spans="1:8" x14ac:dyDescent="0.2">
      <c r="A1238" s="14" t="s">
        <v>620</v>
      </c>
      <c r="B1238" s="14" t="s">
        <v>4746</v>
      </c>
      <c r="C1238" s="14" t="s">
        <v>2853</v>
      </c>
      <c r="D1238" s="14" t="s">
        <v>176</v>
      </c>
      <c r="E1238" s="11"/>
      <c r="F1238" s="4" t="s">
        <v>4757</v>
      </c>
    </row>
    <row r="1239" spans="1:8" x14ac:dyDescent="0.2">
      <c r="A1239" s="14" t="s">
        <v>621</v>
      </c>
      <c r="B1239" s="14" t="s">
        <v>4746</v>
      </c>
      <c r="C1239" s="14" t="s">
        <v>2853</v>
      </c>
      <c r="D1239" s="14" t="s">
        <v>177</v>
      </c>
      <c r="E1239" s="11"/>
      <c r="F1239" s="4" t="s">
        <v>4757</v>
      </c>
    </row>
    <row r="1240" spans="1:8" x14ac:dyDescent="0.2">
      <c r="A1240" s="14" t="s">
        <v>1270</v>
      </c>
      <c r="B1240" s="14" t="s">
        <v>3612</v>
      </c>
      <c r="C1240" s="14" t="s">
        <v>2966</v>
      </c>
      <c r="D1240" s="14" t="s">
        <v>1271</v>
      </c>
      <c r="E1240" s="11" t="s">
        <v>1271</v>
      </c>
      <c r="F1240" s="4" t="s">
        <v>1524</v>
      </c>
    </row>
    <row r="1241" spans="1:8" x14ac:dyDescent="0.2">
      <c r="A1241" s="14" t="s">
        <v>1272</v>
      </c>
      <c r="B1241" s="14" t="s">
        <v>3613</v>
      </c>
      <c r="C1241" s="14" t="s">
        <v>1272</v>
      </c>
      <c r="D1241" s="14" t="s">
        <v>1273</v>
      </c>
      <c r="E1241" s="11" t="s">
        <v>1591</v>
      </c>
      <c r="F1241" s="4" t="s">
        <v>4757</v>
      </c>
      <c r="H1241" s="6"/>
    </row>
    <row r="1242" spans="1:8" x14ac:dyDescent="0.2">
      <c r="A1242" s="14" t="s">
        <v>2640</v>
      </c>
      <c r="B1242" s="14" t="s">
        <v>3609</v>
      </c>
      <c r="C1242" s="14" t="s">
        <v>2850</v>
      </c>
      <c r="D1242" s="14" t="s">
        <v>1802</v>
      </c>
      <c r="E1242" s="11"/>
      <c r="F1242" s="4" t="s">
        <v>4757</v>
      </c>
      <c r="H1242" s="6"/>
    </row>
    <row r="1243" spans="1:8" x14ac:dyDescent="0.2">
      <c r="A1243" s="14" t="s">
        <v>1274</v>
      </c>
      <c r="B1243" s="14" t="s">
        <v>4746</v>
      </c>
      <c r="C1243" s="14" t="s">
        <v>2853</v>
      </c>
      <c r="D1243" s="14" t="s">
        <v>1275</v>
      </c>
      <c r="E1243" s="11"/>
      <c r="F1243" s="4" t="s">
        <v>4757</v>
      </c>
      <c r="H1243" s="6"/>
    </row>
    <row r="1244" spans="1:8" x14ac:dyDescent="0.2">
      <c r="A1244" s="14" t="s">
        <v>582</v>
      </c>
      <c r="B1244" s="14" t="s">
        <v>3612</v>
      </c>
      <c r="C1244" s="14" t="s">
        <v>2502</v>
      </c>
      <c r="D1244" s="14" t="s">
        <v>84</v>
      </c>
      <c r="E1244" s="11" t="s">
        <v>4725</v>
      </c>
      <c r="F1244" s="4" t="s">
        <v>1528</v>
      </c>
    </row>
    <row r="1245" spans="1:8" x14ac:dyDescent="0.2">
      <c r="A1245" s="14" t="s">
        <v>1276</v>
      </c>
      <c r="B1245" s="14" t="s">
        <v>3612</v>
      </c>
      <c r="C1245" s="14" t="s">
        <v>2502</v>
      </c>
      <c r="D1245" s="14" t="s">
        <v>1277</v>
      </c>
      <c r="E1245" s="11" t="s">
        <v>4725</v>
      </c>
      <c r="F1245" s="4" t="s">
        <v>1528</v>
      </c>
      <c r="H1245" s="6"/>
    </row>
    <row r="1246" spans="1:8" x14ac:dyDescent="0.2">
      <c r="A1246" s="14" t="s">
        <v>1278</v>
      </c>
      <c r="B1246" s="14" t="s">
        <v>3612</v>
      </c>
      <c r="C1246" s="14" t="s">
        <v>3373</v>
      </c>
      <c r="D1246" s="14" t="s">
        <v>1279</v>
      </c>
      <c r="E1246" s="11" t="s">
        <v>3873</v>
      </c>
      <c r="F1246" s="4" t="s">
        <v>1528</v>
      </c>
      <c r="H1246" s="6"/>
    </row>
    <row r="1247" spans="1:8" x14ac:dyDescent="0.2">
      <c r="A1247" s="14" t="s">
        <v>1280</v>
      </c>
      <c r="B1247" s="14" t="s">
        <v>3612</v>
      </c>
      <c r="C1247" s="14" t="s">
        <v>2498</v>
      </c>
      <c r="D1247" s="14" t="s">
        <v>4715</v>
      </c>
      <c r="E1247" s="11" t="s">
        <v>4723</v>
      </c>
      <c r="F1247" s="4" t="s">
        <v>1528</v>
      </c>
      <c r="H1247" s="6"/>
    </row>
    <row r="1248" spans="1:8" x14ac:dyDescent="0.2">
      <c r="A1248" s="14" t="s">
        <v>1281</v>
      </c>
      <c r="B1248" s="14" t="s">
        <v>3612</v>
      </c>
      <c r="C1248" s="14" t="s">
        <v>2496</v>
      </c>
      <c r="D1248" s="14" t="s">
        <v>4716</v>
      </c>
      <c r="E1248" s="11" t="s">
        <v>4722</v>
      </c>
      <c r="F1248" s="4" t="s">
        <v>1528</v>
      </c>
      <c r="H1248" s="6"/>
    </row>
    <row r="1249" spans="1:8" x14ac:dyDescent="0.2">
      <c r="A1249" s="14" t="s">
        <v>2487</v>
      </c>
      <c r="B1249" s="14" t="s">
        <v>3612</v>
      </c>
      <c r="C1249" s="14" t="s">
        <v>2497</v>
      </c>
      <c r="D1249" s="14" t="s">
        <v>4717</v>
      </c>
      <c r="E1249" s="11" t="s">
        <v>4722</v>
      </c>
      <c r="F1249" s="4" t="s">
        <v>1528</v>
      </c>
      <c r="H1249" s="6"/>
    </row>
    <row r="1250" spans="1:8" x14ac:dyDescent="0.2">
      <c r="A1250" s="14" t="s">
        <v>2488</v>
      </c>
      <c r="B1250" s="14" t="s">
        <v>3613</v>
      </c>
      <c r="C1250" s="14" t="s">
        <v>2488</v>
      </c>
      <c r="D1250" s="14" t="s">
        <v>4718</v>
      </c>
      <c r="E1250" s="11" t="s">
        <v>4718</v>
      </c>
      <c r="F1250" s="4" t="s">
        <v>1528</v>
      </c>
      <c r="H1250" s="6"/>
    </row>
    <row r="1251" spans="1:8" x14ac:dyDescent="0.2">
      <c r="A1251" s="14" t="s">
        <v>2489</v>
      </c>
      <c r="B1251" s="14" t="s">
        <v>3613</v>
      </c>
      <c r="C1251" s="14" t="s">
        <v>2489</v>
      </c>
      <c r="D1251" s="14" t="s">
        <v>4718</v>
      </c>
      <c r="E1251" s="11" t="s">
        <v>4718</v>
      </c>
      <c r="F1251" s="4" t="s">
        <v>1528</v>
      </c>
      <c r="H1251" s="6"/>
    </row>
    <row r="1252" spans="1:8" x14ac:dyDescent="0.2">
      <c r="A1252" s="14" t="s">
        <v>2490</v>
      </c>
      <c r="B1252" s="14" t="s">
        <v>3613</v>
      </c>
      <c r="C1252" s="14" t="s">
        <v>2490</v>
      </c>
      <c r="D1252" s="14" t="s">
        <v>4719</v>
      </c>
      <c r="E1252" s="11" t="s">
        <v>4719</v>
      </c>
      <c r="F1252" s="4" t="s">
        <v>1528</v>
      </c>
      <c r="H1252" s="6"/>
    </row>
    <row r="1253" spans="1:8" x14ac:dyDescent="0.2">
      <c r="A1253" s="14" t="s">
        <v>2491</v>
      </c>
      <c r="B1253" s="14" t="s">
        <v>3613</v>
      </c>
      <c r="C1253" s="14" t="s">
        <v>2491</v>
      </c>
      <c r="D1253" s="14" t="s">
        <v>4719</v>
      </c>
      <c r="E1253" s="11" t="s">
        <v>4719</v>
      </c>
      <c r="F1253" s="4" t="s">
        <v>1528</v>
      </c>
      <c r="H1253" s="6"/>
    </row>
    <row r="1254" spans="1:8" x14ac:dyDescent="0.2">
      <c r="A1254" s="14" t="s">
        <v>2492</v>
      </c>
      <c r="B1254" s="14" t="s">
        <v>3613</v>
      </c>
      <c r="C1254" s="14" t="s">
        <v>2492</v>
      </c>
      <c r="D1254" s="14" t="s">
        <v>4720</v>
      </c>
      <c r="E1254" s="11" t="s">
        <v>4720</v>
      </c>
      <c r="F1254" s="4" t="s">
        <v>1528</v>
      </c>
      <c r="H1254" s="6"/>
    </row>
    <row r="1255" spans="1:8" x14ac:dyDescent="0.2">
      <c r="A1255" s="14" t="s">
        <v>2493</v>
      </c>
      <c r="B1255" s="14" t="s">
        <v>3613</v>
      </c>
      <c r="C1255" s="14" t="s">
        <v>2493</v>
      </c>
      <c r="D1255" s="14" t="s">
        <v>4720</v>
      </c>
      <c r="E1255" s="11" t="s">
        <v>4720</v>
      </c>
      <c r="F1255" s="4" t="s">
        <v>1528</v>
      </c>
      <c r="H1255" s="6"/>
    </row>
    <row r="1256" spans="1:8" x14ac:dyDescent="0.2">
      <c r="A1256" s="14" t="s">
        <v>2494</v>
      </c>
      <c r="B1256" s="14" t="s">
        <v>3613</v>
      </c>
      <c r="C1256" s="14" t="s">
        <v>2494</v>
      </c>
      <c r="D1256" s="14" t="s">
        <v>4721</v>
      </c>
      <c r="E1256" s="11" t="s">
        <v>4721</v>
      </c>
      <c r="F1256" s="4" t="s">
        <v>1528</v>
      </c>
      <c r="H1256" s="6"/>
    </row>
    <row r="1257" spans="1:8" x14ac:dyDescent="0.2">
      <c r="A1257" s="14" t="s">
        <v>2495</v>
      </c>
      <c r="B1257" s="14" t="s">
        <v>3613</v>
      </c>
      <c r="C1257" s="14" t="s">
        <v>2495</v>
      </c>
      <c r="D1257" s="14" t="s">
        <v>4721</v>
      </c>
      <c r="E1257" s="11" t="s">
        <v>4721</v>
      </c>
      <c r="F1257" s="4" t="s">
        <v>1528</v>
      </c>
      <c r="H1257" s="6"/>
    </row>
    <row r="1258" spans="1:8" x14ac:dyDescent="0.2">
      <c r="A1258" s="14" t="s">
        <v>2496</v>
      </c>
      <c r="B1258" s="14" t="s">
        <v>3613</v>
      </c>
      <c r="C1258" s="14" t="s">
        <v>2496</v>
      </c>
      <c r="D1258" s="14" t="s">
        <v>4722</v>
      </c>
      <c r="E1258" s="11" t="s">
        <v>4722</v>
      </c>
      <c r="F1258" s="4" t="s">
        <v>1528</v>
      </c>
      <c r="H1258" s="6"/>
    </row>
    <row r="1259" spans="1:8" x14ac:dyDescent="0.2">
      <c r="A1259" s="14" t="s">
        <v>2497</v>
      </c>
      <c r="B1259" s="14" t="s">
        <v>3613</v>
      </c>
      <c r="C1259" s="14" t="s">
        <v>2497</v>
      </c>
      <c r="D1259" s="14" t="s">
        <v>4722</v>
      </c>
      <c r="E1259" s="11" t="s">
        <v>4722</v>
      </c>
      <c r="F1259" s="4" t="s">
        <v>1528</v>
      </c>
      <c r="H1259" s="6"/>
    </row>
    <row r="1260" spans="1:8" x14ac:dyDescent="0.2">
      <c r="A1260" s="14" t="s">
        <v>2498</v>
      </c>
      <c r="B1260" s="14" t="s">
        <v>3613</v>
      </c>
      <c r="C1260" s="14" t="s">
        <v>2498</v>
      </c>
      <c r="D1260" s="14" t="s">
        <v>4723</v>
      </c>
      <c r="E1260" s="11" t="s">
        <v>4723</v>
      </c>
      <c r="F1260" s="4" t="s">
        <v>1528</v>
      </c>
      <c r="H1260" s="6"/>
    </row>
    <row r="1261" spans="1:8" x14ac:dyDescent="0.2">
      <c r="A1261" s="14" t="s">
        <v>2499</v>
      </c>
      <c r="B1261" s="14" t="s">
        <v>3613</v>
      </c>
      <c r="C1261" s="14" t="s">
        <v>2499</v>
      </c>
      <c r="D1261" s="14" t="s">
        <v>4723</v>
      </c>
      <c r="E1261" s="11" t="s">
        <v>4723</v>
      </c>
      <c r="F1261" s="4" t="s">
        <v>1528</v>
      </c>
      <c r="H1261" s="6"/>
    </row>
    <row r="1262" spans="1:8" x14ac:dyDescent="0.2">
      <c r="A1262" s="14" t="s">
        <v>2500</v>
      </c>
      <c r="B1262" s="14" t="s">
        <v>3613</v>
      </c>
      <c r="C1262" s="14" t="s">
        <v>2500</v>
      </c>
      <c r="D1262" s="14" t="s">
        <v>4724</v>
      </c>
      <c r="E1262" s="11" t="s">
        <v>4724</v>
      </c>
      <c r="F1262" s="4" t="s">
        <v>1528</v>
      </c>
      <c r="H1262" s="6"/>
    </row>
    <row r="1263" spans="1:8" x14ac:dyDescent="0.2">
      <c r="A1263" s="14" t="s">
        <v>2501</v>
      </c>
      <c r="B1263" s="14" t="s">
        <v>3613</v>
      </c>
      <c r="C1263" s="14" t="s">
        <v>2501</v>
      </c>
      <c r="D1263" s="14" t="s">
        <v>4724</v>
      </c>
      <c r="E1263" s="11" t="s">
        <v>4724</v>
      </c>
      <c r="F1263" s="4" t="s">
        <v>1528</v>
      </c>
      <c r="H1263" s="6"/>
    </row>
    <row r="1264" spans="1:8" x14ac:dyDescent="0.2">
      <c r="A1264" s="14" t="s">
        <v>2502</v>
      </c>
      <c r="B1264" s="14" t="s">
        <v>3613</v>
      </c>
      <c r="C1264" s="14" t="s">
        <v>2502</v>
      </c>
      <c r="D1264" s="14" t="s">
        <v>4725</v>
      </c>
      <c r="E1264" s="11" t="s">
        <v>4725</v>
      </c>
      <c r="F1264" s="4" t="s">
        <v>1528</v>
      </c>
      <c r="H1264" s="6"/>
    </row>
    <row r="1265" spans="1:8" x14ac:dyDescent="0.2">
      <c r="A1265" s="14" t="s">
        <v>2503</v>
      </c>
      <c r="B1265" s="14" t="s">
        <v>3613</v>
      </c>
      <c r="C1265" s="14" t="s">
        <v>2503</v>
      </c>
      <c r="D1265" s="14" t="s">
        <v>4725</v>
      </c>
      <c r="E1265" s="11" t="s">
        <v>4725</v>
      </c>
      <c r="F1265" s="4" t="s">
        <v>1528</v>
      </c>
      <c r="H1265" s="6"/>
    </row>
    <row r="1266" spans="1:8" x14ac:dyDescent="0.2">
      <c r="A1266" s="14" t="s">
        <v>2504</v>
      </c>
      <c r="B1266" s="14" t="s">
        <v>3613</v>
      </c>
      <c r="C1266" s="14" t="s">
        <v>2504</v>
      </c>
      <c r="D1266" s="14" t="s">
        <v>4726</v>
      </c>
      <c r="E1266" s="11" t="s">
        <v>4726</v>
      </c>
      <c r="F1266" s="4" t="s">
        <v>1528</v>
      </c>
      <c r="H1266" s="6"/>
    </row>
    <row r="1267" spans="1:8" x14ac:dyDescent="0.2">
      <c r="A1267" s="14" t="s">
        <v>2505</v>
      </c>
      <c r="B1267" s="14" t="s">
        <v>3613</v>
      </c>
      <c r="C1267" s="14" t="s">
        <v>2505</v>
      </c>
      <c r="D1267" s="14" t="s">
        <v>4726</v>
      </c>
      <c r="E1267" s="11" t="s">
        <v>4726</v>
      </c>
      <c r="F1267" s="4" t="s">
        <v>1528</v>
      </c>
      <c r="H1267" s="6"/>
    </row>
    <row r="1268" spans="1:8" x14ac:dyDescent="0.2">
      <c r="A1268" s="14" t="s">
        <v>2506</v>
      </c>
      <c r="B1268" s="14" t="s">
        <v>3613</v>
      </c>
      <c r="C1268" s="14" t="s">
        <v>2506</v>
      </c>
      <c r="D1268" s="14" t="s">
        <v>4727</v>
      </c>
      <c r="E1268" s="11" t="s">
        <v>4727</v>
      </c>
      <c r="F1268" s="4" t="s">
        <v>1528</v>
      </c>
      <c r="H1268" s="6"/>
    </row>
    <row r="1269" spans="1:8" x14ac:dyDescent="0.2">
      <c r="A1269" s="14" t="s">
        <v>2507</v>
      </c>
      <c r="B1269" s="14" t="s">
        <v>3613</v>
      </c>
      <c r="C1269" s="14" t="s">
        <v>2507</v>
      </c>
      <c r="D1269" s="14" t="s">
        <v>4727</v>
      </c>
      <c r="E1269" s="11" t="s">
        <v>4727</v>
      </c>
      <c r="F1269" s="4" t="s">
        <v>1528</v>
      </c>
      <c r="H1269" s="6"/>
    </row>
    <row r="1270" spans="1:8" x14ac:dyDescent="0.2">
      <c r="A1270" s="14" t="s">
        <v>2508</v>
      </c>
      <c r="B1270" s="14" t="s">
        <v>3613</v>
      </c>
      <c r="C1270" s="14" t="s">
        <v>2508</v>
      </c>
      <c r="D1270" s="14" t="s">
        <v>4728</v>
      </c>
      <c r="E1270" s="11" t="s">
        <v>4728</v>
      </c>
      <c r="F1270" s="4" t="s">
        <v>1528</v>
      </c>
      <c r="H1270" s="6"/>
    </row>
    <row r="1271" spans="1:8" x14ac:dyDescent="0.2">
      <c r="A1271" s="14" t="s">
        <v>2509</v>
      </c>
      <c r="B1271" s="14" t="s">
        <v>3613</v>
      </c>
      <c r="C1271" s="14" t="s">
        <v>2509</v>
      </c>
      <c r="D1271" s="14" t="s">
        <v>4728</v>
      </c>
      <c r="E1271" s="11" t="s">
        <v>4728</v>
      </c>
      <c r="F1271" s="4" t="s">
        <v>1528</v>
      </c>
      <c r="H1271" s="6"/>
    </row>
    <row r="1272" spans="1:8" x14ac:dyDescent="0.2">
      <c r="A1272" s="14" t="s">
        <v>591</v>
      </c>
      <c r="B1272" s="14" t="s">
        <v>4746</v>
      </c>
      <c r="C1272" s="14" t="s">
        <v>2853</v>
      </c>
      <c r="D1272" s="14" t="s">
        <v>105</v>
      </c>
      <c r="E1272" s="11"/>
      <c r="F1272" s="4" t="s">
        <v>4757</v>
      </c>
    </row>
    <row r="1273" spans="1:8" x14ac:dyDescent="0.2">
      <c r="A1273" s="14" t="s">
        <v>1282</v>
      </c>
      <c r="B1273" s="14" t="s">
        <v>3613</v>
      </c>
      <c r="C1273" s="14" t="s">
        <v>1282</v>
      </c>
      <c r="D1273" s="14" t="s">
        <v>1283</v>
      </c>
      <c r="E1273" s="11" t="s">
        <v>1283</v>
      </c>
      <c r="F1273" s="4" t="s">
        <v>1524</v>
      </c>
    </row>
    <row r="1274" spans="1:8" x14ac:dyDescent="0.2">
      <c r="A1274" s="14" t="s">
        <v>1284</v>
      </c>
      <c r="B1274" s="14" t="s">
        <v>3613</v>
      </c>
      <c r="C1274" s="14" t="s">
        <v>1284</v>
      </c>
      <c r="D1274" s="14" t="s">
        <v>1285</v>
      </c>
      <c r="E1274" s="11" t="s">
        <v>1285</v>
      </c>
      <c r="F1274" s="4" t="s">
        <v>1524</v>
      </c>
    </row>
    <row r="1275" spans="1:8" x14ac:dyDescent="0.2">
      <c r="A1275" s="14" t="s">
        <v>592</v>
      </c>
      <c r="B1275" s="14" t="s">
        <v>3609</v>
      </c>
      <c r="C1275" s="14" t="s">
        <v>2850</v>
      </c>
      <c r="D1275" s="14" t="s">
        <v>106</v>
      </c>
      <c r="E1275" s="11"/>
      <c r="F1275" s="4" t="s">
        <v>4757</v>
      </c>
    </row>
    <row r="1276" spans="1:8" x14ac:dyDescent="0.2">
      <c r="A1276" s="14" t="s">
        <v>1286</v>
      </c>
      <c r="B1276" s="14" t="s">
        <v>3613</v>
      </c>
      <c r="C1276" s="14" t="s">
        <v>1286</v>
      </c>
      <c r="D1276" s="14" t="s">
        <v>1287</v>
      </c>
      <c r="E1276" s="11" t="s">
        <v>1287</v>
      </c>
      <c r="F1276" s="4" t="s">
        <v>1524</v>
      </c>
    </row>
    <row r="1277" spans="1:8" x14ac:dyDescent="0.2">
      <c r="A1277" s="14" t="s">
        <v>593</v>
      </c>
      <c r="B1277" s="14" t="s">
        <v>3609</v>
      </c>
      <c r="C1277" s="14" t="s">
        <v>2850</v>
      </c>
      <c r="D1277" s="14" t="s">
        <v>107</v>
      </c>
      <c r="E1277" s="11"/>
      <c r="F1277" s="4" t="s">
        <v>4757</v>
      </c>
    </row>
    <row r="1278" spans="1:8" x14ac:dyDescent="0.2">
      <c r="A1278" s="14" t="s">
        <v>1288</v>
      </c>
      <c r="B1278" s="14" t="s">
        <v>4746</v>
      </c>
      <c r="C1278" s="14" t="s">
        <v>2853</v>
      </c>
      <c r="D1278" s="14" t="s">
        <v>108</v>
      </c>
      <c r="E1278" s="11" t="s">
        <v>108</v>
      </c>
      <c r="F1278" s="4" t="s">
        <v>1524</v>
      </c>
    </row>
    <row r="1279" spans="1:8" x14ac:dyDescent="0.2">
      <c r="A1279" s="14" t="s">
        <v>594</v>
      </c>
      <c r="B1279" s="14" t="s">
        <v>3609</v>
      </c>
      <c r="C1279" s="14" t="s">
        <v>2850</v>
      </c>
      <c r="D1279" s="14" t="s">
        <v>109</v>
      </c>
      <c r="E1279" s="11"/>
      <c r="F1279" s="4" t="s">
        <v>4757</v>
      </c>
    </row>
    <row r="1280" spans="1:8" x14ac:dyDescent="0.2">
      <c r="A1280" s="14" t="s">
        <v>1289</v>
      </c>
      <c r="B1280" s="14" t="s">
        <v>4746</v>
      </c>
      <c r="C1280" s="14" t="s">
        <v>2853</v>
      </c>
      <c r="D1280" s="14" t="s">
        <v>110</v>
      </c>
      <c r="E1280" s="11" t="s">
        <v>110</v>
      </c>
      <c r="F1280" s="4" t="s">
        <v>1524</v>
      </c>
    </row>
    <row r="1281" spans="1:8" x14ac:dyDescent="0.2">
      <c r="A1281" s="14" t="s">
        <v>1290</v>
      </c>
      <c r="B1281" s="14" t="s">
        <v>4746</v>
      </c>
      <c r="C1281" s="14" t="s">
        <v>2853</v>
      </c>
      <c r="D1281" s="14" t="s">
        <v>111</v>
      </c>
      <c r="E1281" s="11" t="s">
        <v>111</v>
      </c>
      <c r="F1281" s="4" t="s">
        <v>1524</v>
      </c>
    </row>
    <row r="1282" spans="1:8" x14ac:dyDescent="0.2">
      <c r="A1282" s="14" t="s">
        <v>1291</v>
      </c>
      <c r="B1282" s="14" t="s">
        <v>4746</v>
      </c>
      <c r="C1282" s="14" t="s">
        <v>2853</v>
      </c>
      <c r="D1282" s="14" t="s">
        <v>112</v>
      </c>
      <c r="E1282" s="11" t="s">
        <v>112</v>
      </c>
      <c r="F1282" s="4" t="s">
        <v>1524</v>
      </c>
    </row>
    <row r="1283" spans="1:8" x14ac:dyDescent="0.2">
      <c r="A1283" s="14" t="s">
        <v>595</v>
      </c>
      <c r="B1283" s="14" t="s">
        <v>3613</v>
      </c>
      <c r="C1283" s="14" t="s">
        <v>595</v>
      </c>
      <c r="D1283" s="14" t="s">
        <v>113</v>
      </c>
      <c r="E1283" s="11" t="s">
        <v>113</v>
      </c>
      <c r="F1283" s="4" t="s">
        <v>1524</v>
      </c>
    </row>
    <row r="1284" spans="1:8" x14ac:dyDescent="0.2">
      <c r="A1284" s="14" t="s">
        <v>1292</v>
      </c>
      <c r="B1284" s="14" t="s">
        <v>3613</v>
      </c>
      <c r="C1284" s="14" t="s">
        <v>1292</v>
      </c>
      <c r="D1284" s="14" t="s">
        <v>1293</v>
      </c>
      <c r="E1284" s="11" t="s">
        <v>1293</v>
      </c>
      <c r="F1284" s="4" t="s">
        <v>1524</v>
      </c>
    </row>
    <row r="1285" spans="1:8" x14ac:dyDescent="0.2">
      <c r="A1285" s="14" t="s">
        <v>1294</v>
      </c>
      <c r="B1285" s="14" t="s">
        <v>3613</v>
      </c>
      <c r="C1285" s="14" t="s">
        <v>1294</v>
      </c>
      <c r="D1285" s="14" t="s">
        <v>114</v>
      </c>
      <c r="E1285" s="11" t="s">
        <v>114</v>
      </c>
      <c r="F1285" s="4" t="s">
        <v>1524</v>
      </c>
    </row>
    <row r="1286" spans="1:8" x14ac:dyDescent="0.2">
      <c r="A1286" s="14" t="s">
        <v>1295</v>
      </c>
      <c r="B1286" s="14" t="s">
        <v>4746</v>
      </c>
      <c r="C1286" s="14" t="s">
        <v>2853</v>
      </c>
      <c r="D1286" s="14" t="s">
        <v>1296</v>
      </c>
      <c r="E1286" s="11"/>
      <c r="F1286" s="4" t="s">
        <v>4757</v>
      </c>
      <c r="H1286" s="6"/>
    </row>
    <row r="1287" spans="1:8" x14ac:dyDescent="0.2">
      <c r="A1287" s="14" t="s">
        <v>1297</v>
      </c>
      <c r="B1287" s="14" t="s">
        <v>4746</v>
      </c>
      <c r="C1287" s="14" t="s">
        <v>2853</v>
      </c>
      <c r="D1287" s="14" t="s">
        <v>1803</v>
      </c>
      <c r="E1287" s="11"/>
      <c r="F1287" s="4" t="s">
        <v>4757</v>
      </c>
      <c r="H1287" s="6"/>
    </row>
    <row r="1288" spans="1:8" x14ac:dyDescent="0.2">
      <c r="A1288" s="14" t="s">
        <v>1298</v>
      </c>
      <c r="B1288" s="14" t="s">
        <v>4746</v>
      </c>
      <c r="C1288" s="14" t="s">
        <v>2853</v>
      </c>
      <c r="D1288" s="14" t="s">
        <v>1299</v>
      </c>
      <c r="E1288" s="11"/>
      <c r="F1288" s="4" t="s">
        <v>4757</v>
      </c>
      <c r="H1288" s="6"/>
    </row>
    <row r="1289" spans="1:8" x14ac:dyDescent="0.2">
      <c r="A1289" s="14" t="s">
        <v>1300</v>
      </c>
      <c r="B1289" s="14" t="s">
        <v>4746</v>
      </c>
      <c r="C1289" s="14" t="s">
        <v>2853</v>
      </c>
      <c r="D1289" s="14" t="s">
        <v>1804</v>
      </c>
      <c r="E1289" s="11"/>
      <c r="F1289" s="4" t="s">
        <v>4757</v>
      </c>
      <c r="H1289" s="6"/>
    </row>
    <row r="1290" spans="1:8" x14ac:dyDescent="0.2">
      <c r="A1290" s="14" t="s">
        <v>1301</v>
      </c>
      <c r="B1290" s="14" t="s">
        <v>4746</v>
      </c>
      <c r="C1290" s="14" t="s">
        <v>2853</v>
      </c>
      <c r="D1290" s="14" t="s">
        <v>1805</v>
      </c>
      <c r="E1290" s="11"/>
      <c r="F1290" s="4" t="s">
        <v>4757</v>
      </c>
      <c r="H1290" s="6"/>
    </row>
    <row r="1291" spans="1:8" x14ac:dyDescent="0.2">
      <c r="A1291" s="14" t="s">
        <v>1302</v>
      </c>
      <c r="B1291" s="14" t="s">
        <v>4746</v>
      </c>
      <c r="C1291" s="14" t="s">
        <v>2853</v>
      </c>
      <c r="D1291" s="14" t="s">
        <v>1303</v>
      </c>
      <c r="E1291" s="11"/>
      <c r="F1291" s="4" t="s">
        <v>4757</v>
      </c>
      <c r="H1291" s="6"/>
    </row>
    <row r="1292" spans="1:8" x14ac:dyDescent="0.2">
      <c r="A1292" s="14" t="s">
        <v>1304</v>
      </c>
      <c r="B1292" s="14" t="s">
        <v>3613</v>
      </c>
      <c r="C1292" s="14" t="s">
        <v>1304</v>
      </c>
      <c r="D1292" s="14" t="s">
        <v>1305</v>
      </c>
      <c r="E1292" s="11" t="s">
        <v>1305</v>
      </c>
      <c r="F1292" s="4" t="s">
        <v>1524</v>
      </c>
    </row>
    <row r="1293" spans="1:8" x14ac:dyDescent="0.2">
      <c r="A1293" s="14" t="s">
        <v>596</v>
      </c>
      <c r="B1293" s="14" t="s">
        <v>3609</v>
      </c>
      <c r="C1293" s="14" t="s">
        <v>2850</v>
      </c>
      <c r="D1293" s="14" t="s">
        <v>115</v>
      </c>
      <c r="E1293" s="11"/>
      <c r="F1293" s="4" t="s">
        <v>4757</v>
      </c>
    </row>
    <row r="1294" spans="1:8" x14ac:dyDescent="0.2">
      <c r="A1294" s="14" t="s">
        <v>1306</v>
      </c>
      <c r="B1294" s="14" t="s">
        <v>4746</v>
      </c>
      <c r="C1294" s="14" t="s">
        <v>2853</v>
      </c>
      <c r="D1294" s="14" t="s">
        <v>1806</v>
      </c>
      <c r="E1294" s="11"/>
      <c r="F1294" s="4" t="s">
        <v>4757</v>
      </c>
      <c r="H1294" s="6"/>
    </row>
    <row r="1295" spans="1:8" x14ac:dyDescent="0.2">
      <c r="A1295" s="14" t="s">
        <v>1307</v>
      </c>
      <c r="B1295" s="14" t="s">
        <v>4746</v>
      </c>
      <c r="C1295" s="14" t="s">
        <v>2853</v>
      </c>
      <c r="D1295" s="14" t="s">
        <v>1807</v>
      </c>
      <c r="E1295" s="11"/>
      <c r="F1295" s="4" t="s">
        <v>4757</v>
      </c>
      <c r="H1295" s="6"/>
    </row>
    <row r="1296" spans="1:8" x14ac:dyDescent="0.2">
      <c r="A1296" s="14" t="s">
        <v>1308</v>
      </c>
      <c r="B1296" s="14" t="s">
        <v>3613</v>
      </c>
      <c r="C1296" s="14" t="s">
        <v>1308</v>
      </c>
      <c r="D1296" s="14" t="s">
        <v>1309</v>
      </c>
      <c r="E1296" s="11" t="s">
        <v>1309</v>
      </c>
      <c r="F1296" s="4" t="s">
        <v>1587</v>
      </c>
      <c r="H1296" s="6"/>
    </row>
    <row r="1297" spans="1:8" x14ac:dyDescent="0.2">
      <c r="A1297" s="14" t="s">
        <v>1310</v>
      </c>
      <c r="B1297" s="14" t="s">
        <v>3613</v>
      </c>
      <c r="C1297" s="14" t="s">
        <v>1310</v>
      </c>
      <c r="D1297" s="14" t="s">
        <v>1311</v>
      </c>
      <c r="E1297" s="11" t="s">
        <v>1311</v>
      </c>
      <c r="F1297" s="4" t="s">
        <v>1587</v>
      </c>
      <c r="H1297" s="6"/>
    </row>
    <row r="1298" spans="1:8" x14ac:dyDescent="0.2">
      <c r="A1298" s="14" t="s">
        <v>1312</v>
      </c>
      <c r="B1298" s="14" t="s">
        <v>3613</v>
      </c>
      <c r="C1298" s="14" t="s">
        <v>1312</v>
      </c>
      <c r="D1298" s="14" t="s">
        <v>1808</v>
      </c>
      <c r="E1298" s="11" t="s">
        <v>1808</v>
      </c>
      <c r="F1298" s="4" t="s">
        <v>1524</v>
      </c>
      <c r="H1298" s="6"/>
    </row>
    <row r="1299" spans="1:8" x14ac:dyDescent="0.2">
      <c r="A1299" s="14" t="s">
        <v>1313</v>
      </c>
      <c r="B1299" s="14" t="s">
        <v>3612</v>
      </c>
      <c r="C1299" s="14" t="s">
        <v>3374</v>
      </c>
      <c r="D1299" s="14" t="s">
        <v>1314</v>
      </c>
      <c r="E1299" s="11" t="s">
        <v>3874</v>
      </c>
      <c r="F1299" s="4" t="s">
        <v>1528</v>
      </c>
      <c r="H1299" s="6"/>
    </row>
    <row r="1300" spans="1:8" x14ac:dyDescent="0.2">
      <c r="A1300" s="14" t="s">
        <v>2538</v>
      </c>
      <c r="B1300" s="14" t="s">
        <v>3612</v>
      </c>
      <c r="C1300" s="14" t="s">
        <v>3375</v>
      </c>
      <c r="D1300" s="14" t="s">
        <v>1627</v>
      </c>
      <c r="E1300" s="11" t="s">
        <v>3875</v>
      </c>
      <c r="F1300" s="4" t="s">
        <v>1528</v>
      </c>
      <c r="H1300" s="6"/>
    </row>
    <row r="1301" spans="1:8" x14ac:dyDescent="0.2">
      <c r="A1301" s="14" t="s">
        <v>1315</v>
      </c>
      <c r="B1301" s="14" t="s">
        <v>3612</v>
      </c>
      <c r="C1301" s="14" t="s">
        <v>3376</v>
      </c>
      <c r="D1301" s="14" t="s">
        <v>1628</v>
      </c>
      <c r="E1301" s="11" t="s">
        <v>3875</v>
      </c>
      <c r="F1301" s="4" t="s">
        <v>1528</v>
      </c>
      <c r="H1301" s="6"/>
    </row>
    <row r="1302" spans="1:8" x14ac:dyDescent="0.2">
      <c r="A1302" s="14" t="s">
        <v>982</v>
      </c>
      <c r="B1302" s="14" t="s">
        <v>3612</v>
      </c>
      <c r="C1302" s="14" t="s">
        <v>3377</v>
      </c>
      <c r="D1302" s="14" t="s">
        <v>983</v>
      </c>
      <c r="E1302" s="11" t="s">
        <v>3875</v>
      </c>
      <c r="F1302" s="4" t="s">
        <v>1528</v>
      </c>
      <c r="H1302" s="6"/>
    </row>
    <row r="1303" spans="1:8" x14ac:dyDescent="0.2">
      <c r="A1303" s="14" t="s">
        <v>2539</v>
      </c>
      <c r="B1303" s="14" t="s">
        <v>3612</v>
      </c>
      <c r="C1303" s="14" t="s">
        <v>3375</v>
      </c>
      <c r="D1303" s="14" t="s">
        <v>1629</v>
      </c>
      <c r="E1303" s="11" t="s">
        <v>3875</v>
      </c>
      <c r="F1303" s="4" t="s">
        <v>1528</v>
      </c>
      <c r="H1303" s="6"/>
    </row>
    <row r="1304" spans="1:8" x14ac:dyDescent="0.2">
      <c r="A1304" s="14" t="s">
        <v>2540</v>
      </c>
      <c r="B1304" s="14" t="s">
        <v>4746</v>
      </c>
      <c r="C1304" s="14" t="s">
        <v>2853</v>
      </c>
      <c r="D1304" s="14" t="s">
        <v>1630</v>
      </c>
      <c r="E1304" s="11"/>
      <c r="F1304" s="4" t="s">
        <v>4753</v>
      </c>
      <c r="H1304" s="6"/>
    </row>
    <row r="1305" spans="1:8" x14ac:dyDescent="0.2">
      <c r="A1305" s="14" t="s">
        <v>984</v>
      </c>
      <c r="B1305" s="14" t="s">
        <v>3612</v>
      </c>
      <c r="C1305" s="14" t="s">
        <v>3376</v>
      </c>
      <c r="D1305" s="14" t="s">
        <v>1631</v>
      </c>
      <c r="E1305" s="11" t="s">
        <v>3875</v>
      </c>
      <c r="F1305" s="4" t="s">
        <v>1528</v>
      </c>
      <c r="H1305" s="6"/>
    </row>
    <row r="1306" spans="1:8" x14ac:dyDescent="0.2">
      <c r="A1306" s="14" t="s">
        <v>985</v>
      </c>
      <c r="B1306" s="14" t="s">
        <v>4746</v>
      </c>
      <c r="C1306" s="14" t="s">
        <v>2853</v>
      </c>
      <c r="D1306" s="14" t="s">
        <v>986</v>
      </c>
      <c r="E1306" s="11"/>
      <c r="F1306" s="4" t="s">
        <v>4753</v>
      </c>
      <c r="H1306" s="6"/>
    </row>
    <row r="1307" spans="1:8" x14ac:dyDescent="0.2">
      <c r="A1307" s="14" t="s">
        <v>2541</v>
      </c>
      <c r="B1307" s="14" t="s">
        <v>4746</v>
      </c>
      <c r="C1307" s="14" t="s">
        <v>2853</v>
      </c>
      <c r="D1307" s="14" t="s">
        <v>1632</v>
      </c>
      <c r="E1307" s="11"/>
      <c r="F1307" s="4" t="s">
        <v>4753</v>
      </c>
      <c r="H1307" s="6"/>
    </row>
    <row r="1308" spans="1:8" x14ac:dyDescent="0.2">
      <c r="A1308" s="14" t="s">
        <v>987</v>
      </c>
      <c r="B1308" s="14" t="s">
        <v>3612</v>
      </c>
      <c r="C1308" s="14" t="s">
        <v>3378</v>
      </c>
      <c r="D1308" s="14" t="s">
        <v>988</v>
      </c>
      <c r="E1308" s="11" t="s">
        <v>3876</v>
      </c>
      <c r="F1308" s="4" t="s">
        <v>1528</v>
      </c>
      <c r="H1308" s="6"/>
    </row>
    <row r="1309" spans="1:8" x14ac:dyDescent="0.2">
      <c r="A1309" s="14" t="s">
        <v>2542</v>
      </c>
      <c r="B1309" s="14" t="s">
        <v>3612</v>
      </c>
      <c r="C1309" s="14" t="s">
        <v>3379</v>
      </c>
      <c r="D1309" s="14" t="s">
        <v>1633</v>
      </c>
      <c r="E1309" s="11" t="s">
        <v>3876</v>
      </c>
      <c r="F1309" s="4" t="s">
        <v>1528</v>
      </c>
      <c r="H1309" s="6"/>
    </row>
    <row r="1310" spans="1:8" x14ac:dyDescent="0.2">
      <c r="A1310" s="14" t="s">
        <v>989</v>
      </c>
      <c r="B1310" s="14" t="s">
        <v>4746</v>
      </c>
      <c r="C1310" s="14" t="s">
        <v>2853</v>
      </c>
      <c r="D1310" s="14" t="s">
        <v>990</v>
      </c>
      <c r="E1310" s="11"/>
      <c r="F1310" s="4" t="s">
        <v>4753</v>
      </c>
      <c r="H1310" s="6"/>
    </row>
    <row r="1311" spans="1:8" x14ac:dyDescent="0.2">
      <c r="A1311" s="14" t="s">
        <v>991</v>
      </c>
      <c r="B1311" s="14" t="s">
        <v>3612</v>
      </c>
      <c r="C1311" s="14" t="s">
        <v>3380</v>
      </c>
      <c r="D1311" s="14" t="s">
        <v>992</v>
      </c>
      <c r="E1311" s="11" t="s">
        <v>3877</v>
      </c>
      <c r="F1311" s="4" t="s">
        <v>1528</v>
      </c>
      <c r="H1311" s="6"/>
    </row>
    <row r="1312" spans="1:8" x14ac:dyDescent="0.2">
      <c r="A1312" s="14" t="s">
        <v>2543</v>
      </c>
      <c r="B1312" s="14" t="s">
        <v>3612</v>
      </c>
      <c r="C1312" s="14" t="s">
        <v>3381</v>
      </c>
      <c r="D1312" s="14" t="s">
        <v>1634</v>
      </c>
      <c r="E1312" s="11" t="s">
        <v>3877</v>
      </c>
      <c r="F1312" s="4" t="s">
        <v>1528</v>
      </c>
      <c r="H1312" s="6"/>
    </row>
    <row r="1313" spans="1:8" x14ac:dyDescent="0.2">
      <c r="A1313" s="14" t="s">
        <v>993</v>
      </c>
      <c r="B1313" s="14" t="s">
        <v>3612</v>
      </c>
      <c r="C1313" s="14" t="s">
        <v>3382</v>
      </c>
      <c r="D1313" s="14" t="s">
        <v>1635</v>
      </c>
      <c r="E1313" s="11" t="s">
        <v>3877</v>
      </c>
      <c r="F1313" s="4" t="s">
        <v>1528</v>
      </c>
      <c r="H1313" s="6"/>
    </row>
    <row r="1314" spans="1:8" x14ac:dyDescent="0.2">
      <c r="A1314" s="14" t="s">
        <v>2544</v>
      </c>
      <c r="B1314" s="14" t="s">
        <v>3609</v>
      </c>
      <c r="C1314" s="14" t="s">
        <v>2850</v>
      </c>
      <c r="D1314" s="14" t="s">
        <v>1636</v>
      </c>
      <c r="E1314" s="11"/>
      <c r="F1314" s="4" t="s">
        <v>4753</v>
      </c>
      <c r="H1314" s="6"/>
    </row>
    <row r="1315" spans="1:8" x14ac:dyDescent="0.2">
      <c r="A1315" s="14" t="s">
        <v>994</v>
      </c>
      <c r="B1315" s="14" t="s">
        <v>3612</v>
      </c>
      <c r="C1315" s="14" t="s">
        <v>3383</v>
      </c>
      <c r="D1315" s="14" t="s">
        <v>995</v>
      </c>
      <c r="E1315" s="11" t="s">
        <v>3878</v>
      </c>
      <c r="F1315" s="4" t="s">
        <v>1528</v>
      </c>
      <c r="H1315" s="6"/>
    </row>
    <row r="1316" spans="1:8" x14ac:dyDescent="0.2">
      <c r="A1316" s="14" t="s">
        <v>2545</v>
      </c>
      <c r="B1316" s="14" t="s">
        <v>3612</v>
      </c>
      <c r="C1316" s="14" t="s">
        <v>3384</v>
      </c>
      <c r="D1316" s="14" t="s">
        <v>1637</v>
      </c>
      <c r="E1316" s="11" t="s">
        <v>3878</v>
      </c>
      <c r="F1316" s="4" t="s">
        <v>1528</v>
      </c>
      <c r="H1316" s="6"/>
    </row>
    <row r="1317" spans="1:8" x14ac:dyDescent="0.2">
      <c r="A1317" s="14" t="s">
        <v>2546</v>
      </c>
      <c r="B1317" s="14" t="s">
        <v>4746</v>
      </c>
      <c r="C1317" s="14" t="s">
        <v>2853</v>
      </c>
      <c r="D1317" s="14" t="s">
        <v>1638</v>
      </c>
      <c r="E1317" s="11"/>
      <c r="F1317" s="4" t="s">
        <v>4753</v>
      </c>
      <c r="H1317" s="6"/>
    </row>
    <row r="1318" spans="1:8" x14ac:dyDescent="0.2">
      <c r="A1318" s="14" t="s">
        <v>996</v>
      </c>
      <c r="B1318" s="14" t="s">
        <v>3612</v>
      </c>
      <c r="C1318" s="14" t="s">
        <v>3385</v>
      </c>
      <c r="D1318" s="14" t="s">
        <v>1639</v>
      </c>
      <c r="E1318" s="11" t="s">
        <v>3878</v>
      </c>
      <c r="F1318" s="4" t="s">
        <v>1528</v>
      </c>
      <c r="H1318" s="6"/>
    </row>
    <row r="1319" spans="1:8" x14ac:dyDescent="0.2">
      <c r="A1319" s="14" t="s">
        <v>2547</v>
      </c>
      <c r="B1319" s="14" t="s">
        <v>3609</v>
      </c>
      <c r="C1319" s="14" t="s">
        <v>2850</v>
      </c>
      <c r="D1319" s="14" t="s">
        <v>1640</v>
      </c>
      <c r="E1319" s="11"/>
      <c r="F1319" s="4" t="s">
        <v>4753</v>
      </c>
      <c r="H1319" s="6"/>
    </row>
    <row r="1320" spans="1:8" x14ac:dyDescent="0.2">
      <c r="A1320" s="14" t="s">
        <v>997</v>
      </c>
      <c r="B1320" s="14" t="s">
        <v>3612</v>
      </c>
      <c r="C1320" s="14" t="s">
        <v>3386</v>
      </c>
      <c r="D1320" s="14" t="s">
        <v>998</v>
      </c>
      <c r="E1320" s="11" t="s">
        <v>3879</v>
      </c>
      <c r="F1320" s="4" t="s">
        <v>1528</v>
      </c>
      <c r="H1320" s="6"/>
    </row>
    <row r="1321" spans="1:8" x14ac:dyDescent="0.2">
      <c r="A1321" s="14" t="s">
        <v>2548</v>
      </c>
      <c r="B1321" s="14" t="s">
        <v>3612</v>
      </c>
      <c r="C1321" s="14" t="s">
        <v>3387</v>
      </c>
      <c r="D1321" s="14" t="s">
        <v>1641</v>
      </c>
      <c r="E1321" s="11" t="s">
        <v>3879</v>
      </c>
      <c r="F1321" s="4" t="s">
        <v>1528</v>
      </c>
      <c r="H1321" s="6"/>
    </row>
    <row r="1322" spans="1:8" x14ac:dyDescent="0.2">
      <c r="A1322" s="14" t="s">
        <v>999</v>
      </c>
      <c r="B1322" s="14" t="s">
        <v>3612</v>
      </c>
      <c r="C1322" s="14" t="s">
        <v>3388</v>
      </c>
      <c r="D1322" s="14" t="s">
        <v>1000</v>
      </c>
      <c r="E1322" s="11" t="s">
        <v>3880</v>
      </c>
      <c r="F1322" s="4" t="s">
        <v>1528</v>
      </c>
      <c r="H1322" s="6"/>
    </row>
    <row r="1323" spans="1:8" x14ac:dyDescent="0.2">
      <c r="A1323" s="14" t="s">
        <v>2549</v>
      </c>
      <c r="B1323" s="14" t="s">
        <v>3612</v>
      </c>
      <c r="C1323" s="14" t="s">
        <v>3389</v>
      </c>
      <c r="D1323" s="14" t="s">
        <v>1642</v>
      </c>
      <c r="E1323" s="11" t="s">
        <v>3880</v>
      </c>
      <c r="F1323" s="4" t="s">
        <v>1528</v>
      </c>
      <c r="H1323" s="6"/>
    </row>
    <row r="1324" spans="1:8" x14ac:dyDescent="0.2">
      <c r="A1324" s="14" t="s">
        <v>2550</v>
      </c>
      <c r="B1324" s="14" t="s">
        <v>3612</v>
      </c>
      <c r="C1324" s="14" t="s">
        <v>3390</v>
      </c>
      <c r="D1324" s="14" t="s">
        <v>1643</v>
      </c>
      <c r="E1324" s="11" t="s">
        <v>3881</v>
      </c>
      <c r="F1324" s="4" t="s">
        <v>1528</v>
      </c>
      <c r="H1324" s="6"/>
    </row>
    <row r="1325" spans="1:8" x14ac:dyDescent="0.2">
      <c r="A1325" s="14" t="s">
        <v>2551</v>
      </c>
      <c r="B1325" s="14" t="s">
        <v>3612</v>
      </c>
      <c r="C1325" s="14" t="s">
        <v>3391</v>
      </c>
      <c r="D1325" s="14" t="s">
        <v>1644</v>
      </c>
      <c r="E1325" s="11" t="s">
        <v>3882</v>
      </c>
      <c r="F1325" s="4" t="s">
        <v>1528</v>
      </c>
      <c r="H1325" s="6"/>
    </row>
    <row r="1326" spans="1:8" x14ac:dyDescent="0.2">
      <c r="A1326" s="14" t="s">
        <v>2552</v>
      </c>
      <c r="B1326" s="14" t="s">
        <v>4746</v>
      </c>
      <c r="C1326" s="14" t="s">
        <v>2853</v>
      </c>
      <c r="D1326" s="14" t="s">
        <v>1645</v>
      </c>
      <c r="E1326" s="11"/>
      <c r="F1326" s="4" t="s">
        <v>4753</v>
      </c>
      <c r="H1326" s="6"/>
    </row>
    <row r="1327" spans="1:8" x14ac:dyDescent="0.2">
      <c r="A1327" s="14" t="s">
        <v>2553</v>
      </c>
      <c r="B1327" s="14" t="s">
        <v>3612</v>
      </c>
      <c r="C1327" s="14" t="s">
        <v>3392</v>
      </c>
      <c r="D1327" s="14" t="s">
        <v>1646</v>
      </c>
      <c r="E1327" s="11" t="s">
        <v>3883</v>
      </c>
      <c r="F1327" s="4" t="s">
        <v>1528</v>
      </c>
      <c r="H1327" s="6"/>
    </row>
    <row r="1328" spans="1:8" x14ac:dyDescent="0.2">
      <c r="A1328" s="14" t="s">
        <v>2554</v>
      </c>
      <c r="B1328" s="14" t="s">
        <v>3612</v>
      </c>
      <c r="C1328" s="14" t="s">
        <v>3393</v>
      </c>
      <c r="D1328" s="14" t="s">
        <v>1647</v>
      </c>
      <c r="E1328" s="11" t="s">
        <v>3884</v>
      </c>
      <c r="F1328" s="4" t="s">
        <v>1528</v>
      </c>
      <c r="H1328" s="6"/>
    </row>
    <row r="1329" spans="1:8" x14ac:dyDescent="0.2">
      <c r="A1329" s="14" t="s">
        <v>2555</v>
      </c>
      <c r="B1329" s="14" t="s">
        <v>3612</v>
      </c>
      <c r="C1329" s="14" t="s">
        <v>3394</v>
      </c>
      <c r="D1329" s="14" t="s">
        <v>1648</v>
      </c>
      <c r="E1329" s="11" t="s">
        <v>3885</v>
      </c>
      <c r="F1329" s="4" t="s">
        <v>1528</v>
      </c>
      <c r="H1329" s="6"/>
    </row>
    <row r="1330" spans="1:8" x14ac:dyDescent="0.2">
      <c r="A1330" s="14" t="s">
        <v>2556</v>
      </c>
      <c r="B1330" s="14" t="s">
        <v>3612</v>
      </c>
      <c r="C1330" s="14" t="s">
        <v>3395</v>
      </c>
      <c r="D1330" s="14" t="s">
        <v>1649</v>
      </c>
      <c r="E1330" s="11" t="s">
        <v>3886</v>
      </c>
      <c r="F1330" s="4" t="s">
        <v>1528</v>
      </c>
      <c r="H1330" s="6"/>
    </row>
    <row r="1331" spans="1:8" x14ac:dyDescent="0.2">
      <c r="A1331" s="14" t="s">
        <v>2557</v>
      </c>
      <c r="B1331" s="14" t="s">
        <v>4746</v>
      </c>
      <c r="C1331" s="14" t="s">
        <v>2853</v>
      </c>
      <c r="D1331" s="14" t="s">
        <v>1650</v>
      </c>
      <c r="E1331" s="11"/>
      <c r="F1331" s="4" t="s">
        <v>4753</v>
      </c>
      <c r="H1331" s="6"/>
    </row>
    <row r="1332" spans="1:8" x14ac:dyDescent="0.2">
      <c r="A1332" s="14" t="s">
        <v>2558</v>
      </c>
      <c r="B1332" s="14" t="s">
        <v>3612</v>
      </c>
      <c r="C1332" s="14" t="s">
        <v>3396</v>
      </c>
      <c r="D1332" s="14" t="s">
        <v>1651</v>
      </c>
      <c r="E1332" s="11" t="s">
        <v>3887</v>
      </c>
      <c r="F1332" s="4" t="s">
        <v>1528</v>
      </c>
      <c r="H1332" s="6"/>
    </row>
    <row r="1333" spans="1:8" x14ac:dyDescent="0.2">
      <c r="A1333" s="14" t="s">
        <v>2559</v>
      </c>
      <c r="B1333" s="14" t="s">
        <v>3612</v>
      </c>
      <c r="C1333" s="14" t="s">
        <v>3397</v>
      </c>
      <c r="D1333" s="14" t="s">
        <v>1652</v>
      </c>
      <c r="E1333" s="11" t="s">
        <v>3888</v>
      </c>
      <c r="F1333" s="4" t="s">
        <v>1528</v>
      </c>
      <c r="H1333" s="6"/>
    </row>
    <row r="1334" spans="1:8" x14ac:dyDescent="0.2">
      <c r="A1334" s="14" t="s">
        <v>2560</v>
      </c>
      <c r="B1334" s="14" t="s">
        <v>4746</v>
      </c>
      <c r="C1334" s="14" t="s">
        <v>2853</v>
      </c>
      <c r="D1334" s="14" t="s">
        <v>1653</v>
      </c>
      <c r="E1334" s="11"/>
      <c r="F1334" s="4" t="s">
        <v>4753</v>
      </c>
      <c r="H1334" s="6"/>
    </row>
    <row r="1335" spans="1:8" x14ac:dyDescent="0.2">
      <c r="A1335" s="14" t="s">
        <v>2561</v>
      </c>
      <c r="B1335" s="14" t="s">
        <v>4746</v>
      </c>
      <c r="C1335" s="14" t="s">
        <v>2853</v>
      </c>
      <c r="D1335" s="14" t="s">
        <v>1654</v>
      </c>
      <c r="E1335" s="11"/>
      <c r="F1335" s="4" t="s">
        <v>4753</v>
      </c>
      <c r="H1335" s="6"/>
    </row>
    <row r="1336" spans="1:8" x14ac:dyDescent="0.2">
      <c r="A1336" s="14" t="s">
        <v>2562</v>
      </c>
      <c r="B1336" s="14" t="s">
        <v>3612</v>
      </c>
      <c r="C1336" s="14" t="s">
        <v>3398</v>
      </c>
      <c r="D1336" s="14" t="s">
        <v>1655</v>
      </c>
      <c r="E1336" s="11" t="s">
        <v>3889</v>
      </c>
      <c r="F1336" s="4" t="s">
        <v>1528</v>
      </c>
      <c r="H1336" s="6"/>
    </row>
    <row r="1337" spans="1:8" x14ac:dyDescent="0.2">
      <c r="A1337" s="14" t="s">
        <v>2563</v>
      </c>
      <c r="B1337" s="14" t="s">
        <v>4746</v>
      </c>
      <c r="C1337" s="14" t="s">
        <v>2853</v>
      </c>
      <c r="D1337" s="14" t="s">
        <v>1656</v>
      </c>
      <c r="E1337" s="11"/>
      <c r="F1337" s="4" t="s">
        <v>4753</v>
      </c>
      <c r="H1337" s="6"/>
    </row>
    <row r="1338" spans="1:8" x14ac:dyDescent="0.2">
      <c r="A1338" s="14" t="s">
        <v>2564</v>
      </c>
      <c r="B1338" s="14" t="s">
        <v>3612</v>
      </c>
      <c r="C1338" s="14" t="s">
        <v>3399</v>
      </c>
      <c r="D1338" s="14" t="s">
        <v>1657</v>
      </c>
      <c r="E1338" s="11" t="s">
        <v>3890</v>
      </c>
      <c r="F1338" s="4" t="s">
        <v>1528</v>
      </c>
      <c r="H1338" s="6"/>
    </row>
    <row r="1339" spans="1:8" x14ac:dyDescent="0.2">
      <c r="A1339" s="14" t="s">
        <v>2565</v>
      </c>
      <c r="B1339" s="14" t="s">
        <v>4746</v>
      </c>
      <c r="C1339" s="14" t="s">
        <v>2853</v>
      </c>
      <c r="D1339" s="14" t="s">
        <v>1658</v>
      </c>
      <c r="E1339" s="11"/>
      <c r="F1339" s="4" t="s">
        <v>4753</v>
      </c>
      <c r="H1339" s="6"/>
    </row>
    <row r="1340" spans="1:8" x14ac:dyDescent="0.2">
      <c r="A1340" s="14" t="s">
        <v>2566</v>
      </c>
      <c r="B1340" s="14" t="s">
        <v>3612</v>
      </c>
      <c r="C1340" s="14" t="s">
        <v>3400</v>
      </c>
      <c r="D1340" s="14" t="s">
        <v>1659</v>
      </c>
      <c r="E1340" s="11" t="s">
        <v>3891</v>
      </c>
      <c r="F1340" s="4" t="s">
        <v>1528</v>
      </c>
      <c r="H1340" s="6"/>
    </row>
    <row r="1341" spans="1:8" x14ac:dyDescent="0.2">
      <c r="A1341" s="14" t="s">
        <v>1001</v>
      </c>
      <c r="B1341" s="14" t="s">
        <v>3612</v>
      </c>
      <c r="C1341" s="14" t="s">
        <v>3401</v>
      </c>
      <c r="D1341" s="14" t="s">
        <v>1002</v>
      </c>
      <c r="E1341" s="11" t="s">
        <v>3881</v>
      </c>
      <c r="F1341" s="4" t="s">
        <v>1528</v>
      </c>
      <c r="H1341" s="6"/>
    </row>
    <row r="1342" spans="1:8" x14ac:dyDescent="0.2">
      <c r="A1342" s="14" t="s">
        <v>2567</v>
      </c>
      <c r="B1342" s="14" t="s">
        <v>3612</v>
      </c>
      <c r="C1342" s="14" t="s">
        <v>3402</v>
      </c>
      <c r="D1342" s="14" t="s">
        <v>1660</v>
      </c>
      <c r="E1342" s="11" t="s">
        <v>3892</v>
      </c>
      <c r="F1342" s="4" t="s">
        <v>1528</v>
      </c>
      <c r="H1342" s="6"/>
    </row>
    <row r="1343" spans="1:8" x14ac:dyDescent="0.2">
      <c r="A1343" s="14" t="s">
        <v>2568</v>
      </c>
      <c r="B1343" s="14" t="s">
        <v>3612</v>
      </c>
      <c r="C1343" s="14" t="s">
        <v>3403</v>
      </c>
      <c r="D1343" s="14" t="s">
        <v>1661</v>
      </c>
      <c r="E1343" s="11" t="s">
        <v>3893</v>
      </c>
      <c r="F1343" s="4" t="s">
        <v>1528</v>
      </c>
      <c r="H1343" s="6"/>
    </row>
    <row r="1344" spans="1:8" x14ac:dyDescent="0.2">
      <c r="A1344" s="14" t="s">
        <v>2569</v>
      </c>
      <c r="B1344" s="14" t="s">
        <v>3612</v>
      </c>
      <c r="C1344" s="14" t="s">
        <v>3404</v>
      </c>
      <c r="D1344" s="14" t="s">
        <v>1662</v>
      </c>
      <c r="E1344" s="11" t="s">
        <v>3894</v>
      </c>
      <c r="F1344" s="4" t="s">
        <v>1528</v>
      </c>
      <c r="H1344" s="6"/>
    </row>
    <row r="1345" spans="1:8" x14ac:dyDescent="0.2">
      <c r="A1345" s="14" t="s">
        <v>2570</v>
      </c>
      <c r="B1345" s="14" t="s">
        <v>3612</v>
      </c>
      <c r="C1345" s="14" t="s">
        <v>3405</v>
      </c>
      <c r="D1345" s="14" t="s">
        <v>1663</v>
      </c>
      <c r="E1345" s="11" t="s">
        <v>3895</v>
      </c>
      <c r="F1345" s="4" t="s">
        <v>1528</v>
      </c>
      <c r="H1345" s="6"/>
    </row>
    <row r="1346" spans="1:8" x14ac:dyDescent="0.2">
      <c r="A1346" s="14" t="s">
        <v>2571</v>
      </c>
      <c r="B1346" s="14" t="s">
        <v>3612</v>
      </c>
      <c r="C1346" s="14" t="s">
        <v>3406</v>
      </c>
      <c r="D1346" s="14" t="s">
        <v>1664</v>
      </c>
      <c r="E1346" s="11" t="s">
        <v>3896</v>
      </c>
      <c r="F1346" s="4" t="s">
        <v>1528</v>
      </c>
      <c r="H1346" s="6"/>
    </row>
    <row r="1347" spans="1:8" x14ac:dyDescent="0.2">
      <c r="A1347" s="14" t="s">
        <v>2572</v>
      </c>
      <c r="B1347" s="14" t="s">
        <v>4746</v>
      </c>
      <c r="C1347" s="14" t="s">
        <v>2853</v>
      </c>
      <c r="D1347" s="14" t="s">
        <v>1665</v>
      </c>
      <c r="E1347" s="11"/>
      <c r="F1347" s="4" t="s">
        <v>4753</v>
      </c>
      <c r="H1347" s="6"/>
    </row>
    <row r="1348" spans="1:8" x14ac:dyDescent="0.2">
      <c r="A1348" s="14" t="s">
        <v>2573</v>
      </c>
      <c r="B1348" s="14" t="s">
        <v>3612</v>
      </c>
      <c r="C1348" s="14" t="s">
        <v>3407</v>
      </c>
      <c r="D1348" s="14" t="s">
        <v>1666</v>
      </c>
      <c r="E1348" s="11" t="s">
        <v>3897</v>
      </c>
      <c r="F1348" s="4" t="s">
        <v>1528</v>
      </c>
      <c r="H1348" s="6"/>
    </row>
    <row r="1349" spans="1:8" x14ac:dyDescent="0.2">
      <c r="A1349" s="14" t="s">
        <v>2574</v>
      </c>
      <c r="B1349" s="14" t="s">
        <v>3612</v>
      </c>
      <c r="C1349" s="14" t="s">
        <v>3408</v>
      </c>
      <c r="D1349" s="14" t="s">
        <v>1667</v>
      </c>
      <c r="E1349" s="11" t="s">
        <v>3898</v>
      </c>
      <c r="F1349" s="4" t="s">
        <v>1528</v>
      </c>
      <c r="H1349" s="6"/>
    </row>
    <row r="1350" spans="1:8" x14ac:dyDescent="0.2">
      <c r="A1350" s="14" t="s">
        <v>2575</v>
      </c>
      <c r="B1350" s="14" t="s">
        <v>3612</v>
      </c>
      <c r="C1350" s="14" t="s">
        <v>3409</v>
      </c>
      <c r="D1350" s="14" t="s">
        <v>1668</v>
      </c>
      <c r="E1350" s="11" t="s">
        <v>3899</v>
      </c>
      <c r="F1350" s="4" t="s">
        <v>1528</v>
      </c>
      <c r="H1350" s="6"/>
    </row>
    <row r="1351" spans="1:8" x14ac:dyDescent="0.2">
      <c r="A1351" s="14" t="s">
        <v>2576</v>
      </c>
      <c r="B1351" s="14" t="s">
        <v>4746</v>
      </c>
      <c r="C1351" s="14" t="s">
        <v>2853</v>
      </c>
      <c r="D1351" s="14" t="s">
        <v>1669</v>
      </c>
      <c r="E1351" s="11"/>
      <c r="F1351" s="4" t="s">
        <v>4753</v>
      </c>
      <c r="H1351" s="6"/>
    </row>
    <row r="1352" spans="1:8" x14ac:dyDescent="0.2">
      <c r="A1352" s="14" t="s">
        <v>1003</v>
      </c>
      <c r="B1352" s="14" t="s">
        <v>3612</v>
      </c>
      <c r="C1352" s="14" t="s">
        <v>3410</v>
      </c>
      <c r="D1352" s="14" t="s">
        <v>1004</v>
      </c>
      <c r="E1352" s="11" t="s">
        <v>3882</v>
      </c>
      <c r="F1352" s="4" t="s">
        <v>1528</v>
      </c>
      <c r="H1352" s="6"/>
    </row>
    <row r="1353" spans="1:8" x14ac:dyDescent="0.2">
      <c r="A1353" s="14" t="s">
        <v>1005</v>
      </c>
      <c r="B1353" s="14" t="s">
        <v>4746</v>
      </c>
      <c r="C1353" s="14" t="s">
        <v>2853</v>
      </c>
      <c r="D1353" s="14" t="s">
        <v>1670</v>
      </c>
      <c r="E1353" s="11"/>
      <c r="F1353" s="4" t="s">
        <v>4753</v>
      </c>
      <c r="H1353" s="6"/>
    </row>
    <row r="1354" spans="1:8" x14ac:dyDescent="0.2">
      <c r="A1354" s="14" t="s">
        <v>2577</v>
      </c>
      <c r="B1354" s="14" t="s">
        <v>4746</v>
      </c>
      <c r="C1354" s="14" t="s">
        <v>2853</v>
      </c>
      <c r="D1354" s="14" t="s">
        <v>1671</v>
      </c>
      <c r="E1354" s="11"/>
      <c r="F1354" s="4" t="s">
        <v>4753</v>
      </c>
      <c r="H1354" s="6"/>
    </row>
    <row r="1355" spans="1:8" x14ac:dyDescent="0.2">
      <c r="A1355" s="14" t="s">
        <v>1372</v>
      </c>
      <c r="B1355" s="14" t="s">
        <v>3612</v>
      </c>
      <c r="C1355" s="14" t="s">
        <v>3411</v>
      </c>
      <c r="D1355" s="14" t="s">
        <v>1373</v>
      </c>
      <c r="E1355" s="11" t="s">
        <v>3883</v>
      </c>
      <c r="F1355" s="4" t="s">
        <v>1528</v>
      </c>
      <c r="H1355" s="6"/>
    </row>
    <row r="1356" spans="1:8" x14ac:dyDescent="0.2">
      <c r="A1356" s="14" t="s">
        <v>1374</v>
      </c>
      <c r="B1356" s="14" t="s">
        <v>3612</v>
      </c>
      <c r="C1356" s="14" t="s">
        <v>3412</v>
      </c>
      <c r="D1356" s="14" t="s">
        <v>1375</v>
      </c>
      <c r="E1356" s="11" t="s">
        <v>3884</v>
      </c>
      <c r="F1356" s="4" t="s">
        <v>1528</v>
      </c>
      <c r="H1356" s="6"/>
    </row>
    <row r="1357" spans="1:8" x14ac:dyDescent="0.2">
      <c r="A1357" s="14" t="s">
        <v>1376</v>
      </c>
      <c r="B1357" s="14" t="s">
        <v>3612</v>
      </c>
      <c r="C1357" s="14" t="s">
        <v>3413</v>
      </c>
      <c r="D1357" s="14" t="s">
        <v>1672</v>
      </c>
      <c r="E1357" s="11" t="s">
        <v>3885</v>
      </c>
      <c r="F1357" s="4" t="s">
        <v>1528</v>
      </c>
      <c r="H1357" s="6"/>
    </row>
    <row r="1358" spans="1:8" x14ac:dyDescent="0.2">
      <c r="A1358" s="14" t="s">
        <v>1377</v>
      </c>
      <c r="B1358" s="14" t="s">
        <v>3612</v>
      </c>
      <c r="C1358" s="14" t="s">
        <v>3414</v>
      </c>
      <c r="D1358" s="14" t="s">
        <v>1378</v>
      </c>
      <c r="E1358" s="11" t="s">
        <v>3886</v>
      </c>
      <c r="F1358" s="4" t="s">
        <v>1528</v>
      </c>
      <c r="H1358" s="6"/>
    </row>
    <row r="1359" spans="1:8" x14ac:dyDescent="0.2">
      <c r="A1359" s="14" t="s">
        <v>1379</v>
      </c>
      <c r="B1359" s="14" t="s">
        <v>4746</v>
      </c>
      <c r="C1359" s="14" t="s">
        <v>2853</v>
      </c>
      <c r="D1359" s="14" t="s">
        <v>1673</v>
      </c>
      <c r="E1359" s="11"/>
      <c r="F1359" s="4" t="s">
        <v>4753</v>
      </c>
      <c r="H1359" s="6"/>
    </row>
    <row r="1360" spans="1:8" x14ac:dyDescent="0.2">
      <c r="A1360" s="14" t="s">
        <v>1380</v>
      </c>
      <c r="B1360" s="14" t="s">
        <v>3612</v>
      </c>
      <c r="C1360" s="14" t="s">
        <v>3415</v>
      </c>
      <c r="D1360" s="14" t="s">
        <v>1381</v>
      </c>
      <c r="E1360" s="11" t="s">
        <v>3900</v>
      </c>
      <c r="F1360" s="4" t="s">
        <v>1528</v>
      </c>
      <c r="H1360" s="6"/>
    </row>
    <row r="1361" spans="1:8" x14ac:dyDescent="0.2">
      <c r="A1361" s="14" t="s">
        <v>1382</v>
      </c>
      <c r="B1361" s="14" t="s">
        <v>3612</v>
      </c>
      <c r="C1361" s="14" t="s">
        <v>3416</v>
      </c>
      <c r="D1361" s="14" t="s">
        <v>1674</v>
      </c>
      <c r="E1361" s="11" t="s">
        <v>3888</v>
      </c>
      <c r="F1361" s="4" t="s">
        <v>1528</v>
      </c>
      <c r="H1361" s="6"/>
    </row>
    <row r="1362" spans="1:8" x14ac:dyDescent="0.2">
      <c r="A1362" s="14" t="s">
        <v>1383</v>
      </c>
      <c r="B1362" s="14" t="s">
        <v>4746</v>
      </c>
      <c r="C1362" s="14" t="s">
        <v>2853</v>
      </c>
      <c r="D1362" s="14" t="s">
        <v>1384</v>
      </c>
      <c r="E1362" s="11"/>
      <c r="F1362" s="4" t="s">
        <v>4753</v>
      </c>
      <c r="H1362" s="6"/>
    </row>
    <row r="1363" spans="1:8" x14ac:dyDescent="0.2">
      <c r="A1363" s="14" t="s">
        <v>1385</v>
      </c>
      <c r="B1363" s="14" t="s">
        <v>4746</v>
      </c>
      <c r="C1363" s="14" t="s">
        <v>2853</v>
      </c>
      <c r="D1363" s="14" t="s">
        <v>1386</v>
      </c>
      <c r="E1363" s="11"/>
      <c r="F1363" s="4" t="s">
        <v>4753</v>
      </c>
      <c r="H1363" s="6"/>
    </row>
    <row r="1364" spans="1:8" x14ac:dyDescent="0.2">
      <c r="A1364" s="14" t="s">
        <v>1172</v>
      </c>
      <c r="B1364" s="14" t="s">
        <v>3612</v>
      </c>
      <c r="C1364" s="14" t="s">
        <v>3417</v>
      </c>
      <c r="D1364" s="14" t="s">
        <v>1173</v>
      </c>
      <c r="E1364" s="11" t="s">
        <v>3889</v>
      </c>
      <c r="F1364" s="4" t="s">
        <v>1528</v>
      </c>
      <c r="H1364" s="6"/>
    </row>
    <row r="1365" spans="1:8" x14ac:dyDescent="0.2">
      <c r="A1365" s="14" t="s">
        <v>2578</v>
      </c>
      <c r="B1365" s="14" t="s">
        <v>4746</v>
      </c>
      <c r="C1365" s="14" t="s">
        <v>2853</v>
      </c>
      <c r="D1365" s="14" t="s">
        <v>1675</v>
      </c>
      <c r="E1365" s="11"/>
      <c r="F1365" s="4" t="s">
        <v>4753</v>
      </c>
      <c r="H1365" s="6"/>
    </row>
    <row r="1366" spans="1:8" x14ac:dyDescent="0.2">
      <c r="A1366" s="14" t="s">
        <v>1174</v>
      </c>
      <c r="B1366" s="14" t="s">
        <v>3612</v>
      </c>
      <c r="C1366" s="14" t="s">
        <v>3418</v>
      </c>
      <c r="D1366" s="14" t="s">
        <v>1175</v>
      </c>
      <c r="E1366" s="11" t="s">
        <v>3890</v>
      </c>
      <c r="F1366" s="4" t="s">
        <v>1528</v>
      </c>
      <c r="H1366" s="6"/>
    </row>
    <row r="1367" spans="1:8" x14ac:dyDescent="0.2">
      <c r="A1367" s="14" t="s">
        <v>1176</v>
      </c>
      <c r="B1367" s="14" t="s">
        <v>3612</v>
      </c>
      <c r="C1367" s="14" t="s">
        <v>3419</v>
      </c>
      <c r="D1367" s="14" t="s">
        <v>1177</v>
      </c>
      <c r="E1367" s="11" t="s">
        <v>3901</v>
      </c>
      <c r="F1367" s="4" t="s">
        <v>1528</v>
      </c>
      <c r="H1367" s="6"/>
    </row>
    <row r="1368" spans="1:8" x14ac:dyDescent="0.2">
      <c r="A1368" s="14" t="s">
        <v>1178</v>
      </c>
      <c r="B1368" s="14" t="s">
        <v>3612</v>
      </c>
      <c r="C1368" s="14" t="s">
        <v>3420</v>
      </c>
      <c r="D1368" s="14" t="s">
        <v>1179</v>
      </c>
      <c r="E1368" s="11" t="s">
        <v>3892</v>
      </c>
      <c r="F1368" s="4" t="s">
        <v>1528</v>
      </c>
      <c r="H1368" s="6"/>
    </row>
    <row r="1369" spans="1:8" x14ac:dyDescent="0.2">
      <c r="A1369" s="14" t="s">
        <v>1180</v>
      </c>
      <c r="B1369" s="14" t="s">
        <v>3612</v>
      </c>
      <c r="C1369" s="14" t="s">
        <v>3421</v>
      </c>
      <c r="D1369" s="14" t="s">
        <v>1676</v>
      </c>
      <c r="E1369" s="11" t="s">
        <v>3902</v>
      </c>
      <c r="F1369" s="4" t="s">
        <v>1528</v>
      </c>
      <c r="H1369" s="6"/>
    </row>
    <row r="1370" spans="1:8" x14ac:dyDescent="0.2">
      <c r="A1370" s="14" t="s">
        <v>2579</v>
      </c>
      <c r="B1370" s="14" t="s">
        <v>3612</v>
      </c>
      <c r="C1370" s="14" t="s">
        <v>3422</v>
      </c>
      <c r="D1370" s="14" t="s">
        <v>1677</v>
      </c>
      <c r="E1370" s="11" t="s">
        <v>3894</v>
      </c>
      <c r="F1370" s="4" t="s">
        <v>1528</v>
      </c>
      <c r="H1370" s="6"/>
    </row>
    <row r="1371" spans="1:8" x14ac:dyDescent="0.2">
      <c r="A1371" s="14" t="s">
        <v>1181</v>
      </c>
      <c r="B1371" s="14" t="s">
        <v>3612</v>
      </c>
      <c r="C1371" s="14" t="s">
        <v>3423</v>
      </c>
      <c r="D1371" s="14" t="s">
        <v>1678</v>
      </c>
      <c r="E1371" s="11" t="s">
        <v>3903</v>
      </c>
      <c r="F1371" s="4" t="s">
        <v>1528</v>
      </c>
      <c r="H1371" s="6"/>
    </row>
    <row r="1372" spans="1:8" x14ac:dyDescent="0.2">
      <c r="A1372" s="14" t="s">
        <v>2580</v>
      </c>
      <c r="B1372" s="14" t="s">
        <v>3609</v>
      </c>
      <c r="C1372" s="14" t="s">
        <v>2850</v>
      </c>
      <c r="D1372" s="14" t="s">
        <v>1679</v>
      </c>
      <c r="E1372" s="11"/>
      <c r="F1372" s="4" t="s">
        <v>4753</v>
      </c>
      <c r="H1372" s="6"/>
    </row>
    <row r="1373" spans="1:8" x14ac:dyDescent="0.2">
      <c r="A1373" s="14" t="s">
        <v>2581</v>
      </c>
      <c r="B1373" s="14" t="s">
        <v>4746</v>
      </c>
      <c r="C1373" s="14" t="s">
        <v>2853</v>
      </c>
      <c r="D1373" s="14" t="s">
        <v>1680</v>
      </c>
      <c r="E1373" s="11"/>
      <c r="F1373" s="4" t="s">
        <v>4753</v>
      </c>
      <c r="H1373" s="6"/>
    </row>
    <row r="1374" spans="1:8" x14ac:dyDescent="0.2">
      <c r="A1374" s="14" t="s">
        <v>1182</v>
      </c>
      <c r="B1374" s="14" t="s">
        <v>3612</v>
      </c>
      <c r="C1374" s="14" t="s">
        <v>3424</v>
      </c>
      <c r="D1374" s="14" t="s">
        <v>1681</v>
      </c>
      <c r="E1374" s="11" t="s">
        <v>3895</v>
      </c>
      <c r="F1374" s="4" t="s">
        <v>1528</v>
      </c>
      <c r="H1374" s="6"/>
    </row>
    <row r="1375" spans="1:8" x14ac:dyDescent="0.2">
      <c r="A1375" s="14" t="s">
        <v>1183</v>
      </c>
      <c r="B1375" s="14" t="s">
        <v>3612</v>
      </c>
      <c r="C1375" s="14" t="s">
        <v>3425</v>
      </c>
      <c r="D1375" s="14" t="s">
        <v>1184</v>
      </c>
      <c r="E1375" s="11" t="s">
        <v>3896</v>
      </c>
      <c r="F1375" s="4" t="s">
        <v>1528</v>
      </c>
      <c r="H1375" s="6"/>
    </row>
    <row r="1376" spans="1:8" x14ac:dyDescent="0.2">
      <c r="A1376" s="14" t="s">
        <v>1185</v>
      </c>
      <c r="B1376" s="14" t="s">
        <v>4746</v>
      </c>
      <c r="C1376" s="14" t="s">
        <v>2853</v>
      </c>
      <c r="D1376" s="14" t="s">
        <v>1682</v>
      </c>
      <c r="E1376" s="11"/>
      <c r="F1376" s="4" t="s">
        <v>4753</v>
      </c>
      <c r="H1376" s="6"/>
    </row>
    <row r="1377" spans="1:8" x14ac:dyDescent="0.2">
      <c r="A1377" s="14" t="s">
        <v>1186</v>
      </c>
      <c r="B1377" s="14" t="s">
        <v>3612</v>
      </c>
      <c r="C1377" s="14" t="s">
        <v>3426</v>
      </c>
      <c r="D1377" s="14" t="s">
        <v>1683</v>
      </c>
      <c r="E1377" s="11" t="s">
        <v>3904</v>
      </c>
      <c r="F1377" s="4" t="s">
        <v>1528</v>
      </c>
      <c r="H1377" s="6"/>
    </row>
    <row r="1378" spans="1:8" x14ac:dyDescent="0.2">
      <c r="A1378" s="14" t="s">
        <v>1187</v>
      </c>
      <c r="B1378" s="14" t="s">
        <v>3612</v>
      </c>
      <c r="C1378" s="14" t="s">
        <v>3427</v>
      </c>
      <c r="D1378" s="14" t="s">
        <v>1684</v>
      </c>
      <c r="E1378" s="11" t="s">
        <v>3898</v>
      </c>
      <c r="F1378" s="4" t="s">
        <v>1528</v>
      </c>
      <c r="H1378" s="6"/>
    </row>
    <row r="1379" spans="1:8" x14ac:dyDescent="0.2">
      <c r="A1379" s="14" t="s">
        <v>1188</v>
      </c>
      <c r="B1379" s="14" t="s">
        <v>3612</v>
      </c>
      <c r="C1379" s="14" t="s">
        <v>3428</v>
      </c>
      <c r="D1379" s="14" t="s">
        <v>1685</v>
      </c>
      <c r="E1379" s="11" t="s">
        <v>3901</v>
      </c>
      <c r="F1379" s="4" t="s">
        <v>1528</v>
      </c>
      <c r="H1379" s="6"/>
    </row>
    <row r="1380" spans="1:8" x14ac:dyDescent="0.2">
      <c r="A1380" s="14" t="s">
        <v>1189</v>
      </c>
      <c r="B1380" s="14" t="s">
        <v>3612</v>
      </c>
      <c r="C1380" s="14" t="s">
        <v>3429</v>
      </c>
      <c r="D1380" s="14" t="s">
        <v>1190</v>
      </c>
      <c r="E1380" s="11" t="s">
        <v>3905</v>
      </c>
      <c r="F1380" s="4" t="s">
        <v>1528</v>
      </c>
      <c r="H1380" s="6"/>
    </row>
    <row r="1381" spans="1:8" x14ac:dyDescent="0.2">
      <c r="A1381" s="14" t="s">
        <v>2582</v>
      </c>
      <c r="B1381" s="14" t="s">
        <v>3612</v>
      </c>
      <c r="C1381" s="14" t="s">
        <v>3430</v>
      </c>
      <c r="D1381" s="14" t="s">
        <v>1190</v>
      </c>
      <c r="E1381" s="11" t="s">
        <v>3905</v>
      </c>
      <c r="F1381" s="4" t="s">
        <v>1528</v>
      </c>
      <c r="H1381" s="6"/>
    </row>
    <row r="1382" spans="1:8" x14ac:dyDescent="0.2">
      <c r="A1382" s="14" t="s">
        <v>2583</v>
      </c>
      <c r="B1382" s="14" t="s">
        <v>4746</v>
      </c>
      <c r="C1382" s="14" t="s">
        <v>2853</v>
      </c>
      <c r="D1382" s="14" t="s">
        <v>1686</v>
      </c>
      <c r="E1382" s="11"/>
      <c r="F1382" s="4" t="s">
        <v>4753</v>
      </c>
      <c r="H1382" s="6"/>
    </row>
    <row r="1383" spans="1:8" x14ac:dyDescent="0.2">
      <c r="A1383" s="14" t="s">
        <v>1191</v>
      </c>
      <c r="B1383" s="14" t="s">
        <v>3612</v>
      </c>
      <c r="C1383" s="14" t="s">
        <v>3431</v>
      </c>
      <c r="D1383" s="14" t="s">
        <v>1687</v>
      </c>
      <c r="E1383" s="11" t="s">
        <v>3905</v>
      </c>
      <c r="F1383" s="4" t="s">
        <v>1528</v>
      </c>
      <c r="H1383" s="6"/>
    </row>
    <row r="1384" spans="1:8" x14ac:dyDescent="0.2">
      <c r="A1384" s="14" t="s">
        <v>1192</v>
      </c>
      <c r="B1384" s="14" t="s">
        <v>3612</v>
      </c>
      <c r="C1384" s="14" t="s">
        <v>3432</v>
      </c>
      <c r="D1384" s="14" t="s">
        <v>1193</v>
      </c>
      <c r="E1384" s="11" t="s">
        <v>3906</v>
      </c>
      <c r="F1384" s="4" t="s">
        <v>1528</v>
      </c>
      <c r="H1384" s="6"/>
    </row>
    <row r="1385" spans="1:8" x14ac:dyDescent="0.2">
      <c r="A1385" s="14" t="s">
        <v>2584</v>
      </c>
      <c r="B1385" s="14" t="s">
        <v>3612</v>
      </c>
      <c r="C1385" s="14" t="s">
        <v>3433</v>
      </c>
      <c r="D1385" s="14" t="s">
        <v>1688</v>
      </c>
      <c r="E1385" s="11" t="s">
        <v>3906</v>
      </c>
      <c r="F1385" s="4" t="s">
        <v>1528</v>
      </c>
      <c r="H1385" s="6"/>
    </row>
    <row r="1386" spans="1:8" x14ac:dyDescent="0.2">
      <c r="A1386" s="14" t="s">
        <v>1194</v>
      </c>
      <c r="B1386" s="14" t="s">
        <v>3612</v>
      </c>
      <c r="C1386" s="14" t="s">
        <v>3434</v>
      </c>
      <c r="D1386" s="14" t="s">
        <v>1689</v>
      </c>
      <c r="E1386" s="11" t="s">
        <v>3881</v>
      </c>
      <c r="F1386" s="4" t="s">
        <v>1528</v>
      </c>
      <c r="H1386" s="6"/>
    </row>
    <row r="1387" spans="1:8" x14ac:dyDescent="0.2">
      <c r="A1387" s="14" t="s">
        <v>1195</v>
      </c>
      <c r="B1387" s="14" t="s">
        <v>3612</v>
      </c>
      <c r="C1387" s="14" t="s">
        <v>3435</v>
      </c>
      <c r="D1387" s="14" t="s">
        <v>1690</v>
      </c>
      <c r="E1387" s="11" t="s">
        <v>3882</v>
      </c>
      <c r="F1387" s="4" t="s">
        <v>1528</v>
      </c>
      <c r="H1387" s="6"/>
    </row>
    <row r="1388" spans="1:8" x14ac:dyDescent="0.2">
      <c r="A1388" s="14" t="s">
        <v>1196</v>
      </c>
      <c r="B1388" s="14" t="s">
        <v>4746</v>
      </c>
      <c r="C1388" s="14" t="s">
        <v>2853</v>
      </c>
      <c r="D1388" s="14" t="s">
        <v>1691</v>
      </c>
      <c r="E1388" s="11"/>
      <c r="F1388" s="4" t="s">
        <v>4753</v>
      </c>
      <c r="H1388" s="6"/>
    </row>
    <row r="1389" spans="1:8" x14ac:dyDescent="0.2">
      <c r="A1389" s="14" t="s">
        <v>1197</v>
      </c>
      <c r="B1389" s="14" t="s">
        <v>3612</v>
      </c>
      <c r="C1389" s="14" t="s">
        <v>3436</v>
      </c>
      <c r="D1389" s="14" t="s">
        <v>1692</v>
      </c>
      <c r="E1389" s="11" t="s">
        <v>3883</v>
      </c>
      <c r="F1389" s="4" t="s">
        <v>1528</v>
      </c>
      <c r="H1389" s="6"/>
    </row>
    <row r="1390" spans="1:8" x14ac:dyDescent="0.2">
      <c r="A1390" s="14" t="s">
        <v>1198</v>
      </c>
      <c r="B1390" s="14" t="s">
        <v>3612</v>
      </c>
      <c r="C1390" s="14" t="s">
        <v>3437</v>
      </c>
      <c r="D1390" s="14" t="s">
        <v>1693</v>
      </c>
      <c r="E1390" s="11" t="s">
        <v>3884</v>
      </c>
      <c r="F1390" s="4" t="s">
        <v>1528</v>
      </c>
      <c r="H1390" s="6"/>
    </row>
    <row r="1391" spans="1:8" x14ac:dyDescent="0.2">
      <c r="A1391" s="14" t="s">
        <v>1199</v>
      </c>
      <c r="B1391" s="14" t="s">
        <v>3612</v>
      </c>
      <c r="C1391" s="14" t="s">
        <v>3438</v>
      </c>
      <c r="D1391" s="14" t="s">
        <v>1694</v>
      </c>
      <c r="E1391" s="11" t="s">
        <v>3885</v>
      </c>
      <c r="F1391" s="4" t="s">
        <v>1528</v>
      </c>
      <c r="H1391" s="6"/>
    </row>
    <row r="1392" spans="1:8" x14ac:dyDescent="0.2">
      <c r="A1392" s="14" t="s">
        <v>1200</v>
      </c>
      <c r="B1392" s="14" t="s">
        <v>3612</v>
      </c>
      <c r="C1392" s="14" t="s">
        <v>3439</v>
      </c>
      <c r="D1392" s="14" t="s">
        <v>1695</v>
      </c>
      <c r="E1392" s="11" t="s">
        <v>3886</v>
      </c>
      <c r="F1392" s="4" t="s">
        <v>1528</v>
      </c>
      <c r="H1392" s="6"/>
    </row>
    <row r="1393" spans="1:8" x14ac:dyDescent="0.2">
      <c r="A1393" s="14" t="s">
        <v>1201</v>
      </c>
      <c r="B1393" s="14" t="s">
        <v>4746</v>
      </c>
      <c r="C1393" s="14" t="s">
        <v>2853</v>
      </c>
      <c r="D1393" s="14" t="s">
        <v>1696</v>
      </c>
      <c r="E1393" s="11"/>
      <c r="F1393" s="4" t="s">
        <v>4753</v>
      </c>
      <c r="H1393" s="6"/>
    </row>
    <row r="1394" spans="1:8" x14ac:dyDescent="0.2">
      <c r="A1394" s="14" t="s">
        <v>1202</v>
      </c>
      <c r="B1394" s="14" t="s">
        <v>3612</v>
      </c>
      <c r="C1394" s="14" t="s">
        <v>3440</v>
      </c>
      <c r="D1394" s="14" t="s">
        <v>1697</v>
      </c>
      <c r="E1394" s="11" t="s">
        <v>3888</v>
      </c>
      <c r="F1394" s="4" t="s">
        <v>1528</v>
      </c>
      <c r="H1394" s="6"/>
    </row>
    <row r="1395" spans="1:8" x14ac:dyDescent="0.2">
      <c r="A1395" s="14" t="s">
        <v>1203</v>
      </c>
      <c r="B1395" s="14" t="s">
        <v>3612</v>
      </c>
      <c r="C1395" s="14" t="s">
        <v>3441</v>
      </c>
      <c r="D1395" s="14" t="s">
        <v>1698</v>
      </c>
      <c r="E1395" s="11" t="s">
        <v>3907</v>
      </c>
      <c r="F1395" s="4" t="s">
        <v>1528</v>
      </c>
      <c r="H1395" s="6"/>
    </row>
    <row r="1396" spans="1:8" x14ac:dyDescent="0.2">
      <c r="A1396" s="14" t="s">
        <v>1204</v>
      </c>
      <c r="B1396" s="14" t="s">
        <v>4746</v>
      </c>
      <c r="C1396" s="14" t="s">
        <v>2853</v>
      </c>
      <c r="D1396" s="14" t="s">
        <v>1699</v>
      </c>
      <c r="E1396" s="11"/>
      <c r="F1396" s="4" t="s">
        <v>4753</v>
      </c>
      <c r="H1396" s="6"/>
    </row>
    <row r="1397" spans="1:8" x14ac:dyDescent="0.2">
      <c r="A1397" s="14" t="s">
        <v>1205</v>
      </c>
      <c r="B1397" s="14" t="s">
        <v>3612</v>
      </c>
      <c r="C1397" s="14" t="s">
        <v>3442</v>
      </c>
      <c r="D1397" s="14" t="s">
        <v>1700</v>
      </c>
      <c r="E1397" s="11" t="s">
        <v>3891</v>
      </c>
      <c r="F1397" s="4" t="s">
        <v>1528</v>
      </c>
      <c r="H1397" s="6"/>
    </row>
    <row r="1398" spans="1:8" x14ac:dyDescent="0.2">
      <c r="A1398" s="14" t="s">
        <v>1206</v>
      </c>
      <c r="B1398" s="14" t="s">
        <v>4746</v>
      </c>
      <c r="C1398" s="14" t="s">
        <v>2853</v>
      </c>
      <c r="D1398" s="14" t="s">
        <v>1701</v>
      </c>
      <c r="E1398" s="11"/>
      <c r="F1398" s="4" t="s">
        <v>4753</v>
      </c>
      <c r="H1398" s="6"/>
    </row>
    <row r="1399" spans="1:8" x14ac:dyDescent="0.2">
      <c r="A1399" s="14" t="s">
        <v>1207</v>
      </c>
      <c r="B1399" s="14" t="s">
        <v>3612</v>
      </c>
      <c r="C1399" s="14" t="s">
        <v>3443</v>
      </c>
      <c r="D1399" s="14" t="s">
        <v>1702</v>
      </c>
      <c r="E1399" s="11" t="s">
        <v>3893</v>
      </c>
      <c r="F1399" s="4" t="s">
        <v>1528</v>
      </c>
      <c r="H1399" s="6"/>
    </row>
    <row r="1400" spans="1:8" x14ac:dyDescent="0.2">
      <c r="A1400" s="14" t="s">
        <v>2585</v>
      </c>
      <c r="B1400" s="14" t="s">
        <v>3609</v>
      </c>
      <c r="C1400" s="14" t="s">
        <v>2850</v>
      </c>
      <c r="D1400" s="14" t="s">
        <v>1703</v>
      </c>
      <c r="E1400" s="11"/>
      <c r="F1400" s="4" t="s">
        <v>4753</v>
      </c>
      <c r="H1400" s="6"/>
    </row>
    <row r="1401" spans="1:8" x14ac:dyDescent="0.2">
      <c r="A1401" s="14" t="s">
        <v>1208</v>
      </c>
      <c r="B1401" s="14" t="s">
        <v>3612</v>
      </c>
      <c r="C1401" s="14" t="s">
        <v>3444</v>
      </c>
      <c r="D1401" s="14" t="s">
        <v>1704</v>
      </c>
      <c r="E1401" s="11" t="s">
        <v>3895</v>
      </c>
      <c r="F1401" s="4" t="s">
        <v>1528</v>
      </c>
      <c r="H1401" s="6"/>
    </row>
    <row r="1402" spans="1:8" x14ac:dyDescent="0.2">
      <c r="A1402" s="14" t="s">
        <v>1209</v>
      </c>
      <c r="B1402" s="14" t="s">
        <v>4746</v>
      </c>
      <c r="C1402" s="14" t="s">
        <v>2853</v>
      </c>
      <c r="D1402" s="14" t="s">
        <v>1705</v>
      </c>
      <c r="E1402" s="11"/>
      <c r="F1402" s="4" t="s">
        <v>4753</v>
      </c>
      <c r="H1402" s="6"/>
    </row>
    <row r="1403" spans="1:8" x14ac:dyDescent="0.2">
      <c r="A1403" s="14" t="s">
        <v>1210</v>
      </c>
      <c r="B1403" s="14" t="s">
        <v>4746</v>
      </c>
      <c r="C1403" s="14" t="s">
        <v>2853</v>
      </c>
      <c r="D1403" s="14" t="s">
        <v>1706</v>
      </c>
      <c r="E1403" s="11"/>
      <c r="F1403" s="4" t="s">
        <v>4753</v>
      </c>
      <c r="H1403" s="6"/>
    </row>
    <row r="1404" spans="1:8" x14ac:dyDescent="0.2">
      <c r="A1404" s="14" t="s">
        <v>1211</v>
      </c>
      <c r="B1404" s="14" t="s">
        <v>3612</v>
      </c>
      <c r="C1404" s="14" t="s">
        <v>3445</v>
      </c>
      <c r="D1404" s="14" t="s">
        <v>1707</v>
      </c>
      <c r="E1404" s="11" t="s">
        <v>3897</v>
      </c>
      <c r="F1404" s="4" t="s">
        <v>1528</v>
      </c>
      <c r="H1404" s="6"/>
    </row>
    <row r="1405" spans="1:8" x14ac:dyDescent="0.2">
      <c r="A1405" s="14" t="s">
        <v>1212</v>
      </c>
      <c r="B1405" s="14" t="s">
        <v>3612</v>
      </c>
      <c r="C1405" s="14" t="s">
        <v>3446</v>
      </c>
      <c r="D1405" s="14" t="s">
        <v>1708</v>
      </c>
      <c r="E1405" s="11" t="s">
        <v>3898</v>
      </c>
      <c r="F1405" s="4" t="s">
        <v>1528</v>
      </c>
      <c r="H1405" s="6"/>
    </row>
    <row r="1406" spans="1:8" x14ac:dyDescent="0.2">
      <c r="A1406" s="14" t="s">
        <v>1213</v>
      </c>
      <c r="B1406" s="14" t="s">
        <v>3612</v>
      </c>
      <c r="C1406" s="14" t="s">
        <v>3447</v>
      </c>
      <c r="D1406" s="14" t="s">
        <v>1709</v>
      </c>
      <c r="E1406" s="11" t="s">
        <v>3908</v>
      </c>
      <c r="F1406" s="4" t="s">
        <v>1528</v>
      </c>
      <c r="H1406" s="6"/>
    </row>
    <row r="1407" spans="1:8" x14ac:dyDescent="0.2">
      <c r="A1407" s="14" t="s">
        <v>1214</v>
      </c>
      <c r="B1407" s="14" t="s">
        <v>3612</v>
      </c>
      <c r="C1407" s="14" t="s">
        <v>3448</v>
      </c>
      <c r="D1407" s="14" t="s">
        <v>1215</v>
      </c>
      <c r="E1407" s="11" t="s">
        <v>3909</v>
      </c>
      <c r="F1407" s="4" t="s">
        <v>1528</v>
      </c>
      <c r="H1407" s="6"/>
    </row>
    <row r="1408" spans="1:8" x14ac:dyDescent="0.2">
      <c r="A1408" s="14" t="s">
        <v>2586</v>
      </c>
      <c r="B1408" s="14" t="s">
        <v>3612</v>
      </c>
      <c r="C1408" s="14" t="s">
        <v>3449</v>
      </c>
      <c r="D1408" s="14" t="s">
        <v>1710</v>
      </c>
      <c r="E1408" s="11" t="s">
        <v>3909</v>
      </c>
      <c r="F1408" s="4" t="s">
        <v>1528</v>
      </c>
      <c r="H1408" s="6"/>
    </row>
    <row r="1409" spans="1:8" x14ac:dyDescent="0.2">
      <c r="A1409" s="14" t="s">
        <v>2587</v>
      </c>
      <c r="B1409" s="14" t="s">
        <v>3612</v>
      </c>
      <c r="C1409" s="14" t="s">
        <v>3450</v>
      </c>
      <c r="D1409" s="14" t="s">
        <v>1711</v>
      </c>
      <c r="E1409" s="11" t="s">
        <v>3910</v>
      </c>
      <c r="F1409" s="4" t="s">
        <v>1528</v>
      </c>
      <c r="H1409" s="6"/>
    </row>
    <row r="1410" spans="1:8" x14ac:dyDescent="0.2">
      <c r="A1410" s="14" t="s">
        <v>370</v>
      </c>
      <c r="B1410" s="14" t="s">
        <v>3612</v>
      </c>
      <c r="C1410" s="14" t="s">
        <v>3451</v>
      </c>
      <c r="D1410" s="14" t="s">
        <v>1712</v>
      </c>
      <c r="E1410" s="11" t="s">
        <v>3910</v>
      </c>
      <c r="F1410" s="4" t="s">
        <v>1528</v>
      </c>
      <c r="H1410" s="6"/>
    </row>
    <row r="1411" spans="1:8" x14ac:dyDescent="0.2">
      <c r="A1411" s="14" t="s">
        <v>2588</v>
      </c>
      <c r="B1411" s="14" t="s">
        <v>3609</v>
      </c>
      <c r="C1411" s="14" t="s">
        <v>2850</v>
      </c>
      <c r="D1411" s="14" t="s">
        <v>1713</v>
      </c>
      <c r="E1411" s="11"/>
      <c r="F1411" s="4" t="s">
        <v>4753</v>
      </c>
      <c r="H1411" s="6"/>
    </row>
    <row r="1412" spans="1:8" x14ac:dyDescent="0.2">
      <c r="A1412" s="14" t="s">
        <v>371</v>
      </c>
      <c r="B1412" s="14" t="s">
        <v>3612</v>
      </c>
      <c r="C1412" s="14" t="s">
        <v>3452</v>
      </c>
      <c r="D1412" s="14" t="s">
        <v>372</v>
      </c>
      <c r="E1412" s="11" t="s">
        <v>3911</v>
      </c>
      <c r="F1412" s="4" t="s">
        <v>1528</v>
      </c>
      <c r="H1412" s="6"/>
    </row>
    <row r="1413" spans="1:8" x14ac:dyDescent="0.2">
      <c r="A1413" s="14" t="s">
        <v>2589</v>
      </c>
      <c r="B1413" s="14" t="s">
        <v>3612</v>
      </c>
      <c r="C1413" s="14" t="s">
        <v>3453</v>
      </c>
      <c r="D1413" s="14" t="s">
        <v>372</v>
      </c>
      <c r="E1413" s="11" t="s">
        <v>3911</v>
      </c>
      <c r="F1413" s="4" t="s">
        <v>1528</v>
      </c>
      <c r="H1413" s="6"/>
    </row>
    <row r="1414" spans="1:8" x14ac:dyDescent="0.2">
      <c r="A1414" s="14" t="s">
        <v>2590</v>
      </c>
      <c r="B1414" s="14" t="s">
        <v>3612</v>
      </c>
      <c r="C1414" s="14" t="s">
        <v>3454</v>
      </c>
      <c r="D1414" s="14" t="s">
        <v>1714</v>
      </c>
      <c r="E1414" s="11" t="s">
        <v>3912</v>
      </c>
      <c r="F1414" s="4" t="s">
        <v>1528</v>
      </c>
      <c r="H1414" s="6"/>
    </row>
    <row r="1415" spans="1:8" x14ac:dyDescent="0.2">
      <c r="A1415" s="14" t="s">
        <v>373</v>
      </c>
      <c r="B1415" s="14" t="s">
        <v>3612</v>
      </c>
      <c r="C1415" s="14" t="s">
        <v>3455</v>
      </c>
      <c r="D1415" s="14" t="s">
        <v>1715</v>
      </c>
      <c r="E1415" s="11" t="s">
        <v>3912</v>
      </c>
      <c r="F1415" s="4" t="s">
        <v>1528</v>
      </c>
      <c r="H1415" s="6"/>
    </row>
    <row r="1416" spans="1:8" x14ac:dyDescent="0.2">
      <c r="A1416" s="14" t="s">
        <v>2591</v>
      </c>
      <c r="B1416" s="14" t="s">
        <v>3609</v>
      </c>
      <c r="C1416" s="14" t="s">
        <v>2850</v>
      </c>
      <c r="D1416" s="14" t="s">
        <v>1716</v>
      </c>
      <c r="E1416" s="11"/>
      <c r="F1416" s="4" t="s">
        <v>4753</v>
      </c>
      <c r="H1416" s="6"/>
    </row>
    <row r="1417" spans="1:8" x14ac:dyDescent="0.2">
      <c r="A1417" s="14" t="s">
        <v>374</v>
      </c>
      <c r="B1417" s="14" t="s">
        <v>3612</v>
      </c>
      <c r="C1417" s="14" t="s">
        <v>3456</v>
      </c>
      <c r="D1417" s="14" t="s">
        <v>375</v>
      </c>
      <c r="E1417" s="11" t="s">
        <v>3911</v>
      </c>
      <c r="F1417" s="4" t="s">
        <v>1528</v>
      </c>
      <c r="H1417" s="6"/>
    </row>
    <row r="1418" spans="1:8" x14ac:dyDescent="0.2">
      <c r="A1418" s="14" t="s">
        <v>2592</v>
      </c>
      <c r="B1418" s="14" t="s">
        <v>3609</v>
      </c>
      <c r="C1418" s="14" t="s">
        <v>2850</v>
      </c>
      <c r="D1418" s="14" t="s">
        <v>1717</v>
      </c>
      <c r="E1418" s="11"/>
      <c r="F1418" s="4" t="s">
        <v>4753</v>
      </c>
      <c r="H1418" s="6"/>
    </row>
    <row r="1419" spans="1:8" x14ac:dyDescent="0.2">
      <c r="A1419" s="14" t="s">
        <v>376</v>
      </c>
      <c r="B1419" s="14" t="s">
        <v>3612</v>
      </c>
      <c r="C1419" s="14" t="s">
        <v>3457</v>
      </c>
      <c r="D1419" s="14" t="s">
        <v>377</v>
      </c>
      <c r="E1419" s="11" t="s">
        <v>3913</v>
      </c>
      <c r="F1419" s="4" t="s">
        <v>1528</v>
      </c>
      <c r="H1419" s="6"/>
    </row>
    <row r="1420" spans="1:8" x14ac:dyDescent="0.2">
      <c r="A1420" s="14" t="s">
        <v>2593</v>
      </c>
      <c r="B1420" s="14" t="s">
        <v>3612</v>
      </c>
      <c r="C1420" s="14" t="s">
        <v>3458</v>
      </c>
      <c r="D1420" s="14" t="s">
        <v>1718</v>
      </c>
      <c r="E1420" s="11" t="s">
        <v>3913</v>
      </c>
      <c r="F1420" s="4" t="s">
        <v>1528</v>
      </c>
      <c r="H1420" s="6"/>
    </row>
    <row r="1421" spans="1:8" x14ac:dyDescent="0.2">
      <c r="A1421" s="14" t="s">
        <v>378</v>
      </c>
      <c r="B1421" s="14" t="s">
        <v>3612</v>
      </c>
      <c r="C1421" s="14" t="s">
        <v>3459</v>
      </c>
      <c r="D1421" s="14" t="s">
        <v>1719</v>
      </c>
      <c r="E1421" s="11" t="s">
        <v>3914</v>
      </c>
      <c r="F1421" s="4" t="s">
        <v>1528</v>
      </c>
      <c r="H1421" s="6"/>
    </row>
    <row r="1422" spans="1:8" x14ac:dyDescent="0.2">
      <c r="A1422" s="14" t="s">
        <v>379</v>
      </c>
      <c r="B1422" s="14" t="s">
        <v>3612</v>
      </c>
      <c r="C1422" s="14" t="s">
        <v>3460</v>
      </c>
      <c r="D1422" s="14" t="s">
        <v>1720</v>
      </c>
      <c r="E1422" s="11" t="s">
        <v>3914</v>
      </c>
      <c r="F1422" s="4" t="s">
        <v>1528</v>
      </c>
      <c r="H1422" s="6"/>
    </row>
    <row r="1423" spans="1:8" x14ac:dyDescent="0.2">
      <c r="A1423" s="14" t="s">
        <v>380</v>
      </c>
      <c r="B1423" s="14" t="s">
        <v>3612</v>
      </c>
      <c r="C1423" s="14" t="s">
        <v>3461</v>
      </c>
      <c r="D1423" s="14" t="s">
        <v>381</v>
      </c>
      <c r="E1423" s="11" t="s">
        <v>3915</v>
      </c>
      <c r="F1423" s="4" t="s">
        <v>1528</v>
      </c>
      <c r="H1423" s="6"/>
    </row>
    <row r="1424" spans="1:8" x14ac:dyDescent="0.2">
      <c r="A1424" s="14" t="s">
        <v>2594</v>
      </c>
      <c r="B1424" s="14" t="s">
        <v>3612</v>
      </c>
      <c r="C1424" s="14" t="s">
        <v>3462</v>
      </c>
      <c r="D1424" s="14" t="s">
        <v>1721</v>
      </c>
      <c r="E1424" s="11" t="s">
        <v>3915</v>
      </c>
      <c r="F1424" s="4" t="s">
        <v>1528</v>
      </c>
      <c r="H1424" s="6"/>
    </row>
    <row r="1425" spans="1:8" x14ac:dyDescent="0.2">
      <c r="A1425" s="14" t="s">
        <v>382</v>
      </c>
      <c r="B1425" s="14" t="s">
        <v>3612</v>
      </c>
      <c r="C1425" s="14" t="s">
        <v>3463</v>
      </c>
      <c r="D1425" s="14" t="s">
        <v>1722</v>
      </c>
      <c r="E1425" s="11" t="s">
        <v>3915</v>
      </c>
      <c r="F1425" s="4" t="s">
        <v>1528</v>
      </c>
      <c r="H1425" s="6"/>
    </row>
    <row r="1426" spans="1:8" x14ac:dyDescent="0.2">
      <c r="A1426" s="14" t="s">
        <v>383</v>
      </c>
      <c r="B1426" s="14" t="s">
        <v>3612</v>
      </c>
      <c r="C1426" s="14" t="s">
        <v>3464</v>
      </c>
      <c r="D1426" s="14" t="s">
        <v>1723</v>
      </c>
      <c r="E1426" s="11" t="s">
        <v>3916</v>
      </c>
      <c r="F1426" s="4" t="s">
        <v>1528</v>
      </c>
      <c r="H1426" s="6"/>
    </row>
    <row r="1427" spans="1:8" x14ac:dyDescent="0.2">
      <c r="A1427" s="14" t="s">
        <v>2595</v>
      </c>
      <c r="B1427" s="14" t="s">
        <v>3612</v>
      </c>
      <c r="C1427" s="14" t="s">
        <v>3465</v>
      </c>
      <c r="D1427" s="14" t="s">
        <v>1724</v>
      </c>
      <c r="E1427" s="11" t="s">
        <v>3916</v>
      </c>
      <c r="F1427" s="4" t="s">
        <v>1528</v>
      </c>
      <c r="H1427" s="6"/>
    </row>
    <row r="1428" spans="1:8" x14ac:dyDescent="0.2">
      <c r="A1428" s="14" t="s">
        <v>384</v>
      </c>
      <c r="B1428" s="14" t="s">
        <v>3612</v>
      </c>
      <c r="C1428" s="14" t="s">
        <v>3466</v>
      </c>
      <c r="D1428" s="14" t="s">
        <v>385</v>
      </c>
      <c r="E1428" s="11" t="s">
        <v>3917</v>
      </c>
      <c r="F1428" s="4" t="s">
        <v>1528</v>
      </c>
      <c r="H1428" s="6"/>
    </row>
    <row r="1429" spans="1:8" x14ac:dyDescent="0.2">
      <c r="A1429" s="14" t="s">
        <v>386</v>
      </c>
      <c r="B1429" s="14" t="s">
        <v>3612</v>
      </c>
      <c r="C1429" s="14" t="s">
        <v>3467</v>
      </c>
      <c r="D1429" s="14" t="s">
        <v>1725</v>
      </c>
      <c r="E1429" s="11" t="s">
        <v>3918</v>
      </c>
      <c r="F1429" s="4" t="s">
        <v>1528</v>
      </c>
      <c r="H1429" s="6"/>
    </row>
    <row r="1430" spans="1:8" x14ac:dyDescent="0.2">
      <c r="A1430" s="14" t="s">
        <v>387</v>
      </c>
      <c r="B1430" s="14" t="s">
        <v>3612</v>
      </c>
      <c r="C1430" s="14" t="s">
        <v>3468</v>
      </c>
      <c r="D1430" s="14" t="s">
        <v>1725</v>
      </c>
      <c r="E1430" s="11" t="s">
        <v>3918</v>
      </c>
      <c r="F1430" s="4" t="s">
        <v>1528</v>
      </c>
      <c r="H1430" s="6"/>
    </row>
    <row r="1431" spans="1:8" x14ac:dyDescent="0.2">
      <c r="A1431" s="14" t="s">
        <v>2596</v>
      </c>
      <c r="B1431" s="14" t="s">
        <v>3612</v>
      </c>
      <c r="C1431" s="14" t="s">
        <v>3469</v>
      </c>
      <c r="D1431" s="14" t="s">
        <v>1726</v>
      </c>
      <c r="E1431" s="11" t="s">
        <v>3918</v>
      </c>
      <c r="F1431" s="4" t="s">
        <v>1528</v>
      </c>
      <c r="H1431" s="6"/>
    </row>
    <row r="1432" spans="1:8" x14ac:dyDescent="0.2">
      <c r="A1432" s="14" t="s">
        <v>388</v>
      </c>
      <c r="B1432" s="14" t="s">
        <v>4746</v>
      </c>
      <c r="C1432" s="14" t="s">
        <v>2853</v>
      </c>
      <c r="D1432" s="14" t="s">
        <v>1727</v>
      </c>
      <c r="E1432" s="11"/>
      <c r="F1432" s="4" t="s">
        <v>4753</v>
      </c>
      <c r="H1432" s="6"/>
    </row>
    <row r="1433" spans="1:8" x14ac:dyDescent="0.2">
      <c r="A1433" s="14" t="s">
        <v>2597</v>
      </c>
      <c r="B1433" s="14" t="s">
        <v>4746</v>
      </c>
      <c r="C1433" s="14" t="s">
        <v>2853</v>
      </c>
      <c r="D1433" s="14" t="s">
        <v>1728</v>
      </c>
      <c r="E1433" s="11"/>
      <c r="F1433" s="4" t="s">
        <v>4753</v>
      </c>
      <c r="H1433" s="6"/>
    </row>
    <row r="1434" spans="1:8" x14ac:dyDescent="0.2">
      <c r="A1434" s="14" t="s">
        <v>583</v>
      </c>
      <c r="B1434" s="14" t="s">
        <v>2852</v>
      </c>
      <c r="C1434" s="14" t="s">
        <v>2852</v>
      </c>
      <c r="D1434" s="14" t="s">
        <v>85</v>
      </c>
      <c r="E1434" s="11"/>
      <c r="F1434" s="4" t="s">
        <v>4753</v>
      </c>
    </row>
    <row r="1435" spans="1:8" x14ac:dyDescent="0.2">
      <c r="A1435" s="14" t="s">
        <v>389</v>
      </c>
      <c r="B1435" s="14" t="s">
        <v>3612</v>
      </c>
      <c r="C1435" s="14" t="s">
        <v>3373</v>
      </c>
      <c r="D1435" s="14" t="s">
        <v>390</v>
      </c>
      <c r="E1435" s="11" t="s">
        <v>3873</v>
      </c>
      <c r="F1435" s="4" t="s">
        <v>1528</v>
      </c>
      <c r="H1435" s="6"/>
    </row>
    <row r="1436" spans="1:8" x14ac:dyDescent="0.2">
      <c r="A1436" s="14" t="s">
        <v>2598</v>
      </c>
      <c r="B1436" s="14" t="s">
        <v>3612</v>
      </c>
      <c r="C1436" s="14" t="s">
        <v>3470</v>
      </c>
      <c r="D1436" s="14" t="s">
        <v>1729</v>
      </c>
      <c r="E1436" s="11" t="s">
        <v>3873</v>
      </c>
      <c r="F1436" s="4" t="s">
        <v>1528</v>
      </c>
      <c r="H1436" s="6"/>
    </row>
    <row r="1437" spans="1:8" x14ac:dyDescent="0.2">
      <c r="A1437" s="14" t="s">
        <v>2599</v>
      </c>
      <c r="B1437" s="14" t="s">
        <v>3609</v>
      </c>
      <c r="C1437" s="14" t="s">
        <v>2850</v>
      </c>
      <c r="D1437" s="14" t="s">
        <v>1730</v>
      </c>
      <c r="E1437" s="11"/>
      <c r="F1437" s="4" t="s">
        <v>4753</v>
      </c>
      <c r="H1437" s="6"/>
    </row>
    <row r="1438" spans="1:8" x14ac:dyDescent="0.2">
      <c r="A1438" s="14" t="s">
        <v>391</v>
      </c>
      <c r="B1438" s="14" t="s">
        <v>3612</v>
      </c>
      <c r="C1438" s="14" t="s">
        <v>3471</v>
      </c>
      <c r="D1438" s="14" t="s">
        <v>392</v>
      </c>
      <c r="E1438" s="11" t="s">
        <v>3919</v>
      </c>
      <c r="F1438" s="4" t="s">
        <v>1528</v>
      </c>
      <c r="H1438" s="6"/>
    </row>
    <row r="1439" spans="1:8" x14ac:dyDescent="0.2">
      <c r="A1439" s="14" t="s">
        <v>393</v>
      </c>
      <c r="B1439" s="14" t="s">
        <v>3612</v>
      </c>
      <c r="C1439" s="14" t="s">
        <v>3472</v>
      </c>
      <c r="D1439" s="14" t="s">
        <v>1731</v>
      </c>
      <c r="E1439" s="11" t="s">
        <v>3919</v>
      </c>
      <c r="F1439" s="4" t="s">
        <v>1528</v>
      </c>
      <c r="H1439" s="6"/>
    </row>
    <row r="1440" spans="1:8" x14ac:dyDescent="0.2">
      <c r="A1440" s="14" t="s">
        <v>2600</v>
      </c>
      <c r="B1440" s="14" t="s">
        <v>3609</v>
      </c>
      <c r="C1440" s="14" t="s">
        <v>2850</v>
      </c>
      <c r="D1440" s="14" t="s">
        <v>1732</v>
      </c>
      <c r="E1440" s="11"/>
      <c r="F1440" s="4" t="s">
        <v>4753</v>
      </c>
      <c r="H1440" s="6"/>
    </row>
    <row r="1441" spans="1:8" x14ac:dyDescent="0.2">
      <c r="A1441" s="14" t="s">
        <v>394</v>
      </c>
      <c r="B1441" s="14" t="s">
        <v>3612</v>
      </c>
      <c r="C1441" s="14" t="s">
        <v>3473</v>
      </c>
      <c r="D1441" s="14" t="s">
        <v>395</v>
      </c>
      <c r="E1441" s="11" t="s">
        <v>3920</v>
      </c>
      <c r="F1441" s="4" t="s">
        <v>1528</v>
      </c>
      <c r="H1441" s="6"/>
    </row>
    <row r="1442" spans="1:8" x14ac:dyDescent="0.2">
      <c r="A1442" s="14" t="s">
        <v>396</v>
      </c>
      <c r="B1442" s="14" t="s">
        <v>3612</v>
      </c>
      <c r="C1442" s="14" t="s">
        <v>3474</v>
      </c>
      <c r="D1442" s="14" t="s">
        <v>1733</v>
      </c>
      <c r="E1442" s="11" t="s">
        <v>3921</v>
      </c>
      <c r="F1442" s="4" t="s">
        <v>1528</v>
      </c>
      <c r="H1442" s="6"/>
    </row>
    <row r="1443" spans="1:8" x14ac:dyDescent="0.2">
      <c r="A1443" s="14" t="s">
        <v>397</v>
      </c>
      <c r="B1443" s="14" t="s">
        <v>3612</v>
      </c>
      <c r="C1443" s="14" t="s">
        <v>3475</v>
      </c>
      <c r="D1443" s="14" t="s">
        <v>398</v>
      </c>
      <c r="E1443" s="11" t="s">
        <v>3922</v>
      </c>
      <c r="F1443" s="4" t="s">
        <v>1528</v>
      </c>
      <c r="H1443" s="6"/>
    </row>
    <row r="1444" spans="1:8" x14ac:dyDescent="0.2">
      <c r="A1444" s="14" t="s">
        <v>2601</v>
      </c>
      <c r="B1444" s="14" t="s">
        <v>3612</v>
      </c>
      <c r="C1444" s="14" t="s">
        <v>3476</v>
      </c>
      <c r="D1444" s="14" t="s">
        <v>1734</v>
      </c>
      <c r="E1444" s="11" t="s">
        <v>3922</v>
      </c>
      <c r="F1444" s="4" t="s">
        <v>1528</v>
      </c>
      <c r="H1444" s="6"/>
    </row>
    <row r="1445" spans="1:8" x14ac:dyDescent="0.2">
      <c r="A1445" s="14" t="s">
        <v>399</v>
      </c>
      <c r="B1445" s="14" t="s">
        <v>3612</v>
      </c>
      <c r="C1445" s="14" t="s">
        <v>3477</v>
      </c>
      <c r="D1445" s="14" t="s">
        <v>400</v>
      </c>
      <c r="E1445" s="11" t="s">
        <v>3923</v>
      </c>
      <c r="F1445" s="4" t="s">
        <v>1528</v>
      </c>
      <c r="H1445" s="6"/>
    </row>
    <row r="1446" spans="1:8" x14ac:dyDescent="0.2">
      <c r="A1446" s="14" t="s">
        <v>2602</v>
      </c>
      <c r="B1446" s="14" t="s">
        <v>3612</v>
      </c>
      <c r="C1446" s="14" t="s">
        <v>3478</v>
      </c>
      <c r="D1446" s="14" t="s">
        <v>1735</v>
      </c>
      <c r="E1446" s="11" t="s">
        <v>3923</v>
      </c>
      <c r="F1446" s="4" t="s">
        <v>1528</v>
      </c>
      <c r="H1446" s="6"/>
    </row>
    <row r="1447" spans="1:8" x14ac:dyDescent="0.2">
      <c r="A1447" s="14" t="s">
        <v>401</v>
      </c>
      <c r="B1447" s="14" t="s">
        <v>3612</v>
      </c>
      <c r="C1447" s="14" t="s">
        <v>3479</v>
      </c>
      <c r="D1447" s="14" t="s">
        <v>402</v>
      </c>
      <c r="E1447" s="11" t="s">
        <v>3924</v>
      </c>
      <c r="F1447" s="4" t="s">
        <v>1528</v>
      </c>
      <c r="H1447" s="6"/>
    </row>
    <row r="1448" spans="1:8" x14ac:dyDescent="0.2">
      <c r="A1448" s="14" t="s">
        <v>2603</v>
      </c>
      <c r="B1448" s="14" t="s">
        <v>3612</v>
      </c>
      <c r="C1448" s="14" t="s">
        <v>3480</v>
      </c>
      <c r="D1448" s="14" t="s">
        <v>402</v>
      </c>
      <c r="E1448" s="11" t="s">
        <v>3924</v>
      </c>
      <c r="F1448" s="4" t="s">
        <v>1528</v>
      </c>
      <c r="H1448" s="6"/>
    </row>
    <row r="1449" spans="1:8" x14ac:dyDescent="0.2">
      <c r="A1449" s="14" t="s">
        <v>403</v>
      </c>
      <c r="B1449" s="14" t="s">
        <v>3612</v>
      </c>
      <c r="C1449" s="14" t="s">
        <v>3475</v>
      </c>
      <c r="D1449" s="14" t="s">
        <v>1736</v>
      </c>
      <c r="E1449" s="11" t="s">
        <v>3922</v>
      </c>
      <c r="F1449" s="4" t="s">
        <v>1528</v>
      </c>
      <c r="H1449" s="6"/>
    </row>
    <row r="1450" spans="1:8" x14ac:dyDescent="0.2">
      <c r="A1450" s="14" t="s">
        <v>2604</v>
      </c>
      <c r="B1450" s="14" t="s">
        <v>3612</v>
      </c>
      <c r="C1450" s="14" t="s">
        <v>3476</v>
      </c>
      <c r="D1450" s="14" t="s">
        <v>1737</v>
      </c>
      <c r="E1450" s="11" t="s">
        <v>3922</v>
      </c>
      <c r="F1450" s="4" t="s">
        <v>1528</v>
      </c>
      <c r="H1450" s="6"/>
    </row>
    <row r="1451" spans="1:8" x14ac:dyDescent="0.2">
      <c r="A1451" s="14" t="s">
        <v>404</v>
      </c>
      <c r="B1451" s="14" t="s">
        <v>3612</v>
      </c>
      <c r="C1451" s="14" t="s">
        <v>3477</v>
      </c>
      <c r="D1451" s="14" t="s">
        <v>1738</v>
      </c>
      <c r="E1451" s="11" t="s">
        <v>3923</v>
      </c>
      <c r="F1451" s="4" t="s">
        <v>1528</v>
      </c>
      <c r="H1451" s="6"/>
    </row>
    <row r="1452" spans="1:8" x14ac:dyDescent="0.2">
      <c r="A1452" s="14" t="s">
        <v>2605</v>
      </c>
      <c r="B1452" s="14" t="s">
        <v>3612</v>
      </c>
      <c r="C1452" s="14" t="s">
        <v>3478</v>
      </c>
      <c r="D1452" s="14" t="s">
        <v>1738</v>
      </c>
      <c r="E1452" s="11" t="s">
        <v>3923</v>
      </c>
      <c r="F1452" s="4" t="s">
        <v>1528</v>
      </c>
      <c r="H1452" s="6"/>
    </row>
    <row r="1453" spans="1:8" x14ac:dyDescent="0.2">
      <c r="A1453" s="14" t="s">
        <v>405</v>
      </c>
      <c r="B1453" s="14" t="s">
        <v>4746</v>
      </c>
      <c r="C1453" s="14" t="s">
        <v>2853</v>
      </c>
      <c r="D1453" s="14" t="s">
        <v>1739</v>
      </c>
      <c r="E1453" s="11"/>
      <c r="F1453" s="4" t="s">
        <v>4753</v>
      </c>
      <c r="H1453" s="6"/>
    </row>
    <row r="1454" spans="1:8" x14ac:dyDescent="0.2">
      <c r="A1454" s="14" t="s">
        <v>2606</v>
      </c>
      <c r="B1454" s="14" t="s">
        <v>4746</v>
      </c>
      <c r="C1454" s="14" t="s">
        <v>2853</v>
      </c>
      <c r="D1454" s="14" t="s">
        <v>1740</v>
      </c>
      <c r="E1454" s="11"/>
      <c r="F1454" s="4" t="s">
        <v>4753</v>
      </c>
      <c r="H1454" s="6"/>
    </row>
    <row r="1455" spans="1:8" x14ac:dyDescent="0.2">
      <c r="A1455" s="14" t="s">
        <v>406</v>
      </c>
      <c r="B1455" s="14" t="s">
        <v>3612</v>
      </c>
      <c r="C1455" s="14" t="s">
        <v>2488</v>
      </c>
      <c r="D1455" s="14" t="s">
        <v>407</v>
      </c>
      <c r="E1455" s="11" t="s">
        <v>4718</v>
      </c>
      <c r="F1455" s="4" t="s">
        <v>1528</v>
      </c>
      <c r="H1455" s="6"/>
    </row>
    <row r="1456" spans="1:8" x14ac:dyDescent="0.2">
      <c r="A1456" s="14" t="s">
        <v>2607</v>
      </c>
      <c r="B1456" s="14" t="s">
        <v>3612</v>
      </c>
      <c r="C1456" s="14" t="s">
        <v>2489</v>
      </c>
      <c r="D1456" s="14" t="s">
        <v>1741</v>
      </c>
      <c r="E1456" s="11" t="s">
        <v>4718</v>
      </c>
      <c r="F1456" s="4" t="s">
        <v>1528</v>
      </c>
      <c r="H1456" s="6"/>
    </row>
    <row r="1457" spans="1:8" x14ac:dyDescent="0.2">
      <c r="A1457" s="14" t="s">
        <v>408</v>
      </c>
      <c r="B1457" s="14" t="s">
        <v>3612</v>
      </c>
      <c r="C1457" s="14" t="s">
        <v>3481</v>
      </c>
      <c r="D1457" s="14" t="s">
        <v>1742</v>
      </c>
      <c r="E1457" s="11" t="s">
        <v>3925</v>
      </c>
      <c r="F1457" s="4" t="s">
        <v>1528</v>
      </c>
      <c r="H1457" s="6"/>
    </row>
    <row r="1458" spans="1:8" x14ac:dyDescent="0.2">
      <c r="A1458" s="14" t="s">
        <v>409</v>
      </c>
      <c r="B1458" s="14" t="s">
        <v>4746</v>
      </c>
      <c r="C1458" s="14" t="s">
        <v>2853</v>
      </c>
      <c r="D1458" s="14" t="s">
        <v>1743</v>
      </c>
      <c r="E1458" s="11"/>
      <c r="F1458" s="4" t="s">
        <v>4753</v>
      </c>
      <c r="H1458" s="6"/>
    </row>
    <row r="1459" spans="1:8" x14ac:dyDescent="0.2">
      <c r="A1459" s="14" t="s">
        <v>410</v>
      </c>
      <c r="B1459" s="14" t="s">
        <v>4746</v>
      </c>
      <c r="C1459" s="14" t="s">
        <v>2853</v>
      </c>
      <c r="D1459" s="14" t="s">
        <v>1744</v>
      </c>
      <c r="E1459" s="11"/>
      <c r="F1459" s="4" t="s">
        <v>4753</v>
      </c>
      <c r="H1459" s="6"/>
    </row>
    <row r="1460" spans="1:8" x14ac:dyDescent="0.2">
      <c r="A1460" s="14" t="s">
        <v>2608</v>
      </c>
      <c r="B1460" s="14" t="s">
        <v>3612</v>
      </c>
      <c r="C1460" s="14" t="s">
        <v>3482</v>
      </c>
      <c r="D1460" s="14" t="s">
        <v>1745</v>
      </c>
      <c r="E1460" s="11" t="s">
        <v>3925</v>
      </c>
      <c r="F1460" s="4" t="s">
        <v>1528</v>
      </c>
      <c r="H1460" s="6"/>
    </row>
    <row r="1461" spans="1:8" x14ac:dyDescent="0.2">
      <c r="A1461" s="14" t="s">
        <v>411</v>
      </c>
      <c r="B1461" s="14" t="s">
        <v>3612</v>
      </c>
      <c r="C1461" s="14" t="s">
        <v>3483</v>
      </c>
      <c r="D1461" s="14" t="s">
        <v>1746</v>
      </c>
      <c r="E1461" s="11" t="s">
        <v>3925</v>
      </c>
      <c r="F1461" s="4" t="s">
        <v>1528</v>
      </c>
      <c r="H1461" s="6"/>
    </row>
    <row r="1462" spans="1:8" x14ac:dyDescent="0.2">
      <c r="A1462" s="14" t="s">
        <v>2609</v>
      </c>
      <c r="B1462" s="14" t="s">
        <v>3609</v>
      </c>
      <c r="C1462" s="14" t="s">
        <v>2850</v>
      </c>
      <c r="D1462" s="14" t="s">
        <v>1747</v>
      </c>
      <c r="E1462" s="11"/>
      <c r="F1462" s="4" t="s">
        <v>4753</v>
      </c>
      <c r="H1462" s="6"/>
    </row>
    <row r="1463" spans="1:8" x14ac:dyDescent="0.2">
      <c r="A1463" s="14" t="s">
        <v>412</v>
      </c>
      <c r="B1463" s="14" t="s">
        <v>3612</v>
      </c>
      <c r="C1463" s="14" t="s">
        <v>3484</v>
      </c>
      <c r="D1463" s="14" t="s">
        <v>1748</v>
      </c>
      <c r="E1463" s="11" t="s">
        <v>3926</v>
      </c>
      <c r="F1463" s="4" t="s">
        <v>1528</v>
      </c>
      <c r="H1463" s="6"/>
    </row>
    <row r="1464" spans="1:8" x14ac:dyDescent="0.2">
      <c r="A1464" s="14" t="s">
        <v>2610</v>
      </c>
      <c r="B1464" s="14" t="s">
        <v>3612</v>
      </c>
      <c r="C1464" s="14" t="s">
        <v>3485</v>
      </c>
      <c r="D1464" s="14" t="s">
        <v>1749</v>
      </c>
      <c r="E1464" s="11" t="s">
        <v>3926</v>
      </c>
      <c r="F1464" s="4" t="s">
        <v>1528</v>
      </c>
      <c r="H1464" s="6"/>
    </row>
    <row r="1465" spans="1:8" x14ac:dyDescent="0.2">
      <c r="A1465" s="14" t="s">
        <v>413</v>
      </c>
      <c r="B1465" s="14" t="s">
        <v>3612</v>
      </c>
      <c r="C1465" s="14" t="s">
        <v>3484</v>
      </c>
      <c r="D1465" s="14" t="s">
        <v>1750</v>
      </c>
      <c r="E1465" s="11" t="s">
        <v>3926</v>
      </c>
      <c r="F1465" s="4" t="s">
        <v>1528</v>
      </c>
      <c r="H1465" s="6"/>
    </row>
    <row r="1466" spans="1:8" x14ac:dyDescent="0.2">
      <c r="A1466" s="14" t="s">
        <v>2611</v>
      </c>
      <c r="B1466" s="14" t="s">
        <v>3612</v>
      </c>
      <c r="C1466" s="14" t="s">
        <v>3485</v>
      </c>
      <c r="D1466" s="14" t="s">
        <v>1751</v>
      </c>
      <c r="E1466" s="11" t="s">
        <v>3926</v>
      </c>
      <c r="F1466" s="4" t="s">
        <v>1528</v>
      </c>
      <c r="H1466" s="6"/>
    </row>
    <row r="1467" spans="1:8" x14ac:dyDescent="0.2">
      <c r="A1467" s="14" t="s">
        <v>414</v>
      </c>
      <c r="B1467" s="14" t="s">
        <v>3612</v>
      </c>
      <c r="C1467" s="14" t="s">
        <v>3486</v>
      </c>
      <c r="D1467" s="14" t="s">
        <v>415</v>
      </c>
      <c r="E1467" s="11" t="s">
        <v>3927</v>
      </c>
      <c r="F1467" s="4" t="s">
        <v>1528</v>
      </c>
      <c r="H1467" s="6"/>
    </row>
    <row r="1468" spans="1:8" x14ac:dyDescent="0.2">
      <c r="A1468" s="14" t="s">
        <v>416</v>
      </c>
      <c r="B1468" s="14" t="s">
        <v>3612</v>
      </c>
      <c r="C1468" s="14" t="s">
        <v>3487</v>
      </c>
      <c r="D1468" s="14" t="s">
        <v>417</v>
      </c>
      <c r="E1468" s="11" t="s">
        <v>3928</v>
      </c>
      <c r="F1468" s="4" t="s">
        <v>1528</v>
      </c>
      <c r="H1468" s="6"/>
    </row>
    <row r="1469" spans="1:8" x14ac:dyDescent="0.2">
      <c r="A1469" s="14" t="s">
        <v>2612</v>
      </c>
      <c r="B1469" s="14" t="s">
        <v>3612</v>
      </c>
      <c r="C1469" s="14" t="s">
        <v>3488</v>
      </c>
      <c r="D1469" s="14" t="s">
        <v>1752</v>
      </c>
      <c r="E1469" s="11" t="s">
        <v>3928</v>
      </c>
      <c r="F1469" s="4" t="s">
        <v>1528</v>
      </c>
      <c r="H1469" s="6"/>
    </row>
    <row r="1470" spans="1:8" x14ac:dyDescent="0.2">
      <c r="A1470" s="14" t="s">
        <v>418</v>
      </c>
      <c r="B1470" s="14" t="s">
        <v>4746</v>
      </c>
      <c r="C1470" s="14" t="s">
        <v>2853</v>
      </c>
      <c r="D1470" s="14" t="s">
        <v>1753</v>
      </c>
      <c r="E1470" s="11"/>
      <c r="F1470" s="4" t="s">
        <v>4753</v>
      </c>
      <c r="H1470" s="6"/>
    </row>
    <row r="1471" spans="1:8" x14ac:dyDescent="0.2">
      <c r="A1471" s="14" t="s">
        <v>419</v>
      </c>
      <c r="B1471" s="14" t="s">
        <v>4746</v>
      </c>
      <c r="C1471" s="14" t="s">
        <v>2853</v>
      </c>
      <c r="D1471" s="14" t="s">
        <v>1769</v>
      </c>
      <c r="E1471" s="11"/>
      <c r="F1471" s="4" t="s">
        <v>4753</v>
      </c>
      <c r="H1471" s="6"/>
    </row>
    <row r="1472" spans="1:8" x14ac:dyDescent="0.2">
      <c r="A1472" s="14" t="s">
        <v>420</v>
      </c>
      <c r="B1472" s="14" t="s">
        <v>4746</v>
      </c>
      <c r="C1472" s="14" t="s">
        <v>2853</v>
      </c>
      <c r="D1472" s="14" t="s">
        <v>421</v>
      </c>
      <c r="E1472" s="11"/>
      <c r="F1472" s="4" t="s">
        <v>4753</v>
      </c>
      <c r="H1472" s="6"/>
    </row>
    <row r="1473" spans="1:8" x14ac:dyDescent="0.2">
      <c r="A1473" s="14" t="s">
        <v>422</v>
      </c>
      <c r="B1473" s="14" t="s">
        <v>4746</v>
      </c>
      <c r="C1473" s="14" t="s">
        <v>2853</v>
      </c>
      <c r="D1473" s="14" t="s">
        <v>1770</v>
      </c>
      <c r="E1473" s="11"/>
      <c r="F1473" s="4" t="s">
        <v>4753</v>
      </c>
      <c r="H1473" s="6"/>
    </row>
    <row r="1474" spans="1:8" x14ac:dyDescent="0.2">
      <c r="A1474" s="14" t="s">
        <v>2624</v>
      </c>
      <c r="B1474" s="14" t="s">
        <v>3609</v>
      </c>
      <c r="C1474" s="14" t="s">
        <v>2850</v>
      </c>
      <c r="D1474" s="14" t="s">
        <v>1771</v>
      </c>
      <c r="E1474" s="11"/>
      <c r="F1474" s="4" t="s">
        <v>4753</v>
      </c>
      <c r="H1474" s="6"/>
    </row>
    <row r="1475" spans="1:8" x14ac:dyDescent="0.2">
      <c r="A1475" s="14" t="s">
        <v>423</v>
      </c>
      <c r="B1475" s="14" t="s">
        <v>4746</v>
      </c>
      <c r="C1475" s="14" t="s">
        <v>2853</v>
      </c>
      <c r="D1475" s="14" t="s">
        <v>424</v>
      </c>
      <c r="E1475" s="11"/>
      <c r="F1475" s="4" t="s">
        <v>4753</v>
      </c>
      <c r="H1475" s="6"/>
    </row>
    <row r="1476" spans="1:8" x14ac:dyDescent="0.2">
      <c r="A1476" s="14" t="s">
        <v>2625</v>
      </c>
      <c r="B1476" s="14" t="s">
        <v>3609</v>
      </c>
      <c r="C1476" s="14" t="s">
        <v>2850</v>
      </c>
      <c r="D1476" s="14" t="s">
        <v>1772</v>
      </c>
      <c r="E1476" s="11"/>
      <c r="F1476" s="4" t="s">
        <v>4753</v>
      </c>
      <c r="H1476" s="6"/>
    </row>
    <row r="1477" spans="1:8" x14ac:dyDescent="0.2">
      <c r="A1477" s="14" t="s">
        <v>425</v>
      </c>
      <c r="B1477" s="14" t="s">
        <v>4746</v>
      </c>
      <c r="C1477" s="14" t="s">
        <v>2853</v>
      </c>
      <c r="D1477" s="14" t="s">
        <v>426</v>
      </c>
      <c r="E1477" s="11"/>
      <c r="F1477" s="4" t="s">
        <v>4753</v>
      </c>
      <c r="H1477" s="6"/>
    </row>
    <row r="1478" spans="1:8" x14ac:dyDescent="0.2">
      <c r="A1478" s="14" t="s">
        <v>427</v>
      </c>
      <c r="B1478" s="14" t="s">
        <v>4746</v>
      </c>
      <c r="C1478" s="14" t="s">
        <v>2853</v>
      </c>
      <c r="D1478" s="14" t="s">
        <v>428</v>
      </c>
      <c r="E1478" s="11"/>
      <c r="F1478" s="4" t="s">
        <v>4753</v>
      </c>
      <c r="H1478" s="6"/>
    </row>
    <row r="1479" spans="1:8" x14ac:dyDescent="0.2">
      <c r="A1479" s="14" t="s">
        <v>429</v>
      </c>
      <c r="B1479" s="14" t="s">
        <v>4746</v>
      </c>
      <c r="C1479" s="14" t="s">
        <v>2853</v>
      </c>
      <c r="D1479" s="14" t="s">
        <v>430</v>
      </c>
      <c r="E1479" s="11"/>
      <c r="F1479" s="4" t="s">
        <v>4753</v>
      </c>
      <c r="H1479" s="6"/>
    </row>
    <row r="1480" spans="1:8" x14ac:dyDescent="0.2">
      <c r="A1480" s="14" t="s">
        <v>431</v>
      </c>
      <c r="B1480" s="14" t="s">
        <v>4746</v>
      </c>
      <c r="C1480" s="14" t="s">
        <v>2853</v>
      </c>
      <c r="D1480" s="14" t="s">
        <v>432</v>
      </c>
      <c r="E1480" s="11"/>
      <c r="F1480" s="4" t="s">
        <v>4753</v>
      </c>
      <c r="H1480" s="6"/>
    </row>
    <row r="1481" spans="1:8" x14ac:dyDescent="0.2">
      <c r="A1481" s="14" t="s">
        <v>433</v>
      </c>
      <c r="B1481" s="14" t="s">
        <v>3613</v>
      </c>
      <c r="C1481" s="14" t="s">
        <v>433</v>
      </c>
      <c r="D1481" s="14" t="s">
        <v>1010</v>
      </c>
      <c r="E1481" s="11" t="s">
        <v>1010</v>
      </c>
      <c r="F1481" s="4" t="s">
        <v>1588</v>
      </c>
      <c r="H1481" s="6"/>
    </row>
    <row r="1482" spans="1:8" x14ac:dyDescent="0.2">
      <c r="A1482" s="14" t="s">
        <v>2626</v>
      </c>
      <c r="B1482" s="14" t="s">
        <v>3609</v>
      </c>
      <c r="C1482" s="14" t="s">
        <v>2850</v>
      </c>
      <c r="D1482" s="14" t="s">
        <v>1773</v>
      </c>
      <c r="E1482" s="11"/>
      <c r="F1482" s="4" t="s">
        <v>4753</v>
      </c>
      <c r="H1482" s="6"/>
    </row>
    <row r="1483" spans="1:8" x14ac:dyDescent="0.2">
      <c r="A1483" s="14" t="s">
        <v>1011</v>
      </c>
      <c r="B1483" s="14" t="s">
        <v>3613</v>
      </c>
      <c r="C1483" s="14" t="s">
        <v>1011</v>
      </c>
      <c r="D1483" s="14" t="s">
        <v>1012</v>
      </c>
      <c r="E1483" s="11" t="s">
        <v>1012</v>
      </c>
      <c r="F1483" s="4" t="s">
        <v>1588</v>
      </c>
      <c r="H1483" s="6"/>
    </row>
    <row r="1484" spans="1:8" x14ac:dyDescent="0.2">
      <c r="A1484" s="14" t="s">
        <v>1013</v>
      </c>
      <c r="B1484" s="14" t="s">
        <v>3613</v>
      </c>
      <c r="C1484" s="14" t="s">
        <v>1013</v>
      </c>
      <c r="D1484" s="14" t="s">
        <v>1014</v>
      </c>
      <c r="E1484" s="11" t="s">
        <v>1014</v>
      </c>
      <c r="F1484" s="4" t="s">
        <v>1588</v>
      </c>
      <c r="H1484" s="6"/>
    </row>
    <row r="1485" spans="1:8" x14ac:dyDescent="0.2">
      <c r="A1485" s="14" t="s">
        <v>1015</v>
      </c>
      <c r="B1485" s="14" t="s">
        <v>3613</v>
      </c>
      <c r="C1485" s="14" t="s">
        <v>1015</v>
      </c>
      <c r="D1485" s="14" t="s">
        <v>1016</v>
      </c>
      <c r="E1485" s="11" t="s">
        <v>1016</v>
      </c>
      <c r="F1485" s="4" t="s">
        <v>1588</v>
      </c>
      <c r="H1485" s="6"/>
    </row>
    <row r="1486" spans="1:8" x14ac:dyDescent="0.2">
      <c r="A1486" s="14" t="s">
        <v>2627</v>
      </c>
      <c r="B1486" s="14" t="s">
        <v>4746</v>
      </c>
      <c r="C1486" s="14" t="s">
        <v>2853</v>
      </c>
      <c r="D1486" s="14" t="s">
        <v>1774</v>
      </c>
      <c r="E1486" s="11" t="s">
        <v>1774</v>
      </c>
      <c r="F1486" s="4" t="s">
        <v>1588</v>
      </c>
      <c r="H1486" s="6"/>
    </row>
    <row r="1487" spans="1:8" x14ac:dyDescent="0.2">
      <c r="A1487" s="14" t="s">
        <v>1017</v>
      </c>
      <c r="B1487" s="14" t="s">
        <v>3613</v>
      </c>
      <c r="C1487" s="14" t="s">
        <v>1017</v>
      </c>
      <c r="D1487" s="14" t="s">
        <v>1775</v>
      </c>
      <c r="E1487" s="11" t="s">
        <v>1775</v>
      </c>
      <c r="F1487" s="4" t="s">
        <v>1588</v>
      </c>
      <c r="H1487" s="6"/>
    </row>
    <row r="1488" spans="1:8" x14ac:dyDescent="0.2">
      <c r="A1488" s="14" t="s">
        <v>1018</v>
      </c>
      <c r="B1488" s="14" t="s">
        <v>3613</v>
      </c>
      <c r="C1488" s="14" t="s">
        <v>1018</v>
      </c>
      <c r="D1488" s="14" t="s">
        <v>1019</v>
      </c>
      <c r="E1488" s="11" t="s">
        <v>1019</v>
      </c>
      <c r="F1488" s="4" t="s">
        <v>1588</v>
      </c>
      <c r="H1488" s="6"/>
    </row>
    <row r="1489" spans="1:8" x14ac:dyDescent="0.2">
      <c r="A1489" s="14" t="s">
        <v>2808</v>
      </c>
      <c r="B1489" s="14" t="s">
        <v>3613</v>
      </c>
      <c r="C1489" s="14" t="s">
        <v>2808</v>
      </c>
      <c r="D1489" s="14" t="s">
        <v>3576</v>
      </c>
      <c r="E1489" s="11" t="s">
        <v>3576</v>
      </c>
      <c r="F1489" s="4" t="s">
        <v>1589</v>
      </c>
      <c r="H1489" s="6"/>
    </row>
    <row r="1490" spans="1:8" x14ac:dyDescent="0.2">
      <c r="A1490" s="14" t="s">
        <v>2809</v>
      </c>
      <c r="B1490" s="14" t="s">
        <v>3613</v>
      </c>
      <c r="C1490" s="14" t="s">
        <v>2809</v>
      </c>
      <c r="D1490" s="14" t="s">
        <v>3577</v>
      </c>
      <c r="E1490" s="11" t="s">
        <v>3577</v>
      </c>
      <c r="F1490" s="4" t="s">
        <v>1589</v>
      </c>
      <c r="H1490" s="6"/>
    </row>
    <row r="1491" spans="1:8" x14ac:dyDescent="0.2">
      <c r="A1491" s="14" t="s">
        <v>2845</v>
      </c>
      <c r="B1491" s="14" t="s">
        <v>4746</v>
      </c>
      <c r="C1491" s="14" t="s">
        <v>2853</v>
      </c>
      <c r="D1491" s="14" t="s">
        <v>3606</v>
      </c>
      <c r="E1491" s="11"/>
      <c r="F1491" s="4" t="s">
        <v>1589</v>
      </c>
      <c r="H1491" s="6"/>
    </row>
    <row r="1492" spans="1:8" x14ac:dyDescent="0.2">
      <c r="A1492" s="14" t="s">
        <v>2846</v>
      </c>
      <c r="B1492" s="14" t="s">
        <v>4746</v>
      </c>
      <c r="C1492" s="14" t="s">
        <v>2853</v>
      </c>
      <c r="D1492" s="14" t="s">
        <v>3607</v>
      </c>
      <c r="E1492" s="11"/>
      <c r="F1492" s="4" t="s">
        <v>1589</v>
      </c>
      <c r="H1492" s="6"/>
    </row>
    <row r="1493" spans="1:8" x14ac:dyDescent="0.2">
      <c r="A1493" s="14" t="s">
        <v>2847</v>
      </c>
      <c r="B1493" s="14" t="s">
        <v>4746</v>
      </c>
      <c r="C1493" s="14" t="s">
        <v>2853</v>
      </c>
      <c r="D1493" s="14" t="s">
        <v>3608</v>
      </c>
      <c r="E1493" s="11"/>
      <c r="F1493" s="4" t="s">
        <v>1589</v>
      </c>
      <c r="H1493" s="6"/>
    </row>
    <row r="1494" spans="1:8" x14ac:dyDescent="0.2">
      <c r="A1494" s="14" t="s">
        <v>2810</v>
      </c>
      <c r="B1494" s="14" t="s">
        <v>3613</v>
      </c>
      <c r="C1494" s="14" t="s">
        <v>2810</v>
      </c>
      <c r="D1494" s="14" t="s">
        <v>3578</v>
      </c>
      <c r="E1494" s="11" t="s">
        <v>3578</v>
      </c>
      <c r="F1494" s="4" t="s">
        <v>1589</v>
      </c>
      <c r="H1494" s="6"/>
    </row>
    <row r="1495" spans="1:8" x14ac:dyDescent="0.2">
      <c r="A1495" s="14" t="s">
        <v>2811</v>
      </c>
      <c r="B1495" s="14" t="s">
        <v>3613</v>
      </c>
      <c r="C1495" s="14" t="s">
        <v>2811</v>
      </c>
      <c r="D1495" s="14" t="s">
        <v>3579</v>
      </c>
      <c r="E1495" s="11" t="s">
        <v>3579</v>
      </c>
      <c r="F1495" s="4" t="s">
        <v>1589</v>
      </c>
      <c r="H1495" s="6"/>
    </row>
    <row r="1496" spans="1:8" x14ac:dyDescent="0.2">
      <c r="A1496" s="14" t="s">
        <v>2812</v>
      </c>
      <c r="B1496" s="14" t="s">
        <v>3613</v>
      </c>
      <c r="C1496" s="14" t="s">
        <v>2812</v>
      </c>
      <c r="D1496" s="14" t="s">
        <v>3580</v>
      </c>
      <c r="E1496" s="11" t="s">
        <v>3580</v>
      </c>
      <c r="F1496" s="4" t="s">
        <v>1589</v>
      </c>
      <c r="H1496" s="6"/>
    </row>
    <row r="1497" spans="1:8" x14ac:dyDescent="0.2">
      <c r="A1497" s="14" t="s">
        <v>2813</v>
      </c>
      <c r="B1497" s="14" t="s">
        <v>3613</v>
      </c>
      <c r="C1497" s="14" t="s">
        <v>2813</v>
      </c>
      <c r="D1497" s="14" t="s">
        <v>3581</v>
      </c>
      <c r="E1497" s="11" t="s">
        <v>3581</v>
      </c>
      <c r="F1497" s="4" t="s">
        <v>1589</v>
      </c>
      <c r="H1497" s="6"/>
    </row>
    <row r="1498" spans="1:8" x14ac:dyDescent="0.2">
      <c r="A1498" s="14" t="s">
        <v>2814</v>
      </c>
      <c r="B1498" s="14" t="s">
        <v>3613</v>
      </c>
      <c r="C1498" s="14" t="s">
        <v>2814</v>
      </c>
      <c r="D1498" s="14" t="s">
        <v>3582</v>
      </c>
      <c r="E1498" s="11" t="s">
        <v>3582</v>
      </c>
      <c r="F1498" s="4" t="s">
        <v>1589</v>
      </c>
      <c r="H1498" s="6"/>
    </row>
    <row r="1499" spans="1:8" x14ac:dyDescent="0.2">
      <c r="A1499" s="14" t="s">
        <v>2815</v>
      </c>
      <c r="B1499" s="14" t="s">
        <v>3613</v>
      </c>
      <c r="C1499" s="14" t="s">
        <v>2815</v>
      </c>
      <c r="D1499" s="14" t="s">
        <v>3583</v>
      </c>
      <c r="E1499" s="11" t="s">
        <v>3583</v>
      </c>
      <c r="F1499" s="4" t="s">
        <v>1589</v>
      </c>
      <c r="H1499" s="6"/>
    </row>
    <row r="1500" spans="1:8" x14ac:dyDescent="0.2">
      <c r="A1500" s="14" t="s">
        <v>2816</v>
      </c>
      <c r="B1500" s="14" t="s">
        <v>3613</v>
      </c>
      <c r="C1500" s="14" t="s">
        <v>2816</v>
      </c>
      <c r="D1500" s="14" t="s">
        <v>3580</v>
      </c>
      <c r="E1500" s="11" t="s">
        <v>3580</v>
      </c>
      <c r="F1500" s="4" t="s">
        <v>1589</v>
      </c>
      <c r="H1500" s="6"/>
    </row>
    <row r="1501" spans="1:8" x14ac:dyDescent="0.2">
      <c r="A1501" s="14" t="s">
        <v>2817</v>
      </c>
      <c r="B1501" s="14" t="s">
        <v>3613</v>
      </c>
      <c r="C1501" s="14" t="s">
        <v>2817</v>
      </c>
      <c r="D1501" s="14" t="s">
        <v>3581</v>
      </c>
      <c r="E1501" s="11" t="s">
        <v>3581</v>
      </c>
      <c r="F1501" s="4" t="s">
        <v>1589</v>
      </c>
      <c r="H1501" s="6"/>
    </row>
    <row r="1502" spans="1:8" x14ac:dyDescent="0.2">
      <c r="A1502" s="14" t="s">
        <v>2818</v>
      </c>
      <c r="B1502" s="14" t="s">
        <v>3613</v>
      </c>
      <c r="C1502" s="14" t="s">
        <v>2818</v>
      </c>
      <c r="D1502" s="14" t="s">
        <v>3582</v>
      </c>
      <c r="E1502" s="11" t="s">
        <v>3582</v>
      </c>
      <c r="F1502" s="4" t="s">
        <v>1589</v>
      </c>
      <c r="H1502" s="6"/>
    </row>
    <row r="1503" spans="1:8" x14ac:dyDescent="0.2">
      <c r="A1503" s="14" t="s">
        <v>2819</v>
      </c>
      <c r="B1503" s="14" t="s">
        <v>3613</v>
      </c>
      <c r="C1503" s="14" t="s">
        <v>2819</v>
      </c>
      <c r="D1503" s="14" t="s">
        <v>3583</v>
      </c>
      <c r="E1503" s="11" t="s">
        <v>3583</v>
      </c>
      <c r="F1503" s="4" t="s">
        <v>1589</v>
      </c>
      <c r="H1503" s="6"/>
    </row>
    <row r="1504" spans="1:8" x14ac:dyDescent="0.2">
      <c r="A1504" s="14" t="s">
        <v>2820</v>
      </c>
      <c r="B1504" s="14" t="s">
        <v>3613</v>
      </c>
      <c r="C1504" s="14" t="s">
        <v>2820</v>
      </c>
      <c r="D1504" s="14" t="s">
        <v>3584</v>
      </c>
      <c r="E1504" s="14" t="s">
        <v>3584</v>
      </c>
      <c r="F1504" s="4" t="s">
        <v>1589</v>
      </c>
      <c r="H1504" s="6"/>
    </row>
    <row r="1505" spans="1:8" x14ac:dyDescent="0.2">
      <c r="A1505" s="14" t="s">
        <v>2829</v>
      </c>
      <c r="B1505" s="14" t="s">
        <v>3613</v>
      </c>
      <c r="C1505" s="14" t="s">
        <v>2829</v>
      </c>
      <c r="D1505" s="14" t="s">
        <v>3592</v>
      </c>
      <c r="E1505" s="11" t="s">
        <v>3592</v>
      </c>
      <c r="F1505" s="4" t="s">
        <v>1589</v>
      </c>
      <c r="H1505" s="6"/>
    </row>
    <row r="1506" spans="1:8" x14ac:dyDescent="0.2">
      <c r="A1506" s="14" t="s">
        <v>2830</v>
      </c>
      <c r="B1506" s="14" t="s">
        <v>3613</v>
      </c>
      <c r="C1506" s="14" t="s">
        <v>2830</v>
      </c>
      <c r="D1506" s="14" t="s">
        <v>3593</v>
      </c>
      <c r="E1506" s="11" t="s">
        <v>3593</v>
      </c>
      <c r="F1506" s="4" t="s">
        <v>1589</v>
      </c>
      <c r="H1506" s="6"/>
    </row>
    <row r="1507" spans="1:8" x14ac:dyDescent="0.2">
      <c r="A1507" s="14" t="s">
        <v>2831</v>
      </c>
      <c r="B1507" s="14" t="s">
        <v>3613</v>
      </c>
      <c r="C1507" s="14" t="s">
        <v>2831</v>
      </c>
      <c r="D1507" s="14" t="s">
        <v>3594</v>
      </c>
      <c r="E1507" s="11" t="s">
        <v>3594</v>
      </c>
      <c r="F1507" s="4" t="s">
        <v>1589</v>
      </c>
      <c r="H1507" s="6"/>
    </row>
    <row r="1508" spans="1:8" x14ac:dyDescent="0.2">
      <c r="A1508" s="14" t="s">
        <v>2832</v>
      </c>
      <c r="B1508" s="14" t="s">
        <v>3613</v>
      </c>
      <c r="C1508" s="14" t="s">
        <v>2832</v>
      </c>
      <c r="D1508" s="14" t="s">
        <v>3595</v>
      </c>
      <c r="E1508" s="11" t="s">
        <v>3595</v>
      </c>
      <c r="F1508" s="4" t="s">
        <v>1589</v>
      </c>
      <c r="H1508" s="6"/>
    </row>
    <row r="1509" spans="1:8" x14ac:dyDescent="0.2">
      <c r="A1509" s="14" t="s">
        <v>2833</v>
      </c>
      <c r="B1509" s="14" t="s">
        <v>3613</v>
      </c>
      <c r="C1509" s="14" t="s">
        <v>2833</v>
      </c>
      <c r="D1509" s="14" t="s">
        <v>3596</v>
      </c>
      <c r="E1509" s="11" t="s">
        <v>3596</v>
      </c>
      <c r="F1509" s="4" t="s">
        <v>1589</v>
      </c>
      <c r="H1509" s="6"/>
    </row>
    <row r="1510" spans="1:8" x14ac:dyDescent="0.2">
      <c r="A1510" s="14" t="s">
        <v>2834</v>
      </c>
      <c r="B1510" s="14" t="s">
        <v>3613</v>
      </c>
      <c r="C1510" s="14" t="s">
        <v>2834</v>
      </c>
      <c r="D1510" s="14" t="s">
        <v>3597</v>
      </c>
      <c r="E1510" s="11" t="s">
        <v>3597</v>
      </c>
      <c r="F1510" s="4" t="s">
        <v>1589</v>
      </c>
      <c r="H1510" s="6"/>
    </row>
    <row r="1511" spans="1:8" x14ac:dyDescent="0.2">
      <c r="A1511" s="14" t="s">
        <v>2835</v>
      </c>
      <c r="B1511" s="14" t="s">
        <v>3613</v>
      </c>
      <c r="C1511" s="14" t="s">
        <v>2835</v>
      </c>
      <c r="D1511" s="14" t="s">
        <v>3598</v>
      </c>
      <c r="E1511" s="11" t="s">
        <v>3598</v>
      </c>
      <c r="F1511" s="4" t="s">
        <v>1589</v>
      </c>
      <c r="H1511" s="6"/>
    </row>
    <row r="1512" spans="1:8" x14ac:dyDescent="0.2">
      <c r="A1512" s="14" t="s">
        <v>2836</v>
      </c>
      <c r="B1512" s="14" t="s">
        <v>3613</v>
      </c>
      <c r="C1512" s="14" t="s">
        <v>2836</v>
      </c>
      <c r="D1512" s="14" t="s">
        <v>3599</v>
      </c>
      <c r="E1512" s="11" t="s">
        <v>3599</v>
      </c>
      <c r="F1512" s="4" t="s">
        <v>1589</v>
      </c>
      <c r="H1512" s="6"/>
    </row>
    <row r="1513" spans="1:8" x14ac:dyDescent="0.2">
      <c r="A1513" s="14" t="s">
        <v>2837</v>
      </c>
      <c r="B1513" s="14" t="s">
        <v>3613</v>
      </c>
      <c r="C1513" s="14" t="s">
        <v>2837</v>
      </c>
      <c r="D1513" s="14" t="s">
        <v>3600</v>
      </c>
      <c r="E1513" s="11" t="s">
        <v>3600</v>
      </c>
      <c r="F1513" s="4" t="s">
        <v>1589</v>
      </c>
      <c r="H1513" s="6"/>
    </row>
    <row r="1514" spans="1:8" x14ac:dyDescent="0.2">
      <c r="A1514" s="14" t="s">
        <v>2838</v>
      </c>
      <c r="B1514" s="14" t="s">
        <v>3613</v>
      </c>
      <c r="C1514" s="14" t="s">
        <v>2838</v>
      </c>
      <c r="D1514" s="14" t="s">
        <v>3599</v>
      </c>
      <c r="E1514" s="11" t="s">
        <v>3599</v>
      </c>
      <c r="F1514" s="4" t="s">
        <v>1589</v>
      </c>
      <c r="H1514" s="6"/>
    </row>
    <row r="1515" spans="1:8" x14ac:dyDescent="0.2">
      <c r="A1515" s="14" t="s">
        <v>2839</v>
      </c>
      <c r="B1515" s="14" t="s">
        <v>3613</v>
      </c>
      <c r="C1515" s="14" t="s">
        <v>2839</v>
      </c>
      <c r="D1515" s="14" t="s">
        <v>3600</v>
      </c>
      <c r="E1515" s="11" t="s">
        <v>3600</v>
      </c>
      <c r="F1515" s="4" t="s">
        <v>1589</v>
      </c>
      <c r="H1515" s="6"/>
    </row>
    <row r="1516" spans="1:8" x14ac:dyDescent="0.2">
      <c r="A1516" s="14" t="s">
        <v>2840</v>
      </c>
      <c r="B1516" s="14" t="s">
        <v>3613</v>
      </c>
      <c r="C1516" s="14" t="s">
        <v>2840</v>
      </c>
      <c r="D1516" s="14" t="s">
        <v>3601</v>
      </c>
      <c r="E1516" s="14" t="s">
        <v>3601</v>
      </c>
      <c r="F1516" s="4" t="s">
        <v>1589</v>
      </c>
      <c r="H1516" s="6"/>
    </row>
    <row r="1517" spans="1:8" x14ac:dyDescent="0.2">
      <c r="A1517" s="14" t="s">
        <v>2797</v>
      </c>
      <c r="B1517" s="14" t="s">
        <v>3613</v>
      </c>
      <c r="C1517" s="14" t="s">
        <v>2797</v>
      </c>
      <c r="D1517" s="14" t="s">
        <v>1912</v>
      </c>
      <c r="E1517" s="11" t="s">
        <v>1912</v>
      </c>
      <c r="F1517" s="4" t="s">
        <v>1589</v>
      </c>
      <c r="H1517" s="6"/>
    </row>
    <row r="1518" spans="1:8" x14ac:dyDescent="0.2">
      <c r="A1518" s="14" t="s">
        <v>2798</v>
      </c>
      <c r="B1518" s="14" t="s">
        <v>3613</v>
      </c>
      <c r="C1518" s="14" t="s">
        <v>2798</v>
      </c>
      <c r="D1518" s="14" t="s">
        <v>1913</v>
      </c>
      <c r="E1518" s="11" t="s">
        <v>1913</v>
      </c>
      <c r="F1518" s="4" t="s">
        <v>1589</v>
      </c>
      <c r="H1518" s="6"/>
    </row>
    <row r="1519" spans="1:8" x14ac:dyDescent="0.2">
      <c r="A1519" s="14" t="s">
        <v>2799</v>
      </c>
      <c r="B1519" s="14" t="s">
        <v>3613</v>
      </c>
      <c r="C1519" s="14" t="s">
        <v>2799</v>
      </c>
      <c r="D1519" s="14" t="s">
        <v>1914</v>
      </c>
      <c r="E1519" s="11" t="s">
        <v>1914</v>
      </c>
      <c r="F1519" s="4" t="s">
        <v>1589</v>
      </c>
      <c r="H1519" s="6"/>
    </row>
    <row r="1520" spans="1:8" x14ac:dyDescent="0.2">
      <c r="A1520" s="14" t="s">
        <v>2800</v>
      </c>
      <c r="B1520" s="14" t="s">
        <v>3613</v>
      </c>
      <c r="C1520" s="14" t="s">
        <v>2800</v>
      </c>
      <c r="D1520" s="14" t="s">
        <v>1915</v>
      </c>
      <c r="E1520" s="11" t="s">
        <v>1915</v>
      </c>
      <c r="F1520" s="4" t="s">
        <v>1589</v>
      </c>
      <c r="H1520" s="6"/>
    </row>
    <row r="1521" spans="1:8" x14ac:dyDescent="0.2">
      <c r="A1521" s="14" t="s">
        <v>2821</v>
      </c>
      <c r="B1521" s="14" t="s">
        <v>3613</v>
      </c>
      <c r="C1521" s="14" t="s">
        <v>2821</v>
      </c>
      <c r="D1521" s="14" t="s">
        <v>3585</v>
      </c>
      <c r="E1521" s="11" t="s">
        <v>3585</v>
      </c>
      <c r="F1521" s="4" t="s">
        <v>1589</v>
      </c>
      <c r="H1521" s="6"/>
    </row>
    <row r="1522" spans="1:8" x14ac:dyDescent="0.2">
      <c r="A1522" s="14" t="s">
        <v>2822</v>
      </c>
      <c r="B1522" s="14" t="s">
        <v>3613</v>
      </c>
      <c r="C1522" s="14" t="s">
        <v>2822</v>
      </c>
      <c r="D1522" s="14" t="s">
        <v>3586</v>
      </c>
      <c r="E1522" s="11" t="s">
        <v>3586</v>
      </c>
      <c r="F1522" s="4" t="s">
        <v>1589</v>
      </c>
      <c r="H1522" s="6"/>
    </row>
    <row r="1523" spans="1:8" x14ac:dyDescent="0.2">
      <c r="A1523" s="14" t="s">
        <v>2823</v>
      </c>
      <c r="B1523" s="14" t="s">
        <v>3613</v>
      </c>
      <c r="C1523" s="14" t="s">
        <v>2823</v>
      </c>
      <c r="D1523" s="14" t="s">
        <v>3587</v>
      </c>
      <c r="E1523" s="11" t="s">
        <v>3587</v>
      </c>
      <c r="F1523" s="4" t="s">
        <v>1589</v>
      </c>
      <c r="H1523" s="6"/>
    </row>
    <row r="1524" spans="1:8" x14ac:dyDescent="0.2">
      <c r="A1524" s="14" t="s">
        <v>2824</v>
      </c>
      <c r="B1524" s="14" t="s">
        <v>3613</v>
      </c>
      <c r="C1524" s="14" t="s">
        <v>2824</v>
      </c>
      <c r="D1524" s="14" t="s">
        <v>3588</v>
      </c>
      <c r="E1524" s="11" t="s">
        <v>3588</v>
      </c>
      <c r="F1524" s="4" t="s">
        <v>1589</v>
      </c>
      <c r="H1524" s="6"/>
    </row>
    <row r="1525" spans="1:8" x14ac:dyDescent="0.2">
      <c r="A1525" s="14" t="s">
        <v>1020</v>
      </c>
      <c r="B1525" s="14" t="s">
        <v>3613</v>
      </c>
      <c r="C1525" s="14" t="s">
        <v>1020</v>
      </c>
      <c r="D1525" s="14" t="s">
        <v>1763</v>
      </c>
      <c r="E1525" s="11" t="s">
        <v>1763</v>
      </c>
      <c r="F1525" s="4" t="s">
        <v>1588</v>
      </c>
      <c r="H1525" s="6"/>
    </row>
    <row r="1526" spans="1:8" x14ac:dyDescent="0.2">
      <c r="A1526" s="14" t="s">
        <v>2622</v>
      </c>
      <c r="B1526" s="14" t="s">
        <v>3609</v>
      </c>
      <c r="C1526" s="14" t="s">
        <v>2850</v>
      </c>
      <c r="D1526" s="14" t="s">
        <v>1764</v>
      </c>
      <c r="E1526" s="11"/>
      <c r="F1526" s="4" t="s">
        <v>4753</v>
      </c>
      <c r="H1526" s="6"/>
    </row>
    <row r="1527" spans="1:8" x14ac:dyDescent="0.2">
      <c r="A1527" s="14" t="s">
        <v>1021</v>
      </c>
      <c r="B1527" s="14" t="s">
        <v>3613</v>
      </c>
      <c r="C1527" s="14" t="s">
        <v>1021</v>
      </c>
      <c r="D1527" s="14" t="s">
        <v>1765</v>
      </c>
      <c r="E1527" s="11" t="s">
        <v>1765</v>
      </c>
      <c r="F1527" s="4" t="s">
        <v>1588</v>
      </c>
      <c r="H1527" s="6"/>
    </row>
    <row r="1528" spans="1:8" x14ac:dyDescent="0.2">
      <c r="A1528" s="14" t="s">
        <v>2623</v>
      </c>
      <c r="B1528" s="14" t="s">
        <v>3609</v>
      </c>
      <c r="C1528" s="14" t="s">
        <v>2850</v>
      </c>
      <c r="D1528" s="14" t="s">
        <v>1766</v>
      </c>
      <c r="E1528" s="11"/>
      <c r="F1528" s="4" t="s">
        <v>4753</v>
      </c>
      <c r="H1528" s="6"/>
    </row>
    <row r="1529" spans="1:8" x14ac:dyDescent="0.2">
      <c r="A1529" s="14" t="s">
        <v>1022</v>
      </c>
      <c r="B1529" s="14" t="s">
        <v>3613</v>
      </c>
      <c r="C1529" s="14" t="s">
        <v>1022</v>
      </c>
      <c r="D1529" s="14" t="s">
        <v>1767</v>
      </c>
      <c r="E1529" s="11" t="s">
        <v>1767</v>
      </c>
      <c r="F1529" s="4" t="s">
        <v>1588</v>
      </c>
      <c r="H1529" s="6"/>
    </row>
    <row r="1530" spans="1:8" x14ac:dyDescent="0.2">
      <c r="A1530" s="14" t="s">
        <v>1023</v>
      </c>
      <c r="B1530" s="14" t="s">
        <v>3613</v>
      </c>
      <c r="C1530" s="14" t="s">
        <v>1023</v>
      </c>
      <c r="D1530" s="14" t="s">
        <v>1768</v>
      </c>
      <c r="E1530" s="11" t="s">
        <v>1768</v>
      </c>
      <c r="F1530" s="4" t="s">
        <v>1588</v>
      </c>
      <c r="H1530" s="6"/>
    </row>
    <row r="1531" spans="1:8" x14ac:dyDescent="0.2">
      <c r="A1531" s="14" t="s">
        <v>705</v>
      </c>
      <c r="B1531" s="14" t="s">
        <v>4746</v>
      </c>
      <c r="C1531" s="14" t="s">
        <v>2853</v>
      </c>
      <c r="D1531" s="14" t="s">
        <v>329</v>
      </c>
      <c r="E1531" s="11"/>
      <c r="F1531" s="4" t="s">
        <v>4758</v>
      </c>
    </row>
    <row r="1532" spans="1:8" x14ac:dyDescent="0.2">
      <c r="A1532" s="14" t="s">
        <v>2801</v>
      </c>
      <c r="B1532" s="14" t="s">
        <v>3613</v>
      </c>
      <c r="C1532" s="14" t="s">
        <v>2801</v>
      </c>
      <c r="D1532" s="14" t="s">
        <v>1916</v>
      </c>
      <c r="E1532" s="11" t="s">
        <v>1916</v>
      </c>
      <c r="F1532" s="4" t="s">
        <v>1589</v>
      </c>
      <c r="H1532" s="6"/>
    </row>
    <row r="1533" spans="1:8" x14ac:dyDescent="0.2">
      <c r="A1533" s="14" t="s">
        <v>2802</v>
      </c>
      <c r="B1533" s="14" t="s">
        <v>3613</v>
      </c>
      <c r="C1533" s="14" t="s">
        <v>2802</v>
      </c>
      <c r="D1533" s="14" t="s">
        <v>1912</v>
      </c>
      <c r="E1533" s="11" t="s">
        <v>1912</v>
      </c>
      <c r="F1533" s="4" t="s">
        <v>1589</v>
      </c>
      <c r="H1533" s="6"/>
    </row>
    <row r="1534" spans="1:8" x14ac:dyDescent="0.2">
      <c r="A1534" s="14" t="s">
        <v>2803</v>
      </c>
      <c r="B1534" s="14" t="s">
        <v>3613</v>
      </c>
      <c r="C1534" s="14" t="s">
        <v>2803</v>
      </c>
      <c r="D1534" s="14" t="s">
        <v>1917</v>
      </c>
      <c r="E1534" s="11" t="s">
        <v>1917</v>
      </c>
      <c r="F1534" s="4" t="s">
        <v>1589</v>
      </c>
      <c r="H1534" s="6"/>
    </row>
    <row r="1535" spans="1:8" x14ac:dyDescent="0.2">
      <c r="A1535" s="14" t="s">
        <v>2804</v>
      </c>
      <c r="B1535" s="14" t="s">
        <v>3613</v>
      </c>
      <c r="C1535" s="14" t="s">
        <v>2804</v>
      </c>
      <c r="D1535" s="14" t="s">
        <v>1913</v>
      </c>
      <c r="E1535" s="11" t="s">
        <v>1913</v>
      </c>
      <c r="F1535" s="4" t="s">
        <v>1589</v>
      </c>
      <c r="H1535" s="6"/>
    </row>
    <row r="1536" spans="1:8" x14ac:dyDescent="0.2">
      <c r="A1536" s="14" t="s">
        <v>2805</v>
      </c>
      <c r="B1536" s="14" t="s">
        <v>3613</v>
      </c>
      <c r="C1536" s="14" t="s">
        <v>2805</v>
      </c>
      <c r="D1536" s="14" t="s">
        <v>1918</v>
      </c>
      <c r="E1536" s="11" t="s">
        <v>1918</v>
      </c>
      <c r="F1536" s="4" t="s">
        <v>1589</v>
      </c>
      <c r="H1536" s="6"/>
    </row>
    <row r="1537" spans="1:8" x14ac:dyDescent="0.2">
      <c r="A1537" s="14" t="s">
        <v>2806</v>
      </c>
      <c r="B1537" s="14" t="s">
        <v>3613</v>
      </c>
      <c r="C1537" s="14" t="s">
        <v>2806</v>
      </c>
      <c r="D1537" s="14" t="s">
        <v>1914</v>
      </c>
      <c r="E1537" s="11" t="s">
        <v>1914</v>
      </c>
      <c r="F1537" s="4" t="s">
        <v>1589</v>
      </c>
      <c r="H1537" s="6"/>
    </row>
    <row r="1538" spans="1:8" x14ac:dyDescent="0.2">
      <c r="A1538" s="14" t="s">
        <v>2807</v>
      </c>
      <c r="B1538" s="14" t="s">
        <v>3613</v>
      </c>
      <c r="C1538" s="14" t="s">
        <v>2807</v>
      </c>
      <c r="D1538" s="14" t="s">
        <v>1915</v>
      </c>
      <c r="E1538" s="11" t="s">
        <v>1915</v>
      </c>
      <c r="F1538" s="4" t="s">
        <v>1589</v>
      </c>
      <c r="H1538" s="6"/>
    </row>
    <row r="1539" spans="1:8" x14ac:dyDescent="0.2">
      <c r="A1539" s="14" t="s">
        <v>2825</v>
      </c>
      <c r="B1539" s="14" t="s">
        <v>3613</v>
      </c>
      <c r="C1539" s="14" t="s">
        <v>2825</v>
      </c>
      <c r="D1539" s="14" t="s">
        <v>3585</v>
      </c>
      <c r="E1539" s="11" t="s">
        <v>3585</v>
      </c>
      <c r="F1539" s="4" t="s">
        <v>1589</v>
      </c>
      <c r="H1539" s="6"/>
    </row>
    <row r="1540" spans="1:8" x14ac:dyDescent="0.2">
      <c r="A1540" s="14" t="s">
        <v>2826</v>
      </c>
      <c r="B1540" s="14" t="s">
        <v>3613</v>
      </c>
      <c r="C1540" s="14" t="s">
        <v>2826</v>
      </c>
      <c r="D1540" s="14" t="s">
        <v>3589</v>
      </c>
      <c r="E1540" s="11" t="s">
        <v>3589</v>
      </c>
      <c r="F1540" s="4" t="s">
        <v>1589</v>
      </c>
      <c r="H1540" s="6"/>
    </row>
    <row r="1541" spans="1:8" x14ac:dyDescent="0.2">
      <c r="A1541" s="14" t="s">
        <v>2827</v>
      </c>
      <c r="B1541" s="14" t="s">
        <v>3613</v>
      </c>
      <c r="C1541" s="14" t="s">
        <v>2827</v>
      </c>
      <c r="D1541" s="14" t="s">
        <v>3590</v>
      </c>
      <c r="E1541" s="11" t="s">
        <v>3590</v>
      </c>
      <c r="F1541" s="4" t="s">
        <v>1589</v>
      </c>
      <c r="H1541" s="6"/>
    </row>
    <row r="1542" spans="1:8" x14ac:dyDescent="0.2">
      <c r="A1542" s="14" t="s">
        <v>2828</v>
      </c>
      <c r="B1542" s="14" t="s">
        <v>3613</v>
      </c>
      <c r="C1542" s="14" t="s">
        <v>2828</v>
      </c>
      <c r="D1542" s="14" t="s">
        <v>3591</v>
      </c>
      <c r="E1542" s="11" t="s">
        <v>3591</v>
      </c>
      <c r="F1542" s="4" t="s">
        <v>1589</v>
      </c>
      <c r="H1542" s="6"/>
    </row>
    <row r="1543" spans="1:8" x14ac:dyDescent="0.2">
      <c r="A1543" s="14" t="s">
        <v>1244</v>
      </c>
      <c r="B1543" s="14" t="s">
        <v>4746</v>
      </c>
      <c r="C1543" s="14" t="s">
        <v>2853</v>
      </c>
      <c r="D1543" s="14" t="s">
        <v>1245</v>
      </c>
      <c r="E1543" s="11"/>
      <c r="F1543" s="4" t="s">
        <v>4758</v>
      </c>
      <c r="H1543" s="6"/>
    </row>
    <row r="1544" spans="1:8" x14ac:dyDescent="0.2">
      <c r="A1544" s="14" t="s">
        <v>1246</v>
      </c>
      <c r="B1544" s="14" t="s">
        <v>4746</v>
      </c>
      <c r="C1544" s="14" t="s">
        <v>2853</v>
      </c>
      <c r="D1544" s="14" t="s">
        <v>1857</v>
      </c>
      <c r="E1544" s="11"/>
      <c r="F1544" s="4" t="s">
        <v>4758</v>
      </c>
      <c r="H1544" s="6"/>
    </row>
    <row r="1545" spans="1:8" x14ac:dyDescent="0.2">
      <c r="A1545" s="14" t="s">
        <v>1247</v>
      </c>
      <c r="B1545" s="14" t="s">
        <v>4746</v>
      </c>
      <c r="C1545" s="14" t="s">
        <v>2853</v>
      </c>
      <c r="D1545" s="14" t="s">
        <v>1858</v>
      </c>
      <c r="E1545" s="11"/>
      <c r="F1545" s="4" t="s">
        <v>4758</v>
      </c>
      <c r="H1545" s="6"/>
    </row>
    <row r="1546" spans="1:8" x14ac:dyDescent="0.2">
      <c r="A1546" s="14" t="s">
        <v>1248</v>
      </c>
      <c r="B1546" s="14" t="s">
        <v>4746</v>
      </c>
      <c r="C1546" s="14" t="s">
        <v>2853</v>
      </c>
      <c r="D1546" s="14" t="s">
        <v>1249</v>
      </c>
      <c r="E1546" s="11"/>
      <c r="F1546" s="4" t="s">
        <v>4758</v>
      </c>
      <c r="H1546" s="6"/>
    </row>
    <row r="1547" spans="1:8" x14ac:dyDescent="0.2">
      <c r="A1547" s="14" t="s">
        <v>2652</v>
      </c>
      <c r="B1547" s="14" t="s">
        <v>3610</v>
      </c>
      <c r="C1547" s="14" t="s">
        <v>2852</v>
      </c>
      <c r="D1547" s="14" t="s">
        <v>1250</v>
      </c>
      <c r="E1547" s="11"/>
      <c r="F1547" s="4" t="s">
        <v>4758</v>
      </c>
      <c r="H1547" s="6"/>
    </row>
    <row r="1548" spans="1:8" x14ac:dyDescent="0.2">
      <c r="A1548" s="14" t="s">
        <v>2670</v>
      </c>
      <c r="B1548" s="14" t="s">
        <v>4746</v>
      </c>
      <c r="C1548" s="14" t="s">
        <v>2853</v>
      </c>
      <c r="D1548" s="14" t="s">
        <v>1862</v>
      </c>
      <c r="E1548" s="11"/>
      <c r="F1548" s="4" t="s">
        <v>4758</v>
      </c>
      <c r="H1548" s="6"/>
    </row>
    <row r="1549" spans="1:8" x14ac:dyDescent="0.2">
      <c r="A1549" s="14" t="s">
        <v>2671</v>
      </c>
      <c r="B1549" s="14" t="s">
        <v>4746</v>
      </c>
      <c r="C1549" s="14" t="s">
        <v>2853</v>
      </c>
      <c r="D1549" s="14" t="s">
        <v>1863</v>
      </c>
      <c r="E1549" s="11"/>
      <c r="F1549" s="4" t="s">
        <v>4758</v>
      </c>
      <c r="H1549" s="6"/>
    </row>
    <row r="1550" spans="1:8" x14ac:dyDescent="0.2">
      <c r="A1550" s="14" t="s">
        <v>2672</v>
      </c>
      <c r="B1550" s="14" t="s">
        <v>4746</v>
      </c>
      <c r="C1550" s="14" t="s">
        <v>2853</v>
      </c>
      <c r="D1550" s="14" t="s">
        <v>1864</v>
      </c>
      <c r="E1550" s="11"/>
      <c r="F1550" s="4" t="s">
        <v>4758</v>
      </c>
      <c r="H1550" s="6"/>
    </row>
    <row r="1551" spans="1:8" x14ac:dyDescent="0.2">
      <c r="A1551" s="14" t="s">
        <v>2673</v>
      </c>
      <c r="B1551" s="14" t="s">
        <v>4746</v>
      </c>
      <c r="C1551" s="14" t="s">
        <v>2853</v>
      </c>
      <c r="D1551" s="14" t="s">
        <v>1865</v>
      </c>
      <c r="E1551" s="11"/>
      <c r="F1551" s="4" t="s">
        <v>4758</v>
      </c>
      <c r="H1551" s="6"/>
    </row>
    <row r="1552" spans="1:8" x14ac:dyDescent="0.2">
      <c r="A1552" s="14" t="s">
        <v>1387</v>
      </c>
      <c r="B1552" s="14" t="s">
        <v>3612</v>
      </c>
      <c r="C1552" s="14" t="s">
        <v>356</v>
      </c>
      <c r="D1552" s="14" t="s">
        <v>1388</v>
      </c>
      <c r="E1552" s="11" t="s">
        <v>3554</v>
      </c>
      <c r="F1552" s="4" t="s">
        <v>1524</v>
      </c>
      <c r="H1552" s="6"/>
    </row>
    <row r="1553" spans="1:8" x14ac:dyDescent="0.2">
      <c r="A1553" s="14" t="s">
        <v>1389</v>
      </c>
      <c r="B1553" s="14" t="s">
        <v>4746</v>
      </c>
      <c r="C1553" s="14" t="s">
        <v>2853</v>
      </c>
      <c r="D1553" s="14" t="s">
        <v>1390</v>
      </c>
      <c r="E1553" s="11"/>
      <c r="F1553" s="4" t="s">
        <v>4758</v>
      </c>
      <c r="H1553" s="6"/>
    </row>
    <row r="1554" spans="1:8" x14ac:dyDescent="0.2">
      <c r="A1554" s="14" t="s">
        <v>1391</v>
      </c>
      <c r="B1554" s="14" t="s">
        <v>4746</v>
      </c>
      <c r="C1554" s="14" t="s">
        <v>2853</v>
      </c>
      <c r="D1554" s="14" t="s">
        <v>1859</v>
      </c>
      <c r="E1554" s="11"/>
      <c r="F1554" s="4" t="s">
        <v>4758</v>
      </c>
      <c r="H1554" s="6"/>
    </row>
    <row r="1555" spans="1:8" x14ac:dyDescent="0.2">
      <c r="A1555" s="14" t="s">
        <v>1392</v>
      </c>
      <c r="B1555" s="14" t="s">
        <v>4746</v>
      </c>
      <c r="C1555" s="14" t="s">
        <v>2853</v>
      </c>
      <c r="D1555" s="14" t="s">
        <v>1393</v>
      </c>
      <c r="E1555" s="11"/>
      <c r="F1555" s="4" t="s">
        <v>4758</v>
      </c>
      <c r="H1555" s="6"/>
    </row>
    <row r="1556" spans="1:8" x14ac:dyDescent="0.2">
      <c r="A1556" s="14" t="s">
        <v>2669</v>
      </c>
      <c r="B1556" s="14" t="s">
        <v>4746</v>
      </c>
      <c r="C1556" s="14" t="s">
        <v>2853</v>
      </c>
      <c r="D1556" s="14" t="s">
        <v>1860</v>
      </c>
      <c r="E1556" s="11"/>
      <c r="F1556" s="4" t="s">
        <v>4758</v>
      </c>
      <c r="H1556" s="6"/>
    </row>
    <row r="1557" spans="1:8" x14ac:dyDescent="0.2">
      <c r="A1557" s="14" t="s">
        <v>1394</v>
      </c>
      <c r="B1557" s="14" t="s">
        <v>4746</v>
      </c>
      <c r="C1557" s="14" t="s">
        <v>2853</v>
      </c>
      <c r="D1557" s="14" t="s">
        <v>1860</v>
      </c>
      <c r="E1557" s="11"/>
      <c r="F1557" s="4" t="s">
        <v>4758</v>
      </c>
      <c r="H1557" s="6"/>
    </row>
    <row r="1558" spans="1:8" x14ac:dyDescent="0.2">
      <c r="A1558" s="14" t="s">
        <v>1395</v>
      </c>
      <c r="B1558" s="14" t="s">
        <v>4746</v>
      </c>
      <c r="C1558" s="14" t="s">
        <v>2853</v>
      </c>
      <c r="D1558" s="14" t="s">
        <v>1861</v>
      </c>
      <c r="E1558" s="11"/>
      <c r="F1558" s="4" t="s">
        <v>4758</v>
      </c>
      <c r="H1558" s="6"/>
    </row>
    <row r="1559" spans="1:8" x14ac:dyDescent="0.2">
      <c r="A1559" s="14" t="s">
        <v>1396</v>
      </c>
      <c r="B1559" s="14" t="s">
        <v>4746</v>
      </c>
      <c r="C1559" s="14" t="s">
        <v>2853</v>
      </c>
      <c r="D1559" s="14" t="s">
        <v>1397</v>
      </c>
      <c r="E1559" s="11"/>
      <c r="F1559" s="4" t="s">
        <v>4758</v>
      </c>
      <c r="H1559" s="6"/>
    </row>
    <row r="1560" spans="1:8" x14ac:dyDescent="0.2">
      <c r="A1560" s="14" t="s">
        <v>2653</v>
      </c>
      <c r="B1560" s="14" t="s">
        <v>3612</v>
      </c>
      <c r="C1560" s="14" t="s">
        <v>2892</v>
      </c>
      <c r="D1560" s="14" t="s">
        <v>1842</v>
      </c>
      <c r="E1560" s="11" t="s">
        <v>3555</v>
      </c>
      <c r="F1560" s="4" t="s">
        <v>1524</v>
      </c>
      <c r="H1560" s="6"/>
    </row>
    <row r="1561" spans="1:8" x14ac:dyDescent="0.2">
      <c r="A1561" s="14" t="s">
        <v>2654</v>
      </c>
      <c r="B1561" s="14" t="s">
        <v>3609</v>
      </c>
      <c r="C1561" s="14" t="s">
        <v>2850</v>
      </c>
      <c r="D1561" s="14" t="s">
        <v>1843</v>
      </c>
      <c r="E1561" s="11"/>
      <c r="F1561" s="4" t="s">
        <v>4758</v>
      </c>
      <c r="H1561" s="6"/>
    </row>
    <row r="1562" spans="1:8" x14ac:dyDescent="0.2">
      <c r="A1562" s="14" t="s">
        <v>2655</v>
      </c>
      <c r="B1562" s="14" t="s">
        <v>3609</v>
      </c>
      <c r="C1562" s="14" t="s">
        <v>2850</v>
      </c>
      <c r="D1562" s="14" t="s">
        <v>1844</v>
      </c>
      <c r="E1562" s="11"/>
      <c r="F1562" s="4" t="s">
        <v>4758</v>
      </c>
      <c r="H1562" s="6"/>
    </row>
    <row r="1563" spans="1:8" x14ac:dyDescent="0.2">
      <c r="A1563" s="14" t="s">
        <v>2656</v>
      </c>
      <c r="B1563" s="14" t="s">
        <v>4746</v>
      </c>
      <c r="C1563" s="14" t="s">
        <v>2992</v>
      </c>
      <c r="D1563" s="14" t="s">
        <v>1845</v>
      </c>
      <c r="E1563" s="11"/>
      <c r="F1563" s="4" t="s">
        <v>4758</v>
      </c>
      <c r="H1563" s="6"/>
    </row>
    <row r="1564" spans="1:8" x14ac:dyDescent="0.2">
      <c r="A1564" s="14" t="s">
        <v>2657</v>
      </c>
      <c r="B1564" s="14" t="s">
        <v>3612</v>
      </c>
      <c r="C1564" s="14" t="s">
        <v>2893</v>
      </c>
      <c r="D1564" s="14" t="s">
        <v>1846</v>
      </c>
      <c r="E1564" s="11" t="s">
        <v>3556</v>
      </c>
      <c r="F1564" s="4" t="s">
        <v>1524</v>
      </c>
      <c r="H1564" s="6"/>
    </row>
    <row r="1565" spans="1:8" x14ac:dyDescent="0.2">
      <c r="A1565" s="14" t="s">
        <v>2658</v>
      </c>
      <c r="B1565" s="14" t="s">
        <v>3609</v>
      </c>
      <c r="C1565" s="14" t="s">
        <v>2850</v>
      </c>
      <c r="D1565" s="14" t="s">
        <v>1847</v>
      </c>
      <c r="E1565" s="11"/>
      <c r="F1565" s="4" t="s">
        <v>4758</v>
      </c>
      <c r="H1565" s="6"/>
    </row>
    <row r="1566" spans="1:8" x14ac:dyDescent="0.2">
      <c r="A1566" s="14" t="s">
        <v>2659</v>
      </c>
      <c r="B1566" s="14" t="s">
        <v>4746</v>
      </c>
      <c r="C1566" s="14" t="s">
        <v>2992</v>
      </c>
      <c r="D1566" s="14" t="s">
        <v>1848</v>
      </c>
      <c r="E1566" s="11"/>
      <c r="F1566" s="4" t="s">
        <v>4758</v>
      </c>
      <c r="H1566" s="6"/>
    </row>
    <row r="1567" spans="1:8" x14ac:dyDescent="0.2">
      <c r="A1567" s="14" t="s">
        <v>2660</v>
      </c>
      <c r="B1567" s="14" t="s">
        <v>3612</v>
      </c>
      <c r="C1567" s="14" t="s">
        <v>2894</v>
      </c>
      <c r="D1567" s="14" t="s">
        <v>1849</v>
      </c>
      <c r="E1567" s="11" t="s">
        <v>3557</v>
      </c>
      <c r="F1567" s="4" t="s">
        <v>1524</v>
      </c>
      <c r="H1567" s="6"/>
    </row>
    <row r="1568" spans="1:8" x14ac:dyDescent="0.2">
      <c r="A1568" s="14" t="s">
        <v>2661</v>
      </c>
      <c r="B1568" s="14" t="s">
        <v>3609</v>
      </c>
      <c r="C1568" s="14" t="s">
        <v>2850</v>
      </c>
      <c r="D1568" s="14" t="s">
        <v>1850</v>
      </c>
      <c r="E1568" s="11"/>
      <c r="F1568" s="4" t="s">
        <v>4758</v>
      </c>
      <c r="H1568" s="6"/>
    </row>
    <row r="1569" spans="1:8" x14ac:dyDescent="0.2">
      <c r="A1569" s="14" t="s">
        <v>2662</v>
      </c>
      <c r="B1569" s="14" t="s">
        <v>3609</v>
      </c>
      <c r="C1569" s="14" t="s">
        <v>2850</v>
      </c>
      <c r="D1569" s="14" t="s">
        <v>1849</v>
      </c>
      <c r="E1569" s="11"/>
      <c r="F1569" s="4" t="s">
        <v>4758</v>
      </c>
      <c r="H1569" s="6"/>
    </row>
    <row r="1570" spans="1:8" x14ac:dyDescent="0.2">
      <c r="A1570" s="14" t="s">
        <v>2663</v>
      </c>
      <c r="B1570" s="14" t="s">
        <v>4746</v>
      </c>
      <c r="C1570" s="14" t="s">
        <v>2992</v>
      </c>
      <c r="D1570" s="14" t="s">
        <v>1851</v>
      </c>
      <c r="E1570" s="11"/>
      <c r="F1570" s="4" t="s">
        <v>4758</v>
      </c>
      <c r="H1570" s="6"/>
    </row>
    <row r="1571" spans="1:8" x14ac:dyDescent="0.2">
      <c r="A1571" s="14" t="s">
        <v>2664</v>
      </c>
      <c r="B1571" s="14" t="s">
        <v>4746</v>
      </c>
      <c r="C1571" s="14" t="s">
        <v>2853</v>
      </c>
      <c r="D1571" s="14" t="s">
        <v>1852</v>
      </c>
      <c r="E1571" s="11"/>
      <c r="F1571" s="4" t="s">
        <v>4758</v>
      </c>
      <c r="H1571" s="6"/>
    </row>
    <row r="1572" spans="1:8" x14ac:dyDescent="0.2">
      <c r="A1572" s="14" t="s">
        <v>2665</v>
      </c>
      <c r="B1572" s="14" t="s">
        <v>4746</v>
      </c>
      <c r="C1572" s="14" t="s">
        <v>2853</v>
      </c>
      <c r="D1572" s="14" t="s">
        <v>1853</v>
      </c>
      <c r="E1572" s="11"/>
      <c r="F1572" s="4" t="s">
        <v>4758</v>
      </c>
      <c r="H1572" s="6"/>
    </row>
    <row r="1573" spans="1:8" x14ac:dyDescent="0.2">
      <c r="A1573" s="14" t="s">
        <v>2666</v>
      </c>
      <c r="B1573" s="14" t="s">
        <v>4746</v>
      </c>
      <c r="C1573" s="14" t="s">
        <v>2853</v>
      </c>
      <c r="D1573" s="14" t="s">
        <v>1854</v>
      </c>
      <c r="E1573" s="11"/>
      <c r="F1573" s="4" t="s">
        <v>4758</v>
      </c>
      <c r="H1573" s="6"/>
    </row>
    <row r="1574" spans="1:8" x14ac:dyDescent="0.2">
      <c r="A1574" s="14" t="s">
        <v>2667</v>
      </c>
      <c r="B1574" s="14" t="s">
        <v>3612</v>
      </c>
      <c r="C1574" s="14" t="s">
        <v>2895</v>
      </c>
      <c r="D1574" s="14" t="s">
        <v>1855</v>
      </c>
      <c r="E1574" s="11" t="s">
        <v>3632</v>
      </c>
      <c r="F1574" s="4" t="s">
        <v>1524</v>
      </c>
      <c r="H1574" s="6"/>
    </row>
    <row r="1575" spans="1:8" x14ac:dyDescent="0.2">
      <c r="A1575" s="14" t="s">
        <v>2668</v>
      </c>
      <c r="B1575" s="14" t="s">
        <v>3609</v>
      </c>
      <c r="C1575" s="14" t="s">
        <v>2850</v>
      </c>
      <c r="D1575" s="14" t="s">
        <v>1856</v>
      </c>
      <c r="E1575" s="11"/>
      <c r="F1575" s="4" t="s">
        <v>4758</v>
      </c>
      <c r="H1575" s="6"/>
    </row>
    <row r="1576" spans="1:8" x14ac:dyDescent="0.2">
      <c r="A1576" s="14" t="s">
        <v>1370</v>
      </c>
      <c r="B1576" s="14" t="s">
        <v>4746</v>
      </c>
      <c r="C1576" s="14" t="s">
        <v>2853</v>
      </c>
      <c r="D1576" s="14" t="s">
        <v>1371</v>
      </c>
      <c r="E1576" s="11"/>
      <c r="F1576" s="4" t="s">
        <v>4758</v>
      </c>
      <c r="H1576" s="6"/>
    </row>
    <row r="1577" spans="1:8" x14ac:dyDescent="0.2">
      <c r="A1577" s="14" t="s">
        <v>2841</v>
      </c>
      <c r="B1577" s="14" t="s">
        <v>3613</v>
      </c>
      <c r="C1577" s="14" t="s">
        <v>2841</v>
      </c>
      <c r="D1577" s="14" t="s">
        <v>3602</v>
      </c>
      <c r="E1577" s="11" t="s">
        <v>3602</v>
      </c>
      <c r="F1577" s="4" t="s">
        <v>1589</v>
      </c>
      <c r="H1577" s="6"/>
    </row>
    <row r="1578" spans="1:8" x14ac:dyDescent="0.2">
      <c r="A1578" s="14" t="s">
        <v>2842</v>
      </c>
      <c r="B1578" s="14" t="s">
        <v>3613</v>
      </c>
      <c r="C1578" s="14" t="s">
        <v>2842</v>
      </c>
      <c r="D1578" s="14" t="s">
        <v>3603</v>
      </c>
      <c r="E1578" s="11" t="s">
        <v>3603</v>
      </c>
      <c r="F1578" s="4" t="s">
        <v>1589</v>
      </c>
      <c r="H1578" s="6"/>
    </row>
    <row r="1579" spans="1:8" x14ac:dyDescent="0.2">
      <c r="A1579" s="14" t="s">
        <v>2843</v>
      </c>
      <c r="B1579" s="14" t="s">
        <v>3613</v>
      </c>
      <c r="C1579" s="14" t="s">
        <v>2843</v>
      </c>
      <c r="D1579" s="14" t="s">
        <v>3604</v>
      </c>
      <c r="E1579" s="11" t="s">
        <v>3604</v>
      </c>
      <c r="F1579" s="4" t="s">
        <v>1589</v>
      </c>
      <c r="H1579" s="6"/>
    </row>
    <row r="1580" spans="1:8" x14ac:dyDescent="0.2">
      <c r="A1580" s="14" t="s">
        <v>2844</v>
      </c>
      <c r="B1580" s="14" t="s">
        <v>3613</v>
      </c>
      <c r="C1580" s="14" t="s">
        <v>2844</v>
      </c>
      <c r="D1580" s="14" t="s">
        <v>3605</v>
      </c>
      <c r="E1580" s="11" t="s">
        <v>3605</v>
      </c>
      <c r="F1580" s="4" t="s">
        <v>1589</v>
      </c>
      <c r="H1580" s="6"/>
    </row>
    <row r="1581" spans="1:8" x14ac:dyDescent="0.2">
      <c r="A1581" s="14" t="s">
        <v>460</v>
      </c>
      <c r="B1581" s="14" t="s">
        <v>3612</v>
      </c>
      <c r="C1581" s="14" t="s">
        <v>2854</v>
      </c>
      <c r="D1581" s="14" t="s">
        <v>3503</v>
      </c>
      <c r="E1581" s="19" t="s">
        <v>296</v>
      </c>
      <c r="F1581" s="4" t="s">
        <v>1524</v>
      </c>
      <c r="G1581" s="20"/>
    </row>
    <row r="1582" spans="1:8" x14ac:dyDescent="0.2">
      <c r="A1582" s="14" t="s">
        <v>466</v>
      </c>
      <c r="B1582" s="14" t="s">
        <v>3612</v>
      </c>
      <c r="C1582" s="14" t="s">
        <v>2855</v>
      </c>
      <c r="D1582" s="14" t="s">
        <v>1322</v>
      </c>
      <c r="E1582" s="19" t="s">
        <v>1322</v>
      </c>
      <c r="F1582" s="4" t="s">
        <v>1524</v>
      </c>
      <c r="G1582" s="20"/>
    </row>
    <row r="1583" spans="1:8" x14ac:dyDescent="0.2">
      <c r="A1583" s="14" t="s">
        <v>467</v>
      </c>
      <c r="B1583" s="14" t="s">
        <v>3612</v>
      </c>
      <c r="C1583" s="14" t="s">
        <v>2856</v>
      </c>
      <c r="D1583" s="14" t="s">
        <v>3504</v>
      </c>
      <c r="E1583" s="19" t="s">
        <v>299</v>
      </c>
      <c r="F1583" s="4" t="s">
        <v>1524</v>
      </c>
      <c r="G1583" s="20"/>
    </row>
    <row r="1584" spans="1:8" x14ac:dyDescent="0.2">
      <c r="A1584" s="14" t="s">
        <v>468</v>
      </c>
      <c r="B1584" s="14" t="s">
        <v>3612</v>
      </c>
      <c r="C1584" s="14" t="s">
        <v>2857</v>
      </c>
      <c r="D1584" s="14" t="s">
        <v>3505</v>
      </c>
      <c r="E1584" s="19" t="s">
        <v>301</v>
      </c>
      <c r="F1584" s="4" t="s">
        <v>1524</v>
      </c>
      <c r="G1584" s="20"/>
    </row>
    <row r="1585" spans="1:7" x14ac:dyDescent="0.2">
      <c r="A1585" s="14" t="s">
        <v>469</v>
      </c>
      <c r="B1585" s="14" t="s">
        <v>3612</v>
      </c>
      <c r="C1585" s="14" t="s">
        <v>2858</v>
      </c>
      <c r="D1585" s="14" t="s">
        <v>3506</v>
      </c>
      <c r="E1585" s="19" t="s">
        <v>3508</v>
      </c>
      <c r="F1585" s="4" t="s">
        <v>1524</v>
      </c>
      <c r="G1585" s="20"/>
    </row>
    <row r="1586" spans="1:7" x14ac:dyDescent="0.2">
      <c r="A1586" s="14" t="s">
        <v>473</v>
      </c>
      <c r="B1586" s="14" t="s">
        <v>3612</v>
      </c>
      <c r="C1586" s="14" t="s">
        <v>2859</v>
      </c>
      <c r="D1586" s="14" t="s">
        <v>3507</v>
      </c>
      <c r="E1586" s="19" t="s">
        <v>3617</v>
      </c>
      <c r="F1586" s="4" t="s">
        <v>1524</v>
      </c>
      <c r="G1586" s="20"/>
    </row>
    <row r="1587" spans="1:7" x14ac:dyDescent="0.2">
      <c r="A1587" s="14" t="s">
        <v>510</v>
      </c>
      <c r="B1587" s="14" t="s">
        <v>3612</v>
      </c>
      <c r="C1587" s="14" t="s">
        <v>2860</v>
      </c>
      <c r="D1587" s="14" t="s">
        <v>3508</v>
      </c>
      <c r="E1587" s="19" t="s">
        <v>3508</v>
      </c>
      <c r="F1587" s="4" t="s">
        <v>1524</v>
      </c>
      <c r="G1587" s="20"/>
    </row>
    <row r="1588" spans="1:7" x14ac:dyDescent="0.2">
      <c r="A1588" s="14" t="s">
        <v>465</v>
      </c>
      <c r="B1588" s="14" t="s">
        <v>3612</v>
      </c>
      <c r="C1588" s="14" t="s">
        <v>2861</v>
      </c>
      <c r="D1588" s="14" t="s">
        <v>3509</v>
      </c>
      <c r="E1588" s="19" t="s">
        <v>304</v>
      </c>
      <c r="F1588" s="4" t="s">
        <v>1524</v>
      </c>
      <c r="G1588" s="20"/>
    </row>
    <row r="1589" spans="1:7" x14ac:dyDescent="0.2">
      <c r="A1589" s="14" t="s">
        <v>461</v>
      </c>
      <c r="B1589" s="14" t="s">
        <v>3612</v>
      </c>
      <c r="C1589" s="14" t="s">
        <v>2862</v>
      </c>
      <c r="D1589" s="14" t="s">
        <v>3510</v>
      </c>
      <c r="E1589" s="19" t="s">
        <v>307</v>
      </c>
      <c r="F1589" s="4" t="s">
        <v>1524</v>
      </c>
      <c r="G1589" s="20"/>
    </row>
    <row r="1590" spans="1:7" x14ac:dyDescent="0.2">
      <c r="A1590" s="14" t="s">
        <v>471</v>
      </c>
      <c r="B1590" s="14" t="s">
        <v>4746</v>
      </c>
      <c r="C1590" s="14" t="s">
        <v>2853</v>
      </c>
      <c r="D1590" s="14" t="s">
        <v>3511</v>
      </c>
      <c r="E1590" s="19" t="s">
        <v>3618</v>
      </c>
      <c r="F1590" s="4" t="s">
        <v>1524</v>
      </c>
      <c r="G1590" s="20"/>
    </row>
    <row r="1591" spans="1:7" x14ac:dyDescent="0.2">
      <c r="A1591" s="14" t="s">
        <v>511</v>
      </c>
      <c r="B1591" s="14" t="s">
        <v>3612</v>
      </c>
      <c r="C1591" s="14" t="s">
        <v>2863</v>
      </c>
      <c r="D1591" s="14" t="s">
        <v>3512</v>
      </c>
      <c r="E1591" s="19" t="s">
        <v>3512</v>
      </c>
      <c r="F1591" s="4" t="s">
        <v>1524</v>
      </c>
      <c r="G1591" s="20"/>
    </row>
    <row r="1592" spans="1:7" x14ac:dyDescent="0.2">
      <c r="A1592" s="14" t="s">
        <v>462</v>
      </c>
      <c r="B1592" s="14" t="s">
        <v>3612</v>
      </c>
      <c r="C1592" s="14" t="s">
        <v>2864</v>
      </c>
      <c r="D1592" s="14" t="s">
        <v>3513</v>
      </c>
      <c r="E1592" s="19" t="s">
        <v>309</v>
      </c>
      <c r="F1592" s="4" t="s">
        <v>1524</v>
      </c>
      <c r="G1592" s="20"/>
    </row>
    <row r="1593" spans="1:7" x14ac:dyDescent="0.2">
      <c r="A1593" s="14" t="s">
        <v>472</v>
      </c>
      <c r="B1593" s="14" t="s">
        <v>4746</v>
      </c>
      <c r="C1593" s="14" t="s">
        <v>2853</v>
      </c>
      <c r="D1593" s="14" t="s">
        <v>3514</v>
      </c>
      <c r="E1593" s="19" t="s">
        <v>3619</v>
      </c>
      <c r="F1593" s="4" t="s">
        <v>1524</v>
      </c>
      <c r="G1593" s="20"/>
    </row>
    <row r="1594" spans="1:7" x14ac:dyDescent="0.2">
      <c r="A1594" s="14" t="s">
        <v>463</v>
      </c>
      <c r="B1594" s="14" t="s">
        <v>3612</v>
      </c>
      <c r="C1594" s="14" t="s">
        <v>2865</v>
      </c>
      <c r="D1594" s="14" t="s">
        <v>3515</v>
      </c>
      <c r="E1594" s="19" t="s">
        <v>311</v>
      </c>
      <c r="F1594" s="4" t="s">
        <v>1524</v>
      </c>
      <c r="G1594" s="20"/>
    </row>
    <row r="1595" spans="1:7" x14ac:dyDescent="0.2">
      <c r="A1595" s="14" t="s">
        <v>464</v>
      </c>
      <c r="B1595" s="14" t="s">
        <v>3612</v>
      </c>
      <c r="C1595" s="14" t="s">
        <v>2866</v>
      </c>
      <c r="D1595" s="14" t="s">
        <v>3516</v>
      </c>
      <c r="E1595" s="19" t="s">
        <v>313</v>
      </c>
      <c r="F1595" s="4" t="s">
        <v>1524</v>
      </c>
      <c r="G1595" s="20"/>
    </row>
    <row r="1596" spans="1:7" x14ac:dyDescent="0.2">
      <c r="A1596" s="14" t="s">
        <v>512</v>
      </c>
      <c r="B1596" s="14" t="s">
        <v>4746</v>
      </c>
      <c r="C1596" s="14" t="s">
        <v>2853</v>
      </c>
      <c r="D1596" s="14" t="s">
        <v>3517</v>
      </c>
      <c r="E1596" s="19" t="s">
        <v>3517</v>
      </c>
      <c r="F1596" s="4" t="s">
        <v>1524</v>
      </c>
      <c r="G1596" s="20"/>
    </row>
    <row r="1597" spans="1:7" x14ac:dyDescent="0.2">
      <c r="A1597" s="14" t="s">
        <v>470</v>
      </c>
      <c r="B1597" s="14" t="s">
        <v>3612</v>
      </c>
      <c r="C1597" s="14" t="s">
        <v>2867</v>
      </c>
      <c r="D1597" s="14" t="s">
        <v>3518</v>
      </c>
      <c r="E1597" s="19" t="s">
        <v>315</v>
      </c>
      <c r="F1597" s="4" t="s">
        <v>1524</v>
      </c>
      <c r="G1597" s="20"/>
    </row>
    <row r="1598" spans="1:7" x14ac:dyDescent="0.2">
      <c r="A1598" s="14" t="s">
        <v>490</v>
      </c>
      <c r="B1598" s="14" t="s">
        <v>3612</v>
      </c>
      <c r="C1598" s="14" t="s">
        <v>2868</v>
      </c>
      <c r="D1598" s="14" t="s">
        <v>3519</v>
      </c>
      <c r="E1598" s="11" t="s">
        <v>317</v>
      </c>
      <c r="F1598" s="4" t="s">
        <v>1524</v>
      </c>
    </row>
    <row r="1599" spans="1:7" x14ac:dyDescent="0.2">
      <c r="A1599" s="14" t="s">
        <v>489</v>
      </c>
      <c r="B1599" s="14" t="s">
        <v>3612</v>
      </c>
      <c r="C1599" s="14" t="s">
        <v>2869</v>
      </c>
      <c r="D1599" s="14" t="s">
        <v>3520</v>
      </c>
      <c r="E1599" s="11" t="s">
        <v>321</v>
      </c>
      <c r="F1599" s="4" t="s">
        <v>1524</v>
      </c>
    </row>
    <row r="1600" spans="1:7" x14ac:dyDescent="0.2">
      <c r="A1600" s="14" t="s">
        <v>513</v>
      </c>
      <c r="B1600" s="14" t="s">
        <v>3612</v>
      </c>
      <c r="C1600" s="14" t="s">
        <v>2870</v>
      </c>
      <c r="D1600" s="14" t="s">
        <v>3521</v>
      </c>
      <c r="E1600" s="11" t="s">
        <v>3521</v>
      </c>
      <c r="F1600" s="4" t="s">
        <v>1524</v>
      </c>
    </row>
    <row r="1601" spans="1:8" x14ac:dyDescent="0.2">
      <c r="A1601" s="14" t="s">
        <v>491</v>
      </c>
      <c r="B1601" s="14" t="s">
        <v>3612</v>
      </c>
      <c r="C1601" s="14" t="s">
        <v>2871</v>
      </c>
      <c r="D1601" s="14" t="s">
        <v>3522</v>
      </c>
      <c r="E1601" s="11" t="s">
        <v>3620</v>
      </c>
      <c r="F1601" s="4" t="s">
        <v>1524</v>
      </c>
    </row>
    <row r="1602" spans="1:8" x14ac:dyDescent="0.2">
      <c r="A1602" s="14" t="s">
        <v>496</v>
      </c>
      <c r="B1602" s="14" t="s">
        <v>3612</v>
      </c>
      <c r="C1602" s="14" t="s">
        <v>1602</v>
      </c>
      <c r="D1602" s="14" t="s">
        <v>3523</v>
      </c>
      <c r="E1602" s="11"/>
      <c r="F1602" s="4" t="s">
        <v>4757</v>
      </c>
    </row>
    <row r="1603" spans="1:8" x14ac:dyDescent="0.2">
      <c r="A1603" s="14" t="s">
        <v>497</v>
      </c>
      <c r="B1603" s="14" t="s">
        <v>3612</v>
      </c>
      <c r="C1603" s="14" t="s">
        <v>2872</v>
      </c>
      <c r="D1603" s="14" t="s">
        <v>3524</v>
      </c>
      <c r="E1603" s="11" t="s">
        <v>3621</v>
      </c>
      <c r="F1603" s="4" t="s">
        <v>1524</v>
      </c>
    </row>
    <row r="1604" spans="1:8" x14ac:dyDescent="0.2">
      <c r="A1604" s="14" t="s">
        <v>492</v>
      </c>
      <c r="B1604" s="14" t="s">
        <v>3612</v>
      </c>
      <c r="C1604" s="14" t="s">
        <v>2873</v>
      </c>
      <c r="D1604" s="14" t="s">
        <v>3525</v>
      </c>
      <c r="E1604" s="11" t="s">
        <v>322</v>
      </c>
      <c r="F1604" s="4" t="s">
        <v>1524</v>
      </c>
    </row>
    <row r="1605" spans="1:8" x14ac:dyDescent="0.2">
      <c r="A1605" s="14" t="s">
        <v>514</v>
      </c>
      <c r="B1605" s="14" t="s">
        <v>3612</v>
      </c>
      <c r="C1605" s="14" t="s">
        <v>2874</v>
      </c>
      <c r="D1605" s="14" t="s">
        <v>3526</v>
      </c>
      <c r="E1605" s="11" t="s">
        <v>3526</v>
      </c>
      <c r="F1605" s="4" t="s">
        <v>1524</v>
      </c>
    </row>
    <row r="1606" spans="1:8" x14ac:dyDescent="0.2">
      <c r="A1606" s="14" t="s">
        <v>493</v>
      </c>
      <c r="B1606" s="14" t="s">
        <v>3612</v>
      </c>
      <c r="C1606" s="14" t="s">
        <v>2875</v>
      </c>
      <c r="D1606" s="14" t="s">
        <v>3527</v>
      </c>
      <c r="E1606" s="11" t="s">
        <v>324</v>
      </c>
      <c r="F1606" s="4" t="s">
        <v>1524</v>
      </c>
    </row>
    <row r="1607" spans="1:8" x14ac:dyDescent="0.2">
      <c r="A1607" s="14" t="s">
        <v>494</v>
      </c>
      <c r="B1607" s="14" t="s">
        <v>3612</v>
      </c>
      <c r="C1607" s="14" t="s">
        <v>2849</v>
      </c>
      <c r="D1607" s="14" t="s">
        <v>3528</v>
      </c>
      <c r="E1607" s="11" t="s">
        <v>3615</v>
      </c>
      <c r="F1607" s="4" t="s">
        <v>1524</v>
      </c>
    </row>
    <row r="1608" spans="1:8" x14ac:dyDescent="0.2">
      <c r="A1608" s="14" t="s">
        <v>495</v>
      </c>
      <c r="B1608" s="14" t="s">
        <v>3612</v>
      </c>
      <c r="C1608" s="14" t="s">
        <v>2851</v>
      </c>
      <c r="D1608" s="14" t="s">
        <v>3529</v>
      </c>
      <c r="E1608" s="11" t="s">
        <v>3616</v>
      </c>
      <c r="F1608" s="4" t="s">
        <v>1524</v>
      </c>
    </row>
    <row r="1609" spans="1:8" x14ac:dyDescent="0.2">
      <c r="A1609" s="14" t="s">
        <v>1432</v>
      </c>
      <c r="B1609" s="14" t="s">
        <v>3612</v>
      </c>
      <c r="C1609" s="14" t="s">
        <v>2896</v>
      </c>
      <c r="D1609" s="14" t="s">
        <v>3561</v>
      </c>
      <c r="E1609" s="11" t="s">
        <v>3954</v>
      </c>
      <c r="F1609" s="4" t="s">
        <v>1524</v>
      </c>
    </row>
    <row r="1610" spans="1:8" x14ac:dyDescent="0.2">
      <c r="A1610" s="14" t="s">
        <v>533</v>
      </c>
      <c r="B1610" s="14" t="s">
        <v>3609</v>
      </c>
      <c r="C1610" s="14" t="s">
        <v>2850</v>
      </c>
      <c r="D1610" s="14" t="s">
        <v>3562</v>
      </c>
      <c r="E1610" s="11"/>
      <c r="F1610" s="4" t="s">
        <v>4757</v>
      </c>
    </row>
    <row r="1611" spans="1:8" x14ac:dyDescent="0.2">
      <c r="A1611" s="14" t="s">
        <v>1433</v>
      </c>
      <c r="B1611" s="14" t="s">
        <v>3612</v>
      </c>
      <c r="C1611" s="14" t="s">
        <v>2897</v>
      </c>
      <c r="D1611" s="14" t="s">
        <v>3563</v>
      </c>
      <c r="E1611" s="11" t="s">
        <v>3633</v>
      </c>
      <c r="F1611" s="4" t="s">
        <v>1524</v>
      </c>
    </row>
    <row r="1612" spans="1:8" x14ac:dyDescent="0.2">
      <c r="A1612" s="14" t="s">
        <v>534</v>
      </c>
      <c r="B1612" s="14" t="s">
        <v>3609</v>
      </c>
      <c r="C1612" s="14" t="s">
        <v>2850</v>
      </c>
      <c r="D1612" s="14" t="s">
        <v>3564</v>
      </c>
      <c r="E1612" s="11"/>
      <c r="F1612" s="4" t="s">
        <v>4757</v>
      </c>
    </row>
    <row r="1613" spans="1:8" x14ac:dyDescent="0.2">
      <c r="A1613" s="14" t="s">
        <v>535</v>
      </c>
      <c r="B1613" s="14" t="s">
        <v>3612</v>
      </c>
      <c r="C1613" s="14" t="s">
        <v>2898</v>
      </c>
      <c r="D1613" s="14" t="s">
        <v>3565</v>
      </c>
      <c r="E1613" s="11"/>
      <c r="F1613" s="4" t="s">
        <v>4757</v>
      </c>
    </row>
    <row r="1614" spans="1:8" x14ac:dyDescent="0.2">
      <c r="A1614" s="14" t="s">
        <v>536</v>
      </c>
      <c r="B1614" s="14" t="s">
        <v>3612</v>
      </c>
      <c r="C1614" s="14" t="s">
        <v>2899</v>
      </c>
      <c r="D1614" s="14" t="s">
        <v>3566</v>
      </c>
      <c r="E1614" s="11"/>
      <c r="F1614" s="4" t="s">
        <v>4757</v>
      </c>
    </row>
    <row r="1615" spans="1:8" x14ac:dyDescent="0.2">
      <c r="A1615" s="14" t="s">
        <v>2613</v>
      </c>
      <c r="B1615" s="14" t="s">
        <v>4746</v>
      </c>
      <c r="C1615" s="14" t="s">
        <v>2853</v>
      </c>
      <c r="D1615" s="14" t="s">
        <v>1754</v>
      </c>
      <c r="E1615" s="11"/>
      <c r="F1615" s="4" t="s">
        <v>4757</v>
      </c>
      <c r="H1615" s="6"/>
    </row>
    <row r="1616" spans="1:8" x14ac:dyDescent="0.2">
      <c r="A1616" s="14" t="s">
        <v>597</v>
      </c>
      <c r="B1616" s="14" t="s">
        <v>3609</v>
      </c>
      <c r="C1616" s="14" t="s">
        <v>2850</v>
      </c>
      <c r="D1616" s="14" t="s">
        <v>118</v>
      </c>
      <c r="E1616" s="11"/>
      <c r="F1616" s="4" t="s">
        <v>4757</v>
      </c>
    </row>
    <row r="1617" spans="1:8" x14ac:dyDescent="0.2">
      <c r="A1617" s="14" t="s">
        <v>1136</v>
      </c>
      <c r="B1617" s="14" t="s">
        <v>3612</v>
      </c>
      <c r="C1617" s="14" t="s">
        <v>2926</v>
      </c>
      <c r="D1617" s="14" t="s">
        <v>35</v>
      </c>
      <c r="E1617" s="11" t="s">
        <v>3634</v>
      </c>
      <c r="F1617" s="4" t="s">
        <v>1524</v>
      </c>
    </row>
    <row r="1618" spans="1:8" x14ac:dyDescent="0.2">
      <c r="A1618" s="14" t="s">
        <v>1135</v>
      </c>
      <c r="B1618" s="14" t="s">
        <v>3612</v>
      </c>
      <c r="C1618" s="14" t="s">
        <v>2927</v>
      </c>
      <c r="D1618" s="14" t="s">
        <v>36</v>
      </c>
      <c r="E1618" s="11" t="s">
        <v>4664</v>
      </c>
      <c r="F1618" s="4" t="s">
        <v>1524</v>
      </c>
    </row>
    <row r="1619" spans="1:8" x14ac:dyDescent="0.2">
      <c r="A1619" s="14" t="s">
        <v>2447</v>
      </c>
      <c r="B1619" s="14" t="s">
        <v>3609</v>
      </c>
      <c r="C1619" s="14" t="s">
        <v>2850</v>
      </c>
      <c r="D1619" s="14" t="s">
        <v>4647</v>
      </c>
      <c r="E1619" s="11"/>
      <c r="F1619" s="4" t="s">
        <v>4757</v>
      </c>
      <c r="H1619" s="6"/>
    </row>
    <row r="1620" spans="1:8" x14ac:dyDescent="0.2">
      <c r="A1620" s="14" t="s">
        <v>1137</v>
      </c>
      <c r="B1620" s="14" t="s">
        <v>3612</v>
      </c>
      <c r="C1620" s="14" t="s">
        <v>2928</v>
      </c>
      <c r="D1620" s="14" t="s">
        <v>37</v>
      </c>
      <c r="E1620" s="11" t="s">
        <v>3635</v>
      </c>
      <c r="F1620" s="4" t="s">
        <v>1524</v>
      </c>
    </row>
    <row r="1621" spans="1:8" x14ac:dyDescent="0.2">
      <c r="A1621" s="14" t="s">
        <v>1122</v>
      </c>
      <c r="B1621" s="14" t="s">
        <v>3612</v>
      </c>
      <c r="C1621" s="14" t="s">
        <v>2929</v>
      </c>
      <c r="D1621" s="14" t="s">
        <v>38</v>
      </c>
      <c r="E1621" s="11" t="s">
        <v>38</v>
      </c>
      <c r="F1621" s="4" t="s">
        <v>1524</v>
      </c>
    </row>
    <row r="1622" spans="1:8" x14ac:dyDescent="0.2">
      <c r="A1622" s="14" t="s">
        <v>1335</v>
      </c>
      <c r="B1622" s="14" t="s">
        <v>3612</v>
      </c>
      <c r="C1622" s="14" t="s">
        <v>2930</v>
      </c>
      <c r="D1622" s="14" t="s">
        <v>39</v>
      </c>
      <c r="E1622" s="11" t="s">
        <v>39</v>
      </c>
      <c r="F1622" s="4" t="s">
        <v>1524</v>
      </c>
    </row>
    <row r="1623" spans="1:8" x14ac:dyDescent="0.2">
      <c r="A1623" s="14" t="s">
        <v>1123</v>
      </c>
      <c r="B1623" s="14" t="s">
        <v>3612</v>
      </c>
      <c r="C1623" s="14" t="s">
        <v>2931</v>
      </c>
      <c r="D1623" s="14" t="s">
        <v>40</v>
      </c>
      <c r="E1623" s="11" t="s">
        <v>3636</v>
      </c>
      <c r="F1623" s="4" t="s">
        <v>1524</v>
      </c>
    </row>
    <row r="1624" spans="1:8" x14ac:dyDescent="0.2">
      <c r="A1624" s="14" t="s">
        <v>1336</v>
      </c>
      <c r="B1624" s="14" t="s">
        <v>3612</v>
      </c>
      <c r="C1624" s="14" t="s">
        <v>2932</v>
      </c>
      <c r="D1624" s="14" t="s">
        <v>41</v>
      </c>
      <c r="E1624" s="11" t="s">
        <v>41</v>
      </c>
      <c r="F1624" s="4" t="s">
        <v>1524</v>
      </c>
    </row>
    <row r="1625" spans="1:8" x14ac:dyDescent="0.2">
      <c r="A1625" s="14" t="s">
        <v>1124</v>
      </c>
      <c r="B1625" s="14" t="s">
        <v>3612</v>
      </c>
      <c r="C1625" s="14" t="s">
        <v>2933</v>
      </c>
      <c r="D1625" s="14" t="s">
        <v>42</v>
      </c>
      <c r="E1625" s="11" t="s">
        <v>3637</v>
      </c>
      <c r="F1625" s="4" t="s">
        <v>1524</v>
      </c>
    </row>
    <row r="1626" spans="1:8" x14ac:dyDescent="0.2">
      <c r="A1626" s="14" t="s">
        <v>1125</v>
      </c>
      <c r="B1626" s="14" t="s">
        <v>3612</v>
      </c>
      <c r="C1626" s="14" t="s">
        <v>2934</v>
      </c>
      <c r="D1626" s="14" t="s">
        <v>43</v>
      </c>
      <c r="E1626" s="11" t="s">
        <v>3638</v>
      </c>
      <c r="F1626" s="4" t="s">
        <v>1524</v>
      </c>
    </row>
    <row r="1627" spans="1:8" x14ac:dyDescent="0.2">
      <c r="A1627" s="14" t="s">
        <v>1129</v>
      </c>
      <c r="B1627" s="14" t="s">
        <v>3612</v>
      </c>
      <c r="C1627" s="14" t="s">
        <v>2935</v>
      </c>
      <c r="D1627" s="14" t="s">
        <v>44</v>
      </c>
      <c r="E1627" s="11" t="s">
        <v>1891</v>
      </c>
      <c r="F1627" s="4" t="s">
        <v>1524</v>
      </c>
    </row>
    <row r="1628" spans="1:8" x14ac:dyDescent="0.2">
      <c r="A1628" s="14" t="s">
        <v>1130</v>
      </c>
      <c r="B1628" s="14" t="s">
        <v>3612</v>
      </c>
      <c r="C1628" s="14" t="s">
        <v>2936</v>
      </c>
      <c r="D1628" s="14" t="s">
        <v>45</v>
      </c>
      <c r="E1628" s="11" t="s">
        <v>3639</v>
      </c>
      <c r="F1628" s="4" t="s">
        <v>1524</v>
      </c>
    </row>
    <row r="1629" spans="1:8" x14ac:dyDescent="0.2">
      <c r="A1629" s="14" t="s">
        <v>1131</v>
      </c>
      <c r="B1629" s="14" t="s">
        <v>3612</v>
      </c>
      <c r="C1629" s="14" t="s">
        <v>2937</v>
      </c>
      <c r="D1629" s="14" t="s">
        <v>46</v>
      </c>
      <c r="E1629" s="11" t="s">
        <v>4669</v>
      </c>
      <c r="F1629" s="4" t="s">
        <v>1524</v>
      </c>
    </row>
    <row r="1630" spans="1:8" x14ac:dyDescent="0.2">
      <c r="A1630" s="14" t="s">
        <v>564</v>
      </c>
      <c r="B1630" s="14" t="s">
        <v>3609</v>
      </c>
      <c r="C1630" s="14" t="s">
        <v>2850</v>
      </c>
      <c r="D1630" s="14" t="s">
        <v>47</v>
      </c>
      <c r="E1630" s="11"/>
      <c r="F1630" s="4" t="s">
        <v>4757</v>
      </c>
    </row>
    <row r="1631" spans="1:8" x14ac:dyDescent="0.2">
      <c r="A1631" s="14" t="s">
        <v>1132</v>
      </c>
      <c r="B1631" s="14" t="s">
        <v>3612</v>
      </c>
      <c r="C1631" s="14" t="s">
        <v>2938</v>
      </c>
      <c r="D1631" s="14" t="s">
        <v>48</v>
      </c>
      <c r="E1631" s="11" t="s">
        <v>48</v>
      </c>
      <c r="F1631" s="4" t="s">
        <v>1524</v>
      </c>
    </row>
    <row r="1632" spans="1:8" x14ac:dyDescent="0.2">
      <c r="A1632" s="14" t="s">
        <v>1133</v>
      </c>
      <c r="B1632" s="14" t="s">
        <v>3612</v>
      </c>
      <c r="C1632" s="14" t="s">
        <v>2939</v>
      </c>
      <c r="D1632" s="14" t="s">
        <v>49</v>
      </c>
      <c r="E1632" s="11" t="s">
        <v>3640</v>
      </c>
      <c r="F1632" s="4" t="s">
        <v>1524</v>
      </c>
    </row>
    <row r="1633" spans="1:6" x14ac:dyDescent="0.2">
      <c r="A1633" s="14" t="s">
        <v>1126</v>
      </c>
      <c r="B1633" s="14" t="s">
        <v>3612</v>
      </c>
      <c r="C1633" s="14" t="s">
        <v>2940</v>
      </c>
      <c r="D1633" s="14" t="s">
        <v>50</v>
      </c>
      <c r="E1633" s="11" t="s">
        <v>3641</v>
      </c>
      <c r="F1633" s="4" t="s">
        <v>1524</v>
      </c>
    </row>
    <row r="1634" spans="1:6" x14ac:dyDescent="0.2">
      <c r="A1634" s="14" t="s">
        <v>1127</v>
      </c>
      <c r="B1634" s="14" t="s">
        <v>3612</v>
      </c>
      <c r="C1634" s="14" t="s">
        <v>2941</v>
      </c>
      <c r="D1634" s="14" t="s">
        <v>51</v>
      </c>
      <c r="E1634" s="11" t="s">
        <v>4670</v>
      </c>
      <c r="F1634" s="4" t="s">
        <v>1524</v>
      </c>
    </row>
    <row r="1635" spans="1:6" x14ac:dyDescent="0.2">
      <c r="A1635" s="14" t="s">
        <v>565</v>
      </c>
      <c r="B1635" s="14" t="s">
        <v>3609</v>
      </c>
      <c r="C1635" s="14" t="s">
        <v>2850</v>
      </c>
      <c r="D1635" s="14" t="s">
        <v>52</v>
      </c>
      <c r="E1635" s="11"/>
      <c r="F1635" s="4" t="s">
        <v>4757</v>
      </c>
    </row>
    <row r="1636" spans="1:6" x14ac:dyDescent="0.2">
      <c r="A1636" s="14" t="s">
        <v>1128</v>
      </c>
      <c r="B1636" s="14" t="s">
        <v>3612</v>
      </c>
      <c r="C1636" s="14" t="s">
        <v>2942</v>
      </c>
      <c r="D1636" s="14" t="s">
        <v>53</v>
      </c>
      <c r="E1636" s="11" t="s">
        <v>3642</v>
      </c>
      <c r="F1636" s="4" t="s">
        <v>1524</v>
      </c>
    </row>
    <row r="1637" spans="1:6" x14ac:dyDescent="0.2">
      <c r="A1637" s="14" t="s">
        <v>1138</v>
      </c>
      <c r="B1637" s="14" t="s">
        <v>3612</v>
      </c>
      <c r="C1637" s="14" t="s">
        <v>2943</v>
      </c>
      <c r="D1637" s="14" t="s">
        <v>54</v>
      </c>
      <c r="E1637" s="11" t="s">
        <v>3643</v>
      </c>
      <c r="F1637" s="4" t="s">
        <v>1524</v>
      </c>
    </row>
    <row r="1638" spans="1:6" x14ac:dyDescent="0.2">
      <c r="A1638" s="14" t="s">
        <v>525</v>
      </c>
      <c r="B1638" s="14" t="s">
        <v>3612</v>
      </c>
      <c r="C1638" s="14" t="s">
        <v>2891</v>
      </c>
      <c r="D1638" s="14" t="s">
        <v>3553</v>
      </c>
      <c r="E1638" s="11" t="s">
        <v>3553</v>
      </c>
      <c r="F1638" s="4" t="s">
        <v>1524</v>
      </c>
    </row>
    <row r="1639" spans="1:6" x14ac:dyDescent="0.2">
      <c r="A1639" s="14" t="s">
        <v>1134</v>
      </c>
      <c r="B1639" s="14" t="s">
        <v>3612</v>
      </c>
      <c r="C1639" s="14" t="s">
        <v>2944</v>
      </c>
      <c r="D1639" s="14" t="s">
        <v>55</v>
      </c>
      <c r="E1639" s="11" t="s">
        <v>3644</v>
      </c>
      <c r="F1639" s="4" t="s">
        <v>1524</v>
      </c>
    </row>
    <row r="1640" spans="1:6" x14ac:dyDescent="0.2">
      <c r="A1640" s="14" t="s">
        <v>1096</v>
      </c>
      <c r="B1640" s="14" t="s">
        <v>3612</v>
      </c>
      <c r="C1640" s="14" t="s">
        <v>2877</v>
      </c>
      <c r="D1640" s="14" t="s">
        <v>1162</v>
      </c>
      <c r="E1640" s="11" t="s">
        <v>1162</v>
      </c>
      <c r="F1640" s="4" t="s">
        <v>1524</v>
      </c>
    </row>
    <row r="1641" spans="1:6" x14ac:dyDescent="0.2">
      <c r="A1641" s="14" t="s">
        <v>1098</v>
      </c>
      <c r="B1641" s="14" t="s">
        <v>3612</v>
      </c>
      <c r="C1641" s="14" t="s">
        <v>2878</v>
      </c>
      <c r="D1641" s="14" t="s">
        <v>3531</v>
      </c>
      <c r="E1641" s="11" t="s">
        <v>3622</v>
      </c>
      <c r="F1641" s="4" t="s">
        <v>1524</v>
      </c>
    </row>
    <row r="1642" spans="1:6" x14ac:dyDescent="0.2">
      <c r="A1642" s="14" t="s">
        <v>515</v>
      </c>
      <c r="B1642" s="14" t="s">
        <v>3609</v>
      </c>
      <c r="C1642" s="14" t="s">
        <v>2850</v>
      </c>
      <c r="D1642" s="14" t="s">
        <v>3532</v>
      </c>
      <c r="E1642" s="11"/>
      <c r="F1642" s="4" t="s">
        <v>4757</v>
      </c>
    </row>
    <row r="1643" spans="1:6" x14ac:dyDescent="0.2">
      <c r="A1643" s="14" t="s">
        <v>516</v>
      </c>
      <c r="B1643" s="14" t="s">
        <v>3612</v>
      </c>
      <c r="C1643" s="14" t="s">
        <v>1593</v>
      </c>
      <c r="D1643" s="14" t="s">
        <v>3533</v>
      </c>
      <c r="E1643" s="11"/>
      <c r="F1643" s="4" t="s">
        <v>4757</v>
      </c>
    </row>
    <row r="1644" spans="1:6" x14ac:dyDescent="0.2">
      <c r="A1644" s="14" t="s">
        <v>1097</v>
      </c>
      <c r="B1644" s="14" t="s">
        <v>3612</v>
      </c>
      <c r="C1644" s="14" t="s">
        <v>2879</v>
      </c>
      <c r="D1644" s="14" t="s">
        <v>3534</v>
      </c>
      <c r="E1644" s="11" t="s">
        <v>3534</v>
      </c>
      <c r="F1644" s="4" t="s">
        <v>1524</v>
      </c>
    </row>
    <row r="1645" spans="1:6" x14ac:dyDescent="0.2">
      <c r="A1645" s="14" t="s">
        <v>1099</v>
      </c>
      <c r="B1645" s="14" t="s">
        <v>3612</v>
      </c>
      <c r="C1645" s="14" t="s">
        <v>2880</v>
      </c>
      <c r="D1645" s="14" t="s">
        <v>3535</v>
      </c>
      <c r="E1645" s="11" t="s">
        <v>3535</v>
      </c>
      <c r="F1645" s="4" t="s">
        <v>1524</v>
      </c>
    </row>
    <row r="1646" spans="1:6" x14ac:dyDescent="0.2">
      <c r="A1646" s="14" t="s">
        <v>1334</v>
      </c>
      <c r="B1646" s="14" t="s">
        <v>3612</v>
      </c>
      <c r="C1646" s="14" t="s">
        <v>2876</v>
      </c>
      <c r="D1646" s="14" t="s">
        <v>3530</v>
      </c>
      <c r="E1646" s="11" t="s">
        <v>3530</v>
      </c>
      <c r="F1646" s="4" t="s">
        <v>1524</v>
      </c>
    </row>
    <row r="1647" spans="1:6" x14ac:dyDescent="0.2">
      <c r="A1647" s="14" t="s">
        <v>1434</v>
      </c>
      <c r="B1647" s="14" t="s">
        <v>3612</v>
      </c>
      <c r="C1647" s="14" t="s">
        <v>1592</v>
      </c>
      <c r="D1647" s="14" t="s">
        <v>1163</v>
      </c>
      <c r="E1647" s="11"/>
      <c r="F1647" s="4" t="s">
        <v>4757</v>
      </c>
    </row>
    <row r="1648" spans="1:6" x14ac:dyDescent="0.2">
      <c r="A1648" s="14" t="s">
        <v>1491</v>
      </c>
      <c r="B1648" s="14" t="s">
        <v>4746</v>
      </c>
      <c r="C1648" s="14" t="s">
        <v>2853</v>
      </c>
      <c r="D1648" s="14" t="s">
        <v>14</v>
      </c>
      <c r="E1648" s="11"/>
      <c r="F1648" s="4" t="s">
        <v>4757</v>
      </c>
    </row>
    <row r="1649" spans="1:6" x14ac:dyDescent="0.2">
      <c r="A1649" s="14" t="s">
        <v>1435</v>
      </c>
      <c r="B1649" s="14" t="s">
        <v>3612</v>
      </c>
      <c r="C1649" s="14" t="s">
        <v>2920</v>
      </c>
      <c r="D1649" s="14" t="s">
        <v>1164</v>
      </c>
      <c r="E1649" s="11"/>
      <c r="F1649" s="4" t="s">
        <v>4757</v>
      </c>
    </row>
    <row r="1650" spans="1:6" x14ac:dyDescent="0.2">
      <c r="A1650" s="14" t="s">
        <v>1492</v>
      </c>
      <c r="B1650" s="14" t="s">
        <v>3612</v>
      </c>
      <c r="C1650" s="14" t="s">
        <v>2921</v>
      </c>
      <c r="D1650" s="14" t="s">
        <v>15</v>
      </c>
      <c r="E1650" s="11" t="s">
        <v>15</v>
      </c>
      <c r="F1650" s="4" t="s">
        <v>1524</v>
      </c>
    </row>
    <row r="1651" spans="1:6" x14ac:dyDescent="0.2">
      <c r="A1651" s="14" t="s">
        <v>552</v>
      </c>
      <c r="B1651" s="14" t="s">
        <v>3612</v>
      </c>
      <c r="C1651" s="14" t="s">
        <v>2921</v>
      </c>
      <c r="D1651" s="14" t="s">
        <v>15</v>
      </c>
      <c r="E1651" s="11" t="s">
        <v>15</v>
      </c>
      <c r="F1651" s="4" t="s">
        <v>1524</v>
      </c>
    </row>
    <row r="1652" spans="1:6" x14ac:dyDescent="0.2">
      <c r="A1652" s="14" t="s">
        <v>1493</v>
      </c>
      <c r="B1652" s="14" t="s">
        <v>4746</v>
      </c>
      <c r="C1652" s="14" t="s">
        <v>2853</v>
      </c>
      <c r="D1652" s="14" t="s">
        <v>16</v>
      </c>
      <c r="E1652" s="11"/>
      <c r="F1652" s="4" t="s">
        <v>4757</v>
      </c>
    </row>
    <row r="1653" spans="1:6" x14ac:dyDescent="0.2">
      <c r="A1653" s="14" t="s">
        <v>439</v>
      </c>
      <c r="B1653" s="14" t="s">
        <v>3612</v>
      </c>
      <c r="C1653" s="14" t="s">
        <v>2881</v>
      </c>
      <c r="D1653" s="14" t="s">
        <v>3536</v>
      </c>
      <c r="E1653" s="11" t="s">
        <v>3623</v>
      </c>
      <c r="F1653" s="4" t="s">
        <v>1524</v>
      </c>
    </row>
    <row r="1654" spans="1:6" x14ac:dyDescent="0.2">
      <c r="A1654" s="14" t="s">
        <v>440</v>
      </c>
      <c r="B1654" s="14" t="s">
        <v>3612</v>
      </c>
      <c r="C1654" s="14" t="s">
        <v>2882</v>
      </c>
      <c r="D1654" s="14" t="s">
        <v>3537</v>
      </c>
      <c r="E1654" s="11" t="s">
        <v>3624</v>
      </c>
      <c r="F1654" s="4" t="s">
        <v>1524</v>
      </c>
    </row>
    <row r="1655" spans="1:6" x14ac:dyDescent="0.2">
      <c r="A1655" s="14" t="s">
        <v>518</v>
      </c>
      <c r="B1655" s="14" t="s">
        <v>3612</v>
      </c>
      <c r="C1655" s="14" t="s">
        <v>2882</v>
      </c>
      <c r="D1655" s="14" t="s">
        <v>3538</v>
      </c>
      <c r="E1655" s="11" t="str">
        <f>VLOOKUP(C1655,'[2]List for Cat'!$C$1:$I$65536,7,0)</f>
        <v>50A DP SW NEON</v>
      </c>
      <c r="F1655" s="4" t="s">
        <v>4757</v>
      </c>
    </row>
    <row r="1656" spans="1:6" x14ac:dyDescent="0.2">
      <c r="A1656" s="14" t="s">
        <v>444</v>
      </c>
      <c r="B1656" s="14" t="s">
        <v>3612</v>
      </c>
      <c r="C1656" s="14" t="s">
        <v>2883</v>
      </c>
      <c r="D1656" s="14" t="s">
        <v>3539</v>
      </c>
      <c r="E1656" s="11" t="s">
        <v>3625</v>
      </c>
      <c r="F1656" s="4" t="s">
        <v>1524</v>
      </c>
    </row>
    <row r="1657" spans="1:6" x14ac:dyDescent="0.2">
      <c r="A1657" s="14" t="s">
        <v>441</v>
      </c>
      <c r="B1657" s="14" t="s">
        <v>3612</v>
      </c>
      <c r="C1657" s="14" t="s">
        <v>2884</v>
      </c>
      <c r="D1657" s="14" t="s">
        <v>3540</v>
      </c>
      <c r="E1657" s="11" t="s">
        <v>3626</v>
      </c>
      <c r="F1657" s="4" t="s">
        <v>1524</v>
      </c>
    </row>
    <row r="1658" spans="1:6" x14ac:dyDescent="0.2">
      <c r="A1658" s="14" t="s">
        <v>442</v>
      </c>
      <c r="B1658" s="14" t="s">
        <v>3612</v>
      </c>
      <c r="C1658" s="14" t="s">
        <v>2885</v>
      </c>
      <c r="D1658" s="14" t="s">
        <v>3541</v>
      </c>
      <c r="E1658" s="11" t="s">
        <v>3627</v>
      </c>
      <c r="F1658" s="4" t="s">
        <v>1524</v>
      </c>
    </row>
    <row r="1659" spans="1:6" x14ac:dyDescent="0.2">
      <c r="A1659" s="14" t="s">
        <v>443</v>
      </c>
      <c r="B1659" s="14" t="s">
        <v>3612</v>
      </c>
      <c r="C1659" s="14" t="s">
        <v>2886</v>
      </c>
      <c r="D1659" s="14" t="s">
        <v>3542</v>
      </c>
      <c r="E1659" s="11" t="s">
        <v>3628</v>
      </c>
      <c r="F1659" s="4" t="s">
        <v>1524</v>
      </c>
    </row>
    <row r="1660" spans="1:6" x14ac:dyDescent="0.2">
      <c r="A1660" s="14" t="s">
        <v>434</v>
      </c>
      <c r="B1660" s="14" t="s">
        <v>3612</v>
      </c>
      <c r="C1660" s="14" t="s">
        <v>2887</v>
      </c>
      <c r="D1660" s="14" t="s">
        <v>3543</v>
      </c>
      <c r="E1660" s="11" t="s">
        <v>3543</v>
      </c>
      <c r="F1660" s="4" t="s">
        <v>1524</v>
      </c>
    </row>
    <row r="1661" spans="1:6" x14ac:dyDescent="0.2">
      <c r="A1661" s="14" t="s">
        <v>435</v>
      </c>
      <c r="B1661" s="14" t="s">
        <v>3612</v>
      </c>
      <c r="C1661" s="14" t="s">
        <v>2888</v>
      </c>
      <c r="D1661" s="14" t="s">
        <v>3544</v>
      </c>
      <c r="E1661" s="11" t="s">
        <v>3629</v>
      </c>
      <c r="F1661" s="4" t="s">
        <v>1524</v>
      </c>
    </row>
    <row r="1662" spans="1:6" x14ac:dyDescent="0.2">
      <c r="A1662" s="14" t="s">
        <v>446</v>
      </c>
      <c r="B1662" s="14" t="s">
        <v>3612</v>
      </c>
      <c r="C1662" s="14" t="s">
        <v>2889</v>
      </c>
      <c r="D1662" s="14" t="s">
        <v>3545</v>
      </c>
      <c r="E1662" s="11" t="s">
        <v>3630</v>
      </c>
      <c r="F1662" s="4" t="s">
        <v>1524</v>
      </c>
    </row>
    <row r="1663" spans="1:6" x14ac:dyDescent="0.2">
      <c r="A1663" s="14" t="s">
        <v>445</v>
      </c>
      <c r="B1663" s="14" t="s">
        <v>3612</v>
      </c>
      <c r="C1663" s="14" t="s">
        <v>2890</v>
      </c>
      <c r="D1663" s="14" t="s">
        <v>3546</v>
      </c>
      <c r="E1663" s="11" t="s">
        <v>3631</v>
      </c>
      <c r="F1663" s="4" t="s">
        <v>1524</v>
      </c>
    </row>
    <row r="1664" spans="1:6" x14ac:dyDescent="0.2">
      <c r="A1664" s="14" t="s">
        <v>1006</v>
      </c>
      <c r="B1664" s="14" t="s">
        <v>3612</v>
      </c>
      <c r="C1664" s="14" t="s">
        <v>2945</v>
      </c>
      <c r="D1664" s="14" t="s">
        <v>60</v>
      </c>
      <c r="E1664" s="11" t="s">
        <v>60</v>
      </c>
      <c r="F1664" s="4" t="s">
        <v>1524</v>
      </c>
    </row>
    <row r="1665" spans="1:6" x14ac:dyDescent="0.2">
      <c r="A1665" s="14" t="s">
        <v>570</v>
      </c>
      <c r="B1665" s="14" t="s">
        <v>3612</v>
      </c>
      <c r="C1665" s="14" t="s">
        <v>2946</v>
      </c>
      <c r="D1665" s="14" t="s">
        <v>61</v>
      </c>
      <c r="E1665" s="11" t="s">
        <v>61</v>
      </c>
      <c r="F1665" s="4" t="s">
        <v>1524</v>
      </c>
    </row>
    <row r="1666" spans="1:6" x14ac:dyDescent="0.2">
      <c r="A1666" s="14" t="s">
        <v>1008</v>
      </c>
      <c r="B1666" s="14" t="s">
        <v>3612</v>
      </c>
      <c r="C1666" s="14" t="s">
        <v>2947</v>
      </c>
      <c r="D1666" s="14" t="s">
        <v>62</v>
      </c>
      <c r="E1666" s="11" t="s">
        <v>3645</v>
      </c>
      <c r="F1666" s="4" t="s">
        <v>1524</v>
      </c>
    </row>
    <row r="1667" spans="1:6" x14ac:dyDescent="0.2">
      <c r="A1667" s="14" t="s">
        <v>1444</v>
      </c>
      <c r="B1667" s="14" t="s">
        <v>3612</v>
      </c>
      <c r="C1667" s="14" t="s">
        <v>2948</v>
      </c>
      <c r="D1667" s="14" t="s">
        <v>63</v>
      </c>
      <c r="E1667" s="11" t="s">
        <v>3646</v>
      </c>
      <c r="F1667" s="4" t="s">
        <v>1524</v>
      </c>
    </row>
    <row r="1668" spans="1:6" x14ac:dyDescent="0.2">
      <c r="A1668" s="14" t="s">
        <v>1445</v>
      </c>
      <c r="B1668" s="14" t="s">
        <v>3612</v>
      </c>
      <c r="C1668" s="14" t="s">
        <v>2949</v>
      </c>
      <c r="D1668" s="14" t="s">
        <v>64</v>
      </c>
      <c r="E1668" s="11" t="s">
        <v>3647</v>
      </c>
      <c r="F1668" s="4" t="s">
        <v>1524</v>
      </c>
    </row>
    <row r="1669" spans="1:6" x14ac:dyDescent="0.2">
      <c r="A1669" s="14" t="s">
        <v>571</v>
      </c>
      <c r="B1669" s="14" t="s">
        <v>3609</v>
      </c>
      <c r="C1669" s="14" t="s">
        <v>2850</v>
      </c>
      <c r="D1669" s="14" t="s">
        <v>65</v>
      </c>
      <c r="E1669" s="11"/>
      <c r="F1669" s="4" t="s">
        <v>4757</v>
      </c>
    </row>
    <row r="1670" spans="1:6" x14ac:dyDescent="0.2">
      <c r="A1670" s="14" t="s">
        <v>1481</v>
      </c>
      <c r="B1670" s="14" t="s">
        <v>3612</v>
      </c>
      <c r="C1670" s="14" t="s">
        <v>2950</v>
      </c>
      <c r="D1670" s="14" t="s">
        <v>66</v>
      </c>
      <c r="E1670" s="11" t="s">
        <v>3648</v>
      </c>
      <c r="F1670" s="4" t="s">
        <v>1524</v>
      </c>
    </row>
    <row r="1671" spans="1:6" x14ac:dyDescent="0.2">
      <c r="A1671" s="14" t="s">
        <v>1482</v>
      </c>
      <c r="B1671" s="14" t="s">
        <v>3612</v>
      </c>
      <c r="C1671" s="14" t="s">
        <v>2951</v>
      </c>
      <c r="D1671" s="14" t="s">
        <v>67</v>
      </c>
      <c r="E1671" s="11" t="s">
        <v>3649</v>
      </c>
      <c r="F1671" s="4" t="s">
        <v>1524</v>
      </c>
    </row>
    <row r="1672" spans="1:6" x14ac:dyDescent="0.2">
      <c r="A1672" s="14" t="s">
        <v>1009</v>
      </c>
      <c r="B1672" s="14" t="s">
        <v>3612</v>
      </c>
      <c r="C1672" s="14" t="s">
        <v>2952</v>
      </c>
      <c r="D1672" s="14" t="s">
        <v>68</v>
      </c>
      <c r="E1672" s="11" t="s">
        <v>3650</v>
      </c>
      <c r="F1672" s="4" t="s">
        <v>1524</v>
      </c>
    </row>
    <row r="1673" spans="1:6" x14ac:dyDescent="0.2">
      <c r="A1673" s="14" t="s">
        <v>1483</v>
      </c>
      <c r="B1673" s="14" t="s">
        <v>3612</v>
      </c>
      <c r="C1673" s="14" t="s">
        <v>1594</v>
      </c>
      <c r="D1673" s="14" t="s">
        <v>69</v>
      </c>
      <c r="E1673" s="11"/>
      <c r="F1673" s="4" t="s">
        <v>4757</v>
      </c>
    </row>
    <row r="1674" spans="1:6" x14ac:dyDescent="0.2">
      <c r="A1674" s="14" t="s">
        <v>1484</v>
      </c>
      <c r="B1674" s="14" t="s">
        <v>3612</v>
      </c>
      <c r="C1674" s="14" t="s">
        <v>1594</v>
      </c>
      <c r="D1674" s="14" t="s">
        <v>70</v>
      </c>
      <c r="E1674" s="11"/>
      <c r="F1674" s="4" t="s">
        <v>4757</v>
      </c>
    </row>
    <row r="1675" spans="1:6" x14ac:dyDescent="0.2">
      <c r="A1675" s="14" t="s">
        <v>1459</v>
      </c>
      <c r="B1675" s="14" t="s">
        <v>3612</v>
      </c>
      <c r="C1675" s="14" t="s">
        <v>2953</v>
      </c>
      <c r="D1675" s="14" t="s">
        <v>71</v>
      </c>
      <c r="E1675" s="11" t="s">
        <v>1905</v>
      </c>
      <c r="F1675" s="4" t="s">
        <v>1524</v>
      </c>
    </row>
    <row r="1676" spans="1:6" x14ac:dyDescent="0.2">
      <c r="A1676" s="14" t="s">
        <v>1460</v>
      </c>
      <c r="B1676" s="14" t="s">
        <v>3612</v>
      </c>
      <c r="C1676" s="14" t="s">
        <v>2954</v>
      </c>
      <c r="D1676" s="14" t="s">
        <v>72</v>
      </c>
      <c r="E1676" s="11" t="s">
        <v>4037</v>
      </c>
      <c r="F1676" s="4" t="s">
        <v>1524</v>
      </c>
    </row>
    <row r="1677" spans="1:6" x14ac:dyDescent="0.2">
      <c r="A1677" s="14" t="s">
        <v>1461</v>
      </c>
      <c r="B1677" s="14" t="s">
        <v>3612</v>
      </c>
      <c r="C1677" s="14" t="s">
        <v>2955</v>
      </c>
      <c r="D1677" s="14" t="s">
        <v>73</v>
      </c>
      <c r="E1677" s="11" t="s">
        <v>3651</v>
      </c>
      <c r="F1677" s="4" t="s">
        <v>1524</v>
      </c>
    </row>
    <row r="1678" spans="1:6" x14ac:dyDescent="0.2">
      <c r="A1678" s="14" t="s">
        <v>1485</v>
      </c>
      <c r="B1678" s="14" t="s">
        <v>3612</v>
      </c>
      <c r="C1678" s="14" t="s">
        <v>1595</v>
      </c>
      <c r="D1678" s="14" t="s">
        <v>74</v>
      </c>
      <c r="E1678" s="11"/>
      <c r="F1678" s="4" t="s">
        <v>4757</v>
      </c>
    </row>
    <row r="1679" spans="1:6" x14ac:dyDescent="0.2">
      <c r="A1679" s="14" t="s">
        <v>572</v>
      </c>
      <c r="B1679" s="14" t="s">
        <v>3612</v>
      </c>
      <c r="C1679" s="14" t="s">
        <v>1595</v>
      </c>
      <c r="D1679" s="14" t="s">
        <v>75</v>
      </c>
      <c r="E1679" s="11"/>
      <c r="F1679" s="4" t="s">
        <v>4757</v>
      </c>
    </row>
    <row r="1680" spans="1:6" x14ac:dyDescent="0.2">
      <c r="A1680" s="14" t="s">
        <v>1169</v>
      </c>
      <c r="B1680" s="14" t="s">
        <v>3612</v>
      </c>
      <c r="C1680" s="14" t="s">
        <v>2967</v>
      </c>
      <c r="D1680" s="14" t="s">
        <v>119</v>
      </c>
      <c r="E1680" s="11" t="s">
        <v>119</v>
      </c>
      <c r="F1680" s="4" t="s">
        <v>1524</v>
      </c>
    </row>
    <row r="1681" spans="1:6" x14ac:dyDescent="0.2">
      <c r="A1681" s="14" t="s">
        <v>1443</v>
      </c>
      <c r="B1681" s="14" t="s">
        <v>3612</v>
      </c>
      <c r="C1681" s="14" t="s">
        <v>2968</v>
      </c>
      <c r="D1681" s="14" t="s">
        <v>1346</v>
      </c>
      <c r="E1681" s="11" t="s">
        <v>1346</v>
      </c>
      <c r="F1681" s="4" t="s">
        <v>1524</v>
      </c>
    </row>
    <row r="1682" spans="1:6" x14ac:dyDescent="0.2">
      <c r="A1682" s="14" t="s">
        <v>1453</v>
      </c>
      <c r="B1682" s="14" t="s">
        <v>3612</v>
      </c>
      <c r="C1682" s="14" t="s">
        <v>2969</v>
      </c>
      <c r="D1682" s="14" t="s">
        <v>1347</v>
      </c>
      <c r="E1682" s="11" t="s">
        <v>1347</v>
      </c>
      <c r="F1682" s="4" t="s">
        <v>1524</v>
      </c>
    </row>
    <row r="1683" spans="1:6" x14ac:dyDescent="0.2">
      <c r="A1683" s="14" t="s">
        <v>1466</v>
      </c>
      <c r="B1683" s="14" t="s">
        <v>4746</v>
      </c>
      <c r="C1683" s="14" t="s">
        <v>2853</v>
      </c>
      <c r="D1683" s="14" t="s">
        <v>17</v>
      </c>
      <c r="E1683" s="11"/>
      <c r="F1683" s="4" t="s">
        <v>4757</v>
      </c>
    </row>
    <row r="1684" spans="1:6" x14ac:dyDescent="0.2">
      <c r="A1684" s="14" t="s">
        <v>1467</v>
      </c>
      <c r="B1684" s="14" t="s">
        <v>4746</v>
      </c>
      <c r="C1684" s="14" t="s">
        <v>2853</v>
      </c>
      <c r="D1684" s="14" t="s">
        <v>18</v>
      </c>
      <c r="E1684" s="11"/>
      <c r="F1684" s="4" t="s">
        <v>4757</v>
      </c>
    </row>
    <row r="1685" spans="1:6" x14ac:dyDescent="0.2">
      <c r="A1685" s="14" t="s">
        <v>1470</v>
      </c>
      <c r="B1685" s="14" t="s">
        <v>4746</v>
      </c>
      <c r="C1685" s="14" t="s">
        <v>2922</v>
      </c>
      <c r="D1685" s="14" t="s">
        <v>19</v>
      </c>
      <c r="E1685" s="11"/>
      <c r="F1685" s="4" t="s">
        <v>4757</v>
      </c>
    </row>
    <row r="1686" spans="1:6" x14ac:dyDescent="0.2">
      <c r="A1686" s="14" t="s">
        <v>1471</v>
      </c>
      <c r="B1686" s="14" t="s">
        <v>4746</v>
      </c>
      <c r="C1686" s="14" t="s">
        <v>2853</v>
      </c>
      <c r="D1686" s="14" t="s">
        <v>20</v>
      </c>
      <c r="E1686" s="11"/>
      <c r="F1686" s="4" t="s">
        <v>4757</v>
      </c>
    </row>
    <row r="1687" spans="1:6" x14ac:dyDescent="0.2">
      <c r="A1687" s="14" t="s">
        <v>1472</v>
      </c>
      <c r="B1687" s="14" t="s">
        <v>4746</v>
      </c>
      <c r="C1687" s="14" t="s">
        <v>2853</v>
      </c>
      <c r="D1687" s="14" t="s">
        <v>21</v>
      </c>
      <c r="E1687" s="11"/>
      <c r="F1687" s="4" t="s">
        <v>4757</v>
      </c>
    </row>
    <row r="1688" spans="1:6" x14ac:dyDescent="0.2">
      <c r="A1688" s="14" t="s">
        <v>1465</v>
      </c>
      <c r="B1688" s="14" t="s">
        <v>4746</v>
      </c>
      <c r="C1688" s="14" t="s">
        <v>2853</v>
      </c>
      <c r="D1688" s="14" t="s">
        <v>22</v>
      </c>
      <c r="E1688" s="11"/>
      <c r="F1688" s="4" t="s">
        <v>4757</v>
      </c>
    </row>
    <row r="1689" spans="1:6" x14ac:dyDescent="0.2">
      <c r="A1689" s="14" t="s">
        <v>1468</v>
      </c>
      <c r="B1689" s="14" t="s">
        <v>4746</v>
      </c>
      <c r="C1689" s="14" t="s">
        <v>2853</v>
      </c>
      <c r="D1689" s="14" t="s">
        <v>23</v>
      </c>
      <c r="E1689" s="11"/>
      <c r="F1689" s="4" t="s">
        <v>4757</v>
      </c>
    </row>
    <row r="1690" spans="1:6" x14ac:dyDescent="0.2">
      <c r="A1690" s="14" t="s">
        <v>1469</v>
      </c>
      <c r="B1690" s="14" t="s">
        <v>4746</v>
      </c>
      <c r="C1690" s="14" t="s">
        <v>2853</v>
      </c>
      <c r="D1690" s="14" t="s">
        <v>24</v>
      </c>
      <c r="E1690" s="11"/>
      <c r="F1690" s="4" t="s">
        <v>4757</v>
      </c>
    </row>
    <row r="1691" spans="1:6" x14ac:dyDescent="0.2">
      <c r="A1691" s="14" t="s">
        <v>1348</v>
      </c>
      <c r="B1691" s="14" t="s">
        <v>3612</v>
      </c>
      <c r="C1691" s="14" t="s">
        <v>2900</v>
      </c>
      <c r="D1691" s="14" t="s">
        <v>3567</v>
      </c>
      <c r="E1691" s="11" t="s">
        <v>3567</v>
      </c>
      <c r="F1691" s="4" t="s">
        <v>1524</v>
      </c>
    </row>
    <row r="1692" spans="1:6" x14ac:dyDescent="0.2">
      <c r="A1692" s="14" t="s">
        <v>1344</v>
      </c>
      <c r="B1692" s="14" t="s">
        <v>3612</v>
      </c>
      <c r="C1692" s="14" t="s">
        <v>2901</v>
      </c>
      <c r="D1692" s="14" t="s">
        <v>3568</v>
      </c>
      <c r="E1692" s="11" t="s">
        <v>3568</v>
      </c>
      <c r="F1692" s="4" t="s">
        <v>1524</v>
      </c>
    </row>
    <row r="1693" spans="1:6" x14ac:dyDescent="0.2">
      <c r="A1693" s="14" t="s">
        <v>1349</v>
      </c>
      <c r="B1693" s="14" t="s">
        <v>3612</v>
      </c>
      <c r="C1693" s="14" t="s">
        <v>2902</v>
      </c>
      <c r="D1693" s="14" t="s">
        <v>3569</v>
      </c>
      <c r="E1693" s="11" t="s">
        <v>3569</v>
      </c>
      <c r="F1693" s="4" t="s">
        <v>1524</v>
      </c>
    </row>
    <row r="1694" spans="1:6" x14ac:dyDescent="0.2">
      <c r="A1694" s="14" t="s">
        <v>1350</v>
      </c>
      <c r="B1694" s="14" t="s">
        <v>3612</v>
      </c>
      <c r="C1694" s="14" t="s">
        <v>2903</v>
      </c>
      <c r="D1694" s="14" t="s">
        <v>3570</v>
      </c>
      <c r="E1694" s="11" t="s">
        <v>3570</v>
      </c>
      <c r="F1694" s="4" t="s">
        <v>1524</v>
      </c>
    </row>
    <row r="1695" spans="1:6" x14ac:dyDescent="0.2">
      <c r="A1695" s="14" t="s">
        <v>1351</v>
      </c>
      <c r="B1695" s="14" t="s">
        <v>3612</v>
      </c>
      <c r="C1695" s="14" t="s">
        <v>2904</v>
      </c>
      <c r="D1695" s="14" t="s">
        <v>3571</v>
      </c>
      <c r="E1695" s="11" t="s">
        <v>3571</v>
      </c>
      <c r="F1695" s="4" t="s">
        <v>1524</v>
      </c>
    </row>
    <row r="1696" spans="1:6" x14ac:dyDescent="0.2">
      <c r="A1696" s="14" t="s">
        <v>1352</v>
      </c>
      <c r="B1696" s="14" t="s">
        <v>3612</v>
      </c>
      <c r="C1696" s="14" t="s">
        <v>2905</v>
      </c>
      <c r="D1696" s="14" t="s">
        <v>3572</v>
      </c>
      <c r="E1696" s="11" t="s">
        <v>3572</v>
      </c>
      <c r="F1696" s="4" t="s">
        <v>1524</v>
      </c>
    </row>
    <row r="1697" spans="1:6" x14ac:dyDescent="0.2">
      <c r="A1697" s="14" t="s">
        <v>1159</v>
      </c>
      <c r="B1697" s="14" t="s">
        <v>3612</v>
      </c>
      <c r="C1697" s="14" t="s">
        <v>2906</v>
      </c>
      <c r="D1697" s="14" t="s">
        <v>3573</v>
      </c>
      <c r="E1697" s="11" t="s">
        <v>3573</v>
      </c>
      <c r="F1697" s="4" t="s">
        <v>1524</v>
      </c>
    </row>
    <row r="1698" spans="1:6" x14ac:dyDescent="0.2">
      <c r="A1698" s="14" t="s">
        <v>1353</v>
      </c>
      <c r="B1698" s="14" t="s">
        <v>3612</v>
      </c>
      <c r="C1698" s="14" t="s">
        <v>2907</v>
      </c>
      <c r="D1698" s="14" t="s">
        <v>3571</v>
      </c>
      <c r="E1698" s="11" t="s">
        <v>3571</v>
      </c>
      <c r="F1698" s="4" t="s">
        <v>1524</v>
      </c>
    </row>
    <row r="1699" spans="1:6" x14ac:dyDescent="0.2">
      <c r="A1699" s="14" t="s">
        <v>1354</v>
      </c>
      <c r="B1699" s="14" t="s">
        <v>3612</v>
      </c>
      <c r="C1699" s="14" t="s">
        <v>2908</v>
      </c>
      <c r="D1699" s="14" t="s">
        <v>3574</v>
      </c>
      <c r="E1699" s="11" t="s">
        <v>3574</v>
      </c>
      <c r="F1699" s="4" t="s">
        <v>1524</v>
      </c>
    </row>
    <row r="1700" spans="1:6" x14ac:dyDescent="0.2">
      <c r="A1700" s="14" t="s">
        <v>1355</v>
      </c>
      <c r="B1700" s="14" t="s">
        <v>3612</v>
      </c>
      <c r="C1700" s="14" t="s">
        <v>2909</v>
      </c>
      <c r="D1700" s="14" t="s">
        <v>3574</v>
      </c>
      <c r="E1700" s="11" t="s">
        <v>3574</v>
      </c>
      <c r="F1700" s="4" t="s">
        <v>4757</v>
      </c>
    </row>
    <row r="1701" spans="1:6" x14ac:dyDescent="0.2">
      <c r="A1701" s="14" t="s">
        <v>537</v>
      </c>
      <c r="B1701" s="14" t="s">
        <v>4746</v>
      </c>
      <c r="C1701" s="14" t="s">
        <v>2853</v>
      </c>
      <c r="D1701" s="14" t="s">
        <v>3575</v>
      </c>
      <c r="E1701" s="11"/>
      <c r="F1701" s="4" t="s">
        <v>4757</v>
      </c>
    </row>
    <row r="1702" spans="1:6" x14ac:dyDescent="0.2">
      <c r="A1702" s="14" t="s">
        <v>1356</v>
      </c>
      <c r="B1702" s="14" t="s">
        <v>4746</v>
      </c>
      <c r="C1702" s="14" t="s">
        <v>2853</v>
      </c>
      <c r="D1702" s="14" t="s">
        <v>3574</v>
      </c>
      <c r="E1702" s="11"/>
      <c r="F1702" s="4" t="s">
        <v>4757</v>
      </c>
    </row>
    <row r="1703" spans="1:6" x14ac:dyDescent="0.2">
      <c r="A1703" s="14" t="s">
        <v>1357</v>
      </c>
      <c r="B1703" s="14" t="s">
        <v>3612</v>
      </c>
      <c r="C1703" s="14" t="s">
        <v>2910</v>
      </c>
      <c r="D1703" s="14" t="s">
        <v>3571</v>
      </c>
      <c r="E1703" s="11" t="s">
        <v>3571</v>
      </c>
      <c r="F1703" s="4" t="s">
        <v>1524</v>
      </c>
    </row>
    <row r="1704" spans="1:6" x14ac:dyDescent="0.2">
      <c r="A1704" s="14" t="s">
        <v>538</v>
      </c>
      <c r="B1704" s="14" t="s">
        <v>4746</v>
      </c>
      <c r="C1704" s="14" t="s">
        <v>2853</v>
      </c>
      <c r="D1704" s="14" t="s">
        <v>0</v>
      </c>
      <c r="E1704" s="11"/>
      <c r="F1704" s="4" t="s">
        <v>4757</v>
      </c>
    </row>
    <row r="1705" spans="1:6" x14ac:dyDescent="0.2">
      <c r="A1705" s="14" t="s">
        <v>1358</v>
      </c>
      <c r="B1705" s="14" t="s">
        <v>3612</v>
      </c>
      <c r="C1705" s="14" t="s">
        <v>2911</v>
      </c>
      <c r="D1705" s="14" t="s">
        <v>3571</v>
      </c>
      <c r="E1705" s="11" t="s">
        <v>3571</v>
      </c>
      <c r="F1705" s="4" t="s">
        <v>1524</v>
      </c>
    </row>
    <row r="1706" spans="1:6" x14ac:dyDescent="0.2">
      <c r="A1706" s="14" t="s">
        <v>1216</v>
      </c>
      <c r="B1706" s="14" t="s">
        <v>4746</v>
      </c>
      <c r="C1706" s="14" t="s">
        <v>2853</v>
      </c>
      <c r="D1706" s="14" t="s">
        <v>1</v>
      </c>
      <c r="E1706" s="11" t="s">
        <v>1</v>
      </c>
      <c r="F1706" s="4" t="s">
        <v>1524</v>
      </c>
    </row>
    <row r="1707" spans="1:6" x14ac:dyDescent="0.2">
      <c r="A1707" s="14" t="s">
        <v>1217</v>
      </c>
      <c r="B1707" s="14" t="s">
        <v>4746</v>
      </c>
      <c r="C1707" s="14" t="s">
        <v>2853</v>
      </c>
      <c r="D1707" s="14" t="s">
        <v>2</v>
      </c>
      <c r="E1707" s="11" t="s">
        <v>2</v>
      </c>
      <c r="F1707" s="4" t="s">
        <v>1524</v>
      </c>
    </row>
    <row r="1708" spans="1:6" x14ac:dyDescent="0.2">
      <c r="A1708" s="14" t="s">
        <v>1218</v>
      </c>
      <c r="B1708" s="14" t="s">
        <v>3612</v>
      </c>
      <c r="C1708" s="14" t="s">
        <v>2914</v>
      </c>
      <c r="D1708" s="14" t="s">
        <v>3571</v>
      </c>
      <c r="E1708" s="11" t="s">
        <v>3571</v>
      </c>
      <c r="F1708" s="4" t="s">
        <v>1524</v>
      </c>
    </row>
    <row r="1709" spans="1:6" x14ac:dyDescent="0.2">
      <c r="A1709" s="14" t="s">
        <v>1219</v>
      </c>
      <c r="B1709" s="14" t="s">
        <v>4746</v>
      </c>
      <c r="C1709" s="14" t="s">
        <v>2853</v>
      </c>
      <c r="D1709" s="14" t="s">
        <v>3571</v>
      </c>
      <c r="E1709" s="11"/>
      <c r="F1709" s="4" t="s">
        <v>4757</v>
      </c>
    </row>
    <row r="1710" spans="1:6" x14ac:dyDescent="0.2">
      <c r="A1710" s="14" t="s">
        <v>553</v>
      </c>
      <c r="B1710" s="14" t="s">
        <v>4746</v>
      </c>
      <c r="C1710" s="14" t="s">
        <v>2853</v>
      </c>
      <c r="D1710" s="14" t="s">
        <v>25</v>
      </c>
      <c r="E1710" s="11"/>
    </row>
    <row r="1711" spans="1:6" x14ac:dyDescent="0.2">
      <c r="A1711" s="14" t="s">
        <v>554</v>
      </c>
      <c r="B1711" s="14" t="s">
        <v>3609</v>
      </c>
      <c r="C1711" s="14" t="s">
        <v>2850</v>
      </c>
      <c r="D1711" s="14" t="s">
        <v>26</v>
      </c>
      <c r="E1711" s="11"/>
      <c r="F1711" s="4" t="s">
        <v>4757</v>
      </c>
    </row>
    <row r="1712" spans="1:6" x14ac:dyDescent="0.2">
      <c r="A1712" s="14" t="s">
        <v>555</v>
      </c>
      <c r="B1712" s="14" t="s">
        <v>3612</v>
      </c>
      <c r="C1712" s="14" t="s">
        <v>2924</v>
      </c>
      <c r="D1712" s="14" t="s">
        <v>27</v>
      </c>
      <c r="E1712" s="11" t="s">
        <v>27</v>
      </c>
      <c r="F1712" s="4" t="s">
        <v>1524</v>
      </c>
    </row>
    <row r="1713" spans="1:6" x14ac:dyDescent="0.2">
      <c r="A1713" s="14" t="s">
        <v>556</v>
      </c>
      <c r="B1713" s="14" t="s">
        <v>4746</v>
      </c>
      <c r="C1713" s="14" t="s">
        <v>2853</v>
      </c>
      <c r="D1713" s="14" t="s">
        <v>28</v>
      </c>
      <c r="E1713" s="11"/>
    </row>
    <row r="1714" spans="1:6" x14ac:dyDescent="0.2">
      <c r="A1714" s="14" t="s">
        <v>557</v>
      </c>
      <c r="B1714" s="14" t="s">
        <v>3609</v>
      </c>
      <c r="C1714" s="14" t="s">
        <v>2850</v>
      </c>
      <c r="D1714" s="14" t="s">
        <v>29</v>
      </c>
      <c r="E1714" s="11"/>
      <c r="F1714" s="4" t="s">
        <v>4757</v>
      </c>
    </row>
    <row r="1715" spans="1:6" x14ac:dyDescent="0.2">
      <c r="A1715" s="14" t="s">
        <v>539</v>
      </c>
      <c r="B1715" s="14" t="s">
        <v>3612</v>
      </c>
      <c r="C1715" s="14" t="s">
        <v>2915</v>
      </c>
      <c r="D1715" s="14" t="s">
        <v>3</v>
      </c>
      <c r="E1715" s="11" t="s">
        <v>3</v>
      </c>
      <c r="F1715" s="4" t="s">
        <v>1524</v>
      </c>
    </row>
    <row r="1716" spans="1:6" x14ac:dyDescent="0.2">
      <c r="A1716" s="14" t="s">
        <v>540</v>
      </c>
      <c r="B1716" s="14" t="s">
        <v>3612</v>
      </c>
      <c r="C1716" s="14" t="s">
        <v>2916</v>
      </c>
      <c r="D1716" s="14" t="s">
        <v>4</v>
      </c>
      <c r="E1716" s="11" t="s">
        <v>4</v>
      </c>
      <c r="F1716" s="4" t="s">
        <v>1524</v>
      </c>
    </row>
    <row r="1717" spans="1:6" x14ac:dyDescent="0.2">
      <c r="A1717" s="14" t="s">
        <v>541</v>
      </c>
      <c r="B1717" s="14" t="s">
        <v>3612</v>
      </c>
      <c r="C1717" s="14" t="s">
        <v>2917</v>
      </c>
      <c r="D1717" s="14" t="s">
        <v>5</v>
      </c>
      <c r="E1717" s="11" t="s">
        <v>7</v>
      </c>
      <c r="F1717" s="4" t="s">
        <v>1524</v>
      </c>
    </row>
    <row r="1718" spans="1:6" x14ac:dyDescent="0.2">
      <c r="A1718" s="14" t="s">
        <v>542</v>
      </c>
      <c r="B1718" s="14" t="s">
        <v>3612</v>
      </c>
      <c r="C1718" s="14" t="s">
        <v>2900</v>
      </c>
      <c r="D1718" s="14" t="s">
        <v>6</v>
      </c>
      <c r="E1718" s="11" t="s">
        <v>3567</v>
      </c>
      <c r="F1718" s="4" t="s">
        <v>1524</v>
      </c>
    </row>
    <row r="1719" spans="1:6" x14ac:dyDescent="0.2">
      <c r="A1719" s="14" t="s">
        <v>543</v>
      </c>
      <c r="B1719" s="14" t="s">
        <v>3609</v>
      </c>
      <c r="C1719" s="14" t="s">
        <v>2850</v>
      </c>
      <c r="D1719" s="14" t="s">
        <v>7</v>
      </c>
      <c r="E1719" s="11"/>
      <c r="F1719" s="4" t="s">
        <v>4757</v>
      </c>
    </row>
    <row r="1720" spans="1:6" x14ac:dyDescent="0.2">
      <c r="A1720" s="14" t="s">
        <v>544</v>
      </c>
      <c r="B1720" s="14" t="s">
        <v>3612</v>
      </c>
      <c r="C1720" s="14" t="s">
        <v>2918</v>
      </c>
      <c r="D1720" s="14" t="s">
        <v>8</v>
      </c>
      <c r="E1720" s="11" t="s">
        <v>8</v>
      </c>
      <c r="F1720" s="4" t="s">
        <v>1524</v>
      </c>
    </row>
    <row r="1721" spans="1:6" x14ac:dyDescent="0.2">
      <c r="A1721" s="14" t="s">
        <v>545</v>
      </c>
      <c r="B1721" s="14" t="s">
        <v>3612</v>
      </c>
      <c r="C1721" s="14" t="s">
        <v>2919</v>
      </c>
      <c r="D1721" s="14" t="s">
        <v>9</v>
      </c>
      <c r="E1721" s="11" t="s">
        <v>9</v>
      </c>
      <c r="F1721" s="4" t="s">
        <v>1524</v>
      </c>
    </row>
    <row r="1722" spans="1:6" x14ac:dyDescent="0.2">
      <c r="A1722" s="14" t="s">
        <v>546</v>
      </c>
      <c r="B1722" s="14" t="s">
        <v>3609</v>
      </c>
      <c r="C1722" s="14" t="s">
        <v>2850</v>
      </c>
      <c r="D1722" s="14" t="s">
        <v>8</v>
      </c>
      <c r="E1722" s="11"/>
      <c r="F1722" s="4" t="s">
        <v>4757</v>
      </c>
    </row>
    <row r="1723" spans="1:6" x14ac:dyDescent="0.2">
      <c r="A1723" s="14" t="s">
        <v>547</v>
      </c>
      <c r="B1723" s="14" t="s">
        <v>3609</v>
      </c>
      <c r="C1723" s="14" t="s">
        <v>2850</v>
      </c>
      <c r="D1723" s="14" t="s">
        <v>8</v>
      </c>
      <c r="E1723" s="11"/>
      <c r="F1723" s="4" t="s">
        <v>4757</v>
      </c>
    </row>
    <row r="1724" spans="1:6" x14ac:dyDescent="0.2">
      <c r="A1724" s="14" t="s">
        <v>1055</v>
      </c>
      <c r="B1724" s="14" t="s">
        <v>3612</v>
      </c>
      <c r="C1724" s="14" t="s">
        <v>2956</v>
      </c>
      <c r="D1724" s="14" t="s">
        <v>86</v>
      </c>
      <c r="E1724" s="11" t="s">
        <v>4593</v>
      </c>
      <c r="F1724" s="4" t="s">
        <v>1524</v>
      </c>
    </row>
    <row r="1725" spans="1:6" x14ac:dyDescent="0.2">
      <c r="A1725" s="14" t="s">
        <v>584</v>
      </c>
      <c r="B1725" s="14" t="s">
        <v>3609</v>
      </c>
      <c r="C1725" s="14" t="s">
        <v>2850</v>
      </c>
      <c r="D1725" s="14" t="s">
        <v>87</v>
      </c>
      <c r="E1725" s="11"/>
      <c r="F1725" s="4" t="s">
        <v>4757</v>
      </c>
    </row>
    <row r="1726" spans="1:6" x14ac:dyDescent="0.2">
      <c r="A1726" s="14" t="s">
        <v>1056</v>
      </c>
      <c r="B1726" s="14" t="s">
        <v>3612</v>
      </c>
      <c r="C1726" s="14" t="s">
        <v>2957</v>
      </c>
      <c r="D1726" s="14" t="s">
        <v>88</v>
      </c>
      <c r="E1726" s="11" t="s">
        <v>4594</v>
      </c>
      <c r="F1726" s="4" t="s">
        <v>1524</v>
      </c>
    </row>
    <row r="1727" spans="1:6" x14ac:dyDescent="0.2">
      <c r="A1727" s="14" t="s">
        <v>585</v>
      </c>
      <c r="B1727" s="14" t="s">
        <v>3609</v>
      </c>
      <c r="C1727" s="14" t="s">
        <v>2850</v>
      </c>
      <c r="D1727" s="14" t="s">
        <v>89</v>
      </c>
      <c r="E1727" s="11"/>
      <c r="F1727" s="4" t="s">
        <v>4757</v>
      </c>
    </row>
    <row r="1728" spans="1:6" x14ac:dyDescent="0.2">
      <c r="A1728" s="14" t="s">
        <v>1057</v>
      </c>
      <c r="B1728" s="14" t="s">
        <v>3612</v>
      </c>
      <c r="C1728" s="14" t="s">
        <v>2958</v>
      </c>
      <c r="D1728" s="14" t="s">
        <v>90</v>
      </c>
      <c r="E1728" s="11" t="s">
        <v>90</v>
      </c>
      <c r="F1728" s="4" t="s">
        <v>1524</v>
      </c>
    </row>
    <row r="1729" spans="1:6" x14ac:dyDescent="0.2">
      <c r="A1729" s="14" t="s">
        <v>586</v>
      </c>
      <c r="B1729" s="14" t="s">
        <v>3609</v>
      </c>
      <c r="C1729" s="14" t="s">
        <v>2850</v>
      </c>
      <c r="D1729" s="14" t="s">
        <v>91</v>
      </c>
      <c r="E1729" s="11"/>
      <c r="F1729" s="4" t="s">
        <v>4757</v>
      </c>
    </row>
    <row r="1730" spans="1:6" x14ac:dyDescent="0.2">
      <c r="A1730" s="14" t="s">
        <v>1058</v>
      </c>
      <c r="B1730" s="14" t="s">
        <v>3612</v>
      </c>
      <c r="C1730" s="14" t="s">
        <v>2959</v>
      </c>
      <c r="D1730" s="14" t="s">
        <v>92</v>
      </c>
      <c r="E1730" s="11" t="s">
        <v>92</v>
      </c>
      <c r="F1730" s="4" t="s">
        <v>1524</v>
      </c>
    </row>
    <row r="1731" spans="1:6" x14ac:dyDescent="0.2">
      <c r="A1731" s="14" t="s">
        <v>587</v>
      </c>
      <c r="B1731" s="14" t="s">
        <v>3609</v>
      </c>
      <c r="C1731" s="14" t="s">
        <v>2850</v>
      </c>
      <c r="D1731" s="14" t="s">
        <v>93</v>
      </c>
      <c r="E1731" s="11"/>
      <c r="F1731" s="4" t="s">
        <v>4757</v>
      </c>
    </row>
    <row r="1732" spans="1:6" x14ac:dyDescent="0.2">
      <c r="A1732" s="14" t="s">
        <v>1059</v>
      </c>
      <c r="B1732" s="14" t="s">
        <v>3612</v>
      </c>
      <c r="C1732" s="14" t="s">
        <v>2960</v>
      </c>
      <c r="D1732" s="14" t="s">
        <v>94</v>
      </c>
      <c r="E1732" s="11" t="s">
        <v>3652</v>
      </c>
      <c r="F1732" s="4" t="s">
        <v>1524</v>
      </c>
    </row>
    <row r="1733" spans="1:6" x14ac:dyDescent="0.2">
      <c r="A1733" s="14" t="s">
        <v>1060</v>
      </c>
      <c r="B1733" s="14" t="s">
        <v>3612</v>
      </c>
      <c r="C1733" s="14" t="s">
        <v>2961</v>
      </c>
      <c r="D1733" s="14" t="s">
        <v>95</v>
      </c>
      <c r="E1733" s="11" t="s">
        <v>3653</v>
      </c>
      <c r="F1733" s="4" t="s">
        <v>1524</v>
      </c>
    </row>
    <row r="1734" spans="1:6" x14ac:dyDescent="0.2">
      <c r="A1734" s="14" t="s">
        <v>1061</v>
      </c>
      <c r="B1734" s="14" t="s">
        <v>3612</v>
      </c>
      <c r="C1734" s="14" t="s">
        <v>2962</v>
      </c>
      <c r="D1734" s="14" t="s">
        <v>96</v>
      </c>
      <c r="E1734" s="11" t="s">
        <v>3654</v>
      </c>
      <c r="F1734" s="4" t="s">
        <v>1524</v>
      </c>
    </row>
    <row r="1735" spans="1:6" x14ac:dyDescent="0.2">
      <c r="A1735" s="14" t="s">
        <v>1062</v>
      </c>
      <c r="B1735" s="14" t="s">
        <v>3612</v>
      </c>
      <c r="C1735" s="14" t="s">
        <v>2963</v>
      </c>
      <c r="D1735" s="14" t="s">
        <v>97</v>
      </c>
      <c r="E1735" s="11" t="s">
        <v>3655</v>
      </c>
      <c r="F1735" s="4" t="s">
        <v>1524</v>
      </c>
    </row>
    <row r="1736" spans="1:6" x14ac:dyDescent="0.2">
      <c r="A1736" s="14" t="s">
        <v>1063</v>
      </c>
      <c r="B1736" s="14" t="s">
        <v>3612</v>
      </c>
      <c r="C1736" s="14" t="s">
        <v>2964</v>
      </c>
      <c r="D1736" s="14" t="s">
        <v>98</v>
      </c>
      <c r="E1736" s="11" t="s">
        <v>3656</v>
      </c>
      <c r="F1736" s="4" t="s">
        <v>1524</v>
      </c>
    </row>
    <row r="1737" spans="1:6" x14ac:dyDescent="0.2">
      <c r="A1737" s="14" t="s">
        <v>1473</v>
      </c>
      <c r="B1737" s="14" t="s">
        <v>3612</v>
      </c>
      <c r="C1737" s="14" t="s">
        <v>2956</v>
      </c>
      <c r="D1737" s="14" t="s">
        <v>99</v>
      </c>
      <c r="E1737" s="11" t="s">
        <v>4593</v>
      </c>
      <c r="F1737" s="4" t="s">
        <v>1524</v>
      </c>
    </row>
    <row r="1738" spans="1:6" x14ac:dyDescent="0.2">
      <c r="A1738" s="14" t="s">
        <v>1474</v>
      </c>
      <c r="B1738" s="14" t="s">
        <v>3612</v>
      </c>
      <c r="C1738" s="14" t="s">
        <v>2957</v>
      </c>
      <c r="D1738" s="14" t="s">
        <v>100</v>
      </c>
      <c r="E1738" s="11" t="s">
        <v>4594</v>
      </c>
      <c r="F1738" s="4" t="s">
        <v>1524</v>
      </c>
    </row>
    <row r="1739" spans="1:6" x14ac:dyDescent="0.2">
      <c r="A1739" s="14" t="s">
        <v>1475</v>
      </c>
      <c r="B1739" s="14" t="s">
        <v>3612</v>
      </c>
      <c r="C1739" s="14" t="s">
        <v>2959</v>
      </c>
      <c r="D1739" s="14" t="s">
        <v>101</v>
      </c>
      <c r="E1739" s="11" t="s">
        <v>92</v>
      </c>
      <c r="F1739" s="4" t="s">
        <v>1524</v>
      </c>
    </row>
    <row r="1740" spans="1:6" x14ac:dyDescent="0.2">
      <c r="A1740" s="14" t="s">
        <v>588</v>
      </c>
      <c r="B1740" s="14" t="s">
        <v>3612</v>
      </c>
      <c r="C1740" s="14" t="s">
        <v>2956</v>
      </c>
      <c r="D1740" s="14" t="s">
        <v>102</v>
      </c>
      <c r="E1740" s="11" t="s">
        <v>4593</v>
      </c>
      <c r="F1740" s="4" t="s">
        <v>1524</v>
      </c>
    </row>
    <row r="1741" spans="1:6" x14ac:dyDescent="0.2">
      <c r="A1741" s="14" t="s">
        <v>589</v>
      </c>
      <c r="B1741" s="14" t="s">
        <v>3612</v>
      </c>
      <c r="C1741" s="14" t="s">
        <v>2957</v>
      </c>
      <c r="D1741" s="14" t="s">
        <v>103</v>
      </c>
      <c r="E1741" s="11" t="s">
        <v>4594</v>
      </c>
      <c r="F1741" s="4" t="s">
        <v>1524</v>
      </c>
    </row>
    <row r="1742" spans="1:6" x14ac:dyDescent="0.2">
      <c r="A1742" s="14" t="s">
        <v>590</v>
      </c>
      <c r="B1742" s="14" t="s">
        <v>3612</v>
      </c>
      <c r="C1742" s="14" t="s">
        <v>2959</v>
      </c>
      <c r="D1742" s="14" t="s">
        <v>104</v>
      </c>
      <c r="E1742" s="11" t="s">
        <v>92</v>
      </c>
      <c r="F1742" s="4" t="s">
        <v>1524</v>
      </c>
    </row>
    <row r="1743" spans="1:6" x14ac:dyDescent="0.2">
      <c r="A1743" s="14" t="s">
        <v>1220</v>
      </c>
      <c r="B1743" s="14" t="s">
        <v>3612</v>
      </c>
      <c r="C1743" s="14" t="s">
        <v>357</v>
      </c>
      <c r="D1743" s="14" t="s">
        <v>1221</v>
      </c>
      <c r="E1743" s="11" t="str">
        <f>VLOOKUP(C1743,'[2]List for Cat'!$C$1:$I$65536,7,0)</f>
        <v>250W 1G 2W PUSH TUNGSTEN</v>
      </c>
      <c r="F1743" s="4" t="s">
        <v>4757</v>
      </c>
    </row>
    <row r="1744" spans="1:6" x14ac:dyDescent="0.2">
      <c r="A1744" s="14" t="s">
        <v>1222</v>
      </c>
      <c r="B1744" s="14" t="s">
        <v>3612</v>
      </c>
      <c r="C1744" s="14" t="s">
        <v>358</v>
      </c>
      <c r="D1744" s="14" t="s">
        <v>1223</v>
      </c>
      <c r="E1744" s="11" t="str">
        <f>VLOOKUP(C1744,'[2]List for Cat'!$C$1:$I$65536,7,0)</f>
        <v>250W 2G 2W PUSH TUNGSTEN</v>
      </c>
      <c r="F1744" s="4" t="s">
        <v>4757</v>
      </c>
    </row>
    <row r="1745" spans="1:6" x14ac:dyDescent="0.2">
      <c r="A1745" s="14" t="s">
        <v>1224</v>
      </c>
      <c r="B1745" s="14" t="s">
        <v>3612</v>
      </c>
      <c r="C1745" s="14" t="s">
        <v>359</v>
      </c>
      <c r="D1745" s="14" t="s">
        <v>1225</v>
      </c>
      <c r="E1745" s="11" t="str">
        <f>VLOOKUP(C1745,'[2]List for Cat'!$C$1:$I$65536,7,0)</f>
        <v>400W 1G 2W PUSH TUNGSTEN</v>
      </c>
      <c r="F1745" s="4" t="s">
        <v>4757</v>
      </c>
    </row>
    <row r="1746" spans="1:6" x14ac:dyDescent="0.2">
      <c r="A1746" s="14" t="s">
        <v>1226</v>
      </c>
      <c r="B1746" s="14" t="s">
        <v>3612</v>
      </c>
      <c r="C1746" s="14" t="s">
        <v>355</v>
      </c>
      <c r="D1746" s="14" t="s">
        <v>1227</v>
      </c>
      <c r="E1746" s="11" t="s">
        <v>1227</v>
      </c>
      <c r="F1746" s="4" t="s">
        <v>1524</v>
      </c>
    </row>
    <row r="1747" spans="1:6" x14ac:dyDescent="0.2">
      <c r="A1747" s="14" t="s">
        <v>526</v>
      </c>
      <c r="B1747" s="14" t="s">
        <v>3612</v>
      </c>
      <c r="C1747" s="14" t="s">
        <v>356</v>
      </c>
      <c r="D1747" s="14" t="s">
        <v>3554</v>
      </c>
      <c r="E1747" s="11" t="s">
        <v>3554</v>
      </c>
      <c r="F1747" s="4" t="s">
        <v>1524</v>
      </c>
    </row>
    <row r="1748" spans="1:6" x14ac:dyDescent="0.2">
      <c r="A1748" s="14" t="s">
        <v>1228</v>
      </c>
      <c r="B1748" s="14" t="s">
        <v>3612</v>
      </c>
      <c r="C1748" s="14" t="s">
        <v>357</v>
      </c>
      <c r="D1748" s="14" t="s">
        <v>1229</v>
      </c>
      <c r="E1748" s="11" t="s">
        <v>1229</v>
      </c>
      <c r="F1748" s="4" t="s">
        <v>1524</v>
      </c>
    </row>
    <row r="1749" spans="1:6" x14ac:dyDescent="0.2">
      <c r="A1749" s="14" t="s">
        <v>1230</v>
      </c>
      <c r="B1749" s="14" t="s">
        <v>3612</v>
      </c>
      <c r="C1749" s="14" t="s">
        <v>358</v>
      </c>
      <c r="D1749" s="14" t="s">
        <v>1231</v>
      </c>
      <c r="E1749" s="11" t="s">
        <v>1231</v>
      </c>
      <c r="F1749" s="4" t="s">
        <v>1524</v>
      </c>
    </row>
    <row r="1750" spans="1:6" x14ac:dyDescent="0.2">
      <c r="A1750" s="14" t="s">
        <v>1232</v>
      </c>
      <c r="B1750" s="14" t="s">
        <v>3612</v>
      </c>
      <c r="C1750" s="14" t="s">
        <v>1596</v>
      </c>
      <c r="D1750" s="14" t="s">
        <v>1233</v>
      </c>
      <c r="E1750" s="11"/>
      <c r="F1750" s="4" t="s">
        <v>4757</v>
      </c>
    </row>
    <row r="1751" spans="1:6" x14ac:dyDescent="0.2">
      <c r="A1751" s="14" t="s">
        <v>1234</v>
      </c>
      <c r="B1751" s="14" t="s">
        <v>3612</v>
      </c>
      <c r="C1751" s="14" t="s">
        <v>1597</v>
      </c>
      <c r="D1751" s="14" t="s">
        <v>1235</v>
      </c>
      <c r="E1751" s="11"/>
      <c r="F1751" s="4" t="s">
        <v>4757</v>
      </c>
    </row>
    <row r="1752" spans="1:6" x14ac:dyDescent="0.2">
      <c r="A1752" s="14" t="s">
        <v>1236</v>
      </c>
      <c r="B1752" s="14" t="s">
        <v>3612</v>
      </c>
      <c r="C1752" s="14" t="s">
        <v>359</v>
      </c>
      <c r="D1752" s="14" t="s">
        <v>1237</v>
      </c>
      <c r="E1752" s="11" t="s">
        <v>1237</v>
      </c>
      <c r="F1752" s="4" t="s">
        <v>1524</v>
      </c>
    </row>
    <row r="1753" spans="1:6" x14ac:dyDescent="0.2">
      <c r="A1753" s="14" t="s">
        <v>1238</v>
      </c>
      <c r="B1753" s="14" t="s">
        <v>3612</v>
      </c>
      <c r="C1753" s="14" t="s">
        <v>360</v>
      </c>
      <c r="D1753" s="14" t="s">
        <v>1239</v>
      </c>
      <c r="E1753" s="11" t="s">
        <v>1239</v>
      </c>
      <c r="F1753" s="4" t="s">
        <v>1524</v>
      </c>
    </row>
    <row r="1754" spans="1:6" x14ac:dyDescent="0.2">
      <c r="A1754" s="14" t="s">
        <v>1240</v>
      </c>
      <c r="B1754" s="14" t="s">
        <v>3612</v>
      </c>
      <c r="C1754" s="14" t="s">
        <v>1598</v>
      </c>
      <c r="D1754" s="14" t="s">
        <v>1241</v>
      </c>
      <c r="E1754" s="11"/>
      <c r="F1754" s="4" t="s">
        <v>4757</v>
      </c>
    </row>
    <row r="1755" spans="1:6" x14ac:dyDescent="0.2">
      <c r="A1755" s="14" t="s">
        <v>1242</v>
      </c>
      <c r="B1755" s="14" t="s">
        <v>3612</v>
      </c>
      <c r="C1755" s="14" t="s">
        <v>1599</v>
      </c>
      <c r="D1755" s="14" t="s">
        <v>1243</v>
      </c>
      <c r="E1755" s="11"/>
      <c r="F1755" s="4" t="s">
        <v>4757</v>
      </c>
    </row>
    <row r="1756" spans="1:6" x14ac:dyDescent="0.2">
      <c r="A1756" s="14" t="s">
        <v>566</v>
      </c>
      <c r="B1756" s="14" t="s">
        <v>4746</v>
      </c>
      <c r="C1756" s="14" t="s">
        <v>2853</v>
      </c>
      <c r="D1756" s="14" t="s">
        <v>56</v>
      </c>
      <c r="E1756" s="11"/>
    </row>
    <row r="1757" spans="1:6" x14ac:dyDescent="0.2">
      <c r="A1757" s="14" t="s">
        <v>527</v>
      </c>
      <c r="B1757" s="14" t="s">
        <v>3612</v>
      </c>
      <c r="C1757" s="14" t="s">
        <v>2892</v>
      </c>
      <c r="D1757" s="14" t="s">
        <v>3555</v>
      </c>
      <c r="E1757" s="11" t="s">
        <v>3555</v>
      </c>
      <c r="F1757" s="4" t="s">
        <v>1524</v>
      </c>
    </row>
    <row r="1758" spans="1:6" x14ac:dyDescent="0.2">
      <c r="A1758" s="14" t="s">
        <v>573</v>
      </c>
      <c r="B1758" s="14" t="s">
        <v>4746</v>
      </c>
      <c r="C1758" s="14" t="s">
        <v>2853</v>
      </c>
      <c r="D1758" s="14" t="s">
        <v>56</v>
      </c>
      <c r="E1758" s="11"/>
    </row>
    <row r="1759" spans="1:6" x14ac:dyDescent="0.2">
      <c r="A1759" s="14" t="s">
        <v>528</v>
      </c>
      <c r="B1759" s="14" t="s">
        <v>3612</v>
      </c>
      <c r="C1759" s="14" t="s">
        <v>2893</v>
      </c>
      <c r="D1759" s="14" t="s">
        <v>3556</v>
      </c>
      <c r="E1759" s="11" t="s">
        <v>3556</v>
      </c>
      <c r="F1759" s="4" t="s">
        <v>1524</v>
      </c>
    </row>
    <row r="1760" spans="1:6" x14ac:dyDescent="0.2">
      <c r="A1760" s="14" t="s">
        <v>529</v>
      </c>
      <c r="B1760" s="14" t="s">
        <v>3612</v>
      </c>
      <c r="C1760" s="14" t="s">
        <v>2894</v>
      </c>
      <c r="D1760" s="14" t="s">
        <v>3557</v>
      </c>
      <c r="E1760" s="11" t="s">
        <v>3557</v>
      </c>
      <c r="F1760" s="4" t="s">
        <v>1524</v>
      </c>
    </row>
    <row r="1761" spans="1:8" x14ac:dyDescent="0.2">
      <c r="A1761" s="14" t="s">
        <v>530</v>
      </c>
      <c r="B1761" s="14" t="s">
        <v>3612</v>
      </c>
      <c r="C1761" s="14" t="s">
        <v>1600</v>
      </c>
      <c r="D1761" s="14" t="s">
        <v>3558</v>
      </c>
      <c r="E1761" s="11"/>
      <c r="F1761" s="4" t="s">
        <v>4757</v>
      </c>
    </row>
    <row r="1762" spans="1:8" x14ac:dyDescent="0.2">
      <c r="A1762" s="14" t="s">
        <v>574</v>
      </c>
      <c r="B1762" s="14" t="s">
        <v>4746</v>
      </c>
      <c r="C1762" s="14" t="s">
        <v>2853</v>
      </c>
      <c r="D1762" s="14" t="s">
        <v>76</v>
      </c>
      <c r="E1762" s="11"/>
    </row>
    <row r="1763" spans="1:8" x14ac:dyDescent="0.2">
      <c r="A1763" s="14" t="s">
        <v>531</v>
      </c>
      <c r="B1763" s="14" t="s">
        <v>4746</v>
      </c>
      <c r="C1763" s="14" t="s">
        <v>2853</v>
      </c>
      <c r="D1763" s="14" t="s">
        <v>3559</v>
      </c>
      <c r="E1763" s="11"/>
      <c r="F1763" s="4" t="s">
        <v>4757</v>
      </c>
    </row>
    <row r="1764" spans="1:8" x14ac:dyDescent="0.2">
      <c r="A1764" s="14" t="s">
        <v>532</v>
      </c>
      <c r="B1764" s="14" t="s">
        <v>3612</v>
      </c>
      <c r="C1764" s="14" t="s">
        <v>2895</v>
      </c>
      <c r="D1764" s="14" t="s">
        <v>3560</v>
      </c>
      <c r="E1764" s="11" t="s">
        <v>3632</v>
      </c>
      <c r="F1764" s="4" t="s">
        <v>1524</v>
      </c>
    </row>
    <row r="1765" spans="1:8" x14ac:dyDescent="0.2">
      <c r="A1765" s="14" t="s">
        <v>558</v>
      </c>
      <c r="B1765" s="14" t="s">
        <v>3609</v>
      </c>
      <c r="C1765" s="14" t="s">
        <v>2850</v>
      </c>
      <c r="D1765" s="14" t="s">
        <v>30</v>
      </c>
      <c r="E1765" s="11"/>
      <c r="F1765" s="4" t="s">
        <v>4759</v>
      </c>
    </row>
    <row r="1766" spans="1:8" x14ac:dyDescent="0.2">
      <c r="A1766" s="14" t="s">
        <v>2473</v>
      </c>
      <c r="B1766" s="14" t="s">
        <v>3609</v>
      </c>
      <c r="C1766" s="14" t="s">
        <v>2850</v>
      </c>
      <c r="D1766" s="14" t="s">
        <v>4698</v>
      </c>
      <c r="E1766" s="11"/>
      <c r="F1766" s="4" t="s">
        <v>4759</v>
      </c>
      <c r="H1766" s="6"/>
    </row>
    <row r="1767" spans="1:8" x14ac:dyDescent="0.2">
      <c r="A1767" s="14" t="s">
        <v>2474</v>
      </c>
      <c r="B1767" s="14" t="s">
        <v>3609</v>
      </c>
      <c r="C1767" s="14" t="s">
        <v>2850</v>
      </c>
      <c r="D1767" s="14" t="s">
        <v>4699</v>
      </c>
      <c r="E1767" s="11"/>
      <c r="F1767" s="4" t="s">
        <v>4759</v>
      </c>
      <c r="H1767" s="6"/>
    </row>
    <row r="1768" spans="1:8" x14ac:dyDescent="0.2">
      <c r="A1768" s="14" t="s">
        <v>2475</v>
      </c>
      <c r="B1768" s="14" t="s">
        <v>3609</v>
      </c>
      <c r="C1768" s="14" t="s">
        <v>2850</v>
      </c>
      <c r="D1768" s="14" t="s">
        <v>4700</v>
      </c>
      <c r="E1768" s="11"/>
      <c r="F1768" s="4" t="s">
        <v>4759</v>
      </c>
      <c r="H1768" s="6"/>
    </row>
    <row r="1769" spans="1:8" x14ac:dyDescent="0.2">
      <c r="A1769" s="14" t="s">
        <v>653</v>
      </c>
      <c r="B1769" s="14" t="s">
        <v>3609</v>
      </c>
      <c r="C1769" s="14" t="s">
        <v>2850</v>
      </c>
      <c r="D1769" s="14" t="s">
        <v>294</v>
      </c>
      <c r="E1769" s="11"/>
      <c r="F1769" s="4" t="s">
        <v>4759</v>
      </c>
    </row>
    <row r="1770" spans="1:8" x14ac:dyDescent="0.2">
      <c r="A1770" s="14" t="s">
        <v>2476</v>
      </c>
      <c r="B1770" s="14" t="s">
        <v>3609</v>
      </c>
      <c r="C1770" s="14" t="s">
        <v>2850</v>
      </c>
      <c r="D1770" s="14" t="s">
        <v>4701</v>
      </c>
      <c r="E1770" s="11"/>
      <c r="F1770" s="4" t="s">
        <v>4759</v>
      </c>
      <c r="H1770" s="6"/>
    </row>
    <row r="1771" spans="1:8" x14ac:dyDescent="0.2">
      <c r="A1771" s="14" t="s">
        <v>2477</v>
      </c>
      <c r="B1771" s="14" t="s">
        <v>3609</v>
      </c>
      <c r="C1771" s="14" t="s">
        <v>2850</v>
      </c>
      <c r="D1771" s="14" t="s">
        <v>4702</v>
      </c>
      <c r="E1771" s="11"/>
      <c r="F1771" s="4" t="s">
        <v>4759</v>
      </c>
      <c r="H1771" s="6"/>
    </row>
    <row r="1772" spans="1:8" x14ac:dyDescent="0.2">
      <c r="A1772" s="14" t="s">
        <v>2478</v>
      </c>
      <c r="B1772" s="14" t="s">
        <v>3609</v>
      </c>
      <c r="C1772" s="14" t="s">
        <v>2850</v>
      </c>
      <c r="D1772" s="14" t="s">
        <v>4703</v>
      </c>
      <c r="E1772" s="11"/>
      <c r="F1772" s="4" t="s">
        <v>4759</v>
      </c>
      <c r="H1772" s="6"/>
    </row>
    <row r="1773" spans="1:8" x14ac:dyDescent="0.2">
      <c r="A1773" s="14" t="s">
        <v>2479</v>
      </c>
      <c r="B1773" s="14" t="s">
        <v>3609</v>
      </c>
      <c r="C1773" s="14" t="s">
        <v>2850</v>
      </c>
      <c r="D1773" s="14" t="s">
        <v>4704</v>
      </c>
      <c r="E1773" s="11"/>
      <c r="F1773" s="4" t="s">
        <v>4759</v>
      </c>
      <c r="H1773" s="6"/>
    </row>
    <row r="1774" spans="1:8" x14ac:dyDescent="0.2">
      <c r="A1774" s="14" t="s">
        <v>548</v>
      </c>
      <c r="B1774" s="14" t="s">
        <v>3609</v>
      </c>
      <c r="C1774" s="14" t="s">
        <v>2850</v>
      </c>
      <c r="D1774" s="14" t="s">
        <v>10</v>
      </c>
      <c r="E1774" s="11"/>
      <c r="F1774" s="4" t="s">
        <v>4759</v>
      </c>
    </row>
    <row r="1775" spans="1:8" x14ac:dyDescent="0.2">
      <c r="A1775" s="14" t="s">
        <v>549</v>
      </c>
      <c r="B1775" s="14" t="s">
        <v>3609</v>
      </c>
      <c r="C1775" s="14" t="s">
        <v>2850</v>
      </c>
      <c r="D1775" s="14" t="s">
        <v>11</v>
      </c>
      <c r="E1775" s="11"/>
      <c r="F1775" s="4" t="s">
        <v>4759</v>
      </c>
    </row>
    <row r="1776" spans="1:8" x14ac:dyDescent="0.2">
      <c r="A1776" s="14" t="s">
        <v>559</v>
      </c>
      <c r="B1776" s="14" t="s">
        <v>3609</v>
      </c>
      <c r="C1776" s="14" t="s">
        <v>2850</v>
      </c>
      <c r="D1776" s="14" t="s">
        <v>31</v>
      </c>
      <c r="E1776" s="11"/>
      <c r="F1776" s="4" t="s">
        <v>4759</v>
      </c>
    </row>
    <row r="1777" spans="1:8" x14ac:dyDescent="0.2">
      <c r="A1777" s="14" t="s">
        <v>560</v>
      </c>
      <c r="B1777" s="14" t="s">
        <v>3609</v>
      </c>
      <c r="C1777" s="14" t="s">
        <v>2850</v>
      </c>
      <c r="D1777" s="14" t="s">
        <v>32</v>
      </c>
      <c r="E1777" s="11"/>
      <c r="F1777" s="4" t="s">
        <v>4759</v>
      </c>
    </row>
    <row r="1778" spans="1:8" x14ac:dyDescent="0.2">
      <c r="A1778" s="14" t="s">
        <v>561</v>
      </c>
      <c r="B1778" s="14" t="s">
        <v>3609</v>
      </c>
      <c r="C1778" s="14" t="s">
        <v>2850</v>
      </c>
      <c r="D1778" s="14" t="s">
        <v>33</v>
      </c>
      <c r="E1778" s="11"/>
      <c r="F1778" s="4" t="s">
        <v>4759</v>
      </c>
    </row>
    <row r="1779" spans="1:8" x14ac:dyDescent="0.2">
      <c r="A1779" s="14" t="s">
        <v>562</v>
      </c>
      <c r="B1779" s="14" t="s">
        <v>3609</v>
      </c>
      <c r="C1779" s="14" t="s">
        <v>2850</v>
      </c>
      <c r="D1779" s="14" t="s">
        <v>34</v>
      </c>
      <c r="E1779" s="11"/>
      <c r="F1779" s="4" t="s">
        <v>4759</v>
      </c>
    </row>
    <row r="1780" spans="1:8" x14ac:dyDescent="0.2">
      <c r="A1780" s="14" t="s">
        <v>563</v>
      </c>
      <c r="B1780" s="14" t="s">
        <v>3609</v>
      </c>
      <c r="C1780" s="14" t="s">
        <v>2850</v>
      </c>
      <c r="D1780" s="14" t="s">
        <v>34</v>
      </c>
      <c r="E1780" s="11"/>
      <c r="F1780" s="4" t="s">
        <v>4759</v>
      </c>
    </row>
    <row r="1781" spans="1:8" x14ac:dyDescent="0.2">
      <c r="A1781" s="14" t="s">
        <v>519</v>
      </c>
      <c r="B1781" s="14" t="s">
        <v>3609</v>
      </c>
      <c r="C1781" s="14" t="s">
        <v>2850</v>
      </c>
      <c r="D1781" s="14" t="s">
        <v>3547</v>
      </c>
      <c r="E1781" s="11"/>
      <c r="F1781" s="4" t="s">
        <v>4759</v>
      </c>
    </row>
    <row r="1782" spans="1:8" x14ac:dyDescent="0.2">
      <c r="A1782" s="14" t="s">
        <v>520</v>
      </c>
      <c r="B1782" s="14" t="s">
        <v>3609</v>
      </c>
      <c r="C1782" s="14" t="s">
        <v>2850</v>
      </c>
      <c r="D1782" s="14" t="s">
        <v>3548</v>
      </c>
      <c r="E1782" s="11"/>
      <c r="F1782" s="4" t="s">
        <v>4759</v>
      </c>
    </row>
    <row r="1783" spans="1:8" x14ac:dyDescent="0.2">
      <c r="A1783" s="14" t="s">
        <v>2747</v>
      </c>
      <c r="B1783" s="14" t="s">
        <v>3609</v>
      </c>
      <c r="C1783" s="14" t="s">
        <v>2850</v>
      </c>
      <c r="D1783" s="14" t="s">
        <v>1898</v>
      </c>
      <c r="E1783" s="11"/>
      <c r="F1783" s="4" t="s">
        <v>4759</v>
      </c>
      <c r="H1783" s="6"/>
    </row>
    <row r="1784" spans="1:8" x14ac:dyDescent="0.2">
      <c r="A1784" s="14" t="s">
        <v>2748</v>
      </c>
      <c r="B1784" s="14" t="s">
        <v>3609</v>
      </c>
      <c r="C1784" s="14" t="s">
        <v>2850</v>
      </c>
      <c r="D1784" s="14" t="s">
        <v>1899</v>
      </c>
      <c r="E1784" s="11"/>
      <c r="F1784" s="4" t="s">
        <v>4759</v>
      </c>
      <c r="H1784" s="6"/>
    </row>
    <row r="1785" spans="1:8" x14ac:dyDescent="0.2">
      <c r="A1785" s="14" t="s">
        <v>2438</v>
      </c>
      <c r="B1785" s="14" t="s">
        <v>3609</v>
      </c>
      <c r="C1785" s="14" t="s">
        <v>2850</v>
      </c>
      <c r="D1785" s="14" t="s">
        <v>4637</v>
      </c>
      <c r="E1785" s="11"/>
      <c r="F1785" s="4" t="s">
        <v>4759</v>
      </c>
      <c r="H1785" s="6"/>
    </row>
    <row r="1786" spans="1:8" x14ac:dyDescent="0.2">
      <c r="A1786" s="14" t="s">
        <v>2439</v>
      </c>
      <c r="B1786" s="14" t="s">
        <v>3609</v>
      </c>
      <c r="C1786" s="14" t="s">
        <v>2850</v>
      </c>
      <c r="D1786" s="14" t="s">
        <v>4637</v>
      </c>
      <c r="E1786" s="11"/>
      <c r="F1786" s="4" t="s">
        <v>4759</v>
      </c>
      <c r="H1786" s="6"/>
    </row>
    <row r="1787" spans="1:8" x14ac:dyDescent="0.2">
      <c r="A1787" s="14" t="s">
        <v>706</v>
      </c>
      <c r="B1787" s="14" t="s">
        <v>3609</v>
      </c>
      <c r="C1787" s="14" t="s">
        <v>2850</v>
      </c>
      <c r="D1787" s="14" t="s">
        <v>330</v>
      </c>
      <c r="E1787" s="11"/>
      <c r="F1787" s="4" t="s">
        <v>4759</v>
      </c>
    </row>
    <row r="1788" spans="1:8" x14ac:dyDescent="0.2">
      <c r="A1788" s="14" t="s">
        <v>707</v>
      </c>
      <c r="B1788" s="14" t="s">
        <v>3609</v>
      </c>
      <c r="C1788" s="14" t="s">
        <v>2850</v>
      </c>
      <c r="D1788" s="14" t="s">
        <v>331</v>
      </c>
      <c r="E1788" s="11"/>
      <c r="F1788" s="4" t="s">
        <v>4759</v>
      </c>
    </row>
    <row r="1789" spans="1:8" x14ac:dyDescent="0.2">
      <c r="A1789" s="14" t="s">
        <v>622</v>
      </c>
      <c r="B1789" s="14" t="s">
        <v>3609</v>
      </c>
      <c r="C1789" s="14" t="s">
        <v>2850</v>
      </c>
      <c r="D1789" s="14" t="s">
        <v>184</v>
      </c>
      <c r="E1789" s="11"/>
      <c r="F1789" s="4" t="s">
        <v>4759</v>
      </c>
    </row>
    <row r="1790" spans="1:8" x14ac:dyDescent="0.2">
      <c r="A1790" s="14" t="s">
        <v>623</v>
      </c>
      <c r="B1790" s="14" t="s">
        <v>3609</v>
      </c>
      <c r="C1790" s="14" t="s">
        <v>2850</v>
      </c>
      <c r="D1790" s="14" t="s">
        <v>185</v>
      </c>
      <c r="E1790" s="11"/>
      <c r="F1790" s="4" t="s">
        <v>4759</v>
      </c>
    </row>
    <row r="1791" spans="1:8" x14ac:dyDescent="0.2">
      <c r="A1791" s="14" t="s">
        <v>624</v>
      </c>
      <c r="B1791" s="14" t="s">
        <v>3609</v>
      </c>
      <c r="C1791" s="14" t="s">
        <v>2850</v>
      </c>
      <c r="D1791" s="14" t="s">
        <v>186</v>
      </c>
      <c r="E1791" s="11"/>
      <c r="F1791" s="4" t="s">
        <v>4759</v>
      </c>
    </row>
    <row r="1792" spans="1:8" x14ac:dyDescent="0.2">
      <c r="A1792" s="14" t="s">
        <v>2749</v>
      </c>
      <c r="B1792" s="14" t="s">
        <v>3609</v>
      </c>
      <c r="C1792" s="14" t="s">
        <v>2850</v>
      </c>
      <c r="D1792" s="14" t="s">
        <v>1898</v>
      </c>
      <c r="E1792" s="11"/>
      <c r="F1792" s="4" t="s">
        <v>4759</v>
      </c>
      <c r="H1792" s="6"/>
    </row>
    <row r="1793" spans="1:8" x14ac:dyDescent="0.2">
      <c r="A1793" s="14" t="s">
        <v>2750</v>
      </c>
      <c r="B1793" s="14" t="s">
        <v>3609</v>
      </c>
      <c r="C1793" s="14" t="s">
        <v>2850</v>
      </c>
      <c r="D1793" s="14" t="s">
        <v>1898</v>
      </c>
      <c r="E1793" s="11"/>
      <c r="F1793" s="4" t="s">
        <v>4759</v>
      </c>
      <c r="H1793" s="6"/>
    </row>
    <row r="1794" spans="1:8" x14ac:dyDescent="0.2">
      <c r="A1794" s="14" t="s">
        <v>2440</v>
      </c>
      <c r="B1794" s="14" t="s">
        <v>3609</v>
      </c>
      <c r="C1794" s="14" t="s">
        <v>2850</v>
      </c>
      <c r="D1794" s="14" t="s">
        <v>4638</v>
      </c>
      <c r="E1794" s="11"/>
      <c r="F1794" s="4" t="s">
        <v>4759</v>
      </c>
      <c r="H1794" s="6"/>
    </row>
    <row r="1795" spans="1:8" x14ac:dyDescent="0.2">
      <c r="A1795" s="14" t="s">
        <v>2441</v>
      </c>
      <c r="B1795" s="14" t="s">
        <v>3609</v>
      </c>
      <c r="C1795" s="14" t="s">
        <v>2850</v>
      </c>
      <c r="D1795" s="14" t="s">
        <v>4639</v>
      </c>
      <c r="E1795" s="11"/>
      <c r="F1795" s="4" t="s">
        <v>4759</v>
      </c>
      <c r="H1795" s="6"/>
    </row>
    <row r="1796" spans="1:8" x14ac:dyDescent="0.2">
      <c r="A1796" s="14" t="s">
        <v>2442</v>
      </c>
      <c r="B1796" s="14" t="s">
        <v>3609</v>
      </c>
      <c r="C1796" s="14" t="s">
        <v>2850</v>
      </c>
      <c r="D1796" s="14" t="s">
        <v>4640</v>
      </c>
      <c r="E1796" s="11"/>
      <c r="F1796" s="4" t="s">
        <v>4759</v>
      </c>
      <c r="H1796" s="6"/>
    </row>
    <row r="1797" spans="1:8" x14ac:dyDescent="0.2">
      <c r="A1797" s="14" t="s">
        <v>2402</v>
      </c>
      <c r="B1797" s="14" t="s">
        <v>3609</v>
      </c>
      <c r="C1797" s="14" t="s">
        <v>2850</v>
      </c>
      <c r="D1797" s="14" t="s">
        <v>1992</v>
      </c>
      <c r="E1797" s="11"/>
      <c r="F1797" s="4" t="s">
        <v>4759</v>
      </c>
      <c r="H1797" s="6"/>
    </row>
    <row r="1798" spans="1:8" x14ac:dyDescent="0.2">
      <c r="A1798" s="14" t="s">
        <v>2403</v>
      </c>
      <c r="B1798" s="14" t="s">
        <v>3609</v>
      </c>
      <c r="C1798" s="14" t="s">
        <v>2850</v>
      </c>
      <c r="D1798" s="14" t="s">
        <v>1984</v>
      </c>
      <c r="E1798" s="11"/>
      <c r="F1798" s="4" t="s">
        <v>4759</v>
      </c>
      <c r="H1798" s="6"/>
    </row>
    <row r="1799" spans="1:8" x14ac:dyDescent="0.2">
      <c r="A1799" s="14" t="s">
        <v>2751</v>
      </c>
      <c r="B1799" s="14" t="s">
        <v>3609</v>
      </c>
      <c r="C1799" s="14" t="s">
        <v>2850</v>
      </c>
      <c r="D1799" s="14" t="s">
        <v>1898</v>
      </c>
      <c r="E1799" s="11"/>
      <c r="F1799" s="4" t="s">
        <v>4759</v>
      </c>
      <c r="H1799" s="6"/>
    </row>
    <row r="1800" spans="1:8" x14ac:dyDescent="0.2">
      <c r="A1800" s="14" t="s">
        <v>2752</v>
      </c>
      <c r="B1800" s="14" t="s">
        <v>3609</v>
      </c>
      <c r="C1800" s="14" t="s">
        <v>2850</v>
      </c>
      <c r="D1800" s="14" t="s">
        <v>2742</v>
      </c>
      <c r="E1800" s="11"/>
      <c r="F1800" s="4" t="s">
        <v>4759</v>
      </c>
      <c r="H1800" s="6"/>
    </row>
    <row r="1801" spans="1:8" x14ac:dyDescent="0.2">
      <c r="A1801" s="14" t="s">
        <v>2674</v>
      </c>
      <c r="B1801" s="14" t="s">
        <v>3609</v>
      </c>
      <c r="C1801" s="14" t="s">
        <v>2850</v>
      </c>
      <c r="D1801" s="14" t="s">
        <v>1866</v>
      </c>
      <c r="E1801" s="11"/>
      <c r="F1801" s="4" t="s">
        <v>4759</v>
      </c>
      <c r="H1801" s="6"/>
    </row>
    <row r="1802" spans="1:8" x14ac:dyDescent="0.2">
      <c r="A1802" s="14" t="s">
        <v>2404</v>
      </c>
      <c r="B1802" s="14" t="s">
        <v>3609</v>
      </c>
      <c r="C1802" s="14" t="s">
        <v>2850</v>
      </c>
      <c r="D1802" s="14" t="s">
        <v>967</v>
      </c>
      <c r="E1802" s="11"/>
      <c r="F1802" s="4" t="s">
        <v>4759</v>
      </c>
      <c r="H1802" s="6"/>
    </row>
    <row r="1803" spans="1:8" x14ac:dyDescent="0.2">
      <c r="A1803" s="14" t="s">
        <v>2405</v>
      </c>
      <c r="B1803" s="14" t="s">
        <v>3609</v>
      </c>
      <c r="C1803" s="14" t="s">
        <v>2850</v>
      </c>
      <c r="D1803" s="14" t="s">
        <v>965</v>
      </c>
      <c r="E1803" s="11"/>
      <c r="F1803" s="4" t="s">
        <v>4759</v>
      </c>
      <c r="H1803" s="6"/>
    </row>
    <row r="1804" spans="1:8" x14ac:dyDescent="0.2">
      <c r="A1804" s="14" t="s">
        <v>517</v>
      </c>
      <c r="B1804" s="14" t="s">
        <v>3609</v>
      </c>
      <c r="C1804" s="14" t="s">
        <v>2850</v>
      </c>
      <c r="D1804" s="14" t="s">
        <v>516</v>
      </c>
      <c r="E1804" s="11"/>
      <c r="F1804" s="4" t="s">
        <v>4759</v>
      </c>
    </row>
    <row r="1805" spans="1:8" x14ac:dyDescent="0.2">
      <c r="A1805" s="14" t="s">
        <v>2753</v>
      </c>
      <c r="B1805" s="14" t="s">
        <v>3609</v>
      </c>
      <c r="C1805" s="14" t="s">
        <v>2850</v>
      </c>
      <c r="D1805" s="14" t="s">
        <v>2745</v>
      </c>
      <c r="E1805" s="11"/>
      <c r="F1805" s="4" t="s">
        <v>4759</v>
      </c>
      <c r="H1805" s="6"/>
    </row>
    <row r="1806" spans="1:8" x14ac:dyDescent="0.2">
      <c r="A1806" s="14" t="s">
        <v>2754</v>
      </c>
      <c r="B1806" s="14" t="s">
        <v>3609</v>
      </c>
      <c r="C1806" s="14" t="s">
        <v>2850</v>
      </c>
      <c r="D1806" s="14" t="s">
        <v>2745</v>
      </c>
      <c r="E1806" s="11"/>
      <c r="F1806" s="4" t="s">
        <v>4759</v>
      </c>
      <c r="H1806" s="6"/>
    </row>
    <row r="1807" spans="1:8" x14ac:dyDescent="0.2">
      <c r="A1807" s="14" t="s">
        <v>2675</v>
      </c>
      <c r="B1807" s="14" t="s">
        <v>3609</v>
      </c>
      <c r="C1807" s="14" t="s">
        <v>2850</v>
      </c>
      <c r="D1807" s="14" t="s">
        <v>1866</v>
      </c>
      <c r="E1807" s="11"/>
      <c r="F1807" s="4" t="s">
        <v>4759</v>
      </c>
      <c r="H1807" s="6"/>
    </row>
    <row r="1808" spans="1:8" x14ac:dyDescent="0.2">
      <c r="A1808" s="14" t="s">
        <v>2755</v>
      </c>
      <c r="B1808" s="14" t="s">
        <v>3609</v>
      </c>
      <c r="C1808" s="14" t="s">
        <v>2850</v>
      </c>
      <c r="D1808" s="14" t="s">
        <v>1900</v>
      </c>
      <c r="E1808" s="11"/>
      <c r="F1808" s="4" t="s">
        <v>4759</v>
      </c>
      <c r="H1808" s="6"/>
    </row>
    <row r="1809" spans="1:8" x14ac:dyDescent="0.2">
      <c r="A1809" s="14" t="s">
        <v>2756</v>
      </c>
      <c r="B1809" s="14" t="s">
        <v>3609</v>
      </c>
      <c r="C1809" s="14" t="s">
        <v>2850</v>
      </c>
      <c r="D1809" s="14" t="s">
        <v>1899</v>
      </c>
      <c r="E1809" s="11"/>
      <c r="F1809" s="4" t="s">
        <v>4759</v>
      </c>
      <c r="H1809" s="6"/>
    </row>
    <row r="1810" spans="1:8" x14ac:dyDescent="0.2">
      <c r="A1810" s="14" t="s">
        <v>2757</v>
      </c>
      <c r="B1810" s="14" t="s">
        <v>3609</v>
      </c>
      <c r="C1810" s="14" t="s">
        <v>2850</v>
      </c>
      <c r="D1810" s="14" t="s">
        <v>2745</v>
      </c>
      <c r="E1810" s="11"/>
      <c r="F1810" s="4" t="s">
        <v>4759</v>
      </c>
      <c r="H1810" s="6"/>
    </row>
    <row r="1811" spans="1:8" x14ac:dyDescent="0.2">
      <c r="A1811" s="14" t="s">
        <v>2406</v>
      </c>
      <c r="B1811" s="14" t="s">
        <v>3609</v>
      </c>
      <c r="C1811" s="14" t="s">
        <v>2850</v>
      </c>
      <c r="D1811" s="14" t="s">
        <v>4606</v>
      </c>
      <c r="E1811" s="11"/>
      <c r="F1811" s="4" t="s">
        <v>4759</v>
      </c>
      <c r="H1811" s="6"/>
    </row>
    <row r="1812" spans="1:8" x14ac:dyDescent="0.2">
      <c r="A1812" s="14" t="s">
        <v>2407</v>
      </c>
      <c r="B1812" s="14" t="s">
        <v>3609</v>
      </c>
      <c r="C1812" s="14" t="s">
        <v>2850</v>
      </c>
      <c r="D1812" s="14" t="s">
        <v>965</v>
      </c>
      <c r="E1812" s="11"/>
      <c r="F1812" s="4" t="s">
        <v>4759</v>
      </c>
      <c r="H1812" s="6"/>
    </row>
    <row r="1813" spans="1:8" x14ac:dyDescent="0.2">
      <c r="A1813" s="14" t="s">
        <v>2408</v>
      </c>
      <c r="B1813" s="14" t="s">
        <v>3609</v>
      </c>
      <c r="C1813" s="14" t="s">
        <v>2850</v>
      </c>
      <c r="D1813" s="14" t="s">
        <v>967</v>
      </c>
      <c r="E1813" s="11"/>
      <c r="F1813" s="4" t="s">
        <v>4759</v>
      </c>
      <c r="H1813" s="6"/>
    </row>
    <row r="1814" spans="1:8" x14ac:dyDescent="0.2">
      <c r="A1814" s="14" t="s">
        <v>2758</v>
      </c>
      <c r="B1814" s="14" t="s">
        <v>3609</v>
      </c>
      <c r="C1814" s="14" t="s">
        <v>2850</v>
      </c>
      <c r="D1814" s="14" t="s">
        <v>2745</v>
      </c>
      <c r="E1814" s="11"/>
      <c r="F1814" s="4" t="s">
        <v>4759</v>
      </c>
      <c r="H1814" s="6"/>
    </row>
    <row r="1815" spans="1:8" x14ac:dyDescent="0.2">
      <c r="A1815" s="14" t="s">
        <v>2759</v>
      </c>
      <c r="B1815" s="14" t="s">
        <v>3609</v>
      </c>
      <c r="C1815" s="14" t="s">
        <v>2850</v>
      </c>
      <c r="D1815" s="14" t="s">
        <v>2745</v>
      </c>
      <c r="E1815" s="11"/>
      <c r="F1815" s="4" t="s">
        <v>4759</v>
      </c>
      <c r="H1815" s="6"/>
    </row>
    <row r="1816" spans="1:8" x14ac:dyDescent="0.2">
      <c r="A1816" s="14" t="s">
        <v>2760</v>
      </c>
      <c r="B1816" s="14" t="s">
        <v>3609</v>
      </c>
      <c r="C1816" s="14" t="s">
        <v>2850</v>
      </c>
      <c r="D1816" s="14" t="s">
        <v>2745</v>
      </c>
      <c r="E1816" s="11"/>
      <c r="F1816" s="4" t="s">
        <v>4759</v>
      </c>
      <c r="H1816" s="6"/>
    </row>
    <row r="1817" spans="1:8" x14ac:dyDescent="0.2">
      <c r="A1817" s="14" t="s">
        <v>2409</v>
      </c>
      <c r="B1817" s="14" t="s">
        <v>3609</v>
      </c>
      <c r="C1817" s="14" t="s">
        <v>2850</v>
      </c>
      <c r="D1817" s="14" t="s">
        <v>4607</v>
      </c>
      <c r="E1817" s="11"/>
      <c r="F1817" s="4" t="s">
        <v>4759</v>
      </c>
      <c r="H1817" s="6"/>
    </row>
    <row r="1818" spans="1:8" x14ac:dyDescent="0.2">
      <c r="A1818" s="14" t="s">
        <v>2761</v>
      </c>
      <c r="B1818" s="14" t="s">
        <v>3609</v>
      </c>
      <c r="C1818" s="14" t="s">
        <v>2850</v>
      </c>
      <c r="D1818" s="14" t="s">
        <v>2745</v>
      </c>
      <c r="E1818" s="11"/>
      <c r="F1818" s="4" t="s">
        <v>4759</v>
      </c>
      <c r="H1818" s="6"/>
    </row>
    <row r="1819" spans="1:8" x14ac:dyDescent="0.2">
      <c r="A1819" s="14" t="s">
        <v>2410</v>
      </c>
      <c r="B1819" s="14" t="s">
        <v>3609</v>
      </c>
      <c r="C1819" s="14" t="s">
        <v>2850</v>
      </c>
      <c r="D1819" s="14" t="s">
        <v>819</v>
      </c>
      <c r="E1819" s="11"/>
      <c r="F1819" s="4" t="s">
        <v>4759</v>
      </c>
      <c r="H1819" s="6"/>
    </row>
    <row r="1820" spans="1:8" x14ac:dyDescent="0.2">
      <c r="A1820" s="14" t="s">
        <v>2411</v>
      </c>
      <c r="B1820" s="14" t="s">
        <v>3609</v>
      </c>
      <c r="C1820" s="14" t="s">
        <v>2850</v>
      </c>
      <c r="D1820" s="14" t="s">
        <v>4608</v>
      </c>
      <c r="E1820" s="11"/>
      <c r="F1820" s="4" t="s">
        <v>4759</v>
      </c>
      <c r="H1820" s="6"/>
    </row>
    <row r="1821" spans="1:8" x14ac:dyDescent="0.2">
      <c r="A1821" s="14" t="s">
        <v>2412</v>
      </c>
      <c r="B1821" s="14" t="s">
        <v>3609</v>
      </c>
      <c r="C1821" s="14" t="s">
        <v>2850</v>
      </c>
      <c r="D1821" s="14" t="s">
        <v>823</v>
      </c>
      <c r="E1821" s="11"/>
      <c r="F1821" s="4" t="s">
        <v>4759</v>
      </c>
      <c r="H1821" s="6"/>
    </row>
    <row r="1822" spans="1:8" x14ac:dyDescent="0.2">
      <c r="A1822" s="14" t="s">
        <v>2413</v>
      </c>
      <c r="B1822" s="14" t="s">
        <v>3609</v>
      </c>
      <c r="C1822" s="14" t="s">
        <v>2850</v>
      </c>
      <c r="D1822" s="14" t="s">
        <v>827</v>
      </c>
      <c r="E1822" s="11"/>
      <c r="F1822" s="4" t="s">
        <v>4759</v>
      </c>
      <c r="H1822" s="6"/>
    </row>
    <row r="1823" spans="1:8" x14ac:dyDescent="0.2">
      <c r="A1823" s="14" t="s">
        <v>2414</v>
      </c>
      <c r="B1823" s="14" t="s">
        <v>3609</v>
      </c>
      <c r="C1823" s="14" t="s">
        <v>2850</v>
      </c>
      <c r="D1823" s="14" t="s">
        <v>821</v>
      </c>
      <c r="E1823" s="11"/>
      <c r="F1823" s="4" t="s">
        <v>4759</v>
      </c>
      <c r="H1823" s="6"/>
    </row>
    <row r="1824" spans="1:8" x14ac:dyDescent="0.2">
      <c r="A1824" s="14" t="s">
        <v>2415</v>
      </c>
      <c r="B1824" s="14" t="s">
        <v>3609</v>
      </c>
      <c r="C1824" s="14" t="s">
        <v>2850</v>
      </c>
      <c r="D1824" s="14" t="s">
        <v>736</v>
      </c>
      <c r="E1824" s="11"/>
      <c r="F1824" s="4" t="s">
        <v>4759</v>
      </c>
      <c r="H1824" s="6"/>
    </row>
    <row r="1825" spans="1:8" x14ac:dyDescent="0.2">
      <c r="A1825" s="14" t="s">
        <v>2762</v>
      </c>
      <c r="B1825" s="14" t="s">
        <v>3609</v>
      </c>
      <c r="C1825" s="14" t="s">
        <v>2850</v>
      </c>
      <c r="D1825" s="14" t="s">
        <v>1898</v>
      </c>
      <c r="E1825" s="11"/>
      <c r="F1825" s="4" t="s">
        <v>4759</v>
      </c>
      <c r="H1825" s="6"/>
    </row>
    <row r="1826" spans="1:8" x14ac:dyDescent="0.2">
      <c r="A1826" s="14" t="s">
        <v>2763</v>
      </c>
      <c r="B1826" s="14" t="s">
        <v>3609</v>
      </c>
      <c r="C1826" s="14" t="s">
        <v>2850</v>
      </c>
      <c r="D1826" s="14" t="s">
        <v>1899</v>
      </c>
      <c r="E1826" s="11"/>
      <c r="F1826" s="4" t="s">
        <v>4759</v>
      </c>
      <c r="H1826" s="6"/>
    </row>
    <row r="1827" spans="1:8" x14ac:dyDescent="0.2">
      <c r="A1827" s="14" t="s">
        <v>708</v>
      </c>
      <c r="B1827" s="14" t="s">
        <v>3609</v>
      </c>
      <c r="C1827" s="14" t="s">
        <v>2850</v>
      </c>
      <c r="D1827" s="14" t="s">
        <v>332</v>
      </c>
      <c r="E1827" s="11"/>
      <c r="F1827" s="4" t="s">
        <v>4759</v>
      </c>
    </row>
    <row r="1828" spans="1:8" x14ac:dyDescent="0.2">
      <c r="A1828" s="14" t="s">
        <v>2416</v>
      </c>
      <c r="B1828" s="14" t="s">
        <v>3609</v>
      </c>
      <c r="C1828" s="14" t="s">
        <v>2850</v>
      </c>
      <c r="D1828" s="14" t="s">
        <v>4609</v>
      </c>
      <c r="E1828" s="11"/>
      <c r="F1828" s="4" t="s">
        <v>4759</v>
      </c>
      <c r="H1828" s="6"/>
    </row>
    <row r="1829" spans="1:8" x14ac:dyDescent="0.2">
      <c r="A1829" s="14" t="s">
        <v>550</v>
      </c>
      <c r="B1829" s="14" t="s">
        <v>3609</v>
      </c>
      <c r="C1829" s="14" t="s">
        <v>2850</v>
      </c>
      <c r="D1829" s="14" t="s">
        <v>12</v>
      </c>
      <c r="E1829" s="11"/>
      <c r="F1829" s="4" t="s">
        <v>4759</v>
      </c>
    </row>
    <row r="1830" spans="1:8" x14ac:dyDescent="0.2">
      <c r="A1830" s="14" t="s">
        <v>551</v>
      </c>
      <c r="B1830" s="14" t="s">
        <v>3609</v>
      </c>
      <c r="C1830" s="14" t="s">
        <v>2850</v>
      </c>
      <c r="D1830" s="14" t="s">
        <v>13</v>
      </c>
      <c r="E1830" s="11"/>
      <c r="F1830" s="4" t="s">
        <v>4759</v>
      </c>
    </row>
    <row r="1831" spans="1:8" x14ac:dyDescent="0.2">
      <c r="A1831" s="14" t="s">
        <v>2614</v>
      </c>
      <c r="B1831" s="14" t="s">
        <v>3609</v>
      </c>
      <c r="C1831" s="14" t="s">
        <v>2850</v>
      </c>
      <c r="D1831" s="14" t="s">
        <v>1755</v>
      </c>
      <c r="E1831" s="11"/>
      <c r="F1831" s="4" t="s">
        <v>4759</v>
      </c>
      <c r="H1831" s="6"/>
    </row>
    <row r="1832" spans="1:8" x14ac:dyDescent="0.2">
      <c r="A1832" s="14" t="s">
        <v>567</v>
      </c>
      <c r="B1832" s="14" t="s">
        <v>3609</v>
      </c>
      <c r="C1832" s="14" t="s">
        <v>2850</v>
      </c>
      <c r="D1832" s="14" t="s">
        <v>57</v>
      </c>
      <c r="E1832" s="11"/>
      <c r="F1832" s="4" t="s">
        <v>4759</v>
      </c>
    </row>
    <row r="1833" spans="1:8" x14ac:dyDescent="0.2">
      <c r="A1833" s="14" t="s">
        <v>568</v>
      </c>
      <c r="B1833" s="14" t="s">
        <v>3609</v>
      </c>
      <c r="C1833" s="14" t="s">
        <v>2850</v>
      </c>
      <c r="D1833" s="14" t="s">
        <v>58</v>
      </c>
      <c r="E1833" s="11"/>
      <c r="F1833" s="4" t="s">
        <v>4759</v>
      </c>
    </row>
    <row r="1834" spans="1:8" x14ac:dyDescent="0.2">
      <c r="A1834" s="14" t="s">
        <v>625</v>
      </c>
      <c r="B1834" s="14" t="s">
        <v>3609</v>
      </c>
      <c r="C1834" s="14" t="s">
        <v>2850</v>
      </c>
      <c r="D1834" s="14" t="s">
        <v>187</v>
      </c>
      <c r="E1834" s="11"/>
      <c r="F1834" s="4" t="s">
        <v>4759</v>
      </c>
    </row>
    <row r="1835" spans="1:8" x14ac:dyDescent="0.2">
      <c r="A1835" s="14" t="s">
        <v>709</v>
      </c>
      <c r="B1835" s="14" t="s">
        <v>3609</v>
      </c>
      <c r="C1835" s="14" t="s">
        <v>2850</v>
      </c>
      <c r="D1835" s="14" t="s">
        <v>333</v>
      </c>
      <c r="E1835" s="11"/>
      <c r="F1835" s="4" t="s">
        <v>4759</v>
      </c>
    </row>
    <row r="1836" spans="1:8" x14ac:dyDescent="0.2">
      <c r="A1836" s="14" t="s">
        <v>2764</v>
      </c>
      <c r="B1836" s="14" t="s">
        <v>3609</v>
      </c>
      <c r="C1836" s="14" t="s">
        <v>2850</v>
      </c>
      <c r="D1836" s="14" t="s">
        <v>1898</v>
      </c>
      <c r="E1836" s="11"/>
      <c r="F1836" s="4" t="s">
        <v>4759</v>
      </c>
      <c r="H1836" s="6"/>
    </row>
    <row r="1837" spans="1:8" x14ac:dyDescent="0.2">
      <c r="A1837" s="14" t="s">
        <v>710</v>
      </c>
      <c r="B1837" s="14" t="s">
        <v>3609</v>
      </c>
      <c r="C1837" s="14" t="s">
        <v>2850</v>
      </c>
      <c r="D1837" s="14" t="s">
        <v>334</v>
      </c>
      <c r="E1837" s="11"/>
      <c r="F1837" s="4" t="s">
        <v>4759</v>
      </c>
    </row>
    <row r="1838" spans="1:8" x14ac:dyDescent="0.2">
      <c r="A1838" s="14" t="s">
        <v>2765</v>
      </c>
      <c r="B1838" s="14" t="s">
        <v>3609</v>
      </c>
      <c r="C1838" s="14" t="s">
        <v>2850</v>
      </c>
      <c r="D1838" s="14" t="s">
        <v>1898</v>
      </c>
      <c r="E1838" s="11"/>
      <c r="F1838" s="4" t="s">
        <v>4759</v>
      </c>
      <c r="H1838" s="6"/>
    </row>
    <row r="1839" spans="1:8" x14ac:dyDescent="0.2">
      <c r="A1839" s="14" t="s">
        <v>575</v>
      </c>
      <c r="B1839" s="14" t="s">
        <v>3609</v>
      </c>
      <c r="C1839" s="14" t="s">
        <v>2850</v>
      </c>
      <c r="D1839" s="14" t="s">
        <v>77</v>
      </c>
      <c r="E1839" s="11"/>
      <c r="F1839" s="4" t="s">
        <v>4759</v>
      </c>
    </row>
    <row r="1840" spans="1:8" x14ac:dyDescent="0.2">
      <c r="A1840" s="14" t="s">
        <v>2766</v>
      </c>
      <c r="B1840" s="14" t="s">
        <v>3609</v>
      </c>
      <c r="C1840" s="14" t="s">
        <v>2850</v>
      </c>
      <c r="D1840" s="14" t="s">
        <v>1898</v>
      </c>
      <c r="E1840" s="11"/>
      <c r="F1840" s="4" t="s">
        <v>4759</v>
      </c>
      <c r="H1840" s="6"/>
    </row>
    <row r="1841" spans="1:8" x14ac:dyDescent="0.2">
      <c r="A1841" s="14" t="s">
        <v>2767</v>
      </c>
      <c r="B1841" s="14" t="s">
        <v>3609</v>
      </c>
      <c r="C1841" s="14" t="s">
        <v>2850</v>
      </c>
      <c r="D1841" s="14" t="s">
        <v>1899</v>
      </c>
      <c r="E1841" s="11"/>
      <c r="F1841" s="4" t="s">
        <v>4759</v>
      </c>
      <c r="H1841" s="6"/>
    </row>
    <row r="1842" spans="1:8" x14ac:dyDescent="0.2">
      <c r="A1842" s="14" t="s">
        <v>2768</v>
      </c>
      <c r="B1842" s="14" t="s">
        <v>3609</v>
      </c>
      <c r="C1842" s="14" t="s">
        <v>2850</v>
      </c>
      <c r="D1842" s="14" t="s">
        <v>1898</v>
      </c>
      <c r="E1842" s="11"/>
      <c r="F1842" s="4" t="s">
        <v>4759</v>
      </c>
      <c r="H1842" s="6"/>
    </row>
    <row r="1843" spans="1:8" x14ac:dyDescent="0.2">
      <c r="A1843" s="14" t="s">
        <v>2769</v>
      </c>
      <c r="B1843" s="14" t="s">
        <v>3609</v>
      </c>
      <c r="C1843" s="14" t="s">
        <v>2850</v>
      </c>
      <c r="D1843" s="14" t="s">
        <v>1898</v>
      </c>
      <c r="E1843" s="11"/>
      <c r="F1843" s="4" t="s">
        <v>4759</v>
      </c>
      <c r="H1843" s="6"/>
    </row>
    <row r="1844" spans="1:8" x14ac:dyDescent="0.2">
      <c r="A1844" s="14" t="s">
        <v>2417</v>
      </c>
      <c r="B1844" s="14" t="s">
        <v>3609</v>
      </c>
      <c r="C1844" s="14" t="s">
        <v>2850</v>
      </c>
      <c r="D1844" s="14" t="s">
        <v>4610</v>
      </c>
      <c r="E1844" s="11"/>
      <c r="F1844" s="4" t="s">
        <v>4759</v>
      </c>
      <c r="H1844" s="6"/>
    </row>
    <row r="1845" spans="1:8" x14ac:dyDescent="0.2">
      <c r="A1845" s="14" t="s">
        <v>2418</v>
      </c>
      <c r="B1845" s="14" t="s">
        <v>3609</v>
      </c>
      <c r="C1845" s="14" t="s">
        <v>2850</v>
      </c>
      <c r="D1845" s="14" t="s">
        <v>4611</v>
      </c>
      <c r="E1845" s="11"/>
      <c r="F1845" s="4" t="s">
        <v>4759</v>
      </c>
      <c r="H1845" s="6"/>
    </row>
    <row r="1846" spans="1:8" x14ac:dyDescent="0.2">
      <c r="A1846" s="14" t="s">
        <v>2419</v>
      </c>
      <c r="B1846" s="14" t="s">
        <v>3609</v>
      </c>
      <c r="C1846" s="14" t="s">
        <v>2850</v>
      </c>
      <c r="D1846" s="14" t="s">
        <v>4612</v>
      </c>
      <c r="E1846" s="11"/>
      <c r="F1846" s="4" t="s">
        <v>4759</v>
      </c>
      <c r="H1846" s="6"/>
    </row>
    <row r="1847" spans="1:8" x14ac:dyDescent="0.2">
      <c r="A1847" s="14" t="s">
        <v>2420</v>
      </c>
      <c r="B1847" s="14" t="s">
        <v>3609</v>
      </c>
      <c r="C1847" s="14" t="s">
        <v>2850</v>
      </c>
      <c r="D1847" s="14" t="s">
        <v>4613</v>
      </c>
      <c r="E1847" s="11"/>
      <c r="F1847" s="4" t="s">
        <v>4759</v>
      </c>
      <c r="H1847" s="6"/>
    </row>
    <row r="1848" spans="1:8" x14ac:dyDescent="0.2">
      <c r="A1848" s="14" t="s">
        <v>834</v>
      </c>
      <c r="B1848" s="14" t="s">
        <v>3609</v>
      </c>
      <c r="C1848" s="14" t="s">
        <v>2850</v>
      </c>
      <c r="D1848" s="14" t="s">
        <v>736</v>
      </c>
      <c r="E1848" s="11"/>
      <c r="F1848" s="4" t="s">
        <v>4759</v>
      </c>
    </row>
    <row r="1849" spans="1:8" x14ac:dyDescent="0.2">
      <c r="A1849" s="14" t="s">
        <v>835</v>
      </c>
      <c r="B1849" s="14" t="s">
        <v>3609</v>
      </c>
      <c r="C1849" s="14" t="s">
        <v>2850</v>
      </c>
      <c r="D1849" s="14" t="s">
        <v>819</v>
      </c>
      <c r="E1849" s="11"/>
      <c r="F1849" s="4" t="s">
        <v>4759</v>
      </c>
    </row>
    <row r="1850" spans="1:8" x14ac:dyDescent="0.2">
      <c r="A1850" s="14" t="s">
        <v>836</v>
      </c>
      <c r="B1850" s="14" t="s">
        <v>3609</v>
      </c>
      <c r="C1850" s="14" t="s">
        <v>2850</v>
      </c>
      <c r="D1850" s="14" t="s">
        <v>823</v>
      </c>
      <c r="E1850" s="11"/>
      <c r="F1850" s="4" t="s">
        <v>4759</v>
      </c>
    </row>
    <row r="1851" spans="1:8" x14ac:dyDescent="0.2">
      <c r="A1851" s="14" t="s">
        <v>837</v>
      </c>
      <c r="B1851" s="14" t="s">
        <v>3609</v>
      </c>
      <c r="C1851" s="14" t="s">
        <v>2850</v>
      </c>
      <c r="D1851" s="14" t="s">
        <v>827</v>
      </c>
      <c r="E1851" s="11"/>
      <c r="F1851" s="4" t="s">
        <v>4759</v>
      </c>
    </row>
    <row r="1852" spans="1:8" x14ac:dyDescent="0.2">
      <c r="A1852" s="14" t="s">
        <v>838</v>
      </c>
      <c r="B1852" s="14" t="s">
        <v>3609</v>
      </c>
      <c r="C1852" s="14" t="s">
        <v>2850</v>
      </c>
      <c r="D1852" s="14" t="s">
        <v>821</v>
      </c>
      <c r="E1852" s="11"/>
      <c r="F1852" s="4" t="s">
        <v>4759</v>
      </c>
    </row>
    <row r="1853" spans="1:8" x14ac:dyDescent="0.2">
      <c r="A1853" s="14" t="s">
        <v>2770</v>
      </c>
      <c r="B1853" s="14" t="s">
        <v>3609</v>
      </c>
      <c r="C1853" s="14" t="s">
        <v>2850</v>
      </c>
      <c r="D1853" s="14" t="s">
        <v>1901</v>
      </c>
      <c r="E1853" s="11"/>
      <c r="F1853" s="4" t="s">
        <v>4759</v>
      </c>
      <c r="H1853" s="6"/>
    </row>
    <row r="1854" spans="1:8" x14ac:dyDescent="0.2">
      <c r="A1854" s="14" t="s">
        <v>2421</v>
      </c>
      <c r="B1854" s="14" t="s">
        <v>3609</v>
      </c>
      <c r="C1854" s="14" t="s">
        <v>2850</v>
      </c>
      <c r="D1854" s="14" t="s">
        <v>967</v>
      </c>
      <c r="E1854" s="11"/>
      <c r="F1854" s="4" t="s">
        <v>4759</v>
      </c>
      <c r="H1854" s="6"/>
    </row>
    <row r="1855" spans="1:8" x14ac:dyDescent="0.2">
      <c r="A1855" s="14" t="s">
        <v>2422</v>
      </c>
      <c r="B1855" s="14" t="s">
        <v>3609</v>
      </c>
      <c r="C1855" s="14" t="s">
        <v>2850</v>
      </c>
      <c r="D1855" s="14" t="s">
        <v>965</v>
      </c>
      <c r="E1855" s="11"/>
      <c r="F1855" s="4" t="s">
        <v>4759</v>
      </c>
      <c r="H1855" s="6"/>
    </row>
    <row r="1856" spans="1:8" x14ac:dyDescent="0.2">
      <c r="A1856" s="14" t="s">
        <v>2423</v>
      </c>
      <c r="B1856" s="14" t="s">
        <v>3609</v>
      </c>
      <c r="C1856" s="14" t="s">
        <v>2850</v>
      </c>
      <c r="D1856" s="14" t="s">
        <v>4614</v>
      </c>
      <c r="E1856" s="11"/>
      <c r="F1856" s="4" t="s">
        <v>4759</v>
      </c>
      <c r="H1856" s="6"/>
    </row>
    <row r="1857" spans="1:8" x14ac:dyDescent="0.2">
      <c r="A1857" s="14" t="s">
        <v>2424</v>
      </c>
      <c r="B1857" s="14" t="s">
        <v>3609</v>
      </c>
      <c r="C1857" s="14" t="s">
        <v>2850</v>
      </c>
      <c r="D1857" s="14" t="s">
        <v>4606</v>
      </c>
      <c r="E1857" s="11"/>
      <c r="F1857" s="4" t="s">
        <v>4759</v>
      </c>
      <c r="H1857" s="6"/>
    </row>
    <row r="1858" spans="1:8" x14ac:dyDescent="0.2">
      <c r="A1858" s="14" t="s">
        <v>2771</v>
      </c>
      <c r="B1858" s="14" t="s">
        <v>3609</v>
      </c>
      <c r="C1858" s="14" t="s">
        <v>2850</v>
      </c>
      <c r="D1858" s="14" t="s">
        <v>1902</v>
      </c>
      <c r="E1858" s="11"/>
      <c r="F1858" s="4" t="s">
        <v>4759</v>
      </c>
      <c r="H1858" s="6"/>
    </row>
    <row r="1859" spans="1:8" x14ac:dyDescent="0.2">
      <c r="A1859" s="14" t="s">
        <v>2772</v>
      </c>
      <c r="B1859" s="14" t="s">
        <v>3609</v>
      </c>
      <c r="C1859" s="14" t="s">
        <v>2850</v>
      </c>
      <c r="D1859" s="14" t="s">
        <v>1903</v>
      </c>
      <c r="E1859" s="11"/>
      <c r="F1859" s="4" t="s">
        <v>4759</v>
      </c>
      <c r="H1859" s="6"/>
    </row>
    <row r="1860" spans="1:8" x14ac:dyDescent="0.2">
      <c r="A1860" s="14" t="s">
        <v>2773</v>
      </c>
      <c r="B1860" s="14" t="s">
        <v>3609</v>
      </c>
      <c r="C1860" s="14" t="s">
        <v>2850</v>
      </c>
      <c r="D1860" s="14" t="s">
        <v>1903</v>
      </c>
      <c r="E1860" s="11"/>
      <c r="F1860" s="4" t="s">
        <v>4759</v>
      </c>
      <c r="H1860" s="6"/>
    </row>
    <row r="1861" spans="1:8" x14ac:dyDescent="0.2">
      <c r="A1861" s="14" t="s">
        <v>630</v>
      </c>
      <c r="B1861" s="14" t="s">
        <v>3609</v>
      </c>
      <c r="C1861" s="14" t="s">
        <v>2850</v>
      </c>
      <c r="D1861" s="14" t="s">
        <v>213</v>
      </c>
      <c r="E1861" s="11"/>
      <c r="F1861" s="4" t="s">
        <v>4759</v>
      </c>
    </row>
    <row r="1862" spans="1:8" x14ac:dyDescent="0.2">
      <c r="A1862" s="14" t="s">
        <v>569</v>
      </c>
      <c r="B1862" s="14" t="s">
        <v>3609</v>
      </c>
      <c r="C1862" s="14" t="s">
        <v>2850</v>
      </c>
      <c r="D1862" s="14" t="s">
        <v>59</v>
      </c>
      <c r="E1862" s="11"/>
      <c r="F1862" s="4" t="s">
        <v>4759</v>
      </c>
    </row>
    <row r="1863" spans="1:8" x14ac:dyDescent="0.2">
      <c r="A1863" s="14" t="s">
        <v>711</v>
      </c>
      <c r="B1863" s="14" t="s">
        <v>3609</v>
      </c>
      <c r="C1863" s="14" t="s">
        <v>2850</v>
      </c>
      <c r="D1863" s="14" t="s">
        <v>2093</v>
      </c>
      <c r="E1863" s="11"/>
      <c r="F1863" s="4" t="s">
        <v>4759</v>
      </c>
    </row>
    <row r="1864" spans="1:8" x14ac:dyDescent="0.2">
      <c r="A1864" s="14" t="s">
        <v>2425</v>
      </c>
      <c r="B1864" s="14" t="s">
        <v>3609</v>
      </c>
      <c r="C1864" s="14" t="s">
        <v>2850</v>
      </c>
      <c r="D1864" s="14" t="s">
        <v>4615</v>
      </c>
      <c r="E1864" s="11"/>
      <c r="F1864" s="4" t="s">
        <v>4759</v>
      </c>
      <c r="H1864" s="6"/>
    </row>
    <row r="1865" spans="1:8" x14ac:dyDescent="0.2">
      <c r="A1865" s="14" t="s">
        <v>712</v>
      </c>
      <c r="B1865" s="14" t="s">
        <v>3609</v>
      </c>
      <c r="C1865" s="14" t="s">
        <v>2850</v>
      </c>
      <c r="D1865" s="14" t="s">
        <v>2090</v>
      </c>
      <c r="E1865" s="11"/>
      <c r="F1865" s="4" t="s">
        <v>4759</v>
      </c>
    </row>
    <row r="1866" spans="1:8" x14ac:dyDescent="0.2">
      <c r="A1866" s="14" t="s">
        <v>713</v>
      </c>
      <c r="B1866" s="14" t="s">
        <v>3609</v>
      </c>
      <c r="C1866" s="14" t="s">
        <v>2850</v>
      </c>
      <c r="D1866" s="14" t="s">
        <v>335</v>
      </c>
      <c r="E1866" s="11"/>
      <c r="F1866" s="4" t="s">
        <v>4760</v>
      </c>
    </row>
    <row r="1867" spans="1:8" x14ac:dyDescent="0.2">
      <c r="A1867" s="14" t="s">
        <v>2647</v>
      </c>
      <c r="B1867" s="14" t="s">
        <v>3609</v>
      </c>
      <c r="C1867" s="22" t="s">
        <v>2850</v>
      </c>
      <c r="D1867" s="14" t="s">
        <v>1837</v>
      </c>
      <c r="E1867" s="11"/>
      <c r="F1867" s="4" t="s">
        <v>4760</v>
      </c>
      <c r="H1867" s="6"/>
    </row>
    <row r="1868" spans="1:8" x14ac:dyDescent="0.2">
      <c r="A1868" s="14" t="s">
        <v>1337</v>
      </c>
      <c r="B1868" s="14" t="s">
        <v>4746</v>
      </c>
      <c r="C1868" s="14" t="s">
        <v>2853</v>
      </c>
      <c r="D1868" s="14" t="s">
        <v>3957</v>
      </c>
      <c r="E1868" s="11"/>
      <c r="F1868" s="4" t="s">
        <v>4760</v>
      </c>
    </row>
    <row r="1869" spans="1:8" x14ac:dyDescent="0.2">
      <c r="A1869" s="14" t="s">
        <v>1338</v>
      </c>
      <c r="B1869" s="14" t="s">
        <v>3613</v>
      </c>
      <c r="C1869" s="14" t="s">
        <v>1338</v>
      </c>
      <c r="D1869" s="14" t="s">
        <v>3957</v>
      </c>
      <c r="E1869" s="11" t="s">
        <v>3957</v>
      </c>
      <c r="F1869" s="4" t="s">
        <v>1523</v>
      </c>
    </row>
    <row r="1870" spans="1:8" x14ac:dyDescent="0.2">
      <c r="A1870" s="14" t="s">
        <v>1339</v>
      </c>
      <c r="B1870" s="14" t="s">
        <v>3613</v>
      </c>
      <c r="C1870" s="14" t="s">
        <v>1339</v>
      </c>
      <c r="D1870" s="14" t="s">
        <v>3957</v>
      </c>
      <c r="E1870" s="11" t="s">
        <v>3957</v>
      </c>
      <c r="F1870" s="4" t="s">
        <v>1523</v>
      </c>
    </row>
    <row r="1871" spans="1:8" x14ac:dyDescent="0.2">
      <c r="A1871" s="14" t="s">
        <v>1340</v>
      </c>
      <c r="B1871" s="14" t="s">
        <v>3613</v>
      </c>
      <c r="C1871" s="14" t="s">
        <v>1340</v>
      </c>
      <c r="D1871" s="14" t="s">
        <v>3958</v>
      </c>
      <c r="E1871" s="11" t="s">
        <v>3958</v>
      </c>
      <c r="F1871" s="4" t="s">
        <v>1523</v>
      </c>
    </row>
    <row r="1872" spans="1:8" x14ac:dyDescent="0.2">
      <c r="A1872" s="14" t="s">
        <v>1341</v>
      </c>
      <c r="B1872" s="14" t="s">
        <v>3613</v>
      </c>
      <c r="C1872" s="14" t="s">
        <v>1341</v>
      </c>
      <c r="D1872" s="14" t="s">
        <v>3958</v>
      </c>
      <c r="E1872" s="11" t="s">
        <v>3958</v>
      </c>
      <c r="F1872" s="4" t="s">
        <v>1523</v>
      </c>
    </row>
    <row r="1873" spans="1:8" x14ac:dyDescent="0.2">
      <c r="A1873" s="14" t="s">
        <v>1332</v>
      </c>
      <c r="B1873" s="14" t="s">
        <v>3609</v>
      </c>
      <c r="C1873" s="14" t="s">
        <v>2850</v>
      </c>
      <c r="D1873" s="14" t="s">
        <v>3979</v>
      </c>
      <c r="E1873" s="11"/>
      <c r="F1873" s="4" t="s">
        <v>4760</v>
      </c>
      <c r="H1873" s="6"/>
    </row>
    <row r="1874" spans="1:8" x14ac:dyDescent="0.2">
      <c r="A1874" s="14" t="s">
        <v>1333</v>
      </c>
      <c r="B1874" s="14" t="s">
        <v>3609</v>
      </c>
      <c r="C1874" s="14" t="s">
        <v>2850</v>
      </c>
      <c r="D1874" s="14" t="s">
        <v>3979</v>
      </c>
      <c r="E1874" s="11"/>
      <c r="F1874" s="4" t="s">
        <v>4760</v>
      </c>
      <c r="H1874" s="6"/>
    </row>
    <row r="1875" spans="1:8" x14ac:dyDescent="0.2">
      <c r="A1875" s="14" t="s">
        <v>1048</v>
      </c>
      <c r="B1875" s="14" t="s">
        <v>3609</v>
      </c>
      <c r="C1875" s="14" t="s">
        <v>2850</v>
      </c>
      <c r="D1875" s="14" t="s">
        <v>1778</v>
      </c>
      <c r="E1875" s="11"/>
      <c r="F1875" s="4" t="s">
        <v>4760</v>
      </c>
      <c r="H1875" s="6"/>
    </row>
    <row r="1876" spans="1:8" x14ac:dyDescent="0.2">
      <c r="A1876" s="14" t="s">
        <v>1049</v>
      </c>
      <c r="B1876" s="14" t="s">
        <v>3609</v>
      </c>
      <c r="C1876" s="14" t="s">
        <v>2850</v>
      </c>
      <c r="D1876" s="14" t="s">
        <v>1778</v>
      </c>
      <c r="E1876" s="11"/>
      <c r="F1876" s="4" t="s">
        <v>4760</v>
      </c>
      <c r="H1876" s="6"/>
    </row>
    <row r="1877" spans="1:8" x14ac:dyDescent="0.2">
      <c r="A1877" s="14" t="s">
        <v>1050</v>
      </c>
      <c r="B1877" s="14" t="s">
        <v>3609</v>
      </c>
      <c r="C1877" s="14" t="s">
        <v>2850</v>
      </c>
      <c r="D1877" s="14" t="s">
        <v>1779</v>
      </c>
      <c r="E1877" s="11"/>
      <c r="F1877" s="4" t="s">
        <v>4760</v>
      </c>
      <c r="H1877" s="6"/>
    </row>
    <row r="1878" spans="1:8" x14ac:dyDescent="0.2">
      <c r="A1878" s="14" t="s">
        <v>2432</v>
      </c>
      <c r="B1878" s="14" t="s">
        <v>3609</v>
      </c>
      <c r="C1878" s="14" t="s">
        <v>2850</v>
      </c>
      <c r="D1878" s="14" t="s">
        <v>4617</v>
      </c>
      <c r="E1878" s="11"/>
      <c r="F1878" s="4" t="s">
        <v>4760</v>
      </c>
      <c r="H1878" s="6"/>
    </row>
    <row r="1879" spans="1:8" x14ac:dyDescent="0.2">
      <c r="A1879" s="14" t="s">
        <v>1115</v>
      </c>
      <c r="B1879" s="14" t="s">
        <v>3612</v>
      </c>
      <c r="C1879" s="14" t="s">
        <v>1601</v>
      </c>
      <c r="D1879" s="14" t="s">
        <v>4618</v>
      </c>
      <c r="E1879" s="11"/>
      <c r="F1879" s="4" t="s">
        <v>1529</v>
      </c>
      <c r="H1879" s="6"/>
    </row>
    <row r="1880" spans="1:8" x14ac:dyDescent="0.2">
      <c r="A1880" s="14" t="s">
        <v>1114</v>
      </c>
      <c r="B1880" s="14" t="s">
        <v>3613</v>
      </c>
      <c r="C1880" s="14" t="s">
        <v>1114</v>
      </c>
      <c r="D1880" s="14" t="s">
        <v>4619</v>
      </c>
      <c r="E1880" s="11" t="s">
        <v>3846</v>
      </c>
      <c r="F1880" s="4" t="s">
        <v>1529</v>
      </c>
      <c r="H1880" s="6"/>
    </row>
    <row r="1881" spans="1:8" x14ac:dyDescent="0.2">
      <c r="A1881" s="14" t="s">
        <v>1111</v>
      </c>
      <c r="B1881" s="14" t="s">
        <v>3613</v>
      </c>
      <c r="C1881" s="14" t="s">
        <v>1111</v>
      </c>
      <c r="D1881" s="14" t="s">
        <v>4620</v>
      </c>
      <c r="E1881" s="11" t="s">
        <v>4620</v>
      </c>
      <c r="F1881" s="4" t="s">
        <v>1529</v>
      </c>
      <c r="H1881" s="6"/>
    </row>
    <row r="1882" spans="1:8" x14ac:dyDescent="0.2">
      <c r="A1882" s="14" t="s">
        <v>2433</v>
      </c>
      <c r="B1882" s="14" t="s">
        <v>3609</v>
      </c>
      <c r="C1882" s="14" t="s">
        <v>2850</v>
      </c>
      <c r="D1882" s="14" t="s">
        <v>4621</v>
      </c>
      <c r="E1882" s="11"/>
      <c r="F1882" s="4" t="s">
        <v>1529</v>
      </c>
      <c r="H1882" s="6"/>
    </row>
    <row r="1883" spans="1:8" x14ac:dyDescent="0.2">
      <c r="A1883" s="14" t="s">
        <v>1112</v>
      </c>
      <c r="B1883" s="14" t="s">
        <v>3613</v>
      </c>
      <c r="C1883" s="14" t="s">
        <v>1112</v>
      </c>
      <c r="D1883" s="14" t="s">
        <v>4622</v>
      </c>
      <c r="E1883" s="11" t="s">
        <v>3847</v>
      </c>
      <c r="F1883" s="4" t="s">
        <v>1529</v>
      </c>
      <c r="H1883" s="6"/>
    </row>
    <row r="1884" spans="1:8" x14ac:dyDescent="0.2">
      <c r="A1884" s="14" t="s">
        <v>2448</v>
      </c>
      <c r="B1884" s="14" t="s">
        <v>3609</v>
      </c>
      <c r="C1884" s="14" t="s">
        <v>2850</v>
      </c>
      <c r="D1884" s="14" t="s">
        <v>4648</v>
      </c>
      <c r="E1884" s="11"/>
      <c r="F1884" s="4" t="s">
        <v>1529</v>
      </c>
      <c r="H1884" s="6"/>
    </row>
    <row r="1885" spans="1:8" x14ac:dyDescent="0.2">
      <c r="A1885" s="14" t="s">
        <v>1113</v>
      </c>
      <c r="B1885" s="14" t="s">
        <v>3613</v>
      </c>
      <c r="C1885" s="14" t="s">
        <v>1113</v>
      </c>
      <c r="D1885" s="14" t="s">
        <v>4623</v>
      </c>
      <c r="E1885" s="11" t="s">
        <v>3848</v>
      </c>
      <c r="F1885" s="4" t="s">
        <v>1529</v>
      </c>
      <c r="H1885" s="6"/>
    </row>
    <row r="1886" spans="1:8" x14ac:dyDescent="0.2">
      <c r="A1886" s="14" t="s">
        <v>2449</v>
      </c>
      <c r="B1886" s="14" t="s">
        <v>3609</v>
      </c>
      <c r="C1886" s="14" t="s">
        <v>2850</v>
      </c>
      <c r="D1886" s="14" t="s">
        <v>4649</v>
      </c>
      <c r="E1886" s="11"/>
      <c r="F1886" s="4" t="s">
        <v>1529</v>
      </c>
      <c r="H1886" s="6"/>
    </row>
    <row r="1887" spans="1:8" x14ac:dyDescent="0.2">
      <c r="A1887" s="14" t="s">
        <v>1116</v>
      </c>
      <c r="B1887" s="14" t="s">
        <v>3612</v>
      </c>
      <c r="C1887" s="14" t="s">
        <v>4747</v>
      </c>
      <c r="D1887" s="14" t="s">
        <v>4624</v>
      </c>
      <c r="E1887" s="11" t="s">
        <v>3849</v>
      </c>
      <c r="F1887" s="4" t="s">
        <v>1529</v>
      </c>
      <c r="H1887" s="6"/>
    </row>
    <row r="1888" spans="1:8" x14ac:dyDescent="0.2">
      <c r="A1888" s="14" t="s">
        <v>1117</v>
      </c>
      <c r="B1888" s="14" t="s">
        <v>3613</v>
      </c>
      <c r="C1888" s="14" t="s">
        <v>1117</v>
      </c>
      <c r="D1888" s="14" t="s">
        <v>4625</v>
      </c>
      <c r="E1888" s="11" t="s">
        <v>3615</v>
      </c>
      <c r="F1888" s="4" t="s">
        <v>1529</v>
      </c>
      <c r="H1888" s="6"/>
    </row>
    <row r="1889" spans="1:8" x14ac:dyDescent="0.2">
      <c r="A1889" s="14" t="s">
        <v>2434</v>
      </c>
      <c r="B1889" s="14" t="s">
        <v>3609</v>
      </c>
      <c r="C1889" s="14" t="s">
        <v>2850</v>
      </c>
      <c r="D1889" s="14" t="s">
        <v>4626</v>
      </c>
      <c r="E1889" s="11"/>
      <c r="F1889" s="4" t="s">
        <v>1529</v>
      </c>
      <c r="H1889" s="6"/>
    </row>
    <row r="1890" spans="1:8" x14ac:dyDescent="0.2">
      <c r="A1890" s="14" t="s">
        <v>1118</v>
      </c>
      <c r="B1890" s="14" t="s">
        <v>3613</v>
      </c>
      <c r="C1890" s="14" t="s">
        <v>1118</v>
      </c>
      <c r="D1890" s="14" t="s">
        <v>4627</v>
      </c>
      <c r="E1890" s="11" t="s">
        <v>3850</v>
      </c>
      <c r="F1890" s="4" t="s">
        <v>1529</v>
      </c>
      <c r="H1890" s="6"/>
    </row>
    <row r="1891" spans="1:8" x14ac:dyDescent="0.2">
      <c r="A1891" s="14" t="s">
        <v>2648</v>
      </c>
      <c r="B1891" s="14" t="s">
        <v>3609</v>
      </c>
      <c r="C1891" s="14" t="s">
        <v>2850</v>
      </c>
      <c r="D1891" s="14" t="s">
        <v>1838</v>
      </c>
      <c r="E1891" s="11"/>
      <c r="F1891" s="4" t="s">
        <v>1529</v>
      </c>
      <c r="H1891" s="6"/>
    </row>
    <row r="1892" spans="1:8" x14ac:dyDescent="0.2">
      <c r="A1892" s="14" t="s">
        <v>2450</v>
      </c>
      <c r="B1892" s="14" t="s">
        <v>3613</v>
      </c>
      <c r="C1892" s="14" t="s">
        <v>2450</v>
      </c>
      <c r="D1892" s="14" t="s">
        <v>4650</v>
      </c>
      <c r="E1892" s="11" t="s">
        <v>3857</v>
      </c>
      <c r="F1892" s="4" t="s">
        <v>1529</v>
      </c>
      <c r="H1892" s="6"/>
    </row>
    <row r="1893" spans="1:8" x14ac:dyDescent="0.2">
      <c r="A1893" s="14" t="s">
        <v>1119</v>
      </c>
      <c r="B1893" s="14" t="s">
        <v>3613</v>
      </c>
      <c r="C1893" s="14" t="s">
        <v>1119</v>
      </c>
      <c r="D1893" s="14" t="s">
        <v>4634</v>
      </c>
      <c r="E1893" s="11" t="s">
        <v>3855</v>
      </c>
      <c r="F1893" s="4" t="s">
        <v>1529</v>
      </c>
      <c r="H1893" s="6"/>
    </row>
    <row r="1894" spans="1:8" x14ac:dyDescent="0.2">
      <c r="A1894" s="14" t="s">
        <v>1120</v>
      </c>
      <c r="B1894" s="14" t="s">
        <v>3613</v>
      </c>
      <c r="C1894" s="14" t="s">
        <v>1120</v>
      </c>
      <c r="D1894" s="14" t="s">
        <v>4635</v>
      </c>
      <c r="E1894" s="11" t="s">
        <v>3856</v>
      </c>
      <c r="F1894" s="4" t="s">
        <v>1529</v>
      </c>
      <c r="H1894" s="6"/>
    </row>
    <row r="1895" spans="1:8" x14ac:dyDescent="0.2">
      <c r="A1895" s="14" t="s">
        <v>2451</v>
      </c>
      <c r="B1895" s="14" t="s">
        <v>3609</v>
      </c>
      <c r="C1895" s="14" t="s">
        <v>2850</v>
      </c>
      <c r="D1895" s="14" t="s">
        <v>4651</v>
      </c>
      <c r="E1895" s="11"/>
      <c r="F1895" s="4" t="s">
        <v>1529</v>
      </c>
      <c r="H1895" s="6"/>
    </row>
    <row r="1896" spans="1:8" x14ac:dyDescent="0.2">
      <c r="A1896" s="14" t="s">
        <v>1150</v>
      </c>
      <c r="B1896" s="14" t="s">
        <v>3612</v>
      </c>
      <c r="C1896" s="14" t="s">
        <v>3357</v>
      </c>
      <c r="D1896" s="14" t="s">
        <v>4663</v>
      </c>
      <c r="E1896" s="11" t="s">
        <v>4663</v>
      </c>
      <c r="F1896" s="4" t="s">
        <v>1529</v>
      </c>
      <c r="H1896" s="6"/>
    </row>
    <row r="1897" spans="1:8" x14ac:dyDescent="0.2">
      <c r="A1897" s="14" t="s">
        <v>2452</v>
      </c>
      <c r="B1897" s="14" t="s">
        <v>3609</v>
      </c>
      <c r="C1897" s="14" t="s">
        <v>2850</v>
      </c>
      <c r="D1897" s="14" t="s">
        <v>4652</v>
      </c>
      <c r="E1897" s="11"/>
      <c r="F1897" s="4" t="s">
        <v>1529</v>
      </c>
      <c r="H1897" s="6"/>
    </row>
    <row r="1898" spans="1:8" x14ac:dyDescent="0.2">
      <c r="A1898" s="14" t="s">
        <v>1152</v>
      </c>
      <c r="B1898" s="14" t="s">
        <v>3612</v>
      </c>
      <c r="C1898" s="14" t="s">
        <v>3358</v>
      </c>
      <c r="D1898" s="14" t="s">
        <v>4664</v>
      </c>
      <c r="E1898" s="11" t="s">
        <v>4664</v>
      </c>
      <c r="F1898" s="4" t="s">
        <v>1529</v>
      </c>
      <c r="H1898" s="6"/>
    </row>
    <row r="1899" spans="1:8" x14ac:dyDescent="0.2">
      <c r="A1899" s="14" t="s">
        <v>1153</v>
      </c>
      <c r="B1899" s="14" t="s">
        <v>4746</v>
      </c>
      <c r="C1899" s="14" t="s">
        <v>2853</v>
      </c>
      <c r="D1899" s="14" t="s">
        <v>4665</v>
      </c>
      <c r="E1899" s="11"/>
      <c r="F1899" s="4" t="s">
        <v>1529</v>
      </c>
      <c r="H1899" s="6"/>
    </row>
    <row r="1900" spans="1:8" x14ac:dyDescent="0.2">
      <c r="A1900" s="14" t="s">
        <v>1151</v>
      </c>
      <c r="B1900" s="14" t="s">
        <v>3612</v>
      </c>
      <c r="C1900" s="14" t="s">
        <v>3359</v>
      </c>
      <c r="D1900" s="14" t="s">
        <v>4666</v>
      </c>
      <c r="E1900" s="11" t="s">
        <v>4666</v>
      </c>
      <c r="F1900" s="4" t="s">
        <v>1529</v>
      </c>
      <c r="H1900" s="6"/>
    </row>
    <row r="1901" spans="1:8" x14ac:dyDescent="0.2">
      <c r="A1901" s="14" t="s">
        <v>1146</v>
      </c>
      <c r="B1901" s="14" t="s">
        <v>3612</v>
      </c>
      <c r="C1901" s="14" t="s">
        <v>3360</v>
      </c>
      <c r="D1901" s="14" t="s">
        <v>4667</v>
      </c>
      <c r="E1901" s="11" t="s">
        <v>4667</v>
      </c>
      <c r="F1901" s="4" t="s">
        <v>1529</v>
      </c>
      <c r="H1901" s="6"/>
    </row>
    <row r="1902" spans="1:8" x14ac:dyDescent="0.2">
      <c r="A1902" s="14" t="s">
        <v>2437</v>
      </c>
      <c r="B1902" s="14" t="s">
        <v>3609</v>
      </c>
      <c r="C1902" s="14" t="s">
        <v>2850</v>
      </c>
      <c r="D1902" s="14" t="s">
        <v>4636</v>
      </c>
      <c r="E1902" s="11"/>
      <c r="F1902" s="4" t="s">
        <v>1529</v>
      </c>
      <c r="H1902" s="6"/>
    </row>
    <row r="1903" spans="1:8" x14ac:dyDescent="0.2">
      <c r="A1903" s="14" t="s">
        <v>2453</v>
      </c>
      <c r="B1903" s="14" t="s">
        <v>3609</v>
      </c>
      <c r="C1903" s="14" t="s">
        <v>2850</v>
      </c>
      <c r="D1903" s="14" t="s">
        <v>4653</v>
      </c>
      <c r="E1903" s="11"/>
      <c r="F1903" s="4" t="s">
        <v>1529</v>
      </c>
      <c r="H1903" s="6"/>
    </row>
    <row r="1904" spans="1:8" x14ac:dyDescent="0.2">
      <c r="A1904" s="14" t="s">
        <v>1148</v>
      </c>
      <c r="B1904" s="14" t="s">
        <v>3612</v>
      </c>
      <c r="C1904" s="14" t="s">
        <v>3361</v>
      </c>
      <c r="D1904" s="14" t="s">
        <v>4668</v>
      </c>
      <c r="E1904" s="11" t="s">
        <v>3859</v>
      </c>
      <c r="F1904" s="4" t="s">
        <v>1529</v>
      </c>
      <c r="H1904" s="6"/>
    </row>
    <row r="1905" spans="1:8" x14ac:dyDescent="0.2">
      <c r="A1905" s="14" t="s">
        <v>2454</v>
      </c>
      <c r="B1905" s="14" t="s">
        <v>3609</v>
      </c>
      <c r="C1905" s="14" t="s">
        <v>2850</v>
      </c>
      <c r="D1905" s="14" t="s">
        <v>4654</v>
      </c>
      <c r="E1905" s="11"/>
      <c r="F1905" s="4" t="s">
        <v>1529</v>
      </c>
      <c r="H1905" s="6"/>
    </row>
    <row r="1906" spans="1:8" x14ac:dyDescent="0.2">
      <c r="A1906" s="14" t="s">
        <v>1149</v>
      </c>
      <c r="B1906" s="14" t="s">
        <v>3612</v>
      </c>
      <c r="C1906" s="14" t="s">
        <v>3362</v>
      </c>
      <c r="D1906" s="14" t="s">
        <v>4669</v>
      </c>
      <c r="E1906" s="11" t="s">
        <v>3860</v>
      </c>
      <c r="F1906" s="4" t="s">
        <v>1529</v>
      </c>
      <c r="H1906" s="6"/>
    </row>
    <row r="1907" spans="1:8" x14ac:dyDescent="0.2">
      <c r="A1907" s="14" t="s">
        <v>1147</v>
      </c>
      <c r="B1907" s="14" t="s">
        <v>3612</v>
      </c>
      <c r="C1907" s="14" t="s">
        <v>3363</v>
      </c>
      <c r="D1907" s="14" t="s">
        <v>4670</v>
      </c>
      <c r="E1907" s="11" t="s">
        <v>4670</v>
      </c>
      <c r="F1907" s="4" t="s">
        <v>1529</v>
      </c>
      <c r="H1907" s="6"/>
    </row>
    <row r="1908" spans="1:8" x14ac:dyDescent="0.2">
      <c r="A1908" s="14" t="s">
        <v>1106</v>
      </c>
      <c r="B1908" s="14" t="s">
        <v>3612</v>
      </c>
      <c r="C1908" s="14" t="s">
        <v>3338</v>
      </c>
      <c r="D1908" s="14" t="s">
        <v>4628</v>
      </c>
      <c r="E1908" s="11" t="s">
        <v>3851</v>
      </c>
      <c r="F1908" s="4" t="s">
        <v>1529</v>
      </c>
      <c r="H1908" s="6"/>
    </row>
    <row r="1909" spans="1:8" x14ac:dyDescent="0.2">
      <c r="A1909" s="14" t="s">
        <v>2455</v>
      </c>
      <c r="B1909" s="14" t="s">
        <v>3609</v>
      </c>
      <c r="C1909" s="14" t="s">
        <v>2850</v>
      </c>
      <c r="D1909" s="14" t="s">
        <v>4655</v>
      </c>
      <c r="E1909" s="11"/>
      <c r="F1909" s="4" t="s">
        <v>1529</v>
      </c>
      <c r="H1909" s="6"/>
    </row>
    <row r="1910" spans="1:8" x14ac:dyDescent="0.2">
      <c r="A1910" s="14" t="s">
        <v>1107</v>
      </c>
      <c r="B1910" s="14" t="s">
        <v>3612</v>
      </c>
      <c r="C1910" s="14" t="s">
        <v>3339</v>
      </c>
      <c r="D1910" s="14" t="s">
        <v>4629</v>
      </c>
      <c r="E1910" s="11" t="s">
        <v>3852</v>
      </c>
      <c r="F1910" s="4" t="s">
        <v>1529</v>
      </c>
      <c r="H1910" s="6"/>
    </row>
    <row r="1911" spans="1:8" x14ac:dyDescent="0.2">
      <c r="A1911" s="14" t="s">
        <v>2435</v>
      </c>
      <c r="B1911" s="14" t="s">
        <v>3609</v>
      </c>
      <c r="C1911" s="14" t="s">
        <v>2850</v>
      </c>
      <c r="D1911" s="14" t="s">
        <v>4630</v>
      </c>
      <c r="E1911" s="11"/>
      <c r="F1911" s="4" t="s">
        <v>1529</v>
      </c>
      <c r="H1911" s="6"/>
    </row>
    <row r="1912" spans="1:8" x14ac:dyDescent="0.2">
      <c r="A1912" s="14" t="s">
        <v>1121</v>
      </c>
      <c r="B1912" s="14" t="s">
        <v>3613</v>
      </c>
      <c r="C1912" s="14" t="s">
        <v>1121</v>
      </c>
      <c r="D1912" s="14" t="s">
        <v>4656</v>
      </c>
      <c r="E1912" s="11" t="s">
        <v>3858</v>
      </c>
      <c r="F1912" s="4" t="s">
        <v>1529</v>
      </c>
      <c r="H1912" s="6"/>
    </row>
    <row r="1913" spans="1:8" x14ac:dyDescent="0.2">
      <c r="A1913" s="14" t="s">
        <v>1342</v>
      </c>
      <c r="B1913" s="14" t="s">
        <v>3612</v>
      </c>
      <c r="C1913" s="14" t="s">
        <v>3354</v>
      </c>
      <c r="D1913" s="14" t="s">
        <v>4657</v>
      </c>
      <c r="E1913" s="11" t="s">
        <v>4657</v>
      </c>
      <c r="F1913" s="4" t="s">
        <v>1529</v>
      </c>
      <c r="H1913" s="6"/>
    </row>
    <row r="1914" spans="1:8" x14ac:dyDescent="0.2">
      <c r="A1914" s="14" t="s">
        <v>1094</v>
      </c>
      <c r="B1914" s="14" t="s">
        <v>4746</v>
      </c>
      <c r="C1914" s="14" t="s">
        <v>2853</v>
      </c>
      <c r="D1914" s="14" t="s">
        <v>4631</v>
      </c>
      <c r="E1914" s="11" t="s">
        <v>3853</v>
      </c>
      <c r="F1914" s="4" t="s">
        <v>1529</v>
      </c>
      <c r="H1914" s="6"/>
    </row>
    <row r="1915" spans="1:8" x14ac:dyDescent="0.2">
      <c r="A1915" s="14" t="s">
        <v>1095</v>
      </c>
      <c r="B1915" s="14" t="s">
        <v>3612</v>
      </c>
      <c r="C1915" s="14" t="s">
        <v>3341</v>
      </c>
      <c r="D1915" s="14" t="s">
        <v>4632</v>
      </c>
      <c r="E1915" s="11" t="s">
        <v>3854</v>
      </c>
      <c r="F1915" s="4" t="s">
        <v>1529</v>
      </c>
      <c r="H1915" s="6"/>
    </row>
    <row r="1916" spans="1:8" x14ac:dyDescent="0.2">
      <c r="A1916" s="14" t="s">
        <v>2436</v>
      </c>
      <c r="B1916" s="14" t="s">
        <v>3609</v>
      </c>
      <c r="C1916" s="14" t="s">
        <v>2850</v>
      </c>
      <c r="D1916" s="14" t="s">
        <v>4633</v>
      </c>
      <c r="E1916" s="11"/>
      <c r="F1916" s="4" t="s">
        <v>1529</v>
      </c>
      <c r="H1916" s="6"/>
    </row>
    <row r="1917" spans="1:8" x14ac:dyDescent="0.2">
      <c r="A1917" s="14" t="s">
        <v>1027</v>
      </c>
      <c r="B1917" s="14" t="s">
        <v>4746</v>
      </c>
      <c r="C1917" s="14" t="s">
        <v>2853</v>
      </c>
      <c r="D1917" s="14" t="s">
        <v>4671</v>
      </c>
      <c r="E1917" s="11" t="s">
        <v>3861</v>
      </c>
      <c r="F1917" s="4" t="s">
        <v>1529</v>
      </c>
      <c r="H1917" s="6"/>
    </row>
    <row r="1918" spans="1:8" x14ac:dyDescent="0.2">
      <c r="A1918" s="14" t="s">
        <v>2456</v>
      </c>
      <c r="B1918" s="14" t="s">
        <v>3609</v>
      </c>
      <c r="C1918" s="14" t="s">
        <v>2850</v>
      </c>
      <c r="D1918" s="14" t="s">
        <v>4658</v>
      </c>
      <c r="E1918" s="11"/>
      <c r="F1918" s="4" t="s">
        <v>1529</v>
      </c>
      <c r="H1918" s="6"/>
    </row>
    <row r="1919" spans="1:8" x14ac:dyDescent="0.2">
      <c r="A1919" s="14" t="s">
        <v>1028</v>
      </c>
      <c r="B1919" s="14" t="s">
        <v>4746</v>
      </c>
      <c r="C1919" s="14" t="s">
        <v>2853</v>
      </c>
      <c r="D1919" s="14" t="s">
        <v>4672</v>
      </c>
      <c r="E1919" s="11" t="s">
        <v>3862</v>
      </c>
      <c r="F1919" s="4" t="s">
        <v>1529</v>
      </c>
      <c r="H1919" s="6"/>
    </row>
    <row r="1920" spans="1:8" x14ac:dyDescent="0.2">
      <c r="A1920" s="14" t="s">
        <v>1032</v>
      </c>
      <c r="B1920" s="14" t="s">
        <v>3613</v>
      </c>
      <c r="C1920" s="14" t="s">
        <v>1032</v>
      </c>
      <c r="D1920" s="14" t="s">
        <v>4705</v>
      </c>
      <c r="E1920" s="11" t="s">
        <v>3871</v>
      </c>
      <c r="F1920" s="4" t="s">
        <v>1529</v>
      </c>
      <c r="H1920" s="6"/>
    </row>
    <row r="1921" spans="1:8" x14ac:dyDescent="0.2">
      <c r="A1921" s="14" t="s">
        <v>2457</v>
      </c>
      <c r="B1921" s="14" t="s">
        <v>3609</v>
      </c>
      <c r="C1921" s="14" t="s">
        <v>2850</v>
      </c>
      <c r="D1921" s="14" t="s">
        <v>4659</v>
      </c>
      <c r="E1921" s="11"/>
      <c r="F1921" s="4" t="s">
        <v>1529</v>
      </c>
      <c r="H1921" s="6"/>
    </row>
    <row r="1922" spans="1:8" x14ac:dyDescent="0.2">
      <c r="A1922" s="14" t="s">
        <v>1033</v>
      </c>
      <c r="B1922" s="14" t="s">
        <v>3613</v>
      </c>
      <c r="C1922" s="14" t="s">
        <v>1033</v>
      </c>
      <c r="D1922" s="14" t="s">
        <v>4706</v>
      </c>
      <c r="E1922" s="11" t="s">
        <v>3872</v>
      </c>
      <c r="F1922" s="4" t="s">
        <v>1529</v>
      </c>
      <c r="H1922" s="6"/>
    </row>
    <row r="1923" spans="1:8" x14ac:dyDescent="0.2">
      <c r="A1923" s="14" t="s">
        <v>2458</v>
      </c>
      <c r="B1923" s="14" t="s">
        <v>3609</v>
      </c>
      <c r="C1923" s="14" t="s">
        <v>2850</v>
      </c>
      <c r="D1923" s="14" t="s">
        <v>4660</v>
      </c>
      <c r="E1923" s="11"/>
      <c r="F1923" s="4" t="s">
        <v>1529</v>
      </c>
      <c r="H1923" s="6"/>
    </row>
    <row r="1924" spans="1:8" x14ac:dyDescent="0.2">
      <c r="A1924" s="14" t="s">
        <v>1359</v>
      </c>
      <c r="B1924" s="14" t="s">
        <v>3612</v>
      </c>
      <c r="C1924" s="14" t="s">
        <v>3342</v>
      </c>
      <c r="D1924" s="14" t="s">
        <v>4641</v>
      </c>
      <c r="E1924" s="11" t="s">
        <v>4641</v>
      </c>
      <c r="F1924" s="4" t="s">
        <v>1529</v>
      </c>
      <c r="H1924" s="6"/>
    </row>
    <row r="1925" spans="1:8" x14ac:dyDescent="0.2">
      <c r="A1925" s="14" t="s">
        <v>2443</v>
      </c>
      <c r="B1925" s="14" t="s">
        <v>3609</v>
      </c>
      <c r="C1925" s="14" t="s">
        <v>2850</v>
      </c>
      <c r="D1925" s="14" t="s">
        <v>4642</v>
      </c>
      <c r="E1925" s="11"/>
      <c r="F1925" s="4" t="s">
        <v>1529</v>
      </c>
      <c r="H1925" s="6"/>
    </row>
    <row r="1926" spans="1:8" x14ac:dyDescent="0.2">
      <c r="A1926" s="14" t="s">
        <v>1360</v>
      </c>
      <c r="B1926" s="14" t="s">
        <v>3612</v>
      </c>
      <c r="C1926" s="14" t="s">
        <v>3343</v>
      </c>
      <c r="D1926" s="14" t="s">
        <v>3567</v>
      </c>
      <c r="E1926" s="11" t="s">
        <v>3567</v>
      </c>
      <c r="F1926" s="4" t="s">
        <v>1529</v>
      </c>
      <c r="H1926" s="6"/>
    </row>
    <row r="1927" spans="1:8" x14ac:dyDescent="0.2">
      <c r="A1927" s="14" t="s">
        <v>1361</v>
      </c>
      <c r="B1927" s="14" t="s">
        <v>3612</v>
      </c>
      <c r="C1927" s="14" t="s">
        <v>3344</v>
      </c>
      <c r="D1927" s="14" t="s">
        <v>3569</v>
      </c>
      <c r="E1927" s="11" t="s">
        <v>3569</v>
      </c>
      <c r="F1927" s="4" t="s">
        <v>1529</v>
      </c>
      <c r="H1927" s="6"/>
    </row>
    <row r="1928" spans="1:8" x14ac:dyDescent="0.2">
      <c r="A1928" s="14" t="s">
        <v>1362</v>
      </c>
      <c r="B1928" s="14" t="s">
        <v>3612</v>
      </c>
      <c r="C1928" s="14" t="s">
        <v>3345</v>
      </c>
      <c r="D1928" s="14" t="s">
        <v>4643</v>
      </c>
      <c r="E1928" s="11" t="s">
        <v>4643</v>
      </c>
      <c r="F1928" s="4" t="s">
        <v>1529</v>
      </c>
      <c r="H1928" s="6"/>
    </row>
    <row r="1929" spans="1:8" x14ac:dyDescent="0.2">
      <c r="A1929" s="14" t="s">
        <v>2444</v>
      </c>
      <c r="B1929" s="14" t="s">
        <v>3609</v>
      </c>
      <c r="C1929" s="14" t="s">
        <v>2850</v>
      </c>
      <c r="D1929" s="14" t="s">
        <v>4644</v>
      </c>
      <c r="E1929" s="11"/>
      <c r="F1929" s="4" t="s">
        <v>1529</v>
      </c>
      <c r="H1929" s="6"/>
    </row>
    <row r="1930" spans="1:8" x14ac:dyDescent="0.2">
      <c r="A1930" s="14" t="s">
        <v>2445</v>
      </c>
      <c r="B1930" s="14" t="s">
        <v>3609</v>
      </c>
      <c r="C1930" s="14" t="s">
        <v>2850</v>
      </c>
      <c r="D1930" s="14" t="s">
        <v>4645</v>
      </c>
      <c r="E1930" s="11"/>
      <c r="F1930" s="4" t="s">
        <v>1529</v>
      </c>
      <c r="H1930" s="6"/>
    </row>
    <row r="1931" spans="1:8" x14ac:dyDescent="0.2">
      <c r="A1931" s="14" t="s">
        <v>1363</v>
      </c>
      <c r="B1931" s="14" t="s">
        <v>3612</v>
      </c>
      <c r="C1931" s="14" t="s">
        <v>3346</v>
      </c>
      <c r="D1931" s="14" t="s">
        <v>9</v>
      </c>
      <c r="E1931" s="11" t="s">
        <v>9</v>
      </c>
      <c r="F1931" s="4" t="s">
        <v>1529</v>
      </c>
      <c r="H1931" s="6"/>
    </row>
    <row r="1932" spans="1:8" x14ac:dyDescent="0.2">
      <c r="A1932" s="14" t="s">
        <v>1343</v>
      </c>
      <c r="B1932" s="14" t="s">
        <v>3612</v>
      </c>
      <c r="C1932" s="14" t="s">
        <v>3347</v>
      </c>
      <c r="D1932" s="14" t="s">
        <v>4646</v>
      </c>
      <c r="E1932" s="11" t="s">
        <v>4646</v>
      </c>
      <c r="F1932" s="4" t="s">
        <v>1529</v>
      </c>
      <c r="H1932" s="6"/>
    </row>
    <row r="1933" spans="1:8" x14ac:dyDescent="0.2">
      <c r="A1933" s="14" t="s">
        <v>1364</v>
      </c>
      <c r="B1933" s="14" t="s">
        <v>3612</v>
      </c>
      <c r="C1933" s="14" t="s">
        <v>3348</v>
      </c>
      <c r="D1933" s="14" t="s">
        <v>3571</v>
      </c>
      <c r="E1933" s="11" t="s">
        <v>3571</v>
      </c>
      <c r="F1933" s="4" t="s">
        <v>1529</v>
      </c>
      <c r="H1933" s="6"/>
    </row>
    <row r="1934" spans="1:8" x14ac:dyDescent="0.2">
      <c r="A1934" s="14" t="s">
        <v>1365</v>
      </c>
      <c r="B1934" s="14" t="s">
        <v>3612</v>
      </c>
      <c r="C1934" s="14" t="s">
        <v>3349</v>
      </c>
      <c r="D1934" s="14" t="s">
        <v>3571</v>
      </c>
      <c r="E1934" s="11" t="s">
        <v>3571</v>
      </c>
      <c r="F1934" s="4" t="s">
        <v>1529</v>
      </c>
      <c r="H1934" s="6"/>
    </row>
    <row r="1935" spans="1:8" x14ac:dyDescent="0.2">
      <c r="A1935" s="14" t="s">
        <v>1366</v>
      </c>
      <c r="B1935" s="14" t="s">
        <v>3612</v>
      </c>
      <c r="C1935" s="14" t="s">
        <v>3350</v>
      </c>
      <c r="D1935" s="14" t="s">
        <v>3574</v>
      </c>
      <c r="E1935" s="11" t="s">
        <v>3574</v>
      </c>
      <c r="F1935" s="4" t="s">
        <v>1529</v>
      </c>
      <c r="H1935" s="6"/>
    </row>
    <row r="1936" spans="1:8" x14ac:dyDescent="0.2">
      <c r="A1936" s="14" t="s">
        <v>2446</v>
      </c>
      <c r="B1936" s="14" t="s">
        <v>3609</v>
      </c>
      <c r="C1936" s="14" t="s">
        <v>2850</v>
      </c>
      <c r="D1936" s="14" t="s">
        <v>3574</v>
      </c>
      <c r="E1936" s="11"/>
      <c r="F1936" s="4" t="s">
        <v>1529</v>
      </c>
      <c r="H1936" s="6"/>
    </row>
    <row r="1937" spans="1:8" x14ac:dyDescent="0.2">
      <c r="A1937" s="14" t="s">
        <v>1367</v>
      </c>
      <c r="B1937" s="14" t="s">
        <v>4746</v>
      </c>
      <c r="C1937" s="14" t="s">
        <v>2853</v>
      </c>
      <c r="D1937" s="14" t="s">
        <v>3574</v>
      </c>
      <c r="E1937" s="11" t="s">
        <v>3574</v>
      </c>
      <c r="F1937" s="4" t="s">
        <v>1529</v>
      </c>
      <c r="H1937" s="6"/>
    </row>
    <row r="1938" spans="1:8" x14ac:dyDescent="0.2">
      <c r="A1938" s="14" t="s">
        <v>1368</v>
      </c>
      <c r="B1938" s="14" t="s">
        <v>3612</v>
      </c>
      <c r="C1938" s="14" t="s">
        <v>3352</v>
      </c>
      <c r="D1938" s="14" t="s">
        <v>3571</v>
      </c>
      <c r="E1938" s="11" t="s">
        <v>3571</v>
      </c>
      <c r="F1938" s="4" t="s">
        <v>1529</v>
      </c>
      <c r="H1938" s="6"/>
    </row>
    <row r="1939" spans="1:8" x14ac:dyDescent="0.2">
      <c r="A1939" s="14" t="s">
        <v>1369</v>
      </c>
      <c r="B1939" s="14" t="s">
        <v>4746</v>
      </c>
      <c r="C1939" s="14" t="s">
        <v>2853</v>
      </c>
      <c r="D1939" s="14" t="s">
        <v>3571</v>
      </c>
      <c r="E1939" s="11" t="s">
        <v>3571</v>
      </c>
      <c r="F1939" s="4" t="s">
        <v>1529</v>
      </c>
      <c r="H1939" s="6"/>
    </row>
    <row r="1940" spans="1:8" x14ac:dyDescent="0.2">
      <c r="A1940" s="14" t="s">
        <v>2459</v>
      </c>
      <c r="B1940" s="14" t="s">
        <v>4746</v>
      </c>
      <c r="C1940" s="14" t="s">
        <v>2853</v>
      </c>
      <c r="D1940" s="14" t="s">
        <v>25</v>
      </c>
      <c r="E1940" s="11"/>
      <c r="H1940" s="6"/>
    </row>
    <row r="1941" spans="1:8" x14ac:dyDescent="0.2">
      <c r="A1941" s="14" t="s">
        <v>2460</v>
      </c>
      <c r="B1941" s="14" t="s">
        <v>3609</v>
      </c>
      <c r="C1941" s="14" t="s">
        <v>2850</v>
      </c>
      <c r="D1941" s="14" t="s">
        <v>26</v>
      </c>
      <c r="E1941" s="11"/>
      <c r="H1941" s="6"/>
    </row>
    <row r="1942" spans="1:8" x14ac:dyDescent="0.2">
      <c r="A1942" s="14" t="s">
        <v>2461</v>
      </c>
      <c r="B1942" s="14" t="s">
        <v>3612</v>
      </c>
      <c r="C1942" s="14" t="s">
        <v>3356</v>
      </c>
      <c r="D1942" s="14" t="s">
        <v>27</v>
      </c>
      <c r="E1942" s="11" t="s">
        <v>27</v>
      </c>
      <c r="F1942" s="4" t="s">
        <v>1529</v>
      </c>
      <c r="H1942" s="6"/>
    </row>
    <row r="1943" spans="1:8" x14ac:dyDescent="0.2">
      <c r="A1943" s="14" t="s">
        <v>2462</v>
      </c>
      <c r="B1943" s="14" t="s">
        <v>3609</v>
      </c>
      <c r="C1943" s="14" t="s">
        <v>2850</v>
      </c>
      <c r="D1943" s="14" t="s">
        <v>29</v>
      </c>
      <c r="E1943" s="11"/>
      <c r="F1943" s="4" t="s">
        <v>1529</v>
      </c>
      <c r="H1943" s="6"/>
    </row>
    <row r="1944" spans="1:8" x14ac:dyDescent="0.2">
      <c r="A1944" s="14" t="s">
        <v>1034</v>
      </c>
      <c r="B1944" s="14" t="s">
        <v>3612</v>
      </c>
      <c r="C1944" s="14" t="s">
        <v>3365</v>
      </c>
      <c r="D1944" s="14" t="s">
        <v>4678</v>
      </c>
      <c r="E1944" s="11" t="s">
        <v>3864</v>
      </c>
      <c r="F1944" s="4" t="s">
        <v>1529</v>
      </c>
      <c r="H1944" s="6"/>
    </row>
    <row r="1945" spans="1:8" x14ac:dyDescent="0.2">
      <c r="A1945" s="14" t="s">
        <v>2463</v>
      </c>
      <c r="B1945" s="14" t="s">
        <v>3609</v>
      </c>
      <c r="C1945" s="14" t="s">
        <v>2850</v>
      </c>
      <c r="D1945" s="14" t="s">
        <v>4661</v>
      </c>
      <c r="E1945" s="11"/>
      <c r="F1945" s="4" t="s">
        <v>1529</v>
      </c>
      <c r="H1945" s="6"/>
    </row>
    <row r="1946" spans="1:8" x14ac:dyDescent="0.2">
      <c r="A1946" s="14" t="s">
        <v>1044</v>
      </c>
      <c r="B1946" s="14" t="s">
        <v>4746</v>
      </c>
      <c r="C1946" s="14" t="s">
        <v>2853</v>
      </c>
      <c r="D1946" s="14" t="s">
        <v>4679</v>
      </c>
      <c r="E1946" s="11"/>
      <c r="F1946" s="4" t="s">
        <v>1529</v>
      </c>
      <c r="H1946" s="6"/>
    </row>
    <row r="1947" spans="1:8" x14ac:dyDescent="0.2">
      <c r="A1947" s="14" t="s">
        <v>1035</v>
      </c>
      <c r="B1947" s="14" t="s">
        <v>3612</v>
      </c>
      <c r="C1947" s="14" t="s">
        <v>2987</v>
      </c>
      <c r="D1947" s="14" t="s">
        <v>4680</v>
      </c>
      <c r="E1947" s="11" t="s">
        <v>3669</v>
      </c>
      <c r="F1947" s="4" t="s">
        <v>1529</v>
      </c>
      <c r="H1947" s="6"/>
    </row>
    <row r="1948" spans="1:8" x14ac:dyDescent="0.2">
      <c r="A1948" s="14" t="s">
        <v>2470</v>
      </c>
      <c r="B1948" s="14" t="s">
        <v>3609</v>
      </c>
      <c r="C1948" s="14" t="s">
        <v>2850</v>
      </c>
      <c r="D1948" s="14" t="s">
        <v>4681</v>
      </c>
      <c r="E1948" s="11"/>
      <c r="F1948" s="4" t="s">
        <v>1529</v>
      </c>
      <c r="H1948" s="6"/>
    </row>
    <row r="1949" spans="1:8" x14ac:dyDescent="0.2">
      <c r="A1949" s="14" t="s">
        <v>1045</v>
      </c>
      <c r="B1949" s="14" t="s">
        <v>4746</v>
      </c>
      <c r="C1949" s="14" t="s">
        <v>2853</v>
      </c>
      <c r="D1949" s="14" t="s">
        <v>4682</v>
      </c>
      <c r="E1949" s="11"/>
      <c r="F1949" s="4" t="s">
        <v>1529</v>
      </c>
      <c r="H1949" s="6"/>
    </row>
    <row r="1950" spans="1:8" x14ac:dyDescent="0.2">
      <c r="A1950" s="14" t="s">
        <v>1036</v>
      </c>
      <c r="B1950" s="14" t="s">
        <v>3612</v>
      </c>
      <c r="C1950" s="14" t="s">
        <v>3366</v>
      </c>
      <c r="D1950" s="14" t="s">
        <v>4683</v>
      </c>
      <c r="E1950" s="11" t="s">
        <v>3865</v>
      </c>
      <c r="F1950" s="4" t="s">
        <v>1529</v>
      </c>
      <c r="H1950" s="6"/>
    </row>
    <row r="1951" spans="1:8" x14ac:dyDescent="0.2">
      <c r="A1951" s="14" t="s">
        <v>2471</v>
      </c>
      <c r="B1951" s="14" t="s">
        <v>3609</v>
      </c>
      <c r="C1951" s="14" t="s">
        <v>2850</v>
      </c>
      <c r="D1951" s="14" t="s">
        <v>4684</v>
      </c>
      <c r="E1951" s="11"/>
      <c r="F1951" s="4" t="s">
        <v>1529</v>
      </c>
      <c r="H1951" s="6"/>
    </row>
    <row r="1952" spans="1:8" x14ac:dyDescent="0.2">
      <c r="A1952" s="14" t="s">
        <v>1046</v>
      </c>
      <c r="B1952" s="14" t="s">
        <v>4746</v>
      </c>
      <c r="C1952" s="14" t="s">
        <v>2853</v>
      </c>
      <c r="D1952" s="14" t="s">
        <v>4685</v>
      </c>
      <c r="E1952" s="11"/>
      <c r="F1952" s="4" t="s">
        <v>1529</v>
      </c>
      <c r="H1952" s="6"/>
    </row>
    <row r="1953" spans="1:8" x14ac:dyDescent="0.2">
      <c r="A1953" s="14" t="s">
        <v>1037</v>
      </c>
      <c r="B1953" s="14" t="s">
        <v>3612</v>
      </c>
      <c r="C1953" s="14" t="s">
        <v>3364</v>
      </c>
      <c r="D1953" s="14" t="s">
        <v>4686</v>
      </c>
      <c r="E1953" s="11" t="s">
        <v>3863</v>
      </c>
      <c r="F1953" s="4" t="s">
        <v>1529</v>
      </c>
      <c r="H1953" s="6"/>
    </row>
    <row r="1954" spans="1:8" x14ac:dyDescent="0.2">
      <c r="A1954" s="14" t="s">
        <v>2472</v>
      </c>
      <c r="B1954" s="14" t="s">
        <v>3609</v>
      </c>
      <c r="C1954" s="14" t="s">
        <v>2850</v>
      </c>
      <c r="D1954" s="14" t="s">
        <v>4687</v>
      </c>
      <c r="E1954" s="11"/>
      <c r="F1954" s="4" t="s">
        <v>1529</v>
      </c>
      <c r="H1954" s="6"/>
    </row>
    <row r="1955" spans="1:8" x14ac:dyDescent="0.2">
      <c r="A1955" s="14" t="s">
        <v>1047</v>
      </c>
      <c r="B1955" s="14" t="s">
        <v>4746</v>
      </c>
      <c r="C1955" s="14" t="s">
        <v>2853</v>
      </c>
      <c r="D1955" s="14" t="s">
        <v>4688</v>
      </c>
      <c r="E1955" s="11"/>
      <c r="F1955" s="4" t="s">
        <v>1529</v>
      </c>
      <c r="H1955" s="6"/>
    </row>
    <row r="1956" spans="1:8" x14ac:dyDescent="0.2">
      <c r="A1956" s="14" t="s">
        <v>1038</v>
      </c>
      <c r="B1956" s="14" t="s">
        <v>3612</v>
      </c>
      <c r="C1956" s="14" t="s">
        <v>3367</v>
      </c>
      <c r="D1956" s="14" t="s">
        <v>4689</v>
      </c>
      <c r="E1956" s="11" t="s">
        <v>3866</v>
      </c>
      <c r="F1956" s="4" t="s">
        <v>1529</v>
      </c>
      <c r="H1956" s="6"/>
    </row>
    <row r="1957" spans="1:8" x14ac:dyDescent="0.2">
      <c r="A1957" s="14" t="s">
        <v>1039</v>
      </c>
      <c r="B1957" s="14" t="s">
        <v>3612</v>
      </c>
      <c r="C1957" s="14" t="s">
        <v>3368</v>
      </c>
      <c r="D1957" s="14" t="s">
        <v>4690</v>
      </c>
      <c r="E1957" s="11" t="s">
        <v>3867</v>
      </c>
      <c r="F1957" s="4" t="s">
        <v>1529</v>
      </c>
      <c r="H1957" s="6"/>
    </row>
    <row r="1958" spans="1:8" x14ac:dyDescent="0.2">
      <c r="A1958" s="14" t="s">
        <v>2464</v>
      </c>
      <c r="B1958" s="14" t="s">
        <v>3609</v>
      </c>
      <c r="C1958" s="14" t="s">
        <v>2850</v>
      </c>
      <c r="D1958" s="14" t="s">
        <v>4662</v>
      </c>
      <c r="E1958" s="11"/>
      <c r="F1958" s="4" t="s">
        <v>1529</v>
      </c>
      <c r="H1958" s="6"/>
    </row>
    <row r="1959" spans="1:8" x14ac:dyDescent="0.2">
      <c r="A1959" s="14" t="s">
        <v>1040</v>
      </c>
      <c r="B1959" s="14" t="s">
        <v>4746</v>
      </c>
      <c r="C1959" s="14" t="s">
        <v>2853</v>
      </c>
      <c r="D1959" s="14" t="s">
        <v>4691</v>
      </c>
      <c r="E1959" s="11"/>
      <c r="F1959" s="4" t="s">
        <v>1529</v>
      </c>
      <c r="H1959" s="6"/>
    </row>
    <row r="1960" spans="1:8" x14ac:dyDescent="0.2">
      <c r="A1960" s="14" t="s">
        <v>2480</v>
      </c>
      <c r="B1960" s="14" t="s">
        <v>3609</v>
      </c>
      <c r="C1960" s="14" t="s">
        <v>2850</v>
      </c>
      <c r="D1960" s="14" t="s">
        <v>4707</v>
      </c>
      <c r="E1960" s="11"/>
      <c r="F1960" s="4" t="s">
        <v>1529</v>
      </c>
      <c r="H1960" s="6"/>
    </row>
    <row r="1961" spans="1:8" x14ac:dyDescent="0.2">
      <c r="A1961" s="14" t="s">
        <v>1041</v>
      </c>
      <c r="B1961" s="14" t="s">
        <v>3612</v>
      </c>
      <c r="C1961" s="14" t="s">
        <v>3369</v>
      </c>
      <c r="D1961" s="14" t="s">
        <v>4692</v>
      </c>
      <c r="E1961" s="11" t="s">
        <v>3868</v>
      </c>
      <c r="F1961" s="4" t="s">
        <v>1529</v>
      </c>
      <c r="H1961" s="6"/>
    </row>
    <row r="1962" spans="1:8" x14ac:dyDescent="0.2">
      <c r="A1962" s="14" t="s">
        <v>1042</v>
      </c>
      <c r="B1962" s="14" t="s">
        <v>3612</v>
      </c>
      <c r="C1962" s="14" t="s">
        <v>3370</v>
      </c>
      <c r="D1962" s="14" t="s">
        <v>4693</v>
      </c>
      <c r="E1962" s="11" t="s">
        <v>3869</v>
      </c>
      <c r="F1962" s="4" t="s">
        <v>1529</v>
      </c>
      <c r="H1962" s="6"/>
    </row>
    <row r="1963" spans="1:8" x14ac:dyDescent="0.2">
      <c r="A1963" s="14" t="s">
        <v>1043</v>
      </c>
      <c r="B1963" s="14" t="s">
        <v>3612</v>
      </c>
      <c r="C1963" s="14" t="s">
        <v>3371</v>
      </c>
      <c r="D1963" s="14" t="s">
        <v>4694</v>
      </c>
      <c r="E1963" s="11" t="s">
        <v>3870</v>
      </c>
      <c r="F1963" s="4" t="s">
        <v>1529</v>
      </c>
      <c r="H1963" s="6"/>
    </row>
    <row r="1964" spans="1:8" x14ac:dyDescent="0.2">
      <c r="A1964" s="14" t="s">
        <v>1029</v>
      </c>
      <c r="B1964" s="14" t="s">
        <v>3612</v>
      </c>
      <c r="C1964" s="14" t="s">
        <v>3365</v>
      </c>
      <c r="D1964" s="14" t="s">
        <v>4695</v>
      </c>
      <c r="E1964" s="11" t="s">
        <v>3864</v>
      </c>
      <c r="F1964" s="4" t="s">
        <v>1529</v>
      </c>
      <c r="H1964" s="6"/>
    </row>
    <row r="1965" spans="1:8" x14ac:dyDescent="0.2">
      <c r="A1965" s="14" t="s">
        <v>1030</v>
      </c>
      <c r="B1965" s="14" t="s">
        <v>3612</v>
      </c>
      <c r="C1965" s="14" t="s">
        <v>2987</v>
      </c>
      <c r="D1965" s="14" t="s">
        <v>4696</v>
      </c>
      <c r="E1965" s="11" t="s">
        <v>3669</v>
      </c>
      <c r="F1965" s="4" t="s">
        <v>1529</v>
      </c>
      <c r="H1965" s="6"/>
    </row>
    <row r="1966" spans="1:8" x14ac:dyDescent="0.2">
      <c r="A1966" s="14" t="s">
        <v>1031</v>
      </c>
      <c r="B1966" s="14" t="s">
        <v>3612</v>
      </c>
      <c r="C1966" s="14" t="s">
        <v>3364</v>
      </c>
      <c r="D1966" s="14" t="s">
        <v>4697</v>
      </c>
      <c r="E1966" s="11" t="s">
        <v>3863</v>
      </c>
      <c r="F1966" s="4" t="s">
        <v>1529</v>
      </c>
      <c r="H1966" s="6"/>
    </row>
    <row r="1967" spans="1:8" x14ac:dyDescent="0.2">
      <c r="A1967" s="14" t="s">
        <v>599</v>
      </c>
      <c r="B1967" s="14" t="s">
        <v>3612</v>
      </c>
      <c r="C1967" s="14" t="s">
        <v>2987</v>
      </c>
      <c r="D1967" s="14" t="s">
        <v>147</v>
      </c>
      <c r="E1967" s="11" t="s">
        <v>3669</v>
      </c>
      <c r="F1967" s="4" t="s">
        <v>1529</v>
      </c>
    </row>
    <row r="1968" spans="1:8" x14ac:dyDescent="0.2">
      <c r="A1968" s="14" t="s">
        <v>2465</v>
      </c>
      <c r="B1968" s="14" t="s">
        <v>3612</v>
      </c>
      <c r="C1968" s="14" t="s">
        <v>3364</v>
      </c>
      <c r="D1968" s="14" t="s">
        <v>4673</v>
      </c>
      <c r="E1968" s="11" t="s">
        <v>3863</v>
      </c>
      <c r="F1968" s="4" t="s">
        <v>1529</v>
      </c>
      <c r="H1968" s="6"/>
    </row>
    <row r="1969" spans="1:6" x14ac:dyDescent="0.2">
      <c r="A1969" s="14" t="s">
        <v>2970</v>
      </c>
      <c r="B1969" s="14" t="s">
        <v>1522</v>
      </c>
      <c r="C1969" s="14" t="s">
        <v>488</v>
      </c>
      <c r="D1969" s="11" t="s">
        <v>3657</v>
      </c>
      <c r="E1969" s="14" t="s">
        <v>120</v>
      </c>
      <c r="F1969" s="4" t="s">
        <v>1523</v>
      </c>
    </row>
    <row r="1970" spans="1:6" x14ac:dyDescent="0.2">
      <c r="A1970" s="14" t="s">
        <v>2972</v>
      </c>
      <c r="B1970" s="14" t="s">
        <v>1522</v>
      </c>
      <c r="C1970" s="14" t="s">
        <v>478</v>
      </c>
      <c r="D1970" s="11" t="s">
        <v>3658</v>
      </c>
      <c r="E1970" s="14" t="s">
        <v>122</v>
      </c>
      <c r="F1970" s="4" t="s">
        <v>1523</v>
      </c>
    </row>
    <row r="1971" spans="1:6" x14ac:dyDescent="0.2">
      <c r="A1971" s="14" t="s">
        <v>2973</v>
      </c>
      <c r="B1971" s="14" t="s">
        <v>1522</v>
      </c>
      <c r="C1971" s="14" t="s">
        <v>487</v>
      </c>
      <c r="D1971" s="11" t="s">
        <v>3659</v>
      </c>
      <c r="E1971" s="14" t="s">
        <v>123</v>
      </c>
      <c r="F1971" s="4" t="s">
        <v>1523</v>
      </c>
    </row>
    <row r="1972" spans="1:6" x14ac:dyDescent="0.2">
      <c r="A1972" s="14" t="s">
        <v>2974</v>
      </c>
      <c r="B1972" s="14" t="s">
        <v>1522</v>
      </c>
      <c r="C1972" s="14" t="s">
        <v>477</v>
      </c>
      <c r="D1972" s="11" t="s">
        <v>3660</v>
      </c>
      <c r="E1972" s="14" t="s">
        <v>125</v>
      </c>
      <c r="F1972" s="4" t="s">
        <v>1523</v>
      </c>
    </row>
    <row r="1973" spans="1:6" x14ac:dyDescent="0.2">
      <c r="A1973" s="14" t="s">
        <v>2975</v>
      </c>
      <c r="B1973" s="14" t="s">
        <v>1522</v>
      </c>
      <c r="C1973" s="14" t="s">
        <v>484</v>
      </c>
      <c r="D1973" s="11" t="s">
        <v>3661</v>
      </c>
      <c r="E1973" s="14" t="s">
        <v>126</v>
      </c>
      <c r="F1973" s="4" t="s">
        <v>1523</v>
      </c>
    </row>
    <row r="1974" spans="1:6" x14ac:dyDescent="0.2">
      <c r="A1974" s="14" t="s">
        <v>2976</v>
      </c>
      <c r="B1974" s="14" t="s">
        <v>1522</v>
      </c>
      <c r="C1974" s="14" t="s">
        <v>474</v>
      </c>
      <c r="D1974" s="11" t="s">
        <v>128</v>
      </c>
      <c r="E1974" s="14" t="s">
        <v>128</v>
      </c>
      <c r="F1974" s="4" t="s">
        <v>1523</v>
      </c>
    </row>
    <row r="1975" spans="1:6" x14ac:dyDescent="0.2">
      <c r="A1975" s="14" t="s">
        <v>2977</v>
      </c>
      <c r="B1975" s="14" t="s">
        <v>1522</v>
      </c>
      <c r="C1975" s="14" t="s">
        <v>485</v>
      </c>
      <c r="D1975" s="11" t="s">
        <v>3662</v>
      </c>
      <c r="E1975" s="14" t="s">
        <v>129</v>
      </c>
      <c r="F1975" s="4" t="s">
        <v>1523</v>
      </c>
    </row>
    <row r="1976" spans="1:6" x14ac:dyDescent="0.2">
      <c r="A1976" s="14" t="s">
        <v>2978</v>
      </c>
      <c r="B1976" s="14" t="s">
        <v>1522</v>
      </c>
      <c r="C1976" s="14" t="s">
        <v>475</v>
      </c>
      <c r="D1976" s="11" t="s">
        <v>131</v>
      </c>
      <c r="E1976" s="14" t="s">
        <v>131</v>
      </c>
      <c r="F1976" s="4" t="s">
        <v>1523</v>
      </c>
    </row>
    <row r="1977" spans="1:6" x14ac:dyDescent="0.2">
      <c r="A1977" s="14" t="s">
        <v>2979</v>
      </c>
      <c r="B1977" s="14" t="s">
        <v>1522</v>
      </c>
      <c r="C1977" s="14" t="s">
        <v>486</v>
      </c>
      <c r="D1977" s="11" t="s">
        <v>3663</v>
      </c>
      <c r="E1977" s="14" t="s">
        <v>132</v>
      </c>
      <c r="F1977" s="4" t="s">
        <v>1523</v>
      </c>
    </row>
    <row r="1978" spans="1:6" x14ac:dyDescent="0.2">
      <c r="A1978" s="14" t="s">
        <v>2980</v>
      </c>
      <c r="B1978" s="14" t="s">
        <v>1522</v>
      </c>
      <c r="C1978" s="14" t="s">
        <v>476</v>
      </c>
      <c r="D1978" s="11" t="s">
        <v>3664</v>
      </c>
      <c r="E1978" s="14" t="s">
        <v>134</v>
      </c>
      <c r="F1978" s="4" t="s">
        <v>1523</v>
      </c>
    </row>
    <row r="1979" spans="1:6" x14ac:dyDescent="0.2">
      <c r="A1979" s="14" t="s">
        <v>2981</v>
      </c>
      <c r="B1979" s="14" t="s">
        <v>1522</v>
      </c>
      <c r="C1979" s="14" t="s">
        <v>1431</v>
      </c>
      <c r="D1979" s="11" t="s">
        <v>3665</v>
      </c>
      <c r="E1979" s="14" t="s">
        <v>137</v>
      </c>
      <c r="F1979" s="4" t="s">
        <v>1523</v>
      </c>
    </row>
    <row r="1980" spans="1:6" x14ac:dyDescent="0.2">
      <c r="A1980" s="14" t="s">
        <v>2982</v>
      </c>
      <c r="B1980" s="14" t="s">
        <v>1522</v>
      </c>
      <c r="C1980" s="14" t="s">
        <v>499</v>
      </c>
      <c r="D1980" s="11" t="s">
        <v>3666</v>
      </c>
      <c r="E1980" s="14" t="s">
        <v>139</v>
      </c>
      <c r="F1980" s="4" t="s">
        <v>1523</v>
      </c>
    </row>
    <row r="1981" spans="1:6" x14ac:dyDescent="0.2">
      <c r="A1981" s="14" t="s">
        <v>2994</v>
      </c>
      <c r="B1981" s="14" t="s">
        <v>1522</v>
      </c>
      <c r="C1981" s="14" t="s">
        <v>1436</v>
      </c>
      <c r="D1981" s="11" t="s">
        <v>3673</v>
      </c>
      <c r="E1981" s="14" t="s">
        <v>173</v>
      </c>
      <c r="F1981" s="4" t="s">
        <v>1523</v>
      </c>
    </row>
    <row r="1982" spans="1:6" x14ac:dyDescent="0.2">
      <c r="A1982" s="14" t="s">
        <v>2995</v>
      </c>
      <c r="B1982" s="14" t="s">
        <v>1522</v>
      </c>
      <c r="C1982" s="14" t="s">
        <v>1437</v>
      </c>
      <c r="D1982" s="11" t="s">
        <v>3674</v>
      </c>
      <c r="E1982" s="14" t="s">
        <v>175</v>
      </c>
      <c r="F1982" s="4" t="s">
        <v>1523</v>
      </c>
    </row>
    <row r="1983" spans="1:6" x14ac:dyDescent="0.2">
      <c r="A1983" s="14" t="s">
        <v>3013</v>
      </c>
      <c r="B1983" s="14" t="s">
        <v>1522</v>
      </c>
      <c r="C1983" s="14" t="s">
        <v>1142</v>
      </c>
      <c r="D1983" s="11" t="s">
        <v>3676</v>
      </c>
      <c r="E1983" s="14" t="s">
        <v>203</v>
      </c>
      <c r="F1983" s="4" t="s">
        <v>1523</v>
      </c>
    </row>
    <row r="1984" spans="1:6" x14ac:dyDescent="0.2">
      <c r="A1984" s="14" t="s">
        <v>3014</v>
      </c>
      <c r="B1984" s="14" t="s">
        <v>1522</v>
      </c>
      <c r="C1984" s="14" t="s">
        <v>1140</v>
      </c>
      <c r="D1984" s="11" t="s">
        <v>3677</v>
      </c>
      <c r="E1984" s="14" t="s">
        <v>205</v>
      </c>
      <c r="F1984" s="4" t="s">
        <v>1523</v>
      </c>
    </row>
    <row r="1985" spans="1:6" x14ac:dyDescent="0.2">
      <c r="A1985" s="14" t="s">
        <v>3015</v>
      </c>
      <c r="B1985" s="14" t="s">
        <v>1522</v>
      </c>
      <c r="C1985" s="14" t="s">
        <v>1155</v>
      </c>
      <c r="D1985" s="11" t="s">
        <v>3678</v>
      </c>
      <c r="E1985" s="14" t="s">
        <v>206</v>
      </c>
      <c r="F1985" s="4" t="s">
        <v>1523</v>
      </c>
    </row>
    <row r="1986" spans="1:6" x14ac:dyDescent="0.2">
      <c r="A1986" s="14" t="s">
        <v>3016</v>
      </c>
      <c r="B1986" s="14" t="s">
        <v>1522</v>
      </c>
      <c r="C1986" s="14" t="s">
        <v>1157</v>
      </c>
      <c r="D1986" s="11" t="s">
        <v>3679</v>
      </c>
      <c r="E1986" s="14" t="s">
        <v>207</v>
      </c>
      <c r="F1986" s="4" t="s">
        <v>1523</v>
      </c>
    </row>
    <row r="1987" spans="1:6" x14ac:dyDescent="0.2">
      <c r="A1987" s="14" t="s">
        <v>3017</v>
      </c>
      <c r="B1987" s="14" t="s">
        <v>1522</v>
      </c>
      <c r="C1987" s="14" t="s">
        <v>1141</v>
      </c>
      <c r="D1987" s="11" t="s">
        <v>209</v>
      </c>
      <c r="E1987" s="14" t="s">
        <v>209</v>
      </c>
      <c r="F1987" s="4" t="s">
        <v>1523</v>
      </c>
    </row>
    <row r="1988" spans="1:6" x14ac:dyDescent="0.2">
      <c r="A1988" s="14" t="s">
        <v>3018</v>
      </c>
      <c r="B1988" s="14" t="s">
        <v>1522</v>
      </c>
      <c r="C1988" s="14" t="s">
        <v>1139</v>
      </c>
      <c r="D1988" s="11" t="s">
        <v>212</v>
      </c>
      <c r="E1988" s="14" t="s">
        <v>212</v>
      </c>
      <c r="F1988" s="4" t="s">
        <v>1523</v>
      </c>
    </row>
    <row r="1989" spans="1:6" x14ac:dyDescent="0.2">
      <c r="A1989" s="14" t="s">
        <v>2983</v>
      </c>
      <c r="B1989" s="14" t="s">
        <v>1522</v>
      </c>
      <c r="C1989" s="14" t="s">
        <v>1101</v>
      </c>
      <c r="D1989" s="11" t="s">
        <v>3667</v>
      </c>
      <c r="E1989" s="14" t="s">
        <v>144</v>
      </c>
      <c r="F1989" s="4" t="s">
        <v>1523</v>
      </c>
    </row>
    <row r="1990" spans="1:6" x14ac:dyDescent="0.2">
      <c r="A1990" s="14" t="s">
        <v>2984</v>
      </c>
      <c r="B1990" s="14" t="s">
        <v>1522</v>
      </c>
      <c r="C1990" s="14" t="s">
        <v>1100</v>
      </c>
      <c r="D1990" s="11" t="s">
        <v>3668</v>
      </c>
      <c r="E1990" s="14" t="s">
        <v>145</v>
      </c>
      <c r="F1990" s="4" t="s">
        <v>1523</v>
      </c>
    </row>
    <row r="1991" spans="1:6" x14ac:dyDescent="0.2">
      <c r="A1991" s="14" t="s">
        <v>2985</v>
      </c>
      <c r="B1991" s="14" t="s">
        <v>1522</v>
      </c>
      <c r="C1991" s="14" t="s">
        <v>1102</v>
      </c>
      <c r="D1991" s="11" t="s">
        <v>146</v>
      </c>
      <c r="E1991" s="14" t="s">
        <v>146</v>
      </c>
      <c r="F1991" s="4" t="s">
        <v>1523</v>
      </c>
    </row>
    <row r="1992" spans="1:6" x14ac:dyDescent="0.2">
      <c r="A1992" s="14" t="s">
        <v>2986</v>
      </c>
      <c r="B1992" s="14" t="s">
        <v>1522</v>
      </c>
      <c r="C1992" s="14" t="s">
        <v>1103</v>
      </c>
      <c r="D1992" s="11" t="s">
        <v>3530</v>
      </c>
      <c r="E1992" s="14" t="s">
        <v>3530</v>
      </c>
      <c r="F1992" s="4" t="s">
        <v>1523</v>
      </c>
    </row>
    <row r="1993" spans="1:6" x14ac:dyDescent="0.2">
      <c r="A1993" s="14" t="s">
        <v>3009</v>
      </c>
      <c r="B1993" s="14" t="s">
        <v>1522</v>
      </c>
      <c r="C1993" s="14" t="s">
        <v>1440</v>
      </c>
      <c r="D1993" s="11" t="s">
        <v>3675</v>
      </c>
      <c r="E1993" s="14" t="s">
        <v>190</v>
      </c>
      <c r="F1993" s="4" t="s">
        <v>1523</v>
      </c>
    </row>
    <row r="1994" spans="1:6" x14ac:dyDescent="0.2">
      <c r="A1994" s="14" t="s">
        <v>3010</v>
      </c>
      <c r="B1994" s="14" t="s">
        <v>1522</v>
      </c>
      <c r="C1994" s="14" t="s">
        <v>1497</v>
      </c>
      <c r="D1994" s="11" t="s">
        <v>196</v>
      </c>
      <c r="E1994" s="14" t="s">
        <v>196</v>
      </c>
      <c r="F1994" s="4" t="s">
        <v>1523</v>
      </c>
    </row>
    <row r="1995" spans="1:6" x14ac:dyDescent="0.2">
      <c r="A1995" s="14" t="s">
        <v>2988</v>
      </c>
      <c r="B1995" s="14" t="s">
        <v>1522</v>
      </c>
      <c r="C1995" s="14" t="s">
        <v>448</v>
      </c>
      <c r="D1995" s="11" t="s">
        <v>3670</v>
      </c>
      <c r="E1995" s="14" t="s">
        <v>151</v>
      </c>
      <c r="F1995" s="4" t="s">
        <v>1523</v>
      </c>
    </row>
    <row r="1996" spans="1:6" x14ac:dyDescent="0.2">
      <c r="A1996" s="14" t="s">
        <v>2989</v>
      </c>
      <c r="B1996" s="14" t="s">
        <v>1522</v>
      </c>
      <c r="C1996" s="14" t="s">
        <v>453</v>
      </c>
      <c r="D1996" s="11" t="s">
        <v>3670</v>
      </c>
      <c r="E1996" s="14" t="s">
        <v>155</v>
      </c>
      <c r="F1996" s="4" t="s">
        <v>1523</v>
      </c>
    </row>
    <row r="1997" spans="1:6" x14ac:dyDescent="0.2">
      <c r="A1997" s="14" t="s">
        <v>2990</v>
      </c>
      <c r="B1997" s="14" t="s">
        <v>1522</v>
      </c>
      <c r="C1997" s="14" t="s">
        <v>436</v>
      </c>
      <c r="D1997" s="11" t="s">
        <v>3671</v>
      </c>
      <c r="E1997" s="14" t="s">
        <v>159</v>
      </c>
      <c r="F1997" s="4" t="s">
        <v>1523</v>
      </c>
    </row>
    <row r="1998" spans="1:6" x14ac:dyDescent="0.2">
      <c r="A1998" s="14" t="s">
        <v>2991</v>
      </c>
      <c r="B1998" s="14" t="s">
        <v>1522</v>
      </c>
      <c r="C1998" s="14" t="s">
        <v>454</v>
      </c>
      <c r="D1998" s="11" t="s">
        <v>3672</v>
      </c>
      <c r="E1998" s="14" t="s">
        <v>161</v>
      </c>
      <c r="F1998" s="4" t="s">
        <v>1523</v>
      </c>
    </row>
    <row r="1999" spans="1:6" x14ac:dyDescent="0.2">
      <c r="A1999" s="14" t="s">
        <v>3019</v>
      </c>
      <c r="B1999" s="14" t="s">
        <v>1522</v>
      </c>
      <c r="C1999" s="14" t="s">
        <v>1450</v>
      </c>
      <c r="D1999" s="11" t="s">
        <v>3680</v>
      </c>
      <c r="E1999" s="14" t="s">
        <v>216</v>
      </c>
      <c r="F1999" s="4" t="s">
        <v>1523</v>
      </c>
    </row>
    <row r="2000" spans="1:6" x14ac:dyDescent="0.2">
      <c r="A2000" s="14" t="s">
        <v>3020</v>
      </c>
      <c r="B2000" s="14" t="s">
        <v>1522</v>
      </c>
      <c r="C2000" s="14" t="s">
        <v>1448</v>
      </c>
      <c r="D2000" s="11" t="s">
        <v>3681</v>
      </c>
      <c r="E2000" s="14" t="s">
        <v>220</v>
      </c>
      <c r="F2000" s="4" t="s">
        <v>1523</v>
      </c>
    </row>
    <row r="2001" spans="1:6" x14ac:dyDescent="0.2">
      <c r="A2001" s="14" t="s">
        <v>3021</v>
      </c>
      <c r="B2001" s="14" t="s">
        <v>1522</v>
      </c>
      <c r="C2001" s="14" t="s">
        <v>1486</v>
      </c>
      <c r="D2001" s="11" t="s">
        <v>3682</v>
      </c>
      <c r="E2001" s="14" t="s">
        <v>222</v>
      </c>
      <c r="F2001" s="4" t="s">
        <v>1523</v>
      </c>
    </row>
    <row r="2002" spans="1:6" x14ac:dyDescent="0.2">
      <c r="A2002" s="14" t="s">
        <v>3022</v>
      </c>
      <c r="B2002" s="14" t="s">
        <v>1522</v>
      </c>
      <c r="C2002" s="14" t="s">
        <v>1487</v>
      </c>
      <c r="D2002" s="11" t="s">
        <v>3683</v>
      </c>
      <c r="E2002" s="14" t="s">
        <v>225</v>
      </c>
      <c r="F2002" s="4" t="s">
        <v>1523</v>
      </c>
    </row>
    <row r="2003" spans="1:6" x14ac:dyDescent="0.2">
      <c r="A2003" s="14" t="s">
        <v>3023</v>
      </c>
      <c r="B2003" s="14" t="s">
        <v>1522</v>
      </c>
      <c r="C2003" s="14" t="s">
        <v>1454</v>
      </c>
      <c r="D2003" s="11" t="s">
        <v>3684</v>
      </c>
      <c r="E2003" s="14" t="s">
        <v>228</v>
      </c>
      <c r="F2003" s="4" t="s">
        <v>1523</v>
      </c>
    </row>
    <row r="2004" spans="1:6" x14ac:dyDescent="0.2">
      <c r="A2004" s="14" t="s">
        <v>3024</v>
      </c>
      <c r="B2004" s="14" t="s">
        <v>1522</v>
      </c>
      <c r="C2004" s="14" t="s">
        <v>1455</v>
      </c>
      <c r="D2004" s="11" t="s">
        <v>3685</v>
      </c>
      <c r="E2004" s="14" t="s">
        <v>231</v>
      </c>
      <c r="F2004" s="4" t="s">
        <v>1523</v>
      </c>
    </row>
    <row r="2005" spans="1:6" x14ac:dyDescent="0.2">
      <c r="A2005" s="14" t="s">
        <v>3045</v>
      </c>
      <c r="B2005" s="14" t="s">
        <v>1522</v>
      </c>
      <c r="C2005" s="14" t="s">
        <v>1463</v>
      </c>
      <c r="D2005" s="11" t="s">
        <v>119</v>
      </c>
      <c r="E2005" s="14" t="s">
        <v>119</v>
      </c>
      <c r="F2005" s="4" t="s">
        <v>1523</v>
      </c>
    </row>
    <row r="2006" spans="1:6" x14ac:dyDescent="0.2">
      <c r="A2006" s="14" t="s">
        <v>3046</v>
      </c>
      <c r="B2006" s="14" t="s">
        <v>1522</v>
      </c>
      <c r="C2006" s="14" t="s">
        <v>1316</v>
      </c>
      <c r="D2006" s="11" t="s">
        <v>1330</v>
      </c>
      <c r="E2006" s="14" t="s">
        <v>290</v>
      </c>
      <c r="F2006" s="4" t="s">
        <v>1523</v>
      </c>
    </row>
    <row r="2007" spans="1:6" x14ac:dyDescent="0.2">
      <c r="A2007" s="14" t="s">
        <v>3047</v>
      </c>
      <c r="B2007" s="14" t="s">
        <v>1522</v>
      </c>
      <c r="C2007" s="14" t="s">
        <v>1317</v>
      </c>
      <c r="D2007" s="11" t="s">
        <v>1331</v>
      </c>
      <c r="E2007" s="14" t="s">
        <v>293</v>
      </c>
      <c r="F2007" s="4" t="s">
        <v>1523</v>
      </c>
    </row>
    <row r="2008" spans="1:6" x14ac:dyDescent="0.2">
      <c r="A2008" s="14" t="s">
        <v>2996</v>
      </c>
      <c r="B2008" s="14" t="s">
        <v>1522</v>
      </c>
      <c r="C2008" s="14" t="s">
        <v>362</v>
      </c>
      <c r="D2008" s="11" t="s">
        <v>178</v>
      </c>
      <c r="E2008" s="14" t="s">
        <v>178</v>
      </c>
      <c r="F2008" s="4" t="s">
        <v>1523</v>
      </c>
    </row>
    <row r="2009" spans="1:6" x14ac:dyDescent="0.2">
      <c r="A2009" s="14" t="s">
        <v>2997</v>
      </c>
      <c r="B2009" s="14" t="s">
        <v>1522</v>
      </c>
      <c r="C2009" s="14" t="s">
        <v>363</v>
      </c>
      <c r="D2009" s="11" t="s">
        <v>3567</v>
      </c>
      <c r="E2009" s="14" t="s">
        <v>3567</v>
      </c>
      <c r="F2009" s="4" t="s">
        <v>1523</v>
      </c>
    </row>
    <row r="2010" spans="1:6" x14ac:dyDescent="0.2">
      <c r="A2010" s="14" t="s">
        <v>2998</v>
      </c>
      <c r="B2010" s="14" t="s">
        <v>1522</v>
      </c>
      <c r="C2010" s="14" t="s">
        <v>365</v>
      </c>
      <c r="D2010" s="11" t="s">
        <v>3567</v>
      </c>
      <c r="E2010" s="14" t="s">
        <v>3567</v>
      </c>
      <c r="F2010" s="4" t="s">
        <v>1523</v>
      </c>
    </row>
    <row r="2011" spans="1:6" x14ac:dyDescent="0.2">
      <c r="A2011" s="14" t="s">
        <v>2999</v>
      </c>
      <c r="B2011" s="14" t="s">
        <v>1522</v>
      </c>
      <c r="C2011" s="14" t="s">
        <v>366</v>
      </c>
      <c r="D2011" s="11" t="s">
        <v>3569</v>
      </c>
      <c r="E2011" s="14" t="s">
        <v>3569</v>
      </c>
      <c r="F2011" s="4" t="s">
        <v>1523</v>
      </c>
    </row>
    <row r="2012" spans="1:6" x14ac:dyDescent="0.2">
      <c r="A2012" s="14" t="s">
        <v>3000</v>
      </c>
      <c r="B2012" s="14" t="s">
        <v>1522</v>
      </c>
      <c r="C2012" s="14" t="s">
        <v>368</v>
      </c>
      <c r="D2012" s="11" t="s">
        <v>180</v>
      </c>
      <c r="E2012" s="14" t="s">
        <v>180</v>
      </c>
      <c r="F2012" s="4" t="s">
        <v>1523</v>
      </c>
    </row>
    <row r="2013" spans="1:6" x14ac:dyDescent="0.2">
      <c r="A2013" s="14" t="s">
        <v>3001</v>
      </c>
      <c r="B2013" s="14" t="s">
        <v>1522</v>
      </c>
      <c r="C2013" s="14" t="s">
        <v>500</v>
      </c>
      <c r="D2013" s="11" t="s">
        <v>181</v>
      </c>
      <c r="E2013" s="14" t="s">
        <v>181</v>
      </c>
      <c r="F2013" s="4" t="s">
        <v>1523</v>
      </c>
    </row>
    <row r="2014" spans="1:6" x14ac:dyDescent="0.2">
      <c r="A2014" s="14" t="s">
        <v>3002</v>
      </c>
      <c r="B2014" s="14" t="s">
        <v>1522</v>
      </c>
      <c r="C2014" s="14" t="s">
        <v>501</v>
      </c>
      <c r="D2014" s="11" t="s">
        <v>9</v>
      </c>
      <c r="E2014" s="14" t="s">
        <v>9</v>
      </c>
      <c r="F2014" s="4" t="s">
        <v>1523</v>
      </c>
    </row>
    <row r="2015" spans="1:6" x14ac:dyDescent="0.2">
      <c r="A2015" s="14" t="s">
        <v>3003</v>
      </c>
      <c r="B2015" s="14" t="s">
        <v>1522</v>
      </c>
      <c r="C2015" s="14" t="s">
        <v>503</v>
      </c>
      <c r="D2015" s="11" t="s">
        <v>9</v>
      </c>
      <c r="E2015" s="14" t="s">
        <v>9</v>
      </c>
      <c r="F2015" s="4" t="s">
        <v>1523</v>
      </c>
    </row>
    <row r="2016" spans="1:6" x14ac:dyDescent="0.2">
      <c r="A2016" s="14" t="s">
        <v>3004</v>
      </c>
      <c r="B2016" s="14" t="s">
        <v>1522</v>
      </c>
      <c r="C2016" s="14" t="s">
        <v>504</v>
      </c>
      <c r="D2016" s="11" t="s">
        <v>3570</v>
      </c>
      <c r="E2016" s="14" t="s">
        <v>3570</v>
      </c>
      <c r="F2016" s="4" t="s">
        <v>1523</v>
      </c>
    </row>
    <row r="2017" spans="1:6" x14ac:dyDescent="0.2">
      <c r="A2017" s="14" t="s">
        <v>3005</v>
      </c>
      <c r="B2017" s="14" t="s">
        <v>1522</v>
      </c>
      <c r="C2017" s="14" t="s">
        <v>506</v>
      </c>
      <c r="D2017" s="11" t="s">
        <v>183</v>
      </c>
      <c r="E2017" s="14" t="s">
        <v>183</v>
      </c>
      <c r="F2017" s="4" t="s">
        <v>1523</v>
      </c>
    </row>
    <row r="2018" spans="1:6" x14ac:dyDescent="0.2">
      <c r="A2018" s="14" t="s">
        <v>3006</v>
      </c>
      <c r="B2018" s="14" t="s">
        <v>1522</v>
      </c>
      <c r="C2018" s="14" t="s">
        <v>1025</v>
      </c>
      <c r="D2018" s="11" t="s">
        <v>3571</v>
      </c>
      <c r="E2018" s="14" t="s">
        <v>3571</v>
      </c>
      <c r="F2018" s="4" t="s">
        <v>1523</v>
      </c>
    </row>
    <row r="2019" spans="1:6" x14ac:dyDescent="0.2">
      <c r="A2019" s="14" t="s">
        <v>3007</v>
      </c>
      <c r="B2019" s="14" t="s">
        <v>1522</v>
      </c>
      <c r="C2019" s="14" t="s">
        <v>1251</v>
      </c>
      <c r="D2019" s="11" t="s">
        <v>3574</v>
      </c>
      <c r="E2019" s="14" t="s">
        <v>3574</v>
      </c>
      <c r="F2019" s="4" t="s">
        <v>1523</v>
      </c>
    </row>
    <row r="2020" spans="1:6" x14ac:dyDescent="0.2">
      <c r="A2020" s="14" t="s">
        <v>3008</v>
      </c>
      <c r="B2020" s="14" t="s">
        <v>1522</v>
      </c>
      <c r="C2020" s="14" t="s">
        <v>1321</v>
      </c>
      <c r="D2020" s="11" t="s">
        <v>3571</v>
      </c>
      <c r="E2020" s="14" t="s">
        <v>3571</v>
      </c>
      <c r="F2020" s="4" t="s">
        <v>1523</v>
      </c>
    </row>
    <row r="2021" spans="1:6" x14ac:dyDescent="0.2">
      <c r="A2021" s="14" t="s">
        <v>3011</v>
      </c>
      <c r="B2021" s="14" t="s">
        <v>4748</v>
      </c>
      <c r="C2021" s="14" t="s">
        <v>626</v>
      </c>
      <c r="D2021" s="11" t="s">
        <v>197</v>
      </c>
      <c r="E2021" s="14" t="s">
        <v>197</v>
      </c>
      <c r="F2021" s="4" t="s">
        <v>1523</v>
      </c>
    </row>
    <row r="2022" spans="1:6" x14ac:dyDescent="0.2">
      <c r="A2022" s="14" t="s">
        <v>3012</v>
      </c>
      <c r="B2022" s="14" t="s">
        <v>4748</v>
      </c>
      <c r="C2022" s="14" t="s">
        <v>627</v>
      </c>
      <c r="D2022" s="11" t="s">
        <v>198</v>
      </c>
      <c r="E2022" s="14" t="s">
        <v>198</v>
      </c>
      <c r="F2022" s="4" t="s">
        <v>1523</v>
      </c>
    </row>
    <row r="2023" spans="1:6" x14ac:dyDescent="0.2">
      <c r="A2023" s="14" t="s">
        <v>3025</v>
      </c>
      <c r="B2023" s="14" t="s">
        <v>1522</v>
      </c>
      <c r="C2023" s="14" t="s">
        <v>1084</v>
      </c>
      <c r="D2023" s="11" t="s">
        <v>3689</v>
      </c>
      <c r="E2023" s="14" t="s">
        <v>237</v>
      </c>
      <c r="F2023" s="4" t="s">
        <v>1523</v>
      </c>
    </row>
    <row r="2024" spans="1:6" x14ac:dyDescent="0.2">
      <c r="A2024" s="14" t="s">
        <v>3026</v>
      </c>
      <c r="B2024" s="14" t="s">
        <v>1522</v>
      </c>
      <c r="C2024" s="14" t="s">
        <v>1064</v>
      </c>
      <c r="D2024" s="11" t="s">
        <v>3689</v>
      </c>
      <c r="E2024" s="14" t="s">
        <v>239</v>
      </c>
      <c r="F2024" s="4" t="s">
        <v>1523</v>
      </c>
    </row>
    <row r="2025" spans="1:6" x14ac:dyDescent="0.2">
      <c r="A2025" s="14" t="s">
        <v>3027</v>
      </c>
      <c r="B2025" s="14" t="s">
        <v>1522</v>
      </c>
      <c r="C2025" s="14" t="s">
        <v>1085</v>
      </c>
      <c r="D2025" s="11" t="s">
        <v>3690</v>
      </c>
      <c r="E2025" s="14" t="s">
        <v>240</v>
      </c>
      <c r="F2025" s="4" t="s">
        <v>1523</v>
      </c>
    </row>
    <row r="2026" spans="1:6" x14ac:dyDescent="0.2">
      <c r="A2026" s="14" t="s">
        <v>3028</v>
      </c>
      <c r="B2026" s="14" t="s">
        <v>1522</v>
      </c>
      <c r="C2026" s="14" t="s">
        <v>1065</v>
      </c>
      <c r="D2026" s="11" t="s">
        <v>3690</v>
      </c>
      <c r="E2026" s="14" t="s">
        <v>242</v>
      </c>
      <c r="F2026" s="4" t="s">
        <v>1523</v>
      </c>
    </row>
    <row r="2027" spans="1:6" x14ac:dyDescent="0.2">
      <c r="A2027" s="14" t="s">
        <v>3029</v>
      </c>
      <c r="B2027" s="14" t="s">
        <v>1522</v>
      </c>
      <c r="C2027" s="14" t="s">
        <v>1086</v>
      </c>
      <c r="D2027" s="11" t="s">
        <v>3691</v>
      </c>
      <c r="E2027" s="14" t="s">
        <v>243</v>
      </c>
      <c r="F2027" s="4" t="s">
        <v>1523</v>
      </c>
    </row>
    <row r="2028" spans="1:6" x14ac:dyDescent="0.2">
      <c r="A2028" s="14" t="s">
        <v>3030</v>
      </c>
      <c r="B2028" s="14" t="s">
        <v>1522</v>
      </c>
      <c r="C2028" s="14" t="s">
        <v>1066</v>
      </c>
      <c r="D2028" s="11" t="s">
        <v>3691</v>
      </c>
      <c r="E2028" s="14" t="s">
        <v>245</v>
      </c>
      <c r="F2028" s="4" t="s">
        <v>1523</v>
      </c>
    </row>
    <row r="2029" spans="1:6" x14ac:dyDescent="0.2">
      <c r="A2029" s="14" t="s">
        <v>3031</v>
      </c>
      <c r="B2029" s="14" t="s">
        <v>1522</v>
      </c>
      <c r="C2029" s="14" t="s">
        <v>1087</v>
      </c>
      <c r="D2029" s="11" t="s">
        <v>3692</v>
      </c>
      <c r="E2029" s="14" t="s">
        <v>246</v>
      </c>
      <c r="F2029" s="4" t="s">
        <v>1523</v>
      </c>
    </row>
    <row r="2030" spans="1:6" x14ac:dyDescent="0.2">
      <c r="A2030" s="14" t="s">
        <v>3032</v>
      </c>
      <c r="B2030" s="14" t="s">
        <v>1522</v>
      </c>
      <c r="C2030" s="14" t="s">
        <v>1067</v>
      </c>
      <c r="D2030" s="11" t="s">
        <v>3692</v>
      </c>
      <c r="E2030" s="14" t="s">
        <v>248</v>
      </c>
      <c r="F2030" s="4" t="s">
        <v>1523</v>
      </c>
    </row>
    <row r="2031" spans="1:6" x14ac:dyDescent="0.2">
      <c r="A2031" s="14" t="s">
        <v>3033</v>
      </c>
      <c r="B2031" s="14" t="s">
        <v>1522</v>
      </c>
      <c r="C2031" s="14" t="s">
        <v>1088</v>
      </c>
      <c r="D2031" s="11" t="s">
        <v>3693</v>
      </c>
      <c r="E2031" s="14" t="s">
        <v>249</v>
      </c>
      <c r="F2031" s="4" t="s">
        <v>1523</v>
      </c>
    </row>
    <row r="2032" spans="1:6" x14ac:dyDescent="0.2">
      <c r="A2032" s="14" t="s">
        <v>3034</v>
      </c>
      <c r="B2032" s="14" t="s">
        <v>1522</v>
      </c>
      <c r="C2032" s="14" t="s">
        <v>1078</v>
      </c>
      <c r="D2032" s="11" t="s">
        <v>3693</v>
      </c>
      <c r="E2032" s="14" t="s">
        <v>250</v>
      </c>
      <c r="F2032" s="4" t="s">
        <v>1523</v>
      </c>
    </row>
    <row r="2033" spans="1:6" x14ac:dyDescent="0.2">
      <c r="A2033" s="14" t="s">
        <v>3035</v>
      </c>
      <c r="B2033" s="14" t="s">
        <v>1522</v>
      </c>
      <c r="C2033" s="14" t="s">
        <v>1068</v>
      </c>
      <c r="D2033" s="11" t="s">
        <v>3693</v>
      </c>
      <c r="E2033" s="14" t="s">
        <v>251</v>
      </c>
      <c r="F2033" s="4" t="s">
        <v>1523</v>
      </c>
    </row>
    <row r="2034" spans="1:6" x14ac:dyDescent="0.2">
      <c r="A2034" s="14" t="s">
        <v>3036</v>
      </c>
      <c r="B2034" s="14" t="s">
        <v>1522</v>
      </c>
      <c r="C2034" s="14" t="s">
        <v>1089</v>
      </c>
      <c r="D2034" s="11" t="s">
        <v>3694</v>
      </c>
      <c r="E2034" s="14" t="s">
        <v>252</v>
      </c>
      <c r="F2034" s="4" t="s">
        <v>1523</v>
      </c>
    </row>
    <row r="2035" spans="1:6" x14ac:dyDescent="0.2">
      <c r="A2035" s="14" t="s">
        <v>3037</v>
      </c>
      <c r="B2035" s="14" t="s">
        <v>1522</v>
      </c>
      <c r="C2035" s="14" t="s">
        <v>1079</v>
      </c>
      <c r="D2035" s="11" t="s">
        <v>3694</v>
      </c>
      <c r="E2035" s="14" t="s">
        <v>253</v>
      </c>
      <c r="F2035" s="4" t="s">
        <v>1523</v>
      </c>
    </row>
    <row r="2036" spans="1:6" x14ac:dyDescent="0.2">
      <c r="A2036" s="14" t="s">
        <v>3038</v>
      </c>
      <c r="B2036" s="14" t="s">
        <v>1522</v>
      </c>
      <c r="C2036" s="14" t="s">
        <v>1069</v>
      </c>
      <c r="D2036" s="11" t="s">
        <v>3694</v>
      </c>
      <c r="E2036" s="14" t="s">
        <v>254</v>
      </c>
      <c r="F2036" s="4" t="s">
        <v>1523</v>
      </c>
    </row>
    <row r="2037" spans="1:6" x14ac:dyDescent="0.2">
      <c r="A2037" s="14" t="s">
        <v>3039</v>
      </c>
      <c r="B2037" s="14" t="s">
        <v>1522</v>
      </c>
      <c r="C2037" s="14" t="s">
        <v>1081</v>
      </c>
      <c r="D2037" s="11" t="s">
        <v>3695</v>
      </c>
      <c r="E2037" s="14" t="s">
        <v>259</v>
      </c>
      <c r="F2037" s="4" t="s">
        <v>1523</v>
      </c>
    </row>
    <row r="2038" spans="1:6" x14ac:dyDescent="0.2">
      <c r="A2038" s="14" t="s">
        <v>3040</v>
      </c>
      <c r="B2038" s="14" t="s">
        <v>1522</v>
      </c>
      <c r="C2038" s="14" t="s">
        <v>1071</v>
      </c>
      <c r="D2038" s="11" t="s">
        <v>3695</v>
      </c>
      <c r="E2038" s="14" t="s">
        <v>260</v>
      </c>
      <c r="F2038" s="4" t="s">
        <v>1523</v>
      </c>
    </row>
    <row r="2039" spans="1:6" x14ac:dyDescent="0.2">
      <c r="A2039" s="14" t="s">
        <v>3041</v>
      </c>
      <c r="B2039" s="14" t="s">
        <v>1522</v>
      </c>
      <c r="C2039" s="14" t="s">
        <v>1082</v>
      </c>
      <c r="D2039" s="11" t="s">
        <v>3696</v>
      </c>
      <c r="E2039" s="14" t="s">
        <v>262</v>
      </c>
      <c r="F2039" s="4" t="s">
        <v>1523</v>
      </c>
    </row>
    <row r="2040" spans="1:6" x14ac:dyDescent="0.2">
      <c r="A2040" s="14" t="s">
        <v>3042</v>
      </c>
      <c r="B2040" s="14" t="s">
        <v>1522</v>
      </c>
      <c r="C2040" s="14" t="s">
        <v>1072</v>
      </c>
      <c r="D2040" s="11" t="s">
        <v>3696</v>
      </c>
      <c r="E2040" s="14" t="s">
        <v>263</v>
      </c>
      <c r="F2040" s="4" t="s">
        <v>1523</v>
      </c>
    </row>
    <row r="2041" spans="1:6" x14ac:dyDescent="0.2">
      <c r="A2041" s="14" t="s">
        <v>3043</v>
      </c>
      <c r="B2041" s="14" t="s">
        <v>1522</v>
      </c>
      <c r="C2041" s="14" t="s">
        <v>1083</v>
      </c>
      <c r="D2041" s="11" t="s">
        <v>3697</v>
      </c>
      <c r="E2041" s="14" t="s">
        <v>265</v>
      </c>
      <c r="F2041" s="4" t="s">
        <v>1523</v>
      </c>
    </row>
    <row r="2042" spans="1:6" x14ac:dyDescent="0.2">
      <c r="A2042" s="14" t="s">
        <v>3044</v>
      </c>
      <c r="B2042" s="14" t="s">
        <v>1522</v>
      </c>
      <c r="C2042" s="14" t="s">
        <v>1073</v>
      </c>
      <c r="D2042" s="11" t="s">
        <v>3697</v>
      </c>
      <c r="E2042" s="14" t="s">
        <v>266</v>
      </c>
      <c r="F2042" s="4" t="s">
        <v>1523</v>
      </c>
    </row>
    <row r="2043" spans="1:6" x14ac:dyDescent="0.2">
      <c r="A2043" s="14" t="s">
        <v>4733</v>
      </c>
      <c r="B2043" s="14" t="s">
        <v>1522</v>
      </c>
      <c r="C2043" s="14" t="s">
        <v>753</v>
      </c>
      <c r="D2043" s="11" t="s">
        <v>3954</v>
      </c>
      <c r="E2043" s="14" t="s">
        <v>3954</v>
      </c>
      <c r="F2043" s="4" t="s">
        <v>1523</v>
      </c>
    </row>
    <row r="2044" spans="1:6" x14ac:dyDescent="0.2">
      <c r="A2044" s="14" t="s">
        <v>4734</v>
      </c>
      <c r="B2044" s="14" t="s">
        <v>1522</v>
      </c>
      <c r="C2044" s="14" t="s">
        <v>754</v>
      </c>
      <c r="D2044" s="11" t="s">
        <v>3955</v>
      </c>
      <c r="E2044" s="14" t="s">
        <v>3955</v>
      </c>
      <c r="F2044" s="4" t="s">
        <v>1523</v>
      </c>
    </row>
    <row r="2045" spans="1:6" x14ac:dyDescent="0.2">
      <c r="A2045" s="14" t="s">
        <v>4735</v>
      </c>
      <c r="B2045" s="14" t="s">
        <v>1522</v>
      </c>
      <c r="C2045" s="14" t="s">
        <v>755</v>
      </c>
      <c r="D2045" s="11" t="s">
        <v>3956</v>
      </c>
      <c r="E2045" s="14" t="s">
        <v>3956</v>
      </c>
      <c r="F2045" s="4" t="s">
        <v>1523</v>
      </c>
    </row>
    <row r="2046" spans="1:6" x14ac:dyDescent="0.2">
      <c r="A2046" s="14" t="s">
        <v>3083</v>
      </c>
      <c r="B2046" s="14" t="s">
        <v>1522</v>
      </c>
      <c r="C2046" s="14" t="s">
        <v>809</v>
      </c>
      <c r="D2046" s="11" t="s">
        <v>4001</v>
      </c>
      <c r="E2046" s="14" t="s">
        <v>4001</v>
      </c>
      <c r="F2046" s="4" t="s">
        <v>1523</v>
      </c>
    </row>
    <row r="2047" spans="1:6" x14ac:dyDescent="0.2">
      <c r="A2047" s="14" t="s">
        <v>3084</v>
      </c>
      <c r="B2047" s="14" t="s">
        <v>1522</v>
      </c>
      <c r="C2047" s="14" t="s">
        <v>810</v>
      </c>
      <c r="D2047" s="11" t="s">
        <v>4002</v>
      </c>
      <c r="E2047" s="14" t="s">
        <v>4002</v>
      </c>
      <c r="F2047" s="4" t="s">
        <v>1523</v>
      </c>
    </row>
    <row r="2048" spans="1:6" x14ac:dyDescent="0.2">
      <c r="A2048" s="14" t="s">
        <v>3085</v>
      </c>
      <c r="B2048" s="14" t="s">
        <v>1522</v>
      </c>
      <c r="C2048" s="14" t="s">
        <v>811</v>
      </c>
      <c r="D2048" s="11" t="s">
        <v>4003</v>
      </c>
      <c r="E2048" s="14" t="s">
        <v>4003</v>
      </c>
      <c r="F2048" s="4" t="s">
        <v>1523</v>
      </c>
    </row>
    <row r="2049" spans="1:6" x14ac:dyDescent="0.2">
      <c r="A2049" s="14" t="s">
        <v>3086</v>
      </c>
      <c r="B2049" s="14" t="s">
        <v>1522</v>
      </c>
      <c r="C2049" s="14" t="s">
        <v>812</v>
      </c>
      <c r="D2049" s="11" t="s">
        <v>4003</v>
      </c>
      <c r="E2049" s="14" t="s">
        <v>4003</v>
      </c>
      <c r="F2049" s="4" t="s">
        <v>1523</v>
      </c>
    </row>
    <row r="2050" spans="1:6" x14ac:dyDescent="0.2">
      <c r="A2050" s="14" t="s">
        <v>3087</v>
      </c>
      <c r="B2050" s="14" t="s">
        <v>1522</v>
      </c>
      <c r="C2050" s="14" t="s">
        <v>813</v>
      </c>
      <c r="D2050" s="11" t="s">
        <v>4004</v>
      </c>
      <c r="E2050" s="14" t="s">
        <v>4004</v>
      </c>
      <c r="F2050" s="4" t="s">
        <v>1523</v>
      </c>
    </row>
    <row r="2051" spans="1:6" x14ac:dyDescent="0.2">
      <c r="A2051" s="14" t="s">
        <v>3088</v>
      </c>
      <c r="B2051" s="14" t="s">
        <v>1522</v>
      </c>
      <c r="C2051" s="14" t="s">
        <v>814</v>
      </c>
      <c r="D2051" s="11" t="s">
        <v>4001</v>
      </c>
      <c r="E2051" s="14" t="s">
        <v>4001</v>
      </c>
      <c r="F2051" s="4" t="s">
        <v>1523</v>
      </c>
    </row>
    <row r="2052" spans="1:6" x14ac:dyDescent="0.2">
      <c r="A2052" s="14" t="s">
        <v>3089</v>
      </c>
      <c r="B2052" s="14" t="s">
        <v>1522</v>
      </c>
      <c r="C2052" s="14" t="s">
        <v>815</v>
      </c>
      <c r="D2052" s="11" t="s">
        <v>4005</v>
      </c>
      <c r="E2052" s="14" t="s">
        <v>4005</v>
      </c>
      <c r="F2052" s="4" t="s">
        <v>1523</v>
      </c>
    </row>
    <row r="2053" spans="1:6" x14ac:dyDescent="0.2">
      <c r="A2053" s="14" t="s">
        <v>3090</v>
      </c>
      <c r="B2053" s="14" t="s">
        <v>1522</v>
      </c>
      <c r="C2053" s="14" t="s">
        <v>816</v>
      </c>
      <c r="D2053" s="11" t="s">
        <v>4006</v>
      </c>
      <c r="E2053" s="14" t="s">
        <v>4006</v>
      </c>
      <c r="F2053" s="4" t="s">
        <v>1523</v>
      </c>
    </row>
    <row r="2054" spans="1:6" x14ac:dyDescent="0.2">
      <c r="A2054" s="14" t="s">
        <v>3091</v>
      </c>
      <c r="B2054" s="14" t="s">
        <v>1522</v>
      </c>
      <c r="C2054" s="14" t="s">
        <v>817</v>
      </c>
      <c r="D2054" s="11" t="s">
        <v>4007</v>
      </c>
      <c r="E2054" s="14" t="s">
        <v>4007</v>
      </c>
      <c r="F2054" s="4" t="s">
        <v>1523</v>
      </c>
    </row>
    <row r="2055" spans="1:6" x14ac:dyDescent="0.2">
      <c r="A2055" s="14" t="s">
        <v>3092</v>
      </c>
      <c r="B2055" s="14" t="s">
        <v>1522</v>
      </c>
      <c r="C2055" s="14" t="s">
        <v>818</v>
      </c>
      <c r="D2055" s="11" t="s">
        <v>4008</v>
      </c>
      <c r="E2055" s="14" t="s">
        <v>4008</v>
      </c>
      <c r="F2055" s="4" t="s">
        <v>1523</v>
      </c>
    </row>
    <row r="2056" spans="1:6" x14ac:dyDescent="0.2">
      <c r="A2056" s="14" t="s">
        <v>3093</v>
      </c>
      <c r="B2056" s="14" t="s">
        <v>4746</v>
      </c>
      <c r="C2056" s="14" t="s">
        <v>2853</v>
      </c>
      <c r="D2056" s="11" t="s">
        <v>4009</v>
      </c>
      <c r="E2056" s="14" t="s">
        <v>4009</v>
      </c>
      <c r="F2056" s="4" t="s">
        <v>1523</v>
      </c>
    </row>
    <row r="2057" spans="1:6" x14ac:dyDescent="0.2">
      <c r="A2057" s="14" t="s">
        <v>3094</v>
      </c>
      <c r="B2057" s="14" t="s">
        <v>4746</v>
      </c>
      <c r="C2057" s="14" t="s">
        <v>2853</v>
      </c>
      <c r="D2057" s="11" t="s">
        <v>4010</v>
      </c>
      <c r="E2057" s="14" t="s">
        <v>4010</v>
      </c>
      <c r="F2057" s="4" t="s">
        <v>1523</v>
      </c>
    </row>
    <row r="2058" spans="1:6" x14ac:dyDescent="0.2">
      <c r="A2058" s="14" t="s">
        <v>3095</v>
      </c>
      <c r="B2058" s="14" t="s">
        <v>4746</v>
      </c>
      <c r="C2058" s="14" t="s">
        <v>2853</v>
      </c>
      <c r="D2058" s="11" t="s">
        <v>4011</v>
      </c>
      <c r="E2058" s="14" t="s">
        <v>4011</v>
      </c>
      <c r="F2058" s="4" t="s">
        <v>1523</v>
      </c>
    </row>
    <row r="2059" spans="1:6" x14ac:dyDescent="0.2">
      <c r="A2059" s="14" t="s">
        <v>3096</v>
      </c>
      <c r="B2059" s="14" t="s">
        <v>4746</v>
      </c>
      <c r="C2059" s="14" t="s">
        <v>2853</v>
      </c>
      <c r="D2059" s="11" t="s">
        <v>4012</v>
      </c>
      <c r="E2059" s="14" t="s">
        <v>4012</v>
      </c>
      <c r="F2059" s="4" t="s">
        <v>1523</v>
      </c>
    </row>
    <row r="2060" spans="1:6" x14ac:dyDescent="0.2">
      <c r="A2060" s="14" t="s">
        <v>3097</v>
      </c>
      <c r="B2060" s="14" t="s">
        <v>4746</v>
      </c>
      <c r="C2060" s="14" t="s">
        <v>2853</v>
      </c>
      <c r="D2060" s="11" t="s">
        <v>4013</v>
      </c>
      <c r="E2060" s="14" t="s">
        <v>4013</v>
      </c>
      <c r="F2060" s="4" t="s">
        <v>1523</v>
      </c>
    </row>
    <row r="2061" spans="1:6" x14ac:dyDescent="0.2">
      <c r="A2061" s="14" t="s">
        <v>3098</v>
      </c>
      <c r="B2061" s="14" t="s">
        <v>4746</v>
      </c>
      <c r="C2061" s="14" t="s">
        <v>2853</v>
      </c>
      <c r="D2061" s="11" t="s">
        <v>4014</v>
      </c>
      <c r="E2061" s="14" t="s">
        <v>4014</v>
      </c>
      <c r="F2061" s="4" t="s">
        <v>1523</v>
      </c>
    </row>
    <row r="2062" spans="1:6" x14ac:dyDescent="0.2">
      <c r="A2062" s="14" t="s">
        <v>3099</v>
      </c>
      <c r="B2062" s="14" t="s">
        <v>4746</v>
      </c>
      <c r="C2062" s="14" t="s">
        <v>2853</v>
      </c>
      <c r="D2062" s="11" t="s">
        <v>4015</v>
      </c>
      <c r="E2062" s="14" t="s">
        <v>4015</v>
      </c>
      <c r="F2062" s="4" t="s">
        <v>1523</v>
      </c>
    </row>
    <row r="2063" spans="1:6" x14ac:dyDescent="0.2">
      <c r="A2063" s="14" t="s">
        <v>3100</v>
      </c>
      <c r="B2063" s="14" t="s">
        <v>4746</v>
      </c>
      <c r="C2063" s="14" t="s">
        <v>2853</v>
      </c>
      <c r="D2063" s="11" t="s">
        <v>4016</v>
      </c>
      <c r="E2063" s="14" t="s">
        <v>4016</v>
      </c>
      <c r="F2063" s="4" t="s">
        <v>1523</v>
      </c>
    </row>
    <row r="2064" spans="1:6" x14ac:dyDescent="0.2">
      <c r="A2064" s="14" t="s">
        <v>3101</v>
      </c>
      <c r="B2064" s="14" t="s">
        <v>4746</v>
      </c>
      <c r="C2064" s="14" t="s">
        <v>2853</v>
      </c>
      <c r="D2064" s="11" t="s">
        <v>4017</v>
      </c>
      <c r="E2064" s="14" t="s">
        <v>4017</v>
      </c>
      <c r="F2064" s="4" t="s">
        <v>1523</v>
      </c>
    </row>
    <row r="2065" spans="1:6" x14ac:dyDescent="0.2">
      <c r="A2065" s="14" t="s">
        <v>3102</v>
      </c>
      <c r="B2065" s="14" t="s">
        <v>1522</v>
      </c>
      <c r="C2065" s="14" t="s">
        <v>828</v>
      </c>
      <c r="D2065" s="11" t="s">
        <v>4007</v>
      </c>
      <c r="E2065" s="14" t="s">
        <v>4007</v>
      </c>
      <c r="F2065" s="4" t="s">
        <v>1523</v>
      </c>
    </row>
    <row r="2066" spans="1:6" x14ac:dyDescent="0.2">
      <c r="A2066" s="14" t="s">
        <v>3103</v>
      </c>
      <c r="B2066" s="14" t="s">
        <v>4746</v>
      </c>
      <c r="C2066" s="14" t="s">
        <v>2853</v>
      </c>
      <c r="D2066" s="11" t="s">
        <v>4018</v>
      </c>
      <c r="E2066" s="14" t="s">
        <v>4018</v>
      </c>
      <c r="F2066" s="4" t="s">
        <v>1523</v>
      </c>
    </row>
    <row r="2067" spans="1:6" x14ac:dyDescent="0.2">
      <c r="A2067" s="14" t="s">
        <v>3104</v>
      </c>
      <c r="B2067" s="14" t="s">
        <v>4746</v>
      </c>
      <c r="C2067" s="14" t="s">
        <v>2853</v>
      </c>
      <c r="D2067" s="11" t="s">
        <v>4019</v>
      </c>
      <c r="E2067" s="14" t="s">
        <v>4019</v>
      </c>
      <c r="F2067" s="4" t="s">
        <v>1523</v>
      </c>
    </row>
    <row r="2068" spans="1:6" x14ac:dyDescent="0.2">
      <c r="A2068" s="14" t="s">
        <v>3105</v>
      </c>
      <c r="B2068" s="14" t="s">
        <v>4746</v>
      </c>
      <c r="C2068" s="14" t="s">
        <v>2853</v>
      </c>
      <c r="D2068" s="11" t="s">
        <v>4020</v>
      </c>
      <c r="E2068" s="14" t="s">
        <v>4020</v>
      </c>
      <c r="F2068" s="4" t="s">
        <v>1523</v>
      </c>
    </row>
    <row r="2069" spans="1:6" x14ac:dyDescent="0.2">
      <c r="A2069" s="14" t="s">
        <v>3106</v>
      </c>
      <c r="B2069" s="14" t="s">
        <v>1522</v>
      </c>
      <c r="C2069" s="14" t="s">
        <v>832</v>
      </c>
      <c r="D2069" s="11" t="s">
        <v>4005</v>
      </c>
      <c r="E2069" s="14" t="s">
        <v>4005</v>
      </c>
      <c r="F2069" s="4" t="s">
        <v>1523</v>
      </c>
    </row>
    <row r="2070" spans="1:6" x14ac:dyDescent="0.2">
      <c r="A2070" s="14" t="s">
        <v>3107</v>
      </c>
      <c r="B2070" s="14" t="s">
        <v>4746</v>
      </c>
      <c r="C2070" s="14" t="s">
        <v>2853</v>
      </c>
      <c r="D2070" s="11" t="s">
        <v>4021</v>
      </c>
      <c r="E2070" s="14" t="s">
        <v>4021</v>
      </c>
      <c r="F2070" s="4" t="s">
        <v>1523</v>
      </c>
    </row>
    <row r="2071" spans="1:6" x14ac:dyDescent="0.2">
      <c r="A2071" s="14" t="s">
        <v>3048</v>
      </c>
      <c r="B2071" s="14" t="s">
        <v>1522</v>
      </c>
      <c r="C2071" s="14" t="s">
        <v>714</v>
      </c>
      <c r="D2071" s="11" t="s">
        <v>336</v>
      </c>
      <c r="E2071" s="14" t="s">
        <v>336</v>
      </c>
      <c r="F2071" s="4" t="s">
        <v>1523</v>
      </c>
    </row>
    <row r="2072" spans="1:6" x14ac:dyDescent="0.2">
      <c r="A2072" s="14" t="s">
        <v>3049</v>
      </c>
      <c r="B2072" s="14" t="s">
        <v>1522</v>
      </c>
      <c r="C2072" s="14" t="s">
        <v>715</v>
      </c>
      <c r="D2072" s="11" t="s">
        <v>336</v>
      </c>
      <c r="E2072" s="14" t="s">
        <v>336</v>
      </c>
      <c r="F2072" s="4" t="s">
        <v>1523</v>
      </c>
    </row>
    <row r="2073" spans="1:6" x14ac:dyDescent="0.2">
      <c r="A2073" s="14" t="s">
        <v>3050</v>
      </c>
      <c r="B2073" s="14" t="s">
        <v>1522</v>
      </c>
      <c r="C2073" s="14" t="s">
        <v>716</v>
      </c>
      <c r="D2073" s="11" t="s">
        <v>337</v>
      </c>
      <c r="E2073" s="14" t="s">
        <v>337</v>
      </c>
      <c r="F2073" s="4" t="s">
        <v>1523</v>
      </c>
    </row>
    <row r="2074" spans="1:6" x14ac:dyDescent="0.2">
      <c r="A2074" s="14" t="s">
        <v>3051</v>
      </c>
      <c r="B2074" s="14" t="s">
        <v>1522</v>
      </c>
      <c r="C2074" s="14" t="s">
        <v>717</v>
      </c>
      <c r="D2074" s="11" t="s">
        <v>337</v>
      </c>
      <c r="E2074" s="14" t="s">
        <v>337</v>
      </c>
      <c r="F2074" s="4" t="s">
        <v>1523</v>
      </c>
    </row>
    <row r="2075" spans="1:6" x14ac:dyDescent="0.2">
      <c r="A2075" s="14" t="s">
        <v>3052</v>
      </c>
      <c r="B2075" s="14" t="s">
        <v>1522</v>
      </c>
      <c r="C2075" s="14" t="s">
        <v>718</v>
      </c>
      <c r="D2075" s="11" t="s">
        <v>338</v>
      </c>
      <c r="E2075" s="14" t="s">
        <v>338</v>
      </c>
      <c r="F2075" s="4" t="s">
        <v>1523</v>
      </c>
    </row>
    <row r="2076" spans="1:6" x14ac:dyDescent="0.2">
      <c r="A2076" s="14" t="s">
        <v>3053</v>
      </c>
      <c r="B2076" s="14" t="s">
        <v>1522</v>
      </c>
      <c r="C2076" s="14" t="s">
        <v>719</v>
      </c>
      <c r="D2076" s="11" t="s">
        <v>339</v>
      </c>
      <c r="E2076" s="14" t="s">
        <v>339</v>
      </c>
      <c r="F2076" s="4" t="s">
        <v>1523</v>
      </c>
    </row>
    <row r="2077" spans="1:6" x14ac:dyDescent="0.2">
      <c r="A2077" s="14" t="s">
        <v>3054</v>
      </c>
      <c r="B2077" s="14" t="s">
        <v>1522</v>
      </c>
      <c r="C2077" s="14" t="s">
        <v>720</v>
      </c>
      <c r="D2077" s="11" t="s">
        <v>340</v>
      </c>
      <c r="E2077" s="14" t="s">
        <v>340</v>
      </c>
      <c r="F2077" s="4" t="s">
        <v>1523</v>
      </c>
    </row>
    <row r="2078" spans="1:6" x14ac:dyDescent="0.2">
      <c r="A2078" s="14" t="s">
        <v>3055</v>
      </c>
      <c r="B2078" s="14" t="s">
        <v>1522</v>
      </c>
      <c r="C2078" s="14" t="s">
        <v>721</v>
      </c>
      <c r="D2078" s="11" t="s">
        <v>1161</v>
      </c>
      <c r="E2078" s="14" t="s">
        <v>1161</v>
      </c>
      <c r="F2078" s="4" t="s">
        <v>1523</v>
      </c>
    </row>
    <row r="2079" spans="1:6" x14ac:dyDescent="0.2">
      <c r="A2079" s="14" t="s">
        <v>3080</v>
      </c>
      <c r="B2079" s="14" t="s">
        <v>1522</v>
      </c>
      <c r="C2079" s="14" t="s">
        <v>803</v>
      </c>
      <c r="D2079" s="11" t="s">
        <v>3996</v>
      </c>
      <c r="E2079" s="14" t="s">
        <v>3996</v>
      </c>
      <c r="F2079" s="4" t="s">
        <v>1523</v>
      </c>
    </row>
    <row r="2080" spans="1:6" x14ac:dyDescent="0.2">
      <c r="A2080" s="14" t="s">
        <v>3081</v>
      </c>
      <c r="B2080" s="14" t="s">
        <v>1522</v>
      </c>
      <c r="C2080" s="14" t="s">
        <v>804</v>
      </c>
      <c r="D2080" s="11" t="s">
        <v>3997</v>
      </c>
      <c r="E2080" s="14" t="s">
        <v>3997</v>
      </c>
      <c r="F2080" s="4" t="s">
        <v>1523</v>
      </c>
    </row>
    <row r="2081" spans="1:6" x14ac:dyDescent="0.2">
      <c r="A2081" s="14" t="s">
        <v>3082</v>
      </c>
      <c r="B2081" s="14" t="s">
        <v>1522</v>
      </c>
      <c r="C2081" s="14" t="s">
        <v>805</v>
      </c>
      <c r="D2081" s="11" t="s">
        <v>15</v>
      </c>
      <c r="E2081" s="14" t="s">
        <v>15</v>
      </c>
      <c r="F2081" s="4" t="s">
        <v>1523</v>
      </c>
    </row>
    <row r="2082" spans="1:6" x14ac:dyDescent="0.2">
      <c r="A2082" s="14" t="s">
        <v>3056</v>
      </c>
      <c r="B2082" s="14" t="s">
        <v>1522</v>
      </c>
      <c r="C2082" s="14" t="s">
        <v>722</v>
      </c>
      <c r="D2082" s="11" t="s">
        <v>341</v>
      </c>
      <c r="E2082" s="14" t="s">
        <v>341</v>
      </c>
      <c r="F2082" s="4" t="s">
        <v>1523</v>
      </c>
    </row>
    <row r="2083" spans="1:6" x14ac:dyDescent="0.2">
      <c r="A2083" s="14" t="s">
        <v>3057</v>
      </c>
      <c r="B2083" s="14" t="s">
        <v>1522</v>
      </c>
      <c r="C2083" s="14" t="s">
        <v>723</v>
      </c>
      <c r="D2083" s="11" t="s">
        <v>342</v>
      </c>
      <c r="E2083" s="14" t="s">
        <v>342</v>
      </c>
      <c r="F2083" s="4" t="s">
        <v>1523</v>
      </c>
    </row>
    <row r="2084" spans="1:6" x14ac:dyDescent="0.2">
      <c r="A2084" s="14" t="s">
        <v>3058</v>
      </c>
      <c r="B2084" s="14" t="s">
        <v>1522</v>
      </c>
      <c r="C2084" s="14" t="s">
        <v>724</v>
      </c>
      <c r="D2084" s="11" t="s">
        <v>341</v>
      </c>
      <c r="E2084" s="14" t="s">
        <v>341</v>
      </c>
      <c r="F2084" s="4" t="s">
        <v>1523</v>
      </c>
    </row>
    <row r="2085" spans="1:6" x14ac:dyDescent="0.2">
      <c r="A2085" s="14" t="s">
        <v>3059</v>
      </c>
      <c r="B2085" s="14" t="s">
        <v>1522</v>
      </c>
      <c r="C2085" s="14" t="s">
        <v>725</v>
      </c>
      <c r="D2085" s="11" t="s">
        <v>3943</v>
      </c>
      <c r="E2085" s="14" t="s">
        <v>3943</v>
      </c>
      <c r="F2085" s="4" t="s">
        <v>1523</v>
      </c>
    </row>
    <row r="2086" spans="1:6" x14ac:dyDescent="0.2">
      <c r="A2086" s="14" t="s">
        <v>3060</v>
      </c>
      <c r="B2086" s="14" t="s">
        <v>1522</v>
      </c>
      <c r="C2086" s="14" t="s">
        <v>726</v>
      </c>
      <c r="D2086" s="11" t="s">
        <v>3944</v>
      </c>
      <c r="E2086" s="14" t="s">
        <v>3944</v>
      </c>
      <c r="F2086" s="4" t="s">
        <v>1523</v>
      </c>
    </row>
    <row r="2087" spans="1:6" x14ac:dyDescent="0.2">
      <c r="A2087" s="14" t="s">
        <v>3061</v>
      </c>
      <c r="B2087" s="14" t="s">
        <v>1522</v>
      </c>
      <c r="C2087" s="14" t="s">
        <v>727</v>
      </c>
      <c r="D2087" s="11" t="s">
        <v>3945</v>
      </c>
      <c r="E2087" s="14" t="s">
        <v>3945</v>
      </c>
      <c r="F2087" s="4" t="s">
        <v>1523</v>
      </c>
    </row>
    <row r="2088" spans="1:6" x14ac:dyDescent="0.2">
      <c r="A2088" s="14" t="s">
        <v>3062</v>
      </c>
      <c r="B2088" s="14" t="s">
        <v>1522</v>
      </c>
      <c r="C2088" s="14" t="s">
        <v>728</v>
      </c>
      <c r="D2088" s="11" t="s">
        <v>3946</v>
      </c>
      <c r="E2088" s="14" t="s">
        <v>3946</v>
      </c>
      <c r="F2088" s="4" t="s">
        <v>1523</v>
      </c>
    </row>
    <row r="2089" spans="1:6" x14ac:dyDescent="0.2">
      <c r="A2089" s="14" t="s">
        <v>3063</v>
      </c>
      <c r="B2089" s="14" t="s">
        <v>1522</v>
      </c>
      <c r="C2089" s="14" t="s">
        <v>729</v>
      </c>
      <c r="D2089" s="11" t="s">
        <v>3947</v>
      </c>
      <c r="E2089" s="14" t="s">
        <v>3947</v>
      </c>
      <c r="F2089" s="4" t="s">
        <v>1523</v>
      </c>
    </row>
    <row r="2090" spans="1:6" x14ac:dyDescent="0.2">
      <c r="A2090" s="14" t="s">
        <v>3064</v>
      </c>
      <c r="B2090" s="14" t="s">
        <v>1522</v>
      </c>
      <c r="C2090" s="14" t="s">
        <v>730</v>
      </c>
      <c r="D2090" s="11" t="s">
        <v>1165</v>
      </c>
      <c r="E2090" s="14" t="s">
        <v>1165</v>
      </c>
      <c r="F2090" s="4" t="s">
        <v>1523</v>
      </c>
    </row>
    <row r="2091" spans="1:6" x14ac:dyDescent="0.2">
      <c r="A2091" s="14" t="s">
        <v>3065</v>
      </c>
      <c r="B2091" s="14" t="s">
        <v>1522</v>
      </c>
      <c r="C2091" s="14" t="s">
        <v>731</v>
      </c>
      <c r="D2091" s="11" t="s">
        <v>1165</v>
      </c>
      <c r="E2091" s="14" t="s">
        <v>1165</v>
      </c>
      <c r="F2091" s="4" t="s">
        <v>1523</v>
      </c>
    </row>
    <row r="2092" spans="1:6" x14ac:dyDescent="0.2">
      <c r="A2092" s="14" t="s">
        <v>3066</v>
      </c>
      <c r="B2092" s="14" t="s">
        <v>1522</v>
      </c>
      <c r="C2092" s="14" t="s">
        <v>732</v>
      </c>
      <c r="D2092" s="11" t="s">
        <v>3948</v>
      </c>
      <c r="E2092" s="14" t="s">
        <v>3948</v>
      </c>
      <c r="F2092" s="4" t="s">
        <v>1523</v>
      </c>
    </row>
    <row r="2093" spans="1:6" x14ac:dyDescent="0.2">
      <c r="A2093" s="14" t="s">
        <v>3067</v>
      </c>
      <c r="B2093" s="14" t="s">
        <v>1522</v>
      </c>
      <c r="C2093" s="14" t="s">
        <v>733</v>
      </c>
      <c r="D2093" s="11" t="s">
        <v>3948</v>
      </c>
      <c r="E2093" s="14" t="s">
        <v>3948</v>
      </c>
      <c r="F2093" s="4" t="s">
        <v>1523</v>
      </c>
    </row>
    <row r="2094" spans="1:6" x14ac:dyDescent="0.2">
      <c r="A2094" s="14" t="s">
        <v>3068</v>
      </c>
      <c r="B2094" s="14" t="s">
        <v>1522</v>
      </c>
      <c r="C2094" s="14" t="s">
        <v>734</v>
      </c>
      <c r="D2094" s="11" t="s">
        <v>3948</v>
      </c>
      <c r="E2094" s="14" t="s">
        <v>3948</v>
      </c>
      <c r="F2094" s="4" t="s">
        <v>1523</v>
      </c>
    </row>
    <row r="2095" spans="1:6" x14ac:dyDescent="0.2">
      <c r="A2095" s="14" t="s">
        <v>3069</v>
      </c>
      <c r="B2095" s="14" t="s">
        <v>1522</v>
      </c>
      <c r="C2095" s="14" t="s">
        <v>735</v>
      </c>
      <c r="D2095" s="11" t="s">
        <v>1165</v>
      </c>
      <c r="E2095" s="14" t="s">
        <v>1165</v>
      </c>
      <c r="F2095" s="4" t="s">
        <v>1523</v>
      </c>
    </row>
    <row r="2096" spans="1:6" x14ac:dyDescent="0.2">
      <c r="A2096" s="14" t="s">
        <v>3070</v>
      </c>
      <c r="B2096" s="14" t="s">
        <v>1522</v>
      </c>
      <c r="C2096" s="14" t="s">
        <v>736</v>
      </c>
      <c r="D2096" s="11" t="s">
        <v>3949</v>
      </c>
      <c r="E2096" s="14" t="s">
        <v>3949</v>
      </c>
      <c r="F2096" s="4" t="s">
        <v>1523</v>
      </c>
    </row>
    <row r="2097" spans="1:8" x14ac:dyDescent="0.2">
      <c r="A2097" s="14" t="s">
        <v>3071</v>
      </c>
      <c r="B2097" s="14" t="s">
        <v>1522</v>
      </c>
      <c r="C2097" s="14" t="s">
        <v>779</v>
      </c>
      <c r="D2097" s="11" t="s">
        <v>3980</v>
      </c>
      <c r="E2097" s="14" t="s">
        <v>3980</v>
      </c>
      <c r="F2097" s="4" t="s">
        <v>1523</v>
      </c>
    </row>
    <row r="2098" spans="1:8" x14ac:dyDescent="0.2">
      <c r="A2098" s="14" t="s">
        <v>3072</v>
      </c>
      <c r="B2098" s="14" t="s">
        <v>1522</v>
      </c>
      <c r="C2098" s="14" t="s">
        <v>780</v>
      </c>
      <c r="D2098" s="11" t="s">
        <v>3980</v>
      </c>
      <c r="E2098" s="14" t="s">
        <v>3980</v>
      </c>
      <c r="F2098" s="4" t="s">
        <v>1523</v>
      </c>
    </row>
    <row r="2099" spans="1:8" x14ac:dyDescent="0.2">
      <c r="A2099" s="14" t="s">
        <v>3073</v>
      </c>
      <c r="B2099" s="14" t="s">
        <v>1522</v>
      </c>
      <c r="C2099" s="14" t="s">
        <v>781</v>
      </c>
      <c r="D2099" s="11" t="s">
        <v>3981</v>
      </c>
      <c r="E2099" s="14" t="s">
        <v>3981</v>
      </c>
      <c r="F2099" s="4" t="s">
        <v>1523</v>
      </c>
    </row>
    <row r="2100" spans="1:8" x14ac:dyDescent="0.2">
      <c r="A2100" s="14" t="s">
        <v>3074</v>
      </c>
      <c r="B2100" s="14" t="s">
        <v>1522</v>
      </c>
      <c r="C2100" s="14" t="s">
        <v>782</v>
      </c>
      <c r="D2100" s="11" t="s">
        <v>3982</v>
      </c>
      <c r="E2100" s="14" t="s">
        <v>3982</v>
      </c>
      <c r="F2100" s="4" t="s">
        <v>1523</v>
      </c>
    </row>
    <row r="2101" spans="1:8" x14ac:dyDescent="0.2">
      <c r="A2101" s="14" t="s">
        <v>3075</v>
      </c>
      <c r="B2101" s="14" t="s">
        <v>1522</v>
      </c>
      <c r="C2101" s="14" t="s">
        <v>783</v>
      </c>
      <c r="D2101" s="11" t="s">
        <v>3982</v>
      </c>
      <c r="E2101" s="14" t="s">
        <v>3982</v>
      </c>
      <c r="F2101" s="4" t="s">
        <v>1523</v>
      </c>
    </row>
    <row r="2102" spans="1:8" x14ac:dyDescent="0.2">
      <c r="A2102" s="14" t="s">
        <v>3076</v>
      </c>
      <c r="B2102" s="14" t="s">
        <v>1522</v>
      </c>
      <c r="C2102" s="14" t="s">
        <v>784</v>
      </c>
      <c r="D2102" s="11" t="s">
        <v>3982</v>
      </c>
      <c r="E2102" s="14" t="s">
        <v>3982</v>
      </c>
      <c r="F2102" s="4" t="s">
        <v>1523</v>
      </c>
    </row>
    <row r="2103" spans="1:8" x14ac:dyDescent="0.2">
      <c r="A2103" s="14" t="s">
        <v>3077</v>
      </c>
      <c r="B2103" s="14" t="s">
        <v>1522</v>
      </c>
      <c r="C2103" s="14" t="s">
        <v>785</v>
      </c>
      <c r="D2103" s="11" t="s">
        <v>3983</v>
      </c>
      <c r="E2103" s="14" t="s">
        <v>3983</v>
      </c>
      <c r="F2103" s="4" t="s">
        <v>1523</v>
      </c>
    </row>
    <row r="2104" spans="1:8" x14ac:dyDescent="0.2">
      <c r="A2104" s="14" t="s">
        <v>3078</v>
      </c>
      <c r="B2104" s="14" t="s">
        <v>1522</v>
      </c>
      <c r="C2104" s="14" t="s">
        <v>786</v>
      </c>
      <c r="D2104" s="11" t="s">
        <v>3983</v>
      </c>
      <c r="E2104" s="14" t="s">
        <v>3983</v>
      </c>
      <c r="F2104" s="4" t="s">
        <v>1523</v>
      </c>
    </row>
    <row r="2105" spans="1:8" x14ac:dyDescent="0.2">
      <c r="A2105" s="14" t="s">
        <v>3079</v>
      </c>
      <c r="B2105" s="14" t="s">
        <v>1522</v>
      </c>
      <c r="C2105" s="14" t="s">
        <v>787</v>
      </c>
      <c r="D2105" s="11" t="s">
        <v>3983</v>
      </c>
      <c r="E2105" s="14" t="s">
        <v>3983</v>
      </c>
      <c r="F2105" s="4" t="s">
        <v>1523</v>
      </c>
    </row>
    <row r="2106" spans="1:8" x14ac:dyDescent="0.2">
      <c r="A2106" s="14" t="s">
        <v>3327</v>
      </c>
      <c r="B2106" s="14" t="s">
        <v>1522</v>
      </c>
      <c r="C2106" s="14" t="s">
        <v>2380</v>
      </c>
      <c r="D2106" s="11" t="s">
        <v>3764</v>
      </c>
      <c r="E2106" s="14" t="s">
        <v>4593</v>
      </c>
      <c r="F2106" s="4" t="s">
        <v>1523</v>
      </c>
      <c r="H2106" s="6"/>
    </row>
    <row r="2107" spans="1:8" x14ac:dyDescent="0.2">
      <c r="A2107" s="14" t="s">
        <v>3328</v>
      </c>
      <c r="B2107" s="14" t="s">
        <v>1522</v>
      </c>
      <c r="C2107" s="14" t="s">
        <v>2381</v>
      </c>
      <c r="D2107" s="11" t="s">
        <v>3764</v>
      </c>
      <c r="E2107" s="14" t="s">
        <v>4593</v>
      </c>
      <c r="F2107" s="4" t="s">
        <v>1523</v>
      </c>
      <c r="H2107" s="6"/>
    </row>
    <row r="2108" spans="1:8" x14ac:dyDescent="0.2">
      <c r="A2108" s="14" t="s">
        <v>3329</v>
      </c>
      <c r="B2108" s="14" t="s">
        <v>1522</v>
      </c>
      <c r="C2108" s="14" t="s">
        <v>2382</v>
      </c>
      <c r="D2108" s="11" t="s">
        <v>3765</v>
      </c>
      <c r="E2108" s="14" t="s">
        <v>4594</v>
      </c>
      <c r="F2108" s="4" t="s">
        <v>1523</v>
      </c>
      <c r="H2108" s="6"/>
    </row>
    <row r="2109" spans="1:8" x14ac:dyDescent="0.2">
      <c r="A2109" s="14" t="s">
        <v>3330</v>
      </c>
      <c r="B2109" s="14" t="s">
        <v>1522</v>
      </c>
      <c r="C2109" s="14" t="s">
        <v>2383</v>
      </c>
      <c r="D2109" s="11" t="s">
        <v>3765</v>
      </c>
      <c r="E2109" s="14" t="s">
        <v>4594</v>
      </c>
      <c r="F2109" s="4" t="s">
        <v>1523</v>
      </c>
      <c r="H2109" s="6"/>
    </row>
    <row r="2110" spans="1:8" x14ac:dyDescent="0.2">
      <c r="A2110" s="14" t="s">
        <v>3331</v>
      </c>
      <c r="B2110" s="14" t="s">
        <v>1522</v>
      </c>
      <c r="C2110" s="14" t="s">
        <v>2384</v>
      </c>
      <c r="D2110" s="11" t="s">
        <v>3766</v>
      </c>
      <c r="E2110" s="14" t="s">
        <v>90</v>
      </c>
      <c r="F2110" s="4" t="s">
        <v>1523</v>
      </c>
      <c r="H2110" s="6"/>
    </row>
    <row r="2111" spans="1:8" x14ac:dyDescent="0.2">
      <c r="A2111" s="14" t="s">
        <v>3332</v>
      </c>
      <c r="B2111" s="14" t="s">
        <v>1522</v>
      </c>
      <c r="C2111" s="14" t="s">
        <v>2385</v>
      </c>
      <c r="D2111" s="11" t="s">
        <v>3766</v>
      </c>
      <c r="E2111" s="14" t="s">
        <v>90</v>
      </c>
      <c r="F2111" s="4" t="s">
        <v>1523</v>
      </c>
      <c r="H2111" s="6"/>
    </row>
    <row r="2112" spans="1:8" x14ac:dyDescent="0.2">
      <c r="A2112" s="14" t="s">
        <v>3333</v>
      </c>
      <c r="B2112" s="14" t="s">
        <v>1522</v>
      </c>
      <c r="C2112" s="14" t="s">
        <v>2386</v>
      </c>
      <c r="D2112" s="11" t="s">
        <v>3767</v>
      </c>
      <c r="E2112" s="14" t="s">
        <v>92</v>
      </c>
      <c r="F2112" s="4" t="s">
        <v>1523</v>
      </c>
      <c r="H2112" s="6"/>
    </row>
    <row r="2113" spans="1:8" x14ac:dyDescent="0.2">
      <c r="A2113" s="14" t="s">
        <v>3334</v>
      </c>
      <c r="B2113" s="14" t="s">
        <v>1522</v>
      </c>
      <c r="C2113" s="14" t="s">
        <v>2387</v>
      </c>
      <c r="D2113" s="11" t="s">
        <v>3767</v>
      </c>
      <c r="E2113" s="14" t="s">
        <v>92</v>
      </c>
      <c r="F2113" s="4" t="s">
        <v>1523</v>
      </c>
      <c r="H2113" s="6"/>
    </row>
    <row r="2114" spans="1:8" x14ac:dyDescent="0.2">
      <c r="A2114" s="14" t="s">
        <v>3327</v>
      </c>
      <c r="B2114" s="14" t="s">
        <v>1522</v>
      </c>
      <c r="C2114" s="14" t="s">
        <v>2388</v>
      </c>
      <c r="D2114" s="11" t="s">
        <v>3764</v>
      </c>
      <c r="E2114" s="14" t="s">
        <v>4595</v>
      </c>
      <c r="F2114" s="4" t="s">
        <v>1523</v>
      </c>
      <c r="H2114" s="6"/>
    </row>
    <row r="2115" spans="1:8" x14ac:dyDescent="0.2">
      <c r="A2115" s="14" t="s">
        <v>3335</v>
      </c>
      <c r="B2115" s="14" t="s">
        <v>1522</v>
      </c>
      <c r="C2115" s="14" t="s">
        <v>2389</v>
      </c>
      <c r="D2115" s="11" t="s">
        <v>3764</v>
      </c>
      <c r="E2115" s="14" t="s">
        <v>4596</v>
      </c>
      <c r="F2115" s="4" t="s">
        <v>1523</v>
      </c>
      <c r="H2115" s="6"/>
    </row>
    <row r="2116" spans="1:8" x14ac:dyDescent="0.2">
      <c r="A2116" s="14" t="s">
        <v>3328</v>
      </c>
      <c r="B2116" s="14" t="s">
        <v>1522</v>
      </c>
      <c r="C2116" s="14" t="s">
        <v>2390</v>
      </c>
      <c r="D2116" s="11" t="s">
        <v>3764</v>
      </c>
      <c r="E2116" s="14" t="s">
        <v>4597</v>
      </c>
      <c r="F2116" s="4" t="s">
        <v>1523</v>
      </c>
      <c r="H2116" s="6"/>
    </row>
    <row r="2117" spans="1:8" x14ac:dyDescent="0.2">
      <c r="A2117" s="14" t="s">
        <v>3329</v>
      </c>
      <c r="B2117" s="14" t="s">
        <v>1522</v>
      </c>
      <c r="C2117" s="14" t="s">
        <v>2391</v>
      </c>
      <c r="D2117" s="11" t="s">
        <v>3765</v>
      </c>
      <c r="E2117" s="14" t="s">
        <v>4598</v>
      </c>
      <c r="F2117" s="4" t="s">
        <v>1523</v>
      </c>
      <c r="H2117" s="6"/>
    </row>
    <row r="2118" spans="1:8" x14ac:dyDescent="0.2">
      <c r="A2118" s="14" t="s">
        <v>3330</v>
      </c>
      <c r="B2118" s="14" t="s">
        <v>1522</v>
      </c>
      <c r="C2118" s="14" t="s">
        <v>2392</v>
      </c>
      <c r="D2118" s="11" t="s">
        <v>3765</v>
      </c>
      <c r="E2118" s="14" t="s">
        <v>4599</v>
      </c>
      <c r="F2118" s="4" t="s">
        <v>1523</v>
      </c>
      <c r="H2118" s="6"/>
    </row>
    <row r="2119" spans="1:8" x14ac:dyDescent="0.2">
      <c r="A2119" s="14" t="s">
        <v>3327</v>
      </c>
      <c r="B2119" s="14" t="s">
        <v>1522</v>
      </c>
      <c r="C2119" s="14" t="s">
        <v>2393</v>
      </c>
      <c r="D2119" s="11" t="s">
        <v>3764</v>
      </c>
      <c r="E2119" s="14" t="s">
        <v>4600</v>
      </c>
      <c r="F2119" s="4" t="s">
        <v>1523</v>
      </c>
      <c r="H2119" s="6"/>
    </row>
    <row r="2120" spans="1:8" x14ac:dyDescent="0.2">
      <c r="A2120" s="14" t="s">
        <v>3335</v>
      </c>
      <c r="B2120" s="14" t="s">
        <v>1522</v>
      </c>
      <c r="C2120" s="14" t="s">
        <v>2394</v>
      </c>
      <c r="D2120" s="11" t="s">
        <v>3764</v>
      </c>
      <c r="E2120" s="14" t="s">
        <v>4600</v>
      </c>
      <c r="F2120" s="4" t="s">
        <v>1523</v>
      </c>
      <c r="H2120" s="6"/>
    </row>
    <row r="2121" spans="1:8" x14ac:dyDescent="0.2">
      <c r="A2121" s="14" t="s">
        <v>3328</v>
      </c>
      <c r="B2121" s="14" t="s">
        <v>1522</v>
      </c>
      <c r="C2121" s="14" t="s">
        <v>2395</v>
      </c>
      <c r="D2121" s="11" t="s">
        <v>3764</v>
      </c>
      <c r="E2121" s="14" t="s">
        <v>4601</v>
      </c>
      <c r="F2121" s="4" t="s">
        <v>1523</v>
      </c>
      <c r="H2121" s="6"/>
    </row>
    <row r="2122" spans="1:8" x14ac:dyDescent="0.2">
      <c r="A2122" s="14" t="s">
        <v>3329</v>
      </c>
      <c r="B2122" s="14" t="s">
        <v>1522</v>
      </c>
      <c r="C2122" s="14" t="s">
        <v>2396</v>
      </c>
      <c r="D2122" s="11" t="s">
        <v>3765</v>
      </c>
      <c r="E2122" s="14" t="s">
        <v>4602</v>
      </c>
      <c r="F2122" s="4" t="s">
        <v>1523</v>
      </c>
      <c r="H2122" s="6"/>
    </row>
    <row r="2123" spans="1:8" x14ac:dyDescent="0.2">
      <c r="A2123" s="14" t="s">
        <v>3336</v>
      </c>
      <c r="B2123" s="14" t="s">
        <v>1522</v>
      </c>
      <c r="C2123" s="14" t="s">
        <v>2397</v>
      </c>
      <c r="D2123" s="11" t="s">
        <v>3765</v>
      </c>
      <c r="E2123" s="14" t="s">
        <v>4602</v>
      </c>
      <c r="F2123" s="4" t="s">
        <v>1523</v>
      </c>
      <c r="H2123" s="6"/>
    </row>
    <row r="2124" spans="1:8" x14ac:dyDescent="0.2">
      <c r="A2124" s="14" t="s">
        <v>3330</v>
      </c>
      <c r="B2124" s="14" t="s">
        <v>1522</v>
      </c>
      <c r="C2124" s="14" t="s">
        <v>2398</v>
      </c>
      <c r="D2124" s="11" t="s">
        <v>3765</v>
      </c>
      <c r="E2124" s="14" t="s">
        <v>4603</v>
      </c>
      <c r="F2124" s="4" t="s">
        <v>1523</v>
      </c>
      <c r="H2124" s="6"/>
    </row>
    <row r="2125" spans="1:8" x14ac:dyDescent="0.2">
      <c r="A2125" s="14" t="s">
        <v>3333</v>
      </c>
      <c r="B2125" s="14" t="s">
        <v>1522</v>
      </c>
      <c r="C2125" s="14" t="s">
        <v>2399</v>
      </c>
      <c r="D2125" s="11" t="s">
        <v>3767</v>
      </c>
      <c r="E2125" s="14" t="s">
        <v>4604</v>
      </c>
      <c r="F2125" s="4" t="s">
        <v>1523</v>
      </c>
      <c r="H2125" s="6"/>
    </row>
    <row r="2126" spans="1:8" x14ac:dyDescent="0.2">
      <c r="A2126" s="14" t="s">
        <v>3337</v>
      </c>
      <c r="B2126" s="14" t="s">
        <v>1522</v>
      </c>
      <c r="C2126" s="14" t="s">
        <v>2400</v>
      </c>
      <c r="D2126" s="11" t="s">
        <v>3767</v>
      </c>
      <c r="E2126" s="14" t="s">
        <v>4604</v>
      </c>
      <c r="F2126" s="4" t="s">
        <v>1523</v>
      </c>
      <c r="H2126" s="6"/>
    </row>
    <row r="2127" spans="1:8" x14ac:dyDescent="0.2">
      <c r="A2127" s="14" t="s">
        <v>3334</v>
      </c>
      <c r="B2127" s="14" t="s">
        <v>1522</v>
      </c>
      <c r="C2127" s="14" t="s">
        <v>2401</v>
      </c>
      <c r="D2127" s="11" t="s">
        <v>3767</v>
      </c>
      <c r="E2127" s="14" t="s">
        <v>4605</v>
      </c>
      <c r="F2127" s="4" t="s">
        <v>1523</v>
      </c>
      <c r="H2127" s="6"/>
    </row>
    <row r="2128" spans="1:8" x14ac:dyDescent="0.2">
      <c r="A2128" s="14" t="s">
        <v>3108</v>
      </c>
      <c r="B2128" s="14" t="s">
        <v>1522</v>
      </c>
      <c r="C2128" s="14" t="s">
        <v>911</v>
      </c>
      <c r="D2128" s="11" t="s">
        <v>3698</v>
      </c>
      <c r="E2128" s="14" t="s">
        <v>4084</v>
      </c>
      <c r="F2128" s="4" t="s">
        <v>1523</v>
      </c>
      <c r="H2128" s="6"/>
    </row>
    <row r="2129" spans="1:8" x14ac:dyDescent="0.2">
      <c r="A2129" s="14" t="s">
        <v>3109</v>
      </c>
      <c r="B2129" s="14" t="s">
        <v>1522</v>
      </c>
      <c r="C2129" s="14" t="s">
        <v>912</v>
      </c>
      <c r="D2129" s="11" t="s">
        <v>3699</v>
      </c>
      <c r="E2129" s="14" t="s">
        <v>4085</v>
      </c>
      <c r="F2129" s="4" t="s">
        <v>1523</v>
      </c>
      <c r="H2129" s="6"/>
    </row>
    <row r="2130" spans="1:8" x14ac:dyDescent="0.2">
      <c r="A2130" s="14" t="s">
        <v>3110</v>
      </c>
      <c r="B2130" s="14" t="s">
        <v>1522</v>
      </c>
      <c r="C2130" s="14" t="s">
        <v>913</v>
      </c>
      <c r="D2130" s="11" t="s">
        <v>3700</v>
      </c>
      <c r="E2130" s="14" t="s">
        <v>4086</v>
      </c>
      <c r="F2130" s="4" t="s">
        <v>1523</v>
      </c>
      <c r="H2130" s="6"/>
    </row>
    <row r="2131" spans="1:8" x14ac:dyDescent="0.2">
      <c r="A2131" s="14" t="s">
        <v>3111</v>
      </c>
      <c r="B2131" s="14" t="s">
        <v>1522</v>
      </c>
      <c r="C2131" s="14" t="s">
        <v>914</v>
      </c>
      <c r="D2131" s="11" t="s">
        <v>3701</v>
      </c>
      <c r="E2131" s="14" t="s">
        <v>4087</v>
      </c>
      <c r="F2131" s="4" t="s">
        <v>1523</v>
      </c>
      <c r="H2131" s="6"/>
    </row>
    <row r="2132" spans="1:8" x14ac:dyDescent="0.2">
      <c r="A2132" s="14" t="s">
        <v>3112</v>
      </c>
      <c r="B2132" s="14" t="s">
        <v>1522</v>
      </c>
      <c r="C2132" s="14" t="s">
        <v>915</v>
      </c>
      <c r="D2132" s="11" t="s">
        <v>3702</v>
      </c>
      <c r="E2132" s="14" t="s">
        <v>4088</v>
      </c>
      <c r="F2132" s="4" t="s">
        <v>1523</v>
      </c>
      <c r="H2132" s="6"/>
    </row>
    <row r="2133" spans="1:8" x14ac:dyDescent="0.2">
      <c r="A2133" s="14" t="s">
        <v>3113</v>
      </c>
      <c r="B2133" s="14" t="s">
        <v>1522</v>
      </c>
      <c r="C2133" s="14" t="s">
        <v>916</v>
      </c>
      <c r="D2133" s="11" t="s">
        <v>3703</v>
      </c>
      <c r="E2133" s="14" t="s">
        <v>4089</v>
      </c>
      <c r="F2133" s="4" t="s">
        <v>1523</v>
      </c>
      <c r="H2133" s="6"/>
    </row>
    <row r="2134" spans="1:8" x14ac:dyDescent="0.2">
      <c r="A2134" s="14" t="s">
        <v>3114</v>
      </c>
      <c r="B2134" s="14" t="s">
        <v>1522</v>
      </c>
      <c r="C2134" s="14" t="s">
        <v>917</v>
      </c>
      <c r="D2134" s="11" t="s">
        <v>3704</v>
      </c>
      <c r="E2134" s="14" t="s">
        <v>4090</v>
      </c>
      <c r="F2134" s="4" t="s">
        <v>1523</v>
      </c>
      <c r="H2134" s="6"/>
    </row>
    <row r="2135" spans="1:8" x14ac:dyDescent="0.2">
      <c r="A2135" s="14" t="s">
        <v>3115</v>
      </c>
      <c r="B2135" s="14" t="s">
        <v>1522</v>
      </c>
      <c r="C2135" s="14" t="s">
        <v>918</v>
      </c>
      <c r="D2135" s="11" t="s">
        <v>3705</v>
      </c>
      <c r="E2135" s="14" t="s">
        <v>4091</v>
      </c>
      <c r="F2135" s="4" t="s">
        <v>1523</v>
      </c>
      <c r="H2135" s="6"/>
    </row>
    <row r="2136" spans="1:8" x14ac:dyDescent="0.2">
      <c r="A2136" s="14" t="s">
        <v>3116</v>
      </c>
      <c r="B2136" s="14" t="s">
        <v>1522</v>
      </c>
      <c r="C2136" s="14" t="s">
        <v>919</v>
      </c>
      <c r="D2136" s="11" t="s">
        <v>3706</v>
      </c>
      <c r="E2136" s="14" t="s">
        <v>4092</v>
      </c>
      <c r="F2136" s="4" t="s">
        <v>1523</v>
      </c>
      <c r="H2136" s="6"/>
    </row>
    <row r="2137" spans="1:8" x14ac:dyDescent="0.2">
      <c r="A2137" s="14" t="s">
        <v>3117</v>
      </c>
      <c r="B2137" s="14" t="s">
        <v>4746</v>
      </c>
      <c r="C2137" s="14" t="s">
        <v>2853</v>
      </c>
      <c r="D2137" s="11" t="s">
        <v>4093</v>
      </c>
      <c r="E2137" s="14" t="s">
        <v>4093</v>
      </c>
      <c r="F2137" s="4" t="s">
        <v>1523</v>
      </c>
      <c r="H2137" s="6"/>
    </row>
    <row r="2138" spans="1:8" x14ac:dyDescent="0.2">
      <c r="A2138" s="14" t="s">
        <v>3118</v>
      </c>
      <c r="B2138" s="14" t="s">
        <v>4746</v>
      </c>
      <c r="C2138" s="14" t="s">
        <v>2853</v>
      </c>
      <c r="D2138" s="11" t="s">
        <v>4094</v>
      </c>
      <c r="E2138" s="14" t="s">
        <v>4094</v>
      </c>
      <c r="F2138" s="4" t="s">
        <v>1523</v>
      </c>
      <c r="H2138" s="6"/>
    </row>
    <row r="2139" spans="1:8" x14ac:dyDescent="0.2">
      <c r="A2139" s="14" t="s">
        <v>3119</v>
      </c>
      <c r="B2139" s="14" t="s">
        <v>4746</v>
      </c>
      <c r="C2139" s="14" t="s">
        <v>2853</v>
      </c>
      <c r="D2139" s="11" t="s">
        <v>4096</v>
      </c>
      <c r="E2139" s="14" t="s">
        <v>4096</v>
      </c>
      <c r="F2139" s="4" t="s">
        <v>1523</v>
      </c>
      <c r="H2139" s="6"/>
    </row>
    <row r="2140" spans="1:8" x14ac:dyDescent="0.2">
      <c r="A2140" s="14" t="s">
        <v>3120</v>
      </c>
      <c r="B2140" s="14" t="s">
        <v>4746</v>
      </c>
      <c r="C2140" s="14" t="s">
        <v>2853</v>
      </c>
      <c r="D2140" s="11" t="s">
        <v>4097</v>
      </c>
      <c r="E2140" s="14" t="s">
        <v>4097</v>
      </c>
      <c r="F2140" s="4" t="s">
        <v>1523</v>
      </c>
      <c r="H2140" s="6"/>
    </row>
    <row r="2141" spans="1:8" x14ac:dyDescent="0.2">
      <c r="A2141" s="14" t="s">
        <v>3121</v>
      </c>
      <c r="B2141" s="14" t="s">
        <v>4746</v>
      </c>
      <c r="C2141" s="14" t="s">
        <v>2853</v>
      </c>
      <c r="D2141" s="11" t="s">
        <v>4098</v>
      </c>
      <c r="E2141" s="14" t="s">
        <v>4098</v>
      </c>
      <c r="F2141" s="4" t="s">
        <v>1523</v>
      </c>
      <c r="H2141" s="6"/>
    </row>
    <row r="2142" spans="1:8" x14ac:dyDescent="0.2">
      <c r="A2142" s="14" t="s">
        <v>3122</v>
      </c>
      <c r="B2142" s="14" t="s">
        <v>4746</v>
      </c>
      <c r="C2142" s="14" t="s">
        <v>2853</v>
      </c>
      <c r="D2142" s="11" t="s">
        <v>4100</v>
      </c>
      <c r="E2142" s="14" t="s">
        <v>4100</v>
      </c>
      <c r="F2142" s="4" t="s">
        <v>1523</v>
      </c>
      <c r="H2142" s="6"/>
    </row>
    <row r="2143" spans="1:8" x14ac:dyDescent="0.2">
      <c r="A2143" s="14" t="s">
        <v>3123</v>
      </c>
      <c r="B2143" s="14" t="s">
        <v>4746</v>
      </c>
      <c r="C2143" s="14" t="s">
        <v>2853</v>
      </c>
      <c r="D2143" s="11" t="s">
        <v>3707</v>
      </c>
      <c r="E2143" s="14" t="s">
        <v>4101</v>
      </c>
      <c r="F2143" s="4" t="s">
        <v>1523</v>
      </c>
      <c r="H2143" s="6"/>
    </row>
    <row r="2144" spans="1:8" x14ac:dyDescent="0.2">
      <c r="A2144" s="14" t="s">
        <v>3124</v>
      </c>
      <c r="B2144" s="14" t="s">
        <v>4746</v>
      </c>
      <c r="C2144" s="14" t="s">
        <v>2853</v>
      </c>
      <c r="D2144" s="11" t="s">
        <v>3708</v>
      </c>
      <c r="E2144" s="14" t="s">
        <v>4102</v>
      </c>
      <c r="F2144" s="4" t="s">
        <v>1523</v>
      </c>
      <c r="H2144" s="6"/>
    </row>
    <row r="2145" spans="1:8" x14ac:dyDescent="0.2">
      <c r="A2145" s="14" t="s">
        <v>3125</v>
      </c>
      <c r="B2145" s="14" t="s">
        <v>4746</v>
      </c>
      <c r="C2145" s="14" t="s">
        <v>2853</v>
      </c>
      <c r="D2145" s="11" t="s">
        <v>3709</v>
      </c>
      <c r="E2145" s="14" t="s">
        <v>4104</v>
      </c>
      <c r="F2145" s="4" t="s">
        <v>1523</v>
      </c>
      <c r="H2145" s="6"/>
    </row>
    <row r="2146" spans="1:8" x14ac:dyDescent="0.2">
      <c r="A2146" s="14" t="s">
        <v>3126</v>
      </c>
      <c r="B2146" s="14" t="s">
        <v>1522</v>
      </c>
      <c r="C2146" s="14" t="s">
        <v>932</v>
      </c>
      <c r="D2146" s="11" t="s">
        <v>3710</v>
      </c>
      <c r="E2146" s="14" t="s">
        <v>4105</v>
      </c>
      <c r="F2146" s="4" t="s">
        <v>1523</v>
      </c>
      <c r="H2146" s="6"/>
    </row>
    <row r="2147" spans="1:8" x14ac:dyDescent="0.2">
      <c r="A2147" s="14" t="s">
        <v>3127</v>
      </c>
      <c r="B2147" s="14" t="s">
        <v>1522</v>
      </c>
      <c r="C2147" s="14" t="s">
        <v>933</v>
      </c>
      <c r="D2147" s="11" t="s">
        <v>3711</v>
      </c>
      <c r="E2147" s="14" t="s">
        <v>4106</v>
      </c>
      <c r="F2147" s="4" t="s">
        <v>1523</v>
      </c>
      <c r="H2147" s="6"/>
    </row>
    <row r="2148" spans="1:8" x14ac:dyDescent="0.2">
      <c r="A2148" s="14" t="s">
        <v>3128</v>
      </c>
      <c r="B2148" s="14" t="s">
        <v>4746</v>
      </c>
      <c r="C2148" s="14" t="s">
        <v>2853</v>
      </c>
      <c r="D2148" s="11" t="s">
        <v>4107</v>
      </c>
      <c r="E2148" s="14" t="s">
        <v>4107</v>
      </c>
      <c r="F2148" s="4" t="s">
        <v>1523</v>
      </c>
      <c r="H2148" s="6"/>
    </row>
    <row r="2149" spans="1:8" x14ac:dyDescent="0.2">
      <c r="A2149" s="14" t="s">
        <v>3129</v>
      </c>
      <c r="B2149" s="14" t="s">
        <v>4746</v>
      </c>
      <c r="C2149" s="14" t="s">
        <v>2853</v>
      </c>
      <c r="D2149" s="11" t="s">
        <v>4110</v>
      </c>
      <c r="E2149" s="14" t="s">
        <v>4110</v>
      </c>
      <c r="F2149" s="4" t="s">
        <v>1523</v>
      </c>
      <c r="H2149" s="6"/>
    </row>
    <row r="2150" spans="1:8" x14ac:dyDescent="0.2">
      <c r="A2150" s="14" t="s">
        <v>3130</v>
      </c>
      <c r="B2150" s="14" t="s">
        <v>1522</v>
      </c>
      <c r="C2150" s="14" t="s">
        <v>938</v>
      </c>
      <c r="D2150" s="11" t="s">
        <v>3712</v>
      </c>
      <c r="E2150" s="14" t="s">
        <v>4111</v>
      </c>
      <c r="F2150" s="4" t="s">
        <v>1523</v>
      </c>
      <c r="H2150" s="6"/>
    </row>
    <row r="2151" spans="1:8" x14ac:dyDescent="0.2">
      <c r="A2151" s="14" t="s">
        <v>3131</v>
      </c>
      <c r="B2151" s="14" t="s">
        <v>1522</v>
      </c>
      <c r="C2151" s="14" t="s">
        <v>939</v>
      </c>
      <c r="D2151" s="11" t="s">
        <v>3713</v>
      </c>
      <c r="E2151" s="14" t="s">
        <v>4112</v>
      </c>
      <c r="F2151" s="4" t="s">
        <v>1523</v>
      </c>
      <c r="H2151" s="6"/>
    </row>
    <row r="2152" spans="1:8" x14ac:dyDescent="0.2">
      <c r="A2152" s="14" t="s">
        <v>3132</v>
      </c>
      <c r="B2152" s="14" t="s">
        <v>4746</v>
      </c>
      <c r="C2152" s="14" t="s">
        <v>2853</v>
      </c>
      <c r="D2152" s="11" t="s">
        <v>4113</v>
      </c>
      <c r="E2152" s="14" t="s">
        <v>4113</v>
      </c>
      <c r="F2152" s="4" t="s">
        <v>1523</v>
      </c>
      <c r="H2152" s="5"/>
    </row>
    <row r="2153" spans="1:8" x14ac:dyDescent="0.2">
      <c r="A2153" s="14" t="s">
        <v>3133</v>
      </c>
      <c r="B2153" s="14" t="s">
        <v>4746</v>
      </c>
      <c r="C2153" s="14" t="s">
        <v>2853</v>
      </c>
      <c r="D2153" s="11" t="s">
        <v>4114</v>
      </c>
      <c r="E2153" s="14" t="s">
        <v>4114</v>
      </c>
      <c r="F2153" s="4" t="s">
        <v>1523</v>
      </c>
      <c r="H2153" s="5"/>
    </row>
    <row r="2154" spans="1:8" x14ac:dyDescent="0.2">
      <c r="A2154" s="14" t="s">
        <v>3134</v>
      </c>
      <c r="B2154" s="14" t="s">
        <v>1522</v>
      </c>
      <c r="C2154" s="14" t="s">
        <v>942</v>
      </c>
      <c r="D2154" s="11" t="s">
        <v>3714</v>
      </c>
      <c r="E2154" s="14" t="s">
        <v>4115</v>
      </c>
      <c r="F2154" s="4" t="s">
        <v>1523</v>
      </c>
      <c r="H2154" s="6"/>
    </row>
    <row r="2155" spans="1:8" x14ac:dyDescent="0.2">
      <c r="A2155" s="14" t="s">
        <v>3135</v>
      </c>
      <c r="B2155" s="14" t="s">
        <v>4746</v>
      </c>
      <c r="C2155" s="14" t="s">
        <v>2853</v>
      </c>
      <c r="D2155" s="11" t="s">
        <v>4116</v>
      </c>
      <c r="E2155" s="14" t="s">
        <v>4116</v>
      </c>
      <c r="F2155" s="4" t="s">
        <v>1523</v>
      </c>
      <c r="H2155" s="6"/>
    </row>
    <row r="2156" spans="1:8" x14ac:dyDescent="0.2">
      <c r="A2156" s="14" t="s">
        <v>3136</v>
      </c>
      <c r="B2156" s="14" t="s">
        <v>4746</v>
      </c>
      <c r="C2156" s="14" t="s">
        <v>2853</v>
      </c>
      <c r="D2156" s="11" t="s">
        <v>4117</v>
      </c>
      <c r="E2156" s="14" t="s">
        <v>4117</v>
      </c>
      <c r="F2156" s="4" t="s">
        <v>1523</v>
      </c>
      <c r="H2156" s="6"/>
    </row>
    <row r="2157" spans="1:8" x14ac:dyDescent="0.2">
      <c r="A2157" s="14" t="s">
        <v>3137</v>
      </c>
      <c r="B2157" s="14" t="s">
        <v>4746</v>
      </c>
      <c r="C2157" s="14" t="s">
        <v>2853</v>
      </c>
      <c r="D2157" s="11" t="s">
        <v>4119</v>
      </c>
      <c r="E2157" s="14" t="s">
        <v>4119</v>
      </c>
      <c r="F2157" s="4" t="s">
        <v>1523</v>
      </c>
      <c r="H2157" s="6"/>
    </row>
    <row r="2158" spans="1:8" x14ac:dyDescent="0.2">
      <c r="A2158" s="14" t="s">
        <v>3138</v>
      </c>
      <c r="B2158" s="14" t="s">
        <v>1522</v>
      </c>
      <c r="C2158" s="14" t="s">
        <v>947</v>
      </c>
      <c r="D2158" s="11" t="s">
        <v>3715</v>
      </c>
      <c r="E2158" s="14" t="s">
        <v>4120</v>
      </c>
      <c r="F2158" s="4" t="s">
        <v>1523</v>
      </c>
      <c r="H2158" s="6"/>
    </row>
    <row r="2159" spans="1:8" x14ac:dyDescent="0.2">
      <c r="A2159" s="14" t="s">
        <v>3139</v>
      </c>
      <c r="B2159" s="14" t="s">
        <v>1522</v>
      </c>
      <c r="C2159" s="14" t="s">
        <v>948</v>
      </c>
      <c r="D2159" s="11" t="s">
        <v>3716</v>
      </c>
      <c r="E2159" s="14" t="s">
        <v>4121</v>
      </c>
      <c r="F2159" s="4" t="s">
        <v>1523</v>
      </c>
      <c r="H2159" s="6"/>
    </row>
    <row r="2160" spans="1:8" x14ac:dyDescent="0.2">
      <c r="A2160" s="14" t="s">
        <v>3140</v>
      </c>
      <c r="B2160" s="14" t="s">
        <v>4746</v>
      </c>
      <c r="C2160" s="14" t="s">
        <v>2853</v>
      </c>
      <c r="D2160" s="11" t="s">
        <v>4122</v>
      </c>
      <c r="E2160" s="14" t="s">
        <v>4122</v>
      </c>
      <c r="F2160" s="4" t="s">
        <v>1523</v>
      </c>
      <c r="H2160" s="6"/>
    </row>
    <row r="2161" spans="1:8" x14ac:dyDescent="0.2">
      <c r="A2161" s="14" t="s">
        <v>3141</v>
      </c>
      <c r="B2161" s="14" t="s">
        <v>4746</v>
      </c>
      <c r="C2161" s="14" t="s">
        <v>2853</v>
      </c>
      <c r="D2161" s="11" t="s">
        <v>4123</v>
      </c>
      <c r="E2161" s="14" t="s">
        <v>4123</v>
      </c>
      <c r="F2161" s="4" t="s">
        <v>1523</v>
      </c>
      <c r="H2161" s="6"/>
    </row>
    <row r="2162" spans="1:8" x14ac:dyDescent="0.2">
      <c r="A2162" s="14" t="s">
        <v>3142</v>
      </c>
      <c r="B2162" s="14" t="s">
        <v>4746</v>
      </c>
      <c r="C2162" s="14" t="s">
        <v>2853</v>
      </c>
      <c r="D2162" s="11" t="s">
        <v>4125</v>
      </c>
      <c r="E2162" s="14" t="s">
        <v>4125</v>
      </c>
      <c r="F2162" s="4" t="s">
        <v>1523</v>
      </c>
      <c r="H2162" s="6"/>
    </row>
    <row r="2163" spans="1:8" x14ac:dyDescent="0.2">
      <c r="A2163" s="14" t="s">
        <v>3143</v>
      </c>
      <c r="B2163" s="14" t="s">
        <v>4746</v>
      </c>
      <c r="C2163" s="14" t="s">
        <v>2853</v>
      </c>
      <c r="D2163" s="11" t="s">
        <v>4126</v>
      </c>
      <c r="E2163" s="14" t="s">
        <v>4126</v>
      </c>
      <c r="F2163" s="4" t="s">
        <v>1523</v>
      </c>
      <c r="H2163" s="6"/>
    </row>
    <row r="2164" spans="1:8" x14ac:dyDescent="0.2">
      <c r="A2164" s="14" t="s">
        <v>3144</v>
      </c>
      <c r="B2164" s="14" t="s">
        <v>4746</v>
      </c>
      <c r="C2164" s="14" t="s">
        <v>2853</v>
      </c>
      <c r="D2164" s="11" t="s">
        <v>4128</v>
      </c>
      <c r="E2164" s="14" t="s">
        <v>4128</v>
      </c>
      <c r="F2164" s="4" t="s">
        <v>1523</v>
      </c>
      <c r="H2164" s="6"/>
    </row>
    <row r="2165" spans="1:8" x14ac:dyDescent="0.2">
      <c r="A2165" s="14" t="s">
        <v>3145</v>
      </c>
      <c r="B2165" s="14" t="s">
        <v>1522</v>
      </c>
      <c r="C2165" s="14" t="s">
        <v>956</v>
      </c>
      <c r="D2165" s="11" t="s">
        <v>3717</v>
      </c>
      <c r="E2165" s="14" t="s">
        <v>4129</v>
      </c>
      <c r="F2165" s="4" t="s">
        <v>1523</v>
      </c>
      <c r="H2165" s="6"/>
    </row>
    <row r="2166" spans="1:8" x14ac:dyDescent="0.2">
      <c r="A2166" s="14" t="s">
        <v>3146</v>
      </c>
      <c r="B2166" s="14" t="s">
        <v>1522</v>
      </c>
      <c r="C2166" s="14" t="s">
        <v>957</v>
      </c>
      <c r="D2166" s="11" t="s">
        <v>3718</v>
      </c>
      <c r="E2166" s="14" t="s">
        <v>4130</v>
      </c>
      <c r="F2166" s="4" t="s">
        <v>1523</v>
      </c>
      <c r="H2166" s="6"/>
    </row>
    <row r="2167" spans="1:8" x14ac:dyDescent="0.2">
      <c r="A2167" s="14" t="s">
        <v>3147</v>
      </c>
      <c r="B2167" s="14" t="s">
        <v>1522</v>
      </c>
      <c r="C2167" s="14" t="s">
        <v>958</v>
      </c>
      <c r="D2167" s="11" t="s">
        <v>3719</v>
      </c>
      <c r="E2167" s="14" t="s">
        <v>4131</v>
      </c>
      <c r="F2167" s="4" t="s">
        <v>1523</v>
      </c>
      <c r="H2167" s="6"/>
    </row>
    <row r="2168" spans="1:8" x14ac:dyDescent="0.2">
      <c r="A2168" s="14" t="s">
        <v>3148</v>
      </c>
      <c r="B2168" s="14" t="s">
        <v>1522</v>
      </c>
      <c r="C2168" s="14" t="s">
        <v>959</v>
      </c>
      <c r="D2168" s="11" t="s">
        <v>3720</v>
      </c>
      <c r="E2168" s="14" t="s">
        <v>4132</v>
      </c>
      <c r="F2168" s="4" t="s">
        <v>1523</v>
      </c>
      <c r="H2168" s="6"/>
    </row>
    <row r="2169" spans="1:8" x14ac:dyDescent="0.2">
      <c r="A2169" s="14" t="s">
        <v>3149</v>
      </c>
      <c r="B2169" s="14" t="s">
        <v>1522</v>
      </c>
      <c r="C2169" s="14" t="s">
        <v>960</v>
      </c>
      <c r="D2169" s="11" t="s">
        <v>3721</v>
      </c>
      <c r="E2169" s="14" t="s">
        <v>4133</v>
      </c>
      <c r="F2169" s="4" t="s">
        <v>1523</v>
      </c>
      <c r="H2169" s="6"/>
    </row>
    <row r="2170" spans="1:8" x14ac:dyDescent="0.2">
      <c r="A2170" s="14" t="s">
        <v>3150</v>
      </c>
      <c r="B2170" s="14" t="s">
        <v>1522</v>
      </c>
      <c r="C2170" s="14" t="s">
        <v>961</v>
      </c>
      <c r="D2170" s="11" t="s">
        <v>3722</v>
      </c>
      <c r="E2170" s="14" t="s">
        <v>4134</v>
      </c>
      <c r="F2170" s="4" t="s">
        <v>1523</v>
      </c>
      <c r="H2170" s="6"/>
    </row>
    <row r="2171" spans="1:8" x14ac:dyDescent="0.2">
      <c r="A2171" s="14" t="s">
        <v>3151</v>
      </c>
      <c r="B2171" s="14" t="s">
        <v>1522</v>
      </c>
      <c r="C2171" s="14" t="s">
        <v>962</v>
      </c>
      <c r="D2171" s="11" t="s">
        <v>3723</v>
      </c>
      <c r="E2171" s="14" t="s">
        <v>4135</v>
      </c>
      <c r="F2171" s="4" t="s">
        <v>1523</v>
      </c>
      <c r="H2171" s="6"/>
    </row>
    <row r="2172" spans="1:8" x14ac:dyDescent="0.2">
      <c r="A2172" s="14" t="s">
        <v>3152</v>
      </c>
      <c r="B2172" s="14" t="s">
        <v>1522</v>
      </c>
      <c r="C2172" s="14" t="s">
        <v>963</v>
      </c>
      <c r="D2172" s="11" t="s">
        <v>3724</v>
      </c>
      <c r="E2172" s="14" t="s">
        <v>4136</v>
      </c>
      <c r="F2172" s="4" t="s">
        <v>1523</v>
      </c>
      <c r="H2172" s="6"/>
    </row>
    <row r="2173" spans="1:8" x14ac:dyDescent="0.2">
      <c r="A2173" s="14" t="s">
        <v>3153</v>
      </c>
      <c r="B2173" s="14" t="s">
        <v>1522</v>
      </c>
      <c r="C2173" s="14" t="s">
        <v>964</v>
      </c>
      <c r="D2173" s="11" t="s">
        <v>3725</v>
      </c>
      <c r="E2173" s="14" t="s">
        <v>4137</v>
      </c>
      <c r="F2173" s="4" t="s">
        <v>1523</v>
      </c>
      <c r="H2173" s="6"/>
    </row>
    <row r="2174" spans="1:8" x14ac:dyDescent="0.2">
      <c r="A2174" s="14" t="s">
        <v>3154</v>
      </c>
      <c r="B2174" s="14" t="s">
        <v>1522</v>
      </c>
      <c r="C2174" s="14" t="s">
        <v>966</v>
      </c>
      <c r="D2174" s="11" t="s">
        <v>3726</v>
      </c>
      <c r="E2174" s="14" t="s">
        <v>4139</v>
      </c>
      <c r="F2174" s="4" t="s">
        <v>1523</v>
      </c>
      <c r="H2174" s="6"/>
    </row>
    <row r="2175" spans="1:8" x14ac:dyDescent="0.2">
      <c r="A2175" s="14" t="s">
        <v>3155</v>
      </c>
      <c r="B2175" s="14" t="s">
        <v>1522</v>
      </c>
      <c r="C2175" s="14" t="s">
        <v>968</v>
      </c>
      <c r="D2175" s="11" t="s">
        <v>3727</v>
      </c>
      <c r="E2175" s="14" t="s">
        <v>4141</v>
      </c>
      <c r="F2175" s="4" t="s">
        <v>1523</v>
      </c>
      <c r="H2175" s="6"/>
    </row>
    <row r="2176" spans="1:8" x14ac:dyDescent="0.2">
      <c r="A2176" s="14" t="s">
        <v>3156</v>
      </c>
      <c r="B2176" s="14" t="s">
        <v>1522</v>
      </c>
      <c r="C2176" s="14" t="s">
        <v>969</v>
      </c>
      <c r="D2176" s="11" t="s">
        <v>3728</v>
      </c>
      <c r="E2176" s="14" t="s">
        <v>4142</v>
      </c>
      <c r="F2176" s="4" t="s">
        <v>1523</v>
      </c>
      <c r="H2176" s="6"/>
    </row>
    <row r="2177" spans="1:8" x14ac:dyDescent="0.2">
      <c r="A2177" s="14" t="s">
        <v>3157</v>
      </c>
      <c r="B2177" s="14" t="s">
        <v>1522</v>
      </c>
      <c r="C2177" s="14" t="s">
        <v>970</v>
      </c>
      <c r="D2177" s="11" t="s">
        <v>3729</v>
      </c>
      <c r="E2177" s="14" t="s">
        <v>4143</v>
      </c>
      <c r="F2177" s="4" t="s">
        <v>1523</v>
      </c>
      <c r="H2177" s="6"/>
    </row>
    <row r="2178" spans="1:8" x14ac:dyDescent="0.2">
      <c r="A2178" s="14" t="s">
        <v>3158</v>
      </c>
      <c r="B2178" s="14" t="s">
        <v>1522</v>
      </c>
      <c r="C2178" s="14" t="s">
        <v>972</v>
      </c>
      <c r="D2178" s="11" t="s">
        <v>3730</v>
      </c>
      <c r="E2178" s="14" t="s">
        <v>4145</v>
      </c>
      <c r="F2178" s="4" t="s">
        <v>1523</v>
      </c>
      <c r="H2178" s="6"/>
    </row>
    <row r="2179" spans="1:8" x14ac:dyDescent="0.2">
      <c r="A2179" s="14" t="s">
        <v>3159</v>
      </c>
      <c r="B2179" s="14" t="s">
        <v>1522</v>
      </c>
      <c r="C2179" s="14" t="s">
        <v>973</v>
      </c>
      <c r="D2179" s="11" t="s">
        <v>3731</v>
      </c>
      <c r="E2179" s="14" t="s">
        <v>4146</v>
      </c>
      <c r="F2179" s="4" t="s">
        <v>1523</v>
      </c>
      <c r="H2179" s="6"/>
    </row>
    <row r="2180" spans="1:8" x14ac:dyDescent="0.2">
      <c r="A2180" s="14" t="s">
        <v>3160</v>
      </c>
      <c r="B2180" s="14" t="s">
        <v>1522</v>
      </c>
      <c r="C2180" s="14" t="s">
        <v>978</v>
      </c>
      <c r="D2180" s="11" t="s">
        <v>3732</v>
      </c>
      <c r="E2180" s="14" t="s">
        <v>4151</v>
      </c>
      <c r="F2180" s="4" t="s">
        <v>1523</v>
      </c>
      <c r="H2180" s="6"/>
    </row>
    <row r="2181" spans="1:8" x14ac:dyDescent="0.2">
      <c r="A2181" s="14" t="s">
        <v>3161</v>
      </c>
      <c r="B2181" s="14" t="s">
        <v>1522</v>
      </c>
      <c r="C2181" s="14" t="s">
        <v>979</v>
      </c>
      <c r="D2181" s="11" t="s">
        <v>3733</v>
      </c>
      <c r="E2181" s="14" t="s">
        <v>4152</v>
      </c>
      <c r="F2181" s="4" t="s">
        <v>1523</v>
      </c>
      <c r="H2181" s="6"/>
    </row>
    <row r="2182" spans="1:8" x14ac:dyDescent="0.2">
      <c r="A2182" s="14" t="s">
        <v>3162</v>
      </c>
      <c r="B2182" s="14" t="s">
        <v>1522</v>
      </c>
      <c r="C2182" s="14" t="s">
        <v>980</v>
      </c>
      <c r="D2182" s="11" t="s">
        <v>3734</v>
      </c>
      <c r="E2182" s="14" t="s">
        <v>4153</v>
      </c>
      <c r="F2182" s="4" t="s">
        <v>1523</v>
      </c>
      <c r="H2182" s="6"/>
    </row>
    <row r="2183" spans="1:8" x14ac:dyDescent="0.2">
      <c r="A2183" s="14" t="s">
        <v>3163</v>
      </c>
      <c r="B2183" s="14" t="s">
        <v>1522</v>
      </c>
      <c r="C2183" s="14" t="s">
        <v>981</v>
      </c>
      <c r="D2183" s="11" t="s">
        <v>3735</v>
      </c>
      <c r="E2183" s="14" t="s">
        <v>4154</v>
      </c>
      <c r="F2183" s="4" t="s">
        <v>1523</v>
      </c>
      <c r="H2183" s="6"/>
    </row>
    <row r="2184" spans="1:8" x14ac:dyDescent="0.2">
      <c r="A2184" s="14" t="s">
        <v>3164</v>
      </c>
      <c r="B2184" s="14" t="s">
        <v>1522</v>
      </c>
      <c r="C2184" s="14" t="s">
        <v>1919</v>
      </c>
      <c r="D2184" s="11" t="s">
        <v>3736</v>
      </c>
      <c r="E2184" s="14" t="s">
        <v>4155</v>
      </c>
      <c r="F2184" s="4" t="s">
        <v>1523</v>
      </c>
      <c r="H2184" s="6"/>
    </row>
    <row r="2185" spans="1:8" x14ac:dyDescent="0.2">
      <c r="A2185" s="14" t="s">
        <v>3165</v>
      </c>
      <c r="B2185" s="14" t="s">
        <v>1522</v>
      </c>
      <c r="C2185" s="14" t="s">
        <v>1920</v>
      </c>
      <c r="D2185" s="11" t="s">
        <v>3737</v>
      </c>
      <c r="E2185" s="14" t="s">
        <v>4156</v>
      </c>
      <c r="F2185" s="4" t="s">
        <v>1523</v>
      </c>
      <c r="H2185" s="6"/>
    </row>
    <row r="2186" spans="1:8" x14ac:dyDescent="0.2">
      <c r="A2186" s="14" t="s">
        <v>3166</v>
      </c>
      <c r="B2186" s="14" t="s">
        <v>1522</v>
      </c>
      <c r="C2186" s="14" t="s">
        <v>1921</v>
      </c>
      <c r="D2186" s="11" t="s">
        <v>3738</v>
      </c>
      <c r="E2186" s="14" t="s">
        <v>4157</v>
      </c>
      <c r="F2186" s="4" t="s">
        <v>1523</v>
      </c>
      <c r="H2186" s="6"/>
    </row>
    <row r="2187" spans="1:8" x14ac:dyDescent="0.2">
      <c r="A2187" s="14" t="s">
        <v>3167</v>
      </c>
      <c r="B2187" s="14" t="s">
        <v>1522</v>
      </c>
      <c r="C2187" s="14" t="s">
        <v>1922</v>
      </c>
      <c r="D2187" s="11" t="s">
        <v>3739</v>
      </c>
      <c r="E2187" s="14" t="s">
        <v>4158</v>
      </c>
      <c r="F2187" s="4" t="s">
        <v>1523</v>
      </c>
      <c r="H2187" s="6"/>
    </row>
    <row r="2188" spans="1:8" x14ac:dyDescent="0.2">
      <c r="A2188" s="14" t="s">
        <v>3168</v>
      </c>
      <c r="B2188" s="14" t="s">
        <v>1522</v>
      </c>
      <c r="C2188" s="14" t="s">
        <v>1923</v>
      </c>
      <c r="D2188" s="11" t="s">
        <v>3740</v>
      </c>
      <c r="E2188" s="14" t="s">
        <v>4159</v>
      </c>
      <c r="F2188" s="4" t="s">
        <v>1523</v>
      </c>
      <c r="H2188" s="6"/>
    </row>
    <row r="2189" spans="1:8" x14ac:dyDescent="0.2">
      <c r="A2189" s="14" t="s">
        <v>3169</v>
      </c>
      <c r="B2189" s="14" t="s">
        <v>1522</v>
      </c>
      <c r="C2189" s="14" t="s">
        <v>1924</v>
      </c>
      <c r="D2189" s="11" t="s">
        <v>3741</v>
      </c>
      <c r="E2189" s="14" t="s">
        <v>4160</v>
      </c>
      <c r="F2189" s="4" t="s">
        <v>1523</v>
      </c>
      <c r="H2189" s="6"/>
    </row>
    <row r="2190" spans="1:8" x14ac:dyDescent="0.2">
      <c r="A2190" s="14" t="s">
        <v>3170</v>
      </c>
      <c r="B2190" s="14" t="s">
        <v>1522</v>
      </c>
      <c r="C2190" s="14" t="s">
        <v>1925</v>
      </c>
      <c r="D2190" s="11" t="s">
        <v>3742</v>
      </c>
      <c r="E2190" s="14" t="s">
        <v>4161</v>
      </c>
      <c r="F2190" s="4" t="s">
        <v>1523</v>
      </c>
      <c r="H2190" s="6"/>
    </row>
    <row r="2191" spans="1:8" x14ac:dyDescent="0.2">
      <c r="A2191" s="14" t="s">
        <v>3171</v>
      </c>
      <c r="B2191" s="14" t="s">
        <v>1522</v>
      </c>
      <c r="C2191" s="14" t="s">
        <v>1926</v>
      </c>
      <c r="D2191" s="11" t="s">
        <v>3743</v>
      </c>
      <c r="E2191" s="14" t="s">
        <v>4162</v>
      </c>
      <c r="F2191" s="4" t="s">
        <v>1523</v>
      </c>
      <c r="H2191" s="6"/>
    </row>
    <row r="2192" spans="1:8" x14ac:dyDescent="0.2">
      <c r="A2192" s="14" t="s">
        <v>3172</v>
      </c>
      <c r="B2192" s="14" t="s">
        <v>1522</v>
      </c>
      <c r="C2192" s="14" t="s">
        <v>1927</v>
      </c>
      <c r="D2192" s="11" t="s">
        <v>3744</v>
      </c>
      <c r="E2192" s="14" t="s">
        <v>4163</v>
      </c>
      <c r="F2192" s="4" t="s">
        <v>1523</v>
      </c>
      <c r="H2192" s="6"/>
    </row>
    <row r="2193" spans="1:8" x14ac:dyDescent="0.2">
      <c r="A2193" s="14" t="s">
        <v>3173</v>
      </c>
      <c r="B2193" s="14" t="s">
        <v>1522</v>
      </c>
      <c r="C2193" s="14" t="s">
        <v>1928</v>
      </c>
      <c r="D2193" s="11" t="s">
        <v>3745</v>
      </c>
      <c r="E2193" s="14" t="s">
        <v>4164</v>
      </c>
      <c r="F2193" s="4" t="s">
        <v>1523</v>
      </c>
      <c r="H2193" s="6"/>
    </row>
    <row r="2194" spans="1:8" x14ac:dyDescent="0.2">
      <c r="A2194" s="14" t="s">
        <v>3174</v>
      </c>
      <c r="B2194" s="14" t="s">
        <v>1522</v>
      </c>
      <c r="C2194" s="14" t="s">
        <v>1929</v>
      </c>
      <c r="D2194" s="11" t="s">
        <v>3746</v>
      </c>
      <c r="E2194" s="14" t="s">
        <v>4165</v>
      </c>
      <c r="F2194" s="4" t="s">
        <v>1523</v>
      </c>
      <c r="H2194" s="6"/>
    </row>
    <row r="2195" spans="1:8" x14ac:dyDescent="0.2">
      <c r="A2195" s="14" t="s">
        <v>3175</v>
      </c>
      <c r="B2195" s="14" t="s">
        <v>1522</v>
      </c>
      <c r="C2195" s="14" t="s">
        <v>1930</v>
      </c>
      <c r="D2195" s="11" t="s">
        <v>3747</v>
      </c>
      <c r="E2195" s="14" t="s">
        <v>4166</v>
      </c>
      <c r="F2195" s="4" t="s">
        <v>1523</v>
      </c>
      <c r="H2195" s="6"/>
    </row>
    <row r="2196" spans="1:8" x14ac:dyDescent="0.2">
      <c r="A2196" s="14" t="s">
        <v>3176</v>
      </c>
      <c r="B2196" s="14" t="s">
        <v>1522</v>
      </c>
      <c r="C2196" s="14" t="s">
        <v>1931</v>
      </c>
      <c r="D2196" s="11" t="s">
        <v>3748</v>
      </c>
      <c r="E2196" s="14" t="s">
        <v>4167</v>
      </c>
      <c r="F2196" s="4" t="s">
        <v>1523</v>
      </c>
      <c r="H2196" s="6"/>
    </row>
    <row r="2197" spans="1:8" x14ac:dyDescent="0.2">
      <c r="A2197" s="14" t="s">
        <v>3177</v>
      </c>
      <c r="B2197" s="14" t="s">
        <v>1522</v>
      </c>
      <c r="C2197" s="14" t="s">
        <v>1932</v>
      </c>
      <c r="D2197" s="11" t="s">
        <v>3749</v>
      </c>
      <c r="E2197" s="14" t="s">
        <v>4168</v>
      </c>
      <c r="F2197" s="4" t="s">
        <v>1523</v>
      </c>
      <c r="H2197" s="6"/>
    </row>
    <row r="2198" spans="1:8" x14ac:dyDescent="0.2">
      <c r="A2198" s="14" t="s">
        <v>3178</v>
      </c>
      <c r="B2198" s="14" t="s">
        <v>1522</v>
      </c>
      <c r="C2198" s="14" t="s">
        <v>1933</v>
      </c>
      <c r="D2198" s="11" t="s">
        <v>3750</v>
      </c>
      <c r="E2198" s="14" t="s">
        <v>4169</v>
      </c>
      <c r="F2198" s="4" t="s">
        <v>1523</v>
      </c>
      <c r="H2198" s="6"/>
    </row>
    <row r="2199" spans="1:8" x14ac:dyDescent="0.2">
      <c r="A2199" s="14" t="s">
        <v>3179</v>
      </c>
      <c r="B2199" s="14" t="s">
        <v>1522</v>
      </c>
      <c r="C2199" s="14" t="s">
        <v>1934</v>
      </c>
      <c r="D2199" s="11" t="s">
        <v>3751</v>
      </c>
      <c r="E2199" s="14" t="s">
        <v>4170</v>
      </c>
      <c r="F2199" s="4" t="s">
        <v>1523</v>
      </c>
      <c r="H2199" s="6"/>
    </row>
    <row r="2200" spans="1:8" x14ac:dyDescent="0.2">
      <c r="A2200" s="14" t="s">
        <v>3180</v>
      </c>
      <c r="B2200" s="14" t="s">
        <v>1522</v>
      </c>
      <c r="C2200" s="14" t="s">
        <v>1935</v>
      </c>
      <c r="D2200" s="11" t="s">
        <v>3752</v>
      </c>
      <c r="E2200" s="14" t="s">
        <v>4171</v>
      </c>
      <c r="F2200" s="4" t="s">
        <v>1523</v>
      </c>
      <c r="H2200" s="6"/>
    </row>
    <row r="2201" spans="1:8" x14ac:dyDescent="0.2">
      <c r="A2201" s="14" t="s">
        <v>3181</v>
      </c>
      <c r="B2201" s="14" t="s">
        <v>1522</v>
      </c>
      <c r="C2201" s="14" t="s">
        <v>1936</v>
      </c>
      <c r="D2201" s="11" t="s">
        <v>3753</v>
      </c>
      <c r="E2201" s="14" t="s">
        <v>4172</v>
      </c>
      <c r="F2201" s="4" t="s">
        <v>1523</v>
      </c>
      <c r="H2201" s="6"/>
    </row>
    <row r="2202" spans="1:8" x14ac:dyDescent="0.2">
      <c r="A2202" s="14" t="s">
        <v>3182</v>
      </c>
      <c r="B2202" s="14" t="s">
        <v>1522</v>
      </c>
      <c r="C2202" s="14" t="s">
        <v>1937</v>
      </c>
      <c r="D2202" s="11" t="s">
        <v>3754</v>
      </c>
      <c r="E2202" s="14" t="s">
        <v>4173</v>
      </c>
      <c r="F2202" s="4" t="s">
        <v>1523</v>
      </c>
      <c r="H2202" s="6"/>
    </row>
    <row r="2203" spans="1:8" x14ac:dyDescent="0.2">
      <c r="A2203" s="14" t="s">
        <v>3183</v>
      </c>
      <c r="B2203" s="14" t="s">
        <v>1522</v>
      </c>
      <c r="C2203" s="14" t="s">
        <v>1938</v>
      </c>
      <c r="D2203" s="11" t="s">
        <v>3755</v>
      </c>
      <c r="E2203" s="14" t="s">
        <v>4174</v>
      </c>
      <c r="F2203" s="4" t="s">
        <v>1523</v>
      </c>
      <c r="H2203" s="6"/>
    </row>
    <row r="2204" spans="1:8" x14ac:dyDescent="0.2">
      <c r="A2204" s="14" t="s">
        <v>3184</v>
      </c>
      <c r="B2204" s="14" t="s">
        <v>1522</v>
      </c>
      <c r="C2204" s="14" t="s">
        <v>1939</v>
      </c>
      <c r="D2204" s="11" t="s">
        <v>3756</v>
      </c>
      <c r="E2204" s="14" t="s">
        <v>4175</v>
      </c>
      <c r="F2204" s="4" t="s">
        <v>1523</v>
      </c>
      <c r="H2204" s="6"/>
    </row>
    <row r="2205" spans="1:8" x14ac:dyDescent="0.2">
      <c r="A2205" s="14" t="s">
        <v>3185</v>
      </c>
      <c r="B2205" s="14" t="s">
        <v>1522</v>
      </c>
      <c r="C2205" s="14" t="s">
        <v>1940</v>
      </c>
      <c r="D2205" s="11" t="s">
        <v>3757</v>
      </c>
      <c r="E2205" s="14" t="s">
        <v>4176</v>
      </c>
      <c r="F2205" s="4" t="s">
        <v>1523</v>
      </c>
      <c r="H2205" s="6"/>
    </row>
    <row r="2206" spans="1:8" x14ac:dyDescent="0.2">
      <c r="A2206" s="14" t="s">
        <v>3186</v>
      </c>
      <c r="B2206" s="14" t="s">
        <v>1522</v>
      </c>
      <c r="C2206" s="14" t="s">
        <v>1941</v>
      </c>
      <c r="D2206" s="11" t="s">
        <v>3758</v>
      </c>
      <c r="E2206" s="14" t="s">
        <v>4177</v>
      </c>
      <c r="F2206" s="4" t="s">
        <v>1523</v>
      </c>
      <c r="H2206" s="6"/>
    </row>
    <row r="2207" spans="1:8" x14ac:dyDescent="0.2">
      <c r="A2207" s="14" t="s">
        <v>3187</v>
      </c>
      <c r="B2207" s="14" t="s">
        <v>1522</v>
      </c>
      <c r="C2207" s="14" t="s">
        <v>1942</v>
      </c>
      <c r="D2207" s="11" t="s">
        <v>3759</v>
      </c>
      <c r="E2207" s="14" t="s">
        <v>4178</v>
      </c>
      <c r="F2207" s="4" t="s">
        <v>1523</v>
      </c>
      <c r="H2207" s="6"/>
    </row>
    <row r="2208" spans="1:8" x14ac:dyDescent="0.2">
      <c r="A2208" s="14" t="s">
        <v>1983</v>
      </c>
      <c r="B2208" s="14" t="s">
        <v>1522</v>
      </c>
      <c r="C2208" s="14" t="s">
        <v>1971</v>
      </c>
      <c r="D2208" s="11" t="s">
        <v>4219</v>
      </c>
      <c r="E2208" s="14" t="s">
        <v>4207</v>
      </c>
      <c r="F2208" s="4" t="s">
        <v>1523</v>
      </c>
      <c r="H2208" s="6"/>
    </row>
    <row r="2209" spans="1:8" x14ac:dyDescent="0.2">
      <c r="A2209" s="14" t="s">
        <v>1988</v>
      </c>
      <c r="B2209" s="14" t="s">
        <v>1522</v>
      </c>
      <c r="C2209" s="14" t="s">
        <v>1972</v>
      </c>
      <c r="D2209" s="11" t="s">
        <v>4219</v>
      </c>
      <c r="E2209" s="14" t="s">
        <v>4208</v>
      </c>
      <c r="F2209" s="4" t="s">
        <v>1523</v>
      </c>
      <c r="H2209" s="6"/>
    </row>
    <row r="2210" spans="1:8" x14ac:dyDescent="0.2">
      <c r="A2210" s="14" t="s">
        <v>1989</v>
      </c>
      <c r="B2210" s="14" t="s">
        <v>1522</v>
      </c>
      <c r="C2210" s="14" t="s">
        <v>1973</v>
      </c>
      <c r="D2210" s="11" t="s">
        <v>4219</v>
      </c>
      <c r="E2210" s="14" t="s">
        <v>4209</v>
      </c>
      <c r="F2210" s="4" t="s">
        <v>1523</v>
      </c>
      <c r="H2210" s="6"/>
    </row>
    <row r="2211" spans="1:8" x14ac:dyDescent="0.2">
      <c r="A2211" s="14" t="s">
        <v>1990</v>
      </c>
      <c r="B2211" s="14" t="s">
        <v>1522</v>
      </c>
      <c r="C2211" s="14" t="s">
        <v>1974</v>
      </c>
      <c r="D2211" s="11" t="s">
        <v>4219</v>
      </c>
      <c r="E2211" s="14" t="s">
        <v>4210</v>
      </c>
      <c r="F2211" s="4" t="s">
        <v>1523</v>
      </c>
      <c r="H2211" s="6"/>
    </row>
    <row r="2212" spans="1:8" x14ac:dyDescent="0.2">
      <c r="A2212" s="14" t="s">
        <v>1991</v>
      </c>
      <c r="B2212" s="14" t="s">
        <v>1522</v>
      </c>
      <c r="C2212" s="14" t="s">
        <v>1975</v>
      </c>
      <c r="D2212" s="11" t="s">
        <v>4221</v>
      </c>
      <c r="E2212" s="14" t="s">
        <v>4211</v>
      </c>
      <c r="F2212" s="4" t="s">
        <v>1523</v>
      </c>
      <c r="H2212" s="6"/>
    </row>
    <row r="2213" spans="1:8" x14ac:dyDescent="0.2">
      <c r="A2213" s="14" t="s">
        <v>1996</v>
      </c>
      <c r="B2213" s="14" t="s">
        <v>1522</v>
      </c>
      <c r="C2213" s="14" t="s">
        <v>1976</v>
      </c>
      <c r="D2213" s="11" t="s">
        <v>4221</v>
      </c>
      <c r="E2213" s="14" t="s">
        <v>4212</v>
      </c>
      <c r="F2213" s="4" t="s">
        <v>1523</v>
      </c>
      <c r="H2213" s="6"/>
    </row>
    <row r="2214" spans="1:8" x14ac:dyDescent="0.2">
      <c r="A2214" s="14" t="s">
        <v>1997</v>
      </c>
      <c r="B2214" s="14" t="s">
        <v>1522</v>
      </c>
      <c r="C2214" s="14" t="s">
        <v>1977</v>
      </c>
      <c r="D2214" s="11" t="s">
        <v>4221</v>
      </c>
      <c r="E2214" s="14" t="s">
        <v>4213</v>
      </c>
      <c r="F2214" s="4" t="s">
        <v>1523</v>
      </c>
      <c r="H2214" s="6"/>
    </row>
    <row r="2215" spans="1:8" x14ac:dyDescent="0.2">
      <c r="A2215" s="14" t="s">
        <v>1998</v>
      </c>
      <c r="B2215" s="14" t="s">
        <v>1522</v>
      </c>
      <c r="C2215" s="14" t="s">
        <v>1978</v>
      </c>
      <c r="D2215" s="11" t="s">
        <v>4221</v>
      </c>
      <c r="E2215" s="14" t="s">
        <v>4214</v>
      </c>
      <c r="F2215" s="4" t="s">
        <v>1523</v>
      </c>
      <c r="H2215" s="6"/>
    </row>
    <row r="2216" spans="1:8" x14ac:dyDescent="0.2">
      <c r="A2216" s="14" t="s">
        <v>3188</v>
      </c>
      <c r="B2216" s="14" t="s">
        <v>1522</v>
      </c>
      <c r="C2216" s="14" t="s">
        <v>1979</v>
      </c>
      <c r="D2216" s="11" t="s">
        <v>3760</v>
      </c>
      <c r="E2216" s="14" t="s">
        <v>4215</v>
      </c>
      <c r="F2216" s="4" t="s">
        <v>1523</v>
      </c>
      <c r="H2216" s="6"/>
    </row>
    <row r="2217" spans="1:8" x14ac:dyDescent="0.2">
      <c r="A2217" s="14" t="s">
        <v>3189</v>
      </c>
      <c r="B2217" s="14" t="s">
        <v>1522</v>
      </c>
      <c r="C2217" s="14" t="s">
        <v>1980</v>
      </c>
      <c r="D2217" s="11" t="s">
        <v>3761</v>
      </c>
      <c r="E2217" s="14" t="s">
        <v>4216</v>
      </c>
      <c r="F2217" s="4" t="s">
        <v>1523</v>
      </c>
      <c r="H2217" s="6"/>
    </row>
    <row r="2218" spans="1:8" x14ac:dyDescent="0.2">
      <c r="A2218" s="14" t="s">
        <v>3190</v>
      </c>
      <c r="B2218" s="14" t="s">
        <v>1522</v>
      </c>
      <c r="C2218" s="14" t="s">
        <v>1981</v>
      </c>
      <c r="D2218" s="11" t="s">
        <v>3762</v>
      </c>
      <c r="E2218" s="14" t="s">
        <v>4217</v>
      </c>
      <c r="F2218" s="4" t="s">
        <v>1523</v>
      </c>
      <c r="H2218" s="6"/>
    </row>
    <row r="2219" spans="1:8" x14ac:dyDescent="0.2">
      <c r="A2219" s="14" t="s">
        <v>3191</v>
      </c>
      <c r="B2219" s="14" t="s">
        <v>1522</v>
      </c>
      <c r="C2219" s="14" t="s">
        <v>1982</v>
      </c>
      <c r="D2219" s="11" t="s">
        <v>3763</v>
      </c>
      <c r="E2219" s="14" t="s">
        <v>4218</v>
      </c>
      <c r="F2219" s="4" t="s">
        <v>1523</v>
      </c>
      <c r="H2219" s="6"/>
    </row>
    <row r="2220" spans="1:8" x14ac:dyDescent="0.2">
      <c r="A2220" s="14" t="s">
        <v>3192</v>
      </c>
      <c r="B2220" s="14" t="s">
        <v>1522</v>
      </c>
      <c r="C2220" s="14" t="s">
        <v>1999</v>
      </c>
      <c r="D2220" s="11" t="s">
        <v>3764</v>
      </c>
      <c r="E2220" s="14" t="s">
        <v>4223</v>
      </c>
      <c r="F2220" s="4" t="s">
        <v>1523</v>
      </c>
      <c r="H2220" s="6"/>
    </row>
    <row r="2221" spans="1:8" x14ac:dyDescent="0.2">
      <c r="A2221" s="14" t="s">
        <v>3193</v>
      </c>
      <c r="B2221" s="14" t="s">
        <v>1522</v>
      </c>
      <c r="C2221" s="14" t="s">
        <v>2000</v>
      </c>
      <c r="D2221" s="11" t="s">
        <v>3764</v>
      </c>
      <c r="E2221" s="14" t="s">
        <v>4224</v>
      </c>
      <c r="F2221" s="4" t="s">
        <v>1523</v>
      </c>
      <c r="H2221" s="6"/>
    </row>
    <row r="2222" spans="1:8" x14ac:dyDescent="0.2">
      <c r="A2222" s="14" t="s">
        <v>3194</v>
      </c>
      <c r="B2222" s="14" t="s">
        <v>1522</v>
      </c>
      <c r="C2222" s="14" t="s">
        <v>2001</v>
      </c>
      <c r="D2222" s="11" t="s">
        <v>3764</v>
      </c>
      <c r="E2222" s="14" t="s">
        <v>4225</v>
      </c>
      <c r="F2222" s="4" t="s">
        <v>1523</v>
      </c>
      <c r="H2222" s="6"/>
    </row>
    <row r="2223" spans="1:8" x14ac:dyDescent="0.2">
      <c r="A2223" s="14" t="s">
        <v>3195</v>
      </c>
      <c r="B2223" s="14" t="s">
        <v>1522</v>
      </c>
      <c r="C2223" s="14" t="s">
        <v>2002</v>
      </c>
      <c r="D2223" s="11" t="s">
        <v>3764</v>
      </c>
      <c r="E2223" s="14" t="s">
        <v>4226</v>
      </c>
      <c r="F2223" s="4" t="s">
        <v>1523</v>
      </c>
      <c r="H2223" s="6"/>
    </row>
    <row r="2224" spans="1:8" x14ac:dyDescent="0.2">
      <c r="A2224" s="14" t="s">
        <v>3196</v>
      </c>
      <c r="B2224" s="14" t="s">
        <v>1522</v>
      </c>
      <c r="C2224" s="14" t="s">
        <v>2003</v>
      </c>
      <c r="D2224" s="11" t="s">
        <v>3765</v>
      </c>
      <c r="E2224" s="14" t="s">
        <v>4227</v>
      </c>
      <c r="F2224" s="4" t="s">
        <v>1523</v>
      </c>
      <c r="H2224" s="6"/>
    </row>
    <row r="2225" spans="1:8" x14ac:dyDescent="0.2">
      <c r="A2225" s="14" t="s">
        <v>3197</v>
      </c>
      <c r="B2225" s="14" t="s">
        <v>1522</v>
      </c>
      <c r="C2225" s="14" t="s">
        <v>2004</v>
      </c>
      <c r="D2225" s="11" t="s">
        <v>3765</v>
      </c>
      <c r="E2225" s="14" t="s">
        <v>4228</v>
      </c>
      <c r="F2225" s="4" t="s">
        <v>1523</v>
      </c>
      <c r="H2225" s="6"/>
    </row>
    <row r="2226" spans="1:8" x14ac:dyDescent="0.2">
      <c r="A2226" s="14" t="s">
        <v>3198</v>
      </c>
      <c r="B2226" s="14" t="s">
        <v>1522</v>
      </c>
      <c r="C2226" s="14" t="s">
        <v>2005</v>
      </c>
      <c r="D2226" s="11" t="s">
        <v>3765</v>
      </c>
      <c r="E2226" s="14" t="s">
        <v>4229</v>
      </c>
      <c r="F2226" s="4" t="s">
        <v>1523</v>
      </c>
      <c r="H2226" s="6"/>
    </row>
    <row r="2227" spans="1:8" x14ac:dyDescent="0.2">
      <c r="A2227" s="14" t="s">
        <v>3199</v>
      </c>
      <c r="B2227" s="14" t="s">
        <v>1522</v>
      </c>
      <c r="C2227" s="14" t="s">
        <v>2006</v>
      </c>
      <c r="D2227" s="11" t="s">
        <v>3765</v>
      </c>
      <c r="E2227" s="14" t="s">
        <v>4230</v>
      </c>
      <c r="F2227" s="4" t="s">
        <v>1523</v>
      </c>
      <c r="H2227" s="6"/>
    </row>
    <row r="2228" spans="1:8" x14ac:dyDescent="0.2">
      <c r="A2228" s="14" t="s">
        <v>3200</v>
      </c>
      <c r="B2228" s="14" t="s">
        <v>1522</v>
      </c>
      <c r="C2228" s="14" t="s">
        <v>2007</v>
      </c>
      <c r="D2228" s="11" t="s">
        <v>3766</v>
      </c>
      <c r="E2228" s="14" t="s">
        <v>4231</v>
      </c>
      <c r="F2228" s="4" t="s">
        <v>1523</v>
      </c>
      <c r="H2228" s="6"/>
    </row>
    <row r="2229" spans="1:8" x14ac:dyDescent="0.2">
      <c r="A2229" s="14" t="s">
        <v>3201</v>
      </c>
      <c r="B2229" s="14" t="s">
        <v>1522</v>
      </c>
      <c r="C2229" s="14" t="s">
        <v>2008</v>
      </c>
      <c r="D2229" s="11" t="s">
        <v>3766</v>
      </c>
      <c r="E2229" s="14" t="s">
        <v>4232</v>
      </c>
      <c r="F2229" s="4" t="s">
        <v>1523</v>
      </c>
      <c r="H2229" s="6"/>
    </row>
    <row r="2230" spans="1:8" x14ac:dyDescent="0.2">
      <c r="A2230" s="14" t="s">
        <v>3202</v>
      </c>
      <c r="B2230" s="14" t="s">
        <v>1522</v>
      </c>
      <c r="C2230" s="14" t="s">
        <v>2009</v>
      </c>
      <c r="D2230" s="11" t="s">
        <v>3766</v>
      </c>
      <c r="E2230" s="14" t="s">
        <v>4233</v>
      </c>
      <c r="F2230" s="4" t="s">
        <v>1523</v>
      </c>
      <c r="H2230" s="6"/>
    </row>
    <row r="2231" spans="1:8" x14ac:dyDescent="0.2">
      <c r="A2231" s="14" t="s">
        <v>3203</v>
      </c>
      <c r="B2231" s="14" t="s">
        <v>1522</v>
      </c>
      <c r="C2231" s="14" t="s">
        <v>2010</v>
      </c>
      <c r="D2231" s="11" t="s">
        <v>3766</v>
      </c>
      <c r="E2231" s="14" t="s">
        <v>4234</v>
      </c>
      <c r="F2231" s="4" t="s">
        <v>1523</v>
      </c>
      <c r="H2231" s="6"/>
    </row>
    <row r="2232" spans="1:8" x14ac:dyDescent="0.2">
      <c r="A2232" s="14" t="s">
        <v>3204</v>
      </c>
      <c r="B2232" s="14" t="s">
        <v>1522</v>
      </c>
      <c r="C2232" s="14" t="s">
        <v>2011</v>
      </c>
      <c r="D2232" s="11" t="s">
        <v>3767</v>
      </c>
      <c r="E2232" s="14" t="s">
        <v>4235</v>
      </c>
      <c r="F2232" s="4" t="s">
        <v>1523</v>
      </c>
      <c r="H2232" s="6"/>
    </row>
    <row r="2233" spans="1:8" x14ac:dyDescent="0.2">
      <c r="A2233" s="14" t="s">
        <v>3205</v>
      </c>
      <c r="B2233" s="14" t="s">
        <v>1522</v>
      </c>
      <c r="C2233" s="14" t="s">
        <v>2012</v>
      </c>
      <c r="D2233" s="11" t="s">
        <v>3767</v>
      </c>
      <c r="E2233" s="14" t="s">
        <v>4236</v>
      </c>
      <c r="F2233" s="4" t="s">
        <v>1523</v>
      </c>
      <c r="H2233" s="6"/>
    </row>
    <row r="2234" spans="1:8" x14ac:dyDescent="0.2">
      <c r="A2234" s="14" t="s">
        <v>3206</v>
      </c>
      <c r="B2234" s="14" t="s">
        <v>1522</v>
      </c>
      <c r="C2234" s="14" t="s">
        <v>2013</v>
      </c>
      <c r="D2234" s="11" t="s">
        <v>3767</v>
      </c>
      <c r="E2234" s="14" t="s">
        <v>4237</v>
      </c>
      <c r="F2234" s="4" t="s">
        <v>1523</v>
      </c>
      <c r="H2234" s="6"/>
    </row>
    <row r="2235" spans="1:8" x14ac:dyDescent="0.2">
      <c r="A2235" s="14" t="s">
        <v>3207</v>
      </c>
      <c r="B2235" s="14" t="s">
        <v>1522</v>
      </c>
      <c r="C2235" s="14" t="s">
        <v>2014</v>
      </c>
      <c r="D2235" s="11" t="s">
        <v>3767</v>
      </c>
      <c r="E2235" s="14" t="s">
        <v>4238</v>
      </c>
      <c r="F2235" s="4" t="s">
        <v>1523</v>
      </c>
      <c r="H2235" s="6"/>
    </row>
    <row r="2236" spans="1:8" x14ac:dyDescent="0.2">
      <c r="A2236" s="14" t="s">
        <v>3192</v>
      </c>
      <c r="B2236" s="14" t="s">
        <v>1522</v>
      </c>
      <c r="C2236" s="14" t="s">
        <v>2015</v>
      </c>
      <c r="D2236" s="11" t="s">
        <v>3764</v>
      </c>
      <c r="E2236" s="14" t="s">
        <v>4239</v>
      </c>
      <c r="F2236" s="4" t="s">
        <v>1523</v>
      </c>
      <c r="H2236" s="6"/>
    </row>
    <row r="2237" spans="1:8" x14ac:dyDescent="0.2">
      <c r="A2237" s="14" t="s">
        <v>3193</v>
      </c>
      <c r="B2237" s="14" t="s">
        <v>1522</v>
      </c>
      <c r="C2237" s="14" t="s">
        <v>2016</v>
      </c>
      <c r="D2237" s="11" t="s">
        <v>3764</v>
      </c>
      <c r="E2237" s="14" t="s">
        <v>4240</v>
      </c>
      <c r="F2237" s="4" t="s">
        <v>1523</v>
      </c>
      <c r="H2237" s="6"/>
    </row>
    <row r="2238" spans="1:8" x14ac:dyDescent="0.2">
      <c r="A2238" s="14" t="s">
        <v>3194</v>
      </c>
      <c r="B2238" s="14" t="s">
        <v>1522</v>
      </c>
      <c r="C2238" s="14" t="s">
        <v>2017</v>
      </c>
      <c r="D2238" s="11" t="s">
        <v>3764</v>
      </c>
      <c r="E2238" s="14" t="s">
        <v>4241</v>
      </c>
      <c r="F2238" s="4" t="s">
        <v>1523</v>
      </c>
      <c r="H2238" s="6"/>
    </row>
    <row r="2239" spans="1:8" x14ac:dyDescent="0.2">
      <c r="A2239" s="14" t="s">
        <v>3195</v>
      </c>
      <c r="B2239" s="14" t="s">
        <v>1522</v>
      </c>
      <c r="C2239" s="14" t="s">
        <v>2018</v>
      </c>
      <c r="D2239" s="11" t="s">
        <v>3764</v>
      </c>
      <c r="E2239" s="14" t="s">
        <v>4242</v>
      </c>
      <c r="F2239" s="4" t="s">
        <v>1523</v>
      </c>
      <c r="H2239" s="6"/>
    </row>
    <row r="2240" spans="1:8" x14ac:dyDescent="0.2">
      <c r="A2240" s="14" t="s">
        <v>3196</v>
      </c>
      <c r="B2240" s="14" t="s">
        <v>1522</v>
      </c>
      <c r="C2240" s="14" t="s">
        <v>2019</v>
      </c>
      <c r="D2240" s="11" t="s">
        <v>3765</v>
      </c>
      <c r="E2240" s="14" t="s">
        <v>4243</v>
      </c>
      <c r="F2240" s="4" t="s">
        <v>1523</v>
      </c>
      <c r="H2240" s="6"/>
    </row>
    <row r="2241" spans="1:8" x14ac:dyDescent="0.2">
      <c r="A2241" s="14" t="s">
        <v>3197</v>
      </c>
      <c r="B2241" s="14" t="s">
        <v>1522</v>
      </c>
      <c r="C2241" s="14" t="s">
        <v>2020</v>
      </c>
      <c r="D2241" s="11" t="s">
        <v>3765</v>
      </c>
      <c r="E2241" s="14" t="s">
        <v>4244</v>
      </c>
      <c r="F2241" s="4" t="s">
        <v>1523</v>
      </c>
      <c r="H2241" s="6"/>
    </row>
    <row r="2242" spans="1:8" x14ac:dyDescent="0.2">
      <c r="A2242" s="14" t="s">
        <v>3198</v>
      </c>
      <c r="B2242" s="14" t="s">
        <v>1522</v>
      </c>
      <c r="C2242" s="14" t="s">
        <v>2021</v>
      </c>
      <c r="D2242" s="11" t="s">
        <v>3765</v>
      </c>
      <c r="E2242" s="14" t="s">
        <v>4245</v>
      </c>
      <c r="F2242" s="4" t="s">
        <v>1523</v>
      </c>
      <c r="H2242" s="6"/>
    </row>
    <row r="2243" spans="1:8" x14ac:dyDescent="0.2">
      <c r="A2243" s="14" t="s">
        <v>3199</v>
      </c>
      <c r="B2243" s="14" t="s">
        <v>1522</v>
      </c>
      <c r="C2243" s="14" t="s">
        <v>2022</v>
      </c>
      <c r="D2243" s="11" t="s">
        <v>3765</v>
      </c>
      <c r="E2243" s="14" t="s">
        <v>4246</v>
      </c>
      <c r="F2243" s="4" t="s">
        <v>1523</v>
      </c>
      <c r="H2243" s="6"/>
    </row>
    <row r="2244" spans="1:8" x14ac:dyDescent="0.2">
      <c r="A2244" s="14" t="s">
        <v>3192</v>
      </c>
      <c r="B2244" s="14" t="s">
        <v>1522</v>
      </c>
      <c r="C2244" s="14" t="s">
        <v>2023</v>
      </c>
      <c r="D2244" s="11" t="s">
        <v>3764</v>
      </c>
      <c r="E2244" s="14" t="s">
        <v>4247</v>
      </c>
      <c r="F2244" s="4" t="s">
        <v>1523</v>
      </c>
      <c r="H2244" s="6"/>
    </row>
    <row r="2245" spans="1:8" x14ac:dyDescent="0.2">
      <c r="A2245" s="14" t="s">
        <v>3193</v>
      </c>
      <c r="B2245" s="14" t="s">
        <v>1522</v>
      </c>
      <c r="C2245" s="14" t="s">
        <v>2024</v>
      </c>
      <c r="D2245" s="11" t="s">
        <v>3764</v>
      </c>
      <c r="E2245" s="14" t="s">
        <v>4247</v>
      </c>
      <c r="F2245" s="4" t="s">
        <v>1523</v>
      </c>
      <c r="H2245" s="6"/>
    </row>
    <row r="2246" spans="1:8" x14ac:dyDescent="0.2">
      <c r="A2246" s="14" t="s">
        <v>3194</v>
      </c>
      <c r="B2246" s="14" t="s">
        <v>1522</v>
      </c>
      <c r="C2246" s="14" t="s">
        <v>2025</v>
      </c>
      <c r="D2246" s="11" t="s">
        <v>3764</v>
      </c>
      <c r="E2246" s="14" t="s">
        <v>4247</v>
      </c>
      <c r="F2246" s="4" t="s">
        <v>1523</v>
      </c>
      <c r="H2246" s="6"/>
    </row>
    <row r="2247" spans="1:8" x14ac:dyDescent="0.2">
      <c r="A2247" s="14" t="s">
        <v>3195</v>
      </c>
      <c r="B2247" s="14" t="s">
        <v>1522</v>
      </c>
      <c r="C2247" s="14" t="s">
        <v>2026</v>
      </c>
      <c r="D2247" s="11" t="s">
        <v>3764</v>
      </c>
      <c r="E2247" s="14" t="s">
        <v>4247</v>
      </c>
      <c r="F2247" s="4" t="s">
        <v>1523</v>
      </c>
      <c r="H2247" s="6"/>
    </row>
    <row r="2248" spans="1:8" x14ac:dyDescent="0.2">
      <c r="A2248" s="14" t="s">
        <v>3196</v>
      </c>
      <c r="B2248" s="14" t="s">
        <v>1522</v>
      </c>
      <c r="C2248" s="14" t="s">
        <v>2027</v>
      </c>
      <c r="D2248" s="11" t="s">
        <v>3765</v>
      </c>
      <c r="E2248" s="14" t="s">
        <v>4248</v>
      </c>
      <c r="F2248" s="4" t="s">
        <v>1523</v>
      </c>
      <c r="H2248" s="6"/>
    </row>
    <row r="2249" spans="1:8" x14ac:dyDescent="0.2">
      <c r="A2249" s="14" t="s">
        <v>3197</v>
      </c>
      <c r="B2249" s="14" t="s">
        <v>1522</v>
      </c>
      <c r="C2249" s="14" t="s">
        <v>2028</v>
      </c>
      <c r="D2249" s="11" t="s">
        <v>3765</v>
      </c>
      <c r="E2249" s="14" t="s">
        <v>4248</v>
      </c>
      <c r="F2249" s="4" t="s">
        <v>1523</v>
      </c>
      <c r="H2249" s="6"/>
    </row>
    <row r="2250" spans="1:8" x14ac:dyDescent="0.2">
      <c r="A2250" s="14" t="s">
        <v>3198</v>
      </c>
      <c r="B2250" s="14" t="s">
        <v>1522</v>
      </c>
      <c r="C2250" s="14" t="s">
        <v>2029</v>
      </c>
      <c r="D2250" s="11" t="s">
        <v>3765</v>
      </c>
      <c r="E2250" s="14" t="s">
        <v>4248</v>
      </c>
      <c r="F2250" s="4" t="s">
        <v>1523</v>
      </c>
      <c r="H2250" s="6"/>
    </row>
    <row r="2251" spans="1:8" x14ac:dyDescent="0.2">
      <c r="A2251" s="14" t="s">
        <v>3199</v>
      </c>
      <c r="B2251" s="14" t="s">
        <v>1522</v>
      </c>
      <c r="C2251" s="14" t="s">
        <v>2030</v>
      </c>
      <c r="D2251" s="11" t="s">
        <v>3765</v>
      </c>
      <c r="E2251" s="14" t="s">
        <v>4248</v>
      </c>
      <c r="F2251" s="4" t="s">
        <v>1523</v>
      </c>
      <c r="H2251" s="6"/>
    </row>
    <row r="2252" spans="1:8" x14ac:dyDescent="0.2">
      <c r="A2252" s="14" t="s">
        <v>3204</v>
      </c>
      <c r="B2252" s="14" t="s">
        <v>1522</v>
      </c>
      <c r="C2252" s="14" t="s">
        <v>2031</v>
      </c>
      <c r="D2252" s="11" t="s">
        <v>3767</v>
      </c>
      <c r="E2252" s="14" t="s">
        <v>4249</v>
      </c>
      <c r="F2252" s="4" t="s">
        <v>1523</v>
      </c>
      <c r="H2252" s="6"/>
    </row>
    <row r="2253" spans="1:8" x14ac:dyDescent="0.2">
      <c r="A2253" s="14" t="s">
        <v>3205</v>
      </c>
      <c r="B2253" s="14" t="s">
        <v>1522</v>
      </c>
      <c r="C2253" s="14" t="s">
        <v>2032</v>
      </c>
      <c r="D2253" s="11" t="s">
        <v>3767</v>
      </c>
      <c r="E2253" s="14" t="s">
        <v>4249</v>
      </c>
      <c r="F2253" s="4" t="s">
        <v>1523</v>
      </c>
      <c r="H2253" s="6"/>
    </row>
    <row r="2254" spans="1:8" x14ac:dyDescent="0.2">
      <c r="A2254" s="14" t="s">
        <v>3206</v>
      </c>
      <c r="B2254" s="14" t="s">
        <v>1522</v>
      </c>
      <c r="C2254" s="14" t="s">
        <v>2033</v>
      </c>
      <c r="D2254" s="11" t="s">
        <v>3767</v>
      </c>
      <c r="E2254" s="14" t="s">
        <v>4249</v>
      </c>
      <c r="F2254" s="4" t="s">
        <v>1523</v>
      </c>
      <c r="H2254" s="6"/>
    </row>
    <row r="2255" spans="1:8" x14ac:dyDescent="0.2">
      <c r="A2255" s="14" t="s">
        <v>3207</v>
      </c>
      <c r="B2255" s="14" t="s">
        <v>1522</v>
      </c>
      <c r="C2255" s="14" t="s">
        <v>2034</v>
      </c>
      <c r="D2255" s="11" t="s">
        <v>3767</v>
      </c>
      <c r="E2255" s="14" t="s">
        <v>4249</v>
      </c>
      <c r="F2255" s="4" t="s">
        <v>1523</v>
      </c>
      <c r="H2255" s="6"/>
    </row>
    <row r="2256" spans="1:8" x14ac:dyDescent="0.2">
      <c r="A2256" s="14" t="s">
        <v>3208</v>
      </c>
      <c r="B2256" s="14" t="s">
        <v>1522</v>
      </c>
      <c r="C2256" s="14" t="s">
        <v>2112</v>
      </c>
      <c r="D2256" s="11" t="s">
        <v>3768</v>
      </c>
      <c r="E2256" s="14" t="s">
        <v>4327</v>
      </c>
      <c r="F2256" s="4" t="s">
        <v>1523</v>
      </c>
      <c r="H2256" s="6"/>
    </row>
    <row r="2257" spans="1:8" x14ac:dyDescent="0.2">
      <c r="A2257" s="14" t="s">
        <v>3209</v>
      </c>
      <c r="B2257" s="14" t="s">
        <v>1522</v>
      </c>
      <c r="C2257" s="14" t="s">
        <v>2113</v>
      </c>
      <c r="D2257" s="11" t="s">
        <v>3769</v>
      </c>
      <c r="E2257" s="14" t="s">
        <v>4328</v>
      </c>
      <c r="F2257" s="4" t="s">
        <v>1523</v>
      </c>
      <c r="H2257" s="6"/>
    </row>
    <row r="2258" spans="1:8" x14ac:dyDescent="0.2">
      <c r="A2258" s="14" t="s">
        <v>3210</v>
      </c>
      <c r="B2258" s="14" t="s">
        <v>1522</v>
      </c>
      <c r="C2258" s="14" t="s">
        <v>2114</v>
      </c>
      <c r="D2258" s="11" t="s">
        <v>3770</v>
      </c>
      <c r="E2258" s="14" t="s">
        <v>4329</v>
      </c>
      <c r="F2258" s="4" t="s">
        <v>1523</v>
      </c>
      <c r="H2258" s="6"/>
    </row>
    <row r="2259" spans="1:8" x14ac:dyDescent="0.2">
      <c r="A2259" s="14" t="s">
        <v>3211</v>
      </c>
      <c r="B2259" s="14" t="s">
        <v>1522</v>
      </c>
      <c r="C2259" s="14" t="s">
        <v>2115</v>
      </c>
      <c r="D2259" s="11" t="s">
        <v>3771</v>
      </c>
      <c r="E2259" s="14" t="s">
        <v>4330</v>
      </c>
      <c r="F2259" s="4" t="s">
        <v>1523</v>
      </c>
      <c r="H2259" s="6"/>
    </row>
    <row r="2260" spans="1:8" x14ac:dyDescent="0.2">
      <c r="A2260" s="14" t="s">
        <v>3212</v>
      </c>
      <c r="B2260" s="14" t="s">
        <v>1522</v>
      </c>
      <c r="C2260" s="14" t="s">
        <v>2116</v>
      </c>
      <c r="D2260" s="11" t="s">
        <v>3772</v>
      </c>
      <c r="E2260" s="14" t="s">
        <v>4331</v>
      </c>
      <c r="F2260" s="4" t="s">
        <v>1523</v>
      </c>
      <c r="H2260" s="6"/>
    </row>
    <row r="2261" spans="1:8" x14ac:dyDescent="0.2">
      <c r="A2261" s="14" t="s">
        <v>3213</v>
      </c>
      <c r="B2261" s="14" t="s">
        <v>1522</v>
      </c>
      <c r="C2261" s="14" t="s">
        <v>2117</v>
      </c>
      <c r="D2261" s="11" t="s">
        <v>3773</v>
      </c>
      <c r="E2261" s="14" t="s">
        <v>4332</v>
      </c>
      <c r="F2261" s="4" t="s">
        <v>1523</v>
      </c>
      <c r="H2261" s="6"/>
    </row>
    <row r="2262" spans="1:8" x14ac:dyDescent="0.2">
      <c r="A2262" s="14" t="s">
        <v>3214</v>
      </c>
      <c r="B2262" s="14" t="s">
        <v>1522</v>
      </c>
      <c r="C2262" s="14" t="s">
        <v>2118</v>
      </c>
      <c r="D2262" s="11" t="s">
        <v>3774</v>
      </c>
      <c r="E2262" s="14" t="s">
        <v>4333</v>
      </c>
      <c r="F2262" s="4" t="s">
        <v>1523</v>
      </c>
      <c r="H2262" s="6"/>
    </row>
    <row r="2263" spans="1:8" x14ac:dyDescent="0.2">
      <c r="A2263" s="14" t="s">
        <v>3215</v>
      </c>
      <c r="B2263" s="14" t="s">
        <v>1522</v>
      </c>
      <c r="C2263" s="14" t="s">
        <v>2119</v>
      </c>
      <c r="D2263" s="11" t="s">
        <v>3775</v>
      </c>
      <c r="E2263" s="14" t="s">
        <v>4334</v>
      </c>
      <c r="F2263" s="4" t="s">
        <v>1523</v>
      </c>
      <c r="H2263" s="6"/>
    </row>
    <row r="2264" spans="1:8" x14ac:dyDescent="0.2">
      <c r="A2264" s="14" t="s">
        <v>3216</v>
      </c>
      <c r="B2264" s="14" t="s">
        <v>1522</v>
      </c>
      <c r="C2264" s="14" t="s">
        <v>2120</v>
      </c>
      <c r="D2264" s="11" t="s">
        <v>3776</v>
      </c>
      <c r="E2264" s="14" t="s">
        <v>4335</v>
      </c>
      <c r="F2264" s="4" t="s">
        <v>1523</v>
      </c>
      <c r="H2264" s="6"/>
    </row>
    <row r="2265" spans="1:8" x14ac:dyDescent="0.2">
      <c r="A2265" s="14" t="s">
        <v>3217</v>
      </c>
      <c r="B2265" s="14" t="s">
        <v>1522</v>
      </c>
      <c r="C2265" s="14" t="s">
        <v>2121</v>
      </c>
      <c r="D2265" s="11" t="s">
        <v>3777</v>
      </c>
      <c r="E2265" s="14" t="s">
        <v>4336</v>
      </c>
      <c r="F2265" s="4" t="s">
        <v>1523</v>
      </c>
      <c r="H2265" s="6"/>
    </row>
    <row r="2266" spans="1:8" x14ac:dyDescent="0.2">
      <c r="A2266" s="14" t="s">
        <v>3218</v>
      </c>
      <c r="B2266" s="14" t="s">
        <v>1522</v>
      </c>
      <c r="C2266" s="14" t="s">
        <v>2122</v>
      </c>
      <c r="D2266" s="11" t="s">
        <v>3778</v>
      </c>
      <c r="E2266" s="14" t="s">
        <v>4337</v>
      </c>
      <c r="F2266" s="4" t="s">
        <v>1523</v>
      </c>
      <c r="H2266" s="6"/>
    </row>
    <row r="2267" spans="1:8" x14ac:dyDescent="0.2">
      <c r="A2267" s="14" t="s">
        <v>3219</v>
      </c>
      <c r="B2267" s="14" t="s">
        <v>1522</v>
      </c>
      <c r="C2267" s="14" t="s">
        <v>2123</v>
      </c>
      <c r="D2267" s="11" t="s">
        <v>3779</v>
      </c>
      <c r="E2267" s="14" t="s">
        <v>4338</v>
      </c>
      <c r="F2267" s="4" t="s">
        <v>1523</v>
      </c>
      <c r="H2267" s="6"/>
    </row>
    <row r="2268" spans="1:8" x14ac:dyDescent="0.2">
      <c r="A2268" s="14" t="s">
        <v>3220</v>
      </c>
      <c r="B2268" s="14" t="s">
        <v>1522</v>
      </c>
      <c r="C2268" s="14" t="s">
        <v>2124</v>
      </c>
      <c r="D2268" s="11" t="s">
        <v>3780</v>
      </c>
      <c r="E2268" s="14" t="s">
        <v>4339</v>
      </c>
      <c r="F2268" s="4" t="s">
        <v>1523</v>
      </c>
      <c r="H2268" s="6"/>
    </row>
    <row r="2269" spans="1:8" x14ac:dyDescent="0.2">
      <c r="A2269" s="14" t="s">
        <v>3221</v>
      </c>
      <c r="B2269" s="14" t="s">
        <v>1522</v>
      </c>
      <c r="C2269" s="14" t="s">
        <v>2125</v>
      </c>
      <c r="D2269" s="11" t="s">
        <v>3781</v>
      </c>
      <c r="E2269" s="14" t="s">
        <v>4340</v>
      </c>
      <c r="F2269" s="4" t="s">
        <v>1523</v>
      </c>
      <c r="H2269" s="6"/>
    </row>
    <row r="2270" spans="1:8" x14ac:dyDescent="0.2">
      <c r="A2270" s="14" t="s">
        <v>3222</v>
      </c>
      <c r="B2270" s="14" t="s">
        <v>1522</v>
      </c>
      <c r="C2270" s="14" t="s">
        <v>2126</v>
      </c>
      <c r="D2270" s="11" t="s">
        <v>3782</v>
      </c>
      <c r="E2270" s="14" t="s">
        <v>4341</v>
      </c>
      <c r="F2270" s="4" t="s">
        <v>1523</v>
      </c>
      <c r="H2270" s="6"/>
    </row>
    <row r="2271" spans="1:8" x14ac:dyDescent="0.2">
      <c r="A2271" s="14" t="s">
        <v>3223</v>
      </c>
      <c r="B2271" s="14" t="s">
        <v>1522</v>
      </c>
      <c r="C2271" s="14" t="s">
        <v>2127</v>
      </c>
      <c r="D2271" s="11" t="s">
        <v>3783</v>
      </c>
      <c r="E2271" s="14" t="s">
        <v>4342</v>
      </c>
      <c r="F2271" s="4" t="s">
        <v>1523</v>
      </c>
      <c r="H2271" s="6"/>
    </row>
    <row r="2272" spans="1:8" x14ac:dyDescent="0.2">
      <c r="A2272" s="14" t="s">
        <v>3224</v>
      </c>
      <c r="B2272" s="14" t="s">
        <v>1522</v>
      </c>
      <c r="C2272" s="14" t="s">
        <v>2128</v>
      </c>
      <c r="D2272" s="11" t="s">
        <v>3784</v>
      </c>
      <c r="E2272" s="14" t="s">
        <v>4343</v>
      </c>
      <c r="F2272" s="4" t="s">
        <v>1523</v>
      </c>
      <c r="H2272" s="6"/>
    </row>
    <row r="2273" spans="1:8" x14ac:dyDescent="0.2">
      <c r="A2273" s="14" t="s">
        <v>3225</v>
      </c>
      <c r="B2273" s="14" t="s">
        <v>1522</v>
      </c>
      <c r="C2273" s="14" t="s">
        <v>2129</v>
      </c>
      <c r="D2273" s="11" t="s">
        <v>3785</v>
      </c>
      <c r="E2273" s="14" t="s">
        <v>4344</v>
      </c>
      <c r="F2273" s="4" t="s">
        <v>1523</v>
      </c>
      <c r="H2273" s="6"/>
    </row>
    <row r="2274" spans="1:8" x14ac:dyDescent="0.2">
      <c r="A2274" s="14" t="s">
        <v>3226</v>
      </c>
      <c r="B2274" s="14" t="s">
        <v>1522</v>
      </c>
      <c r="C2274" s="14" t="s">
        <v>2134</v>
      </c>
      <c r="D2274" s="11" t="s">
        <v>4349</v>
      </c>
      <c r="E2274" s="14" t="s">
        <v>4349</v>
      </c>
      <c r="F2274" s="4" t="s">
        <v>1523</v>
      </c>
      <c r="H2274" s="6"/>
    </row>
    <row r="2275" spans="1:8" x14ac:dyDescent="0.2">
      <c r="A2275" s="14" t="s">
        <v>3227</v>
      </c>
      <c r="B2275" s="14" t="s">
        <v>1522</v>
      </c>
      <c r="C2275" s="14" t="s">
        <v>2139</v>
      </c>
      <c r="D2275" s="11" t="s">
        <v>4354</v>
      </c>
      <c r="E2275" s="14" t="s">
        <v>4354</v>
      </c>
      <c r="F2275" s="4" t="s">
        <v>1523</v>
      </c>
      <c r="H2275" s="6"/>
    </row>
    <row r="2276" spans="1:8" x14ac:dyDescent="0.2">
      <c r="A2276" s="14" t="s">
        <v>3228</v>
      </c>
      <c r="B2276" s="14" t="s">
        <v>1522</v>
      </c>
      <c r="C2276" s="14" t="s">
        <v>2140</v>
      </c>
      <c r="D2276" s="11" t="s">
        <v>3786</v>
      </c>
      <c r="E2276" s="14" t="s">
        <v>4355</v>
      </c>
      <c r="F2276" s="4" t="s">
        <v>1523</v>
      </c>
      <c r="H2276" s="6"/>
    </row>
    <row r="2277" spans="1:8" x14ac:dyDescent="0.2">
      <c r="A2277" s="14" t="s">
        <v>3229</v>
      </c>
      <c r="B2277" s="14" t="s">
        <v>1522</v>
      </c>
      <c r="C2277" s="14" t="s">
        <v>2141</v>
      </c>
      <c r="D2277" s="11" t="s">
        <v>3787</v>
      </c>
      <c r="E2277" s="14" t="s">
        <v>4356</v>
      </c>
      <c r="F2277" s="4" t="s">
        <v>1523</v>
      </c>
      <c r="H2277" s="6"/>
    </row>
    <row r="2278" spans="1:8" x14ac:dyDescent="0.2">
      <c r="A2278" s="14" t="s">
        <v>3230</v>
      </c>
      <c r="B2278" s="14" t="s">
        <v>1522</v>
      </c>
      <c r="C2278" s="14" t="s">
        <v>2146</v>
      </c>
      <c r="D2278" s="11" t="s">
        <v>4361</v>
      </c>
      <c r="E2278" s="14" t="s">
        <v>4361</v>
      </c>
      <c r="F2278" s="4" t="s">
        <v>1523</v>
      </c>
      <c r="H2278" s="6"/>
    </row>
    <row r="2279" spans="1:8" x14ac:dyDescent="0.2">
      <c r="A2279" s="14" t="s">
        <v>3231</v>
      </c>
      <c r="B2279" s="14" t="s">
        <v>1522</v>
      </c>
      <c r="C2279" s="14" t="s">
        <v>2151</v>
      </c>
      <c r="D2279" s="11" t="s">
        <v>4366</v>
      </c>
      <c r="E2279" s="14" t="s">
        <v>4366</v>
      </c>
      <c r="F2279" s="4" t="s">
        <v>1523</v>
      </c>
      <c r="H2279" s="6"/>
    </row>
    <row r="2280" spans="1:8" x14ac:dyDescent="0.2">
      <c r="A2280" s="14" t="s">
        <v>3232</v>
      </c>
      <c r="B2280" s="14" t="s">
        <v>1522</v>
      </c>
      <c r="C2280" s="14" t="s">
        <v>2152</v>
      </c>
      <c r="D2280" s="11" t="s">
        <v>3788</v>
      </c>
      <c r="E2280" s="14" t="s">
        <v>4367</v>
      </c>
      <c r="F2280" s="4" t="s">
        <v>1523</v>
      </c>
      <c r="H2280" s="6"/>
    </row>
    <row r="2281" spans="1:8" x14ac:dyDescent="0.2">
      <c r="A2281" s="14" t="s">
        <v>3233</v>
      </c>
      <c r="B2281" s="14" t="s">
        <v>1522</v>
      </c>
      <c r="C2281" s="14" t="s">
        <v>2153</v>
      </c>
      <c r="D2281" s="11" t="s">
        <v>3789</v>
      </c>
      <c r="E2281" s="14" t="s">
        <v>4368</v>
      </c>
      <c r="F2281" s="4" t="s">
        <v>1523</v>
      </c>
      <c r="H2281" s="6"/>
    </row>
    <row r="2282" spans="1:8" x14ac:dyDescent="0.2">
      <c r="A2282" s="14" t="s">
        <v>3234</v>
      </c>
      <c r="B2282" s="14" t="s">
        <v>1522</v>
      </c>
      <c r="C2282" s="14" t="s">
        <v>2157</v>
      </c>
      <c r="D2282" s="11" t="s">
        <v>4372</v>
      </c>
      <c r="E2282" s="14" t="s">
        <v>4372</v>
      </c>
      <c r="F2282" s="4" t="s">
        <v>1523</v>
      </c>
      <c r="H2282" s="6"/>
    </row>
    <row r="2283" spans="1:8" x14ac:dyDescent="0.2">
      <c r="A2283" s="14" t="s">
        <v>3235</v>
      </c>
      <c r="B2283" s="14" t="s">
        <v>1522</v>
      </c>
      <c r="C2283" s="14" t="s">
        <v>2162</v>
      </c>
      <c r="D2283" s="11" t="s">
        <v>4377</v>
      </c>
      <c r="E2283" s="14" t="s">
        <v>4377</v>
      </c>
      <c r="F2283" s="4" t="s">
        <v>1523</v>
      </c>
      <c r="H2283" s="6"/>
    </row>
    <row r="2284" spans="1:8" x14ac:dyDescent="0.2">
      <c r="A2284" s="14" t="s">
        <v>3236</v>
      </c>
      <c r="B2284" s="14" t="s">
        <v>1522</v>
      </c>
      <c r="C2284" s="14" t="s">
        <v>2163</v>
      </c>
      <c r="D2284" s="11" t="s">
        <v>3790</v>
      </c>
      <c r="E2284" s="14" t="s">
        <v>4378</v>
      </c>
      <c r="F2284" s="4" t="s">
        <v>1523</v>
      </c>
      <c r="H2284" s="6"/>
    </row>
    <row r="2285" spans="1:8" x14ac:dyDescent="0.2">
      <c r="A2285" s="14" t="s">
        <v>3237</v>
      </c>
      <c r="B2285" s="14" t="s">
        <v>1522</v>
      </c>
      <c r="C2285" s="14" t="s">
        <v>2168</v>
      </c>
      <c r="D2285" s="11" t="s">
        <v>4383</v>
      </c>
      <c r="E2285" s="14" t="s">
        <v>4383</v>
      </c>
      <c r="F2285" s="4" t="s">
        <v>1523</v>
      </c>
      <c r="H2285" s="6"/>
    </row>
    <row r="2286" spans="1:8" x14ac:dyDescent="0.2">
      <c r="A2286" s="14" t="s">
        <v>3238</v>
      </c>
      <c r="B2286" s="14" t="s">
        <v>1522</v>
      </c>
      <c r="C2286" s="14" t="s">
        <v>2169</v>
      </c>
      <c r="D2286" s="11" t="s">
        <v>3791</v>
      </c>
      <c r="E2286" s="14" t="s">
        <v>4384</v>
      </c>
      <c r="F2286" s="4" t="s">
        <v>1523</v>
      </c>
      <c r="H2286" s="6"/>
    </row>
    <row r="2287" spans="1:8" x14ac:dyDescent="0.2">
      <c r="A2287" s="14" t="s">
        <v>3239</v>
      </c>
      <c r="B2287" s="14" t="s">
        <v>1522</v>
      </c>
      <c r="C2287" s="14" t="s">
        <v>2173</v>
      </c>
      <c r="D2287" s="11" t="s">
        <v>4388</v>
      </c>
      <c r="E2287" s="14" t="s">
        <v>4388</v>
      </c>
      <c r="F2287" s="4" t="s">
        <v>1523</v>
      </c>
      <c r="H2287" s="6"/>
    </row>
    <row r="2288" spans="1:8" x14ac:dyDescent="0.2">
      <c r="A2288" s="14" t="s">
        <v>3240</v>
      </c>
      <c r="B2288" s="14" t="s">
        <v>1522</v>
      </c>
      <c r="C2288" s="14" t="s">
        <v>2174</v>
      </c>
      <c r="D2288" s="11" t="s">
        <v>3792</v>
      </c>
      <c r="E2288" s="14" t="s">
        <v>4389</v>
      </c>
      <c r="F2288" s="4" t="s">
        <v>1523</v>
      </c>
      <c r="H2288" s="6"/>
    </row>
    <row r="2289" spans="1:8" x14ac:dyDescent="0.2">
      <c r="A2289" s="14" t="s">
        <v>3241</v>
      </c>
      <c r="B2289" s="14" t="s">
        <v>1522</v>
      </c>
      <c r="C2289" s="14" t="s">
        <v>2175</v>
      </c>
      <c r="D2289" s="11" t="s">
        <v>3793</v>
      </c>
      <c r="E2289" s="14" t="s">
        <v>4390</v>
      </c>
      <c r="F2289" s="4" t="s">
        <v>1523</v>
      </c>
      <c r="H2289" s="6"/>
    </row>
    <row r="2290" spans="1:8" x14ac:dyDescent="0.2">
      <c r="A2290" s="14" t="s">
        <v>3242</v>
      </c>
      <c r="B2290" s="14" t="s">
        <v>1522</v>
      </c>
      <c r="C2290" s="14" t="s">
        <v>2176</v>
      </c>
      <c r="D2290" s="11" t="s">
        <v>3794</v>
      </c>
      <c r="E2290" s="14" t="s">
        <v>4391</v>
      </c>
      <c r="F2290" s="4" t="s">
        <v>1523</v>
      </c>
      <c r="H2290" s="6"/>
    </row>
    <row r="2291" spans="1:8" x14ac:dyDescent="0.2">
      <c r="A2291" s="14" t="s">
        <v>3243</v>
      </c>
      <c r="B2291" s="14" t="s">
        <v>1522</v>
      </c>
      <c r="C2291" s="14" t="s">
        <v>2177</v>
      </c>
      <c r="D2291" s="11" t="s">
        <v>3795</v>
      </c>
      <c r="E2291" s="14" t="s">
        <v>4392</v>
      </c>
      <c r="F2291" s="4" t="s">
        <v>1523</v>
      </c>
      <c r="H2291" s="6"/>
    </row>
    <row r="2292" spans="1:8" x14ac:dyDescent="0.2">
      <c r="A2292" s="14" t="s">
        <v>3244</v>
      </c>
      <c r="B2292" s="14" t="s">
        <v>1522</v>
      </c>
      <c r="C2292" s="14" t="s">
        <v>2178</v>
      </c>
      <c r="D2292" s="11" t="s">
        <v>3796</v>
      </c>
      <c r="E2292" s="14" t="s">
        <v>4393</v>
      </c>
      <c r="F2292" s="4" t="s">
        <v>1523</v>
      </c>
      <c r="H2292" s="6"/>
    </row>
    <row r="2293" spans="1:8" x14ac:dyDescent="0.2">
      <c r="A2293" s="14" t="s">
        <v>3245</v>
      </c>
      <c r="B2293" s="14" t="s">
        <v>1522</v>
      </c>
      <c r="C2293" s="14" t="s">
        <v>2179</v>
      </c>
      <c r="D2293" s="11" t="s">
        <v>3797</v>
      </c>
      <c r="E2293" s="14" t="s">
        <v>4394</v>
      </c>
      <c r="F2293" s="4" t="s">
        <v>1523</v>
      </c>
      <c r="H2293" s="6"/>
    </row>
    <row r="2294" spans="1:8" x14ac:dyDescent="0.2">
      <c r="A2294" s="14" t="s">
        <v>3246</v>
      </c>
      <c r="B2294" s="14" t="s">
        <v>1522</v>
      </c>
      <c r="C2294" s="14" t="s">
        <v>2180</v>
      </c>
      <c r="D2294" s="11" t="s">
        <v>3798</v>
      </c>
      <c r="E2294" s="14" t="s">
        <v>4395</v>
      </c>
      <c r="F2294" s="4" t="s">
        <v>1523</v>
      </c>
      <c r="H2294" s="6"/>
    </row>
    <row r="2295" spans="1:8" x14ac:dyDescent="0.2">
      <c r="A2295" s="14" t="s">
        <v>3247</v>
      </c>
      <c r="B2295" s="14" t="s">
        <v>1522</v>
      </c>
      <c r="C2295" s="14" t="s">
        <v>2181</v>
      </c>
      <c r="D2295" s="11" t="s">
        <v>3799</v>
      </c>
      <c r="E2295" s="14" t="s">
        <v>4396</v>
      </c>
      <c r="F2295" s="4" t="s">
        <v>1523</v>
      </c>
      <c r="H2295" s="6"/>
    </row>
    <row r="2296" spans="1:8" x14ac:dyDescent="0.2">
      <c r="A2296" s="14" t="s">
        <v>3248</v>
      </c>
      <c r="B2296" s="14" t="s">
        <v>1522</v>
      </c>
      <c r="C2296" s="14" t="s">
        <v>2182</v>
      </c>
      <c r="D2296" s="11" t="s">
        <v>3800</v>
      </c>
      <c r="E2296" s="14" t="s">
        <v>4397</v>
      </c>
      <c r="F2296" s="4" t="s">
        <v>1523</v>
      </c>
      <c r="H2296" s="6"/>
    </row>
    <row r="2297" spans="1:8" x14ac:dyDescent="0.2">
      <c r="A2297" s="14" t="s">
        <v>3249</v>
      </c>
      <c r="B2297" s="14" t="s">
        <v>1522</v>
      </c>
      <c r="C2297" s="14" t="s">
        <v>2183</v>
      </c>
      <c r="D2297" s="11" t="s">
        <v>3801</v>
      </c>
      <c r="E2297" s="14" t="s">
        <v>4398</v>
      </c>
      <c r="F2297" s="4" t="s">
        <v>1523</v>
      </c>
      <c r="H2297" s="6"/>
    </row>
    <row r="2298" spans="1:8" x14ac:dyDescent="0.2">
      <c r="A2298" s="14" t="s">
        <v>3250</v>
      </c>
      <c r="B2298" s="14" t="s">
        <v>1522</v>
      </c>
      <c r="C2298" s="14" t="s">
        <v>2184</v>
      </c>
      <c r="D2298" s="11" t="s">
        <v>3802</v>
      </c>
      <c r="E2298" s="14" t="s">
        <v>4399</v>
      </c>
      <c r="F2298" s="4" t="s">
        <v>1523</v>
      </c>
      <c r="H2298" s="6"/>
    </row>
    <row r="2299" spans="1:8" x14ac:dyDescent="0.2">
      <c r="A2299" s="14" t="s">
        <v>3251</v>
      </c>
      <c r="B2299" s="14" t="s">
        <v>1522</v>
      </c>
      <c r="C2299" s="14" t="s">
        <v>2185</v>
      </c>
      <c r="D2299" s="11" t="s">
        <v>3803</v>
      </c>
      <c r="E2299" s="14" t="s">
        <v>4400</v>
      </c>
      <c r="F2299" s="4" t="s">
        <v>1523</v>
      </c>
      <c r="H2299" s="6"/>
    </row>
    <row r="2300" spans="1:8" x14ac:dyDescent="0.2">
      <c r="A2300" s="14" t="s">
        <v>3252</v>
      </c>
      <c r="B2300" s="14" t="s">
        <v>1522</v>
      </c>
      <c r="C2300" s="14" t="s">
        <v>2189</v>
      </c>
      <c r="D2300" s="11" t="s">
        <v>3804</v>
      </c>
      <c r="E2300" s="14" t="s">
        <v>4404</v>
      </c>
      <c r="F2300" s="4" t="s">
        <v>1523</v>
      </c>
      <c r="H2300" s="6"/>
    </row>
    <row r="2301" spans="1:8" x14ac:dyDescent="0.2">
      <c r="A2301" s="14" t="s">
        <v>3253</v>
      </c>
      <c r="B2301" s="14" t="s">
        <v>1522</v>
      </c>
      <c r="C2301" s="14" t="s">
        <v>2190</v>
      </c>
      <c r="D2301" s="11" t="s">
        <v>3805</v>
      </c>
      <c r="E2301" s="14" t="s">
        <v>4405</v>
      </c>
      <c r="F2301" s="4" t="s">
        <v>1523</v>
      </c>
      <c r="H2301" s="6"/>
    </row>
    <row r="2302" spans="1:8" x14ac:dyDescent="0.2">
      <c r="A2302" s="14" t="s">
        <v>3254</v>
      </c>
      <c r="B2302" s="14" t="s">
        <v>1522</v>
      </c>
      <c r="C2302" s="14" t="s">
        <v>2191</v>
      </c>
      <c r="D2302" s="11" t="s">
        <v>3806</v>
      </c>
      <c r="E2302" s="14" t="s">
        <v>4406</v>
      </c>
      <c r="F2302" s="4" t="s">
        <v>1523</v>
      </c>
      <c r="H2302" s="6"/>
    </row>
    <row r="2303" spans="1:8" x14ac:dyDescent="0.2">
      <c r="A2303" s="14" t="s">
        <v>3255</v>
      </c>
      <c r="B2303" s="14" t="s">
        <v>1522</v>
      </c>
      <c r="C2303" s="14" t="s">
        <v>2192</v>
      </c>
      <c r="D2303" s="11" t="s">
        <v>3807</v>
      </c>
      <c r="E2303" s="14" t="s">
        <v>4407</v>
      </c>
      <c r="F2303" s="4" t="s">
        <v>1523</v>
      </c>
      <c r="H2303" s="6"/>
    </row>
    <row r="2304" spans="1:8" x14ac:dyDescent="0.2">
      <c r="A2304" s="14" t="s">
        <v>3256</v>
      </c>
      <c r="B2304" s="14" t="s">
        <v>1522</v>
      </c>
      <c r="C2304" s="14" t="s">
        <v>2193</v>
      </c>
      <c r="D2304" s="11" t="s">
        <v>3808</v>
      </c>
      <c r="E2304" s="14" t="s">
        <v>4408</v>
      </c>
      <c r="F2304" s="4" t="s">
        <v>1523</v>
      </c>
      <c r="H2304" s="6"/>
    </row>
    <row r="2305" spans="1:8" x14ac:dyDescent="0.2">
      <c r="A2305" s="14" t="s">
        <v>3257</v>
      </c>
      <c r="B2305" s="14" t="s">
        <v>1522</v>
      </c>
      <c r="C2305" s="14" t="s">
        <v>2195</v>
      </c>
      <c r="D2305" s="11" t="s">
        <v>3809</v>
      </c>
      <c r="E2305" s="14" t="s">
        <v>4410</v>
      </c>
      <c r="F2305" s="4" t="s">
        <v>1523</v>
      </c>
      <c r="H2305" s="6"/>
    </row>
    <row r="2306" spans="1:8" x14ac:dyDescent="0.2">
      <c r="A2306" s="14" t="s">
        <v>3258</v>
      </c>
      <c r="B2306" s="14" t="s">
        <v>1522</v>
      </c>
      <c r="C2306" s="14" t="s">
        <v>2202</v>
      </c>
      <c r="D2306" s="11" t="s">
        <v>3810</v>
      </c>
      <c r="E2306" s="14" t="s">
        <v>4417</v>
      </c>
      <c r="F2306" s="4" t="s">
        <v>1523</v>
      </c>
      <c r="H2306" s="6"/>
    </row>
    <row r="2307" spans="1:8" x14ac:dyDescent="0.2">
      <c r="A2307" s="14" t="s">
        <v>3259</v>
      </c>
      <c r="B2307" s="14" t="s">
        <v>1522</v>
      </c>
      <c r="C2307" s="14" t="s">
        <v>2203</v>
      </c>
      <c r="D2307" s="11" t="s">
        <v>3811</v>
      </c>
      <c r="E2307" s="14" t="s">
        <v>4418</v>
      </c>
      <c r="F2307" s="4" t="s">
        <v>1523</v>
      </c>
      <c r="H2307" s="6"/>
    </row>
    <row r="2308" spans="1:8" x14ac:dyDescent="0.2">
      <c r="A2308" s="14" t="s">
        <v>3260</v>
      </c>
      <c r="B2308" s="14" t="s">
        <v>1522</v>
      </c>
      <c r="C2308" s="14" t="s">
        <v>2204</v>
      </c>
      <c r="D2308" s="11" t="s">
        <v>3812</v>
      </c>
      <c r="E2308" s="14" t="s">
        <v>4419</v>
      </c>
      <c r="F2308" s="4" t="s">
        <v>1523</v>
      </c>
      <c r="H2308" s="6"/>
    </row>
    <row r="2309" spans="1:8" x14ac:dyDescent="0.2">
      <c r="A2309" s="14" t="s">
        <v>3261</v>
      </c>
      <c r="B2309" s="14" t="s">
        <v>1522</v>
      </c>
      <c r="C2309" s="14" t="s">
        <v>2205</v>
      </c>
      <c r="D2309" s="11" t="s">
        <v>3813</v>
      </c>
      <c r="E2309" s="14" t="s">
        <v>4420</v>
      </c>
      <c r="F2309" s="4" t="s">
        <v>1523</v>
      </c>
      <c r="H2309" s="6"/>
    </row>
    <row r="2310" spans="1:8" x14ac:dyDescent="0.2">
      <c r="A2310" s="14" t="s">
        <v>3262</v>
      </c>
      <c r="B2310" s="14" t="s">
        <v>1522</v>
      </c>
      <c r="C2310" s="14" t="s">
        <v>2206</v>
      </c>
      <c r="D2310" s="11" t="s">
        <v>3814</v>
      </c>
      <c r="E2310" s="14" t="s">
        <v>4421</v>
      </c>
      <c r="F2310" s="4" t="s">
        <v>1523</v>
      </c>
      <c r="H2310" s="6"/>
    </row>
    <row r="2311" spans="1:8" x14ac:dyDescent="0.2">
      <c r="A2311" s="14" t="s">
        <v>3263</v>
      </c>
      <c r="B2311" s="14" t="s">
        <v>1522</v>
      </c>
      <c r="C2311" s="14" t="s">
        <v>2207</v>
      </c>
      <c r="D2311" s="11" t="s">
        <v>3815</v>
      </c>
      <c r="E2311" s="14" t="s">
        <v>4422</v>
      </c>
      <c r="F2311" s="4" t="s">
        <v>1523</v>
      </c>
      <c r="H2311" s="6"/>
    </row>
    <row r="2312" spans="1:8" x14ac:dyDescent="0.2">
      <c r="A2312" s="14" t="s">
        <v>3264</v>
      </c>
      <c r="B2312" s="14" t="s">
        <v>1522</v>
      </c>
      <c r="C2312" s="14" t="s">
        <v>2208</v>
      </c>
      <c r="D2312" s="11" t="s">
        <v>3816</v>
      </c>
      <c r="E2312" s="14" t="s">
        <v>4423</v>
      </c>
      <c r="F2312" s="4" t="s">
        <v>1523</v>
      </c>
      <c r="H2312" s="6"/>
    </row>
    <row r="2313" spans="1:8" x14ac:dyDescent="0.2">
      <c r="A2313" s="14" t="s">
        <v>3265</v>
      </c>
      <c r="B2313" s="14" t="s">
        <v>1522</v>
      </c>
      <c r="C2313" s="14" t="s">
        <v>2209</v>
      </c>
      <c r="D2313" s="11" t="s">
        <v>3817</v>
      </c>
      <c r="E2313" s="14" t="s">
        <v>4424</v>
      </c>
      <c r="F2313" s="4" t="s">
        <v>1523</v>
      </c>
      <c r="H2313" s="6"/>
    </row>
    <row r="2314" spans="1:8" x14ac:dyDescent="0.2">
      <c r="A2314" s="14" t="s">
        <v>3266</v>
      </c>
      <c r="B2314" s="14" t="s">
        <v>1522</v>
      </c>
      <c r="C2314" s="14" t="s">
        <v>2210</v>
      </c>
      <c r="D2314" s="11" t="s">
        <v>3818</v>
      </c>
      <c r="E2314" s="14" t="s">
        <v>4425</v>
      </c>
      <c r="F2314" s="4" t="s">
        <v>1523</v>
      </c>
      <c r="H2314" s="6"/>
    </row>
    <row r="2315" spans="1:8" x14ac:dyDescent="0.2">
      <c r="A2315" s="14" t="s">
        <v>3267</v>
      </c>
      <c r="B2315" s="14" t="s">
        <v>1522</v>
      </c>
      <c r="C2315" s="14" t="s">
        <v>2211</v>
      </c>
      <c r="D2315" s="11" t="s">
        <v>3819</v>
      </c>
      <c r="E2315" s="14" t="s">
        <v>4426</v>
      </c>
      <c r="F2315" s="4" t="s">
        <v>1523</v>
      </c>
      <c r="H2315" s="6"/>
    </row>
    <row r="2316" spans="1:8" x14ac:dyDescent="0.2">
      <c r="A2316" s="14" t="s">
        <v>3268</v>
      </c>
      <c r="B2316" s="14" t="s">
        <v>1522</v>
      </c>
      <c r="C2316" s="14" t="s">
        <v>2212</v>
      </c>
      <c r="D2316" s="11" t="s">
        <v>3820</v>
      </c>
      <c r="E2316" s="14" t="s">
        <v>4427</v>
      </c>
      <c r="F2316" s="4" t="s">
        <v>1523</v>
      </c>
      <c r="H2316" s="6"/>
    </row>
    <row r="2317" spans="1:8" x14ac:dyDescent="0.2">
      <c r="A2317" s="14" t="s">
        <v>3269</v>
      </c>
      <c r="B2317" s="14" t="s">
        <v>1522</v>
      </c>
      <c r="C2317" s="14" t="s">
        <v>2213</v>
      </c>
      <c r="D2317" s="11" t="s">
        <v>3821</v>
      </c>
      <c r="E2317" s="14" t="s">
        <v>4428</v>
      </c>
      <c r="F2317" s="4" t="s">
        <v>1523</v>
      </c>
      <c r="H2317" s="6"/>
    </row>
    <row r="2318" spans="1:8" x14ac:dyDescent="0.2">
      <c r="A2318" s="14" t="s">
        <v>3270</v>
      </c>
      <c r="B2318" s="14" t="s">
        <v>1522</v>
      </c>
      <c r="C2318" s="14" t="s">
        <v>2214</v>
      </c>
      <c r="D2318" s="11" t="s">
        <v>3822</v>
      </c>
      <c r="E2318" s="14" t="s">
        <v>4429</v>
      </c>
      <c r="F2318" s="4" t="s">
        <v>1523</v>
      </c>
      <c r="H2318" s="6"/>
    </row>
    <row r="2319" spans="1:8" x14ac:dyDescent="0.2">
      <c r="A2319" s="14" t="s">
        <v>3271</v>
      </c>
      <c r="B2319" s="14" t="s">
        <v>1522</v>
      </c>
      <c r="C2319" s="14" t="s">
        <v>2215</v>
      </c>
      <c r="D2319" s="11" t="s">
        <v>3823</v>
      </c>
      <c r="E2319" s="14" t="s">
        <v>4430</v>
      </c>
      <c r="F2319" s="4" t="s">
        <v>1523</v>
      </c>
      <c r="H2319" s="6"/>
    </row>
    <row r="2320" spans="1:8" x14ac:dyDescent="0.2">
      <c r="A2320" s="14" t="s">
        <v>3272</v>
      </c>
      <c r="B2320" s="14" t="s">
        <v>1522</v>
      </c>
      <c r="C2320" s="14" t="s">
        <v>2216</v>
      </c>
      <c r="D2320" s="11" t="s">
        <v>3824</v>
      </c>
      <c r="E2320" s="14" t="s">
        <v>4431</v>
      </c>
      <c r="F2320" s="4" t="s">
        <v>1523</v>
      </c>
      <c r="H2320" s="6"/>
    </row>
    <row r="2321" spans="1:8" x14ac:dyDescent="0.2">
      <c r="A2321" s="14" t="s">
        <v>3273</v>
      </c>
      <c r="B2321" s="14" t="s">
        <v>1522</v>
      </c>
      <c r="C2321" s="14" t="s">
        <v>2217</v>
      </c>
      <c r="D2321" s="11" t="s">
        <v>3825</v>
      </c>
      <c r="E2321" s="14" t="s">
        <v>4432</v>
      </c>
      <c r="F2321" s="4" t="s">
        <v>1523</v>
      </c>
      <c r="H2321" s="6"/>
    </row>
    <row r="2322" spans="1:8" x14ac:dyDescent="0.2">
      <c r="A2322" s="14" t="s">
        <v>3274</v>
      </c>
      <c r="B2322" s="14" t="s">
        <v>1522</v>
      </c>
      <c r="C2322" s="14" t="s">
        <v>2218</v>
      </c>
      <c r="D2322" s="11" t="s">
        <v>3826</v>
      </c>
      <c r="E2322" s="14" t="s">
        <v>4433</v>
      </c>
      <c r="F2322" s="4" t="s">
        <v>1523</v>
      </c>
      <c r="H2322" s="6"/>
    </row>
    <row r="2323" spans="1:8" x14ac:dyDescent="0.2">
      <c r="A2323" s="14" t="s">
        <v>3275</v>
      </c>
      <c r="B2323" s="14" t="s">
        <v>1522</v>
      </c>
      <c r="C2323" s="14" t="s">
        <v>2219</v>
      </c>
      <c r="D2323" s="11" t="s">
        <v>3827</v>
      </c>
      <c r="E2323" s="14" t="s">
        <v>4434</v>
      </c>
      <c r="F2323" s="4" t="s">
        <v>1523</v>
      </c>
      <c r="H2323" s="6"/>
    </row>
    <row r="2324" spans="1:8" x14ac:dyDescent="0.2">
      <c r="A2324" s="14" t="s">
        <v>3276</v>
      </c>
      <c r="B2324" s="14" t="s">
        <v>1522</v>
      </c>
      <c r="C2324" s="14" t="s">
        <v>2221</v>
      </c>
      <c r="D2324" s="11" t="s">
        <v>4436</v>
      </c>
      <c r="E2324" s="14" t="s">
        <v>4436</v>
      </c>
      <c r="F2324" s="4" t="s">
        <v>1523</v>
      </c>
      <c r="H2324" s="6"/>
    </row>
    <row r="2325" spans="1:8" x14ac:dyDescent="0.2">
      <c r="A2325" s="14" t="s">
        <v>3277</v>
      </c>
      <c r="B2325" s="14" t="s">
        <v>1522</v>
      </c>
      <c r="C2325" s="14" t="s">
        <v>2223</v>
      </c>
      <c r="D2325" s="11" t="s">
        <v>4438</v>
      </c>
      <c r="E2325" s="14" t="s">
        <v>4438</v>
      </c>
      <c r="F2325" s="4" t="s">
        <v>1523</v>
      </c>
      <c r="H2325" s="6"/>
    </row>
    <row r="2326" spans="1:8" x14ac:dyDescent="0.2">
      <c r="A2326" s="14" t="s">
        <v>3278</v>
      </c>
      <c r="B2326" s="14" t="s">
        <v>1522</v>
      </c>
      <c r="C2326" s="14" t="s">
        <v>2224</v>
      </c>
      <c r="D2326" s="11" t="s">
        <v>4439</v>
      </c>
      <c r="E2326" s="14" t="s">
        <v>4439</v>
      </c>
      <c r="F2326" s="4" t="s">
        <v>1523</v>
      </c>
      <c r="H2326" s="6"/>
    </row>
    <row r="2327" spans="1:8" x14ac:dyDescent="0.2">
      <c r="A2327" s="14" t="s">
        <v>3279</v>
      </c>
      <c r="B2327" s="14" t="s">
        <v>1522</v>
      </c>
      <c r="C2327" s="14" t="s">
        <v>2225</v>
      </c>
      <c r="D2327" s="11" t="s">
        <v>4440</v>
      </c>
      <c r="E2327" s="14" t="s">
        <v>4440</v>
      </c>
      <c r="F2327" s="4" t="s">
        <v>1523</v>
      </c>
      <c r="H2327" s="6"/>
    </row>
    <row r="2328" spans="1:8" x14ac:dyDescent="0.2">
      <c r="A2328" s="14" t="s">
        <v>3280</v>
      </c>
      <c r="B2328" s="14" t="s">
        <v>1522</v>
      </c>
      <c r="C2328" s="14" t="s">
        <v>2226</v>
      </c>
      <c r="D2328" s="11" t="s">
        <v>4441</v>
      </c>
      <c r="E2328" s="14" t="s">
        <v>4441</v>
      </c>
      <c r="F2328" s="4" t="s">
        <v>1523</v>
      </c>
      <c r="H2328" s="6"/>
    </row>
    <row r="2329" spans="1:8" x14ac:dyDescent="0.2">
      <c r="A2329" s="14" t="s">
        <v>3281</v>
      </c>
      <c r="B2329" s="14" t="s">
        <v>1522</v>
      </c>
      <c r="C2329" s="14" t="s">
        <v>2227</v>
      </c>
      <c r="D2329" s="11" t="s">
        <v>4442</v>
      </c>
      <c r="E2329" s="14" t="s">
        <v>4442</v>
      </c>
      <c r="F2329" s="4" t="s">
        <v>1523</v>
      </c>
      <c r="H2329" s="6"/>
    </row>
    <row r="2330" spans="1:8" x14ac:dyDescent="0.2">
      <c r="A2330" s="14" t="s">
        <v>3282</v>
      </c>
      <c r="B2330" s="14" t="s">
        <v>1522</v>
      </c>
      <c r="C2330" s="14" t="s">
        <v>2228</v>
      </c>
      <c r="D2330" s="11" t="s">
        <v>4443</v>
      </c>
      <c r="E2330" s="14" t="s">
        <v>4443</v>
      </c>
      <c r="F2330" s="4" t="s">
        <v>1523</v>
      </c>
      <c r="H2330" s="6"/>
    </row>
    <row r="2331" spans="1:8" x14ac:dyDescent="0.2">
      <c r="A2331" s="14" t="s">
        <v>3283</v>
      </c>
      <c r="B2331" s="14" t="s">
        <v>1522</v>
      </c>
      <c r="C2331" s="14" t="s">
        <v>2229</v>
      </c>
      <c r="D2331" s="11" t="s">
        <v>4444</v>
      </c>
      <c r="E2331" s="14" t="s">
        <v>4444</v>
      </c>
      <c r="F2331" s="4" t="s">
        <v>1523</v>
      </c>
      <c r="H2331" s="6"/>
    </row>
    <row r="2332" spans="1:8" x14ac:dyDescent="0.2">
      <c r="A2332" s="14" t="s">
        <v>3284</v>
      </c>
      <c r="B2332" s="14" t="s">
        <v>1522</v>
      </c>
      <c r="C2332" s="14" t="s">
        <v>2230</v>
      </c>
      <c r="D2332" s="11" t="s">
        <v>4445</v>
      </c>
      <c r="E2332" s="14" t="s">
        <v>4445</v>
      </c>
      <c r="F2332" s="4" t="s">
        <v>1523</v>
      </c>
      <c r="H2332" s="6"/>
    </row>
    <row r="2333" spans="1:8" x14ac:dyDescent="0.2">
      <c r="A2333" s="14" t="s">
        <v>3285</v>
      </c>
      <c r="B2333" s="14" t="s">
        <v>1522</v>
      </c>
      <c r="C2333" s="14" t="s">
        <v>2231</v>
      </c>
      <c r="D2333" s="11" t="s">
        <v>3828</v>
      </c>
      <c r="E2333" s="14" t="s">
        <v>4446</v>
      </c>
      <c r="F2333" s="4" t="s">
        <v>1523</v>
      </c>
      <c r="H2333" s="6"/>
    </row>
    <row r="2334" spans="1:8" x14ac:dyDescent="0.2">
      <c r="A2334" s="14" t="s">
        <v>3286</v>
      </c>
      <c r="B2334" s="14" t="s">
        <v>1522</v>
      </c>
      <c r="C2334" s="14" t="s">
        <v>2232</v>
      </c>
      <c r="D2334" s="11" t="s">
        <v>3829</v>
      </c>
      <c r="E2334" s="14" t="s">
        <v>4447</v>
      </c>
      <c r="F2334" s="4" t="s">
        <v>1523</v>
      </c>
      <c r="H2334" s="6"/>
    </row>
    <row r="2335" spans="1:8" x14ac:dyDescent="0.2">
      <c r="A2335" s="14" t="s">
        <v>3287</v>
      </c>
      <c r="B2335" s="14" t="s">
        <v>1522</v>
      </c>
      <c r="C2335" s="14" t="s">
        <v>2233</v>
      </c>
      <c r="D2335" s="11" t="s">
        <v>3830</v>
      </c>
      <c r="E2335" s="14" t="s">
        <v>4448</v>
      </c>
      <c r="F2335" s="4" t="s">
        <v>1523</v>
      </c>
      <c r="H2335" s="6"/>
    </row>
    <row r="2336" spans="1:8" x14ac:dyDescent="0.2">
      <c r="A2336" s="14" t="s">
        <v>3288</v>
      </c>
      <c r="B2336" s="14" t="s">
        <v>1522</v>
      </c>
      <c r="C2336" s="14" t="s">
        <v>2234</v>
      </c>
      <c r="D2336" s="11" t="s">
        <v>3831</v>
      </c>
      <c r="E2336" s="14" t="s">
        <v>4449</v>
      </c>
      <c r="F2336" s="4" t="s">
        <v>1523</v>
      </c>
      <c r="H2336" s="6"/>
    </row>
    <row r="2337" spans="1:8" x14ac:dyDescent="0.2">
      <c r="A2337" s="14" t="s">
        <v>3289</v>
      </c>
      <c r="B2337" s="14" t="s">
        <v>1522</v>
      </c>
      <c r="C2337" s="14" t="s">
        <v>2235</v>
      </c>
      <c r="D2337" s="11" t="s">
        <v>3832</v>
      </c>
      <c r="E2337" s="14" t="s">
        <v>4450</v>
      </c>
      <c r="F2337" s="4" t="s">
        <v>1523</v>
      </c>
      <c r="H2337" s="7"/>
    </row>
    <row r="2338" spans="1:8" x14ac:dyDescent="0.2">
      <c r="A2338" s="14" t="s">
        <v>3290</v>
      </c>
      <c r="B2338" s="14" t="s">
        <v>1522</v>
      </c>
      <c r="C2338" s="14" t="s">
        <v>2236</v>
      </c>
      <c r="D2338" s="11" t="s">
        <v>3833</v>
      </c>
      <c r="E2338" s="14" t="s">
        <v>4451</v>
      </c>
      <c r="F2338" s="4" t="s">
        <v>1523</v>
      </c>
      <c r="H2338" s="7"/>
    </row>
    <row r="2339" spans="1:8" x14ac:dyDescent="0.2">
      <c r="A2339" s="14" t="s">
        <v>3291</v>
      </c>
      <c r="B2339" s="14" t="s">
        <v>1522</v>
      </c>
      <c r="C2339" s="14" t="s">
        <v>2237</v>
      </c>
      <c r="D2339" s="11" t="s">
        <v>3834</v>
      </c>
      <c r="E2339" s="14" t="s">
        <v>4452</v>
      </c>
      <c r="F2339" s="4" t="s">
        <v>1523</v>
      </c>
      <c r="H2339" s="7"/>
    </row>
    <row r="2340" spans="1:8" x14ac:dyDescent="0.2">
      <c r="A2340" s="14" t="s">
        <v>3292</v>
      </c>
      <c r="B2340" s="14" t="s">
        <v>1522</v>
      </c>
      <c r="C2340" s="14" t="s">
        <v>2238</v>
      </c>
      <c r="D2340" s="11" t="s">
        <v>3835</v>
      </c>
      <c r="E2340" s="14" t="s">
        <v>4453</v>
      </c>
      <c r="F2340" s="4" t="s">
        <v>1523</v>
      </c>
      <c r="H2340" s="7"/>
    </row>
    <row r="2341" spans="1:8" x14ac:dyDescent="0.2">
      <c r="A2341" s="14" t="s">
        <v>3293</v>
      </c>
      <c r="B2341" s="14" t="s">
        <v>1522</v>
      </c>
      <c r="C2341" s="14" t="s">
        <v>2239</v>
      </c>
      <c r="D2341" s="11" t="s">
        <v>3836</v>
      </c>
      <c r="E2341" s="14" t="s">
        <v>4454</v>
      </c>
      <c r="F2341" s="4" t="s">
        <v>1523</v>
      </c>
      <c r="H2341" s="7"/>
    </row>
    <row r="2342" spans="1:8" x14ac:dyDescent="0.2">
      <c r="A2342" s="14" t="s">
        <v>3294</v>
      </c>
      <c r="B2342" s="14" t="s">
        <v>1522</v>
      </c>
      <c r="C2342" s="14" t="s">
        <v>2240</v>
      </c>
      <c r="D2342" s="11" t="s">
        <v>3837</v>
      </c>
      <c r="E2342" s="14" t="s">
        <v>4455</v>
      </c>
      <c r="F2342" s="4" t="s">
        <v>1523</v>
      </c>
      <c r="H2342" s="7"/>
    </row>
    <row r="2343" spans="1:8" x14ac:dyDescent="0.2">
      <c r="A2343" s="14" t="s">
        <v>3295</v>
      </c>
      <c r="B2343" s="14" t="s">
        <v>1522</v>
      </c>
      <c r="C2343" s="14" t="s">
        <v>2241</v>
      </c>
      <c r="D2343" s="11" t="s">
        <v>3838</v>
      </c>
      <c r="E2343" s="14" t="s">
        <v>4456</v>
      </c>
      <c r="F2343" s="4" t="s">
        <v>1523</v>
      </c>
      <c r="H2343" s="7"/>
    </row>
    <row r="2344" spans="1:8" x14ac:dyDescent="0.2">
      <c r="A2344" s="14" t="s">
        <v>3296</v>
      </c>
      <c r="B2344" s="14" t="s">
        <v>1522</v>
      </c>
      <c r="C2344" s="14" t="s">
        <v>2242</v>
      </c>
      <c r="D2344" s="11" t="s">
        <v>3839</v>
      </c>
      <c r="E2344" s="14" t="s">
        <v>4457</v>
      </c>
      <c r="F2344" s="4" t="s">
        <v>1523</v>
      </c>
      <c r="H2344" s="7"/>
    </row>
    <row r="2345" spans="1:8" x14ac:dyDescent="0.2">
      <c r="A2345" s="14" t="s">
        <v>756</v>
      </c>
      <c r="B2345" s="14" t="s">
        <v>1522</v>
      </c>
      <c r="C2345" s="14" t="s">
        <v>2285</v>
      </c>
      <c r="D2345" s="11" t="s">
        <v>3959</v>
      </c>
      <c r="E2345" s="14" t="s">
        <v>4500</v>
      </c>
      <c r="F2345" s="4" t="s">
        <v>1523</v>
      </c>
      <c r="H2345" s="6"/>
    </row>
    <row r="2346" spans="1:8" x14ac:dyDescent="0.2">
      <c r="A2346" s="14" t="s">
        <v>757</v>
      </c>
      <c r="B2346" s="14" t="s">
        <v>1522</v>
      </c>
      <c r="C2346" s="14" t="s">
        <v>2286</v>
      </c>
      <c r="D2346" s="11" t="s">
        <v>3960</v>
      </c>
      <c r="E2346" s="14" t="s">
        <v>4501</v>
      </c>
      <c r="F2346" s="4" t="s">
        <v>1523</v>
      </c>
      <c r="H2346" s="6"/>
    </row>
    <row r="2347" spans="1:8" x14ac:dyDescent="0.2">
      <c r="A2347" s="14" t="s">
        <v>758</v>
      </c>
      <c r="B2347" s="14" t="s">
        <v>1522</v>
      </c>
      <c r="C2347" s="14" t="s">
        <v>2287</v>
      </c>
      <c r="D2347" s="11" t="s">
        <v>3961</v>
      </c>
      <c r="E2347" s="14" t="s">
        <v>4502</v>
      </c>
      <c r="F2347" s="4" t="s">
        <v>1523</v>
      </c>
      <c r="H2347" s="6"/>
    </row>
    <row r="2348" spans="1:8" x14ac:dyDescent="0.2">
      <c r="A2348" s="14" t="s">
        <v>2303</v>
      </c>
      <c r="B2348" s="14" t="s">
        <v>1522</v>
      </c>
      <c r="C2348" s="14" t="s">
        <v>2288</v>
      </c>
      <c r="D2348" s="11" t="s">
        <v>4518</v>
      </c>
      <c r="E2348" s="14" t="s">
        <v>4503</v>
      </c>
      <c r="F2348" s="4" t="s">
        <v>1523</v>
      </c>
      <c r="H2348" s="6"/>
    </row>
    <row r="2349" spans="1:8" x14ac:dyDescent="0.2">
      <c r="A2349" s="14" t="s">
        <v>764</v>
      </c>
      <c r="B2349" s="14" t="s">
        <v>1522</v>
      </c>
      <c r="C2349" s="14" t="s">
        <v>2289</v>
      </c>
      <c r="D2349" s="11" t="s">
        <v>3966</v>
      </c>
      <c r="E2349" s="14" t="s">
        <v>4504</v>
      </c>
      <c r="F2349" s="4" t="s">
        <v>1523</v>
      </c>
      <c r="H2349" s="6"/>
    </row>
    <row r="2350" spans="1:8" x14ac:dyDescent="0.2">
      <c r="A2350" s="14" t="s">
        <v>765</v>
      </c>
      <c r="B2350" s="14" t="s">
        <v>1522</v>
      </c>
      <c r="C2350" s="14" t="s">
        <v>2290</v>
      </c>
      <c r="D2350" s="11" t="s">
        <v>3967</v>
      </c>
      <c r="E2350" s="14" t="s">
        <v>4505</v>
      </c>
      <c r="F2350" s="4" t="s">
        <v>1523</v>
      </c>
      <c r="H2350" s="6"/>
    </row>
    <row r="2351" spans="1:8" x14ac:dyDescent="0.2">
      <c r="A2351" s="14" t="s">
        <v>766</v>
      </c>
      <c r="B2351" s="14" t="s">
        <v>1522</v>
      </c>
      <c r="C2351" s="14" t="s">
        <v>2291</v>
      </c>
      <c r="D2351" s="11" t="s">
        <v>3968</v>
      </c>
      <c r="E2351" s="14" t="s">
        <v>4506</v>
      </c>
      <c r="F2351" s="4" t="s">
        <v>1523</v>
      </c>
      <c r="H2351" s="6"/>
    </row>
    <row r="2352" spans="1:8" x14ac:dyDescent="0.2">
      <c r="A2352" s="14" t="s">
        <v>767</v>
      </c>
      <c r="B2352" s="14" t="s">
        <v>1522</v>
      </c>
      <c r="C2352" s="14" t="s">
        <v>2292</v>
      </c>
      <c r="D2352" s="11" t="s">
        <v>3969</v>
      </c>
      <c r="E2352" s="14" t="s">
        <v>4507</v>
      </c>
      <c r="F2352" s="4" t="s">
        <v>1523</v>
      </c>
      <c r="H2352" s="6"/>
    </row>
    <row r="2353" spans="1:8" x14ac:dyDescent="0.2">
      <c r="A2353" s="14" t="s">
        <v>768</v>
      </c>
      <c r="B2353" s="14" t="s">
        <v>1522</v>
      </c>
      <c r="C2353" s="14" t="s">
        <v>2293</v>
      </c>
      <c r="D2353" s="11" t="s">
        <v>3970</v>
      </c>
      <c r="E2353" s="14" t="s">
        <v>4508</v>
      </c>
      <c r="F2353" s="4" t="s">
        <v>1523</v>
      </c>
      <c r="H2353" s="6"/>
    </row>
    <row r="2354" spans="1:8" x14ac:dyDescent="0.2">
      <c r="A2354" s="14" t="s">
        <v>2305</v>
      </c>
      <c r="B2354" s="14" t="s">
        <v>1522</v>
      </c>
      <c r="C2354" s="14" t="s">
        <v>2294</v>
      </c>
      <c r="D2354" s="11" t="s">
        <v>4520</v>
      </c>
      <c r="E2354" s="14" t="s">
        <v>4509</v>
      </c>
      <c r="F2354" s="4" t="s">
        <v>1523</v>
      </c>
      <c r="H2354" s="6"/>
    </row>
    <row r="2355" spans="1:8" x14ac:dyDescent="0.2">
      <c r="A2355" s="14" t="s">
        <v>774</v>
      </c>
      <c r="B2355" s="14" t="s">
        <v>1522</v>
      </c>
      <c r="C2355" s="14" t="s">
        <v>2295</v>
      </c>
      <c r="D2355" s="11" t="s">
        <v>3976</v>
      </c>
      <c r="E2355" s="14" t="s">
        <v>4510</v>
      </c>
      <c r="F2355" s="4" t="s">
        <v>1523</v>
      </c>
      <c r="H2355" s="6"/>
    </row>
    <row r="2356" spans="1:8" x14ac:dyDescent="0.2">
      <c r="A2356" s="14" t="s">
        <v>775</v>
      </c>
      <c r="B2356" s="14" t="s">
        <v>1522</v>
      </c>
      <c r="C2356" s="14" t="s">
        <v>2296</v>
      </c>
      <c r="D2356" s="11" t="s">
        <v>3977</v>
      </c>
      <c r="E2356" s="14" t="s">
        <v>4511</v>
      </c>
      <c r="F2356" s="4" t="s">
        <v>1523</v>
      </c>
      <c r="H2356" s="6"/>
    </row>
    <row r="2357" spans="1:8" x14ac:dyDescent="0.2">
      <c r="A2357" s="14" t="s">
        <v>3297</v>
      </c>
      <c r="B2357" s="14" t="s">
        <v>1522</v>
      </c>
      <c r="C2357" s="14" t="s">
        <v>2297</v>
      </c>
      <c r="D2357" s="11" t="s">
        <v>3840</v>
      </c>
      <c r="E2357" s="14" t="s">
        <v>4512</v>
      </c>
      <c r="F2357" s="4" t="s">
        <v>1523</v>
      </c>
      <c r="H2357" s="6"/>
    </row>
    <row r="2358" spans="1:8" x14ac:dyDescent="0.2">
      <c r="A2358" s="14" t="s">
        <v>3298</v>
      </c>
      <c r="B2358" s="14" t="s">
        <v>1522</v>
      </c>
      <c r="C2358" s="14" t="s">
        <v>2298</v>
      </c>
      <c r="D2358" s="11" t="s">
        <v>3841</v>
      </c>
      <c r="E2358" s="14" t="s">
        <v>4513</v>
      </c>
      <c r="F2358" s="4" t="s">
        <v>1523</v>
      </c>
      <c r="H2358" s="6"/>
    </row>
    <row r="2359" spans="1:8" x14ac:dyDescent="0.2">
      <c r="A2359" s="14" t="s">
        <v>3299</v>
      </c>
      <c r="B2359" s="14" t="s">
        <v>1522</v>
      </c>
      <c r="C2359" s="14" t="s">
        <v>2299</v>
      </c>
      <c r="D2359" s="11" t="s">
        <v>3842</v>
      </c>
      <c r="E2359" s="14" t="s">
        <v>4514</v>
      </c>
      <c r="F2359" s="4" t="s">
        <v>1523</v>
      </c>
      <c r="H2359" s="6"/>
    </row>
    <row r="2360" spans="1:8" x14ac:dyDescent="0.2">
      <c r="A2360" s="14" t="s">
        <v>3300</v>
      </c>
      <c r="B2360" s="14" t="s">
        <v>1522</v>
      </c>
      <c r="C2360" s="14" t="s">
        <v>2300</v>
      </c>
      <c r="D2360" s="11" t="s">
        <v>3843</v>
      </c>
      <c r="E2360" s="14" t="s">
        <v>4515</v>
      </c>
      <c r="F2360" s="4" t="s">
        <v>1523</v>
      </c>
      <c r="H2360" s="6"/>
    </row>
    <row r="2361" spans="1:8" x14ac:dyDescent="0.2">
      <c r="A2361" s="14" t="s">
        <v>3301</v>
      </c>
      <c r="B2361" s="14" t="s">
        <v>1522</v>
      </c>
      <c r="C2361" s="14" t="s">
        <v>2301</v>
      </c>
      <c r="D2361" s="11" t="s">
        <v>3844</v>
      </c>
      <c r="E2361" s="14" t="s">
        <v>4516</v>
      </c>
      <c r="F2361" s="4" t="s">
        <v>1523</v>
      </c>
      <c r="H2361" s="6"/>
    </row>
    <row r="2362" spans="1:8" x14ac:dyDescent="0.2">
      <c r="A2362" s="14" t="s">
        <v>3302</v>
      </c>
      <c r="B2362" s="14" t="s">
        <v>1522</v>
      </c>
      <c r="C2362" s="14" t="s">
        <v>2302</v>
      </c>
      <c r="D2362" s="11" t="s">
        <v>3845</v>
      </c>
      <c r="E2362" s="14" t="s">
        <v>4517</v>
      </c>
      <c r="F2362" s="4" t="s">
        <v>1523</v>
      </c>
      <c r="H2362" s="6"/>
    </row>
    <row r="2363" spans="1:8" x14ac:dyDescent="0.2">
      <c r="A2363" s="14" t="s">
        <v>3303</v>
      </c>
      <c r="B2363" s="14" t="s">
        <v>1522</v>
      </c>
      <c r="C2363" s="14" t="s">
        <v>2307</v>
      </c>
      <c r="D2363" s="11" t="s">
        <v>3764</v>
      </c>
      <c r="E2363" s="14" t="s">
        <v>4522</v>
      </c>
      <c r="F2363" s="4" t="s">
        <v>1523</v>
      </c>
      <c r="H2363" s="6"/>
    </row>
    <row r="2364" spans="1:8" x14ac:dyDescent="0.2">
      <c r="A2364" s="14" t="s">
        <v>3304</v>
      </c>
      <c r="B2364" s="14" t="s">
        <v>1522</v>
      </c>
      <c r="C2364" s="14" t="s">
        <v>2308</v>
      </c>
      <c r="D2364" s="11" t="s">
        <v>3764</v>
      </c>
      <c r="E2364" s="14" t="s">
        <v>4523</v>
      </c>
      <c r="F2364" s="4" t="s">
        <v>1523</v>
      </c>
      <c r="H2364" s="6"/>
    </row>
    <row r="2365" spans="1:8" x14ac:dyDescent="0.2">
      <c r="A2365" s="14" t="s">
        <v>3305</v>
      </c>
      <c r="B2365" s="14" t="s">
        <v>1522</v>
      </c>
      <c r="C2365" s="14" t="s">
        <v>2309</v>
      </c>
      <c r="D2365" s="11" t="s">
        <v>3764</v>
      </c>
      <c r="E2365" s="14" t="s">
        <v>4524</v>
      </c>
      <c r="F2365" s="4" t="s">
        <v>1523</v>
      </c>
      <c r="H2365" s="7"/>
    </row>
    <row r="2366" spans="1:8" x14ac:dyDescent="0.2">
      <c r="A2366" s="14" t="s">
        <v>3306</v>
      </c>
      <c r="B2366" s="14" t="s">
        <v>1522</v>
      </c>
      <c r="C2366" s="14" t="s">
        <v>2310</v>
      </c>
      <c r="D2366" s="11" t="s">
        <v>3764</v>
      </c>
      <c r="E2366" s="14" t="s">
        <v>4525</v>
      </c>
      <c r="F2366" s="4" t="s">
        <v>1523</v>
      </c>
      <c r="H2366" s="6"/>
    </row>
    <row r="2367" spans="1:8" x14ac:dyDescent="0.2">
      <c r="A2367" s="14" t="s">
        <v>3307</v>
      </c>
      <c r="B2367" s="14" t="s">
        <v>1522</v>
      </c>
      <c r="C2367" s="14" t="s">
        <v>2311</v>
      </c>
      <c r="D2367" s="11" t="s">
        <v>3764</v>
      </c>
      <c r="E2367" s="14" t="s">
        <v>4526</v>
      </c>
      <c r="F2367" s="4" t="s">
        <v>1523</v>
      </c>
      <c r="H2367" s="6"/>
    </row>
    <row r="2368" spans="1:8" x14ac:dyDescent="0.2">
      <c r="A2368" s="14" t="s">
        <v>3308</v>
      </c>
      <c r="B2368" s="14" t="s">
        <v>1522</v>
      </c>
      <c r="C2368" s="14" t="s">
        <v>2312</v>
      </c>
      <c r="D2368" s="11" t="s">
        <v>3764</v>
      </c>
      <c r="E2368" s="14" t="s">
        <v>4527</v>
      </c>
      <c r="F2368" s="4" t="s">
        <v>1523</v>
      </c>
      <c r="H2368" s="6"/>
    </row>
    <row r="2369" spans="1:8" x14ac:dyDescent="0.2">
      <c r="A2369" s="14" t="s">
        <v>3309</v>
      </c>
      <c r="B2369" s="14" t="s">
        <v>1522</v>
      </c>
      <c r="C2369" s="14" t="s">
        <v>2313</v>
      </c>
      <c r="D2369" s="11" t="s">
        <v>3765</v>
      </c>
      <c r="E2369" s="14" t="s">
        <v>4528</v>
      </c>
      <c r="F2369" s="4" t="s">
        <v>1523</v>
      </c>
      <c r="H2369" s="6"/>
    </row>
    <row r="2370" spans="1:8" x14ac:dyDescent="0.2">
      <c r="A2370" s="14" t="s">
        <v>3310</v>
      </c>
      <c r="B2370" s="14" t="s">
        <v>1522</v>
      </c>
      <c r="C2370" s="14" t="s">
        <v>2314</v>
      </c>
      <c r="D2370" s="11" t="s">
        <v>3765</v>
      </c>
      <c r="E2370" s="14" t="s">
        <v>4529</v>
      </c>
      <c r="F2370" s="4" t="s">
        <v>1523</v>
      </c>
      <c r="H2370" s="6"/>
    </row>
    <row r="2371" spans="1:8" x14ac:dyDescent="0.2">
      <c r="A2371" s="14" t="s">
        <v>3311</v>
      </c>
      <c r="B2371" s="14" t="s">
        <v>1522</v>
      </c>
      <c r="C2371" s="14" t="s">
        <v>2315</v>
      </c>
      <c r="D2371" s="11" t="s">
        <v>3765</v>
      </c>
      <c r="E2371" s="14" t="s">
        <v>4530</v>
      </c>
      <c r="F2371" s="4" t="s">
        <v>1523</v>
      </c>
      <c r="H2371" s="6"/>
    </row>
    <row r="2372" spans="1:8" x14ac:dyDescent="0.2">
      <c r="A2372" s="14" t="s">
        <v>3312</v>
      </c>
      <c r="B2372" s="14" t="s">
        <v>1522</v>
      </c>
      <c r="C2372" s="14" t="s">
        <v>2316</v>
      </c>
      <c r="D2372" s="11" t="s">
        <v>3765</v>
      </c>
      <c r="E2372" s="14" t="s">
        <v>4531</v>
      </c>
      <c r="F2372" s="4" t="s">
        <v>1523</v>
      </c>
      <c r="H2372" s="7"/>
    </row>
    <row r="2373" spans="1:8" x14ac:dyDescent="0.2">
      <c r="A2373" s="14" t="s">
        <v>3313</v>
      </c>
      <c r="B2373" s="14" t="s">
        <v>1522</v>
      </c>
      <c r="C2373" s="14" t="s">
        <v>2317</v>
      </c>
      <c r="D2373" s="11" t="s">
        <v>3765</v>
      </c>
      <c r="E2373" s="14" t="s">
        <v>4532</v>
      </c>
      <c r="F2373" s="4" t="s">
        <v>1523</v>
      </c>
      <c r="H2373" s="6"/>
    </row>
    <row r="2374" spans="1:8" x14ac:dyDescent="0.2">
      <c r="A2374" s="14" t="s">
        <v>3314</v>
      </c>
      <c r="B2374" s="14" t="s">
        <v>1522</v>
      </c>
      <c r="C2374" s="14" t="s">
        <v>2318</v>
      </c>
      <c r="D2374" s="11" t="s">
        <v>3765</v>
      </c>
      <c r="E2374" s="14" t="s">
        <v>4533</v>
      </c>
      <c r="F2374" s="4" t="s">
        <v>1523</v>
      </c>
      <c r="H2374" s="6"/>
    </row>
    <row r="2375" spans="1:8" x14ac:dyDescent="0.2">
      <c r="A2375" s="14" t="s">
        <v>3315</v>
      </c>
      <c r="B2375" s="14" t="s">
        <v>1522</v>
      </c>
      <c r="C2375" s="14" t="s">
        <v>2319</v>
      </c>
      <c r="D2375" s="11" t="s">
        <v>3766</v>
      </c>
      <c r="E2375" s="14" t="s">
        <v>4534</v>
      </c>
      <c r="F2375" s="4" t="s">
        <v>1523</v>
      </c>
      <c r="H2375" s="6"/>
    </row>
    <row r="2376" spans="1:8" x14ac:dyDescent="0.2">
      <c r="A2376" s="14" t="s">
        <v>3316</v>
      </c>
      <c r="B2376" s="14" t="s">
        <v>1522</v>
      </c>
      <c r="C2376" s="14" t="s">
        <v>2320</v>
      </c>
      <c r="D2376" s="11" t="s">
        <v>3766</v>
      </c>
      <c r="E2376" s="14" t="s">
        <v>4535</v>
      </c>
      <c r="F2376" s="4" t="s">
        <v>1523</v>
      </c>
      <c r="H2376" s="6"/>
    </row>
    <row r="2377" spans="1:8" x14ac:dyDescent="0.2">
      <c r="A2377" s="14" t="s">
        <v>3317</v>
      </c>
      <c r="B2377" s="14" t="s">
        <v>1522</v>
      </c>
      <c r="C2377" s="14" t="s">
        <v>2321</v>
      </c>
      <c r="D2377" s="11" t="s">
        <v>3766</v>
      </c>
      <c r="E2377" s="14" t="s">
        <v>4536</v>
      </c>
      <c r="F2377" s="4" t="s">
        <v>1523</v>
      </c>
      <c r="H2377" s="6"/>
    </row>
    <row r="2378" spans="1:8" x14ac:dyDescent="0.2">
      <c r="A2378" s="14" t="s">
        <v>3318</v>
      </c>
      <c r="B2378" s="14" t="s">
        <v>1522</v>
      </c>
      <c r="C2378" s="14" t="s">
        <v>2322</v>
      </c>
      <c r="D2378" s="11" t="s">
        <v>3766</v>
      </c>
      <c r="E2378" s="14" t="s">
        <v>4537</v>
      </c>
      <c r="F2378" s="4" t="s">
        <v>1523</v>
      </c>
      <c r="H2378" s="6"/>
    </row>
    <row r="2379" spans="1:8" x14ac:dyDescent="0.2">
      <c r="A2379" s="14" t="s">
        <v>3319</v>
      </c>
      <c r="B2379" s="14" t="s">
        <v>1522</v>
      </c>
      <c r="C2379" s="14" t="s">
        <v>2323</v>
      </c>
      <c r="D2379" s="11" t="s">
        <v>3766</v>
      </c>
      <c r="E2379" s="14" t="s">
        <v>4538</v>
      </c>
      <c r="F2379" s="4" t="s">
        <v>1523</v>
      </c>
      <c r="H2379" s="6"/>
    </row>
    <row r="2380" spans="1:8" x14ac:dyDescent="0.2">
      <c r="A2380" s="14" t="s">
        <v>3320</v>
      </c>
      <c r="B2380" s="14" t="s">
        <v>1522</v>
      </c>
      <c r="C2380" s="14" t="s">
        <v>2324</v>
      </c>
      <c r="D2380" s="11" t="s">
        <v>3766</v>
      </c>
      <c r="E2380" s="14" t="s">
        <v>4539</v>
      </c>
      <c r="F2380" s="4" t="s">
        <v>1523</v>
      </c>
      <c r="H2380" s="6"/>
    </row>
    <row r="2381" spans="1:8" x14ac:dyDescent="0.2">
      <c r="A2381" s="14" t="s">
        <v>3321</v>
      </c>
      <c r="B2381" s="14" t="s">
        <v>1522</v>
      </c>
      <c r="C2381" s="14" t="s">
        <v>2325</v>
      </c>
      <c r="D2381" s="11" t="s">
        <v>3767</v>
      </c>
      <c r="E2381" s="14" t="s">
        <v>4540</v>
      </c>
      <c r="F2381" s="4" t="s">
        <v>1523</v>
      </c>
      <c r="H2381" s="6"/>
    </row>
    <row r="2382" spans="1:8" x14ac:dyDescent="0.2">
      <c r="A2382" s="14" t="s">
        <v>3322</v>
      </c>
      <c r="B2382" s="14" t="s">
        <v>1522</v>
      </c>
      <c r="C2382" s="14" t="s">
        <v>2326</v>
      </c>
      <c r="D2382" s="11" t="s">
        <v>3767</v>
      </c>
      <c r="E2382" s="14" t="s">
        <v>4541</v>
      </c>
      <c r="F2382" s="4" t="s">
        <v>1523</v>
      </c>
      <c r="H2382" s="6"/>
    </row>
    <row r="2383" spans="1:8" x14ac:dyDescent="0.2">
      <c r="A2383" s="14" t="s">
        <v>3323</v>
      </c>
      <c r="B2383" s="14" t="s">
        <v>1522</v>
      </c>
      <c r="C2383" s="14" t="s">
        <v>2327</v>
      </c>
      <c r="D2383" s="11" t="s">
        <v>3767</v>
      </c>
      <c r="E2383" s="14" t="s">
        <v>4542</v>
      </c>
      <c r="F2383" s="4" t="s">
        <v>1523</v>
      </c>
      <c r="H2383" s="6"/>
    </row>
    <row r="2384" spans="1:8" x14ac:dyDescent="0.2">
      <c r="A2384" s="14" t="s">
        <v>3324</v>
      </c>
      <c r="B2384" s="14" t="s">
        <v>1522</v>
      </c>
      <c r="C2384" s="14" t="s">
        <v>2328</v>
      </c>
      <c r="D2384" s="11" t="s">
        <v>3767</v>
      </c>
      <c r="E2384" s="14" t="s">
        <v>4543</v>
      </c>
      <c r="F2384" s="4" t="s">
        <v>1523</v>
      </c>
      <c r="H2384" s="6"/>
    </row>
    <row r="2385" spans="1:8" x14ac:dyDescent="0.2">
      <c r="A2385" s="14" t="s">
        <v>3325</v>
      </c>
      <c r="B2385" s="14" t="s">
        <v>1522</v>
      </c>
      <c r="C2385" s="14" t="s">
        <v>2329</v>
      </c>
      <c r="D2385" s="11" t="s">
        <v>3767</v>
      </c>
      <c r="E2385" s="14" t="s">
        <v>4544</v>
      </c>
      <c r="F2385" s="4" t="s">
        <v>1523</v>
      </c>
      <c r="H2385" s="6"/>
    </row>
    <row r="2386" spans="1:8" x14ac:dyDescent="0.2">
      <c r="A2386" s="14" t="s">
        <v>3326</v>
      </c>
      <c r="B2386" s="14" t="s">
        <v>1522</v>
      </c>
      <c r="C2386" s="14" t="s">
        <v>2330</v>
      </c>
      <c r="D2386" s="11" t="s">
        <v>3767</v>
      </c>
      <c r="E2386" s="14" t="s">
        <v>4545</v>
      </c>
      <c r="F2386" s="4" t="s">
        <v>1523</v>
      </c>
      <c r="H2386" s="6"/>
    </row>
    <row r="2387" spans="1:8" x14ac:dyDescent="0.2">
      <c r="A2387" s="14" t="s">
        <v>3303</v>
      </c>
      <c r="B2387" s="14" t="s">
        <v>1522</v>
      </c>
      <c r="C2387" s="14" t="s">
        <v>2331</v>
      </c>
      <c r="D2387" s="11" t="s">
        <v>3764</v>
      </c>
      <c r="E2387" s="14" t="s">
        <v>4546</v>
      </c>
      <c r="F2387" s="4" t="s">
        <v>1523</v>
      </c>
      <c r="H2387" s="6"/>
    </row>
    <row r="2388" spans="1:8" x14ac:dyDescent="0.2">
      <c r="A2388" s="14" t="s">
        <v>3304</v>
      </c>
      <c r="B2388" s="14" t="s">
        <v>1522</v>
      </c>
      <c r="C2388" s="14" t="s">
        <v>2332</v>
      </c>
      <c r="D2388" s="11" t="s">
        <v>3764</v>
      </c>
      <c r="E2388" s="14" t="s">
        <v>4547</v>
      </c>
      <c r="F2388" s="4" t="s">
        <v>1523</v>
      </c>
      <c r="H2388" s="6"/>
    </row>
    <row r="2389" spans="1:8" x14ac:dyDescent="0.2">
      <c r="A2389" s="14" t="s">
        <v>3305</v>
      </c>
      <c r="B2389" s="14" t="s">
        <v>1522</v>
      </c>
      <c r="C2389" s="14" t="s">
        <v>2333</v>
      </c>
      <c r="D2389" s="11" t="s">
        <v>3764</v>
      </c>
      <c r="E2389" s="14" t="s">
        <v>4548</v>
      </c>
      <c r="F2389" s="4" t="s">
        <v>1523</v>
      </c>
      <c r="H2389" s="6"/>
    </row>
    <row r="2390" spans="1:8" x14ac:dyDescent="0.2">
      <c r="A2390" s="14" t="s">
        <v>3307</v>
      </c>
      <c r="B2390" s="14" t="s">
        <v>1522</v>
      </c>
      <c r="C2390" s="14" t="s">
        <v>2334</v>
      </c>
      <c r="D2390" s="11" t="s">
        <v>3764</v>
      </c>
      <c r="E2390" s="14" t="s">
        <v>4549</v>
      </c>
      <c r="F2390" s="4" t="s">
        <v>1523</v>
      </c>
      <c r="H2390" s="6"/>
    </row>
    <row r="2391" spans="1:8" x14ac:dyDescent="0.2">
      <c r="A2391" s="14" t="s">
        <v>3308</v>
      </c>
      <c r="B2391" s="14" t="s">
        <v>1522</v>
      </c>
      <c r="C2391" s="14" t="s">
        <v>2335</v>
      </c>
      <c r="D2391" s="11" t="s">
        <v>3764</v>
      </c>
      <c r="E2391" s="14" t="s">
        <v>4550</v>
      </c>
      <c r="F2391" s="4" t="s">
        <v>1523</v>
      </c>
      <c r="H2391" s="6"/>
    </row>
    <row r="2392" spans="1:8" x14ac:dyDescent="0.2">
      <c r="A2392" s="14" t="s">
        <v>3309</v>
      </c>
      <c r="B2392" s="14" t="s">
        <v>1522</v>
      </c>
      <c r="C2392" s="14" t="s">
        <v>2336</v>
      </c>
      <c r="D2392" s="11" t="s">
        <v>3765</v>
      </c>
      <c r="E2392" s="14" t="s">
        <v>4551</v>
      </c>
      <c r="F2392" s="4" t="s">
        <v>1523</v>
      </c>
      <c r="H2392" s="5"/>
    </row>
    <row r="2393" spans="1:8" x14ac:dyDescent="0.2">
      <c r="A2393" s="14" t="s">
        <v>3310</v>
      </c>
      <c r="B2393" s="14" t="s">
        <v>1522</v>
      </c>
      <c r="C2393" s="14" t="s">
        <v>2337</v>
      </c>
      <c r="D2393" s="11" t="s">
        <v>3765</v>
      </c>
      <c r="E2393" s="14" t="s">
        <v>4552</v>
      </c>
      <c r="F2393" s="4" t="s">
        <v>1523</v>
      </c>
      <c r="G2393" s="8"/>
      <c r="H2393" s="5"/>
    </row>
    <row r="2394" spans="1:8" x14ac:dyDescent="0.2">
      <c r="A2394" s="14" t="s">
        <v>3311</v>
      </c>
      <c r="B2394" s="14" t="s">
        <v>1522</v>
      </c>
      <c r="C2394" s="14" t="s">
        <v>2338</v>
      </c>
      <c r="D2394" s="11" t="s">
        <v>3765</v>
      </c>
      <c r="E2394" s="14" t="s">
        <v>4553</v>
      </c>
      <c r="F2394" s="4" t="s">
        <v>1523</v>
      </c>
      <c r="G2394" s="8"/>
      <c r="H2394" s="5"/>
    </row>
    <row r="2395" spans="1:8" x14ac:dyDescent="0.2">
      <c r="A2395" s="14" t="s">
        <v>3313</v>
      </c>
      <c r="B2395" s="14" t="s">
        <v>1522</v>
      </c>
      <c r="C2395" s="14" t="s">
        <v>2339</v>
      </c>
      <c r="D2395" s="11" t="s">
        <v>3765</v>
      </c>
      <c r="E2395" s="14" t="s">
        <v>4554</v>
      </c>
      <c r="F2395" s="4" t="s">
        <v>1523</v>
      </c>
      <c r="H2395" s="6"/>
    </row>
    <row r="2396" spans="1:8" x14ac:dyDescent="0.2">
      <c r="A2396" s="14" t="s">
        <v>3314</v>
      </c>
      <c r="B2396" s="14" t="s">
        <v>1522</v>
      </c>
      <c r="C2396" s="14" t="s">
        <v>2340</v>
      </c>
      <c r="D2396" s="11" t="s">
        <v>3765</v>
      </c>
      <c r="E2396" s="14" t="s">
        <v>4555</v>
      </c>
      <c r="F2396" s="4" t="s">
        <v>1523</v>
      </c>
      <c r="H2396" s="6"/>
    </row>
    <row r="2397" spans="1:8" x14ac:dyDescent="0.2">
      <c r="A2397" s="14" t="s">
        <v>3303</v>
      </c>
      <c r="B2397" s="14" t="s">
        <v>1522</v>
      </c>
      <c r="C2397" s="14" t="s">
        <v>2341</v>
      </c>
      <c r="D2397" s="11" t="s">
        <v>3764</v>
      </c>
      <c r="E2397" s="14" t="s">
        <v>4556</v>
      </c>
      <c r="F2397" s="4" t="s">
        <v>1523</v>
      </c>
      <c r="H2397" s="6"/>
    </row>
    <row r="2398" spans="1:8" x14ac:dyDescent="0.2">
      <c r="A2398" s="14" t="s">
        <v>3304</v>
      </c>
      <c r="B2398" s="14" t="s">
        <v>1522</v>
      </c>
      <c r="C2398" s="14" t="s">
        <v>2342</v>
      </c>
      <c r="D2398" s="11" t="s">
        <v>3764</v>
      </c>
      <c r="E2398" s="14" t="s">
        <v>4557</v>
      </c>
      <c r="F2398" s="4" t="s">
        <v>1523</v>
      </c>
      <c r="H2398" s="6"/>
    </row>
    <row r="2399" spans="1:8" x14ac:dyDescent="0.2">
      <c r="A2399" s="14" t="s">
        <v>3305</v>
      </c>
      <c r="B2399" s="14" t="s">
        <v>1522</v>
      </c>
      <c r="C2399" s="14" t="s">
        <v>2343</v>
      </c>
      <c r="D2399" s="11" t="s">
        <v>3764</v>
      </c>
      <c r="E2399" s="14" t="s">
        <v>4558</v>
      </c>
      <c r="F2399" s="4" t="s">
        <v>1523</v>
      </c>
      <c r="H2399" s="6"/>
    </row>
    <row r="2400" spans="1:8" x14ac:dyDescent="0.2">
      <c r="A2400" s="14" t="s">
        <v>3306</v>
      </c>
      <c r="B2400" s="14" t="s">
        <v>1522</v>
      </c>
      <c r="C2400" s="14" t="s">
        <v>2344</v>
      </c>
      <c r="D2400" s="11" t="s">
        <v>3764</v>
      </c>
      <c r="E2400" s="14" t="s">
        <v>4559</v>
      </c>
      <c r="F2400" s="4" t="s">
        <v>1523</v>
      </c>
      <c r="H2400" s="6"/>
    </row>
    <row r="2401" spans="1:8" x14ac:dyDescent="0.2">
      <c r="A2401" s="14" t="s">
        <v>3307</v>
      </c>
      <c r="B2401" s="14" t="s">
        <v>1522</v>
      </c>
      <c r="C2401" s="14" t="s">
        <v>2345</v>
      </c>
      <c r="D2401" s="11" t="s">
        <v>3764</v>
      </c>
      <c r="E2401" s="14" t="s">
        <v>4560</v>
      </c>
      <c r="F2401" s="4" t="s">
        <v>1523</v>
      </c>
      <c r="H2401" s="6"/>
    </row>
    <row r="2402" spans="1:8" x14ac:dyDescent="0.2">
      <c r="A2402" s="14" t="s">
        <v>3308</v>
      </c>
      <c r="B2402" s="14" t="s">
        <v>1522</v>
      </c>
      <c r="C2402" s="14" t="s">
        <v>2346</v>
      </c>
      <c r="D2402" s="11" t="s">
        <v>3764</v>
      </c>
      <c r="E2402" s="14" t="s">
        <v>4561</v>
      </c>
      <c r="F2402" s="4" t="s">
        <v>1523</v>
      </c>
      <c r="H2402" s="6"/>
    </row>
    <row r="2403" spans="1:8" x14ac:dyDescent="0.2">
      <c r="A2403" s="14" t="s">
        <v>3309</v>
      </c>
      <c r="B2403" s="14" t="s">
        <v>1522</v>
      </c>
      <c r="C2403" s="14" t="s">
        <v>2347</v>
      </c>
      <c r="D2403" s="11" t="s">
        <v>3765</v>
      </c>
      <c r="E2403" s="14" t="s">
        <v>4562</v>
      </c>
      <c r="F2403" s="4" t="s">
        <v>1523</v>
      </c>
      <c r="H2403" s="6"/>
    </row>
    <row r="2404" spans="1:8" x14ac:dyDescent="0.2">
      <c r="A2404" s="14" t="s">
        <v>3310</v>
      </c>
      <c r="B2404" s="14" t="s">
        <v>1522</v>
      </c>
      <c r="C2404" s="14" t="s">
        <v>2348</v>
      </c>
      <c r="D2404" s="11" t="s">
        <v>3765</v>
      </c>
      <c r="E2404" s="14" t="s">
        <v>4563</v>
      </c>
      <c r="F2404" s="4" t="s">
        <v>1523</v>
      </c>
      <c r="H2404" s="6"/>
    </row>
    <row r="2405" spans="1:8" x14ac:dyDescent="0.2">
      <c r="A2405" s="14" t="s">
        <v>3311</v>
      </c>
      <c r="B2405" s="14" t="s">
        <v>1522</v>
      </c>
      <c r="C2405" s="14" t="s">
        <v>2349</v>
      </c>
      <c r="D2405" s="11" t="s">
        <v>3765</v>
      </c>
      <c r="E2405" s="14" t="s">
        <v>4564</v>
      </c>
      <c r="F2405" s="4" t="s">
        <v>1523</v>
      </c>
      <c r="H2405" s="6"/>
    </row>
    <row r="2406" spans="1:8" x14ac:dyDescent="0.2">
      <c r="A2406" s="14" t="s">
        <v>3312</v>
      </c>
      <c r="B2406" s="14" t="s">
        <v>1522</v>
      </c>
      <c r="C2406" s="14" t="s">
        <v>2350</v>
      </c>
      <c r="D2406" s="11" t="s">
        <v>3765</v>
      </c>
      <c r="E2406" s="14" t="s">
        <v>4565</v>
      </c>
      <c r="F2406" s="4" t="s">
        <v>1523</v>
      </c>
      <c r="H2406" s="6"/>
    </row>
    <row r="2407" spans="1:8" x14ac:dyDescent="0.2">
      <c r="A2407" s="14" t="s">
        <v>3313</v>
      </c>
      <c r="B2407" s="14" t="s">
        <v>1522</v>
      </c>
      <c r="C2407" s="14" t="s">
        <v>2351</v>
      </c>
      <c r="D2407" s="11" t="s">
        <v>3765</v>
      </c>
      <c r="E2407" s="14" t="s">
        <v>4566</v>
      </c>
      <c r="F2407" s="4" t="s">
        <v>1523</v>
      </c>
      <c r="H2407" s="6"/>
    </row>
    <row r="2408" spans="1:8" x14ac:dyDescent="0.2">
      <c r="A2408" s="14" t="s">
        <v>3314</v>
      </c>
      <c r="B2408" s="14" t="s">
        <v>1522</v>
      </c>
      <c r="C2408" s="14" t="s">
        <v>2352</v>
      </c>
      <c r="D2408" s="11" t="s">
        <v>3765</v>
      </c>
      <c r="E2408" s="14" t="s">
        <v>4567</v>
      </c>
      <c r="F2408" s="4" t="s">
        <v>1523</v>
      </c>
      <c r="H2408" s="6"/>
    </row>
    <row r="2409" spans="1:8" x14ac:dyDescent="0.2">
      <c r="A2409" s="14" t="s">
        <v>3321</v>
      </c>
      <c r="B2409" s="14" t="s">
        <v>1522</v>
      </c>
      <c r="C2409" s="14" t="s">
        <v>2353</v>
      </c>
      <c r="D2409" s="11" t="s">
        <v>3767</v>
      </c>
      <c r="E2409" s="14" t="s">
        <v>4568</v>
      </c>
      <c r="F2409" s="4" t="s">
        <v>1523</v>
      </c>
      <c r="H2409" s="6"/>
    </row>
    <row r="2410" spans="1:8" x14ac:dyDescent="0.2">
      <c r="A2410" s="14" t="s">
        <v>3322</v>
      </c>
      <c r="B2410" s="14" t="s">
        <v>1522</v>
      </c>
      <c r="C2410" s="14" t="s">
        <v>2354</v>
      </c>
      <c r="D2410" s="11" t="s">
        <v>3767</v>
      </c>
      <c r="E2410" s="14" t="s">
        <v>4569</v>
      </c>
      <c r="F2410" s="4" t="s">
        <v>1523</v>
      </c>
      <c r="H2410" s="6"/>
    </row>
    <row r="2411" spans="1:8" x14ac:dyDescent="0.2">
      <c r="A2411" s="14" t="s">
        <v>3323</v>
      </c>
      <c r="B2411" s="14" t="s">
        <v>1522</v>
      </c>
      <c r="C2411" s="14" t="s">
        <v>2355</v>
      </c>
      <c r="D2411" s="11" t="s">
        <v>3767</v>
      </c>
      <c r="E2411" s="14" t="s">
        <v>4570</v>
      </c>
      <c r="F2411" s="4" t="s">
        <v>1523</v>
      </c>
      <c r="H2411" s="6"/>
    </row>
    <row r="2412" spans="1:8" x14ac:dyDescent="0.2">
      <c r="A2412" s="14" t="s">
        <v>3324</v>
      </c>
      <c r="B2412" s="14" t="s">
        <v>1522</v>
      </c>
      <c r="C2412" s="14" t="s">
        <v>2356</v>
      </c>
      <c r="D2412" s="11" t="s">
        <v>3767</v>
      </c>
      <c r="E2412" s="14" t="s">
        <v>4571</v>
      </c>
      <c r="F2412" s="4" t="s">
        <v>1523</v>
      </c>
      <c r="H2412" s="6"/>
    </row>
    <row r="2413" spans="1:8" x14ac:dyDescent="0.2">
      <c r="A2413" s="14" t="s">
        <v>3325</v>
      </c>
      <c r="B2413" s="14" t="s">
        <v>1522</v>
      </c>
      <c r="C2413" s="14" t="s">
        <v>2357</v>
      </c>
      <c r="D2413" s="11" t="s">
        <v>3767</v>
      </c>
      <c r="E2413" s="14" t="s">
        <v>4572</v>
      </c>
      <c r="F2413" s="4" t="s">
        <v>1523</v>
      </c>
      <c r="H2413" s="6"/>
    </row>
    <row r="2414" spans="1:8" x14ac:dyDescent="0.2">
      <c r="A2414" s="14" t="s">
        <v>3326</v>
      </c>
      <c r="B2414" s="14" t="s">
        <v>1522</v>
      </c>
      <c r="C2414" s="14" t="s">
        <v>2358</v>
      </c>
      <c r="D2414" s="11" t="s">
        <v>3767</v>
      </c>
      <c r="E2414" s="14" t="s">
        <v>4573</v>
      </c>
      <c r="F2414" s="4" t="s">
        <v>1523</v>
      </c>
      <c r="H2414" s="6"/>
    </row>
    <row r="2415" spans="1:8" x14ac:dyDescent="0.2">
      <c r="A2415" s="14" t="s">
        <v>1527</v>
      </c>
      <c r="B2415" s="14" t="s">
        <v>1522</v>
      </c>
      <c r="C2415" s="14" t="s">
        <v>2796</v>
      </c>
      <c r="D2415" s="11" t="s">
        <v>3933</v>
      </c>
      <c r="E2415" s="14" t="s">
        <v>1911</v>
      </c>
      <c r="F2415" s="4" t="s">
        <v>1524</v>
      </c>
      <c r="H2415" s="6"/>
    </row>
    <row r="2416" spans="1:8" x14ac:dyDescent="0.2">
      <c r="A2416" s="14" t="s">
        <v>3489</v>
      </c>
      <c r="B2416" s="14" t="s">
        <v>1522</v>
      </c>
      <c r="C2416" s="14" t="s">
        <v>1425</v>
      </c>
      <c r="D2416" s="11" t="s">
        <v>3936</v>
      </c>
      <c r="E2416" s="14" t="s">
        <v>1780</v>
      </c>
      <c r="F2416" s="4" t="s">
        <v>3935</v>
      </c>
      <c r="H2416" s="6"/>
    </row>
    <row r="2417" spans="1:8" x14ac:dyDescent="0.2">
      <c r="A2417" s="14" t="s">
        <v>3490</v>
      </c>
      <c r="B2417" s="14" t="s">
        <v>1522</v>
      </c>
      <c r="C2417" s="14" t="s">
        <v>1426</v>
      </c>
      <c r="D2417" s="11" t="s">
        <v>3937</v>
      </c>
      <c r="E2417" s="14" t="s">
        <v>1781</v>
      </c>
      <c r="F2417" s="4" t="s">
        <v>3935</v>
      </c>
      <c r="H2417" s="6"/>
    </row>
    <row r="2418" spans="1:8" x14ac:dyDescent="0.2">
      <c r="A2418" s="14" t="s">
        <v>3490</v>
      </c>
      <c r="B2418" s="14" t="s">
        <v>1522</v>
      </c>
      <c r="C2418" s="14" t="s">
        <v>1427</v>
      </c>
      <c r="D2418" s="11" t="s">
        <v>3937</v>
      </c>
      <c r="E2418" s="14" t="s">
        <v>1782</v>
      </c>
      <c r="F2418" s="4" t="s">
        <v>3935</v>
      </c>
      <c r="H2418" s="6"/>
    </row>
    <row r="2419" spans="1:8" x14ac:dyDescent="0.2">
      <c r="A2419" s="14" t="s">
        <v>3491</v>
      </c>
      <c r="B2419" s="14" t="s">
        <v>1522</v>
      </c>
      <c r="C2419" s="14" t="s">
        <v>1428</v>
      </c>
      <c r="D2419" s="11" t="s">
        <v>3938</v>
      </c>
      <c r="E2419" s="14" t="s">
        <v>1783</v>
      </c>
      <c r="F2419" s="4" t="s">
        <v>3935</v>
      </c>
      <c r="H2419" s="6"/>
    </row>
    <row r="2420" spans="1:8" x14ac:dyDescent="0.2">
      <c r="A2420" s="14" t="s">
        <v>3492</v>
      </c>
      <c r="B2420" s="14" t="s">
        <v>1522</v>
      </c>
      <c r="C2420" s="14" t="s">
        <v>1500</v>
      </c>
      <c r="D2420" s="11" t="s">
        <v>3939</v>
      </c>
      <c r="E2420" s="14" t="s">
        <v>1784</v>
      </c>
      <c r="F2420" s="4" t="s">
        <v>3935</v>
      </c>
      <c r="H2420" s="6"/>
    </row>
    <row r="2421" spans="1:8" x14ac:dyDescent="0.2">
      <c r="A2421" s="14" t="s">
        <v>3494</v>
      </c>
      <c r="B2421" s="14" t="s">
        <v>1522</v>
      </c>
      <c r="C2421" s="14" t="s">
        <v>1503</v>
      </c>
      <c r="D2421" s="11" t="s">
        <v>3940</v>
      </c>
      <c r="E2421" s="14" t="s">
        <v>1785</v>
      </c>
      <c r="F2421" s="4" t="s">
        <v>3935</v>
      </c>
      <c r="H2421" s="6"/>
    </row>
    <row r="2422" spans="1:8" x14ac:dyDescent="0.2">
      <c r="A2422" s="14" t="s">
        <v>3489</v>
      </c>
      <c r="B2422" s="14" t="s">
        <v>1522</v>
      </c>
      <c r="C2422" s="14" t="s">
        <v>1504</v>
      </c>
      <c r="D2422" s="11" t="s">
        <v>3936</v>
      </c>
      <c r="E2422" s="14" t="s">
        <v>1798</v>
      </c>
      <c r="F2422" s="4" t="s">
        <v>3935</v>
      </c>
      <c r="H2422" s="6"/>
    </row>
    <row r="2423" spans="1:8" x14ac:dyDescent="0.2">
      <c r="A2423" s="14" t="s">
        <v>3492</v>
      </c>
      <c r="B2423" s="14" t="s">
        <v>1522</v>
      </c>
      <c r="C2423" s="14" t="s">
        <v>1505</v>
      </c>
      <c r="D2423" s="11" t="s">
        <v>3939</v>
      </c>
      <c r="E2423" s="14" t="s">
        <v>1799</v>
      </c>
      <c r="F2423" s="4" t="s">
        <v>3935</v>
      </c>
      <c r="H2423" s="6"/>
    </row>
    <row r="2424" spans="1:8" x14ac:dyDescent="0.2">
      <c r="A2424" s="14" t="s">
        <v>3494</v>
      </c>
      <c r="B2424" s="14" t="s">
        <v>1522</v>
      </c>
      <c r="C2424" s="14" t="s">
        <v>1510</v>
      </c>
      <c r="D2424" s="11" t="s">
        <v>3940</v>
      </c>
      <c r="E2424" s="14" t="s">
        <v>1788</v>
      </c>
      <c r="F2424" s="4" t="s">
        <v>3935</v>
      </c>
      <c r="H2424" s="6"/>
    </row>
    <row r="2425" spans="1:8" x14ac:dyDescent="0.2">
      <c r="A2425" s="14" t="s">
        <v>3494</v>
      </c>
      <c r="B2425" s="14" t="s">
        <v>1522</v>
      </c>
      <c r="C2425" s="14" t="s">
        <v>1511</v>
      </c>
      <c r="D2425" s="11" t="s">
        <v>3940</v>
      </c>
      <c r="E2425" s="14" t="s">
        <v>1789</v>
      </c>
      <c r="F2425" s="4" t="s">
        <v>3935</v>
      </c>
      <c r="H2425" s="6"/>
    </row>
    <row r="2426" spans="1:8" x14ac:dyDescent="0.2">
      <c r="A2426" s="14" t="s">
        <v>2966</v>
      </c>
      <c r="B2426" s="14" t="s">
        <v>1522</v>
      </c>
      <c r="C2426" s="14" t="s">
        <v>1530</v>
      </c>
      <c r="D2426" s="11" t="s">
        <v>1271</v>
      </c>
      <c r="E2426" s="14" t="s">
        <v>1271</v>
      </c>
      <c r="F2426" s="4" t="s">
        <v>1524</v>
      </c>
    </row>
    <row r="2427" spans="1:8" x14ac:dyDescent="0.2">
      <c r="A2427" s="14" t="s">
        <v>2502</v>
      </c>
      <c r="B2427" s="14" t="s">
        <v>1522</v>
      </c>
      <c r="C2427" s="14" t="s">
        <v>582</v>
      </c>
      <c r="D2427" s="11" t="s">
        <v>4725</v>
      </c>
      <c r="E2427" s="14" t="s">
        <v>84</v>
      </c>
      <c r="F2427" s="4" t="s">
        <v>1528</v>
      </c>
    </row>
    <row r="2428" spans="1:8" x14ac:dyDescent="0.2">
      <c r="A2428" s="14" t="s">
        <v>2502</v>
      </c>
      <c r="B2428" s="14" t="s">
        <v>1522</v>
      </c>
      <c r="C2428" s="14" t="s">
        <v>1276</v>
      </c>
      <c r="D2428" s="11" t="s">
        <v>4725</v>
      </c>
      <c r="E2428" s="14" t="s">
        <v>1277</v>
      </c>
      <c r="F2428" s="4" t="s">
        <v>1528</v>
      </c>
      <c r="H2428" s="6"/>
    </row>
    <row r="2429" spans="1:8" x14ac:dyDescent="0.2">
      <c r="A2429" s="14" t="s">
        <v>3373</v>
      </c>
      <c r="B2429" s="14" t="s">
        <v>1522</v>
      </c>
      <c r="C2429" s="14" t="s">
        <v>1278</v>
      </c>
      <c r="D2429" s="11" t="s">
        <v>3873</v>
      </c>
      <c r="E2429" s="14" t="s">
        <v>1279</v>
      </c>
      <c r="F2429" s="4" t="s">
        <v>1528</v>
      </c>
      <c r="H2429" s="6"/>
    </row>
    <row r="2430" spans="1:8" x14ac:dyDescent="0.2">
      <c r="A2430" s="14" t="s">
        <v>2498</v>
      </c>
      <c r="B2430" s="14" t="s">
        <v>1522</v>
      </c>
      <c r="C2430" s="14" t="s">
        <v>1280</v>
      </c>
      <c r="D2430" s="11" t="s">
        <v>4723</v>
      </c>
      <c r="E2430" s="14" t="s">
        <v>4715</v>
      </c>
      <c r="F2430" s="4" t="s">
        <v>1528</v>
      </c>
      <c r="H2430" s="6"/>
    </row>
    <row r="2431" spans="1:8" x14ac:dyDescent="0.2">
      <c r="A2431" s="14" t="s">
        <v>2496</v>
      </c>
      <c r="B2431" s="14" t="s">
        <v>1522</v>
      </c>
      <c r="C2431" s="14" t="s">
        <v>1281</v>
      </c>
      <c r="D2431" s="11" t="s">
        <v>4722</v>
      </c>
      <c r="E2431" s="14" t="s">
        <v>4716</v>
      </c>
      <c r="F2431" s="4" t="s">
        <v>1528</v>
      </c>
      <c r="H2431" s="6"/>
    </row>
    <row r="2432" spans="1:8" x14ac:dyDescent="0.2">
      <c r="A2432" s="14" t="s">
        <v>2497</v>
      </c>
      <c r="B2432" s="14" t="s">
        <v>1522</v>
      </c>
      <c r="C2432" s="14" t="s">
        <v>2487</v>
      </c>
      <c r="D2432" s="11" t="s">
        <v>4722</v>
      </c>
      <c r="E2432" s="14" t="s">
        <v>4717</v>
      </c>
      <c r="F2432" s="4" t="s">
        <v>1528</v>
      </c>
      <c r="H2432" s="6"/>
    </row>
    <row r="2433" spans="1:8" x14ac:dyDescent="0.2">
      <c r="A2433" s="14" t="s">
        <v>3374</v>
      </c>
      <c r="B2433" s="14" t="s">
        <v>1522</v>
      </c>
      <c r="C2433" s="14" t="s">
        <v>1313</v>
      </c>
      <c r="D2433" s="11" t="s">
        <v>3874</v>
      </c>
      <c r="E2433" s="14" t="s">
        <v>1314</v>
      </c>
      <c r="F2433" s="4" t="s">
        <v>1528</v>
      </c>
      <c r="H2433" s="6"/>
    </row>
    <row r="2434" spans="1:8" x14ac:dyDescent="0.2">
      <c r="A2434" s="14" t="s">
        <v>3375</v>
      </c>
      <c r="B2434" s="14" t="s">
        <v>1522</v>
      </c>
      <c r="C2434" s="14" t="s">
        <v>2538</v>
      </c>
      <c r="D2434" s="11" t="s">
        <v>3875</v>
      </c>
      <c r="E2434" s="14" t="s">
        <v>1627</v>
      </c>
      <c r="F2434" s="4" t="s">
        <v>1528</v>
      </c>
      <c r="H2434" s="6"/>
    </row>
    <row r="2435" spans="1:8" x14ac:dyDescent="0.2">
      <c r="A2435" s="14" t="s">
        <v>3376</v>
      </c>
      <c r="B2435" s="14" t="s">
        <v>1522</v>
      </c>
      <c r="C2435" s="14" t="s">
        <v>1315</v>
      </c>
      <c r="D2435" s="11" t="s">
        <v>3875</v>
      </c>
      <c r="E2435" s="14" t="s">
        <v>1628</v>
      </c>
      <c r="F2435" s="4" t="s">
        <v>1528</v>
      </c>
      <c r="H2435" s="6"/>
    </row>
    <row r="2436" spans="1:8" x14ac:dyDescent="0.2">
      <c r="A2436" s="14" t="s">
        <v>3377</v>
      </c>
      <c r="B2436" s="14" t="s">
        <v>1522</v>
      </c>
      <c r="C2436" s="14" t="s">
        <v>982</v>
      </c>
      <c r="D2436" s="11" t="s">
        <v>3875</v>
      </c>
      <c r="E2436" s="14" t="s">
        <v>983</v>
      </c>
      <c r="F2436" s="4" t="s">
        <v>1528</v>
      </c>
      <c r="H2436" s="6"/>
    </row>
    <row r="2437" spans="1:8" x14ac:dyDescent="0.2">
      <c r="A2437" s="14" t="s">
        <v>3375</v>
      </c>
      <c r="B2437" s="14" t="s">
        <v>1522</v>
      </c>
      <c r="C2437" s="14" t="s">
        <v>2539</v>
      </c>
      <c r="D2437" s="11" t="s">
        <v>3875</v>
      </c>
      <c r="E2437" s="14" t="s">
        <v>1629</v>
      </c>
      <c r="F2437" s="4" t="s">
        <v>1528</v>
      </c>
      <c r="H2437" s="6"/>
    </row>
    <row r="2438" spans="1:8" x14ac:dyDescent="0.2">
      <c r="A2438" s="14" t="s">
        <v>3376</v>
      </c>
      <c r="B2438" s="14" t="s">
        <v>1522</v>
      </c>
      <c r="C2438" s="14" t="s">
        <v>984</v>
      </c>
      <c r="D2438" s="11" t="s">
        <v>3875</v>
      </c>
      <c r="E2438" s="14" t="s">
        <v>1631</v>
      </c>
      <c r="F2438" s="4" t="s">
        <v>1528</v>
      </c>
      <c r="H2438" s="6"/>
    </row>
    <row r="2439" spans="1:8" x14ac:dyDescent="0.2">
      <c r="A2439" s="14" t="s">
        <v>3378</v>
      </c>
      <c r="B2439" s="14" t="s">
        <v>1522</v>
      </c>
      <c r="C2439" s="14" t="s">
        <v>987</v>
      </c>
      <c r="D2439" s="11" t="s">
        <v>3876</v>
      </c>
      <c r="E2439" s="14" t="s">
        <v>988</v>
      </c>
      <c r="F2439" s="4" t="s">
        <v>1528</v>
      </c>
      <c r="H2439" s="6"/>
    </row>
    <row r="2440" spans="1:8" x14ac:dyDescent="0.2">
      <c r="A2440" s="14" t="s">
        <v>3379</v>
      </c>
      <c r="B2440" s="14" t="s">
        <v>1522</v>
      </c>
      <c r="C2440" s="14" t="s">
        <v>2542</v>
      </c>
      <c r="D2440" s="11" t="s">
        <v>3876</v>
      </c>
      <c r="E2440" s="14" t="s">
        <v>1633</v>
      </c>
      <c r="F2440" s="4" t="s">
        <v>1528</v>
      </c>
      <c r="H2440" s="6"/>
    </row>
    <row r="2441" spans="1:8" x14ac:dyDescent="0.2">
      <c r="A2441" s="14" t="s">
        <v>3380</v>
      </c>
      <c r="B2441" s="14" t="s">
        <v>1522</v>
      </c>
      <c r="C2441" s="14" t="s">
        <v>991</v>
      </c>
      <c r="D2441" s="11" t="s">
        <v>3877</v>
      </c>
      <c r="E2441" s="14" t="s">
        <v>992</v>
      </c>
      <c r="F2441" s="4" t="s">
        <v>1528</v>
      </c>
      <c r="H2441" s="6"/>
    </row>
    <row r="2442" spans="1:8" x14ac:dyDescent="0.2">
      <c r="A2442" s="14" t="s">
        <v>3381</v>
      </c>
      <c r="B2442" s="14" t="s">
        <v>1522</v>
      </c>
      <c r="C2442" s="14" t="s">
        <v>2543</v>
      </c>
      <c r="D2442" s="11" t="s">
        <v>3877</v>
      </c>
      <c r="E2442" s="14" t="s">
        <v>1634</v>
      </c>
      <c r="F2442" s="4" t="s">
        <v>1528</v>
      </c>
      <c r="H2442" s="6"/>
    </row>
    <row r="2443" spans="1:8" x14ac:dyDescent="0.2">
      <c r="A2443" s="14" t="s">
        <v>3382</v>
      </c>
      <c r="B2443" s="14" t="s">
        <v>1522</v>
      </c>
      <c r="C2443" s="14" t="s">
        <v>993</v>
      </c>
      <c r="D2443" s="11" t="s">
        <v>3877</v>
      </c>
      <c r="E2443" s="14" t="s">
        <v>1635</v>
      </c>
      <c r="F2443" s="4" t="s">
        <v>1528</v>
      </c>
      <c r="H2443" s="6"/>
    </row>
    <row r="2444" spans="1:8" x14ac:dyDescent="0.2">
      <c r="A2444" s="14" t="s">
        <v>3383</v>
      </c>
      <c r="B2444" s="14" t="s">
        <v>1522</v>
      </c>
      <c r="C2444" s="14" t="s">
        <v>994</v>
      </c>
      <c r="D2444" s="11" t="s">
        <v>3878</v>
      </c>
      <c r="E2444" s="14" t="s">
        <v>995</v>
      </c>
      <c r="F2444" s="4" t="s">
        <v>1528</v>
      </c>
      <c r="H2444" s="6"/>
    </row>
    <row r="2445" spans="1:8" x14ac:dyDescent="0.2">
      <c r="A2445" s="14" t="s">
        <v>3384</v>
      </c>
      <c r="B2445" s="14" t="s">
        <v>1522</v>
      </c>
      <c r="C2445" s="14" t="s">
        <v>2545</v>
      </c>
      <c r="D2445" s="11" t="s">
        <v>3878</v>
      </c>
      <c r="E2445" s="14" t="s">
        <v>1637</v>
      </c>
      <c r="F2445" s="4" t="s">
        <v>1528</v>
      </c>
      <c r="H2445" s="6"/>
    </row>
    <row r="2446" spans="1:8" x14ac:dyDescent="0.2">
      <c r="A2446" s="14" t="s">
        <v>3385</v>
      </c>
      <c r="B2446" s="14" t="s">
        <v>1522</v>
      </c>
      <c r="C2446" s="14" t="s">
        <v>996</v>
      </c>
      <c r="D2446" s="11" t="s">
        <v>3878</v>
      </c>
      <c r="E2446" s="14" t="s">
        <v>1639</v>
      </c>
      <c r="F2446" s="4" t="s">
        <v>1528</v>
      </c>
      <c r="H2446" s="6"/>
    </row>
    <row r="2447" spans="1:8" x14ac:dyDescent="0.2">
      <c r="A2447" s="14" t="s">
        <v>3386</v>
      </c>
      <c r="B2447" s="14" t="s">
        <v>1522</v>
      </c>
      <c r="C2447" s="14" t="s">
        <v>997</v>
      </c>
      <c r="D2447" s="11" t="s">
        <v>3879</v>
      </c>
      <c r="E2447" s="14" t="s">
        <v>998</v>
      </c>
      <c r="F2447" s="4" t="s">
        <v>1528</v>
      </c>
      <c r="H2447" s="6"/>
    </row>
    <row r="2448" spans="1:8" x14ac:dyDescent="0.2">
      <c r="A2448" s="14" t="s">
        <v>3387</v>
      </c>
      <c r="B2448" s="14" t="s">
        <v>1522</v>
      </c>
      <c r="C2448" s="14" t="s">
        <v>2548</v>
      </c>
      <c r="D2448" s="11" t="s">
        <v>3879</v>
      </c>
      <c r="E2448" s="14" t="s">
        <v>1641</v>
      </c>
      <c r="F2448" s="4" t="s">
        <v>1528</v>
      </c>
      <c r="H2448" s="6"/>
    </row>
    <row r="2449" spans="1:8" x14ac:dyDescent="0.2">
      <c r="A2449" s="14" t="s">
        <v>3388</v>
      </c>
      <c r="B2449" s="14" t="s">
        <v>1522</v>
      </c>
      <c r="C2449" s="14" t="s">
        <v>999</v>
      </c>
      <c r="D2449" s="11" t="s">
        <v>3880</v>
      </c>
      <c r="E2449" s="14" t="s">
        <v>1000</v>
      </c>
      <c r="F2449" s="4" t="s">
        <v>1528</v>
      </c>
      <c r="H2449" s="6"/>
    </row>
    <row r="2450" spans="1:8" x14ac:dyDescent="0.2">
      <c r="A2450" s="14" t="s">
        <v>3389</v>
      </c>
      <c r="B2450" s="14" t="s">
        <v>1522</v>
      </c>
      <c r="C2450" s="14" t="s">
        <v>2549</v>
      </c>
      <c r="D2450" s="11" t="s">
        <v>3880</v>
      </c>
      <c r="E2450" s="14" t="s">
        <v>1642</v>
      </c>
      <c r="F2450" s="4" t="s">
        <v>1528</v>
      </c>
      <c r="H2450" s="6"/>
    </row>
    <row r="2451" spans="1:8" x14ac:dyDescent="0.2">
      <c r="A2451" s="14" t="s">
        <v>3390</v>
      </c>
      <c r="B2451" s="14" t="s">
        <v>1522</v>
      </c>
      <c r="C2451" s="14" t="s">
        <v>2550</v>
      </c>
      <c r="D2451" s="11" t="s">
        <v>3881</v>
      </c>
      <c r="E2451" s="14" t="s">
        <v>1643</v>
      </c>
      <c r="F2451" s="4" t="s">
        <v>1528</v>
      </c>
      <c r="H2451" s="6"/>
    </row>
    <row r="2452" spans="1:8" x14ac:dyDescent="0.2">
      <c r="A2452" s="14" t="s">
        <v>3391</v>
      </c>
      <c r="B2452" s="14" t="s">
        <v>1522</v>
      </c>
      <c r="C2452" s="14" t="s">
        <v>2551</v>
      </c>
      <c r="D2452" s="11" t="s">
        <v>3882</v>
      </c>
      <c r="E2452" s="14" t="s">
        <v>1644</v>
      </c>
      <c r="F2452" s="4" t="s">
        <v>1528</v>
      </c>
      <c r="H2452" s="6"/>
    </row>
    <row r="2453" spans="1:8" x14ac:dyDescent="0.2">
      <c r="A2453" s="14" t="s">
        <v>3392</v>
      </c>
      <c r="B2453" s="14" t="s">
        <v>1522</v>
      </c>
      <c r="C2453" s="14" t="s">
        <v>2553</v>
      </c>
      <c r="D2453" s="11" t="s">
        <v>3883</v>
      </c>
      <c r="E2453" s="14" t="s">
        <v>1646</v>
      </c>
      <c r="F2453" s="4" t="s">
        <v>1528</v>
      </c>
      <c r="H2453" s="6"/>
    </row>
    <row r="2454" spans="1:8" x14ac:dyDescent="0.2">
      <c r="A2454" s="14" t="s">
        <v>3393</v>
      </c>
      <c r="B2454" s="14" t="s">
        <v>1522</v>
      </c>
      <c r="C2454" s="14" t="s">
        <v>2554</v>
      </c>
      <c r="D2454" s="11" t="s">
        <v>3884</v>
      </c>
      <c r="E2454" s="14" t="s">
        <v>1647</v>
      </c>
      <c r="F2454" s="4" t="s">
        <v>1528</v>
      </c>
      <c r="H2454" s="6"/>
    </row>
    <row r="2455" spans="1:8" x14ac:dyDescent="0.2">
      <c r="A2455" s="14" t="s">
        <v>3394</v>
      </c>
      <c r="B2455" s="14" t="s">
        <v>1522</v>
      </c>
      <c r="C2455" s="14" t="s">
        <v>2555</v>
      </c>
      <c r="D2455" s="11" t="s">
        <v>3885</v>
      </c>
      <c r="E2455" s="14" t="s">
        <v>1648</v>
      </c>
      <c r="F2455" s="4" t="s">
        <v>1528</v>
      </c>
      <c r="H2455" s="6"/>
    </row>
    <row r="2456" spans="1:8" x14ac:dyDescent="0.2">
      <c r="A2456" s="14" t="s">
        <v>3395</v>
      </c>
      <c r="B2456" s="14" t="s">
        <v>1522</v>
      </c>
      <c r="C2456" s="14" t="s">
        <v>2556</v>
      </c>
      <c r="D2456" s="11" t="s">
        <v>3886</v>
      </c>
      <c r="E2456" s="14" t="s">
        <v>1649</v>
      </c>
      <c r="F2456" s="4" t="s">
        <v>1528</v>
      </c>
      <c r="H2456" s="6"/>
    </row>
    <row r="2457" spans="1:8" x14ac:dyDescent="0.2">
      <c r="A2457" s="14" t="s">
        <v>3396</v>
      </c>
      <c r="B2457" s="14" t="s">
        <v>1522</v>
      </c>
      <c r="C2457" s="14" t="s">
        <v>2558</v>
      </c>
      <c r="D2457" s="11" t="s">
        <v>3887</v>
      </c>
      <c r="E2457" s="14" t="s">
        <v>1651</v>
      </c>
      <c r="F2457" s="4" t="s">
        <v>1528</v>
      </c>
      <c r="H2457" s="6"/>
    </row>
    <row r="2458" spans="1:8" x14ac:dyDescent="0.2">
      <c r="A2458" s="14" t="s">
        <v>3397</v>
      </c>
      <c r="B2458" s="14" t="s">
        <v>1522</v>
      </c>
      <c r="C2458" s="14" t="s">
        <v>2559</v>
      </c>
      <c r="D2458" s="11" t="s">
        <v>3888</v>
      </c>
      <c r="E2458" s="14" t="s">
        <v>1652</v>
      </c>
      <c r="F2458" s="4" t="s">
        <v>1528</v>
      </c>
      <c r="H2458" s="6"/>
    </row>
    <row r="2459" spans="1:8" x14ac:dyDescent="0.2">
      <c r="A2459" s="14" t="s">
        <v>3398</v>
      </c>
      <c r="B2459" s="14" t="s">
        <v>1522</v>
      </c>
      <c r="C2459" s="14" t="s">
        <v>2562</v>
      </c>
      <c r="D2459" s="11" t="s">
        <v>3889</v>
      </c>
      <c r="E2459" s="14" t="s">
        <v>1655</v>
      </c>
      <c r="F2459" s="4" t="s">
        <v>1528</v>
      </c>
      <c r="H2459" s="6"/>
    </row>
    <row r="2460" spans="1:8" x14ac:dyDescent="0.2">
      <c r="A2460" s="14" t="s">
        <v>3399</v>
      </c>
      <c r="B2460" s="14" t="s">
        <v>1522</v>
      </c>
      <c r="C2460" s="14" t="s">
        <v>2564</v>
      </c>
      <c r="D2460" s="11" t="s">
        <v>3890</v>
      </c>
      <c r="E2460" s="14" t="s">
        <v>1657</v>
      </c>
      <c r="F2460" s="4" t="s">
        <v>1528</v>
      </c>
      <c r="H2460" s="6"/>
    </row>
    <row r="2461" spans="1:8" x14ac:dyDescent="0.2">
      <c r="A2461" s="14" t="s">
        <v>3400</v>
      </c>
      <c r="B2461" s="14" t="s">
        <v>1522</v>
      </c>
      <c r="C2461" s="14" t="s">
        <v>2566</v>
      </c>
      <c r="D2461" s="11" t="s">
        <v>3891</v>
      </c>
      <c r="E2461" s="14" t="s">
        <v>1659</v>
      </c>
      <c r="F2461" s="4" t="s">
        <v>1528</v>
      </c>
      <c r="H2461" s="6"/>
    </row>
    <row r="2462" spans="1:8" x14ac:dyDescent="0.2">
      <c r="A2462" s="14" t="s">
        <v>3401</v>
      </c>
      <c r="B2462" s="14" t="s">
        <v>1522</v>
      </c>
      <c r="C2462" s="14" t="s">
        <v>1001</v>
      </c>
      <c r="D2462" s="11" t="s">
        <v>3881</v>
      </c>
      <c r="E2462" s="14" t="s">
        <v>1002</v>
      </c>
      <c r="F2462" s="4" t="s">
        <v>1528</v>
      </c>
      <c r="H2462" s="6"/>
    </row>
    <row r="2463" spans="1:8" x14ac:dyDescent="0.2">
      <c r="A2463" s="14" t="s">
        <v>3402</v>
      </c>
      <c r="B2463" s="14" t="s">
        <v>1522</v>
      </c>
      <c r="C2463" s="14" t="s">
        <v>2567</v>
      </c>
      <c r="D2463" s="11" t="s">
        <v>3892</v>
      </c>
      <c r="E2463" s="14" t="s">
        <v>1660</v>
      </c>
      <c r="F2463" s="4" t="s">
        <v>1528</v>
      </c>
      <c r="H2463" s="6"/>
    </row>
    <row r="2464" spans="1:8" x14ac:dyDescent="0.2">
      <c r="A2464" s="14" t="s">
        <v>3403</v>
      </c>
      <c r="B2464" s="14" t="s">
        <v>1522</v>
      </c>
      <c r="C2464" s="14" t="s">
        <v>2568</v>
      </c>
      <c r="D2464" s="11" t="s">
        <v>3893</v>
      </c>
      <c r="E2464" s="14" t="s">
        <v>1661</v>
      </c>
      <c r="F2464" s="4" t="s">
        <v>1528</v>
      </c>
      <c r="H2464" s="6"/>
    </row>
    <row r="2465" spans="1:8" x14ac:dyDescent="0.2">
      <c r="A2465" s="14" t="s">
        <v>3404</v>
      </c>
      <c r="B2465" s="14" t="s">
        <v>1522</v>
      </c>
      <c r="C2465" s="14" t="s">
        <v>2569</v>
      </c>
      <c r="D2465" s="11" t="s">
        <v>3894</v>
      </c>
      <c r="E2465" s="14" t="s">
        <v>1662</v>
      </c>
      <c r="F2465" s="4" t="s">
        <v>1528</v>
      </c>
      <c r="H2465" s="6"/>
    </row>
    <row r="2466" spans="1:8" x14ac:dyDescent="0.2">
      <c r="A2466" s="14" t="s">
        <v>3405</v>
      </c>
      <c r="B2466" s="14" t="s">
        <v>1522</v>
      </c>
      <c r="C2466" s="14" t="s">
        <v>2570</v>
      </c>
      <c r="D2466" s="11" t="s">
        <v>3895</v>
      </c>
      <c r="E2466" s="14" t="s">
        <v>1663</v>
      </c>
      <c r="F2466" s="4" t="s">
        <v>1528</v>
      </c>
      <c r="H2466" s="6"/>
    </row>
    <row r="2467" spans="1:8" x14ac:dyDescent="0.2">
      <c r="A2467" s="14" t="s">
        <v>3406</v>
      </c>
      <c r="B2467" s="14" t="s">
        <v>1522</v>
      </c>
      <c r="C2467" s="14" t="s">
        <v>2571</v>
      </c>
      <c r="D2467" s="11" t="s">
        <v>3896</v>
      </c>
      <c r="E2467" s="14" t="s">
        <v>1664</v>
      </c>
      <c r="F2467" s="4" t="s">
        <v>1528</v>
      </c>
      <c r="H2467" s="6"/>
    </row>
    <row r="2468" spans="1:8" x14ac:dyDescent="0.2">
      <c r="A2468" s="14" t="s">
        <v>3407</v>
      </c>
      <c r="B2468" s="14" t="s">
        <v>1522</v>
      </c>
      <c r="C2468" s="14" t="s">
        <v>2573</v>
      </c>
      <c r="D2468" s="11" t="s">
        <v>3897</v>
      </c>
      <c r="E2468" s="14" t="s">
        <v>1666</v>
      </c>
      <c r="F2468" s="4" t="s">
        <v>1528</v>
      </c>
      <c r="H2468" s="6"/>
    </row>
    <row r="2469" spans="1:8" x14ac:dyDescent="0.2">
      <c r="A2469" s="14" t="s">
        <v>3408</v>
      </c>
      <c r="B2469" s="14" t="s">
        <v>1522</v>
      </c>
      <c r="C2469" s="14" t="s">
        <v>2574</v>
      </c>
      <c r="D2469" s="11" t="s">
        <v>3898</v>
      </c>
      <c r="E2469" s="14" t="s">
        <v>1667</v>
      </c>
      <c r="F2469" s="4" t="s">
        <v>1528</v>
      </c>
      <c r="H2469" s="6"/>
    </row>
    <row r="2470" spans="1:8" x14ac:dyDescent="0.2">
      <c r="A2470" s="14" t="s">
        <v>3409</v>
      </c>
      <c r="B2470" s="14" t="s">
        <v>1522</v>
      </c>
      <c r="C2470" s="14" t="s">
        <v>2575</v>
      </c>
      <c r="D2470" s="11" t="s">
        <v>3899</v>
      </c>
      <c r="E2470" s="14" t="s">
        <v>1668</v>
      </c>
      <c r="F2470" s="4" t="s">
        <v>1528</v>
      </c>
      <c r="H2470" s="6"/>
    </row>
    <row r="2471" spans="1:8" x14ac:dyDescent="0.2">
      <c r="A2471" s="14" t="s">
        <v>3410</v>
      </c>
      <c r="B2471" s="14" t="s">
        <v>1522</v>
      </c>
      <c r="C2471" s="14" t="s">
        <v>1003</v>
      </c>
      <c r="D2471" s="11" t="s">
        <v>3882</v>
      </c>
      <c r="E2471" s="14" t="s">
        <v>1004</v>
      </c>
      <c r="F2471" s="4" t="s">
        <v>1528</v>
      </c>
      <c r="H2471" s="6"/>
    </row>
    <row r="2472" spans="1:8" x14ac:dyDescent="0.2">
      <c r="A2472" s="14" t="s">
        <v>3411</v>
      </c>
      <c r="B2472" s="14" t="s">
        <v>1522</v>
      </c>
      <c r="C2472" s="14" t="s">
        <v>1372</v>
      </c>
      <c r="D2472" s="11" t="s">
        <v>3883</v>
      </c>
      <c r="E2472" s="14" t="s">
        <v>1373</v>
      </c>
      <c r="F2472" s="4" t="s">
        <v>1528</v>
      </c>
      <c r="H2472" s="6"/>
    </row>
    <row r="2473" spans="1:8" x14ac:dyDescent="0.2">
      <c r="A2473" s="14" t="s">
        <v>3412</v>
      </c>
      <c r="B2473" s="14" t="s">
        <v>1522</v>
      </c>
      <c r="C2473" s="14" t="s">
        <v>1374</v>
      </c>
      <c r="D2473" s="11" t="s">
        <v>3884</v>
      </c>
      <c r="E2473" s="14" t="s">
        <v>1375</v>
      </c>
      <c r="F2473" s="4" t="s">
        <v>1528</v>
      </c>
      <c r="H2473" s="6"/>
    </row>
    <row r="2474" spans="1:8" x14ac:dyDescent="0.2">
      <c r="A2474" s="14" t="s">
        <v>3413</v>
      </c>
      <c r="B2474" s="14" t="s">
        <v>1522</v>
      </c>
      <c r="C2474" s="14" t="s">
        <v>1376</v>
      </c>
      <c r="D2474" s="11" t="s">
        <v>3885</v>
      </c>
      <c r="E2474" s="14" t="s">
        <v>1672</v>
      </c>
      <c r="F2474" s="4" t="s">
        <v>1528</v>
      </c>
      <c r="H2474" s="6"/>
    </row>
    <row r="2475" spans="1:8" x14ac:dyDescent="0.2">
      <c r="A2475" s="14" t="s">
        <v>3414</v>
      </c>
      <c r="B2475" s="14" t="s">
        <v>1522</v>
      </c>
      <c r="C2475" s="14" t="s">
        <v>1377</v>
      </c>
      <c r="D2475" s="11" t="s">
        <v>3886</v>
      </c>
      <c r="E2475" s="14" t="s">
        <v>1378</v>
      </c>
      <c r="F2475" s="4" t="s">
        <v>1528</v>
      </c>
      <c r="H2475" s="6"/>
    </row>
    <row r="2476" spans="1:8" x14ac:dyDescent="0.2">
      <c r="A2476" s="14" t="s">
        <v>3415</v>
      </c>
      <c r="B2476" s="14" t="s">
        <v>1522</v>
      </c>
      <c r="C2476" s="14" t="s">
        <v>1380</v>
      </c>
      <c r="D2476" s="11" t="s">
        <v>3900</v>
      </c>
      <c r="E2476" s="14" t="s">
        <v>1381</v>
      </c>
      <c r="F2476" s="4" t="s">
        <v>1528</v>
      </c>
      <c r="H2476" s="6"/>
    </row>
    <row r="2477" spans="1:8" x14ac:dyDescent="0.2">
      <c r="A2477" s="14" t="s">
        <v>3416</v>
      </c>
      <c r="B2477" s="14" t="s">
        <v>1522</v>
      </c>
      <c r="C2477" s="14" t="s">
        <v>1382</v>
      </c>
      <c r="D2477" s="11" t="s">
        <v>3888</v>
      </c>
      <c r="E2477" s="14" t="s">
        <v>1674</v>
      </c>
      <c r="F2477" s="4" t="s">
        <v>1528</v>
      </c>
      <c r="H2477" s="6"/>
    </row>
    <row r="2478" spans="1:8" x14ac:dyDescent="0.2">
      <c r="A2478" s="14" t="s">
        <v>3417</v>
      </c>
      <c r="B2478" s="14" t="s">
        <v>1522</v>
      </c>
      <c r="C2478" s="14" t="s">
        <v>1172</v>
      </c>
      <c r="D2478" s="11" t="s">
        <v>3889</v>
      </c>
      <c r="E2478" s="14" t="s">
        <v>1173</v>
      </c>
      <c r="F2478" s="4" t="s">
        <v>1528</v>
      </c>
      <c r="H2478" s="6"/>
    </row>
    <row r="2479" spans="1:8" x14ac:dyDescent="0.2">
      <c r="A2479" s="14" t="s">
        <v>3418</v>
      </c>
      <c r="B2479" s="14" t="s">
        <v>1522</v>
      </c>
      <c r="C2479" s="14" t="s">
        <v>1174</v>
      </c>
      <c r="D2479" s="11" t="s">
        <v>3890</v>
      </c>
      <c r="E2479" s="14" t="s">
        <v>1175</v>
      </c>
      <c r="F2479" s="4" t="s">
        <v>1528</v>
      </c>
      <c r="H2479" s="6"/>
    </row>
    <row r="2480" spans="1:8" x14ac:dyDescent="0.2">
      <c r="A2480" s="14" t="s">
        <v>3419</v>
      </c>
      <c r="B2480" s="14" t="s">
        <v>1522</v>
      </c>
      <c r="C2480" s="14" t="s">
        <v>1176</v>
      </c>
      <c r="D2480" s="11" t="s">
        <v>3901</v>
      </c>
      <c r="E2480" s="14" t="s">
        <v>1177</v>
      </c>
      <c r="F2480" s="4" t="s">
        <v>1528</v>
      </c>
      <c r="H2480" s="6"/>
    </row>
    <row r="2481" spans="1:8" x14ac:dyDescent="0.2">
      <c r="A2481" s="14" t="s">
        <v>3420</v>
      </c>
      <c r="B2481" s="14" t="s">
        <v>1522</v>
      </c>
      <c r="C2481" s="14" t="s">
        <v>1178</v>
      </c>
      <c r="D2481" s="11" t="s">
        <v>3892</v>
      </c>
      <c r="E2481" s="14" t="s">
        <v>1179</v>
      </c>
      <c r="F2481" s="4" t="s">
        <v>1528</v>
      </c>
      <c r="H2481" s="6"/>
    </row>
    <row r="2482" spans="1:8" x14ac:dyDescent="0.2">
      <c r="A2482" s="14" t="s">
        <v>3421</v>
      </c>
      <c r="B2482" s="14" t="s">
        <v>1522</v>
      </c>
      <c r="C2482" s="14" t="s">
        <v>1180</v>
      </c>
      <c r="D2482" s="11" t="s">
        <v>3902</v>
      </c>
      <c r="E2482" s="14" t="s">
        <v>1676</v>
      </c>
      <c r="F2482" s="4" t="s">
        <v>1528</v>
      </c>
      <c r="H2482" s="6"/>
    </row>
    <row r="2483" spans="1:8" x14ac:dyDescent="0.2">
      <c r="A2483" s="14" t="s">
        <v>3422</v>
      </c>
      <c r="B2483" s="14" t="s">
        <v>1522</v>
      </c>
      <c r="C2483" s="14" t="s">
        <v>2579</v>
      </c>
      <c r="D2483" s="11" t="s">
        <v>3894</v>
      </c>
      <c r="E2483" s="14" t="s">
        <v>1677</v>
      </c>
      <c r="F2483" s="4" t="s">
        <v>1528</v>
      </c>
      <c r="H2483" s="6"/>
    </row>
    <row r="2484" spans="1:8" x14ac:dyDescent="0.2">
      <c r="A2484" s="14" t="s">
        <v>3423</v>
      </c>
      <c r="B2484" s="14" t="s">
        <v>1522</v>
      </c>
      <c r="C2484" s="14" t="s">
        <v>1181</v>
      </c>
      <c r="D2484" s="11" t="s">
        <v>3903</v>
      </c>
      <c r="E2484" s="14" t="s">
        <v>1678</v>
      </c>
      <c r="F2484" s="4" t="s">
        <v>1528</v>
      </c>
      <c r="H2484" s="6"/>
    </row>
    <row r="2485" spans="1:8" x14ac:dyDescent="0.2">
      <c r="A2485" s="14" t="s">
        <v>3424</v>
      </c>
      <c r="B2485" s="14" t="s">
        <v>1522</v>
      </c>
      <c r="C2485" s="14" t="s">
        <v>1182</v>
      </c>
      <c r="D2485" s="11" t="s">
        <v>3895</v>
      </c>
      <c r="E2485" s="14" t="s">
        <v>1681</v>
      </c>
      <c r="F2485" s="4" t="s">
        <v>1528</v>
      </c>
      <c r="H2485" s="6"/>
    </row>
    <row r="2486" spans="1:8" x14ac:dyDescent="0.2">
      <c r="A2486" s="14" t="s">
        <v>3425</v>
      </c>
      <c r="B2486" s="14" t="s">
        <v>1522</v>
      </c>
      <c r="C2486" s="14" t="s">
        <v>1183</v>
      </c>
      <c r="D2486" s="11" t="s">
        <v>3896</v>
      </c>
      <c r="E2486" s="14" t="s">
        <v>1184</v>
      </c>
      <c r="F2486" s="4" t="s">
        <v>1528</v>
      </c>
      <c r="H2486" s="6"/>
    </row>
    <row r="2487" spans="1:8" x14ac:dyDescent="0.2">
      <c r="A2487" s="14" t="s">
        <v>3426</v>
      </c>
      <c r="B2487" s="14" t="s">
        <v>1522</v>
      </c>
      <c r="C2487" s="14" t="s">
        <v>1186</v>
      </c>
      <c r="D2487" s="11" t="s">
        <v>3904</v>
      </c>
      <c r="E2487" s="14" t="s">
        <v>1683</v>
      </c>
      <c r="F2487" s="4" t="s">
        <v>1528</v>
      </c>
      <c r="H2487" s="6"/>
    </row>
    <row r="2488" spans="1:8" x14ac:dyDescent="0.2">
      <c r="A2488" s="14" t="s">
        <v>3427</v>
      </c>
      <c r="B2488" s="14" t="s">
        <v>1522</v>
      </c>
      <c r="C2488" s="14" t="s">
        <v>1187</v>
      </c>
      <c r="D2488" s="11" t="s">
        <v>3898</v>
      </c>
      <c r="E2488" s="14" t="s">
        <v>1684</v>
      </c>
      <c r="F2488" s="4" t="s">
        <v>1528</v>
      </c>
      <c r="H2488" s="6"/>
    </row>
    <row r="2489" spans="1:8" x14ac:dyDescent="0.2">
      <c r="A2489" s="14" t="s">
        <v>3428</v>
      </c>
      <c r="B2489" s="14" t="s">
        <v>1522</v>
      </c>
      <c r="C2489" s="14" t="s">
        <v>1188</v>
      </c>
      <c r="D2489" s="11" t="s">
        <v>3901</v>
      </c>
      <c r="E2489" s="14" t="s">
        <v>1685</v>
      </c>
      <c r="F2489" s="4" t="s">
        <v>1528</v>
      </c>
      <c r="H2489" s="6"/>
    </row>
    <row r="2490" spans="1:8" x14ac:dyDescent="0.2">
      <c r="A2490" s="14" t="s">
        <v>3429</v>
      </c>
      <c r="B2490" s="14" t="s">
        <v>1522</v>
      </c>
      <c r="C2490" s="14" t="s">
        <v>1189</v>
      </c>
      <c r="D2490" s="11" t="s">
        <v>3905</v>
      </c>
      <c r="E2490" s="14" t="s">
        <v>1190</v>
      </c>
      <c r="F2490" s="4" t="s">
        <v>1528</v>
      </c>
      <c r="H2490" s="6"/>
    </row>
    <row r="2491" spans="1:8" x14ac:dyDescent="0.2">
      <c r="A2491" s="14" t="s">
        <v>3430</v>
      </c>
      <c r="B2491" s="14" t="s">
        <v>1522</v>
      </c>
      <c r="C2491" s="14" t="s">
        <v>2582</v>
      </c>
      <c r="D2491" s="11" t="s">
        <v>3905</v>
      </c>
      <c r="E2491" s="14" t="s">
        <v>1190</v>
      </c>
      <c r="F2491" s="4" t="s">
        <v>1528</v>
      </c>
      <c r="H2491" s="6"/>
    </row>
    <row r="2492" spans="1:8" x14ac:dyDescent="0.2">
      <c r="A2492" s="14" t="s">
        <v>3431</v>
      </c>
      <c r="B2492" s="14" t="s">
        <v>1522</v>
      </c>
      <c r="C2492" s="14" t="s">
        <v>1191</v>
      </c>
      <c r="D2492" s="11" t="s">
        <v>3905</v>
      </c>
      <c r="E2492" s="14" t="s">
        <v>1687</v>
      </c>
      <c r="F2492" s="4" t="s">
        <v>1528</v>
      </c>
      <c r="H2492" s="6"/>
    </row>
    <row r="2493" spans="1:8" x14ac:dyDescent="0.2">
      <c r="A2493" s="14" t="s">
        <v>3432</v>
      </c>
      <c r="B2493" s="14" t="s">
        <v>1522</v>
      </c>
      <c r="C2493" s="14" t="s">
        <v>1192</v>
      </c>
      <c r="D2493" s="11" t="s">
        <v>3906</v>
      </c>
      <c r="E2493" s="14" t="s">
        <v>1193</v>
      </c>
      <c r="F2493" s="4" t="s">
        <v>1528</v>
      </c>
      <c r="H2493" s="6"/>
    </row>
    <row r="2494" spans="1:8" x14ac:dyDescent="0.2">
      <c r="A2494" s="14" t="s">
        <v>3433</v>
      </c>
      <c r="B2494" s="14" t="s">
        <v>1522</v>
      </c>
      <c r="C2494" s="14" t="s">
        <v>2584</v>
      </c>
      <c r="D2494" s="11" t="s">
        <v>3906</v>
      </c>
      <c r="E2494" s="14" t="s">
        <v>1688</v>
      </c>
      <c r="F2494" s="4" t="s">
        <v>1528</v>
      </c>
      <c r="H2494" s="6"/>
    </row>
    <row r="2495" spans="1:8" x14ac:dyDescent="0.2">
      <c r="A2495" s="14" t="s">
        <v>3434</v>
      </c>
      <c r="B2495" s="14" t="s">
        <v>1522</v>
      </c>
      <c r="C2495" s="14" t="s">
        <v>1194</v>
      </c>
      <c r="D2495" s="11" t="s">
        <v>3881</v>
      </c>
      <c r="E2495" s="14" t="s">
        <v>1689</v>
      </c>
      <c r="F2495" s="4" t="s">
        <v>1528</v>
      </c>
      <c r="H2495" s="6"/>
    </row>
    <row r="2496" spans="1:8" x14ac:dyDescent="0.2">
      <c r="A2496" s="14" t="s">
        <v>3435</v>
      </c>
      <c r="B2496" s="14" t="s">
        <v>1522</v>
      </c>
      <c r="C2496" s="14" t="s">
        <v>1195</v>
      </c>
      <c r="D2496" s="11" t="s">
        <v>3882</v>
      </c>
      <c r="E2496" s="14" t="s">
        <v>1690</v>
      </c>
      <c r="F2496" s="4" t="s">
        <v>1528</v>
      </c>
      <c r="H2496" s="6"/>
    </row>
    <row r="2497" spans="1:8" x14ac:dyDescent="0.2">
      <c r="A2497" s="14" t="s">
        <v>3436</v>
      </c>
      <c r="B2497" s="14" t="s">
        <v>1522</v>
      </c>
      <c r="C2497" s="14" t="s">
        <v>1197</v>
      </c>
      <c r="D2497" s="11" t="s">
        <v>3883</v>
      </c>
      <c r="E2497" s="14" t="s">
        <v>1692</v>
      </c>
      <c r="F2497" s="4" t="s">
        <v>1528</v>
      </c>
      <c r="H2497" s="6"/>
    </row>
    <row r="2498" spans="1:8" x14ac:dyDescent="0.2">
      <c r="A2498" s="14" t="s">
        <v>3437</v>
      </c>
      <c r="B2498" s="14" t="s">
        <v>1522</v>
      </c>
      <c r="C2498" s="14" t="s">
        <v>1198</v>
      </c>
      <c r="D2498" s="11" t="s">
        <v>3884</v>
      </c>
      <c r="E2498" s="14" t="s">
        <v>1693</v>
      </c>
      <c r="F2498" s="4" t="s">
        <v>1528</v>
      </c>
      <c r="H2498" s="6"/>
    </row>
    <row r="2499" spans="1:8" x14ac:dyDescent="0.2">
      <c r="A2499" s="14" t="s">
        <v>3438</v>
      </c>
      <c r="B2499" s="14" t="s">
        <v>1522</v>
      </c>
      <c r="C2499" s="14" t="s">
        <v>1199</v>
      </c>
      <c r="D2499" s="11" t="s">
        <v>3885</v>
      </c>
      <c r="E2499" s="14" t="s">
        <v>1694</v>
      </c>
      <c r="F2499" s="4" t="s">
        <v>1528</v>
      </c>
      <c r="H2499" s="6"/>
    </row>
    <row r="2500" spans="1:8" x14ac:dyDescent="0.2">
      <c r="A2500" s="14" t="s">
        <v>3439</v>
      </c>
      <c r="B2500" s="14" t="s">
        <v>1522</v>
      </c>
      <c r="C2500" s="14" t="s">
        <v>1200</v>
      </c>
      <c r="D2500" s="11" t="s">
        <v>3886</v>
      </c>
      <c r="E2500" s="14" t="s">
        <v>1695</v>
      </c>
      <c r="F2500" s="4" t="s">
        <v>1528</v>
      </c>
      <c r="H2500" s="6"/>
    </row>
    <row r="2501" spans="1:8" x14ac:dyDescent="0.2">
      <c r="A2501" s="14" t="s">
        <v>3440</v>
      </c>
      <c r="B2501" s="14" t="s">
        <v>1522</v>
      </c>
      <c r="C2501" s="14" t="s">
        <v>1202</v>
      </c>
      <c r="D2501" s="11" t="s">
        <v>3888</v>
      </c>
      <c r="E2501" s="14" t="s">
        <v>1697</v>
      </c>
      <c r="F2501" s="4" t="s">
        <v>1528</v>
      </c>
      <c r="H2501" s="6"/>
    </row>
    <row r="2502" spans="1:8" x14ac:dyDescent="0.2">
      <c r="A2502" s="14" t="s">
        <v>3441</v>
      </c>
      <c r="B2502" s="14" t="s">
        <v>1522</v>
      </c>
      <c r="C2502" s="14" t="s">
        <v>1203</v>
      </c>
      <c r="D2502" s="11" t="s">
        <v>3907</v>
      </c>
      <c r="E2502" s="14" t="s">
        <v>1698</v>
      </c>
      <c r="F2502" s="4" t="s">
        <v>1528</v>
      </c>
      <c r="H2502" s="6"/>
    </row>
    <row r="2503" spans="1:8" x14ac:dyDescent="0.2">
      <c r="A2503" s="14" t="s">
        <v>3442</v>
      </c>
      <c r="B2503" s="14" t="s">
        <v>1522</v>
      </c>
      <c r="C2503" s="14" t="s">
        <v>1205</v>
      </c>
      <c r="D2503" s="11" t="s">
        <v>3891</v>
      </c>
      <c r="E2503" s="14" t="s">
        <v>1700</v>
      </c>
      <c r="F2503" s="4" t="s">
        <v>1528</v>
      </c>
      <c r="H2503" s="6"/>
    </row>
    <row r="2504" spans="1:8" x14ac:dyDescent="0.2">
      <c r="A2504" s="14" t="s">
        <v>3443</v>
      </c>
      <c r="B2504" s="14" t="s">
        <v>1522</v>
      </c>
      <c r="C2504" s="14" t="s">
        <v>1207</v>
      </c>
      <c r="D2504" s="11" t="s">
        <v>3893</v>
      </c>
      <c r="E2504" s="14" t="s">
        <v>1702</v>
      </c>
      <c r="F2504" s="4" t="s">
        <v>1528</v>
      </c>
      <c r="H2504" s="6"/>
    </row>
    <row r="2505" spans="1:8" x14ac:dyDescent="0.2">
      <c r="A2505" s="14" t="s">
        <v>3444</v>
      </c>
      <c r="B2505" s="14" t="s">
        <v>1522</v>
      </c>
      <c r="C2505" s="14" t="s">
        <v>1208</v>
      </c>
      <c r="D2505" s="11" t="s">
        <v>3895</v>
      </c>
      <c r="E2505" s="14" t="s">
        <v>1704</v>
      </c>
      <c r="F2505" s="4" t="s">
        <v>1528</v>
      </c>
      <c r="H2505" s="6"/>
    </row>
    <row r="2506" spans="1:8" x14ac:dyDescent="0.2">
      <c r="A2506" s="14" t="s">
        <v>3445</v>
      </c>
      <c r="B2506" s="14" t="s">
        <v>1522</v>
      </c>
      <c r="C2506" s="14" t="s">
        <v>1211</v>
      </c>
      <c r="D2506" s="11" t="s">
        <v>3897</v>
      </c>
      <c r="E2506" s="14" t="s">
        <v>1707</v>
      </c>
      <c r="F2506" s="4" t="s">
        <v>1528</v>
      </c>
      <c r="H2506" s="6"/>
    </row>
    <row r="2507" spans="1:8" x14ac:dyDescent="0.2">
      <c r="A2507" s="14" t="s">
        <v>3446</v>
      </c>
      <c r="B2507" s="14" t="s">
        <v>1522</v>
      </c>
      <c r="C2507" s="14" t="s">
        <v>1212</v>
      </c>
      <c r="D2507" s="11" t="s">
        <v>3898</v>
      </c>
      <c r="E2507" s="14" t="s">
        <v>1708</v>
      </c>
      <c r="F2507" s="4" t="s">
        <v>1528</v>
      </c>
      <c r="H2507" s="6"/>
    </row>
    <row r="2508" spans="1:8" x14ac:dyDescent="0.2">
      <c r="A2508" s="14" t="s">
        <v>3447</v>
      </c>
      <c r="B2508" s="14" t="s">
        <v>1522</v>
      </c>
      <c r="C2508" s="14" t="s">
        <v>1213</v>
      </c>
      <c r="D2508" s="11" t="s">
        <v>3908</v>
      </c>
      <c r="E2508" s="14" t="s">
        <v>1709</v>
      </c>
      <c r="F2508" s="4" t="s">
        <v>1528</v>
      </c>
      <c r="H2508" s="6"/>
    </row>
    <row r="2509" spans="1:8" x14ac:dyDescent="0.2">
      <c r="A2509" s="14" t="s">
        <v>3448</v>
      </c>
      <c r="B2509" s="14" t="s">
        <v>1522</v>
      </c>
      <c r="C2509" s="14" t="s">
        <v>1214</v>
      </c>
      <c r="D2509" s="11" t="s">
        <v>3909</v>
      </c>
      <c r="E2509" s="14" t="s">
        <v>1215</v>
      </c>
      <c r="F2509" s="4" t="s">
        <v>1528</v>
      </c>
      <c r="H2509" s="6"/>
    </row>
    <row r="2510" spans="1:8" x14ac:dyDescent="0.2">
      <c r="A2510" s="14" t="s">
        <v>3449</v>
      </c>
      <c r="B2510" s="14" t="s">
        <v>1522</v>
      </c>
      <c r="C2510" s="14" t="s">
        <v>2586</v>
      </c>
      <c r="D2510" s="11" t="s">
        <v>3909</v>
      </c>
      <c r="E2510" s="14" t="s">
        <v>1710</v>
      </c>
      <c r="F2510" s="4" t="s">
        <v>1528</v>
      </c>
      <c r="H2510" s="6"/>
    </row>
    <row r="2511" spans="1:8" x14ac:dyDescent="0.2">
      <c r="A2511" s="14" t="s">
        <v>3450</v>
      </c>
      <c r="B2511" s="14" t="s">
        <v>1522</v>
      </c>
      <c r="C2511" s="14" t="s">
        <v>2587</v>
      </c>
      <c r="D2511" s="11" t="s">
        <v>3910</v>
      </c>
      <c r="E2511" s="14" t="s">
        <v>1711</v>
      </c>
      <c r="F2511" s="4" t="s">
        <v>1528</v>
      </c>
      <c r="H2511" s="6"/>
    </row>
    <row r="2512" spans="1:8" x14ac:dyDescent="0.2">
      <c r="A2512" s="14" t="s">
        <v>3451</v>
      </c>
      <c r="B2512" s="14" t="s">
        <v>1522</v>
      </c>
      <c r="C2512" s="14" t="s">
        <v>370</v>
      </c>
      <c r="D2512" s="11" t="s">
        <v>3910</v>
      </c>
      <c r="E2512" s="14" t="s">
        <v>1712</v>
      </c>
      <c r="F2512" s="4" t="s">
        <v>1528</v>
      </c>
      <c r="H2512" s="6"/>
    </row>
    <row r="2513" spans="1:8" x14ac:dyDescent="0.2">
      <c r="A2513" s="14" t="s">
        <v>3452</v>
      </c>
      <c r="B2513" s="14" t="s">
        <v>1522</v>
      </c>
      <c r="C2513" s="14" t="s">
        <v>371</v>
      </c>
      <c r="D2513" s="11" t="s">
        <v>3911</v>
      </c>
      <c r="E2513" s="14" t="s">
        <v>372</v>
      </c>
      <c r="F2513" s="4" t="s">
        <v>1528</v>
      </c>
      <c r="H2513" s="6"/>
    </row>
    <row r="2514" spans="1:8" x14ac:dyDescent="0.2">
      <c r="A2514" s="14" t="s">
        <v>3453</v>
      </c>
      <c r="B2514" s="14" t="s">
        <v>1522</v>
      </c>
      <c r="C2514" s="14" t="s">
        <v>2589</v>
      </c>
      <c r="D2514" s="11" t="s">
        <v>3911</v>
      </c>
      <c r="E2514" s="14" t="s">
        <v>372</v>
      </c>
      <c r="F2514" s="4" t="s">
        <v>1528</v>
      </c>
      <c r="H2514" s="6"/>
    </row>
    <row r="2515" spans="1:8" x14ac:dyDescent="0.2">
      <c r="A2515" s="14" t="s">
        <v>3454</v>
      </c>
      <c r="B2515" s="14" t="s">
        <v>1522</v>
      </c>
      <c r="C2515" s="14" t="s">
        <v>2590</v>
      </c>
      <c r="D2515" s="11" t="s">
        <v>3912</v>
      </c>
      <c r="E2515" s="14" t="s">
        <v>1714</v>
      </c>
      <c r="F2515" s="4" t="s">
        <v>1528</v>
      </c>
      <c r="H2515" s="6"/>
    </row>
    <row r="2516" spans="1:8" x14ac:dyDescent="0.2">
      <c r="A2516" s="14" t="s">
        <v>3455</v>
      </c>
      <c r="B2516" s="14" t="s">
        <v>1522</v>
      </c>
      <c r="C2516" s="14" t="s">
        <v>373</v>
      </c>
      <c r="D2516" s="11" t="s">
        <v>3912</v>
      </c>
      <c r="E2516" s="14" t="s">
        <v>1715</v>
      </c>
      <c r="F2516" s="4" t="s">
        <v>1528</v>
      </c>
      <c r="H2516" s="6"/>
    </row>
    <row r="2517" spans="1:8" x14ac:dyDescent="0.2">
      <c r="A2517" s="14" t="s">
        <v>3456</v>
      </c>
      <c r="B2517" s="14" t="s">
        <v>1522</v>
      </c>
      <c r="C2517" s="14" t="s">
        <v>374</v>
      </c>
      <c r="D2517" s="11" t="s">
        <v>3911</v>
      </c>
      <c r="E2517" s="14" t="s">
        <v>375</v>
      </c>
      <c r="F2517" s="4" t="s">
        <v>1528</v>
      </c>
      <c r="H2517" s="6"/>
    </row>
    <row r="2518" spans="1:8" x14ac:dyDescent="0.2">
      <c r="A2518" s="14" t="s">
        <v>3457</v>
      </c>
      <c r="B2518" s="14" t="s">
        <v>1522</v>
      </c>
      <c r="C2518" s="14" t="s">
        <v>376</v>
      </c>
      <c r="D2518" s="11" t="s">
        <v>3913</v>
      </c>
      <c r="E2518" s="14" t="s">
        <v>377</v>
      </c>
      <c r="F2518" s="4" t="s">
        <v>1528</v>
      </c>
      <c r="H2518" s="6"/>
    </row>
    <row r="2519" spans="1:8" x14ac:dyDescent="0.2">
      <c r="A2519" s="14" t="s">
        <v>3458</v>
      </c>
      <c r="B2519" s="14" t="s">
        <v>1522</v>
      </c>
      <c r="C2519" s="14" t="s">
        <v>2593</v>
      </c>
      <c r="D2519" s="11" t="s">
        <v>3913</v>
      </c>
      <c r="E2519" s="14" t="s">
        <v>1718</v>
      </c>
      <c r="F2519" s="4" t="s">
        <v>1528</v>
      </c>
      <c r="H2519" s="6"/>
    </row>
    <row r="2520" spans="1:8" x14ac:dyDescent="0.2">
      <c r="A2520" s="14" t="s">
        <v>3459</v>
      </c>
      <c r="B2520" s="14" t="s">
        <v>1522</v>
      </c>
      <c r="C2520" s="14" t="s">
        <v>378</v>
      </c>
      <c r="D2520" s="11" t="s">
        <v>3914</v>
      </c>
      <c r="E2520" s="14" t="s">
        <v>1719</v>
      </c>
      <c r="F2520" s="4" t="s">
        <v>1528</v>
      </c>
      <c r="H2520" s="6"/>
    </row>
    <row r="2521" spans="1:8" x14ac:dyDescent="0.2">
      <c r="A2521" s="14" t="s">
        <v>3460</v>
      </c>
      <c r="B2521" s="14" t="s">
        <v>1522</v>
      </c>
      <c r="C2521" s="14" t="s">
        <v>379</v>
      </c>
      <c r="D2521" s="11" t="s">
        <v>3914</v>
      </c>
      <c r="E2521" s="14" t="s">
        <v>1720</v>
      </c>
      <c r="F2521" s="4" t="s">
        <v>1528</v>
      </c>
      <c r="H2521" s="6"/>
    </row>
    <row r="2522" spans="1:8" x14ac:dyDescent="0.2">
      <c r="A2522" s="14" t="s">
        <v>3461</v>
      </c>
      <c r="B2522" s="14" t="s">
        <v>1522</v>
      </c>
      <c r="C2522" s="14" t="s">
        <v>380</v>
      </c>
      <c r="D2522" s="11" t="s">
        <v>3915</v>
      </c>
      <c r="E2522" s="14" t="s">
        <v>381</v>
      </c>
      <c r="F2522" s="4" t="s">
        <v>1528</v>
      </c>
      <c r="H2522" s="6"/>
    </row>
    <row r="2523" spans="1:8" x14ac:dyDescent="0.2">
      <c r="A2523" s="14" t="s">
        <v>3462</v>
      </c>
      <c r="B2523" s="14" t="s">
        <v>1522</v>
      </c>
      <c r="C2523" s="14" t="s">
        <v>2594</v>
      </c>
      <c r="D2523" s="11" t="s">
        <v>3915</v>
      </c>
      <c r="E2523" s="14" t="s">
        <v>1721</v>
      </c>
      <c r="F2523" s="4" t="s">
        <v>1528</v>
      </c>
      <c r="H2523" s="6"/>
    </row>
    <row r="2524" spans="1:8" x14ac:dyDescent="0.2">
      <c r="A2524" s="14" t="s">
        <v>3463</v>
      </c>
      <c r="B2524" s="14" t="s">
        <v>1522</v>
      </c>
      <c r="C2524" s="14" t="s">
        <v>382</v>
      </c>
      <c r="D2524" s="11" t="s">
        <v>3915</v>
      </c>
      <c r="E2524" s="14" t="s">
        <v>1722</v>
      </c>
      <c r="F2524" s="4" t="s">
        <v>1528</v>
      </c>
      <c r="H2524" s="6"/>
    </row>
    <row r="2525" spans="1:8" x14ac:dyDescent="0.2">
      <c r="A2525" s="14" t="s">
        <v>3464</v>
      </c>
      <c r="B2525" s="14" t="s">
        <v>1522</v>
      </c>
      <c r="C2525" s="14" t="s">
        <v>383</v>
      </c>
      <c r="D2525" s="11" t="s">
        <v>3916</v>
      </c>
      <c r="E2525" s="14" t="s">
        <v>1723</v>
      </c>
      <c r="F2525" s="4" t="s">
        <v>1528</v>
      </c>
      <c r="H2525" s="6"/>
    </row>
    <row r="2526" spans="1:8" x14ac:dyDescent="0.2">
      <c r="A2526" s="14" t="s">
        <v>3465</v>
      </c>
      <c r="B2526" s="14" t="s">
        <v>1522</v>
      </c>
      <c r="C2526" s="14" t="s">
        <v>2595</v>
      </c>
      <c r="D2526" s="11" t="s">
        <v>3916</v>
      </c>
      <c r="E2526" s="14" t="s">
        <v>1724</v>
      </c>
      <c r="F2526" s="4" t="s">
        <v>1528</v>
      </c>
      <c r="H2526" s="6"/>
    </row>
    <row r="2527" spans="1:8" x14ac:dyDescent="0.2">
      <c r="A2527" s="14" t="s">
        <v>3466</v>
      </c>
      <c r="B2527" s="14" t="s">
        <v>1522</v>
      </c>
      <c r="C2527" s="14" t="s">
        <v>384</v>
      </c>
      <c r="D2527" s="11" t="s">
        <v>3917</v>
      </c>
      <c r="E2527" s="14" t="s">
        <v>385</v>
      </c>
      <c r="F2527" s="4" t="s">
        <v>1528</v>
      </c>
      <c r="H2527" s="6"/>
    </row>
    <row r="2528" spans="1:8" x14ac:dyDescent="0.2">
      <c r="A2528" s="14" t="s">
        <v>3467</v>
      </c>
      <c r="B2528" s="14" t="s">
        <v>1522</v>
      </c>
      <c r="C2528" s="14" t="s">
        <v>386</v>
      </c>
      <c r="D2528" s="11" t="s">
        <v>3918</v>
      </c>
      <c r="E2528" s="14" t="s">
        <v>1725</v>
      </c>
      <c r="F2528" s="4" t="s">
        <v>1528</v>
      </c>
      <c r="H2528" s="6"/>
    </row>
    <row r="2529" spans="1:8" x14ac:dyDescent="0.2">
      <c r="A2529" s="14" t="s">
        <v>3468</v>
      </c>
      <c r="B2529" s="14" t="s">
        <v>1522</v>
      </c>
      <c r="C2529" s="14" t="s">
        <v>387</v>
      </c>
      <c r="D2529" s="11" t="s">
        <v>3918</v>
      </c>
      <c r="E2529" s="14" t="s">
        <v>1725</v>
      </c>
      <c r="F2529" s="4" t="s">
        <v>1528</v>
      </c>
      <c r="H2529" s="6"/>
    </row>
    <row r="2530" spans="1:8" x14ac:dyDescent="0.2">
      <c r="A2530" s="14" t="s">
        <v>3469</v>
      </c>
      <c r="B2530" s="14" t="s">
        <v>1522</v>
      </c>
      <c r="C2530" s="14" t="s">
        <v>2596</v>
      </c>
      <c r="D2530" s="11" t="s">
        <v>3918</v>
      </c>
      <c r="E2530" s="14" t="s">
        <v>1726</v>
      </c>
      <c r="F2530" s="4" t="s">
        <v>1528</v>
      </c>
      <c r="H2530" s="6"/>
    </row>
    <row r="2531" spans="1:8" x14ac:dyDescent="0.2">
      <c r="A2531" s="14" t="s">
        <v>3373</v>
      </c>
      <c r="B2531" s="14" t="s">
        <v>1522</v>
      </c>
      <c r="C2531" s="14" t="s">
        <v>389</v>
      </c>
      <c r="D2531" s="11" t="s">
        <v>3873</v>
      </c>
      <c r="E2531" s="14" t="s">
        <v>390</v>
      </c>
      <c r="F2531" s="4" t="s">
        <v>1528</v>
      </c>
      <c r="H2531" s="6"/>
    </row>
    <row r="2532" spans="1:8" x14ac:dyDescent="0.2">
      <c r="A2532" s="14" t="s">
        <v>3470</v>
      </c>
      <c r="B2532" s="14" t="s">
        <v>1522</v>
      </c>
      <c r="C2532" s="14" t="s">
        <v>2598</v>
      </c>
      <c r="D2532" s="11" t="s">
        <v>3873</v>
      </c>
      <c r="E2532" s="14" t="s">
        <v>1729</v>
      </c>
      <c r="F2532" s="4" t="s">
        <v>1528</v>
      </c>
      <c r="H2532" s="6"/>
    </row>
    <row r="2533" spans="1:8" x14ac:dyDescent="0.2">
      <c r="A2533" s="14" t="s">
        <v>3471</v>
      </c>
      <c r="B2533" s="14" t="s">
        <v>1522</v>
      </c>
      <c r="C2533" s="14" t="s">
        <v>391</v>
      </c>
      <c r="D2533" s="11" t="s">
        <v>3919</v>
      </c>
      <c r="E2533" s="14" t="s">
        <v>392</v>
      </c>
      <c r="F2533" s="4" t="s">
        <v>1528</v>
      </c>
      <c r="H2533" s="6"/>
    </row>
    <row r="2534" spans="1:8" x14ac:dyDescent="0.2">
      <c r="A2534" s="14" t="s">
        <v>3472</v>
      </c>
      <c r="B2534" s="14" t="s">
        <v>1522</v>
      </c>
      <c r="C2534" s="14" t="s">
        <v>393</v>
      </c>
      <c r="D2534" s="11" t="s">
        <v>3919</v>
      </c>
      <c r="E2534" s="14" t="s">
        <v>1731</v>
      </c>
      <c r="F2534" s="4" t="s">
        <v>1528</v>
      </c>
      <c r="H2534" s="6"/>
    </row>
    <row r="2535" spans="1:8" x14ac:dyDescent="0.2">
      <c r="A2535" s="14" t="s">
        <v>3473</v>
      </c>
      <c r="B2535" s="14" t="s">
        <v>1522</v>
      </c>
      <c r="C2535" s="14" t="s">
        <v>394</v>
      </c>
      <c r="D2535" s="11" t="s">
        <v>3920</v>
      </c>
      <c r="E2535" s="14" t="s">
        <v>395</v>
      </c>
      <c r="F2535" s="4" t="s">
        <v>1528</v>
      </c>
      <c r="H2535" s="6"/>
    </row>
    <row r="2536" spans="1:8" x14ac:dyDescent="0.2">
      <c r="A2536" s="14" t="s">
        <v>3474</v>
      </c>
      <c r="B2536" s="14" t="s">
        <v>1522</v>
      </c>
      <c r="C2536" s="14" t="s">
        <v>396</v>
      </c>
      <c r="D2536" s="11" t="s">
        <v>3921</v>
      </c>
      <c r="E2536" s="14" t="s">
        <v>1733</v>
      </c>
      <c r="F2536" s="4" t="s">
        <v>1528</v>
      </c>
      <c r="H2536" s="6"/>
    </row>
    <row r="2537" spans="1:8" x14ac:dyDescent="0.2">
      <c r="A2537" s="14" t="s">
        <v>3475</v>
      </c>
      <c r="B2537" s="14" t="s">
        <v>1522</v>
      </c>
      <c r="C2537" s="14" t="s">
        <v>397</v>
      </c>
      <c r="D2537" s="11" t="s">
        <v>3922</v>
      </c>
      <c r="E2537" s="14" t="s">
        <v>398</v>
      </c>
      <c r="F2537" s="4" t="s">
        <v>1528</v>
      </c>
      <c r="H2537" s="6"/>
    </row>
    <row r="2538" spans="1:8" x14ac:dyDescent="0.2">
      <c r="A2538" s="14" t="s">
        <v>3476</v>
      </c>
      <c r="B2538" s="14" t="s">
        <v>1522</v>
      </c>
      <c r="C2538" s="14" t="s">
        <v>2601</v>
      </c>
      <c r="D2538" s="11" t="s">
        <v>3922</v>
      </c>
      <c r="E2538" s="14" t="s">
        <v>1734</v>
      </c>
      <c r="F2538" s="4" t="s">
        <v>1528</v>
      </c>
      <c r="H2538" s="6"/>
    </row>
    <row r="2539" spans="1:8" x14ac:dyDescent="0.2">
      <c r="A2539" s="14" t="s">
        <v>3477</v>
      </c>
      <c r="B2539" s="14" t="s">
        <v>1522</v>
      </c>
      <c r="C2539" s="14" t="s">
        <v>399</v>
      </c>
      <c r="D2539" s="11" t="s">
        <v>3923</v>
      </c>
      <c r="E2539" s="14" t="s">
        <v>400</v>
      </c>
      <c r="F2539" s="4" t="s">
        <v>1528</v>
      </c>
      <c r="H2539" s="6"/>
    </row>
    <row r="2540" spans="1:8" x14ac:dyDescent="0.2">
      <c r="A2540" s="14" t="s">
        <v>3478</v>
      </c>
      <c r="B2540" s="14" t="s">
        <v>1522</v>
      </c>
      <c r="C2540" s="14" t="s">
        <v>2602</v>
      </c>
      <c r="D2540" s="11" t="s">
        <v>3923</v>
      </c>
      <c r="E2540" s="14" t="s">
        <v>1735</v>
      </c>
      <c r="F2540" s="4" t="s">
        <v>1528</v>
      </c>
      <c r="H2540" s="6"/>
    </row>
    <row r="2541" spans="1:8" x14ac:dyDescent="0.2">
      <c r="A2541" s="14" t="s">
        <v>3479</v>
      </c>
      <c r="B2541" s="14" t="s">
        <v>1522</v>
      </c>
      <c r="C2541" s="14" t="s">
        <v>401</v>
      </c>
      <c r="D2541" s="11" t="s">
        <v>3924</v>
      </c>
      <c r="E2541" s="14" t="s">
        <v>402</v>
      </c>
      <c r="F2541" s="4" t="s">
        <v>1528</v>
      </c>
      <c r="H2541" s="6"/>
    </row>
    <row r="2542" spans="1:8" x14ac:dyDescent="0.2">
      <c r="A2542" s="14" t="s">
        <v>3480</v>
      </c>
      <c r="B2542" s="14" t="s">
        <v>1522</v>
      </c>
      <c r="C2542" s="14" t="s">
        <v>2603</v>
      </c>
      <c r="D2542" s="11" t="s">
        <v>3924</v>
      </c>
      <c r="E2542" s="14" t="s">
        <v>402</v>
      </c>
      <c r="F2542" s="4" t="s">
        <v>1528</v>
      </c>
      <c r="H2542" s="6"/>
    </row>
    <row r="2543" spans="1:8" x14ac:dyDescent="0.2">
      <c r="A2543" s="14" t="s">
        <v>3475</v>
      </c>
      <c r="B2543" s="14" t="s">
        <v>1522</v>
      </c>
      <c r="C2543" s="14" t="s">
        <v>403</v>
      </c>
      <c r="D2543" s="11" t="s">
        <v>3922</v>
      </c>
      <c r="E2543" s="14" t="s">
        <v>1736</v>
      </c>
      <c r="F2543" s="4" t="s">
        <v>1528</v>
      </c>
      <c r="H2543" s="6"/>
    </row>
    <row r="2544" spans="1:8" x14ac:dyDescent="0.2">
      <c r="A2544" s="14" t="s">
        <v>3476</v>
      </c>
      <c r="B2544" s="14" t="s">
        <v>1522</v>
      </c>
      <c r="C2544" s="14" t="s">
        <v>2604</v>
      </c>
      <c r="D2544" s="11" t="s">
        <v>3922</v>
      </c>
      <c r="E2544" s="14" t="s">
        <v>1737</v>
      </c>
      <c r="F2544" s="4" t="s">
        <v>1528</v>
      </c>
      <c r="H2544" s="6"/>
    </row>
    <row r="2545" spans="1:8" x14ac:dyDescent="0.2">
      <c r="A2545" s="14" t="s">
        <v>3477</v>
      </c>
      <c r="B2545" s="14" t="s">
        <v>1522</v>
      </c>
      <c r="C2545" s="14" t="s">
        <v>404</v>
      </c>
      <c r="D2545" s="11" t="s">
        <v>3923</v>
      </c>
      <c r="E2545" s="14" t="s">
        <v>1738</v>
      </c>
      <c r="F2545" s="4" t="s">
        <v>1528</v>
      </c>
      <c r="H2545" s="6"/>
    </row>
    <row r="2546" spans="1:8" x14ac:dyDescent="0.2">
      <c r="A2546" s="14" t="s">
        <v>3478</v>
      </c>
      <c r="B2546" s="14" t="s">
        <v>1522</v>
      </c>
      <c r="C2546" s="14" t="s">
        <v>2605</v>
      </c>
      <c r="D2546" s="11" t="s">
        <v>3923</v>
      </c>
      <c r="E2546" s="14" t="s">
        <v>1738</v>
      </c>
      <c r="F2546" s="4" t="s">
        <v>1528</v>
      </c>
      <c r="H2546" s="6"/>
    </row>
    <row r="2547" spans="1:8" x14ac:dyDescent="0.2">
      <c r="A2547" s="14" t="s">
        <v>2488</v>
      </c>
      <c r="B2547" s="14" t="s">
        <v>1522</v>
      </c>
      <c r="C2547" s="14" t="s">
        <v>406</v>
      </c>
      <c r="D2547" s="11" t="s">
        <v>4718</v>
      </c>
      <c r="E2547" s="14" t="s">
        <v>407</v>
      </c>
      <c r="F2547" s="4" t="s">
        <v>1528</v>
      </c>
      <c r="H2547" s="6"/>
    </row>
    <row r="2548" spans="1:8" x14ac:dyDescent="0.2">
      <c r="A2548" s="14" t="s">
        <v>2489</v>
      </c>
      <c r="B2548" s="14" t="s">
        <v>1522</v>
      </c>
      <c r="C2548" s="14" t="s">
        <v>2607</v>
      </c>
      <c r="D2548" s="11" t="s">
        <v>4718</v>
      </c>
      <c r="E2548" s="14" t="s">
        <v>1741</v>
      </c>
      <c r="F2548" s="4" t="s">
        <v>1528</v>
      </c>
      <c r="H2548" s="6"/>
    </row>
    <row r="2549" spans="1:8" x14ac:dyDescent="0.2">
      <c r="A2549" s="14" t="s">
        <v>3481</v>
      </c>
      <c r="B2549" s="14" t="s">
        <v>1522</v>
      </c>
      <c r="C2549" s="14" t="s">
        <v>408</v>
      </c>
      <c r="D2549" s="11" t="s">
        <v>3925</v>
      </c>
      <c r="E2549" s="14" t="s">
        <v>1742</v>
      </c>
      <c r="F2549" s="4" t="s">
        <v>1528</v>
      </c>
      <c r="H2549" s="6"/>
    </row>
    <row r="2550" spans="1:8" x14ac:dyDescent="0.2">
      <c r="A2550" s="14" t="s">
        <v>3482</v>
      </c>
      <c r="B2550" s="14" t="s">
        <v>1522</v>
      </c>
      <c r="C2550" s="14" t="s">
        <v>2608</v>
      </c>
      <c r="D2550" s="11" t="s">
        <v>3925</v>
      </c>
      <c r="E2550" s="14" t="s">
        <v>1745</v>
      </c>
      <c r="F2550" s="4" t="s">
        <v>1528</v>
      </c>
      <c r="H2550" s="6"/>
    </row>
    <row r="2551" spans="1:8" x14ac:dyDescent="0.2">
      <c r="A2551" s="14" t="s">
        <v>3483</v>
      </c>
      <c r="B2551" s="14" t="s">
        <v>1522</v>
      </c>
      <c r="C2551" s="14" t="s">
        <v>411</v>
      </c>
      <c r="D2551" s="11" t="s">
        <v>3925</v>
      </c>
      <c r="E2551" s="14" t="s">
        <v>1746</v>
      </c>
      <c r="F2551" s="4" t="s">
        <v>1528</v>
      </c>
      <c r="H2551" s="6"/>
    </row>
    <row r="2552" spans="1:8" x14ac:dyDescent="0.2">
      <c r="A2552" s="14" t="s">
        <v>3484</v>
      </c>
      <c r="B2552" s="14" t="s">
        <v>1522</v>
      </c>
      <c r="C2552" s="14" t="s">
        <v>412</v>
      </c>
      <c r="D2552" s="11" t="s">
        <v>3926</v>
      </c>
      <c r="E2552" s="14" t="s">
        <v>1748</v>
      </c>
      <c r="F2552" s="4" t="s">
        <v>1528</v>
      </c>
      <c r="H2552" s="6"/>
    </row>
    <row r="2553" spans="1:8" x14ac:dyDescent="0.2">
      <c r="A2553" s="14" t="s">
        <v>3485</v>
      </c>
      <c r="B2553" s="14" t="s">
        <v>1522</v>
      </c>
      <c r="C2553" s="14" t="s">
        <v>2610</v>
      </c>
      <c r="D2553" s="11" t="s">
        <v>3926</v>
      </c>
      <c r="E2553" s="14" t="s">
        <v>1749</v>
      </c>
      <c r="F2553" s="4" t="s">
        <v>1528</v>
      </c>
      <c r="H2553" s="6"/>
    </row>
    <row r="2554" spans="1:8" x14ac:dyDescent="0.2">
      <c r="A2554" s="14" t="s">
        <v>3484</v>
      </c>
      <c r="B2554" s="14" t="s">
        <v>1522</v>
      </c>
      <c r="C2554" s="14" t="s">
        <v>413</v>
      </c>
      <c r="D2554" s="11" t="s">
        <v>3926</v>
      </c>
      <c r="E2554" s="14" t="s">
        <v>1750</v>
      </c>
      <c r="F2554" s="4" t="s">
        <v>1528</v>
      </c>
      <c r="H2554" s="6"/>
    </row>
    <row r="2555" spans="1:8" x14ac:dyDescent="0.2">
      <c r="A2555" s="14" t="s">
        <v>3485</v>
      </c>
      <c r="B2555" s="14" t="s">
        <v>1522</v>
      </c>
      <c r="C2555" s="14" t="s">
        <v>2611</v>
      </c>
      <c r="D2555" s="11" t="s">
        <v>3926</v>
      </c>
      <c r="E2555" s="14" t="s">
        <v>1751</v>
      </c>
      <c r="F2555" s="4" t="s">
        <v>1528</v>
      </c>
      <c r="H2555" s="6"/>
    </row>
    <row r="2556" spans="1:8" x14ac:dyDescent="0.2">
      <c r="A2556" s="14" t="s">
        <v>3486</v>
      </c>
      <c r="B2556" s="14" t="s">
        <v>1522</v>
      </c>
      <c r="C2556" s="14" t="s">
        <v>414</v>
      </c>
      <c r="D2556" s="11" t="s">
        <v>3927</v>
      </c>
      <c r="E2556" s="14" t="s">
        <v>415</v>
      </c>
      <c r="F2556" s="4" t="s">
        <v>1528</v>
      </c>
      <c r="H2556" s="6"/>
    </row>
    <row r="2557" spans="1:8" x14ac:dyDescent="0.2">
      <c r="A2557" s="14" t="s">
        <v>3487</v>
      </c>
      <c r="B2557" s="14" t="s">
        <v>1522</v>
      </c>
      <c r="C2557" s="14" t="s">
        <v>416</v>
      </c>
      <c r="D2557" s="11" t="s">
        <v>3928</v>
      </c>
      <c r="E2557" s="14" t="s">
        <v>417</v>
      </c>
      <c r="F2557" s="4" t="s">
        <v>1528</v>
      </c>
      <c r="H2557" s="6"/>
    </row>
    <row r="2558" spans="1:8" x14ac:dyDescent="0.2">
      <c r="A2558" s="14" t="s">
        <v>3488</v>
      </c>
      <c r="B2558" s="14" t="s">
        <v>1522</v>
      </c>
      <c r="C2558" s="14" t="s">
        <v>2612</v>
      </c>
      <c r="D2558" s="11" t="s">
        <v>3928</v>
      </c>
      <c r="E2558" s="14" t="s">
        <v>1752</v>
      </c>
      <c r="F2558" s="4" t="s">
        <v>1528</v>
      </c>
      <c r="H2558" s="6"/>
    </row>
    <row r="2559" spans="1:8" x14ac:dyDescent="0.2">
      <c r="A2559" s="14" t="s">
        <v>356</v>
      </c>
      <c r="B2559" s="14" t="s">
        <v>1522</v>
      </c>
      <c r="C2559" s="14" t="s">
        <v>1387</v>
      </c>
      <c r="D2559" s="11" t="s">
        <v>3554</v>
      </c>
      <c r="E2559" s="14" t="s">
        <v>1388</v>
      </c>
      <c r="F2559" s="4" t="s">
        <v>1524</v>
      </c>
      <c r="H2559" s="6"/>
    </row>
    <row r="2560" spans="1:8" x14ac:dyDescent="0.2">
      <c r="A2560" s="14" t="s">
        <v>2892</v>
      </c>
      <c r="B2560" s="14" t="s">
        <v>1522</v>
      </c>
      <c r="C2560" s="14" t="s">
        <v>2653</v>
      </c>
      <c r="D2560" s="11" t="s">
        <v>3555</v>
      </c>
      <c r="E2560" s="14" t="s">
        <v>1842</v>
      </c>
      <c r="F2560" s="4" t="s">
        <v>1524</v>
      </c>
      <c r="H2560" s="6"/>
    </row>
    <row r="2561" spans="1:8" x14ac:dyDescent="0.2">
      <c r="A2561" s="14" t="s">
        <v>2893</v>
      </c>
      <c r="B2561" s="14" t="s">
        <v>1522</v>
      </c>
      <c r="C2561" s="14" t="s">
        <v>2657</v>
      </c>
      <c r="D2561" s="11" t="s">
        <v>3556</v>
      </c>
      <c r="E2561" s="14" t="s">
        <v>1846</v>
      </c>
      <c r="F2561" s="4" t="s">
        <v>1524</v>
      </c>
      <c r="H2561" s="6"/>
    </row>
    <row r="2562" spans="1:8" x14ac:dyDescent="0.2">
      <c r="A2562" s="14" t="s">
        <v>2894</v>
      </c>
      <c r="B2562" s="14" t="s">
        <v>1522</v>
      </c>
      <c r="C2562" s="14" t="s">
        <v>2660</v>
      </c>
      <c r="D2562" s="11" t="s">
        <v>3557</v>
      </c>
      <c r="E2562" s="14" t="s">
        <v>1849</v>
      </c>
      <c r="F2562" s="4" t="s">
        <v>1524</v>
      </c>
      <c r="H2562" s="6"/>
    </row>
    <row r="2563" spans="1:8" x14ac:dyDescent="0.2">
      <c r="A2563" s="14" t="s">
        <v>2895</v>
      </c>
      <c r="B2563" s="14" t="s">
        <v>1522</v>
      </c>
      <c r="C2563" s="14" t="s">
        <v>2667</v>
      </c>
      <c r="D2563" s="11" t="s">
        <v>3632</v>
      </c>
      <c r="E2563" s="14" t="s">
        <v>1855</v>
      </c>
      <c r="F2563" s="4" t="s">
        <v>1524</v>
      </c>
      <c r="H2563" s="6"/>
    </row>
    <row r="2564" spans="1:8" x14ac:dyDescent="0.2">
      <c r="A2564" s="14" t="s">
        <v>2854</v>
      </c>
      <c r="B2564" s="14" t="s">
        <v>1522</v>
      </c>
      <c r="C2564" s="14" t="s">
        <v>1531</v>
      </c>
      <c r="D2564" s="19" t="s">
        <v>296</v>
      </c>
      <c r="E2564" s="14" t="s">
        <v>3503</v>
      </c>
      <c r="F2564" s="4" t="s">
        <v>1524</v>
      </c>
      <c r="G2564" s="20"/>
    </row>
    <row r="2565" spans="1:8" x14ac:dyDescent="0.2">
      <c r="A2565" s="14" t="s">
        <v>2855</v>
      </c>
      <c r="B2565" s="14" t="s">
        <v>1522</v>
      </c>
      <c r="C2565" s="14" t="s">
        <v>1532</v>
      </c>
      <c r="D2565" s="19" t="s">
        <v>1322</v>
      </c>
      <c r="E2565" s="14" t="s">
        <v>1322</v>
      </c>
      <c r="F2565" s="4" t="s">
        <v>1524</v>
      </c>
      <c r="G2565" s="20"/>
    </row>
    <row r="2566" spans="1:8" x14ac:dyDescent="0.2">
      <c r="A2566" s="14" t="s">
        <v>2856</v>
      </c>
      <c r="B2566" s="14" t="s">
        <v>1522</v>
      </c>
      <c r="C2566" s="14" t="s">
        <v>1533</v>
      </c>
      <c r="D2566" s="19" t="s">
        <v>299</v>
      </c>
      <c r="E2566" s="14" t="s">
        <v>3504</v>
      </c>
      <c r="F2566" s="4" t="s">
        <v>1524</v>
      </c>
      <c r="G2566" s="20"/>
    </row>
    <row r="2567" spans="1:8" x14ac:dyDescent="0.2">
      <c r="A2567" s="14" t="s">
        <v>2857</v>
      </c>
      <c r="B2567" s="14" t="s">
        <v>1522</v>
      </c>
      <c r="C2567" s="14" t="s">
        <v>468</v>
      </c>
      <c r="D2567" s="19" t="s">
        <v>301</v>
      </c>
      <c r="E2567" s="14" t="s">
        <v>3505</v>
      </c>
      <c r="F2567" s="4" t="s">
        <v>1524</v>
      </c>
      <c r="G2567" s="20"/>
    </row>
    <row r="2568" spans="1:8" x14ac:dyDescent="0.2">
      <c r="A2568" s="14" t="s">
        <v>2858</v>
      </c>
      <c r="B2568" s="14" t="s">
        <v>1522</v>
      </c>
      <c r="C2568" s="14" t="s">
        <v>1534</v>
      </c>
      <c r="D2568" s="19" t="s">
        <v>3508</v>
      </c>
      <c r="E2568" s="14" t="s">
        <v>3506</v>
      </c>
      <c r="F2568" s="4" t="s">
        <v>1524</v>
      </c>
      <c r="G2568" s="20"/>
    </row>
    <row r="2569" spans="1:8" x14ac:dyDescent="0.2">
      <c r="A2569" s="14" t="s">
        <v>2859</v>
      </c>
      <c r="B2569" s="14" t="s">
        <v>1522</v>
      </c>
      <c r="C2569" s="14" t="s">
        <v>473</v>
      </c>
      <c r="D2569" s="19" t="s">
        <v>3617</v>
      </c>
      <c r="E2569" s="14" t="s">
        <v>3507</v>
      </c>
      <c r="F2569" s="4" t="s">
        <v>1524</v>
      </c>
      <c r="G2569" s="20"/>
    </row>
    <row r="2570" spans="1:8" x14ac:dyDescent="0.2">
      <c r="A2570" s="14" t="s">
        <v>2860</v>
      </c>
      <c r="B2570" s="14" t="s">
        <v>1522</v>
      </c>
      <c r="C2570" s="14" t="s">
        <v>510</v>
      </c>
      <c r="D2570" s="19" t="s">
        <v>3508</v>
      </c>
      <c r="E2570" s="14" t="s">
        <v>3508</v>
      </c>
      <c r="F2570" s="4" t="s">
        <v>1524</v>
      </c>
      <c r="G2570" s="20"/>
    </row>
    <row r="2571" spans="1:8" x14ac:dyDescent="0.2">
      <c r="A2571" s="14" t="s">
        <v>2861</v>
      </c>
      <c r="B2571" s="14" t="s">
        <v>1522</v>
      </c>
      <c r="C2571" s="14" t="s">
        <v>1535</v>
      </c>
      <c r="D2571" s="19" t="s">
        <v>304</v>
      </c>
      <c r="E2571" s="14" t="s">
        <v>3509</v>
      </c>
      <c r="F2571" s="4" t="s">
        <v>1524</v>
      </c>
      <c r="G2571" s="20"/>
    </row>
    <row r="2572" spans="1:8" x14ac:dyDescent="0.2">
      <c r="A2572" s="14" t="s">
        <v>2862</v>
      </c>
      <c r="B2572" s="14" t="s">
        <v>1522</v>
      </c>
      <c r="C2572" s="14" t="s">
        <v>1536</v>
      </c>
      <c r="D2572" s="19" t="s">
        <v>307</v>
      </c>
      <c r="E2572" s="14" t="s">
        <v>3510</v>
      </c>
      <c r="F2572" s="4" t="s">
        <v>1524</v>
      </c>
      <c r="G2572" s="20"/>
    </row>
    <row r="2573" spans="1:8" x14ac:dyDescent="0.2">
      <c r="A2573" s="14" t="s">
        <v>2863</v>
      </c>
      <c r="B2573" s="14" t="s">
        <v>1522</v>
      </c>
      <c r="C2573" s="14" t="s">
        <v>511</v>
      </c>
      <c r="D2573" s="19" t="s">
        <v>3512</v>
      </c>
      <c r="E2573" s="14" t="s">
        <v>3512</v>
      </c>
      <c r="F2573" s="4" t="s">
        <v>1524</v>
      </c>
      <c r="G2573" s="20"/>
    </row>
    <row r="2574" spans="1:8" x14ac:dyDescent="0.2">
      <c r="A2574" s="14" t="s">
        <v>2864</v>
      </c>
      <c r="B2574" s="14" t="s">
        <v>1522</v>
      </c>
      <c r="C2574" s="14" t="s">
        <v>1537</v>
      </c>
      <c r="D2574" s="19" t="s">
        <v>309</v>
      </c>
      <c r="E2574" s="14" t="s">
        <v>3513</v>
      </c>
      <c r="F2574" s="4" t="s">
        <v>1524</v>
      </c>
      <c r="G2574" s="20"/>
    </row>
    <row r="2575" spans="1:8" x14ac:dyDescent="0.2">
      <c r="A2575" s="14" t="s">
        <v>2865</v>
      </c>
      <c r="B2575" s="14" t="s">
        <v>1522</v>
      </c>
      <c r="C2575" s="14" t="s">
        <v>1538</v>
      </c>
      <c r="D2575" s="19" t="s">
        <v>311</v>
      </c>
      <c r="E2575" s="14" t="s">
        <v>3515</v>
      </c>
      <c r="F2575" s="4" t="s">
        <v>1524</v>
      </c>
      <c r="G2575" s="20"/>
    </row>
    <row r="2576" spans="1:8" x14ac:dyDescent="0.2">
      <c r="A2576" s="14" t="s">
        <v>2866</v>
      </c>
      <c r="B2576" s="14" t="s">
        <v>1522</v>
      </c>
      <c r="C2576" s="14" t="s">
        <v>1539</v>
      </c>
      <c r="D2576" s="19" t="s">
        <v>313</v>
      </c>
      <c r="E2576" s="14" t="s">
        <v>3516</v>
      </c>
      <c r="F2576" s="4" t="s">
        <v>1524</v>
      </c>
      <c r="G2576" s="20"/>
    </row>
    <row r="2577" spans="1:8" x14ac:dyDescent="0.2">
      <c r="A2577" s="14" t="s">
        <v>2867</v>
      </c>
      <c r="B2577" s="14" t="s">
        <v>1522</v>
      </c>
      <c r="C2577" s="14" t="s">
        <v>470</v>
      </c>
      <c r="D2577" s="19" t="s">
        <v>315</v>
      </c>
      <c r="E2577" s="14" t="s">
        <v>3518</v>
      </c>
      <c r="F2577" s="4" t="s">
        <v>1524</v>
      </c>
      <c r="G2577" s="20"/>
    </row>
    <row r="2578" spans="1:8" x14ac:dyDescent="0.2">
      <c r="A2578" s="14" t="s">
        <v>2868</v>
      </c>
      <c r="B2578" s="14" t="s">
        <v>1522</v>
      </c>
      <c r="C2578" s="14" t="s">
        <v>490</v>
      </c>
      <c r="D2578" s="11" t="s">
        <v>317</v>
      </c>
      <c r="E2578" s="14" t="s">
        <v>3519</v>
      </c>
      <c r="F2578" s="4" t="s">
        <v>1524</v>
      </c>
    </row>
    <row r="2579" spans="1:8" x14ac:dyDescent="0.2">
      <c r="A2579" s="14" t="s">
        <v>2869</v>
      </c>
      <c r="B2579" s="14" t="s">
        <v>1522</v>
      </c>
      <c r="C2579" s="14" t="s">
        <v>489</v>
      </c>
      <c r="D2579" s="11" t="s">
        <v>321</v>
      </c>
      <c r="E2579" s="14" t="s">
        <v>3520</v>
      </c>
      <c r="F2579" s="4" t="s">
        <v>1524</v>
      </c>
    </row>
    <row r="2580" spans="1:8" x14ac:dyDescent="0.2">
      <c r="A2580" s="14" t="s">
        <v>2870</v>
      </c>
      <c r="B2580" s="14" t="s">
        <v>1522</v>
      </c>
      <c r="C2580" s="14" t="s">
        <v>513</v>
      </c>
      <c r="D2580" s="11" t="s">
        <v>3521</v>
      </c>
      <c r="E2580" s="14" t="s">
        <v>3521</v>
      </c>
      <c r="F2580" s="4" t="s">
        <v>1524</v>
      </c>
    </row>
    <row r="2581" spans="1:8" x14ac:dyDescent="0.2">
      <c r="A2581" s="14" t="s">
        <v>2871</v>
      </c>
      <c r="B2581" s="14" t="s">
        <v>1522</v>
      </c>
      <c r="C2581" s="14" t="s">
        <v>491</v>
      </c>
      <c r="D2581" s="11" t="s">
        <v>3620</v>
      </c>
      <c r="E2581" s="14" t="s">
        <v>3522</v>
      </c>
      <c r="F2581" s="4" t="s">
        <v>1524</v>
      </c>
    </row>
    <row r="2582" spans="1:8" x14ac:dyDescent="0.2">
      <c r="A2582" s="14" t="s">
        <v>2872</v>
      </c>
      <c r="B2582" s="14" t="s">
        <v>1522</v>
      </c>
      <c r="C2582" s="14" t="s">
        <v>497</v>
      </c>
      <c r="D2582" s="11" t="s">
        <v>3621</v>
      </c>
      <c r="E2582" s="14" t="s">
        <v>3524</v>
      </c>
      <c r="F2582" s="4" t="s">
        <v>1524</v>
      </c>
    </row>
    <row r="2583" spans="1:8" x14ac:dyDescent="0.2">
      <c r="A2583" s="14" t="s">
        <v>2873</v>
      </c>
      <c r="B2583" s="14" t="s">
        <v>1522</v>
      </c>
      <c r="C2583" s="14" t="s">
        <v>492</v>
      </c>
      <c r="D2583" s="11" t="s">
        <v>322</v>
      </c>
      <c r="E2583" s="14" t="s">
        <v>3525</v>
      </c>
      <c r="F2583" s="4" t="s">
        <v>1524</v>
      </c>
    </row>
    <row r="2584" spans="1:8" x14ac:dyDescent="0.2">
      <c r="A2584" s="14" t="s">
        <v>2874</v>
      </c>
      <c r="B2584" s="14" t="s">
        <v>1522</v>
      </c>
      <c r="C2584" s="14" t="s">
        <v>514</v>
      </c>
      <c r="D2584" s="11" t="s">
        <v>3526</v>
      </c>
      <c r="E2584" s="14" t="s">
        <v>3526</v>
      </c>
      <c r="F2584" s="4" t="s">
        <v>1524</v>
      </c>
    </row>
    <row r="2585" spans="1:8" x14ac:dyDescent="0.2">
      <c r="A2585" s="14" t="s">
        <v>2875</v>
      </c>
      <c r="B2585" s="14" t="s">
        <v>1522</v>
      </c>
      <c r="C2585" s="14" t="s">
        <v>493</v>
      </c>
      <c r="D2585" s="11" t="s">
        <v>324</v>
      </c>
      <c r="E2585" s="14" t="s">
        <v>3527</v>
      </c>
      <c r="F2585" s="4" t="s">
        <v>1524</v>
      </c>
    </row>
    <row r="2586" spans="1:8" x14ac:dyDescent="0.2">
      <c r="A2586" s="14" t="s">
        <v>2849</v>
      </c>
      <c r="B2586" s="14" t="s">
        <v>1522</v>
      </c>
      <c r="C2586" s="14" t="s">
        <v>1540</v>
      </c>
      <c r="D2586" s="11" t="s">
        <v>3615</v>
      </c>
      <c r="E2586" s="14" t="s">
        <v>3528</v>
      </c>
      <c r="F2586" s="4" t="s">
        <v>1524</v>
      </c>
    </row>
    <row r="2587" spans="1:8" x14ac:dyDescent="0.2">
      <c r="A2587" s="14" t="s">
        <v>2851</v>
      </c>
      <c r="B2587" s="14" t="s">
        <v>1522</v>
      </c>
      <c r="C2587" s="14" t="s">
        <v>1541</v>
      </c>
      <c r="D2587" s="11" t="s">
        <v>3616</v>
      </c>
      <c r="E2587" s="14" t="s">
        <v>3529</v>
      </c>
      <c r="F2587" s="4" t="s">
        <v>1524</v>
      </c>
    </row>
    <row r="2588" spans="1:8" x14ac:dyDescent="0.2">
      <c r="A2588" s="14" t="s">
        <v>2896</v>
      </c>
      <c r="B2588" s="14" t="s">
        <v>1522</v>
      </c>
      <c r="C2588" s="14" t="s">
        <v>1542</v>
      </c>
      <c r="D2588" s="11" t="s">
        <v>3954</v>
      </c>
      <c r="E2588" s="14" t="s">
        <v>3561</v>
      </c>
      <c r="F2588" s="4" t="s">
        <v>1524</v>
      </c>
    </row>
    <row r="2589" spans="1:8" x14ac:dyDescent="0.2">
      <c r="A2589" s="14" t="s">
        <v>2897</v>
      </c>
      <c r="B2589" s="14" t="s">
        <v>1522</v>
      </c>
      <c r="C2589" s="14" t="s">
        <v>1433</v>
      </c>
      <c r="D2589" s="11" t="s">
        <v>3633</v>
      </c>
      <c r="E2589" s="14" t="s">
        <v>3563</v>
      </c>
      <c r="F2589" s="4" t="s">
        <v>1524</v>
      </c>
    </row>
    <row r="2590" spans="1:8" x14ac:dyDescent="0.2">
      <c r="A2590" s="14" t="s">
        <v>1525</v>
      </c>
      <c r="B2590" s="14" t="s">
        <v>1522</v>
      </c>
      <c r="C2590" s="14" t="s">
        <v>2792</v>
      </c>
      <c r="D2590" s="11" t="s">
        <v>1910</v>
      </c>
      <c r="E2590" s="14" t="s">
        <v>1910</v>
      </c>
      <c r="F2590" s="4" t="s">
        <v>1524</v>
      </c>
      <c r="H2590" s="6"/>
    </row>
    <row r="2591" spans="1:8" x14ac:dyDescent="0.2">
      <c r="A2591" s="14" t="s">
        <v>2926</v>
      </c>
      <c r="B2591" s="14" t="s">
        <v>1522</v>
      </c>
      <c r="C2591" s="14" t="s">
        <v>1543</v>
      </c>
      <c r="D2591" s="11" t="s">
        <v>3634</v>
      </c>
      <c r="E2591" s="14" t="s">
        <v>35</v>
      </c>
      <c r="F2591" s="4" t="s">
        <v>1524</v>
      </c>
    </row>
    <row r="2592" spans="1:8" x14ac:dyDescent="0.2">
      <c r="A2592" s="14" t="s">
        <v>2927</v>
      </c>
      <c r="B2592" s="14" t="s">
        <v>1522</v>
      </c>
      <c r="C2592" s="14" t="s">
        <v>1544</v>
      </c>
      <c r="D2592" s="11" t="s">
        <v>4664</v>
      </c>
      <c r="E2592" s="14" t="s">
        <v>36</v>
      </c>
      <c r="F2592" s="4" t="s">
        <v>1524</v>
      </c>
    </row>
    <row r="2593" spans="1:6" x14ac:dyDescent="0.2">
      <c r="A2593" s="14" t="s">
        <v>2928</v>
      </c>
      <c r="B2593" s="14" t="s">
        <v>1522</v>
      </c>
      <c r="C2593" s="14" t="s">
        <v>1137</v>
      </c>
      <c r="D2593" s="11" t="s">
        <v>3635</v>
      </c>
      <c r="E2593" s="14" t="s">
        <v>37</v>
      </c>
      <c r="F2593" s="4" t="s">
        <v>1524</v>
      </c>
    </row>
    <row r="2594" spans="1:6" x14ac:dyDescent="0.2">
      <c r="A2594" s="14" t="s">
        <v>2929</v>
      </c>
      <c r="B2594" s="14" t="s">
        <v>1522</v>
      </c>
      <c r="C2594" s="14" t="s">
        <v>1545</v>
      </c>
      <c r="D2594" s="11" t="s">
        <v>38</v>
      </c>
      <c r="E2594" s="14" t="s">
        <v>38</v>
      </c>
      <c r="F2594" s="4" t="s">
        <v>1524</v>
      </c>
    </row>
    <row r="2595" spans="1:6" x14ac:dyDescent="0.2">
      <c r="A2595" s="14" t="s">
        <v>2930</v>
      </c>
      <c r="B2595" s="14" t="s">
        <v>1522</v>
      </c>
      <c r="C2595" s="14" t="s">
        <v>1335</v>
      </c>
      <c r="D2595" s="11" t="s">
        <v>39</v>
      </c>
      <c r="E2595" s="14" t="s">
        <v>39</v>
      </c>
      <c r="F2595" s="4" t="s">
        <v>1524</v>
      </c>
    </row>
    <row r="2596" spans="1:6" x14ac:dyDescent="0.2">
      <c r="A2596" s="14" t="s">
        <v>2931</v>
      </c>
      <c r="B2596" s="14" t="s">
        <v>1522</v>
      </c>
      <c r="C2596" s="14" t="s">
        <v>1123</v>
      </c>
      <c r="D2596" s="11" t="s">
        <v>3636</v>
      </c>
      <c r="E2596" s="14" t="s">
        <v>40</v>
      </c>
      <c r="F2596" s="4" t="s">
        <v>1524</v>
      </c>
    </row>
    <row r="2597" spans="1:6" x14ac:dyDescent="0.2">
      <c r="A2597" s="14" t="s">
        <v>2932</v>
      </c>
      <c r="B2597" s="14" t="s">
        <v>1522</v>
      </c>
      <c r="C2597" s="14" t="s">
        <v>1336</v>
      </c>
      <c r="D2597" s="11" t="s">
        <v>41</v>
      </c>
      <c r="E2597" s="14" t="s">
        <v>41</v>
      </c>
      <c r="F2597" s="4" t="s">
        <v>1524</v>
      </c>
    </row>
    <row r="2598" spans="1:6" x14ac:dyDescent="0.2">
      <c r="A2598" s="14" t="s">
        <v>2933</v>
      </c>
      <c r="B2598" s="14" t="s">
        <v>1522</v>
      </c>
      <c r="C2598" s="14" t="s">
        <v>1124</v>
      </c>
      <c r="D2598" s="11" t="s">
        <v>3637</v>
      </c>
      <c r="E2598" s="14" t="s">
        <v>42</v>
      </c>
      <c r="F2598" s="4" t="s">
        <v>1524</v>
      </c>
    </row>
    <row r="2599" spans="1:6" x14ac:dyDescent="0.2">
      <c r="A2599" s="14" t="s">
        <v>2934</v>
      </c>
      <c r="B2599" s="14" t="s">
        <v>1522</v>
      </c>
      <c r="C2599" s="14" t="s">
        <v>1125</v>
      </c>
      <c r="D2599" s="11" t="s">
        <v>3638</v>
      </c>
      <c r="E2599" s="14" t="s">
        <v>43</v>
      </c>
      <c r="F2599" s="4" t="s">
        <v>1524</v>
      </c>
    </row>
    <row r="2600" spans="1:6" x14ac:dyDescent="0.2">
      <c r="A2600" s="14" t="s">
        <v>2935</v>
      </c>
      <c r="B2600" s="14" t="s">
        <v>1522</v>
      </c>
      <c r="C2600" s="14" t="s">
        <v>1546</v>
      </c>
      <c r="D2600" s="11" t="s">
        <v>1891</v>
      </c>
      <c r="E2600" s="14" t="s">
        <v>44</v>
      </c>
      <c r="F2600" s="4" t="s">
        <v>1524</v>
      </c>
    </row>
    <row r="2601" spans="1:6" x14ac:dyDescent="0.2">
      <c r="A2601" s="14" t="s">
        <v>2936</v>
      </c>
      <c r="B2601" s="14" t="s">
        <v>1522</v>
      </c>
      <c r="C2601" s="14" t="s">
        <v>1130</v>
      </c>
      <c r="D2601" s="11" t="s">
        <v>3639</v>
      </c>
      <c r="E2601" s="14" t="s">
        <v>45</v>
      </c>
      <c r="F2601" s="4" t="s">
        <v>1524</v>
      </c>
    </row>
    <row r="2602" spans="1:6" x14ac:dyDescent="0.2">
      <c r="A2602" s="14" t="s">
        <v>2937</v>
      </c>
      <c r="B2602" s="14" t="s">
        <v>1522</v>
      </c>
      <c r="C2602" s="14" t="s">
        <v>1131</v>
      </c>
      <c r="D2602" s="11" t="s">
        <v>4669</v>
      </c>
      <c r="E2602" s="14" t="s">
        <v>46</v>
      </c>
      <c r="F2602" s="4" t="s">
        <v>1524</v>
      </c>
    </row>
    <row r="2603" spans="1:6" x14ac:dyDescent="0.2">
      <c r="A2603" s="14" t="s">
        <v>2938</v>
      </c>
      <c r="B2603" s="14" t="s">
        <v>1522</v>
      </c>
      <c r="C2603" s="14" t="s">
        <v>1132</v>
      </c>
      <c r="D2603" s="11" t="s">
        <v>48</v>
      </c>
      <c r="E2603" s="14" t="s">
        <v>48</v>
      </c>
      <c r="F2603" s="4" t="s">
        <v>1524</v>
      </c>
    </row>
    <row r="2604" spans="1:6" x14ac:dyDescent="0.2">
      <c r="A2604" s="14" t="s">
        <v>2939</v>
      </c>
      <c r="B2604" s="14" t="s">
        <v>1522</v>
      </c>
      <c r="C2604" s="14" t="s">
        <v>1547</v>
      </c>
      <c r="D2604" s="11" t="s">
        <v>3640</v>
      </c>
      <c r="E2604" s="14" t="s">
        <v>49</v>
      </c>
      <c r="F2604" s="4" t="s">
        <v>1524</v>
      </c>
    </row>
    <row r="2605" spans="1:6" x14ac:dyDescent="0.2">
      <c r="A2605" s="14" t="s">
        <v>2940</v>
      </c>
      <c r="B2605" s="14" t="s">
        <v>1522</v>
      </c>
      <c r="C2605" s="14" t="s">
        <v>1126</v>
      </c>
      <c r="D2605" s="11" t="s">
        <v>3641</v>
      </c>
      <c r="E2605" s="14" t="s">
        <v>50</v>
      </c>
      <c r="F2605" s="4" t="s">
        <v>1524</v>
      </c>
    </row>
    <row r="2606" spans="1:6" x14ac:dyDescent="0.2">
      <c r="A2606" s="14" t="s">
        <v>2941</v>
      </c>
      <c r="B2606" s="14" t="s">
        <v>1522</v>
      </c>
      <c r="C2606" s="14" t="s">
        <v>1127</v>
      </c>
      <c r="D2606" s="11" t="s">
        <v>4670</v>
      </c>
      <c r="E2606" s="14" t="s">
        <v>51</v>
      </c>
      <c r="F2606" s="4" t="s">
        <v>1524</v>
      </c>
    </row>
    <row r="2607" spans="1:6" x14ac:dyDescent="0.2">
      <c r="A2607" s="14" t="s">
        <v>2942</v>
      </c>
      <c r="B2607" s="14" t="s">
        <v>1522</v>
      </c>
      <c r="C2607" s="14" t="s">
        <v>1128</v>
      </c>
      <c r="D2607" s="11" t="s">
        <v>3642</v>
      </c>
      <c r="E2607" s="14" t="s">
        <v>53</v>
      </c>
      <c r="F2607" s="4" t="s">
        <v>1524</v>
      </c>
    </row>
    <row r="2608" spans="1:6" x14ac:dyDescent="0.2">
      <c r="A2608" s="14" t="s">
        <v>2943</v>
      </c>
      <c r="B2608" s="14" t="s">
        <v>1522</v>
      </c>
      <c r="C2608" s="14" t="s">
        <v>1138</v>
      </c>
      <c r="D2608" s="11" t="s">
        <v>3643</v>
      </c>
      <c r="E2608" s="14" t="s">
        <v>54</v>
      </c>
      <c r="F2608" s="4" t="s">
        <v>1524</v>
      </c>
    </row>
    <row r="2609" spans="1:6" x14ac:dyDescent="0.2">
      <c r="A2609" s="14" t="s">
        <v>2891</v>
      </c>
      <c r="B2609" s="14" t="s">
        <v>1522</v>
      </c>
      <c r="C2609" s="14" t="s">
        <v>525</v>
      </c>
      <c r="D2609" s="11" t="s">
        <v>3553</v>
      </c>
      <c r="E2609" s="14" t="s">
        <v>3553</v>
      </c>
      <c r="F2609" s="4" t="s">
        <v>1524</v>
      </c>
    </row>
    <row r="2610" spans="1:6" x14ac:dyDescent="0.2">
      <c r="A2610" s="14" t="s">
        <v>2944</v>
      </c>
      <c r="B2610" s="14" t="s">
        <v>1522</v>
      </c>
      <c r="C2610" s="14" t="s">
        <v>1134</v>
      </c>
      <c r="D2610" s="11" t="s">
        <v>3644</v>
      </c>
      <c r="E2610" s="14" t="s">
        <v>55</v>
      </c>
      <c r="F2610" s="4" t="s">
        <v>1524</v>
      </c>
    </row>
    <row r="2611" spans="1:6" x14ac:dyDescent="0.2">
      <c r="A2611" s="14" t="s">
        <v>2877</v>
      </c>
      <c r="B2611" s="14" t="s">
        <v>1522</v>
      </c>
      <c r="C2611" s="14" t="s">
        <v>1548</v>
      </c>
      <c r="D2611" s="11" t="s">
        <v>1162</v>
      </c>
      <c r="E2611" s="14" t="s">
        <v>1162</v>
      </c>
      <c r="F2611" s="4" t="s">
        <v>1524</v>
      </c>
    </row>
    <row r="2612" spans="1:6" x14ac:dyDescent="0.2">
      <c r="A2612" s="14" t="s">
        <v>2878</v>
      </c>
      <c r="B2612" s="14" t="s">
        <v>1522</v>
      </c>
      <c r="C2612" s="14" t="s">
        <v>1549</v>
      </c>
      <c r="D2612" s="11" t="s">
        <v>3622</v>
      </c>
      <c r="E2612" s="14" t="s">
        <v>3531</v>
      </c>
      <c r="F2612" s="4" t="s">
        <v>1524</v>
      </c>
    </row>
    <row r="2613" spans="1:6" x14ac:dyDescent="0.2">
      <c r="A2613" s="14" t="s">
        <v>2879</v>
      </c>
      <c r="B2613" s="14" t="s">
        <v>1522</v>
      </c>
      <c r="C2613" s="14" t="s">
        <v>1550</v>
      </c>
      <c r="D2613" s="11" t="s">
        <v>3534</v>
      </c>
      <c r="E2613" s="14" t="s">
        <v>3534</v>
      </c>
      <c r="F2613" s="4" t="s">
        <v>1524</v>
      </c>
    </row>
    <row r="2614" spans="1:6" x14ac:dyDescent="0.2">
      <c r="A2614" s="14" t="s">
        <v>2880</v>
      </c>
      <c r="B2614" s="14" t="s">
        <v>1522</v>
      </c>
      <c r="C2614" s="14" t="s">
        <v>1551</v>
      </c>
      <c r="D2614" s="11" t="s">
        <v>3535</v>
      </c>
      <c r="E2614" s="14" t="s">
        <v>3535</v>
      </c>
      <c r="F2614" s="4" t="s">
        <v>1524</v>
      </c>
    </row>
    <row r="2615" spans="1:6" x14ac:dyDescent="0.2">
      <c r="A2615" s="14" t="s">
        <v>2876</v>
      </c>
      <c r="B2615" s="14" t="s">
        <v>1522</v>
      </c>
      <c r="C2615" s="14" t="s">
        <v>1552</v>
      </c>
      <c r="D2615" s="11" t="s">
        <v>3530</v>
      </c>
      <c r="E2615" s="14" t="s">
        <v>3530</v>
      </c>
      <c r="F2615" s="4" t="s">
        <v>1524</v>
      </c>
    </row>
    <row r="2616" spans="1:6" x14ac:dyDescent="0.2">
      <c r="A2616" s="14" t="s">
        <v>2921</v>
      </c>
      <c r="B2616" s="14" t="s">
        <v>1522</v>
      </c>
      <c r="C2616" s="14" t="s">
        <v>1553</v>
      </c>
      <c r="D2616" s="11" t="s">
        <v>15</v>
      </c>
      <c r="E2616" s="14" t="s">
        <v>15</v>
      </c>
      <c r="F2616" s="4" t="s">
        <v>1524</v>
      </c>
    </row>
    <row r="2617" spans="1:6" x14ac:dyDescent="0.2">
      <c r="A2617" s="14" t="s">
        <v>2881</v>
      </c>
      <c r="B2617" s="14" t="s">
        <v>1522</v>
      </c>
      <c r="C2617" s="14" t="s">
        <v>439</v>
      </c>
      <c r="D2617" s="11" t="s">
        <v>3623</v>
      </c>
      <c r="E2617" s="14" t="s">
        <v>3536</v>
      </c>
      <c r="F2617" s="4" t="s">
        <v>1524</v>
      </c>
    </row>
    <row r="2618" spans="1:6" x14ac:dyDescent="0.2">
      <c r="A2618" s="14" t="s">
        <v>2882</v>
      </c>
      <c r="B2618" s="14" t="s">
        <v>1522</v>
      </c>
      <c r="C2618" s="14" t="s">
        <v>1554</v>
      </c>
      <c r="D2618" s="11" t="s">
        <v>3624</v>
      </c>
      <c r="E2618" s="14" t="s">
        <v>3537</v>
      </c>
      <c r="F2618" s="4" t="s">
        <v>1524</v>
      </c>
    </row>
    <row r="2619" spans="1:6" x14ac:dyDescent="0.2">
      <c r="A2619" s="14" t="s">
        <v>2883</v>
      </c>
      <c r="B2619" s="14" t="s">
        <v>1522</v>
      </c>
      <c r="C2619" s="14" t="s">
        <v>1555</v>
      </c>
      <c r="D2619" s="11" t="s">
        <v>3625</v>
      </c>
      <c r="E2619" s="14" t="s">
        <v>3539</v>
      </c>
      <c r="F2619" s="4" t="s">
        <v>1524</v>
      </c>
    </row>
    <row r="2620" spans="1:6" x14ac:dyDescent="0.2">
      <c r="A2620" s="14" t="s">
        <v>2884</v>
      </c>
      <c r="B2620" s="14" t="s">
        <v>1522</v>
      </c>
      <c r="C2620" s="14" t="s">
        <v>441</v>
      </c>
      <c r="D2620" s="11" t="s">
        <v>3626</v>
      </c>
      <c r="E2620" s="14" t="s">
        <v>3540</v>
      </c>
      <c r="F2620" s="4" t="s">
        <v>1524</v>
      </c>
    </row>
    <row r="2621" spans="1:6" x14ac:dyDescent="0.2">
      <c r="A2621" s="14" t="s">
        <v>2885</v>
      </c>
      <c r="B2621" s="14" t="s">
        <v>1522</v>
      </c>
      <c r="C2621" s="14" t="s">
        <v>442</v>
      </c>
      <c r="D2621" s="11" t="s">
        <v>3627</v>
      </c>
      <c r="E2621" s="14" t="s">
        <v>3541</v>
      </c>
      <c r="F2621" s="4" t="s">
        <v>1524</v>
      </c>
    </row>
    <row r="2622" spans="1:6" x14ac:dyDescent="0.2">
      <c r="A2622" s="14" t="s">
        <v>2886</v>
      </c>
      <c r="B2622" s="14" t="s">
        <v>1522</v>
      </c>
      <c r="C2622" s="14" t="s">
        <v>443</v>
      </c>
      <c r="D2622" s="11" t="s">
        <v>3628</v>
      </c>
      <c r="E2622" s="14" t="s">
        <v>3542</v>
      </c>
      <c r="F2622" s="4" t="s">
        <v>1524</v>
      </c>
    </row>
    <row r="2623" spans="1:6" x14ac:dyDescent="0.2">
      <c r="A2623" s="14" t="s">
        <v>2887</v>
      </c>
      <c r="B2623" s="14" t="s">
        <v>1522</v>
      </c>
      <c r="C2623" s="14" t="s">
        <v>1556</v>
      </c>
      <c r="D2623" s="11" t="s">
        <v>3543</v>
      </c>
      <c r="E2623" s="14" t="s">
        <v>3543</v>
      </c>
      <c r="F2623" s="4" t="s">
        <v>1524</v>
      </c>
    </row>
    <row r="2624" spans="1:6" x14ac:dyDescent="0.2">
      <c r="A2624" s="14" t="s">
        <v>2888</v>
      </c>
      <c r="B2624" s="14" t="s">
        <v>1522</v>
      </c>
      <c r="C2624" s="14" t="s">
        <v>1557</v>
      </c>
      <c r="D2624" s="11" t="s">
        <v>3629</v>
      </c>
      <c r="E2624" s="14" t="s">
        <v>3544</v>
      </c>
      <c r="F2624" s="4" t="s">
        <v>1524</v>
      </c>
    </row>
    <row r="2625" spans="1:8" x14ac:dyDescent="0.2">
      <c r="A2625" s="14" t="s">
        <v>2889</v>
      </c>
      <c r="B2625" s="14" t="s">
        <v>1522</v>
      </c>
      <c r="C2625" s="14" t="s">
        <v>1558</v>
      </c>
      <c r="D2625" s="11" t="s">
        <v>3630</v>
      </c>
      <c r="E2625" s="14" t="s">
        <v>3545</v>
      </c>
      <c r="F2625" s="4" t="s">
        <v>1524</v>
      </c>
    </row>
    <row r="2626" spans="1:8" x14ac:dyDescent="0.2">
      <c r="A2626" s="14" t="s">
        <v>2890</v>
      </c>
      <c r="B2626" s="14" t="s">
        <v>1522</v>
      </c>
      <c r="C2626" s="14" t="s">
        <v>445</v>
      </c>
      <c r="D2626" s="11" t="s">
        <v>3631</v>
      </c>
      <c r="E2626" s="14" t="s">
        <v>3546</v>
      </c>
      <c r="F2626" s="4" t="s">
        <v>1524</v>
      </c>
    </row>
    <row r="2627" spans="1:8" x14ac:dyDescent="0.2">
      <c r="A2627" s="14" t="s">
        <v>1526</v>
      </c>
      <c r="B2627" s="14" t="s">
        <v>1522</v>
      </c>
      <c r="C2627" s="14" t="s">
        <v>2702</v>
      </c>
      <c r="D2627" s="11" t="s">
        <v>3932</v>
      </c>
      <c r="E2627" s="14" t="s">
        <v>1872</v>
      </c>
      <c r="F2627" s="4" t="s">
        <v>1524</v>
      </c>
      <c r="H2627" s="6"/>
    </row>
    <row r="2628" spans="1:8" x14ac:dyDescent="0.2">
      <c r="A2628" s="14" t="s">
        <v>2965</v>
      </c>
      <c r="B2628" s="14" t="s">
        <v>1522</v>
      </c>
      <c r="C2628" s="14" t="s">
        <v>1559</v>
      </c>
      <c r="D2628" s="11" t="s">
        <v>117</v>
      </c>
      <c r="E2628" s="14" t="s">
        <v>117</v>
      </c>
      <c r="F2628" s="4" t="s">
        <v>1524</v>
      </c>
      <c r="G2628" s="6"/>
    </row>
    <row r="2629" spans="1:8" x14ac:dyDescent="0.2">
      <c r="A2629" s="14" t="s">
        <v>2945</v>
      </c>
      <c r="B2629" s="14" t="s">
        <v>1522</v>
      </c>
      <c r="C2629" s="14" t="s">
        <v>1560</v>
      </c>
      <c r="D2629" s="11" t="s">
        <v>60</v>
      </c>
      <c r="E2629" s="14" t="s">
        <v>60</v>
      </c>
      <c r="F2629" s="4" t="s">
        <v>1524</v>
      </c>
    </row>
    <row r="2630" spans="1:8" x14ac:dyDescent="0.2">
      <c r="A2630" s="14" t="s">
        <v>2946</v>
      </c>
      <c r="B2630" s="14" t="s">
        <v>1522</v>
      </c>
      <c r="C2630" s="14" t="s">
        <v>1561</v>
      </c>
      <c r="D2630" s="11" t="s">
        <v>61</v>
      </c>
      <c r="E2630" s="14" t="s">
        <v>61</v>
      </c>
      <c r="F2630" s="4" t="s">
        <v>1524</v>
      </c>
    </row>
    <row r="2631" spans="1:8" x14ac:dyDescent="0.2">
      <c r="A2631" s="14" t="s">
        <v>2947</v>
      </c>
      <c r="B2631" s="14" t="s">
        <v>1522</v>
      </c>
      <c r="C2631" s="14" t="s">
        <v>1008</v>
      </c>
      <c r="D2631" s="11" t="s">
        <v>3645</v>
      </c>
      <c r="E2631" s="14" t="s">
        <v>62</v>
      </c>
      <c r="F2631" s="4" t="s">
        <v>1524</v>
      </c>
    </row>
    <row r="2632" spans="1:8" x14ac:dyDescent="0.2">
      <c r="A2632" s="14" t="s">
        <v>2948</v>
      </c>
      <c r="B2632" s="14" t="s">
        <v>1522</v>
      </c>
      <c r="C2632" s="14" t="s">
        <v>1444</v>
      </c>
      <c r="D2632" s="11" t="s">
        <v>3646</v>
      </c>
      <c r="E2632" s="14" t="s">
        <v>63</v>
      </c>
      <c r="F2632" s="4" t="s">
        <v>1524</v>
      </c>
    </row>
    <row r="2633" spans="1:8" x14ac:dyDescent="0.2">
      <c r="A2633" s="14" t="s">
        <v>2949</v>
      </c>
      <c r="B2633" s="14" t="s">
        <v>1522</v>
      </c>
      <c r="C2633" s="14" t="s">
        <v>1445</v>
      </c>
      <c r="D2633" s="11" t="s">
        <v>3647</v>
      </c>
      <c r="E2633" s="14" t="s">
        <v>64</v>
      </c>
      <c r="F2633" s="4" t="s">
        <v>1524</v>
      </c>
    </row>
    <row r="2634" spans="1:8" x14ac:dyDescent="0.2">
      <c r="A2634" s="14" t="s">
        <v>2950</v>
      </c>
      <c r="B2634" s="14" t="s">
        <v>1522</v>
      </c>
      <c r="C2634" s="14" t="s">
        <v>1562</v>
      </c>
      <c r="D2634" s="11" t="s">
        <v>3648</v>
      </c>
      <c r="E2634" s="14" t="s">
        <v>66</v>
      </c>
      <c r="F2634" s="4" t="s">
        <v>1524</v>
      </c>
    </row>
    <row r="2635" spans="1:8" x14ac:dyDescent="0.2">
      <c r="A2635" s="14" t="s">
        <v>2951</v>
      </c>
      <c r="B2635" s="14" t="s">
        <v>1522</v>
      </c>
      <c r="C2635" s="14" t="s">
        <v>1563</v>
      </c>
      <c r="D2635" s="11" t="s">
        <v>3649</v>
      </c>
      <c r="E2635" s="14" t="s">
        <v>67</v>
      </c>
      <c r="F2635" s="4" t="s">
        <v>1524</v>
      </c>
    </row>
    <row r="2636" spans="1:8" x14ac:dyDescent="0.2">
      <c r="A2636" s="14" t="s">
        <v>2952</v>
      </c>
      <c r="B2636" s="14" t="s">
        <v>1522</v>
      </c>
      <c r="C2636" s="14" t="s">
        <v>1009</v>
      </c>
      <c r="D2636" s="11" t="s">
        <v>3650</v>
      </c>
      <c r="E2636" s="14" t="s">
        <v>68</v>
      </c>
      <c r="F2636" s="4" t="s">
        <v>1524</v>
      </c>
    </row>
    <row r="2637" spans="1:8" x14ac:dyDescent="0.2">
      <c r="A2637" s="14" t="s">
        <v>2953</v>
      </c>
      <c r="B2637" s="14" t="s">
        <v>1522</v>
      </c>
      <c r="C2637" s="14" t="s">
        <v>1564</v>
      </c>
      <c r="D2637" s="11" t="s">
        <v>1905</v>
      </c>
      <c r="E2637" s="14" t="s">
        <v>71</v>
      </c>
      <c r="F2637" s="4" t="s">
        <v>1524</v>
      </c>
    </row>
    <row r="2638" spans="1:8" x14ac:dyDescent="0.2">
      <c r="A2638" s="14" t="s">
        <v>2954</v>
      </c>
      <c r="B2638" s="14" t="s">
        <v>1522</v>
      </c>
      <c r="C2638" s="14" t="s">
        <v>1565</v>
      </c>
      <c r="D2638" s="11" t="s">
        <v>4037</v>
      </c>
      <c r="E2638" s="14" t="s">
        <v>72</v>
      </c>
      <c r="F2638" s="4" t="s">
        <v>1524</v>
      </c>
    </row>
    <row r="2639" spans="1:8" x14ac:dyDescent="0.2">
      <c r="A2639" s="14" t="s">
        <v>2955</v>
      </c>
      <c r="B2639" s="14" t="s">
        <v>1522</v>
      </c>
      <c r="C2639" s="14" t="s">
        <v>1566</v>
      </c>
      <c r="D2639" s="11" t="s">
        <v>3651</v>
      </c>
      <c r="E2639" s="14" t="s">
        <v>73</v>
      </c>
      <c r="F2639" s="4" t="s">
        <v>1524</v>
      </c>
    </row>
    <row r="2640" spans="1:8" x14ac:dyDescent="0.2">
      <c r="A2640" s="14" t="s">
        <v>2967</v>
      </c>
      <c r="B2640" s="14" t="s">
        <v>1522</v>
      </c>
      <c r="C2640" s="14" t="s">
        <v>1567</v>
      </c>
      <c r="D2640" s="11" t="s">
        <v>119</v>
      </c>
      <c r="E2640" s="14" t="s">
        <v>119</v>
      </c>
      <c r="F2640" s="4" t="s">
        <v>1524</v>
      </c>
    </row>
    <row r="2641" spans="1:6" x14ac:dyDescent="0.2">
      <c r="A2641" s="14" t="s">
        <v>2968</v>
      </c>
      <c r="B2641" s="14" t="s">
        <v>1522</v>
      </c>
      <c r="C2641" s="14" t="s">
        <v>1568</v>
      </c>
      <c r="D2641" s="11" t="s">
        <v>1346</v>
      </c>
      <c r="E2641" s="14" t="s">
        <v>1346</v>
      </c>
      <c r="F2641" s="4" t="s">
        <v>1524</v>
      </c>
    </row>
    <row r="2642" spans="1:6" x14ac:dyDescent="0.2">
      <c r="A2642" s="14" t="s">
        <v>2969</v>
      </c>
      <c r="B2642" s="14" t="s">
        <v>1522</v>
      </c>
      <c r="C2642" s="14" t="s">
        <v>1569</v>
      </c>
      <c r="D2642" s="11" t="s">
        <v>1347</v>
      </c>
      <c r="E2642" s="14" t="s">
        <v>1347</v>
      </c>
      <c r="F2642" s="4" t="s">
        <v>1524</v>
      </c>
    </row>
    <row r="2643" spans="1:6" x14ac:dyDescent="0.2">
      <c r="A2643" s="14" t="s">
        <v>2900</v>
      </c>
      <c r="B2643" s="14" t="s">
        <v>1522</v>
      </c>
      <c r="C2643" s="14" t="s">
        <v>1348</v>
      </c>
      <c r="D2643" s="11" t="s">
        <v>3567</v>
      </c>
      <c r="E2643" s="14" t="s">
        <v>3567</v>
      </c>
      <c r="F2643" s="4" t="s">
        <v>1524</v>
      </c>
    </row>
    <row r="2644" spans="1:6" x14ac:dyDescent="0.2">
      <c r="A2644" s="14" t="s">
        <v>2901</v>
      </c>
      <c r="B2644" s="14" t="s">
        <v>1522</v>
      </c>
      <c r="C2644" s="14" t="s">
        <v>1344</v>
      </c>
      <c r="D2644" s="11" t="s">
        <v>3568</v>
      </c>
      <c r="E2644" s="14" t="s">
        <v>3568</v>
      </c>
      <c r="F2644" s="4" t="s">
        <v>1524</v>
      </c>
    </row>
    <row r="2645" spans="1:6" x14ac:dyDescent="0.2">
      <c r="A2645" s="14" t="s">
        <v>2902</v>
      </c>
      <c r="B2645" s="14" t="s">
        <v>1522</v>
      </c>
      <c r="C2645" s="14" t="s">
        <v>1349</v>
      </c>
      <c r="D2645" s="11" t="s">
        <v>3569</v>
      </c>
      <c r="E2645" s="14" t="s">
        <v>3569</v>
      </c>
      <c r="F2645" s="4" t="s">
        <v>1524</v>
      </c>
    </row>
    <row r="2646" spans="1:6" x14ac:dyDescent="0.2">
      <c r="A2646" s="14" t="s">
        <v>2903</v>
      </c>
      <c r="B2646" s="14" t="s">
        <v>1522</v>
      </c>
      <c r="C2646" s="14" t="s">
        <v>1350</v>
      </c>
      <c r="D2646" s="11" t="s">
        <v>3570</v>
      </c>
      <c r="E2646" s="14" t="s">
        <v>3570</v>
      </c>
      <c r="F2646" s="4" t="s">
        <v>1524</v>
      </c>
    </row>
    <row r="2647" spans="1:6" x14ac:dyDescent="0.2">
      <c r="A2647" s="14" t="s">
        <v>2904</v>
      </c>
      <c r="B2647" s="14" t="s">
        <v>1522</v>
      </c>
      <c r="C2647" s="14" t="s">
        <v>1351</v>
      </c>
      <c r="D2647" s="11" t="s">
        <v>3571</v>
      </c>
      <c r="E2647" s="14" t="s">
        <v>3571</v>
      </c>
      <c r="F2647" s="4" t="s">
        <v>1524</v>
      </c>
    </row>
    <row r="2648" spans="1:6" x14ac:dyDescent="0.2">
      <c r="A2648" s="14" t="s">
        <v>2905</v>
      </c>
      <c r="B2648" s="14" t="s">
        <v>1522</v>
      </c>
      <c r="C2648" s="14" t="s">
        <v>1352</v>
      </c>
      <c r="D2648" s="11" t="s">
        <v>3572</v>
      </c>
      <c r="E2648" s="14" t="s">
        <v>3572</v>
      </c>
      <c r="F2648" s="4" t="s">
        <v>1524</v>
      </c>
    </row>
    <row r="2649" spans="1:6" x14ac:dyDescent="0.2">
      <c r="A2649" s="14" t="s">
        <v>2906</v>
      </c>
      <c r="B2649" s="14" t="s">
        <v>1522</v>
      </c>
      <c r="C2649" s="14" t="s">
        <v>1159</v>
      </c>
      <c r="D2649" s="11" t="s">
        <v>3573</v>
      </c>
      <c r="E2649" s="14" t="s">
        <v>3573</v>
      </c>
      <c r="F2649" s="4" t="s">
        <v>1524</v>
      </c>
    </row>
    <row r="2650" spans="1:6" x14ac:dyDescent="0.2">
      <c r="A2650" s="14" t="s">
        <v>2907</v>
      </c>
      <c r="B2650" s="14" t="s">
        <v>1522</v>
      </c>
      <c r="C2650" s="14" t="s">
        <v>1353</v>
      </c>
      <c r="D2650" s="11" t="s">
        <v>3571</v>
      </c>
      <c r="E2650" s="14" t="s">
        <v>3571</v>
      </c>
      <c r="F2650" s="4" t="s">
        <v>1524</v>
      </c>
    </row>
    <row r="2651" spans="1:6" x14ac:dyDescent="0.2">
      <c r="A2651" s="14" t="s">
        <v>2908</v>
      </c>
      <c r="B2651" s="14" t="s">
        <v>1522</v>
      </c>
      <c r="C2651" s="14" t="s">
        <v>1354</v>
      </c>
      <c r="D2651" s="11" t="s">
        <v>3574</v>
      </c>
      <c r="E2651" s="14" t="s">
        <v>3574</v>
      </c>
      <c r="F2651" s="4" t="s">
        <v>1524</v>
      </c>
    </row>
    <row r="2652" spans="1:6" x14ac:dyDescent="0.2">
      <c r="A2652" s="14" t="s">
        <v>2909</v>
      </c>
      <c r="B2652" s="14" t="s">
        <v>1522</v>
      </c>
      <c r="C2652" s="14" t="s">
        <v>1355</v>
      </c>
      <c r="D2652" s="14" t="s">
        <v>3574</v>
      </c>
      <c r="E2652" s="14" t="s">
        <v>3574</v>
      </c>
      <c r="F2652" s="4" t="s">
        <v>1524</v>
      </c>
    </row>
    <row r="2653" spans="1:6" x14ac:dyDescent="0.2">
      <c r="A2653" s="14" t="s">
        <v>2910</v>
      </c>
      <c r="B2653" s="14" t="s">
        <v>1522</v>
      </c>
      <c r="C2653" s="14" t="s">
        <v>1357</v>
      </c>
      <c r="D2653" s="11" t="s">
        <v>3571</v>
      </c>
      <c r="E2653" s="14" t="s">
        <v>3571</v>
      </c>
      <c r="F2653" s="4" t="s">
        <v>1524</v>
      </c>
    </row>
    <row r="2654" spans="1:6" x14ac:dyDescent="0.2">
      <c r="A2654" s="14" t="s">
        <v>2911</v>
      </c>
      <c r="B2654" s="14" t="s">
        <v>1522</v>
      </c>
      <c r="C2654" s="14" t="s">
        <v>1358</v>
      </c>
      <c r="D2654" s="11" t="s">
        <v>3571</v>
      </c>
      <c r="E2654" s="14" t="s">
        <v>3571</v>
      </c>
      <c r="F2654" s="4" t="s">
        <v>1524</v>
      </c>
    </row>
    <row r="2655" spans="1:6" x14ac:dyDescent="0.2">
      <c r="A2655" s="14" t="s">
        <v>2912</v>
      </c>
      <c r="B2655" s="14" t="s">
        <v>4746</v>
      </c>
      <c r="C2655" s="14" t="s">
        <v>2853</v>
      </c>
      <c r="D2655" s="11" t="s">
        <v>1</v>
      </c>
      <c r="E2655" s="14" t="s">
        <v>1</v>
      </c>
      <c r="F2655" s="4" t="s">
        <v>1524</v>
      </c>
    </row>
    <row r="2656" spans="1:6" x14ac:dyDescent="0.2">
      <c r="A2656" s="14" t="s">
        <v>2913</v>
      </c>
      <c r="B2656" s="14" t="s">
        <v>4746</v>
      </c>
      <c r="C2656" s="14" t="s">
        <v>2853</v>
      </c>
      <c r="D2656" s="11" t="s">
        <v>2</v>
      </c>
      <c r="E2656" s="14" t="s">
        <v>2</v>
      </c>
      <c r="F2656" s="4" t="s">
        <v>1524</v>
      </c>
    </row>
    <row r="2657" spans="1:6" x14ac:dyDescent="0.2">
      <c r="A2657" s="14" t="s">
        <v>2914</v>
      </c>
      <c r="B2657" s="14" t="s">
        <v>1522</v>
      </c>
      <c r="C2657" s="14" t="s">
        <v>1218</v>
      </c>
      <c r="D2657" s="11" t="s">
        <v>3571</v>
      </c>
      <c r="E2657" s="14" t="s">
        <v>3571</v>
      </c>
      <c r="F2657" s="4" t="s">
        <v>1524</v>
      </c>
    </row>
    <row r="2658" spans="1:6" x14ac:dyDescent="0.2">
      <c r="A2658" s="14" t="s">
        <v>2923</v>
      </c>
      <c r="B2658" s="14" t="s">
        <v>4748</v>
      </c>
      <c r="C2658" s="14" t="s">
        <v>553</v>
      </c>
      <c r="D2658" s="11" t="s">
        <v>25</v>
      </c>
      <c r="E2658" s="14" t="s">
        <v>25</v>
      </c>
      <c r="F2658" s="4" t="s">
        <v>1524</v>
      </c>
    </row>
    <row r="2659" spans="1:6" x14ac:dyDescent="0.2">
      <c r="A2659" s="14" t="s">
        <v>2924</v>
      </c>
      <c r="B2659" s="14" t="s">
        <v>4748</v>
      </c>
      <c r="C2659" s="14" t="s">
        <v>555</v>
      </c>
      <c r="D2659" s="11" t="s">
        <v>27</v>
      </c>
      <c r="E2659" s="14" t="s">
        <v>27</v>
      </c>
      <c r="F2659" s="4" t="s">
        <v>1524</v>
      </c>
    </row>
    <row r="2660" spans="1:6" x14ac:dyDescent="0.2">
      <c r="A2660" s="14" t="s">
        <v>2925</v>
      </c>
      <c r="B2660" s="14" t="s">
        <v>4748</v>
      </c>
      <c r="C2660" s="14" t="s">
        <v>556</v>
      </c>
      <c r="D2660" s="11" t="s">
        <v>28</v>
      </c>
      <c r="E2660" s="14" t="s">
        <v>28</v>
      </c>
      <c r="F2660" s="4" t="s">
        <v>1524</v>
      </c>
    </row>
    <row r="2661" spans="1:6" x14ac:dyDescent="0.2">
      <c r="A2661" s="14" t="s">
        <v>2915</v>
      </c>
      <c r="B2661" s="14" t="s">
        <v>1522</v>
      </c>
      <c r="C2661" s="14" t="s">
        <v>1570</v>
      </c>
      <c r="D2661" s="11" t="s">
        <v>3</v>
      </c>
      <c r="E2661" s="14" t="s">
        <v>3</v>
      </c>
      <c r="F2661" s="4" t="s">
        <v>1524</v>
      </c>
    </row>
    <row r="2662" spans="1:6" x14ac:dyDescent="0.2">
      <c r="A2662" s="14" t="s">
        <v>2916</v>
      </c>
      <c r="B2662" s="14" t="s">
        <v>1522</v>
      </c>
      <c r="C2662" s="14" t="s">
        <v>1571</v>
      </c>
      <c r="D2662" s="11" t="s">
        <v>4</v>
      </c>
      <c r="E2662" s="14" t="s">
        <v>4</v>
      </c>
      <c r="F2662" s="4" t="s">
        <v>1524</v>
      </c>
    </row>
    <row r="2663" spans="1:6" x14ac:dyDescent="0.2">
      <c r="A2663" s="14" t="s">
        <v>2917</v>
      </c>
      <c r="B2663" s="14" t="s">
        <v>1522</v>
      </c>
      <c r="C2663" s="14" t="s">
        <v>1572</v>
      </c>
      <c r="D2663" s="11" t="s">
        <v>7</v>
      </c>
      <c r="E2663" s="14" t="s">
        <v>5</v>
      </c>
      <c r="F2663" s="4" t="s">
        <v>1524</v>
      </c>
    </row>
    <row r="2664" spans="1:6" x14ac:dyDescent="0.2">
      <c r="A2664" s="14" t="s">
        <v>2900</v>
      </c>
      <c r="B2664" s="14" t="s">
        <v>1522</v>
      </c>
      <c r="C2664" s="14" t="s">
        <v>1573</v>
      </c>
      <c r="D2664" s="11" t="s">
        <v>3567</v>
      </c>
      <c r="E2664" s="14" t="s">
        <v>6</v>
      </c>
      <c r="F2664" s="4" t="s">
        <v>1524</v>
      </c>
    </row>
    <row r="2665" spans="1:6" x14ac:dyDescent="0.2">
      <c r="A2665" s="14" t="s">
        <v>2918</v>
      </c>
      <c r="B2665" s="14" t="s">
        <v>1522</v>
      </c>
      <c r="C2665" s="14" t="s">
        <v>1574</v>
      </c>
      <c r="D2665" s="11" t="s">
        <v>8</v>
      </c>
      <c r="E2665" s="14" t="s">
        <v>8</v>
      </c>
      <c r="F2665" s="4" t="s">
        <v>1524</v>
      </c>
    </row>
    <row r="2666" spans="1:6" x14ac:dyDescent="0.2">
      <c r="A2666" s="14" t="s">
        <v>2919</v>
      </c>
      <c r="B2666" s="14" t="s">
        <v>1522</v>
      </c>
      <c r="C2666" s="14" t="s">
        <v>1575</v>
      </c>
      <c r="D2666" s="11" t="s">
        <v>9</v>
      </c>
      <c r="E2666" s="14" t="s">
        <v>9</v>
      </c>
      <c r="F2666" s="4" t="s">
        <v>1524</v>
      </c>
    </row>
    <row r="2667" spans="1:6" x14ac:dyDescent="0.2">
      <c r="A2667" s="14" t="s">
        <v>2956</v>
      </c>
      <c r="B2667" s="14" t="s">
        <v>1522</v>
      </c>
      <c r="C2667" s="14" t="s">
        <v>1576</v>
      </c>
      <c r="D2667" s="11" t="s">
        <v>4593</v>
      </c>
      <c r="E2667" s="14" t="s">
        <v>86</v>
      </c>
      <c r="F2667" s="4" t="s">
        <v>1524</v>
      </c>
    </row>
    <row r="2668" spans="1:6" x14ac:dyDescent="0.2">
      <c r="A2668" s="14" t="s">
        <v>2957</v>
      </c>
      <c r="B2668" s="14" t="s">
        <v>1522</v>
      </c>
      <c r="C2668" s="14" t="s">
        <v>1577</v>
      </c>
      <c r="D2668" s="11" t="s">
        <v>4594</v>
      </c>
      <c r="E2668" s="14" t="s">
        <v>88</v>
      </c>
      <c r="F2668" s="4" t="s">
        <v>1524</v>
      </c>
    </row>
    <row r="2669" spans="1:6" x14ac:dyDescent="0.2">
      <c r="A2669" s="14" t="s">
        <v>2958</v>
      </c>
      <c r="B2669" s="14" t="s">
        <v>1522</v>
      </c>
      <c r="C2669" s="14" t="s">
        <v>1578</v>
      </c>
      <c r="D2669" s="11" t="s">
        <v>90</v>
      </c>
      <c r="E2669" s="14" t="s">
        <v>90</v>
      </c>
      <c r="F2669" s="4" t="s">
        <v>1524</v>
      </c>
    </row>
    <row r="2670" spans="1:6" x14ac:dyDescent="0.2">
      <c r="A2670" s="14" t="s">
        <v>2959</v>
      </c>
      <c r="B2670" s="14" t="s">
        <v>1522</v>
      </c>
      <c r="C2670" s="14" t="s">
        <v>1579</v>
      </c>
      <c r="D2670" s="11" t="s">
        <v>92</v>
      </c>
      <c r="E2670" s="14" t="s">
        <v>92</v>
      </c>
      <c r="F2670" s="4" t="s">
        <v>1524</v>
      </c>
    </row>
    <row r="2671" spans="1:6" x14ac:dyDescent="0.2">
      <c r="A2671" s="14" t="s">
        <v>2960</v>
      </c>
      <c r="B2671" s="14" t="s">
        <v>1522</v>
      </c>
      <c r="C2671" s="14" t="s">
        <v>1059</v>
      </c>
      <c r="D2671" s="11" t="s">
        <v>3652</v>
      </c>
      <c r="E2671" s="14" t="s">
        <v>94</v>
      </c>
      <c r="F2671" s="4" t="s">
        <v>1524</v>
      </c>
    </row>
    <row r="2672" spans="1:6" x14ac:dyDescent="0.2">
      <c r="A2672" s="14" t="s">
        <v>2961</v>
      </c>
      <c r="B2672" s="14" t="s">
        <v>1522</v>
      </c>
      <c r="C2672" s="14" t="s">
        <v>1060</v>
      </c>
      <c r="D2672" s="11" t="s">
        <v>3653</v>
      </c>
      <c r="E2672" s="14" t="s">
        <v>95</v>
      </c>
      <c r="F2672" s="4" t="s">
        <v>1524</v>
      </c>
    </row>
    <row r="2673" spans="1:8" x14ac:dyDescent="0.2">
      <c r="A2673" s="14" t="s">
        <v>2962</v>
      </c>
      <c r="B2673" s="14" t="s">
        <v>1522</v>
      </c>
      <c r="C2673" s="14" t="s">
        <v>1061</v>
      </c>
      <c r="D2673" s="11" t="s">
        <v>3654</v>
      </c>
      <c r="E2673" s="14" t="s">
        <v>96</v>
      </c>
      <c r="F2673" s="4" t="s">
        <v>1524</v>
      </c>
    </row>
    <row r="2674" spans="1:8" x14ac:dyDescent="0.2">
      <c r="A2674" s="14" t="s">
        <v>2963</v>
      </c>
      <c r="B2674" s="14" t="s">
        <v>4748</v>
      </c>
      <c r="C2674" s="14" t="s">
        <v>4749</v>
      </c>
      <c r="D2674" s="11" t="s">
        <v>3655</v>
      </c>
      <c r="E2674" s="14" t="s">
        <v>97</v>
      </c>
      <c r="F2674" s="4" t="s">
        <v>1524</v>
      </c>
    </row>
    <row r="2675" spans="1:8" x14ac:dyDescent="0.2">
      <c r="A2675" s="14" t="s">
        <v>2964</v>
      </c>
      <c r="B2675" s="14" t="s">
        <v>4748</v>
      </c>
      <c r="C2675" s="14" t="s">
        <v>4750</v>
      </c>
      <c r="D2675" s="11" t="s">
        <v>3656</v>
      </c>
      <c r="E2675" s="14" t="s">
        <v>98</v>
      </c>
      <c r="F2675" s="4" t="s">
        <v>1524</v>
      </c>
    </row>
    <row r="2676" spans="1:8" x14ac:dyDescent="0.2">
      <c r="A2676" s="14" t="s">
        <v>355</v>
      </c>
      <c r="B2676" s="14" t="s">
        <v>1522</v>
      </c>
      <c r="C2676" s="14" t="s">
        <v>1226</v>
      </c>
      <c r="D2676" s="11" t="s">
        <v>1227</v>
      </c>
      <c r="E2676" s="14" t="s">
        <v>1227</v>
      </c>
      <c r="F2676" s="4" t="s">
        <v>1524</v>
      </c>
    </row>
    <row r="2677" spans="1:8" x14ac:dyDescent="0.2">
      <c r="A2677" s="14" t="s">
        <v>356</v>
      </c>
      <c r="B2677" s="14" t="s">
        <v>1522</v>
      </c>
      <c r="C2677" s="14" t="s">
        <v>526</v>
      </c>
      <c r="D2677" s="11" t="s">
        <v>3554</v>
      </c>
      <c r="E2677" s="14" t="s">
        <v>3554</v>
      </c>
      <c r="F2677" s="4" t="s">
        <v>1524</v>
      </c>
    </row>
    <row r="2678" spans="1:8" x14ac:dyDescent="0.2">
      <c r="A2678" s="14" t="s">
        <v>357</v>
      </c>
      <c r="B2678" s="14" t="s">
        <v>1522</v>
      </c>
      <c r="C2678" s="14" t="s">
        <v>1580</v>
      </c>
      <c r="D2678" s="11" t="s">
        <v>1229</v>
      </c>
      <c r="E2678" s="14" t="s">
        <v>1229</v>
      </c>
      <c r="F2678" s="4" t="s">
        <v>1524</v>
      </c>
    </row>
    <row r="2679" spans="1:8" x14ac:dyDescent="0.2">
      <c r="A2679" s="14" t="s">
        <v>358</v>
      </c>
      <c r="B2679" s="14" t="s">
        <v>1522</v>
      </c>
      <c r="C2679" s="14" t="s">
        <v>1581</v>
      </c>
      <c r="D2679" s="11" t="s">
        <v>1231</v>
      </c>
      <c r="E2679" s="14" t="s">
        <v>1231</v>
      </c>
      <c r="F2679" s="4" t="s">
        <v>1524</v>
      </c>
    </row>
    <row r="2680" spans="1:8" x14ac:dyDescent="0.2">
      <c r="A2680" s="14" t="s">
        <v>359</v>
      </c>
      <c r="B2680" s="14" t="s">
        <v>1522</v>
      </c>
      <c r="C2680" s="14" t="s">
        <v>1582</v>
      </c>
      <c r="D2680" s="11" t="s">
        <v>1237</v>
      </c>
      <c r="E2680" s="14" t="s">
        <v>1237</v>
      </c>
      <c r="F2680" s="4" t="s">
        <v>1524</v>
      </c>
    </row>
    <row r="2681" spans="1:8" x14ac:dyDescent="0.2">
      <c r="A2681" s="14" t="s">
        <v>360</v>
      </c>
      <c r="B2681" s="14" t="s">
        <v>1522</v>
      </c>
      <c r="C2681" s="14" t="s">
        <v>1238</v>
      </c>
      <c r="D2681" s="11" t="s">
        <v>1239</v>
      </c>
      <c r="E2681" s="14" t="s">
        <v>1239</v>
      </c>
      <c r="F2681" s="4" t="s">
        <v>1524</v>
      </c>
    </row>
    <row r="2682" spans="1:8" x14ac:dyDescent="0.2">
      <c r="A2682" s="14" t="s">
        <v>2892</v>
      </c>
      <c r="B2682" s="14" t="s">
        <v>1522</v>
      </c>
      <c r="C2682" s="14" t="s">
        <v>1583</v>
      </c>
      <c r="D2682" s="11" t="s">
        <v>3555</v>
      </c>
      <c r="E2682" s="14" t="s">
        <v>3555</v>
      </c>
      <c r="F2682" s="4" t="s">
        <v>1524</v>
      </c>
    </row>
    <row r="2683" spans="1:8" x14ac:dyDescent="0.2">
      <c r="A2683" s="14" t="s">
        <v>2893</v>
      </c>
      <c r="B2683" s="14" t="s">
        <v>1522</v>
      </c>
      <c r="C2683" s="14" t="s">
        <v>1584</v>
      </c>
      <c r="D2683" s="11" t="s">
        <v>3556</v>
      </c>
      <c r="E2683" s="14" t="s">
        <v>3556</v>
      </c>
      <c r="F2683" s="4" t="s">
        <v>1524</v>
      </c>
    </row>
    <row r="2684" spans="1:8" x14ac:dyDescent="0.2">
      <c r="A2684" s="14" t="s">
        <v>2894</v>
      </c>
      <c r="B2684" s="14" t="s">
        <v>1522</v>
      </c>
      <c r="C2684" s="14" t="s">
        <v>1585</v>
      </c>
      <c r="D2684" s="11" t="s">
        <v>3557</v>
      </c>
      <c r="E2684" s="14" t="s">
        <v>3557</v>
      </c>
      <c r="F2684" s="4" t="s">
        <v>1524</v>
      </c>
    </row>
    <row r="2685" spans="1:8" x14ac:dyDescent="0.2">
      <c r="A2685" s="14" t="s">
        <v>2895</v>
      </c>
      <c r="B2685" s="14" t="s">
        <v>1522</v>
      </c>
      <c r="C2685" s="14" t="s">
        <v>1586</v>
      </c>
      <c r="D2685" s="11" t="s">
        <v>3632</v>
      </c>
      <c r="E2685" s="14" t="s">
        <v>3560</v>
      </c>
      <c r="F2685" s="4" t="s">
        <v>1524</v>
      </c>
    </row>
    <row r="2686" spans="1:8" x14ac:dyDescent="0.2">
      <c r="A2686" s="14" t="s">
        <v>3357</v>
      </c>
      <c r="B2686" s="14" t="s">
        <v>1522</v>
      </c>
      <c r="C2686" s="14" t="s">
        <v>1150</v>
      </c>
      <c r="D2686" s="11" t="s">
        <v>4663</v>
      </c>
      <c r="E2686" s="14" t="s">
        <v>4663</v>
      </c>
      <c r="F2686" s="4" t="s">
        <v>1529</v>
      </c>
      <c r="H2686" s="6"/>
    </row>
    <row r="2687" spans="1:8" x14ac:dyDescent="0.2">
      <c r="A2687" s="14" t="s">
        <v>3358</v>
      </c>
      <c r="B2687" s="14" t="s">
        <v>1522</v>
      </c>
      <c r="C2687" s="14" t="s">
        <v>1152</v>
      </c>
      <c r="D2687" s="11" t="s">
        <v>4664</v>
      </c>
      <c r="E2687" s="14" t="s">
        <v>4664</v>
      </c>
      <c r="F2687" s="4" t="s">
        <v>1529</v>
      </c>
      <c r="H2687" s="6"/>
    </row>
    <row r="2688" spans="1:8" x14ac:dyDescent="0.2">
      <c r="A2688" s="14" t="s">
        <v>3359</v>
      </c>
      <c r="B2688" s="14" t="s">
        <v>1522</v>
      </c>
      <c r="C2688" s="14" t="s">
        <v>1151</v>
      </c>
      <c r="D2688" s="11" t="s">
        <v>4666</v>
      </c>
      <c r="E2688" s="14" t="s">
        <v>4666</v>
      </c>
      <c r="F2688" s="4" t="s">
        <v>1529</v>
      </c>
      <c r="H2688" s="6"/>
    </row>
    <row r="2689" spans="1:8" x14ac:dyDescent="0.2">
      <c r="A2689" s="14" t="s">
        <v>3360</v>
      </c>
      <c r="B2689" s="14" t="s">
        <v>1522</v>
      </c>
      <c r="C2689" s="14" t="s">
        <v>1146</v>
      </c>
      <c r="D2689" s="11" t="s">
        <v>4667</v>
      </c>
      <c r="E2689" s="14" t="s">
        <v>4667</v>
      </c>
      <c r="F2689" s="4" t="s">
        <v>1529</v>
      </c>
      <c r="H2689" s="6"/>
    </row>
    <row r="2690" spans="1:8" x14ac:dyDescent="0.2">
      <c r="A2690" s="14" t="s">
        <v>3361</v>
      </c>
      <c r="B2690" s="14" t="s">
        <v>1522</v>
      </c>
      <c r="C2690" s="14" t="s">
        <v>1148</v>
      </c>
      <c r="D2690" s="11" t="s">
        <v>3859</v>
      </c>
      <c r="E2690" s="14" t="s">
        <v>4668</v>
      </c>
      <c r="F2690" s="4" t="s">
        <v>1529</v>
      </c>
      <c r="H2690" s="6"/>
    </row>
    <row r="2691" spans="1:8" x14ac:dyDescent="0.2">
      <c r="A2691" s="14" t="s">
        <v>3362</v>
      </c>
      <c r="B2691" s="14" t="s">
        <v>1522</v>
      </c>
      <c r="C2691" s="14" t="s">
        <v>1149</v>
      </c>
      <c r="D2691" s="11" t="s">
        <v>3860</v>
      </c>
      <c r="E2691" s="14" t="s">
        <v>4669</v>
      </c>
      <c r="F2691" s="4" t="s">
        <v>1529</v>
      </c>
      <c r="H2691" s="6"/>
    </row>
    <row r="2692" spans="1:8" x14ac:dyDescent="0.2">
      <c r="A2692" s="14" t="s">
        <v>3363</v>
      </c>
      <c r="B2692" s="14" t="s">
        <v>1522</v>
      </c>
      <c r="C2692" s="14" t="s">
        <v>1147</v>
      </c>
      <c r="D2692" s="11" t="s">
        <v>4670</v>
      </c>
      <c r="E2692" s="14" t="s">
        <v>4670</v>
      </c>
      <c r="F2692" s="4" t="s">
        <v>1529</v>
      </c>
      <c r="H2692" s="6"/>
    </row>
    <row r="2693" spans="1:8" x14ac:dyDescent="0.2">
      <c r="A2693" s="14" t="s">
        <v>3338</v>
      </c>
      <c r="B2693" s="14" t="s">
        <v>1522</v>
      </c>
      <c r="C2693" s="14" t="s">
        <v>1106</v>
      </c>
      <c r="D2693" s="11" t="s">
        <v>3851</v>
      </c>
      <c r="E2693" s="14" t="s">
        <v>4628</v>
      </c>
      <c r="F2693" s="4" t="s">
        <v>1529</v>
      </c>
      <c r="H2693" s="6"/>
    </row>
    <row r="2694" spans="1:8" x14ac:dyDescent="0.2">
      <c r="A2694" s="14" t="s">
        <v>3339</v>
      </c>
      <c r="B2694" s="14" t="s">
        <v>1522</v>
      </c>
      <c r="C2694" s="14" t="s">
        <v>1107</v>
      </c>
      <c r="D2694" s="11" t="s">
        <v>3852</v>
      </c>
      <c r="E2694" s="14" t="s">
        <v>4629</v>
      </c>
      <c r="F2694" s="4" t="s">
        <v>1529</v>
      </c>
      <c r="H2694" s="6"/>
    </row>
    <row r="2695" spans="1:8" x14ac:dyDescent="0.2">
      <c r="A2695" s="14" t="s">
        <v>3354</v>
      </c>
      <c r="B2695" s="14" t="s">
        <v>1522</v>
      </c>
      <c r="C2695" s="14" t="s">
        <v>1342</v>
      </c>
      <c r="D2695" s="11" t="s">
        <v>4657</v>
      </c>
      <c r="E2695" s="14" t="s">
        <v>4657</v>
      </c>
      <c r="F2695" s="4" t="s">
        <v>1529</v>
      </c>
      <c r="H2695" s="6"/>
    </row>
    <row r="2696" spans="1:8" x14ac:dyDescent="0.2">
      <c r="A2696" s="14" t="s">
        <v>3340</v>
      </c>
      <c r="B2696" s="14" t="s">
        <v>1522</v>
      </c>
      <c r="C2696" s="14" t="s">
        <v>1094</v>
      </c>
      <c r="D2696" s="11" t="s">
        <v>3853</v>
      </c>
      <c r="E2696" s="14" t="s">
        <v>4631</v>
      </c>
      <c r="F2696" s="4" t="s">
        <v>1529</v>
      </c>
      <c r="H2696" s="6"/>
    </row>
    <row r="2697" spans="1:8" x14ac:dyDescent="0.2">
      <c r="A2697" s="14" t="s">
        <v>3341</v>
      </c>
      <c r="B2697" s="14" t="s">
        <v>1522</v>
      </c>
      <c r="C2697" s="14" t="s">
        <v>1095</v>
      </c>
      <c r="D2697" s="11" t="s">
        <v>3854</v>
      </c>
      <c r="E2697" s="14" t="s">
        <v>4632</v>
      </c>
      <c r="F2697" s="4" t="s">
        <v>1529</v>
      </c>
      <c r="H2697" s="6"/>
    </row>
    <row r="2698" spans="1:8" x14ac:dyDescent="0.2">
      <c r="A2698" s="14" t="s">
        <v>3342</v>
      </c>
      <c r="B2698" s="14" t="s">
        <v>1522</v>
      </c>
      <c r="C2698" s="14" t="s">
        <v>1359</v>
      </c>
      <c r="D2698" s="11" t="s">
        <v>4641</v>
      </c>
      <c r="E2698" s="14" t="s">
        <v>4641</v>
      </c>
      <c r="F2698" s="4" t="s">
        <v>1529</v>
      </c>
      <c r="H2698" s="6"/>
    </row>
    <row r="2699" spans="1:8" x14ac:dyDescent="0.2">
      <c r="A2699" s="14" t="s">
        <v>3343</v>
      </c>
      <c r="B2699" s="14" t="s">
        <v>1522</v>
      </c>
      <c r="C2699" s="14" t="s">
        <v>1360</v>
      </c>
      <c r="D2699" s="11" t="s">
        <v>3567</v>
      </c>
      <c r="E2699" s="14" t="s">
        <v>3567</v>
      </c>
      <c r="F2699" s="4" t="s">
        <v>1529</v>
      </c>
      <c r="H2699" s="6"/>
    </row>
    <row r="2700" spans="1:8" x14ac:dyDescent="0.2">
      <c r="A2700" s="14" t="s">
        <v>3344</v>
      </c>
      <c r="B2700" s="14" t="s">
        <v>1522</v>
      </c>
      <c r="C2700" s="14" t="s">
        <v>1361</v>
      </c>
      <c r="D2700" s="11" t="s">
        <v>3569</v>
      </c>
      <c r="E2700" s="14" t="s">
        <v>3569</v>
      </c>
      <c r="F2700" s="4" t="s">
        <v>1529</v>
      </c>
      <c r="H2700" s="6"/>
    </row>
    <row r="2701" spans="1:8" x14ac:dyDescent="0.2">
      <c r="A2701" s="14" t="s">
        <v>3345</v>
      </c>
      <c r="B2701" s="14" t="s">
        <v>1522</v>
      </c>
      <c r="C2701" s="14" t="s">
        <v>1362</v>
      </c>
      <c r="D2701" s="11" t="s">
        <v>4643</v>
      </c>
      <c r="E2701" s="14" t="s">
        <v>4643</v>
      </c>
      <c r="F2701" s="4" t="s">
        <v>1529</v>
      </c>
      <c r="H2701" s="6"/>
    </row>
    <row r="2702" spans="1:8" x14ac:dyDescent="0.2">
      <c r="A2702" s="14" t="s">
        <v>3346</v>
      </c>
      <c r="B2702" s="14" t="s">
        <v>1522</v>
      </c>
      <c r="C2702" s="14" t="s">
        <v>1363</v>
      </c>
      <c r="D2702" s="11" t="s">
        <v>9</v>
      </c>
      <c r="E2702" s="14" t="s">
        <v>9</v>
      </c>
      <c r="F2702" s="4" t="s">
        <v>1529</v>
      </c>
      <c r="H2702" s="6"/>
    </row>
    <row r="2703" spans="1:8" x14ac:dyDescent="0.2">
      <c r="A2703" s="14" t="s">
        <v>3347</v>
      </c>
      <c r="B2703" s="14" t="s">
        <v>1522</v>
      </c>
      <c r="C2703" s="14" t="s">
        <v>1343</v>
      </c>
      <c r="D2703" s="11" t="s">
        <v>4646</v>
      </c>
      <c r="E2703" s="14" t="s">
        <v>4646</v>
      </c>
      <c r="F2703" s="4" t="s">
        <v>1529</v>
      </c>
      <c r="H2703" s="6"/>
    </row>
    <row r="2704" spans="1:8" x14ac:dyDescent="0.2">
      <c r="A2704" s="14" t="s">
        <v>3348</v>
      </c>
      <c r="B2704" s="14" t="s">
        <v>1522</v>
      </c>
      <c r="C2704" s="14" t="s">
        <v>1364</v>
      </c>
      <c r="D2704" s="11" t="s">
        <v>3571</v>
      </c>
      <c r="E2704" s="14" t="s">
        <v>3571</v>
      </c>
      <c r="F2704" s="4" t="s">
        <v>1529</v>
      </c>
      <c r="H2704" s="6"/>
    </row>
    <row r="2705" spans="1:8" x14ac:dyDescent="0.2">
      <c r="A2705" s="14" t="s">
        <v>3349</v>
      </c>
      <c r="B2705" s="14" t="s">
        <v>1522</v>
      </c>
      <c r="C2705" s="14" t="s">
        <v>1365</v>
      </c>
      <c r="D2705" s="11" t="s">
        <v>3571</v>
      </c>
      <c r="E2705" s="14" t="s">
        <v>3571</v>
      </c>
      <c r="F2705" s="4" t="s">
        <v>1529</v>
      </c>
      <c r="H2705" s="6"/>
    </row>
    <row r="2706" spans="1:8" x14ac:dyDescent="0.2">
      <c r="A2706" s="14" t="s">
        <v>3350</v>
      </c>
      <c r="B2706" s="14" t="s">
        <v>1522</v>
      </c>
      <c r="C2706" s="14" t="s">
        <v>1366</v>
      </c>
      <c r="D2706" s="11" t="s">
        <v>3574</v>
      </c>
      <c r="E2706" s="14" t="s">
        <v>3574</v>
      </c>
      <c r="F2706" s="4" t="s">
        <v>1529</v>
      </c>
      <c r="H2706" s="6"/>
    </row>
    <row r="2707" spans="1:8" x14ac:dyDescent="0.2">
      <c r="A2707" s="14" t="s">
        <v>3351</v>
      </c>
      <c r="B2707" s="14" t="s">
        <v>4748</v>
      </c>
      <c r="C2707" s="14" t="s">
        <v>1367</v>
      </c>
      <c r="D2707" s="11" t="s">
        <v>3574</v>
      </c>
      <c r="E2707" s="14" t="s">
        <v>3574</v>
      </c>
      <c r="F2707" s="4" t="s">
        <v>1529</v>
      </c>
      <c r="H2707" s="6"/>
    </row>
    <row r="2708" spans="1:8" x14ac:dyDescent="0.2">
      <c r="A2708" s="14" t="s">
        <v>3352</v>
      </c>
      <c r="B2708" s="14" t="s">
        <v>1522</v>
      </c>
      <c r="C2708" s="14" t="s">
        <v>1368</v>
      </c>
      <c r="D2708" s="11" t="s">
        <v>3571</v>
      </c>
      <c r="E2708" s="14" t="s">
        <v>3571</v>
      </c>
      <c r="F2708" s="4" t="s">
        <v>1529</v>
      </c>
      <c r="H2708" s="6"/>
    </row>
    <row r="2709" spans="1:8" x14ac:dyDescent="0.2">
      <c r="A2709" s="14" t="s">
        <v>3353</v>
      </c>
      <c r="B2709" s="14" t="s">
        <v>4748</v>
      </c>
      <c r="C2709" s="14" t="s">
        <v>1369</v>
      </c>
      <c r="D2709" s="11" t="s">
        <v>3571</v>
      </c>
      <c r="E2709" s="14" t="s">
        <v>3571</v>
      </c>
      <c r="F2709" s="4" t="s">
        <v>1529</v>
      </c>
      <c r="H2709" s="6"/>
    </row>
    <row r="2710" spans="1:8" x14ac:dyDescent="0.2">
      <c r="A2710" s="14" t="s">
        <v>3355</v>
      </c>
      <c r="B2710" s="14" t="s">
        <v>4748</v>
      </c>
      <c r="C2710" s="14" t="s">
        <v>2459</v>
      </c>
      <c r="D2710" s="11" t="s">
        <v>25</v>
      </c>
      <c r="E2710" s="14" t="s">
        <v>25</v>
      </c>
      <c r="F2710" s="4" t="s">
        <v>1529</v>
      </c>
      <c r="H2710" s="6"/>
    </row>
    <row r="2711" spans="1:8" x14ac:dyDescent="0.2">
      <c r="A2711" s="14" t="s">
        <v>3356</v>
      </c>
      <c r="B2711" s="14" t="s">
        <v>1522</v>
      </c>
      <c r="C2711" s="14" t="s">
        <v>2461</v>
      </c>
      <c r="D2711" s="11" t="s">
        <v>27</v>
      </c>
      <c r="E2711" s="14" t="s">
        <v>27</v>
      </c>
      <c r="F2711" s="4" t="s">
        <v>1529</v>
      </c>
      <c r="H2711" s="6"/>
    </row>
    <row r="2712" spans="1:8" x14ac:dyDescent="0.2">
      <c r="A2712" s="14" t="s">
        <v>3365</v>
      </c>
      <c r="B2712" s="14" t="s">
        <v>1522</v>
      </c>
      <c r="C2712" s="14" t="s">
        <v>1034</v>
      </c>
      <c r="D2712" s="11" t="s">
        <v>3864</v>
      </c>
      <c r="E2712" s="14" t="s">
        <v>4678</v>
      </c>
      <c r="F2712" s="4" t="s">
        <v>1529</v>
      </c>
      <c r="H2712" s="6"/>
    </row>
    <row r="2713" spans="1:8" x14ac:dyDescent="0.2">
      <c r="A2713" s="14" t="s">
        <v>2987</v>
      </c>
      <c r="B2713" s="14" t="s">
        <v>1522</v>
      </c>
      <c r="C2713" s="14" t="s">
        <v>1035</v>
      </c>
      <c r="D2713" s="11" t="s">
        <v>3669</v>
      </c>
      <c r="E2713" s="14" t="s">
        <v>4680</v>
      </c>
      <c r="F2713" s="4" t="s">
        <v>1529</v>
      </c>
      <c r="H2713" s="6"/>
    </row>
    <row r="2714" spans="1:8" x14ac:dyDescent="0.2">
      <c r="A2714" s="14" t="s">
        <v>3366</v>
      </c>
      <c r="B2714" s="14" t="s">
        <v>1522</v>
      </c>
      <c r="C2714" s="14" t="s">
        <v>1036</v>
      </c>
      <c r="D2714" s="11" t="s">
        <v>3865</v>
      </c>
      <c r="E2714" s="14" t="s">
        <v>4683</v>
      </c>
      <c r="F2714" s="4" t="s">
        <v>1529</v>
      </c>
      <c r="H2714" s="6"/>
    </row>
    <row r="2715" spans="1:8" x14ac:dyDescent="0.2">
      <c r="A2715" s="14" t="s">
        <v>3364</v>
      </c>
      <c r="B2715" s="14" t="s">
        <v>1522</v>
      </c>
      <c r="C2715" s="14" t="s">
        <v>1037</v>
      </c>
      <c r="D2715" s="11" t="s">
        <v>3863</v>
      </c>
      <c r="E2715" s="14" t="s">
        <v>4686</v>
      </c>
      <c r="F2715" s="4" t="s">
        <v>1529</v>
      </c>
      <c r="H2715" s="6"/>
    </row>
    <row r="2716" spans="1:8" x14ac:dyDescent="0.2">
      <c r="A2716" s="14" t="s">
        <v>3367</v>
      </c>
      <c r="B2716" s="14" t="s">
        <v>1522</v>
      </c>
      <c r="C2716" s="14" t="s">
        <v>1038</v>
      </c>
      <c r="D2716" s="11" t="s">
        <v>3866</v>
      </c>
      <c r="E2716" s="14" t="s">
        <v>4689</v>
      </c>
      <c r="F2716" s="4" t="s">
        <v>1529</v>
      </c>
      <c r="H2716" s="6"/>
    </row>
    <row r="2717" spans="1:8" x14ac:dyDescent="0.2">
      <c r="A2717" s="14" t="s">
        <v>3368</v>
      </c>
      <c r="B2717" s="14" t="s">
        <v>1522</v>
      </c>
      <c r="C2717" s="14" t="s">
        <v>1039</v>
      </c>
      <c r="D2717" s="11" t="s">
        <v>3867</v>
      </c>
      <c r="E2717" s="14" t="s">
        <v>4690</v>
      </c>
      <c r="F2717" s="4" t="s">
        <v>1529</v>
      </c>
      <c r="H2717" s="6"/>
    </row>
    <row r="2718" spans="1:8" x14ac:dyDescent="0.2">
      <c r="A2718" s="14" t="s">
        <v>3369</v>
      </c>
      <c r="B2718" s="14" t="s">
        <v>1522</v>
      </c>
      <c r="C2718" s="14" t="s">
        <v>1041</v>
      </c>
      <c r="D2718" s="11" t="s">
        <v>3868</v>
      </c>
      <c r="E2718" s="14" t="s">
        <v>4692</v>
      </c>
      <c r="F2718" s="4" t="s">
        <v>1529</v>
      </c>
      <c r="H2718" s="6"/>
    </row>
    <row r="2719" spans="1:8" x14ac:dyDescent="0.2">
      <c r="A2719" s="14" t="s">
        <v>3370</v>
      </c>
      <c r="B2719" s="14" t="s">
        <v>1522</v>
      </c>
      <c r="C2719" s="14" t="s">
        <v>1042</v>
      </c>
      <c r="D2719" s="11" t="s">
        <v>3869</v>
      </c>
      <c r="E2719" s="14" t="s">
        <v>4693</v>
      </c>
      <c r="F2719" s="4" t="s">
        <v>1529</v>
      </c>
      <c r="H2719" s="6"/>
    </row>
    <row r="2720" spans="1:8" x14ac:dyDescent="0.2">
      <c r="A2720" s="14" t="s">
        <v>3371</v>
      </c>
      <c r="B2720" s="14" t="s">
        <v>1522</v>
      </c>
      <c r="C2720" s="14" t="s">
        <v>1043</v>
      </c>
      <c r="D2720" s="11" t="s">
        <v>3870</v>
      </c>
      <c r="E2720" s="14" t="s">
        <v>4694</v>
      </c>
      <c r="F2720" s="4" t="s">
        <v>1529</v>
      </c>
      <c r="H2720" s="6"/>
    </row>
    <row r="2721" spans="1:8" x14ac:dyDescent="0.2">
      <c r="A2721" s="14" t="s">
        <v>3365</v>
      </c>
      <c r="B2721" s="14" t="s">
        <v>1522</v>
      </c>
      <c r="C2721" s="14" t="s">
        <v>1029</v>
      </c>
      <c r="D2721" s="11" t="s">
        <v>3864</v>
      </c>
      <c r="E2721" s="14" t="s">
        <v>4695</v>
      </c>
      <c r="F2721" s="4" t="s">
        <v>1529</v>
      </c>
      <c r="H2721" s="6"/>
    </row>
    <row r="2722" spans="1:8" x14ac:dyDescent="0.2">
      <c r="A2722" s="14" t="s">
        <v>2987</v>
      </c>
      <c r="B2722" s="14" t="s">
        <v>1522</v>
      </c>
      <c r="C2722" s="14" t="s">
        <v>1030</v>
      </c>
      <c r="D2722" s="11" t="s">
        <v>3669</v>
      </c>
      <c r="E2722" s="14" t="s">
        <v>4696</v>
      </c>
      <c r="F2722" s="4" t="s">
        <v>1529</v>
      </c>
      <c r="H2722" s="6"/>
    </row>
    <row r="2723" spans="1:8" x14ac:dyDescent="0.2">
      <c r="A2723" s="14" t="s">
        <v>3364</v>
      </c>
      <c r="B2723" s="14" t="s">
        <v>1522</v>
      </c>
      <c r="C2723" s="14" t="s">
        <v>1031</v>
      </c>
      <c r="D2723" s="11" t="s">
        <v>3863</v>
      </c>
      <c r="E2723" s="14" t="s">
        <v>4697</v>
      </c>
      <c r="F2723" s="4" t="s">
        <v>1529</v>
      </c>
      <c r="H2723" s="6"/>
    </row>
    <row r="2724" spans="1:8" x14ac:dyDescent="0.2">
      <c r="A2724" s="14" t="s">
        <v>3364</v>
      </c>
      <c r="B2724" s="14" t="s">
        <v>1522</v>
      </c>
      <c r="C2724" s="14" t="s">
        <v>2465</v>
      </c>
      <c r="D2724" s="11" t="s">
        <v>3863</v>
      </c>
      <c r="E2724" s="14" t="s">
        <v>4673</v>
      </c>
      <c r="F2724" s="4" t="s">
        <v>1529</v>
      </c>
      <c r="H2724" s="6"/>
    </row>
    <row r="2725" spans="1:8" x14ac:dyDescent="0.2">
      <c r="A2725" s="14" t="s">
        <v>4763</v>
      </c>
      <c r="B2725" s="14" t="s">
        <v>3612</v>
      </c>
      <c r="C2725" s="14" t="s">
        <v>2915</v>
      </c>
      <c r="D2725" s="11" t="s">
        <v>3</v>
      </c>
      <c r="E2725" s="11" t="s">
        <v>3</v>
      </c>
      <c r="F2725" s="4" t="s">
        <v>1524</v>
      </c>
      <c r="H2725" s="6"/>
    </row>
    <row r="2726" spans="1:8" x14ac:dyDescent="0.2">
      <c r="A2726" s="14" t="s">
        <v>4764</v>
      </c>
      <c r="B2726" s="14" t="s">
        <v>3612</v>
      </c>
      <c r="C2726" s="14" t="s">
        <v>2916</v>
      </c>
      <c r="D2726" s="11" t="s">
        <v>4</v>
      </c>
      <c r="E2726" s="11" t="s">
        <v>4</v>
      </c>
      <c r="F2726" s="4" t="s">
        <v>1524</v>
      </c>
      <c r="H2726" s="6"/>
    </row>
    <row r="2727" spans="1:8" x14ac:dyDescent="0.2">
      <c r="A2727" s="14" t="s">
        <v>4765</v>
      </c>
      <c r="B2727" s="14" t="s">
        <v>3612</v>
      </c>
      <c r="C2727" s="14" t="s">
        <v>2917</v>
      </c>
      <c r="D2727" s="11" t="s">
        <v>4767</v>
      </c>
      <c r="E2727" s="11" t="s">
        <v>7</v>
      </c>
      <c r="F2727" s="4" t="s">
        <v>1524</v>
      </c>
      <c r="H2727" s="6"/>
    </row>
    <row r="2728" spans="1:8" x14ac:dyDescent="0.2">
      <c r="A2728" s="14" t="s">
        <v>4766</v>
      </c>
      <c r="B2728" s="14" t="s">
        <v>3612</v>
      </c>
      <c r="C2728" s="14" t="s">
        <v>2918</v>
      </c>
      <c r="D2728" s="11" t="s">
        <v>8</v>
      </c>
      <c r="E2728" s="11" t="s">
        <v>8</v>
      </c>
      <c r="F2728" s="4" t="s">
        <v>1524</v>
      </c>
      <c r="H2728" s="6"/>
    </row>
    <row r="2729" spans="1:8" x14ac:dyDescent="0.2">
      <c r="E2729" s="14"/>
      <c r="H2729" s="6"/>
    </row>
    <row r="2730" spans="1:8" x14ac:dyDescent="0.2">
      <c r="D2730" s="11"/>
      <c r="E2730" s="14"/>
      <c r="H2730" s="6"/>
    </row>
    <row r="2731" spans="1:8" x14ac:dyDescent="0.2">
      <c r="D2731" s="11"/>
      <c r="E2731" s="14"/>
      <c r="H2731" s="6"/>
    </row>
    <row r="2732" spans="1:8" x14ac:dyDescent="0.2">
      <c r="D2732" s="11"/>
      <c r="E2732" s="14"/>
      <c r="H2732" s="6"/>
    </row>
    <row r="2733" spans="1:8" x14ac:dyDescent="0.2">
      <c r="D2733" s="11"/>
      <c r="E2733" s="14"/>
      <c r="H2733" s="6"/>
    </row>
    <row r="2734" spans="1:8" x14ac:dyDescent="0.2">
      <c r="D2734" s="11"/>
      <c r="E2734" s="14"/>
      <c r="H2734" s="6"/>
    </row>
    <row r="2735" spans="1:8" x14ac:dyDescent="0.2">
      <c r="D2735" s="11"/>
      <c r="E2735" s="14"/>
      <c r="H2735" s="6"/>
    </row>
    <row r="2736" spans="1:8" x14ac:dyDescent="0.2">
      <c r="D2736" s="11"/>
      <c r="E2736" s="14"/>
      <c r="H2736" s="6"/>
    </row>
    <row r="2737" spans="4:8" x14ac:dyDescent="0.2">
      <c r="D2737" s="11"/>
      <c r="E2737" s="14"/>
      <c r="H2737" s="6"/>
    </row>
    <row r="2738" spans="4:8" x14ac:dyDescent="0.2">
      <c r="D2738" s="11"/>
      <c r="E2738" s="14"/>
      <c r="H2738" s="6"/>
    </row>
    <row r="2739" spans="4:8" x14ac:dyDescent="0.2">
      <c r="D2739" s="11"/>
      <c r="E2739" s="14"/>
      <c r="H2739" s="6"/>
    </row>
    <row r="2740" spans="4:8" x14ac:dyDescent="0.2">
      <c r="D2740" s="11"/>
      <c r="E2740" s="14"/>
      <c r="H2740" s="6"/>
    </row>
    <row r="2741" spans="4:8" x14ac:dyDescent="0.2">
      <c r="D2741" s="11"/>
      <c r="E2741" s="14"/>
      <c r="H2741" s="6"/>
    </row>
    <row r="2742" spans="4:8" x14ac:dyDescent="0.2">
      <c r="D2742" s="11"/>
      <c r="E2742" s="14"/>
      <c r="H2742" s="6"/>
    </row>
    <row r="2743" spans="4:8" x14ac:dyDescent="0.2">
      <c r="D2743" s="11"/>
      <c r="E2743" s="14"/>
      <c r="H2743" s="6"/>
    </row>
    <row r="2744" spans="4:8" x14ac:dyDescent="0.2">
      <c r="D2744" s="11"/>
      <c r="E2744" s="14"/>
      <c r="H2744" s="6"/>
    </row>
    <row r="2745" spans="4:8" x14ac:dyDescent="0.2">
      <c r="D2745" s="11"/>
      <c r="E2745" s="14"/>
      <c r="H2745" s="6"/>
    </row>
    <row r="2746" spans="4:8" x14ac:dyDescent="0.2">
      <c r="D2746" s="11"/>
      <c r="E2746" s="14"/>
      <c r="H2746" s="6"/>
    </row>
    <row r="2747" spans="4:8" x14ac:dyDescent="0.2">
      <c r="D2747" s="11"/>
      <c r="E2747" s="14"/>
      <c r="H2747" s="6"/>
    </row>
    <row r="2748" spans="4:8" x14ac:dyDescent="0.2">
      <c r="D2748" s="11"/>
      <c r="E2748" s="14"/>
      <c r="H2748" s="6"/>
    </row>
    <row r="2749" spans="4:8" x14ac:dyDescent="0.2">
      <c r="D2749" s="11"/>
      <c r="E2749" s="14"/>
      <c r="H2749" s="6"/>
    </row>
    <row r="2750" spans="4:8" x14ac:dyDescent="0.2">
      <c r="D2750" s="11"/>
      <c r="E2750" s="14"/>
      <c r="H2750" s="6"/>
    </row>
    <row r="2751" spans="4:8" x14ac:dyDescent="0.2">
      <c r="D2751" s="11"/>
      <c r="E2751" s="14"/>
      <c r="H2751" s="6"/>
    </row>
    <row r="2752" spans="4:8" x14ac:dyDescent="0.2">
      <c r="D2752" s="11"/>
      <c r="E2752" s="14"/>
      <c r="H2752" s="6"/>
    </row>
    <row r="2753" spans="4:8" x14ac:dyDescent="0.2">
      <c r="D2753" s="11"/>
      <c r="E2753" s="14"/>
      <c r="H2753" s="6"/>
    </row>
    <row r="2754" spans="4:8" x14ac:dyDescent="0.2">
      <c r="D2754" s="11"/>
      <c r="E2754" s="14"/>
      <c r="H2754" s="6"/>
    </row>
    <row r="2755" spans="4:8" x14ac:dyDescent="0.2">
      <c r="D2755" s="11"/>
      <c r="E2755" s="14"/>
      <c r="H2755" s="6"/>
    </row>
    <row r="2756" spans="4:8" x14ac:dyDescent="0.2">
      <c r="D2756" s="11"/>
      <c r="E2756" s="14"/>
      <c r="H2756" s="6"/>
    </row>
    <row r="2757" spans="4:8" x14ac:dyDescent="0.2">
      <c r="D2757" s="11"/>
      <c r="E2757" s="14"/>
      <c r="H2757" s="6"/>
    </row>
    <row r="2758" spans="4:8" x14ac:dyDescent="0.2">
      <c r="D2758" s="11"/>
      <c r="E2758" s="14"/>
      <c r="H2758" s="6"/>
    </row>
    <row r="2759" spans="4:8" x14ac:dyDescent="0.2">
      <c r="D2759" s="11"/>
      <c r="E2759" s="14"/>
      <c r="H2759" s="6"/>
    </row>
    <row r="2760" spans="4:8" x14ac:dyDescent="0.2">
      <c r="D2760" s="11"/>
      <c r="E2760" s="14"/>
      <c r="H2760" s="6"/>
    </row>
    <row r="2761" spans="4:8" x14ac:dyDescent="0.2">
      <c r="D2761" s="11"/>
      <c r="E2761" s="14"/>
      <c r="H2761" s="6"/>
    </row>
    <row r="2762" spans="4:8" x14ac:dyDescent="0.2">
      <c r="D2762" s="11"/>
      <c r="E2762" s="14"/>
      <c r="H2762" s="6"/>
    </row>
    <row r="2763" spans="4:8" x14ac:dyDescent="0.2">
      <c r="D2763" s="11"/>
      <c r="E2763" s="14"/>
      <c r="H2763" s="6"/>
    </row>
    <row r="2764" spans="4:8" x14ac:dyDescent="0.2">
      <c r="D2764" s="11"/>
      <c r="E2764" s="14"/>
      <c r="H2764" s="6"/>
    </row>
    <row r="2765" spans="4:8" x14ac:dyDescent="0.2">
      <c r="D2765" s="11"/>
      <c r="E2765" s="14"/>
      <c r="H2765" s="6"/>
    </row>
    <row r="2766" spans="4:8" x14ac:dyDescent="0.2">
      <c r="D2766" s="11"/>
      <c r="E2766" s="14"/>
      <c r="H2766" s="6"/>
    </row>
    <row r="2767" spans="4:8" x14ac:dyDescent="0.2">
      <c r="D2767" s="11"/>
      <c r="E2767" s="14"/>
      <c r="H2767" s="6"/>
    </row>
    <row r="2768" spans="4:8" x14ac:dyDescent="0.2">
      <c r="D2768" s="11"/>
      <c r="E2768" s="14"/>
      <c r="H2768" s="6"/>
    </row>
    <row r="2769" spans="4:8" x14ac:dyDescent="0.2">
      <c r="D2769" s="11"/>
      <c r="E2769" s="14"/>
      <c r="H2769" s="6"/>
    </row>
    <row r="2770" spans="4:8" x14ac:dyDescent="0.2">
      <c r="D2770" s="11"/>
      <c r="E2770" s="14"/>
      <c r="H2770" s="6"/>
    </row>
    <row r="2771" spans="4:8" x14ac:dyDescent="0.2">
      <c r="D2771" s="11"/>
      <c r="E2771" s="14"/>
      <c r="H2771" s="6"/>
    </row>
    <row r="2772" spans="4:8" x14ac:dyDescent="0.2">
      <c r="D2772" s="11"/>
      <c r="E2772" s="14"/>
      <c r="H2772" s="6"/>
    </row>
    <row r="2773" spans="4:8" x14ac:dyDescent="0.2">
      <c r="D2773" s="11"/>
      <c r="E2773" s="14"/>
      <c r="H2773" s="6"/>
    </row>
    <row r="2774" spans="4:8" x14ac:dyDescent="0.2">
      <c r="D2774" s="11"/>
      <c r="E2774" s="14"/>
      <c r="H2774" s="6"/>
    </row>
    <row r="2775" spans="4:8" x14ac:dyDescent="0.2">
      <c r="D2775" s="11"/>
      <c r="E2775" s="14"/>
      <c r="H2775" s="6"/>
    </row>
    <row r="2776" spans="4:8" x14ac:dyDescent="0.2">
      <c r="D2776" s="11"/>
      <c r="E2776" s="14"/>
      <c r="H2776" s="6"/>
    </row>
    <row r="2777" spans="4:8" x14ac:dyDescent="0.2">
      <c r="D2777" s="11"/>
      <c r="E2777" s="14"/>
      <c r="H2777" s="6"/>
    </row>
    <row r="2778" spans="4:8" x14ac:dyDescent="0.2">
      <c r="D2778" s="11"/>
      <c r="E2778" s="14"/>
      <c r="H2778" s="6"/>
    </row>
    <row r="2779" spans="4:8" x14ac:dyDescent="0.2">
      <c r="D2779" s="11"/>
      <c r="E2779" s="14"/>
      <c r="H2779" s="6"/>
    </row>
    <row r="2780" spans="4:8" x14ac:dyDescent="0.2">
      <c r="D2780" s="11"/>
      <c r="E2780" s="14"/>
      <c r="H2780" s="6"/>
    </row>
    <row r="2781" spans="4:8" x14ac:dyDescent="0.2">
      <c r="D2781" s="11"/>
      <c r="E2781" s="14"/>
      <c r="H2781" s="6"/>
    </row>
    <row r="2782" spans="4:8" x14ac:dyDescent="0.2">
      <c r="D2782" s="11"/>
      <c r="E2782" s="14"/>
      <c r="H2782" s="6"/>
    </row>
    <row r="2783" spans="4:8" x14ac:dyDescent="0.2">
      <c r="D2783" s="11"/>
      <c r="E2783" s="14"/>
      <c r="H2783" s="6"/>
    </row>
    <row r="2784" spans="4:8" x14ac:dyDescent="0.2">
      <c r="D2784" s="11"/>
      <c r="E2784" s="14"/>
      <c r="H2784" s="6"/>
    </row>
    <row r="2785" spans="4:8" x14ac:dyDescent="0.2">
      <c r="D2785" s="11"/>
      <c r="E2785" s="14"/>
      <c r="H2785" s="6"/>
    </row>
    <row r="2786" spans="4:8" x14ac:dyDescent="0.2">
      <c r="D2786" s="11"/>
      <c r="E2786" s="14"/>
      <c r="H2786" s="6"/>
    </row>
    <row r="2787" spans="4:8" x14ac:dyDescent="0.2">
      <c r="D2787" s="11"/>
      <c r="E2787" s="14"/>
      <c r="H2787" s="6"/>
    </row>
    <row r="2788" spans="4:8" x14ac:dyDescent="0.2">
      <c r="E2788" s="11"/>
      <c r="H2788" s="6"/>
    </row>
    <row r="2789" spans="4:8" x14ac:dyDescent="0.2">
      <c r="E2789" s="11"/>
      <c r="H2789" s="6"/>
    </row>
    <row r="2790" spans="4:8" x14ac:dyDescent="0.2">
      <c r="E2790" s="11"/>
      <c r="H2790" s="6"/>
    </row>
    <row r="2791" spans="4:8" x14ac:dyDescent="0.2">
      <c r="E2791" s="11"/>
      <c r="H2791" s="6"/>
    </row>
    <row r="2792" spans="4:8" x14ac:dyDescent="0.2">
      <c r="E2792" s="11"/>
      <c r="H2792" s="6"/>
    </row>
    <row r="2793" spans="4:8" x14ac:dyDescent="0.2">
      <c r="E2793" s="11"/>
      <c r="H2793" s="6"/>
    </row>
    <row r="2794" spans="4:8" x14ac:dyDescent="0.2">
      <c r="E2794" s="11"/>
      <c r="H2794" s="6"/>
    </row>
    <row r="2795" spans="4:8" x14ac:dyDescent="0.2">
      <c r="E2795" s="11"/>
      <c r="H2795" s="6"/>
    </row>
    <row r="2796" spans="4:8" x14ac:dyDescent="0.2">
      <c r="E2796" s="11"/>
      <c r="H2796" s="6"/>
    </row>
    <row r="2797" spans="4:8" x14ac:dyDescent="0.2">
      <c r="E2797" s="11"/>
      <c r="H2797" s="6"/>
    </row>
    <row r="2798" spans="4:8" x14ac:dyDescent="0.2">
      <c r="E2798" s="11"/>
      <c r="H2798" s="6"/>
    </row>
    <row r="2799" spans="4:8" x14ac:dyDescent="0.2">
      <c r="E2799" s="11"/>
      <c r="H2799" s="6"/>
    </row>
    <row r="2800" spans="4:8" x14ac:dyDescent="0.2">
      <c r="E2800" s="11"/>
      <c r="H2800" s="6"/>
    </row>
    <row r="2801" spans="5:8" x14ac:dyDescent="0.2">
      <c r="E2801" s="11"/>
      <c r="H2801" s="6"/>
    </row>
    <row r="2802" spans="5:8" x14ac:dyDescent="0.2">
      <c r="E2802" s="11"/>
      <c r="H2802" s="6"/>
    </row>
    <row r="2803" spans="5:8" x14ac:dyDescent="0.2">
      <c r="E2803" s="11"/>
      <c r="H2803" s="6"/>
    </row>
    <row r="2804" spans="5:8" x14ac:dyDescent="0.2">
      <c r="E2804" s="11"/>
      <c r="H2804" s="6"/>
    </row>
    <row r="2805" spans="5:8" x14ac:dyDescent="0.2">
      <c r="E2805" s="11"/>
      <c r="H2805" s="6"/>
    </row>
    <row r="2806" spans="5:8" x14ac:dyDescent="0.2">
      <c r="E2806" s="11"/>
      <c r="H2806" s="6"/>
    </row>
    <row r="2807" spans="5:8" x14ac:dyDescent="0.2">
      <c r="E2807" s="11"/>
      <c r="H2807" s="6"/>
    </row>
    <row r="2808" spans="5:8" x14ac:dyDescent="0.2">
      <c r="E2808" s="11"/>
      <c r="H2808" s="6"/>
    </row>
    <row r="2809" spans="5:8" x14ac:dyDescent="0.2">
      <c r="E2809" s="11"/>
      <c r="H2809" s="6"/>
    </row>
    <row r="2810" spans="5:8" x14ac:dyDescent="0.2">
      <c r="E2810" s="11"/>
      <c r="H2810" s="6"/>
    </row>
    <row r="2811" spans="5:8" x14ac:dyDescent="0.2">
      <c r="E2811" s="11"/>
      <c r="H2811" s="6"/>
    </row>
    <row r="2812" spans="5:8" x14ac:dyDescent="0.2">
      <c r="E2812" s="11"/>
      <c r="H2812" s="6"/>
    </row>
    <row r="2813" spans="5:8" x14ac:dyDescent="0.2">
      <c r="E2813" s="11"/>
      <c r="H2813" s="6"/>
    </row>
    <row r="2814" spans="5:8" x14ac:dyDescent="0.2">
      <c r="E2814" s="11"/>
      <c r="H2814" s="6"/>
    </row>
    <row r="2815" spans="5:8" x14ac:dyDescent="0.2">
      <c r="E2815" s="11"/>
      <c r="H2815" s="6"/>
    </row>
    <row r="2816" spans="5:8" x14ac:dyDescent="0.2">
      <c r="E2816" s="11"/>
      <c r="H2816" s="6"/>
    </row>
    <row r="2817" spans="5:8" x14ac:dyDescent="0.2">
      <c r="E2817" s="11"/>
      <c r="H2817" s="6"/>
    </row>
    <row r="2818" spans="5:8" x14ac:dyDescent="0.2">
      <c r="E2818" s="11"/>
      <c r="H2818" s="6"/>
    </row>
    <row r="2819" spans="5:8" x14ac:dyDescent="0.2">
      <c r="E2819" s="11"/>
      <c r="H2819" s="6"/>
    </row>
    <row r="2820" spans="5:8" x14ac:dyDescent="0.2">
      <c r="E2820" s="11"/>
      <c r="H2820" s="6"/>
    </row>
    <row r="2821" spans="5:8" x14ac:dyDescent="0.2">
      <c r="E2821" s="11"/>
      <c r="H2821" s="6"/>
    </row>
    <row r="2822" spans="5:8" x14ac:dyDescent="0.2">
      <c r="E2822" s="11"/>
      <c r="H2822" s="6"/>
    </row>
    <row r="2823" spans="5:8" x14ac:dyDescent="0.2">
      <c r="E2823" s="11"/>
      <c r="H2823" s="6"/>
    </row>
    <row r="2824" spans="5:8" x14ac:dyDescent="0.2">
      <c r="E2824" s="11"/>
      <c r="H2824" s="6"/>
    </row>
    <row r="2825" spans="5:8" x14ac:dyDescent="0.2">
      <c r="E2825" s="11"/>
      <c r="H2825" s="6"/>
    </row>
    <row r="2826" spans="5:8" x14ac:dyDescent="0.2">
      <c r="E2826" s="11"/>
      <c r="H2826" s="6"/>
    </row>
    <row r="2827" spans="5:8" x14ac:dyDescent="0.2">
      <c r="E2827" s="11"/>
      <c r="H2827" s="6"/>
    </row>
    <row r="2828" spans="5:8" x14ac:dyDescent="0.2">
      <c r="E2828" s="11"/>
      <c r="H2828" s="6"/>
    </row>
    <row r="2829" spans="5:8" x14ac:dyDescent="0.2">
      <c r="E2829" s="11"/>
      <c r="H2829" s="6"/>
    </row>
    <row r="2830" spans="5:8" x14ac:dyDescent="0.2">
      <c r="E2830" s="11"/>
      <c r="H2830" s="6"/>
    </row>
    <row r="2831" spans="5:8" x14ac:dyDescent="0.2">
      <c r="E2831" s="11"/>
      <c r="H2831" s="6"/>
    </row>
    <row r="2832" spans="5:8" x14ac:dyDescent="0.2">
      <c r="E2832" s="11"/>
      <c r="H2832" s="6"/>
    </row>
    <row r="2833" spans="5:8" x14ac:dyDescent="0.2">
      <c r="E2833" s="11"/>
      <c r="H2833" s="6"/>
    </row>
    <row r="2834" spans="5:8" x14ac:dyDescent="0.2">
      <c r="E2834" s="11"/>
      <c r="H2834" s="6"/>
    </row>
    <row r="2835" spans="5:8" x14ac:dyDescent="0.2">
      <c r="E2835" s="11"/>
      <c r="H2835" s="6"/>
    </row>
    <row r="2836" spans="5:8" x14ac:dyDescent="0.2">
      <c r="E2836" s="11"/>
      <c r="H2836" s="6"/>
    </row>
    <row r="2837" spans="5:8" x14ac:dyDescent="0.2">
      <c r="E2837" s="11"/>
      <c r="H2837" s="6"/>
    </row>
    <row r="2838" spans="5:8" x14ac:dyDescent="0.2">
      <c r="E2838" s="11"/>
      <c r="H2838" s="6"/>
    </row>
    <row r="2839" spans="5:8" x14ac:dyDescent="0.2">
      <c r="E2839" s="11"/>
      <c r="H2839" s="6"/>
    </row>
    <row r="2840" spans="5:8" x14ac:dyDescent="0.2">
      <c r="E2840" s="11"/>
      <c r="H2840" s="6"/>
    </row>
    <row r="2841" spans="5:8" x14ac:dyDescent="0.2">
      <c r="E2841" s="11"/>
      <c r="H2841" s="6"/>
    </row>
    <row r="2842" spans="5:8" x14ac:dyDescent="0.2">
      <c r="E2842" s="11"/>
      <c r="H2842" s="6"/>
    </row>
    <row r="2843" spans="5:8" x14ac:dyDescent="0.2">
      <c r="E2843" s="11"/>
      <c r="H2843" s="6"/>
    </row>
    <row r="2844" spans="5:8" x14ac:dyDescent="0.2">
      <c r="E2844" s="11"/>
      <c r="H2844" s="6"/>
    </row>
    <row r="2845" spans="5:8" x14ac:dyDescent="0.2">
      <c r="E2845" s="11"/>
      <c r="H2845" s="6"/>
    </row>
    <row r="2846" spans="5:8" x14ac:dyDescent="0.2">
      <c r="E2846" s="11"/>
      <c r="H2846" s="6"/>
    </row>
    <row r="2847" spans="5:8" x14ac:dyDescent="0.2">
      <c r="E2847" s="11"/>
      <c r="H2847" s="6"/>
    </row>
    <row r="2848" spans="5:8" x14ac:dyDescent="0.2">
      <c r="E2848" s="11"/>
      <c r="H2848" s="6"/>
    </row>
    <row r="2849" spans="5:8" x14ac:dyDescent="0.2">
      <c r="E2849" s="11"/>
      <c r="H2849" s="6"/>
    </row>
    <row r="2850" spans="5:8" x14ac:dyDescent="0.2">
      <c r="E2850" s="11"/>
      <c r="H2850" s="6"/>
    </row>
    <row r="2851" spans="5:8" x14ac:dyDescent="0.2">
      <c r="E2851" s="11"/>
      <c r="H2851" s="6"/>
    </row>
    <row r="2852" spans="5:8" x14ac:dyDescent="0.2">
      <c r="E2852" s="11"/>
      <c r="H2852" s="6"/>
    </row>
    <row r="2853" spans="5:8" x14ac:dyDescent="0.2">
      <c r="E2853" s="11"/>
      <c r="H2853" s="6"/>
    </row>
    <row r="2854" spans="5:8" x14ac:dyDescent="0.2">
      <c r="E2854" s="11"/>
      <c r="H2854" s="6"/>
    </row>
    <row r="2855" spans="5:8" x14ac:dyDescent="0.2">
      <c r="E2855" s="11"/>
      <c r="H2855" s="6"/>
    </row>
    <row r="2856" spans="5:8" x14ac:dyDescent="0.2">
      <c r="E2856" s="11"/>
      <c r="H2856" s="6"/>
    </row>
    <row r="2857" spans="5:8" x14ac:dyDescent="0.2">
      <c r="E2857" s="11"/>
      <c r="H2857" s="6"/>
    </row>
    <row r="2858" spans="5:8" x14ac:dyDescent="0.2">
      <c r="E2858" s="11"/>
      <c r="H2858" s="6"/>
    </row>
    <row r="2859" spans="5:8" x14ac:dyDescent="0.2">
      <c r="E2859" s="11"/>
      <c r="H2859" s="6"/>
    </row>
    <row r="2860" spans="5:8" x14ac:dyDescent="0.2">
      <c r="E2860" s="11"/>
      <c r="H2860" s="6"/>
    </row>
    <row r="2861" spans="5:8" x14ac:dyDescent="0.2">
      <c r="E2861" s="11"/>
      <c r="H2861" s="6"/>
    </row>
    <row r="2862" spans="5:8" x14ac:dyDescent="0.2">
      <c r="E2862" s="11"/>
      <c r="H2862" s="6"/>
    </row>
    <row r="2863" spans="5:8" x14ac:dyDescent="0.2">
      <c r="E2863" s="11"/>
      <c r="H2863" s="6"/>
    </row>
    <row r="2864" spans="5:8" x14ac:dyDescent="0.2">
      <c r="E2864" s="11"/>
      <c r="H2864" s="6"/>
    </row>
    <row r="2865" spans="5:8" x14ac:dyDescent="0.2">
      <c r="E2865" s="11"/>
      <c r="H2865" s="6"/>
    </row>
    <row r="2866" spans="5:8" x14ac:dyDescent="0.2">
      <c r="E2866" s="11"/>
      <c r="H2866" s="6"/>
    </row>
    <row r="2867" spans="5:8" x14ac:dyDescent="0.2">
      <c r="E2867" s="11"/>
      <c r="H2867" s="6"/>
    </row>
    <row r="2868" spans="5:8" x14ac:dyDescent="0.2">
      <c r="E2868" s="11"/>
      <c r="H2868" s="6"/>
    </row>
    <row r="2869" spans="5:8" x14ac:dyDescent="0.2">
      <c r="E2869" s="11"/>
      <c r="H2869" s="6"/>
    </row>
    <row r="2870" spans="5:8" x14ac:dyDescent="0.2">
      <c r="E2870" s="11"/>
      <c r="H2870" s="6"/>
    </row>
    <row r="2871" spans="5:8" x14ac:dyDescent="0.2">
      <c r="E2871" s="11"/>
      <c r="H2871" s="6"/>
    </row>
    <row r="2872" spans="5:8" x14ac:dyDescent="0.2">
      <c r="E2872" s="11"/>
      <c r="H2872" s="6"/>
    </row>
    <row r="2873" spans="5:8" x14ac:dyDescent="0.2">
      <c r="E2873" s="11"/>
      <c r="H2873" s="6"/>
    </row>
    <row r="2874" spans="5:8" x14ac:dyDescent="0.2">
      <c r="E2874" s="11"/>
      <c r="H2874" s="6"/>
    </row>
    <row r="2875" spans="5:8" x14ac:dyDescent="0.2">
      <c r="E2875" s="11"/>
      <c r="H2875" s="6"/>
    </row>
    <row r="2876" spans="5:8" x14ac:dyDescent="0.2">
      <c r="E2876" s="11"/>
      <c r="H2876" s="6"/>
    </row>
    <row r="2877" spans="5:8" x14ac:dyDescent="0.2">
      <c r="E2877" s="11"/>
      <c r="H2877" s="6"/>
    </row>
    <row r="2878" spans="5:8" x14ac:dyDescent="0.2">
      <c r="E2878" s="11"/>
      <c r="H2878" s="6"/>
    </row>
    <row r="2879" spans="5:8" x14ac:dyDescent="0.2">
      <c r="E2879" s="11"/>
      <c r="H2879" s="6"/>
    </row>
    <row r="2880" spans="5:8" x14ac:dyDescent="0.2">
      <c r="E2880" s="11"/>
      <c r="H2880" s="6"/>
    </row>
    <row r="2881" spans="5:8" x14ac:dyDescent="0.2">
      <c r="E2881" s="11"/>
      <c r="H2881" s="6"/>
    </row>
    <row r="2882" spans="5:8" x14ac:dyDescent="0.2">
      <c r="E2882" s="11"/>
      <c r="H2882" s="6"/>
    </row>
    <row r="2883" spans="5:8" x14ac:dyDescent="0.2">
      <c r="E2883" s="11"/>
      <c r="H2883" s="6"/>
    </row>
    <row r="2884" spans="5:8" x14ac:dyDescent="0.2">
      <c r="E2884" s="11"/>
      <c r="H2884" s="6"/>
    </row>
    <row r="2885" spans="5:8" x14ac:dyDescent="0.2">
      <c r="E2885" s="11"/>
      <c r="H2885" s="6"/>
    </row>
    <row r="2886" spans="5:8" x14ac:dyDescent="0.2">
      <c r="E2886" s="11"/>
      <c r="H2886" s="6"/>
    </row>
    <row r="2887" spans="5:8" x14ac:dyDescent="0.2">
      <c r="E2887" s="11"/>
      <c r="H2887" s="6"/>
    </row>
    <row r="2888" spans="5:8" x14ac:dyDescent="0.2">
      <c r="E2888" s="11"/>
      <c r="H2888" s="6"/>
    </row>
    <row r="2889" spans="5:8" x14ac:dyDescent="0.2">
      <c r="E2889" s="11"/>
      <c r="H2889" s="6"/>
    </row>
    <row r="2890" spans="5:8" x14ac:dyDescent="0.2">
      <c r="E2890" s="11"/>
      <c r="H2890" s="6"/>
    </row>
    <row r="2891" spans="5:8" x14ac:dyDescent="0.2">
      <c r="E2891" s="11"/>
      <c r="H2891" s="6"/>
    </row>
    <row r="2892" spans="5:8" x14ac:dyDescent="0.2">
      <c r="E2892" s="11"/>
      <c r="H2892" s="6"/>
    </row>
    <row r="2893" spans="5:8" x14ac:dyDescent="0.2">
      <c r="E2893" s="11"/>
      <c r="H2893" s="6"/>
    </row>
    <row r="2894" spans="5:8" x14ac:dyDescent="0.2">
      <c r="E2894" s="11"/>
      <c r="H2894" s="6"/>
    </row>
    <row r="2895" spans="5:8" x14ac:dyDescent="0.2">
      <c r="E2895" s="11"/>
      <c r="H2895" s="6"/>
    </row>
    <row r="2896" spans="5:8" x14ac:dyDescent="0.2">
      <c r="E2896" s="11"/>
      <c r="H2896" s="6"/>
    </row>
    <row r="2897" spans="5:8" x14ac:dyDescent="0.2">
      <c r="E2897" s="11"/>
      <c r="H2897" s="6"/>
    </row>
    <row r="2898" spans="5:8" x14ac:dyDescent="0.2">
      <c r="E2898" s="11"/>
      <c r="H2898" s="6"/>
    </row>
    <row r="2899" spans="5:8" x14ac:dyDescent="0.2">
      <c r="E2899" s="11"/>
      <c r="H2899" s="6"/>
    </row>
    <row r="2900" spans="5:8" x14ac:dyDescent="0.2">
      <c r="E2900" s="11"/>
      <c r="H2900" s="6"/>
    </row>
    <row r="2901" spans="5:8" x14ac:dyDescent="0.2">
      <c r="E2901" s="11"/>
      <c r="H2901" s="6"/>
    </row>
    <row r="2902" spans="5:8" x14ac:dyDescent="0.2">
      <c r="E2902" s="11"/>
      <c r="H2902" s="6"/>
    </row>
    <row r="2903" spans="5:8" x14ac:dyDescent="0.2">
      <c r="E2903" s="11"/>
      <c r="H2903" s="6"/>
    </row>
    <row r="2904" spans="5:8" x14ac:dyDescent="0.2">
      <c r="E2904" s="11"/>
      <c r="H2904" s="6"/>
    </row>
    <row r="2905" spans="5:8" x14ac:dyDescent="0.2">
      <c r="E2905" s="11"/>
      <c r="H2905" s="6"/>
    </row>
    <row r="2906" spans="5:8" x14ac:dyDescent="0.2">
      <c r="E2906" s="11"/>
      <c r="H2906" s="6"/>
    </row>
    <row r="2907" spans="5:8" x14ac:dyDescent="0.2">
      <c r="E2907" s="11"/>
      <c r="H2907" s="6"/>
    </row>
    <row r="2908" spans="5:8" x14ac:dyDescent="0.2">
      <c r="E2908" s="11"/>
      <c r="H2908" s="6"/>
    </row>
    <row r="2909" spans="5:8" x14ac:dyDescent="0.2">
      <c r="E2909" s="11"/>
      <c r="H2909" s="6"/>
    </row>
    <row r="2910" spans="5:8" x14ac:dyDescent="0.2">
      <c r="E2910" s="11"/>
      <c r="H2910" s="6"/>
    </row>
    <row r="2911" spans="5:8" x14ac:dyDescent="0.2">
      <c r="E2911" s="11"/>
      <c r="H2911" s="6"/>
    </row>
    <row r="2912" spans="5:8" x14ac:dyDescent="0.2">
      <c r="E2912" s="11"/>
      <c r="H2912" s="6"/>
    </row>
    <row r="2913" spans="5:8" x14ac:dyDescent="0.2">
      <c r="E2913" s="11"/>
      <c r="H2913" s="6"/>
    </row>
    <row r="2914" spans="5:8" x14ac:dyDescent="0.2">
      <c r="E2914" s="11"/>
      <c r="H2914" s="6"/>
    </row>
    <row r="2915" spans="5:8" x14ac:dyDescent="0.2">
      <c r="E2915" s="11"/>
      <c r="H2915" s="6"/>
    </row>
    <row r="2916" spans="5:8" x14ac:dyDescent="0.2">
      <c r="E2916" s="11"/>
      <c r="H2916" s="6"/>
    </row>
    <row r="2917" spans="5:8" x14ac:dyDescent="0.2">
      <c r="E2917" s="11"/>
      <c r="H2917" s="6"/>
    </row>
    <row r="2918" spans="5:8" x14ac:dyDescent="0.2">
      <c r="E2918" s="11"/>
      <c r="H2918" s="6"/>
    </row>
    <row r="2919" spans="5:8" x14ac:dyDescent="0.2">
      <c r="E2919" s="11"/>
      <c r="H2919" s="6"/>
    </row>
    <row r="2920" spans="5:8" x14ac:dyDescent="0.2">
      <c r="E2920" s="11"/>
      <c r="H2920" s="6"/>
    </row>
    <row r="2921" spans="5:8" x14ac:dyDescent="0.2">
      <c r="E2921" s="11"/>
      <c r="H2921" s="6"/>
    </row>
    <row r="2922" spans="5:8" x14ac:dyDescent="0.2">
      <c r="E2922" s="11"/>
      <c r="H2922" s="6"/>
    </row>
    <row r="2923" spans="5:8" x14ac:dyDescent="0.2">
      <c r="E2923" s="11"/>
      <c r="H2923" s="6"/>
    </row>
    <row r="2924" spans="5:8" x14ac:dyDescent="0.2">
      <c r="E2924" s="11"/>
      <c r="H2924" s="6"/>
    </row>
    <row r="2925" spans="5:8" x14ac:dyDescent="0.2">
      <c r="E2925" s="11"/>
      <c r="H2925" s="6"/>
    </row>
    <row r="2926" spans="5:8" x14ac:dyDescent="0.2">
      <c r="E2926" s="11"/>
      <c r="H2926" s="6"/>
    </row>
    <row r="2927" spans="5:8" x14ac:dyDescent="0.2">
      <c r="E2927" s="11"/>
      <c r="H2927" s="6"/>
    </row>
    <row r="2928" spans="5:8" x14ac:dyDescent="0.2">
      <c r="E2928" s="11"/>
      <c r="H2928" s="6"/>
    </row>
    <row r="2929" spans="5:8" x14ac:dyDescent="0.2">
      <c r="E2929" s="11"/>
      <c r="H2929" s="6"/>
    </row>
    <row r="2930" spans="5:8" x14ac:dyDescent="0.2">
      <c r="E2930" s="11"/>
      <c r="H2930" s="6"/>
    </row>
    <row r="2931" spans="5:8" x14ac:dyDescent="0.2">
      <c r="E2931" s="11"/>
      <c r="H2931" s="6"/>
    </row>
    <row r="2932" spans="5:8" x14ac:dyDescent="0.2">
      <c r="E2932" s="11"/>
      <c r="H2932" s="6"/>
    </row>
    <row r="2933" spans="5:8" x14ac:dyDescent="0.2">
      <c r="E2933" s="11"/>
      <c r="H2933" s="6"/>
    </row>
    <row r="2934" spans="5:8" x14ac:dyDescent="0.2">
      <c r="E2934" s="11"/>
      <c r="H2934" s="6"/>
    </row>
    <row r="2935" spans="5:8" x14ac:dyDescent="0.2">
      <c r="E2935" s="11"/>
      <c r="H2935" s="6"/>
    </row>
    <row r="2936" spans="5:8" x14ac:dyDescent="0.2">
      <c r="E2936" s="11"/>
      <c r="H2936" s="6"/>
    </row>
    <row r="2937" spans="5:8" x14ac:dyDescent="0.2">
      <c r="E2937" s="11"/>
      <c r="H2937" s="6"/>
    </row>
    <row r="2938" spans="5:8" x14ac:dyDescent="0.2">
      <c r="E2938" s="11"/>
      <c r="H2938" s="6"/>
    </row>
    <row r="2939" spans="5:8" x14ac:dyDescent="0.2">
      <c r="E2939" s="11"/>
      <c r="H2939" s="6"/>
    </row>
    <row r="2940" spans="5:8" x14ac:dyDescent="0.2">
      <c r="E2940" s="11"/>
      <c r="H2940" s="6"/>
    </row>
    <row r="2941" spans="5:8" x14ac:dyDescent="0.2">
      <c r="E2941" s="11"/>
      <c r="H2941" s="6"/>
    </row>
    <row r="2942" spans="5:8" x14ac:dyDescent="0.2">
      <c r="E2942" s="11"/>
      <c r="H2942" s="6"/>
    </row>
    <row r="2943" spans="5:8" x14ac:dyDescent="0.2">
      <c r="E2943" s="11"/>
      <c r="H2943" s="6"/>
    </row>
    <row r="2944" spans="5:8" x14ac:dyDescent="0.2">
      <c r="E2944" s="11"/>
      <c r="H2944" s="6"/>
    </row>
    <row r="2945" spans="5:8" x14ac:dyDescent="0.2">
      <c r="E2945" s="11"/>
      <c r="H2945" s="6"/>
    </row>
    <row r="2946" spans="5:8" x14ac:dyDescent="0.2">
      <c r="E2946" s="11"/>
      <c r="H2946" s="6"/>
    </row>
    <row r="2947" spans="5:8" x14ac:dyDescent="0.2">
      <c r="E2947" s="11"/>
      <c r="H2947" s="6"/>
    </row>
    <row r="2948" spans="5:8" x14ac:dyDescent="0.2">
      <c r="E2948" s="11"/>
      <c r="H2948" s="6"/>
    </row>
    <row r="2949" spans="5:8" x14ac:dyDescent="0.2">
      <c r="E2949" s="11"/>
      <c r="H2949" s="6"/>
    </row>
    <row r="2950" spans="5:8" x14ac:dyDescent="0.2">
      <c r="E2950" s="11"/>
      <c r="H2950" s="6"/>
    </row>
    <row r="2951" spans="5:8" x14ac:dyDescent="0.2">
      <c r="E2951" s="11"/>
      <c r="H2951" s="6"/>
    </row>
    <row r="2952" spans="5:8" x14ac:dyDescent="0.2">
      <c r="E2952" s="11"/>
      <c r="H2952" s="6"/>
    </row>
    <row r="2953" spans="5:8" x14ac:dyDescent="0.2">
      <c r="E2953" s="11"/>
      <c r="H2953" s="6"/>
    </row>
    <row r="2954" spans="5:8" x14ac:dyDescent="0.2">
      <c r="E2954" s="11"/>
      <c r="H2954" s="6"/>
    </row>
    <row r="2955" spans="5:8" x14ac:dyDescent="0.2">
      <c r="E2955" s="11"/>
      <c r="H2955" s="6"/>
    </row>
    <row r="2956" spans="5:8" x14ac:dyDescent="0.2">
      <c r="E2956" s="11"/>
      <c r="H2956" s="6"/>
    </row>
    <row r="2957" spans="5:8" x14ac:dyDescent="0.2">
      <c r="E2957" s="11"/>
      <c r="H2957" s="6"/>
    </row>
    <row r="2958" spans="5:8" x14ac:dyDescent="0.2">
      <c r="E2958" s="11"/>
      <c r="H2958" s="6"/>
    </row>
    <row r="2959" spans="5:8" x14ac:dyDescent="0.2">
      <c r="E2959" s="11"/>
      <c r="H2959" s="6"/>
    </row>
    <row r="2960" spans="5:8" x14ac:dyDescent="0.2">
      <c r="E2960" s="11"/>
      <c r="H2960" s="6"/>
    </row>
    <row r="2961" spans="5:8" x14ac:dyDescent="0.2">
      <c r="E2961" s="11"/>
      <c r="H2961" s="6"/>
    </row>
    <row r="2962" spans="5:8" x14ac:dyDescent="0.2">
      <c r="E2962" s="11"/>
      <c r="H2962" s="6"/>
    </row>
    <row r="2963" spans="5:8" x14ac:dyDescent="0.2">
      <c r="E2963" s="11"/>
      <c r="H2963" s="6"/>
    </row>
    <row r="2964" spans="5:8" x14ac:dyDescent="0.2">
      <c r="E2964" s="11"/>
      <c r="H2964" s="6"/>
    </row>
    <row r="2965" spans="5:8" x14ac:dyDescent="0.2">
      <c r="E2965" s="11"/>
      <c r="H2965" s="6"/>
    </row>
    <row r="2966" spans="5:8" x14ac:dyDescent="0.2">
      <c r="E2966" s="11"/>
      <c r="H2966" s="6"/>
    </row>
    <row r="2967" spans="5:8" x14ac:dyDescent="0.2">
      <c r="E2967" s="11"/>
      <c r="H2967" s="6"/>
    </row>
    <row r="2968" spans="5:8" x14ac:dyDescent="0.2">
      <c r="E2968" s="11"/>
      <c r="H2968" s="6"/>
    </row>
    <row r="2969" spans="5:8" x14ac:dyDescent="0.2">
      <c r="E2969" s="11"/>
      <c r="H2969" s="6"/>
    </row>
    <row r="2970" spans="5:8" x14ac:dyDescent="0.2">
      <c r="E2970" s="11"/>
      <c r="H2970" s="6"/>
    </row>
    <row r="2971" spans="5:8" x14ac:dyDescent="0.2">
      <c r="E2971" s="11"/>
      <c r="H2971" s="6"/>
    </row>
    <row r="2972" spans="5:8" x14ac:dyDescent="0.2">
      <c r="E2972" s="11"/>
      <c r="H2972" s="6"/>
    </row>
    <row r="2973" spans="5:8" x14ac:dyDescent="0.2">
      <c r="E2973" s="11"/>
      <c r="H2973" s="6"/>
    </row>
    <row r="2974" spans="5:8" x14ac:dyDescent="0.2">
      <c r="E2974" s="11"/>
      <c r="H2974" s="6"/>
    </row>
    <row r="2975" spans="5:8" x14ac:dyDescent="0.2">
      <c r="E2975" s="11"/>
      <c r="H2975" s="6"/>
    </row>
    <row r="2976" spans="5:8" x14ac:dyDescent="0.2">
      <c r="E2976" s="11"/>
      <c r="H2976" s="6"/>
    </row>
    <row r="2977" spans="5:8" x14ac:dyDescent="0.2">
      <c r="E2977" s="11"/>
      <c r="H2977" s="6"/>
    </row>
    <row r="2978" spans="5:8" x14ac:dyDescent="0.2">
      <c r="E2978" s="11"/>
      <c r="H2978" s="6"/>
    </row>
    <row r="2979" spans="5:8" x14ac:dyDescent="0.2">
      <c r="E2979" s="11"/>
      <c r="H2979" s="6"/>
    </row>
    <row r="2980" spans="5:8" x14ac:dyDescent="0.2">
      <c r="E2980" s="11"/>
      <c r="H2980" s="6"/>
    </row>
    <row r="2981" spans="5:8" x14ac:dyDescent="0.2">
      <c r="E2981" s="11"/>
      <c r="H2981" s="6"/>
    </row>
    <row r="2982" spans="5:8" x14ac:dyDescent="0.2">
      <c r="E2982" s="11"/>
      <c r="H2982" s="6"/>
    </row>
    <row r="2983" spans="5:8" x14ac:dyDescent="0.2">
      <c r="E2983" s="11"/>
      <c r="H2983" s="6"/>
    </row>
    <row r="2984" spans="5:8" x14ac:dyDescent="0.2">
      <c r="E2984" s="11"/>
      <c r="H2984" s="6"/>
    </row>
    <row r="2985" spans="5:8" x14ac:dyDescent="0.2">
      <c r="E2985" s="11"/>
      <c r="H2985" s="6"/>
    </row>
    <row r="2986" spans="5:8" x14ac:dyDescent="0.2">
      <c r="E2986" s="11"/>
      <c r="H2986" s="6"/>
    </row>
    <row r="2987" spans="5:8" x14ac:dyDescent="0.2">
      <c r="E2987" s="11"/>
      <c r="H2987" s="6"/>
    </row>
    <row r="2988" spans="5:8" x14ac:dyDescent="0.2">
      <c r="E2988" s="11"/>
      <c r="H2988" s="6"/>
    </row>
    <row r="2989" spans="5:8" x14ac:dyDescent="0.2">
      <c r="E2989" s="11"/>
      <c r="H2989" s="6"/>
    </row>
    <row r="2990" spans="5:8" x14ac:dyDescent="0.2">
      <c r="E2990" s="11"/>
      <c r="H2990" s="6"/>
    </row>
    <row r="2991" spans="5:8" x14ac:dyDescent="0.2">
      <c r="E2991" s="11"/>
      <c r="H2991" s="6"/>
    </row>
    <row r="2992" spans="5:8" x14ac:dyDescent="0.2">
      <c r="E2992" s="11"/>
      <c r="H2992" s="6"/>
    </row>
    <row r="2993" spans="5:8" x14ac:dyDescent="0.2">
      <c r="E2993" s="11"/>
      <c r="H2993" s="6"/>
    </row>
    <row r="2994" spans="5:8" x14ac:dyDescent="0.2">
      <c r="E2994" s="11"/>
      <c r="H2994" s="6"/>
    </row>
    <row r="2995" spans="5:8" x14ac:dyDescent="0.2">
      <c r="E2995" s="11"/>
      <c r="H2995" s="6"/>
    </row>
    <row r="2996" spans="5:8" x14ac:dyDescent="0.2">
      <c r="E2996" s="11"/>
      <c r="H2996" s="6"/>
    </row>
    <row r="2997" spans="5:8" x14ac:dyDescent="0.2">
      <c r="E2997" s="11"/>
      <c r="H2997" s="6"/>
    </row>
    <row r="2998" spans="5:8" x14ac:dyDescent="0.2">
      <c r="E2998" s="11"/>
      <c r="H2998" s="6"/>
    </row>
    <row r="2999" spans="5:8" x14ac:dyDescent="0.2">
      <c r="E2999" s="11"/>
      <c r="H2999" s="6"/>
    </row>
    <row r="3000" spans="5:8" x14ac:dyDescent="0.2">
      <c r="E3000" s="11"/>
      <c r="H3000" s="6"/>
    </row>
    <row r="3001" spans="5:8" x14ac:dyDescent="0.2">
      <c r="E3001" s="11"/>
      <c r="H3001" s="6"/>
    </row>
    <row r="3002" spans="5:8" x14ac:dyDescent="0.2">
      <c r="E3002" s="11"/>
      <c r="H3002" s="6"/>
    </row>
    <row r="3003" spans="5:8" x14ac:dyDescent="0.2">
      <c r="E3003" s="11"/>
      <c r="H3003" s="6"/>
    </row>
    <row r="3004" spans="5:8" x14ac:dyDescent="0.2">
      <c r="E3004" s="11"/>
      <c r="H3004" s="6"/>
    </row>
    <row r="3005" spans="5:8" x14ac:dyDescent="0.2">
      <c r="E3005" s="11"/>
      <c r="H3005" s="6"/>
    </row>
    <row r="3006" spans="5:8" x14ac:dyDescent="0.2">
      <c r="E3006" s="11"/>
      <c r="H3006" s="6"/>
    </row>
    <row r="3007" spans="5:8" x14ac:dyDescent="0.2">
      <c r="E3007" s="11"/>
      <c r="H3007" s="6"/>
    </row>
    <row r="3008" spans="5:8" x14ac:dyDescent="0.2">
      <c r="E3008" s="11"/>
      <c r="H3008" s="6"/>
    </row>
    <row r="3009" spans="5:8" x14ac:dyDescent="0.2">
      <c r="E3009" s="11"/>
      <c r="H3009" s="6"/>
    </row>
    <row r="3010" spans="5:8" x14ac:dyDescent="0.2">
      <c r="E3010" s="11"/>
      <c r="H3010" s="6"/>
    </row>
    <row r="3011" spans="5:8" x14ac:dyDescent="0.2">
      <c r="E3011" s="11"/>
      <c r="H3011" s="6"/>
    </row>
    <row r="3012" spans="5:8" x14ac:dyDescent="0.2">
      <c r="E3012" s="11"/>
      <c r="H3012" s="6"/>
    </row>
    <row r="3013" spans="5:8" x14ac:dyDescent="0.2">
      <c r="E3013" s="11"/>
      <c r="H3013" s="6"/>
    </row>
    <row r="3014" spans="5:8" x14ac:dyDescent="0.2">
      <c r="E3014" s="11"/>
      <c r="H3014" s="6"/>
    </row>
    <row r="3015" spans="5:8" x14ac:dyDescent="0.2">
      <c r="E3015" s="11"/>
      <c r="H3015" s="6"/>
    </row>
    <row r="3016" spans="5:8" x14ac:dyDescent="0.2">
      <c r="E3016" s="11"/>
      <c r="H3016" s="6"/>
    </row>
    <row r="3017" spans="5:8" x14ac:dyDescent="0.2">
      <c r="E3017" s="11"/>
      <c r="H3017" s="6"/>
    </row>
    <row r="3018" spans="5:8" x14ac:dyDescent="0.2">
      <c r="E3018" s="11"/>
      <c r="H3018" s="6"/>
    </row>
    <row r="3019" spans="5:8" x14ac:dyDescent="0.2">
      <c r="E3019" s="11"/>
      <c r="H3019" s="6"/>
    </row>
    <row r="3020" spans="5:8" x14ac:dyDescent="0.2">
      <c r="E3020" s="11"/>
      <c r="H3020" s="6"/>
    </row>
    <row r="3021" spans="5:8" x14ac:dyDescent="0.2">
      <c r="E3021" s="11"/>
      <c r="H3021" s="6"/>
    </row>
    <row r="3022" spans="5:8" x14ac:dyDescent="0.2">
      <c r="E3022" s="11"/>
      <c r="H3022" s="6"/>
    </row>
    <row r="3023" spans="5:8" x14ac:dyDescent="0.2">
      <c r="E3023" s="11"/>
      <c r="H3023" s="6"/>
    </row>
    <row r="3024" spans="5:8" x14ac:dyDescent="0.2">
      <c r="E3024" s="11"/>
      <c r="H3024" s="6"/>
    </row>
    <row r="3025" spans="5:8" x14ac:dyDescent="0.2">
      <c r="E3025" s="11"/>
      <c r="H3025" s="6"/>
    </row>
    <row r="3026" spans="5:8" x14ac:dyDescent="0.2">
      <c r="E3026" s="11"/>
      <c r="H3026" s="6"/>
    </row>
    <row r="3027" spans="5:8" x14ac:dyDescent="0.2">
      <c r="E3027" s="11"/>
      <c r="H3027" s="6"/>
    </row>
    <row r="3028" spans="5:8" x14ac:dyDescent="0.2">
      <c r="E3028" s="11"/>
      <c r="H3028" s="6"/>
    </row>
    <row r="3029" spans="5:8" x14ac:dyDescent="0.2">
      <c r="E3029" s="11"/>
      <c r="H3029" s="6"/>
    </row>
    <row r="3030" spans="5:8" x14ac:dyDescent="0.2">
      <c r="E3030" s="11"/>
      <c r="H3030" s="6"/>
    </row>
    <row r="3031" spans="5:8" x14ac:dyDescent="0.2">
      <c r="E3031" s="11"/>
      <c r="H3031" s="6"/>
    </row>
    <row r="3032" spans="5:8" x14ac:dyDescent="0.2">
      <c r="E3032" s="11"/>
      <c r="H3032" s="6"/>
    </row>
    <row r="3033" spans="5:8" x14ac:dyDescent="0.2">
      <c r="E3033" s="11"/>
      <c r="H3033" s="6"/>
    </row>
    <row r="3034" spans="5:8" x14ac:dyDescent="0.2">
      <c r="E3034" s="11"/>
      <c r="H3034" s="6"/>
    </row>
    <row r="3035" spans="5:8" x14ac:dyDescent="0.2">
      <c r="E3035" s="11"/>
      <c r="H3035" s="6"/>
    </row>
    <row r="3036" spans="5:8" x14ac:dyDescent="0.2">
      <c r="E3036" s="11"/>
      <c r="H3036" s="6"/>
    </row>
    <row r="3037" spans="5:8" x14ac:dyDescent="0.2">
      <c r="E3037" s="11"/>
      <c r="H3037" s="6"/>
    </row>
    <row r="3038" spans="5:8" x14ac:dyDescent="0.2">
      <c r="E3038" s="11"/>
      <c r="H3038" s="6"/>
    </row>
    <row r="3039" spans="5:8" x14ac:dyDescent="0.2">
      <c r="E3039" s="11"/>
      <c r="H3039" s="6"/>
    </row>
    <row r="3040" spans="5:8" x14ac:dyDescent="0.2">
      <c r="E3040" s="11"/>
      <c r="H3040" s="6"/>
    </row>
    <row r="3041" spans="5:8" x14ac:dyDescent="0.2">
      <c r="E3041" s="11"/>
      <c r="H3041" s="6"/>
    </row>
    <row r="3042" spans="5:8" x14ac:dyDescent="0.2">
      <c r="E3042" s="11"/>
      <c r="H3042" s="6"/>
    </row>
    <row r="3043" spans="5:8" x14ac:dyDescent="0.2">
      <c r="E3043" s="11"/>
      <c r="H3043" s="6"/>
    </row>
    <row r="3044" spans="5:8" x14ac:dyDescent="0.2">
      <c r="E3044" s="11"/>
      <c r="H3044" s="6"/>
    </row>
    <row r="3045" spans="5:8" x14ac:dyDescent="0.2">
      <c r="E3045" s="11"/>
      <c r="H3045" s="6"/>
    </row>
    <row r="3046" spans="5:8" x14ac:dyDescent="0.2">
      <c r="E3046" s="11"/>
      <c r="H3046" s="6"/>
    </row>
    <row r="3047" spans="5:8" x14ac:dyDescent="0.2">
      <c r="E3047" s="11"/>
      <c r="H3047" s="6"/>
    </row>
    <row r="3048" spans="5:8" x14ac:dyDescent="0.2">
      <c r="E3048" s="11"/>
      <c r="H3048" s="6"/>
    </row>
    <row r="3049" spans="5:8" x14ac:dyDescent="0.2">
      <c r="E3049" s="11"/>
      <c r="H3049" s="6"/>
    </row>
    <row r="3050" spans="5:8" x14ac:dyDescent="0.2">
      <c r="E3050" s="11"/>
      <c r="H3050" s="6"/>
    </row>
    <row r="3051" spans="5:8" x14ac:dyDescent="0.2">
      <c r="E3051" s="11"/>
      <c r="H3051" s="6"/>
    </row>
    <row r="3052" spans="5:8" x14ac:dyDescent="0.2">
      <c r="E3052" s="11"/>
      <c r="H3052" s="6"/>
    </row>
    <row r="3053" spans="5:8" x14ac:dyDescent="0.2">
      <c r="E3053" s="11"/>
      <c r="H3053" s="6"/>
    </row>
    <row r="3054" spans="5:8" x14ac:dyDescent="0.2">
      <c r="E3054" s="11"/>
      <c r="H3054" s="6"/>
    </row>
    <row r="3055" spans="5:8" x14ac:dyDescent="0.2">
      <c r="E3055" s="11"/>
      <c r="H3055" s="6"/>
    </row>
    <row r="3056" spans="5:8" x14ac:dyDescent="0.2">
      <c r="E3056" s="11"/>
      <c r="H3056" s="6"/>
    </row>
    <row r="3057" spans="5:8" x14ac:dyDescent="0.2">
      <c r="E3057" s="11"/>
      <c r="H3057" s="6"/>
    </row>
    <row r="3058" spans="5:8" x14ac:dyDescent="0.2">
      <c r="E3058" s="11"/>
      <c r="H3058" s="6"/>
    </row>
    <row r="3059" spans="5:8" x14ac:dyDescent="0.2">
      <c r="E3059" s="11"/>
      <c r="H3059" s="6"/>
    </row>
    <row r="3060" spans="5:8" x14ac:dyDescent="0.2">
      <c r="E3060" s="11"/>
      <c r="H3060" s="6"/>
    </row>
    <row r="3061" spans="5:8" x14ac:dyDescent="0.2">
      <c r="E3061" s="11"/>
      <c r="H3061" s="6"/>
    </row>
    <row r="3062" spans="5:8" x14ac:dyDescent="0.2">
      <c r="E3062" s="11"/>
      <c r="H3062" s="6"/>
    </row>
    <row r="3063" spans="5:8" x14ac:dyDescent="0.2">
      <c r="E3063" s="11"/>
      <c r="H3063" s="6"/>
    </row>
    <row r="3064" spans="5:8" x14ac:dyDescent="0.2">
      <c r="E3064" s="11"/>
      <c r="H3064" s="6"/>
    </row>
    <row r="3065" spans="5:8" x14ac:dyDescent="0.2">
      <c r="E3065" s="11"/>
      <c r="H3065" s="6"/>
    </row>
    <row r="3066" spans="5:8" x14ac:dyDescent="0.2">
      <c r="E3066" s="11"/>
      <c r="H3066" s="6"/>
    </row>
    <row r="3067" spans="5:8" x14ac:dyDescent="0.2">
      <c r="E3067" s="11"/>
      <c r="H3067" s="6"/>
    </row>
    <row r="3068" spans="5:8" x14ac:dyDescent="0.2">
      <c r="E3068" s="11"/>
      <c r="H3068" s="6"/>
    </row>
    <row r="3069" spans="5:8" x14ac:dyDescent="0.2">
      <c r="E3069" s="11"/>
      <c r="H3069" s="6"/>
    </row>
    <row r="3070" spans="5:8" x14ac:dyDescent="0.2">
      <c r="E3070" s="11"/>
      <c r="H3070" s="6"/>
    </row>
    <row r="3071" spans="5:8" x14ac:dyDescent="0.2">
      <c r="E3071" s="11"/>
      <c r="H3071" s="6"/>
    </row>
    <row r="3072" spans="5:8" x14ac:dyDescent="0.2">
      <c r="E3072" s="11"/>
      <c r="H3072" s="6"/>
    </row>
    <row r="3073" spans="5:8" x14ac:dyDescent="0.2">
      <c r="E3073" s="11"/>
      <c r="H3073" s="6"/>
    </row>
    <row r="3074" spans="5:8" x14ac:dyDescent="0.2">
      <c r="E3074" s="11"/>
      <c r="H3074" s="6"/>
    </row>
    <row r="3075" spans="5:8" x14ac:dyDescent="0.2">
      <c r="E3075" s="11"/>
      <c r="H3075" s="6"/>
    </row>
    <row r="3076" spans="5:8" x14ac:dyDescent="0.2">
      <c r="E3076" s="11"/>
      <c r="H3076" s="6"/>
    </row>
    <row r="3077" spans="5:8" x14ac:dyDescent="0.2">
      <c r="E3077" s="11"/>
      <c r="H3077" s="6"/>
    </row>
    <row r="3078" spans="5:8" x14ac:dyDescent="0.2">
      <c r="E3078" s="11"/>
      <c r="H3078" s="6"/>
    </row>
    <row r="3079" spans="5:8" x14ac:dyDescent="0.2">
      <c r="E3079" s="11"/>
      <c r="H3079" s="6"/>
    </row>
    <row r="3080" spans="5:8" x14ac:dyDescent="0.2">
      <c r="E3080" s="11"/>
      <c r="H3080" s="6"/>
    </row>
    <row r="3081" spans="5:8" x14ac:dyDescent="0.2">
      <c r="E3081" s="11"/>
      <c r="H3081" s="6"/>
    </row>
    <row r="3082" spans="5:8" x14ac:dyDescent="0.2">
      <c r="E3082" s="11"/>
      <c r="H3082" s="6"/>
    </row>
    <row r="3083" spans="5:8" x14ac:dyDescent="0.2">
      <c r="E3083" s="11"/>
      <c r="H3083" s="6"/>
    </row>
    <row r="3084" spans="5:8" x14ac:dyDescent="0.2">
      <c r="E3084" s="11"/>
      <c r="H3084" s="6"/>
    </row>
    <row r="3085" spans="5:8" x14ac:dyDescent="0.2">
      <c r="E3085" s="11"/>
      <c r="H3085" s="6"/>
    </row>
    <row r="3086" spans="5:8" x14ac:dyDescent="0.2">
      <c r="E3086" s="11"/>
      <c r="H3086" s="6"/>
    </row>
    <row r="3087" spans="5:8" x14ac:dyDescent="0.2">
      <c r="E3087" s="11"/>
      <c r="H3087" s="6"/>
    </row>
    <row r="3088" spans="5:8" x14ac:dyDescent="0.2">
      <c r="E3088" s="11"/>
      <c r="H3088" s="6"/>
    </row>
    <row r="3089" spans="5:8" x14ac:dyDescent="0.2">
      <c r="E3089" s="11"/>
      <c r="H3089" s="6"/>
    </row>
    <row r="3090" spans="5:8" x14ac:dyDescent="0.2">
      <c r="E3090" s="11"/>
      <c r="H3090" s="6"/>
    </row>
    <row r="3091" spans="5:8" x14ac:dyDescent="0.2">
      <c r="E3091" s="11"/>
      <c r="H3091" s="6"/>
    </row>
    <row r="3092" spans="5:8" x14ac:dyDescent="0.2">
      <c r="E3092" s="11"/>
      <c r="H3092" s="6"/>
    </row>
    <row r="3093" spans="5:8" x14ac:dyDescent="0.2">
      <c r="E3093" s="11"/>
      <c r="H3093" s="6"/>
    </row>
    <row r="3094" spans="5:8" x14ac:dyDescent="0.2">
      <c r="E3094" s="11"/>
      <c r="H3094" s="6"/>
    </row>
    <row r="3095" spans="5:8" x14ac:dyDescent="0.2">
      <c r="E3095" s="11"/>
      <c r="H3095" s="6"/>
    </row>
    <row r="3096" spans="5:8" x14ac:dyDescent="0.2">
      <c r="E3096" s="11"/>
      <c r="H3096" s="6"/>
    </row>
    <row r="3097" spans="5:8" x14ac:dyDescent="0.2">
      <c r="E3097" s="11"/>
      <c r="H3097" s="6"/>
    </row>
    <row r="3098" spans="5:8" x14ac:dyDescent="0.2">
      <c r="E3098" s="11"/>
      <c r="H3098" s="6"/>
    </row>
    <row r="3099" spans="5:8" x14ac:dyDescent="0.2">
      <c r="E3099" s="11"/>
      <c r="H3099" s="6"/>
    </row>
    <row r="3100" spans="5:8" x14ac:dyDescent="0.2">
      <c r="E3100" s="11"/>
      <c r="H3100" s="6"/>
    </row>
    <row r="3101" spans="5:8" x14ac:dyDescent="0.2">
      <c r="E3101" s="11"/>
      <c r="H3101" s="6"/>
    </row>
    <row r="3102" spans="5:8" x14ac:dyDescent="0.2">
      <c r="E3102" s="11"/>
      <c r="H3102" s="6"/>
    </row>
    <row r="3103" spans="5:8" x14ac:dyDescent="0.2">
      <c r="E3103" s="11"/>
      <c r="H3103" s="6"/>
    </row>
    <row r="3104" spans="5:8" x14ac:dyDescent="0.2">
      <c r="E3104" s="11"/>
      <c r="H3104" s="6"/>
    </row>
    <row r="3105" spans="5:8" x14ac:dyDescent="0.2">
      <c r="E3105" s="11"/>
      <c r="H3105" s="6"/>
    </row>
    <row r="3106" spans="5:8" x14ac:dyDescent="0.2">
      <c r="E3106" s="11"/>
      <c r="H3106" s="6"/>
    </row>
    <row r="3107" spans="5:8" x14ac:dyDescent="0.2">
      <c r="E3107" s="11"/>
      <c r="H3107" s="6"/>
    </row>
    <row r="3108" spans="5:8" x14ac:dyDescent="0.2">
      <c r="E3108" s="11"/>
      <c r="H3108" s="6"/>
    </row>
    <row r="3109" spans="5:8" x14ac:dyDescent="0.2">
      <c r="E3109" s="11"/>
      <c r="H3109" s="6"/>
    </row>
    <row r="3110" spans="5:8" x14ac:dyDescent="0.2">
      <c r="E3110" s="11"/>
      <c r="H3110" s="6"/>
    </row>
    <row r="3111" spans="5:8" x14ac:dyDescent="0.2">
      <c r="E3111" s="11"/>
      <c r="H3111" s="6"/>
    </row>
    <row r="3112" spans="5:8" x14ac:dyDescent="0.2">
      <c r="E3112" s="11"/>
      <c r="H3112" s="6"/>
    </row>
    <row r="3113" spans="5:8" x14ac:dyDescent="0.2">
      <c r="E3113" s="11"/>
      <c r="H3113" s="6"/>
    </row>
    <row r="3114" spans="5:8" x14ac:dyDescent="0.2">
      <c r="E3114" s="11"/>
      <c r="H3114" s="6"/>
    </row>
    <row r="3115" spans="5:8" x14ac:dyDescent="0.2">
      <c r="E3115" s="11"/>
      <c r="H3115" s="6"/>
    </row>
    <row r="3116" spans="5:8" x14ac:dyDescent="0.2">
      <c r="E3116" s="11"/>
      <c r="H3116" s="6"/>
    </row>
    <row r="3117" spans="5:8" x14ac:dyDescent="0.2">
      <c r="E3117" s="11"/>
      <c r="H3117" s="6"/>
    </row>
    <row r="3118" spans="5:8" x14ac:dyDescent="0.2">
      <c r="E3118" s="11"/>
      <c r="H3118" s="6"/>
    </row>
    <row r="3119" spans="5:8" x14ac:dyDescent="0.2">
      <c r="E3119" s="11"/>
      <c r="H3119" s="6"/>
    </row>
    <row r="3120" spans="5:8" x14ac:dyDescent="0.2">
      <c r="E3120" s="11"/>
      <c r="H3120" s="6"/>
    </row>
    <row r="3121" spans="5:8" x14ac:dyDescent="0.2">
      <c r="E3121" s="11"/>
      <c r="H3121" s="6"/>
    </row>
    <row r="3122" spans="5:8" x14ac:dyDescent="0.2">
      <c r="E3122" s="11"/>
      <c r="H3122" s="6"/>
    </row>
    <row r="3123" spans="5:8" x14ac:dyDescent="0.2">
      <c r="E3123" s="11"/>
      <c r="H3123" s="6"/>
    </row>
    <row r="3124" spans="5:8" x14ac:dyDescent="0.2">
      <c r="E3124" s="11"/>
      <c r="H3124" s="6"/>
    </row>
    <row r="3125" spans="5:8" x14ac:dyDescent="0.2">
      <c r="E3125" s="11"/>
      <c r="H3125" s="6"/>
    </row>
    <row r="3126" spans="5:8" x14ac:dyDescent="0.2">
      <c r="E3126" s="11"/>
      <c r="H3126" s="6"/>
    </row>
    <row r="3127" spans="5:8" x14ac:dyDescent="0.2">
      <c r="E3127" s="11"/>
      <c r="H3127" s="6"/>
    </row>
    <row r="3128" spans="5:8" x14ac:dyDescent="0.2">
      <c r="E3128" s="11"/>
      <c r="H3128" s="6"/>
    </row>
    <row r="3129" spans="5:8" x14ac:dyDescent="0.2">
      <c r="E3129" s="11"/>
      <c r="H3129" s="6"/>
    </row>
    <row r="3130" spans="5:8" x14ac:dyDescent="0.2">
      <c r="E3130" s="11"/>
      <c r="H3130" s="6"/>
    </row>
    <row r="3131" spans="5:8" x14ac:dyDescent="0.2">
      <c r="E3131" s="11"/>
      <c r="H3131" s="6"/>
    </row>
    <row r="3132" spans="5:8" x14ac:dyDescent="0.2">
      <c r="E3132" s="11"/>
      <c r="H3132" s="6"/>
    </row>
    <row r="3133" spans="5:8" x14ac:dyDescent="0.2">
      <c r="E3133" s="11"/>
      <c r="H3133" s="6"/>
    </row>
    <row r="3134" spans="5:8" x14ac:dyDescent="0.2">
      <c r="E3134" s="11"/>
      <c r="H3134" s="6"/>
    </row>
    <row r="3135" spans="5:8" x14ac:dyDescent="0.2">
      <c r="E3135" s="11"/>
      <c r="H3135" s="6"/>
    </row>
    <row r="3136" spans="5:8" x14ac:dyDescent="0.2">
      <c r="E3136" s="11"/>
      <c r="H3136" s="6"/>
    </row>
    <row r="3137" spans="5:8" x14ac:dyDescent="0.2">
      <c r="E3137" s="11"/>
      <c r="H3137" s="6"/>
    </row>
    <row r="3138" spans="5:8" x14ac:dyDescent="0.2">
      <c r="E3138" s="11"/>
      <c r="H3138" s="6"/>
    </row>
    <row r="3139" spans="5:8" x14ac:dyDescent="0.2">
      <c r="E3139" s="11"/>
      <c r="H3139" s="6"/>
    </row>
    <row r="3140" spans="5:8" x14ac:dyDescent="0.2">
      <c r="E3140" s="11"/>
      <c r="H3140" s="6"/>
    </row>
    <row r="3141" spans="5:8" x14ac:dyDescent="0.2">
      <c r="E3141" s="11"/>
      <c r="H3141" s="6"/>
    </row>
    <row r="3142" spans="5:8" x14ac:dyDescent="0.2">
      <c r="E3142" s="11"/>
      <c r="H3142" s="6"/>
    </row>
    <row r="3143" spans="5:8" x14ac:dyDescent="0.2">
      <c r="E3143" s="11"/>
      <c r="H3143" s="6"/>
    </row>
    <row r="3144" spans="5:8" x14ac:dyDescent="0.2">
      <c r="E3144" s="11"/>
      <c r="H3144" s="6"/>
    </row>
    <row r="3145" spans="5:8" x14ac:dyDescent="0.2">
      <c r="E3145" s="11"/>
      <c r="H3145" s="6"/>
    </row>
    <row r="3146" spans="5:8" x14ac:dyDescent="0.2">
      <c r="E3146" s="11"/>
      <c r="H3146" s="6"/>
    </row>
    <row r="3147" spans="5:8" x14ac:dyDescent="0.2">
      <c r="E3147" s="11"/>
      <c r="H3147" s="6"/>
    </row>
    <row r="3148" spans="5:8" x14ac:dyDescent="0.2">
      <c r="E3148" s="11"/>
      <c r="H3148" s="6"/>
    </row>
    <row r="3149" spans="5:8" x14ac:dyDescent="0.2">
      <c r="E3149" s="11"/>
      <c r="H3149" s="6"/>
    </row>
    <row r="3150" spans="5:8" x14ac:dyDescent="0.2">
      <c r="E3150" s="11"/>
      <c r="H3150" s="6"/>
    </row>
    <row r="3151" spans="5:8" x14ac:dyDescent="0.2">
      <c r="E3151" s="11"/>
      <c r="H3151" s="6"/>
    </row>
    <row r="3152" spans="5:8" x14ac:dyDescent="0.2">
      <c r="E3152" s="11"/>
      <c r="H3152" s="6"/>
    </row>
    <row r="3153" spans="5:8" x14ac:dyDescent="0.2">
      <c r="E3153" s="11"/>
      <c r="H3153" s="6"/>
    </row>
    <row r="3154" spans="5:8" x14ac:dyDescent="0.2">
      <c r="E3154" s="11"/>
      <c r="H3154" s="6"/>
    </row>
    <row r="3155" spans="5:8" x14ac:dyDescent="0.2">
      <c r="E3155" s="11"/>
      <c r="H3155" s="6"/>
    </row>
    <row r="3156" spans="5:8" x14ac:dyDescent="0.2">
      <c r="E3156" s="11"/>
      <c r="H3156" s="6"/>
    </row>
    <row r="3157" spans="5:8" x14ac:dyDescent="0.2">
      <c r="E3157" s="11"/>
      <c r="H3157" s="6"/>
    </row>
    <row r="3158" spans="5:8" x14ac:dyDescent="0.2">
      <c r="E3158" s="11"/>
      <c r="H3158" s="6"/>
    </row>
    <row r="3159" spans="5:8" x14ac:dyDescent="0.2">
      <c r="E3159" s="11"/>
      <c r="H3159" s="6"/>
    </row>
    <row r="3160" spans="5:8" x14ac:dyDescent="0.2">
      <c r="E3160" s="11"/>
      <c r="H3160" s="6"/>
    </row>
    <row r="3161" spans="5:8" x14ac:dyDescent="0.2">
      <c r="E3161" s="11"/>
      <c r="H3161" s="6"/>
    </row>
    <row r="3162" spans="5:8" x14ac:dyDescent="0.2">
      <c r="E3162" s="11"/>
      <c r="H3162" s="6"/>
    </row>
    <row r="3163" spans="5:8" x14ac:dyDescent="0.2">
      <c r="E3163" s="11"/>
      <c r="H3163" s="6"/>
    </row>
    <row r="3164" spans="5:8" x14ac:dyDescent="0.2">
      <c r="E3164" s="11"/>
      <c r="H3164" s="6"/>
    </row>
    <row r="3165" spans="5:8" x14ac:dyDescent="0.2">
      <c r="E3165" s="11"/>
      <c r="H3165" s="6"/>
    </row>
    <row r="3166" spans="5:8" x14ac:dyDescent="0.2">
      <c r="E3166" s="11"/>
      <c r="H3166" s="6"/>
    </row>
    <row r="3167" spans="5:8" x14ac:dyDescent="0.2">
      <c r="E3167" s="11"/>
      <c r="H3167" s="6"/>
    </row>
    <row r="3168" spans="5:8" x14ac:dyDescent="0.2">
      <c r="E3168" s="11"/>
      <c r="H3168" s="6"/>
    </row>
    <row r="3169" spans="5:8" x14ac:dyDescent="0.2">
      <c r="E3169" s="11"/>
      <c r="H3169" s="6"/>
    </row>
    <row r="3170" spans="5:8" x14ac:dyDescent="0.2">
      <c r="E3170" s="11"/>
      <c r="H3170" s="6"/>
    </row>
    <row r="3171" spans="5:8" x14ac:dyDescent="0.2">
      <c r="E3171" s="11"/>
      <c r="H3171" s="6"/>
    </row>
    <row r="3172" spans="5:8" x14ac:dyDescent="0.2">
      <c r="E3172" s="11"/>
      <c r="H3172" s="6"/>
    </row>
    <row r="3173" spans="5:8" x14ac:dyDescent="0.2">
      <c r="E3173" s="11"/>
      <c r="H3173" s="6"/>
    </row>
    <row r="3174" spans="5:8" x14ac:dyDescent="0.2">
      <c r="E3174" s="11"/>
      <c r="H3174" s="6"/>
    </row>
    <row r="3175" spans="5:8" x14ac:dyDescent="0.2">
      <c r="E3175" s="11"/>
      <c r="H3175" s="6"/>
    </row>
    <row r="3176" spans="5:8" x14ac:dyDescent="0.2">
      <c r="E3176" s="11"/>
      <c r="H3176" s="6"/>
    </row>
    <row r="3177" spans="5:8" x14ac:dyDescent="0.2">
      <c r="E3177" s="11"/>
      <c r="H3177" s="6"/>
    </row>
    <row r="3178" spans="5:8" x14ac:dyDescent="0.2">
      <c r="E3178" s="11"/>
      <c r="H3178" s="6"/>
    </row>
    <row r="3179" spans="5:8" x14ac:dyDescent="0.2">
      <c r="E3179" s="11"/>
      <c r="H3179" s="6"/>
    </row>
    <row r="3180" spans="5:8" x14ac:dyDescent="0.2">
      <c r="E3180" s="11"/>
      <c r="H3180" s="6"/>
    </row>
    <row r="3181" spans="5:8" x14ac:dyDescent="0.2">
      <c r="E3181" s="11"/>
      <c r="H3181" s="6"/>
    </row>
    <row r="3182" spans="5:8" x14ac:dyDescent="0.2">
      <c r="E3182" s="11"/>
      <c r="H3182" s="6"/>
    </row>
    <row r="3183" spans="5:8" x14ac:dyDescent="0.2">
      <c r="E3183" s="11"/>
      <c r="H3183" s="6"/>
    </row>
    <row r="3184" spans="5:8" x14ac:dyDescent="0.2">
      <c r="E3184" s="11"/>
      <c r="H3184" s="6"/>
    </row>
    <row r="3185" spans="5:8" x14ac:dyDescent="0.2">
      <c r="E3185" s="11"/>
      <c r="H3185" s="6"/>
    </row>
    <row r="3186" spans="5:8" x14ac:dyDescent="0.2">
      <c r="E3186" s="11"/>
      <c r="H3186" s="6"/>
    </row>
    <row r="3187" spans="5:8" x14ac:dyDescent="0.2">
      <c r="E3187" s="11"/>
      <c r="H3187" s="6"/>
    </row>
    <row r="3188" spans="5:8" x14ac:dyDescent="0.2">
      <c r="E3188" s="11"/>
      <c r="H3188" s="6"/>
    </row>
    <row r="3189" spans="5:8" x14ac:dyDescent="0.2">
      <c r="E3189" s="11"/>
      <c r="H3189" s="6"/>
    </row>
    <row r="3190" spans="5:8" x14ac:dyDescent="0.2">
      <c r="E3190" s="11"/>
      <c r="H3190" s="6"/>
    </row>
    <row r="3191" spans="5:8" x14ac:dyDescent="0.2">
      <c r="E3191" s="11"/>
      <c r="H3191" s="6"/>
    </row>
    <row r="3192" spans="5:8" x14ac:dyDescent="0.2">
      <c r="E3192" s="11"/>
      <c r="H3192" s="6"/>
    </row>
    <row r="3193" spans="5:8" x14ac:dyDescent="0.2">
      <c r="E3193" s="11"/>
      <c r="H3193" s="6"/>
    </row>
    <row r="3194" spans="5:8" x14ac:dyDescent="0.2">
      <c r="E3194" s="11"/>
      <c r="H3194" s="6"/>
    </row>
    <row r="3195" spans="5:8" x14ac:dyDescent="0.2">
      <c r="E3195" s="11"/>
      <c r="H3195" s="6"/>
    </row>
    <row r="3196" spans="5:8" x14ac:dyDescent="0.2">
      <c r="E3196" s="11"/>
      <c r="H3196" s="6"/>
    </row>
    <row r="3197" spans="5:8" x14ac:dyDescent="0.2">
      <c r="E3197" s="11"/>
      <c r="H3197" s="6"/>
    </row>
    <row r="3198" spans="5:8" x14ac:dyDescent="0.2">
      <c r="E3198" s="11"/>
      <c r="H3198" s="6"/>
    </row>
    <row r="3199" spans="5:8" x14ac:dyDescent="0.2">
      <c r="E3199" s="11"/>
      <c r="H3199" s="6"/>
    </row>
    <row r="3200" spans="5:8" x14ac:dyDescent="0.2">
      <c r="E3200" s="11"/>
      <c r="H3200" s="6"/>
    </row>
    <row r="3201" spans="5:8" x14ac:dyDescent="0.2">
      <c r="E3201" s="11"/>
      <c r="H3201" s="6"/>
    </row>
    <row r="3202" spans="5:8" x14ac:dyDescent="0.2">
      <c r="E3202" s="11"/>
      <c r="H3202" s="6"/>
    </row>
    <row r="3203" spans="5:8" x14ac:dyDescent="0.2">
      <c r="E3203" s="11"/>
      <c r="H3203" s="6"/>
    </row>
    <row r="3204" spans="5:8" x14ac:dyDescent="0.2">
      <c r="E3204" s="11"/>
      <c r="H3204" s="6"/>
    </row>
    <row r="3205" spans="5:8" x14ac:dyDescent="0.2">
      <c r="E3205" s="11"/>
      <c r="H3205" s="6"/>
    </row>
    <row r="3206" spans="5:8" x14ac:dyDescent="0.2">
      <c r="E3206" s="11"/>
      <c r="H3206" s="6"/>
    </row>
    <row r="3207" spans="5:8" x14ac:dyDescent="0.2">
      <c r="E3207" s="11"/>
      <c r="H3207" s="6"/>
    </row>
    <row r="3208" spans="5:8" x14ac:dyDescent="0.2">
      <c r="E3208" s="11"/>
      <c r="H3208" s="6"/>
    </row>
    <row r="3209" spans="5:8" x14ac:dyDescent="0.2">
      <c r="E3209" s="11"/>
      <c r="H3209" s="6"/>
    </row>
    <row r="3210" spans="5:8" x14ac:dyDescent="0.2">
      <c r="E3210" s="11"/>
      <c r="H3210" s="6"/>
    </row>
    <row r="3211" spans="5:8" x14ac:dyDescent="0.2">
      <c r="E3211" s="11"/>
      <c r="H3211" s="6"/>
    </row>
    <row r="3212" spans="5:8" x14ac:dyDescent="0.2">
      <c r="E3212" s="11"/>
      <c r="H3212" s="6"/>
    </row>
    <row r="3213" spans="5:8" x14ac:dyDescent="0.2">
      <c r="E3213" s="11"/>
      <c r="H3213" s="6"/>
    </row>
    <row r="3214" spans="5:8" x14ac:dyDescent="0.2">
      <c r="E3214" s="11"/>
      <c r="H3214" s="6"/>
    </row>
    <row r="3215" spans="5:8" x14ac:dyDescent="0.2">
      <c r="E3215" s="11"/>
      <c r="H3215" s="6"/>
    </row>
    <row r="3216" spans="5:8" x14ac:dyDescent="0.2">
      <c r="E3216" s="11"/>
      <c r="H3216" s="6"/>
    </row>
    <row r="3217" spans="5:8" x14ac:dyDescent="0.2">
      <c r="E3217" s="11"/>
      <c r="H3217" s="6"/>
    </row>
    <row r="3218" spans="5:8" x14ac:dyDescent="0.2">
      <c r="E3218" s="11"/>
      <c r="H3218" s="6"/>
    </row>
    <row r="3219" spans="5:8" x14ac:dyDescent="0.2">
      <c r="E3219" s="11"/>
      <c r="H3219" s="6"/>
    </row>
    <row r="3220" spans="5:8" x14ac:dyDescent="0.2">
      <c r="E3220" s="11"/>
      <c r="H3220" s="6"/>
    </row>
    <row r="3221" spans="5:8" x14ac:dyDescent="0.2">
      <c r="E3221" s="11"/>
      <c r="H3221" s="6"/>
    </row>
    <row r="3222" spans="5:8" x14ac:dyDescent="0.2">
      <c r="E3222" s="11"/>
      <c r="H3222" s="6"/>
    </row>
    <row r="3223" spans="5:8" x14ac:dyDescent="0.2">
      <c r="E3223" s="11"/>
      <c r="H3223" s="6"/>
    </row>
    <row r="3224" spans="5:8" x14ac:dyDescent="0.2">
      <c r="E3224" s="11"/>
      <c r="H3224" s="6"/>
    </row>
    <row r="3225" spans="5:8" x14ac:dyDescent="0.2">
      <c r="E3225" s="11"/>
      <c r="H3225" s="6"/>
    </row>
    <row r="3226" spans="5:8" x14ac:dyDescent="0.2">
      <c r="E3226" s="11"/>
      <c r="H3226" s="6"/>
    </row>
    <row r="3227" spans="5:8" x14ac:dyDescent="0.2">
      <c r="E3227" s="11"/>
      <c r="H3227" s="6"/>
    </row>
    <row r="3228" spans="5:8" x14ac:dyDescent="0.2">
      <c r="E3228" s="11"/>
      <c r="H3228" s="6"/>
    </row>
    <row r="3229" spans="5:8" x14ac:dyDescent="0.2">
      <c r="E3229" s="11"/>
      <c r="H3229" s="6"/>
    </row>
    <row r="3230" spans="5:8" x14ac:dyDescent="0.2">
      <c r="E3230" s="11"/>
      <c r="H3230" s="6"/>
    </row>
    <row r="3231" spans="5:8" x14ac:dyDescent="0.2">
      <c r="E3231" s="11"/>
      <c r="H3231" s="6"/>
    </row>
    <row r="3232" spans="5:8" x14ac:dyDescent="0.2">
      <c r="E3232" s="11"/>
      <c r="H3232" s="6"/>
    </row>
    <row r="3233" spans="5:8" x14ac:dyDescent="0.2">
      <c r="E3233" s="11"/>
      <c r="H3233" s="6"/>
    </row>
    <row r="3234" spans="5:8" x14ac:dyDescent="0.2">
      <c r="E3234" s="11"/>
      <c r="H3234" s="6"/>
    </row>
    <row r="3235" spans="5:8" x14ac:dyDescent="0.2">
      <c r="E3235" s="11"/>
      <c r="H3235" s="6"/>
    </row>
    <row r="3236" spans="5:8" x14ac:dyDescent="0.2">
      <c r="E3236" s="11"/>
      <c r="H3236" s="6"/>
    </row>
    <row r="3237" spans="5:8" x14ac:dyDescent="0.2">
      <c r="E3237" s="11"/>
      <c r="H3237" s="6"/>
    </row>
    <row r="3238" spans="5:8" x14ac:dyDescent="0.2">
      <c r="E3238" s="11"/>
      <c r="H3238" s="6"/>
    </row>
    <row r="3239" spans="5:8" x14ac:dyDescent="0.2">
      <c r="E3239" s="11"/>
      <c r="H3239" s="6"/>
    </row>
    <row r="3240" spans="5:8" x14ac:dyDescent="0.2">
      <c r="E3240" s="11"/>
      <c r="H3240" s="6"/>
    </row>
    <row r="3241" spans="5:8" x14ac:dyDescent="0.2">
      <c r="E3241" s="11"/>
      <c r="H3241" s="6"/>
    </row>
    <row r="3242" spans="5:8" x14ac:dyDescent="0.2">
      <c r="E3242" s="11"/>
      <c r="H3242" s="6"/>
    </row>
    <row r="3243" spans="5:8" x14ac:dyDescent="0.2">
      <c r="E3243" s="11"/>
      <c r="H3243" s="6"/>
    </row>
    <row r="3244" spans="5:8" x14ac:dyDescent="0.2">
      <c r="E3244" s="11"/>
      <c r="H3244" s="6"/>
    </row>
    <row r="3245" spans="5:8" x14ac:dyDescent="0.2">
      <c r="E3245" s="11"/>
      <c r="H3245" s="6"/>
    </row>
    <row r="3246" spans="5:8" x14ac:dyDescent="0.2">
      <c r="E3246" s="11"/>
      <c r="H3246" s="6"/>
    </row>
    <row r="3247" spans="5:8" x14ac:dyDescent="0.2">
      <c r="E3247" s="11"/>
      <c r="H3247" s="6"/>
    </row>
    <row r="3248" spans="5:8" x14ac:dyDescent="0.2">
      <c r="E3248" s="11"/>
      <c r="H3248" s="6"/>
    </row>
    <row r="3249" spans="5:8" x14ac:dyDescent="0.2">
      <c r="E3249" s="11"/>
      <c r="H3249" s="6"/>
    </row>
    <row r="3250" spans="5:8" x14ac:dyDescent="0.2">
      <c r="E3250" s="11"/>
      <c r="H3250" s="6"/>
    </row>
    <row r="3251" spans="5:8" x14ac:dyDescent="0.2">
      <c r="E3251" s="11"/>
      <c r="H3251" s="6"/>
    </row>
    <row r="3252" spans="5:8" x14ac:dyDescent="0.2">
      <c r="E3252" s="11"/>
      <c r="H3252" s="6"/>
    </row>
    <row r="3253" spans="5:8" x14ac:dyDescent="0.2">
      <c r="E3253" s="11"/>
      <c r="H3253" s="6"/>
    </row>
    <row r="3254" spans="5:8" x14ac:dyDescent="0.2">
      <c r="E3254" s="11"/>
      <c r="H3254" s="6"/>
    </row>
    <row r="3255" spans="5:8" x14ac:dyDescent="0.2">
      <c r="E3255" s="11"/>
      <c r="H3255" s="6"/>
    </row>
    <row r="3256" spans="5:8" x14ac:dyDescent="0.2">
      <c r="E3256" s="11"/>
      <c r="H3256" s="6"/>
    </row>
    <row r="3257" spans="5:8" x14ac:dyDescent="0.2">
      <c r="E3257" s="11"/>
      <c r="H3257" s="6"/>
    </row>
    <row r="3258" spans="5:8" x14ac:dyDescent="0.2">
      <c r="E3258" s="11"/>
      <c r="H3258" s="6"/>
    </row>
    <row r="3259" spans="5:8" x14ac:dyDescent="0.2">
      <c r="E3259" s="11"/>
      <c r="H3259" s="6"/>
    </row>
    <row r="3260" spans="5:8" x14ac:dyDescent="0.2">
      <c r="E3260" s="11"/>
      <c r="H3260" s="6"/>
    </row>
    <row r="3261" spans="5:8" x14ac:dyDescent="0.2">
      <c r="E3261" s="11"/>
      <c r="H3261" s="6"/>
    </row>
    <row r="3262" spans="5:8" x14ac:dyDescent="0.2">
      <c r="E3262" s="11"/>
      <c r="H3262" s="6"/>
    </row>
    <row r="3263" spans="5:8" x14ac:dyDescent="0.2">
      <c r="E3263" s="11"/>
      <c r="H3263" s="6"/>
    </row>
    <row r="3264" spans="5:8" x14ac:dyDescent="0.2">
      <c r="E3264" s="11"/>
      <c r="H3264" s="6"/>
    </row>
    <row r="3265" spans="5:8" x14ac:dyDescent="0.2">
      <c r="E3265" s="11"/>
      <c r="H3265" s="6"/>
    </row>
    <row r="3266" spans="5:8" x14ac:dyDescent="0.2">
      <c r="E3266" s="11"/>
      <c r="H3266" s="6"/>
    </row>
    <row r="3267" spans="5:8" x14ac:dyDescent="0.2">
      <c r="E3267" s="11"/>
      <c r="H3267" s="6"/>
    </row>
    <row r="3268" spans="5:8" x14ac:dyDescent="0.2">
      <c r="E3268" s="11"/>
      <c r="H3268" s="6"/>
    </row>
    <row r="3269" spans="5:8" x14ac:dyDescent="0.2">
      <c r="E3269" s="11"/>
      <c r="H3269" s="6"/>
    </row>
    <row r="3270" spans="5:8" x14ac:dyDescent="0.2">
      <c r="E3270" s="11"/>
      <c r="H3270" s="6"/>
    </row>
    <row r="3271" spans="5:8" x14ac:dyDescent="0.2">
      <c r="E3271" s="11"/>
      <c r="H3271" s="6"/>
    </row>
    <row r="3272" spans="5:8" x14ac:dyDescent="0.2">
      <c r="E3272" s="11"/>
      <c r="H3272" s="6"/>
    </row>
    <row r="3273" spans="5:8" x14ac:dyDescent="0.2">
      <c r="E3273" s="11"/>
      <c r="H3273" s="6"/>
    </row>
    <row r="3274" spans="5:8" x14ac:dyDescent="0.2">
      <c r="E3274" s="11"/>
      <c r="H3274" s="6"/>
    </row>
    <row r="3275" spans="5:8" x14ac:dyDescent="0.2">
      <c r="E3275" s="11"/>
      <c r="H3275" s="6"/>
    </row>
    <row r="3276" spans="5:8" x14ac:dyDescent="0.2">
      <c r="E3276" s="11"/>
      <c r="H3276" s="6"/>
    </row>
    <row r="3277" spans="5:8" x14ac:dyDescent="0.2">
      <c r="E3277" s="11"/>
      <c r="H3277" s="6"/>
    </row>
    <row r="3278" spans="5:8" x14ac:dyDescent="0.2">
      <c r="E3278" s="11"/>
      <c r="H3278" s="6"/>
    </row>
    <row r="3279" spans="5:8" x14ac:dyDescent="0.2">
      <c r="E3279" s="11"/>
      <c r="H3279" s="6"/>
    </row>
    <row r="3280" spans="5:8" x14ac:dyDescent="0.2">
      <c r="E3280" s="11"/>
      <c r="H3280" s="6"/>
    </row>
    <row r="3281" spans="5:8" x14ac:dyDescent="0.2">
      <c r="E3281" s="11"/>
      <c r="H3281" s="6"/>
    </row>
    <row r="3282" spans="5:8" x14ac:dyDescent="0.2">
      <c r="E3282" s="11"/>
      <c r="H3282" s="6"/>
    </row>
    <row r="3283" spans="5:8" x14ac:dyDescent="0.2">
      <c r="E3283" s="11"/>
      <c r="H3283" s="6"/>
    </row>
    <row r="3284" spans="5:8" x14ac:dyDescent="0.2">
      <c r="E3284" s="11"/>
      <c r="H3284" s="6"/>
    </row>
    <row r="3285" spans="5:8" x14ac:dyDescent="0.2">
      <c r="E3285" s="11"/>
      <c r="H3285" s="6"/>
    </row>
    <row r="3286" spans="5:8" x14ac:dyDescent="0.2">
      <c r="E3286" s="11"/>
      <c r="H3286" s="6"/>
    </row>
    <row r="3287" spans="5:8" x14ac:dyDescent="0.2">
      <c r="E3287" s="11"/>
      <c r="H3287" s="6"/>
    </row>
    <row r="3288" spans="5:8" x14ac:dyDescent="0.2">
      <c r="E3288" s="11"/>
      <c r="H3288" s="6"/>
    </row>
    <row r="3289" spans="5:8" x14ac:dyDescent="0.2">
      <c r="E3289" s="11"/>
      <c r="H3289" s="6"/>
    </row>
    <row r="3290" spans="5:8" x14ac:dyDescent="0.2">
      <c r="E3290" s="11"/>
      <c r="H3290" s="6"/>
    </row>
    <row r="3291" spans="5:8" x14ac:dyDescent="0.2">
      <c r="E3291" s="11"/>
      <c r="H3291" s="6"/>
    </row>
    <row r="3292" spans="5:8" x14ac:dyDescent="0.2">
      <c r="E3292" s="11"/>
      <c r="H3292" s="6"/>
    </row>
    <row r="3293" spans="5:8" x14ac:dyDescent="0.2">
      <c r="E3293" s="11"/>
      <c r="H3293" s="6"/>
    </row>
    <row r="3294" spans="5:8" x14ac:dyDescent="0.2">
      <c r="E3294" s="11"/>
      <c r="H3294" s="6"/>
    </row>
    <row r="3295" spans="5:8" x14ac:dyDescent="0.2">
      <c r="E3295" s="11"/>
      <c r="H3295" s="6"/>
    </row>
    <row r="3296" spans="5:8" x14ac:dyDescent="0.2">
      <c r="E3296" s="11"/>
      <c r="H3296" s="6"/>
    </row>
    <row r="3297" spans="5:8" x14ac:dyDescent="0.2">
      <c r="E3297" s="11"/>
      <c r="H3297" s="6"/>
    </row>
    <row r="3298" spans="5:8" x14ac:dyDescent="0.2">
      <c r="E3298" s="11"/>
      <c r="H3298" s="6"/>
    </row>
    <row r="3299" spans="5:8" x14ac:dyDescent="0.2">
      <c r="E3299" s="11"/>
      <c r="H3299" s="6"/>
    </row>
    <row r="3300" spans="5:8" x14ac:dyDescent="0.2">
      <c r="E3300" s="11"/>
      <c r="H3300" s="6"/>
    </row>
    <row r="3301" spans="5:8" x14ac:dyDescent="0.2">
      <c r="E3301" s="11"/>
      <c r="H3301" s="6"/>
    </row>
    <row r="3302" spans="5:8" x14ac:dyDescent="0.2">
      <c r="E3302" s="11"/>
      <c r="H3302" s="6"/>
    </row>
    <row r="3303" spans="5:8" x14ac:dyDescent="0.2">
      <c r="E3303" s="11"/>
      <c r="H3303" s="6"/>
    </row>
    <row r="3304" spans="5:8" x14ac:dyDescent="0.2">
      <c r="E3304" s="11"/>
      <c r="H3304" s="6"/>
    </row>
    <row r="3305" spans="5:8" x14ac:dyDescent="0.2">
      <c r="E3305" s="11"/>
      <c r="H3305" s="6"/>
    </row>
    <row r="3306" spans="5:8" x14ac:dyDescent="0.2">
      <c r="E3306" s="11"/>
      <c r="H3306" s="6"/>
    </row>
    <row r="3307" spans="5:8" x14ac:dyDescent="0.2">
      <c r="E3307" s="11"/>
      <c r="H3307" s="6"/>
    </row>
    <row r="3308" spans="5:8" x14ac:dyDescent="0.2">
      <c r="E3308" s="11"/>
      <c r="H3308" s="6"/>
    </row>
    <row r="3309" spans="5:8" x14ac:dyDescent="0.2">
      <c r="E3309" s="11"/>
      <c r="H3309" s="6"/>
    </row>
    <row r="3310" spans="5:8" x14ac:dyDescent="0.2">
      <c r="E3310" s="11"/>
      <c r="H3310" s="6"/>
    </row>
    <row r="3311" spans="5:8" x14ac:dyDescent="0.2">
      <c r="E3311" s="11"/>
      <c r="H3311" s="6"/>
    </row>
    <row r="3312" spans="5:8" x14ac:dyDescent="0.2">
      <c r="E3312" s="11"/>
      <c r="H3312" s="6"/>
    </row>
    <row r="3313" spans="5:8" x14ac:dyDescent="0.2">
      <c r="E3313" s="11"/>
      <c r="H3313" s="6"/>
    </row>
    <row r="3314" spans="5:8" x14ac:dyDescent="0.2">
      <c r="E3314" s="11"/>
      <c r="H3314" s="6"/>
    </row>
    <row r="3315" spans="5:8" x14ac:dyDescent="0.2">
      <c r="E3315" s="11"/>
      <c r="H3315" s="6"/>
    </row>
    <row r="3316" spans="5:8" x14ac:dyDescent="0.2">
      <c r="E3316" s="11"/>
      <c r="H3316" s="6"/>
    </row>
    <row r="3317" spans="5:8" x14ac:dyDescent="0.2">
      <c r="E3317" s="11"/>
      <c r="H3317" s="6"/>
    </row>
    <row r="3318" spans="5:8" x14ac:dyDescent="0.2">
      <c r="E3318" s="11"/>
      <c r="H3318" s="6"/>
    </row>
    <row r="3319" spans="5:8" x14ac:dyDescent="0.2">
      <c r="E3319" s="11"/>
      <c r="H3319" s="6"/>
    </row>
    <row r="3320" spans="5:8" x14ac:dyDescent="0.2">
      <c r="E3320" s="11"/>
      <c r="H3320" s="6"/>
    </row>
    <row r="3321" spans="5:8" x14ac:dyDescent="0.2">
      <c r="E3321" s="11"/>
      <c r="H3321" s="6"/>
    </row>
    <row r="3322" spans="5:8" x14ac:dyDescent="0.2">
      <c r="E3322" s="11"/>
      <c r="H3322" s="6"/>
    </row>
    <row r="3323" spans="5:8" x14ac:dyDescent="0.2">
      <c r="E3323" s="11"/>
      <c r="H3323" s="6"/>
    </row>
    <row r="3324" spans="5:8" x14ac:dyDescent="0.2">
      <c r="E3324" s="11"/>
      <c r="H3324" s="6"/>
    </row>
    <row r="3325" spans="5:8" x14ac:dyDescent="0.2">
      <c r="E3325" s="11"/>
      <c r="H3325" s="6"/>
    </row>
    <row r="3326" spans="5:8" x14ac:dyDescent="0.2">
      <c r="E3326" s="11"/>
      <c r="H3326" s="6"/>
    </row>
    <row r="3327" spans="5:8" x14ac:dyDescent="0.2">
      <c r="E3327" s="11"/>
      <c r="H3327" s="6"/>
    </row>
    <row r="3328" spans="5:8" x14ac:dyDescent="0.2">
      <c r="E3328" s="11"/>
      <c r="H3328" s="6"/>
    </row>
    <row r="3329" spans="5:8" x14ac:dyDescent="0.2">
      <c r="E3329" s="11"/>
      <c r="H3329" s="6"/>
    </row>
    <row r="3330" spans="5:8" x14ac:dyDescent="0.2">
      <c r="E3330" s="11"/>
      <c r="H3330" s="6"/>
    </row>
    <row r="3331" spans="5:8" x14ac:dyDescent="0.2">
      <c r="E3331" s="11"/>
      <c r="H3331" s="6"/>
    </row>
    <row r="3332" spans="5:8" x14ac:dyDescent="0.2">
      <c r="E3332" s="11"/>
      <c r="H3332" s="6"/>
    </row>
    <row r="3333" spans="5:8" x14ac:dyDescent="0.2">
      <c r="E3333" s="11"/>
      <c r="H3333" s="6"/>
    </row>
    <row r="3334" spans="5:8" x14ac:dyDescent="0.2">
      <c r="E3334" s="11"/>
      <c r="H3334" s="6"/>
    </row>
    <row r="3335" spans="5:8" x14ac:dyDescent="0.2">
      <c r="E3335" s="11"/>
      <c r="H3335" s="6"/>
    </row>
    <row r="3336" spans="5:8" x14ac:dyDescent="0.2">
      <c r="E3336" s="11"/>
      <c r="H3336" s="6"/>
    </row>
    <row r="3337" spans="5:8" x14ac:dyDescent="0.2">
      <c r="E3337" s="11"/>
      <c r="H3337" s="6"/>
    </row>
    <row r="3338" spans="5:8" x14ac:dyDescent="0.2">
      <c r="E3338" s="11"/>
      <c r="H3338" s="6"/>
    </row>
    <row r="3339" spans="5:8" x14ac:dyDescent="0.2">
      <c r="E3339" s="11"/>
      <c r="H3339" s="6"/>
    </row>
    <row r="3340" spans="5:8" x14ac:dyDescent="0.2">
      <c r="E3340" s="11"/>
      <c r="H3340" s="6"/>
    </row>
    <row r="3341" spans="5:8" x14ac:dyDescent="0.2">
      <c r="E3341" s="11"/>
      <c r="H3341" s="6"/>
    </row>
    <row r="3342" spans="5:8" x14ac:dyDescent="0.2">
      <c r="E3342" s="11"/>
      <c r="H3342" s="6"/>
    </row>
    <row r="3343" spans="5:8" x14ac:dyDescent="0.2">
      <c r="E3343" s="11"/>
      <c r="H3343" s="6"/>
    </row>
    <row r="3344" spans="5:8" x14ac:dyDescent="0.2">
      <c r="E3344" s="11"/>
      <c r="H3344" s="6"/>
    </row>
    <row r="3345" spans="5:8" x14ac:dyDescent="0.2">
      <c r="E3345" s="11"/>
      <c r="H3345" s="6"/>
    </row>
    <row r="3346" spans="5:8" x14ac:dyDescent="0.2">
      <c r="E3346" s="11"/>
      <c r="H3346" s="6"/>
    </row>
    <row r="3347" spans="5:8" x14ac:dyDescent="0.2">
      <c r="E3347" s="11"/>
      <c r="H3347" s="6"/>
    </row>
    <row r="3348" spans="5:8" x14ac:dyDescent="0.2">
      <c r="E3348" s="11"/>
      <c r="H3348" s="6"/>
    </row>
    <row r="3349" spans="5:8" x14ac:dyDescent="0.2">
      <c r="E3349" s="11"/>
      <c r="H3349" s="6"/>
    </row>
    <row r="3350" spans="5:8" x14ac:dyDescent="0.2">
      <c r="E3350" s="11"/>
      <c r="H3350" s="6"/>
    </row>
    <row r="3351" spans="5:8" x14ac:dyDescent="0.2">
      <c r="E3351" s="11"/>
      <c r="H3351" s="6"/>
    </row>
    <row r="3352" spans="5:8" x14ac:dyDescent="0.2">
      <c r="E3352" s="11"/>
      <c r="H3352" s="6"/>
    </row>
    <row r="3353" spans="5:8" x14ac:dyDescent="0.2">
      <c r="E3353" s="11"/>
      <c r="H3353" s="6"/>
    </row>
    <row r="3354" spans="5:8" x14ac:dyDescent="0.2">
      <c r="E3354" s="11"/>
      <c r="H3354" s="6"/>
    </row>
    <row r="3355" spans="5:8" x14ac:dyDescent="0.2">
      <c r="E3355" s="11"/>
      <c r="H3355" s="6"/>
    </row>
    <row r="3356" spans="5:8" x14ac:dyDescent="0.2">
      <c r="E3356" s="11"/>
      <c r="H3356" s="6"/>
    </row>
    <row r="3357" spans="5:8" x14ac:dyDescent="0.2">
      <c r="E3357" s="11"/>
      <c r="H3357" s="6"/>
    </row>
    <row r="3358" spans="5:8" x14ac:dyDescent="0.2">
      <c r="E3358" s="11"/>
      <c r="H3358" s="6"/>
    </row>
    <row r="3359" spans="5:8" x14ac:dyDescent="0.2">
      <c r="E3359" s="11"/>
      <c r="H3359" s="6"/>
    </row>
    <row r="3360" spans="5:8" x14ac:dyDescent="0.2">
      <c r="E3360" s="11"/>
      <c r="H3360" s="6"/>
    </row>
    <row r="3361" spans="5:8" x14ac:dyDescent="0.2">
      <c r="E3361" s="11"/>
      <c r="H3361" s="6"/>
    </row>
    <row r="3362" spans="5:8" x14ac:dyDescent="0.2">
      <c r="E3362" s="11"/>
      <c r="H3362" s="6"/>
    </row>
    <row r="3363" spans="5:8" x14ac:dyDescent="0.2">
      <c r="E3363" s="11"/>
      <c r="H3363" s="6"/>
    </row>
    <row r="3364" spans="5:8" x14ac:dyDescent="0.2">
      <c r="E3364" s="11"/>
      <c r="H3364" s="6"/>
    </row>
    <row r="3365" spans="5:8" x14ac:dyDescent="0.2">
      <c r="E3365" s="11"/>
      <c r="H3365" s="6"/>
    </row>
    <row r="3366" spans="5:8" x14ac:dyDescent="0.2">
      <c r="E3366" s="11"/>
      <c r="H3366" s="6"/>
    </row>
    <row r="3367" spans="5:8" x14ac:dyDescent="0.2">
      <c r="E3367" s="11"/>
      <c r="H3367" s="6"/>
    </row>
    <row r="3368" spans="5:8" x14ac:dyDescent="0.2">
      <c r="E3368" s="11"/>
      <c r="H3368" s="6"/>
    </row>
    <row r="3369" spans="5:8" x14ac:dyDescent="0.2">
      <c r="E3369" s="11"/>
      <c r="H3369" s="6"/>
    </row>
    <row r="3370" spans="5:8" x14ac:dyDescent="0.2">
      <c r="E3370" s="11"/>
      <c r="H3370" s="6"/>
    </row>
    <row r="3371" spans="5:8" x14ac:dyDescent="0.2">
      <c r="E3371" s="11"/>
      <c r="H3371" s="6"/>
    </row>
    <row r="3372" spans="5:8" x14ac:dyDescent="0.2">
      <c r="E3372" s="11"/>
      <c r="H3372" s="6"/>
    </row>
    <row r="3373" spans="5:8" x14ac:dyDescent="0.2">
      <c r="E3373" s="11"/>
      <c r="H3373" s="6"/>
    </row>
    <row r="3374" spans="5:8" x14ac:dyDescent="0.2">
      <c r="E3374" s="11"/>
      <c r="H3374" s="6"/>
    </row>
    <row r="3375" spans="5:8" x14ac:dyDescent="0.2">
      <c r="E3375" s="11"/>
      <c r="H3375" s="6"/>
    </row>
    <row r="3376" spans="5:8" x14ac:dyDescent="0.2">
      <c r="E3376" s="11"/>
      <c r="H3376" s="6"/>
    </row>
    <row r="3377" spans="5:8" x14ac:dyDescent="0.2">
      <c r="E3377" s="11"/>
      <c r="H3377" s="6"/>
    </row>
    <row r="3378" spans="5:8" x14ac:dyDescent="0.2">
      <c r="E3378" s="11"/>
      <c r="H3378" s="6"/>
    </row>
    <row r="3379" spans="5:8" x14ac:dyDescent="0.2">
      <c r="E3379" s="11"/>
      <c r="H3379" s="6"/>
    </row>
    <row r="3380" spans="5:8" x14ac:dyDescent="0.2">
      <c r="E3380" s="11"/>
      <c r="H3380" s="6"/>
    </row>
    <row r="3381" spans="5:8" x14ac:dyDescent="0.2">
      <c r="E3381" s="11"/>
      <c r="H3381" s="6"/>
    </row>
    <row r="3382" spans="5:8" x14ac:dyDescent="0.2">
      <c r="E3382" s="11"/>
      <c r="H3382" s="6"/>
    </row>
    <row r="3383" spans="5:8" x14ac:dyDescent="0.2">
      <c r="E3383" s="11"/>
      <c r="H3383" s="6"/>
    </row>
    <row r="3384" spans="5:8" x14ac:dyDescent="0.2">
      <c r="E3384" s="11"/>
      <c r="H3384" s="6"/>
    </row>
    <row r="3385" spans="5:8" x14ac:dyDescent="0.2">
      <c r="E3385" s="11"/>
      <c r="H3385" s="6"/>
    </row>
    <row r="3386" spans="5:8" x14ac:dyDescent="0.2">
      <c r="E3386" s="11"/>
      <c r="H3386" s="6"/>
    </row>
    <row r="3387" spans="5:8" x14ac:dyDescent="0.2">
      <c r="E3387" s="11"/>
      <c r="H3387" s="6"/>
    </row>
    <row r="3388" spans="5:8" x14ac:dyDescent="0.2">
      <c r="E3388" s="11"/>
      <c r="H3388" s="6"/>
    </row>
    <row r="3389" spans="5:8" x14ac:dyDescent="0.2">
      <c r="E3389" s="11"/>
      <c r="H3389" s="6"/>
    </row>
    <row r="3390" spans="5:8" x14ac:dyDescent="0.2">
      <c r="E3390" s="11"/>
      <c r="H3390" s="6"/>
    </row>
    <row r="3391" spans="5:8" x14ac:dyDescent="0.2">
      <c r="E3391" s="11"/>
      <c r="H3391" s="6"/>
    </row>
    <row r="3392" spans="5:8" x14ac:dyDescent="0.2">
      <c r="E3392" s="11"/>
      <c r="H3392" s="6"/>
    </row>
    <row r="3393" spans="5:8" x14ac:dyDescent="0.2">
      <c r="E3393" s="11"/>
      <c r="H3393" s="6"/>
    </row>
    <row r="3394" spans="5:8" x14ac:dyDescent="0.2">
      <c r="E3394" s="11"/>
      <c r="H3394" s="6"/>
    </row>
    <row r="3395" spans="5:8" x14ac:dyDescent="0.2">
      <c r="E3395" s="11"/>
      <c r="H3395" s="6"/>
    </row>
    <row r="3396" spans="5:8" x14ac:dyDescent="0.2">
      <c r="E3396" s="11"/>
      <c r="H3396" s="6"/>
    </row>
    <row r="3397" spans="5:8" x14ac:dyDescent="0.2">
      <c r="E3397" s="11"/>
      <c r="H3397" s="6"/>
    </row>
    <row r="3398" spans="5:8" x14ac:dyDescent="0.2">
      <c r="E3398" s="11"/>
      <c r="H3398" s="6"/>
    </row>
    <row r="3399" spans="5:8" x14ac:dyDescent="0.2">
      <c r="E3399" s="11"/>
      <c r="H3399" s="6"/>
    </row>
    <row r="3400" spans="5:8" x14ac:dyDescent="0.2">
      <c r="E3400" s="11"/>
      <c r="H3400" s="6"/>
    </row>
    <row r="3401" spans="5:8" x14ac:dyDescent="0.2">
      <c r="E3401" s="11"/>
      <c r="H3401" s="6"/>
    </row>
    <row r="3402" spans="5:8" x14ac:dyDescent="0.2">
      <c r="E3402" s="11"/>
      <c r="H3402" s="6"/>
    </row>
    <row r="3403" spans="5:8" x14ac:dyDescent="0.2">
      <c r="E3403" s="11"/>
      <c r="H3403" s="6"/>
    </row>
    <row r="3404" spans="5:8" x14ac:dyDescent="0.2">
      <c r="E3404" s="11"/>
      <c r="H3404" s="6"/>
    </row>
    <row r="3405" spans="5:8" x14ac:dyDescent="0.2">
      <c r="E3405" s="11"/>
      <c r="H3405" s="6"/>
    </row>
    <row r="3406" spans="5:8" x14ac:dyDescent="0.2">
      <c r="E3406" s="11"/>
      <c r="H3406" s="6"/>
    </row>
    <row r="3407" spans="5:8" x14ac:dyDescent="0.2">
      <c r="E3407" s="11"/>
      <c r="H3407" s="6"/>
    </row>
    <row r="3408" spans="5:8" x14ac:dyDescent="0.2">
      <c r="E3408" s="11"/>
      <c r="H3408" s="6"/>
    </row>
    <row r="3409" spans="5:8" x14ac:dyDescent="0.2">
      <c r="E3409" s="11"/>
      <c r="H3409" s="6"/>
    </row>
    <row r="3410" spans="5:8" x14ac:dyDescent="0.2">
      <c r="E3410" s="11"/>
      <c r="H3410" s="6"/>
    </row>
    <row r="3411" spans="5:8" x14ac:dyDescent="0.2">
      <c r="E3411" s="11"/>
      <c r="H3411" s="6"/>
    </row>
    <row r="3412" spans="5:8" x14ac:dyDescent="0.2">
      <c r="E3412" s="11"/>
      <c r="H3412" s="6"/>
    </row>
    <row r="3413" spans="5:8" x14ac:dyDescent="0.2">
      <c r="E3413" s="11"/>
      <c r="H3413" s="6"/>
    </row>
    <row r="3414" spans="5:8" x14ac:dyDescent="0.2">
      <c r="E3414" s="11"/>
      <c r="H3414" s="6"/>
    </row>
    <row r="3415" spans="5:8" x14ac:dyDescent="0.2">
      <c r="E3415" s="11"/>
      <c r="H3415" s="6"/>
    </row>
    <row r="3416" spans="5:8" x14ac:dyDescent="0.2">
      <c r="E3416" s="11"/>
      <c r="H3416" s="6"/>
    </row>
    <row r="3417" spans="5:8" x14ac:dyDescent="0.2">
      <c r="E3417" s="11"/>
      <c r="H3417" s="6"/>
    </row>
    <row r="3418" spans="5:8" x14ac:dyDescent="0.2">
      <c r="E3418" s="11"/>
      <c r="H3418" s="6"/>
    </row>
    <row r="3419" spans="5:8" x14ac:dyDescent="0.2">
      <c r="E3419" s="11"/>
      <c r="H3419" s="6"/>
    </row>
    <row r="3420" spans="5:8" x14ac:dyDescent="0.2">
      <c r="E3420" s="11"/>
      <c r="H3420" s="6"/>
    </row>
    <row r="3421" spans="5:8" x14ac:dyDescent="0.2">
      <c r="E3421" s="11"/>
      <c r="H3421" s="6"/>
    </row>
    <row r="3422" spans="5:8" x14ac:dyDescent="0.2">
      <c r="E3422" s="11"/>
      <c r="H3422" s="6"/>
    </row>
    <row r="3423" spans="5:8" x14ac:dyDescent="0.2">
      <c r="E3423" s="11"/>
      <c r="H3423" s="6"/>
    </row>
    <row r="3424" spans="5:8" x14ac:dyDescent="0.2">
      <c r="E3424" s="11"/>
      <c r="H3424" s="6"/>
    </row>
    <row r="3425" spans="5:8" x14ac:dyDescent="0.2">
      <c r="E3425" s="11"/>
      <c r="H3425" s="6"/>
    </row>
    <row r="3426" spans="5:8" x14ac:dyDescent="0.2">
      <c r="E3426" s="11"/>
      <c r="H3426" s="6"/>
    </row>
    <row r="3427" spans="5:8" x14ac:dyDescent="0.2">
      <c r="E3427" s="11"/>
      <c r="H3427" s="6"/>
    </row>
    <row r="3428" spans="5:8" x14ac:dyDescent="0.2">
      <c r="E3428" s="11"/>
      <c r="H3428" s="6"/>
    </row>
    <row r="3429" spans="5:8" x14ac:dyDescent="0.2">
      <c r="E3429" s="11"/>
      <c r="H3429" s="6"/>
    </row>
    <row r="3430" spans="5:8" x14ac:dyDescent="0.2">
      <c r="E3430" s="11"/>
      <c r="H3430" s="6"/>
    </row>
    <row r="3431" spans="5:8" x14ac:dyDescent="0.2">
      <c r="E3431" s="11"/>
      <c r="H3431" s="6"/>
    </row>
    <row r="3432" spans="5:8" x14ac:dyDescent="0.2">
      <c r="E3432" s="11"/>
      <c r="H3432" s="6"/>
    </row>
    <row r="3433" spans="5:8" x14ac:dyDescent="0.2">
      <c r="E3433" s="11"/>
      <c r="H3433" s="6"/>
    </row>
    <row r="3434" spans="5:8" x14ac:dyDescent="0.2">
      <c r="E3434" s="11"/>
      <c r="H3434" s="6"/>
    </row>
    <row r="3435" spans="5:8" x14ac:dyDescent="0.2">
      <c r="E3435" s="11"/>
      <c r="H3435" s="6"/>
    </row>
    <row r="3436" spans="5:8" x14ac:dyDescent="0.2">
      <c r="E3436" s="11"/>
      <c r="H3436" s="6"/>
    </row>
    <row r="3437" spans="5:8" x14ac:dyDescent="0.2">
      <c r="E3437" s="11"/>
      <c r="H3437" s="6"/>
    </row>
    <row r="3438" spans="5:8" x14ac:dyDescent="0.2">
      <c r="E3438" s="11"/>
      <c r="H3438" s="6"/>
    </row>
    <row r="3439" spans="5:8" x14ac:dyDescent="0.2">
      <c r="E3439" s="11"/>
      <c r="H3439" s="6"/>
    </row>
    <row r="3440" spans="5:8" x14ac:dyDescent="0.2">
      <c r="E3440" s="11"/>
      <c r="H3440" s="6"/>
    </row>
    <row r="3441" spans="5:8" x14ac:dyDescent="0.2">
      <c r="E3441" s="11"/>
      <c r="H3441" s="6"/>
    </row>
    <row r="3442" spans="5:8" x14ac:dyDescent="0.2">
      <c r="E3442" s="11"/>
      <c r="H3442" s="6"/>
    </row>
    <row r="3443" spans="5:8" x14ac:dyDescent="0.2">
      <c r="E3443" s="11"/>
      <c r="H3443" s="6"/>
    </row>
    <row r="3444" spans="5:8" x14ac:dyDescent="0.2">
      <c r="E3444" s="11"/>
      <c r="H3444" s="6"/>
    </row>
    <row r="3445" spans="5:8" x14ac:dyDescent="0.2">
      <c r="E3445" s="11"/>
      <c r="H3445" s="6"/>
    </row>
    <row r="3446" spans="5:8" x14ac:dyDescent="0.2">
      <c r="E3446" s="11"/>
      <c r="H3446" s="6"/>
    </row>
    <row r="3447" spans="5:8" x14ac:dyDescent="0.2">
      <c r="E3447" s="11"/>
      <c r="H3447" s="6"/>
    </row>
    <row r="3448" spans="5:8" x14ac:dyDescent="0.2">
      <c r="E3448" s="11"/>
      <c r="H3448" s="6"/>
    </row>
    <row r="3449" spans="5:8" x14ac:dyDescent="0.2">
      <c r="E3449" s="11"/>
      <c r="H3449" s="6"/>
    </row>
    <row r="3450" spans="5:8" x14ac:dyDescent="0.2">
      <c r="E3450" s="11"/>
      <c r="H3450" s="6"/>
    </row>
    <row r="3451" spans="5:8" x14ac:dyDescent="0.2">
      <c r="E3451" s="11"/>
      <c r="H3451" s="6"/>
    </row>
    <row r="3452" spans="5:8" x14ac:dyDescent="0.2">
      <c r="E3452" s="11"/>
      <c r="H3452" s="6"/>
    </row>
    <row r="3453" spans="5:8" x14ac:dyDescent="0.2">
      <c r="E3453" s="11"/>
      <c r="H3453" s="6"/>
    </row>
    <row r="3454" spans="5:8" x14ac:dyDescent="0.2">
      <c r="E3454" s="11"/>
      <c r="H3454" s="6"/>
    </row>
    <row r="3455" spans="5:8" x14ac:dyDescent="0.2">
      <c r="E3455" s="11"/>
      <c r="H3455" s="6"/>
    </row>
    <row r="3456" spans="5:8" x14ac:dyDescent="0.2">
      <c r="E3456" s="11"/>
      <c r="H3456" s="6"/>
    </row>
    <row r="3457" spans="5:8" x14ac:dyDescent="0.2">
      <c r="E3457" s="11"/>
      <c r="H3457" s="6"/>
    </row>
    <row r="3458" spans="5:8" x14ac:dyDescent="0.2">
      <c r="E3458" s="11"/>
      <c r="H3458" s="6"/>
    </row>
    <row r="3459" spans="5:8" x14ac:dyDescent="0.2">
      <c r="E3459" s="11"/>
      <c r="H3459" s="6"/>
    </row>
    <row r="3460" spans="5:8" x14ac:dyDescent="0.2">
      <c r="E3460" s="11"/>
      <c r="H3460" s="6"/>
    </row>
    <row r="3461" spans="5:8" x14ac:dyDescent="0.2">
      <c r="E3461" s="11"/>
      <c r="H3461" s="6"/>
    </row>
    <row r="3462" spans="5:8" x14ac:dyDescent="0.2">
      <c r="E3462" s="11"/>
      <c r="H3462" s="6"/>
    </row>
    <row r="3463" spans="5:8" x14ac:dyDescent="0.2">
      <c r="E3463" s="11"/>
      <c r="H3463" s="6"/>
    </row>
    <row r="3464" spans="5:8" x14ac:dyDescent="0.2">
      <c r="E3464" s="11"/>
      <c r="H3464" s="6"/>
    </row>
    <row r="3465" spans="5:8" x14ac:dyDescent="0.2">
      <c r="E3465" s="11"/>
      <c r="H3465" s="6"/>
    </row>
    <row r="3466" spans="5:8" x14ac:dyDescent="0.2">
      <c r="E3466" s="11"/>
      <c r="H3466" s="6"/>
    </row>
    <row r="3467" spans="5:8" x14ac:dyDescent="0.2">
      <c r="E3467" s="11"/>
      <c r="H3467" s="6"/>
    </row>
    <row r="3468" spans="5:8" x14ac:dyDescent="0.2">
      <c r="E3468" s="11"/>
      <c r="H3468" s="6"/>
    </row>
    <row r="3469" spans="5:8" x14ac:dyDescent="0.2">
      <c r="E3469" s="11"/>
      <c r="H3469" s="6"/>
    </row>
    <row r="3470" spans="5:8" x14ac:dyDescent="0.2">
      <c r="E3470" s="11"/>
      <c r="H3470" s="6"/>
    </row>
    <row r="3471" spans="5:8" x14ac:dyDescent="0.2">
      <c r="E3471" s="11"/>
      <c r="H3471" s="6"/>
    </row>
    <row r="3472" spans="5:8" x14ac:dyDescent="0.2">
      <c r="E3472" s="11"/>
      <c r="H3472" s="6"/>
    </row>
    <row r="3473" spans="5:8" x14ac:dyDescent="0.2">
      <c r="E3473" s="11"/>
      <c r="H3473" s="6"/>
    </row>
    <row r="3474" spans="5:8" x14ac:dyDescent="0.2">
      <c r="E3474" s="11"/>
      <c r="H3474" s="6"/>
    </row>
    <row r="3475" spans="5:8" x14ac:dyDescent="0.2">
      <c r="E3475" s="11"/>
      <c r="H3475" s="6"/>
    </row>
    <row r="3476" spans="5:8" x14ac:dyDescent="0.2">
      <c r="E3476" s="11"/>
      <c r="H3476" s="6"/>
    </row>
    <row r="3477" spans="5:8" x14ac:dyDescent="0.2">
      <c r="E3477" s="11"/>
      <c r="H3477" s="6"/>
    </row>
    <row r="3478" spans="5:8" x14ac:dyDescent="0.2">
      <c r="E3478" s="11"/>
      <c r="H3478" s="6"/>
    </row>
    <row r="3479" spans="5:8" x14ac:dyDescent="0.2">
      <c r="E3479" s="11"/>
      <c r="H3479" s="6"/>
    </row>
    <row r="3480" spans="5:8" x14ac:dyDescent="0.2">
      <c r="E3480" s="11"/>
      <c r="H3480" s="6"/>
    </row>
    <row r="3481" spans="5:8" x14ac:dyDescent="0.2">
      <c r="E3481" s="11"/>
      <c r="H3481" s="6"/>
    </row>
    <row r="3482" spans="5:8" x14ac:dyDescent="0.2">
      <c r="E3482" s="11"/>
      <c r="H3482" s="6"/>
    </row>
    <row r="3483" spans="5:8" x14ac:dyDescent="0.2">
      <c r="E3483" s="11"/>
      <c r="H3483" s="6"/>
    </row>
    <row r="3484" spans="5:8" x14ac:dyDescent="0.2">
      <c r="E3484" s="11"/>
      <c r="H3484" s="6"/>
    </row>
    <row r="3485" spans="5:8" x14ac:dyDescent="0.2">
      <c r="E3485" s="11"/>
      <c r="H3485" s="6"/>
    </row>
    <row r="3486" spans="5:8" x14ac:dyDescent="0.2">
      <c r="E3486" s="11"/>
      <c r="H3486" s="6"/>
    </row>
    <row r="3487" spans="5:8" x14ac:dyDescent="0.2">
      <c r="E3487" s="11"/>
      <c r="H3487" s="6"/>
    </row>
    <row r="3488" spans="5:8" x14ac:dyDescent="0.2">
      <c r="E3488" s="11"/>
      <c r="H3488" s="6"/>
    </row>
    <row r="3489" spans="5:8" x14ac:dyDescent="0.2">
      <c r="E3489" s="11"/>
      <c r="H3489" s="6"/>
    </row>
    <row r="3490" spans="5:8" x14ac:dyDescent="0.2">
      <c r="E3490" s="11"/>
      <c r="H3490" s="6"/>
    </row>
    <row r="3491" spans="5:8" x14ac:dyDescent="0.2">
      <c r="E3491" s="11"/>
      <c r="H3491" s="6"/>
    </row>
    <row r="3492" spans="5:8" x14ac:dyDescent="0.2">
      <c r="E3492" s="11"/>
      <c r="H3492" s="6"/>
    </row>
    <row r="3493" spans="5:8" x14ac:dyDescent="0.2">
      <c r="E3493" s="11"/>
      <c r="H3493" s="6"/>
    </row>
    <row r="3494" spans="5:8" x14ac:dyDescent="0.2">
      <c r="E3494" s="11"/>
      <c r="H3494" s="6"/>
    </row>
    <row r="3495" spans="5:8" x14ac:dyDescent="0.2">
      <c r="E3495" s="11"/>
      <c r="H3495" s="6"/>
    </row>
    <row r="3496" spans="5:8" x14ac:dyDescent="0.2">
      <c r="E3496" s="11"/>
      <c r="H3496" s="6"/>
    </row>
    <row r="3497" spans="5:8" x14ac:dyDescent="0.2">
      <c r="E3497" s="11"/>
      <c r="H3497" s="6"/>
    </row>
    <row r="3498" spans="5:8" x14ac:dyDescent="0.2">
      <c r="E3498" s="11"/>
      <c r="H3498" s="6"/>
    </row>
    <row r="3499" spans="5:8" x14ac:dyDescent="0.2">
      <c r="E3499" s="11"/>
      <c r="H3499" s="6"/>
    </row>
    <row r="3500" spans="5:8" x14ac:dyDescent="0.2">
      <c r="E3500" s="11"/>
      <c r="H3500" s="6"/>
    </row>
    <row r="3501" spans="5:8" x14ac:dyDescent="0.2">
      <c r="E3501" s="11"/>
      <c r="H3501" s="6"/>
    </row>
    <row r="3502" spans="5:8" x14ac:dyDescent="0.2">
      <c r="E3502" s="11"/>
      <c r="H3502" s="6"/>
    </row>
    <row r="3503" spans="5:8" x14ac:dyDescent="0.2">
      <c r="E3503" s="11"/>
      <c r="H3503" s="6"/>
    </row>
    <row r="3504" spans="5:8" x14ac:dyDescent="0.2">
      <c r="E3504" s="11"/>
      <c r="H3504" s="6"/>
    </row>
    <row r="3505" spans="5:8" x14ac:dyDescent="0.2">
      <c r="E3505" s="11"/>
      <c r="H3505" s="6"/>
    </row>
    <row r="3506" spans="5:8" x14ac:dyDescent="0.2">
      <c r="E3506" s="11"/>
      <c r="H3506" s="6"/>
    </row>
    <row r="3507" spans="5:8" x14ac:dyDescent="0.2">
      <c r="E3507" s="11"/>
      <c r="H3507" s="6"/>
    </row>
    <row r="3508" spans="5:8" x14ac:dyDescent="0.2">
      <c r="E3508" s="11"/>
      <c r="H3508" s="6"/>
    </row>
    <row r="3509" spans="5:8" x14ac:dyDescent="0.2">
      <c r="E3509" s="11"/>
      <c r="H3509" s="6"/>
    </row>
    <row r="3510" spans="5:8" x14ac:dyDescent="0.2">
      <c r="E3510" s="11"/>
      <c r="H3510" s="6"/>
    </row>
    <row r="3511" spans="5:8" x14ac:dyDescent="0.2">
      <c r="E3511" s="11"/>
      <c r="H3511" s="6"/>
    </row>
    <row r="3512" spans="5:8" x14ac:dyDescent="0.2">
      <c r="E3512" s="11"/>
      <c r="H3512" s="6"/>
    </row>
    <row r="3513" spans="5:8" x14ac:dyDescent="0.2">
      <c r="E3513" s="11"/>
      <c r="H3513" s="6"/>
    </row>
    <row r="3514" spans="5:8" x14ac:dyDescent="0.2">
      <c r="E3514" s="11"/>
      <c r="H3514" s="6"/>
    </row>
    <row r="3515" spans="5:8" x14ac:dyDescent="0.2">
      <c r="E3515" s="11"/>
      <c r="H3515" s="6"/>
    </row>
    <row r="3516" spans="5:8" x14ac:dyDescent="0.2">
      <c r="E3516" s="11"/>
      <c r="H3516" s="6"/>
    </row>
    <row r="3517" spans="5:8" x14ac:dyDescent="0.2">
      <c r="E3517" s="11"/>
      <c r="H3517" s="6"/>
    </row>
    <row r="3518" spans="5:8" x14ac:dyDescent="0.2">
      <c r="E3518" s="11"/>
      <c r="H3518" s="6"/>
    </row>
    <row r="3519" spans="5:8" x14ac:dyDescent="0.2">
      <c r="E3519" s="11"/>
      <c r="H3519" s="6"/>
    </row>
    <row r="3520" spans="5:8" x14ac:dyDescent="0.2">
      <c r="E3520" s="11"/>
      <c r="H3520" s="6"/>
    </row>
    <row r="3521" spans="5:8" x14ac:dyDescent="0.2">
      <c r="E3521" s="11"/>
      <c r="H3521" s="6"/>
    </row>
    <row r="3522" spans="5:8" x14ac:dyDescent="0.2">
      <c r="E3522" s="11"/>
      <c r="H3522" s="6"/>
    </row>
    <row r="3523" spans="5:8" x14ac:dyDescent="0.2">
      <c r="E3523" s="11"/>
      <c r="H3523" s="6"/>
    </row>
    <row r="3524" spans="5:8" x14ac:dyDescent="0.2">
      <c r="E3524" s="11"/>
      <c r="H3524" s="6"/>
    </row>
    <row r="3525" spans="5:8" x14ac:dyDescent="0.2">
      <c r="E3525" s="11"/>
      <c r="H3525" s="6"/>
    </row>
    <row r="3526" spans="5:8" x14ac:dyDescent="0.2">
      <c r="E3526" s="11"/>
      <c r="H3526" s="6"/>
    </row>
    <row r="3527" spans="5:8" x14ac:dyDescent="0.2">
      <c r="E3527" s="11"/>
      <c r="H3527" s="6"/>
    </row>
    <row r="3528" spans="5:8" x14ac:dyDescent="0.2">
      <c r="E3528" s="11"/>
      <c r="H3528" s="6"/>
    </row>
    <row r="3529" spans="5:8" x14ac:dyDescent="0.2">
      <c r="E3529" s="11"/>
      <c r="H3529" s="6"/>
    </row>
    <row r="3530" spans="5:8" x14ac:dyDescent="0.2">
      <c r="E3530" s="11"/>
      <c r="H3530" s="6"/>
    </row>
    <row r="3531" spans="5:8" x14ac:dyDescent="0.2">
      <c r="E3531" s="11"/>
      <c r="H3531" s="6"/>
    </row>
    <row r="3532" spans="5:8" x14ac:dyDescent="0.2">
      <c r="E3532" s="11"/>
      <c r="H3532" s="6"/>
    </row>
    <row r="3533" spans="5:8" x14ac:dyDescent="0.2">
      <c r="E3533" s="11"/>
      <c r="H3533" s="6"/>
    </row>
    <row r="3534" spans="5:8" x14ac:dyDescent="0.2">
      <c r="E3534" s="11"/>
      <c r="H3534" s="6"/>
    </row>
    <row r="3535" spans="5:8" x14ac:dyDescent="0.2">
      <c r="E3535" s="11"/>
      <c r="H3535" s="6"/>
    </row>
    <row r="3536" spans="5:8" x14ac:dyDescent="0.2">
      <c r="E3536" s="11"/>
      <c r="H3536" s="6"/>
    </row>
    <row r="3537" spans="5:8" x14ac:dyDescent="0.2">
      <c r="E3537" s="11"/>
      <c r="H3537" s="6"/>
    </row>
    <row r="3538" spans="5:8" x14ac:dyDescent="0.2">
      <c r="E3538" s="11"/>
      <c r="H3538" s="6"/>
    </row>
    <row r="3539" spans="5:8" x14ac:dyDescent="0.2">
      <c r="E3539" s="11"/>
      <c r="H3539" s="6"/>
    </row>
    <row r="3540" spans="5:8" x14ac:dyDescent="0.2">
      <c r="E3540" s="11"/>
      <c r="H3540" s="6"/>
    </row>
    <row r="3541" spans="5:8" x14ac:dyDescent="0.2">
      <c r="E3541" s="11"/>
      <c r="H3541" s="6"/>
    </row>
    <row r="3542" spans="5:8" x14ac:dyDescent="0.2">
      <c r="E3542" s="11"/>
      <c r="H3542" s="6"/>
    </row>
    <row r="3543" spans="5:8" x14ac:dyDescent="0.2">
      <c r="E3543" s="11"/>
      <c r="H3543" s="6"/>
    </row>
    <row r="3544" spans="5:8" x14ac:dyDescent="0.2">
      <c r="E3544" s="11"/>
      <c r="H3544" s="6"/>
    </row>
    <row r="3545" spans="5:8" x14ac:dyDescent="0.2">
      <c r="E3545" s="11"/>
      <c r="H3545" s="6"/>
    </row>
    <row r="3546" spans="5:8" x14ac:dyDescent="0.2">
      <c r="E3546" s="11"/>
      <c r="H3546" s="6"/>
    </row>
    <row r="3547" spans="5:8" x14ac:dyDescent="0.2">
      <c r="E3547" s="11"/>
      <c r="H3547" s="6"/>
    </row>
    <row r="3548" spans="5:8" x14ac:dyDescent="0.2">
      <c r="E3548" s="11"/>
      <c r="H3548" s="6"/>
    </row>
    <row r="3549" spans="5:8" x14ac:dyDescent="0.2">
      <c r="E3549" s="11"/>
      <c r="H3549" s="6"/>
    </row>
    <row r="3550" spans="5:8" x14ac:dyDescent="0.2">
      <c r="E3550" s="11"/>
      <c r="H3550" s="6"/>
    </row>
    <row r="3551" spans="5:8" x14ac:dyDescent="0.2">
      <c r="E3551" s="11"/>
      <c r="H3551" s="6"/>
    </row>
    <row r="3552" spans="5:8" x14ac:dyDescent="0.2">
      <c r="E3552" s="11"/>
      <c r="H3552" s="6"/>
    </row>
    <row r="3553" spans="5:8" x14ac:dyDescent="0.2">
      <c r="E3553" s="11"/>
      <c r="H3553" s="6"/>
    </row>
    <row r="3554" spans="5:8" x14ac:dyDescent="0.2">
      <c r="E3554" s="11"/>
      <c r="H3554" s="6"/>
    </row>
    <row r="3555" spans="5:8" x14ac:dyDescent="0.2">
      <c r="E3555" s="11"/>
      <c r="H3555" s="6"/>
    </row>
    <row r="3556" spans="5:8" x14ac:dyDescent="0.2">
      <c r="E3556" s="11"/>
      <c r="H3556" s="6"/>
    </row>
    <row r="3557" spans="5:8" x14ac:dyDescent="0.2">
      <c r="E3557" s="11"/>
      <c r="H3557" s="6"/>
    </row>
    <row r="3558" spans="5:8" x14ac:dyDescent="0.2">
      <c r="E3558" s="11"/>
      <c r="H3558" s="6"/>
    </row>
    <row r="3559" spans="5:8" x14ac:dyDescent="0.2">
      <c r="E3559" s="11"/>
      <c r="H3559" s="6"/>
    </row>
    <row r="3560" spans="5:8" x14ac:dyDescent="0.2">
      <c r="E3560" s="11"/>
      <c r="H3560" s="6"/>
    </row>
    <row r="3561" spans="5:8" x14ac:dyDescent="0.2">
      <c r="E3561" s="11"/>
      <c r="H3561" s="6"/>
    </row>
    <row r="3562" spans="5:8" x14ac:dyDescent="0.2">
      <c r="E3562" s="11"/>
      <c r="H3562" s="6"/>
    </row>
    <row r="3563" spans="5:8" x14ac:dyDescent="0.2">
      <c r="E3563" s="11"/>
      <c r="H3563" s="6"/>
    </row>
    <row r="3564" spans="5:8" x14ac:dyDescent="0.2">
      <c r="E3564" s="11"/>
      <c r="H3564" s="6"/>
    </row>
    <row r="3565" spans="5:8" x14ac:dyDescent="0.2">
      <c r="E3565" s="11"/>
      <c r="H3565" s="6"/>
    </row>
    <row r="3566" spans="5:8" x14ac:dyDescent="0.2">
      <c r="E3566" s="11"/>
      <c r="H3566" s="6"/>
    </row>
    <row r="3567" spans="5:8" x14ac:dyDescent="0.2">
      <c r="E3567" s="11"/>
      <c r="H3567" s="6"/>
    </row>
    <row r="3568" spans="5:8" x14ac:dyDescent="0.2">
      <c r="E3568" s="11"/>
      <c r="H3568" s="6"/>
    </row>
    <row r="3569" spans="5:8" x14ac:dyDescent="0.2">
      <c r="E3569" s="11"/>
      <c r="H3569" s="6"/>
    </row>
    <row r="3570" spans="5:8" x14ac:dyDescent="0.2">
      <c r="E3570" s="11"/>
      <c r="H3570" s="6"/>
    </row>
    <row r="3571" spans="5:8" x14ac:dyDescent="0.2">
      <c r="E3571" s="11"/>
      <c r="H3571" s="6"/>
    </row>
    <row r="3572" spans="5:8" x14ac:dyDescent="0.2">
      <c r="E3572" s="11"/>
      <c r="H3572" s="6"/>
    </row>
    <row r="3573" spans="5:8" x14ac:dyDescent="0.2">
      <c r="E3573" s="11"/>
      <c r="H3573" s="6"/>
    </row>
    <row r="3574" spans="5:8" x14ac:dyDescent="0.2">
      <c r="E3574" s="11"/>
      <c r="H3574" s="6"/>
    </row>
    <row r="3575" spans="5:8" x14ac:dyDescent="0.2">
      <c r="E3575" s="11"/>
      <c r="H3575" s="6"/>
    </row>
    <row r="3576" spans="5:8" x14ac:dyDescent="0.2">
      <c r="E3576" s="11"/>
      <c r="H3576" s="6"/>
    </row>
    <row r="3577" spans="5:8" x14ac:dyDescent="0.2">
      <c r="E3577" s="11"/>
      <c r="H3577" s="6"/>
    </row>
    <row r="3578" spans="5:8" x14ac:dyDescent="0.2">
      <c r="E3578" s="11"/>
      <c r="H3578" s="6"/>
    </row>
    <row r="3579" spans="5:8" x14ac:dyDescent="0.2">
      <c r="E3579" s="11"/>
      <c r="H3579" s="6"/>
    </row>
    <row r="3580" spans="5:8" x14ac:dyDescent="0.2">
      <c r="E3580" s="11"/>
      <c r="H3580" s="6"/>
    </row>
    <row r="3581" spans="5:8" x14ac:dyDescent="0.2">
      <c r="E3581" s="11"/>
      <c r="H3581" s="6"/>
    </row>
    <row r="3582" spans="5:8" x14ac:dyDescent="0.2">
      <c r="E3582" s="11"/>
      <c r="H3582" s="6"/>
    </row>
    <row r="3583" spans="5:8" x14ac:dyDescent="0.2">
      <c r="E3583" s="11"/>
      <c r="H3583" s="6"/>
    </row>
    <row r="3584" spans="5:8" x14ac:dyDescent="0.2">
      <c r="E3584" s="11"/>
      <c r="H3584" s="6"/>
    </row>
    <row r="3585" spans="5:8" x14ac:dyDescent="0.2">
      <c r="E3585" s="11"/>
      <c r="H3585" s="6"/>
    </row>
    <row r="3586" spans="5:8" x14ac:dyDescent="0.2">
      <c r="E3586" s="11"/>
      <c r="H3586" s="6"/>
    </row>
    <row r="3587" spans="5:8" x14ac:dyDescent="0.2">
      <c r="E3587" s="11"/>
      <c r="H3587" s="6"/>
    </row>
    <row r="3588" spans="5:8" x14ac:dyDescent="0.2">
      <c r="E3588" s="11"/>
      <c r="H3588" s="6"/>
    </row>
    <row r="3589" spans="5:8" x14ac:dyDescent="0.2">
      <c r="E3589" s="11"/>
      <c r="H3589" s="6"/>
    </row>
    <row r="3590" spans="5:8" x14ac:dyDescent="0.2">
      <c r="E3590" s="11"/>
      <c r="H3590" s="6"/>
    </row>
    <row r="3591" spans="5:8" x14ac:dyDescent="0.2">
      <c r="E3591" s="11"/>
      <c r="H3591" s="6"/>
    </row>
    <row r="3592" spans="5:8" x14ac:dyDescent="0.2">
      <c r="E3592" s="11"/>
      <c r="H3592" s="6"/>
    </row>
    <row r="3593" spans="5:8" x14ac:dyDescent="0.2">
      <c r="E3593" s="11"/>
      <c r="H3593" s="6"/>
    </row>
    <row r="3594" spans="5:8" x14ac:dyDescent="0.2">
      <c r="E3594" s="11"/>
      <c r="H3594" s="6"/>
    </row>
    <row r="3595" spans="5:8" x14ac:dyDescent="0.2">
      <c r="E3595" s="11"/>
      <c r="H3595" s="6"/>
    </row>
    <row r="3596" spans="5:8" x14ac:dyDescent="0.2">
      <c r="E3596" s="11"/>
      <c r="H3596" s="6"/>
    </row>
    <row r="3597" spans="5:8" x14ac:dyDescent="0.2">
      <c r="E3597" s="11"/>
      <c r="H3597" s="6"/>
    </row>
    <row r="3598" spans="5:8" x14ac:dyDescent="0.2">
      <c r="E3598" s="11"/>
      <c r="H3598" s="6"/>
    </row>
    <row r="3599" spans="5:8" x14ac:dyDescent="0.2">
      <c r="E3599" s="11"/>
      <c r="H3599" s="6"/>
    </row>
    <row r="3600" spans="5:8" x14ac:dyDescent="0.2">
      <c r="E3600" s="11"/>
      <c r="H3600" s="6"/>
    </row>
    <row r="3601" spans="5:8" x14ac:dyDescent="0.2">
      <c r="E3601" s="11"/>
      <c r="H3601" s="6"/>
    </row>
    <row r="3602" spans="5:8" x14ac:dyDescent="0.2">
      <c r="E3602" s="11"/>
      <c r="H3602" s="6"/>
    </row>
    <row r="3603" spans="5:8" x14ac:dyDescent="0.2">
      <c r="E3603" s="11"/>
      <c r="H3603" s="6"/>
    </row>
    <row r="3604" spans="5:8" x14ac:dyDescent="0.2">
      <c r="E3604" s="11"/>
      <c r="H3604" s="6"/>
    </row>
    <row r="3605" spans="5:8" x14ac:dyDescent="0.2">
      <c r="E3605" s="11"/>
      <c r="H3605" s="6"/>
    </row>
    <row r="3606" spans="5:8" x14ac:dyDescent="0.2">
      <c r="E3606" s="11"/>
      <c r="H3606" s="6"/>
    </row>
    <row r="3607" spans="5:8" x14ac:dyDescent="0.2">
      <c r="E3607" s="11"/>
      <c r="H3607" s="6"/>
    </row>
    <row r="3608" spans="5:8" x14ac:dyDescent="0.2">
      <c r="E3608" s="11"/>
      <c r="H3608" s="6"/>
    </row>
    <row r="3609" spans="5:8" x14ac:dyDescent="0.2">
      <c r="E3609" s="11"/>
      <c r="H3609" s="6"/>
    </row>
    <row r="3610" spans="5:8" x14ac:dyDescent="0.2">
      <c r="E3610" s="11"/>
      <c r="H3610" s="6"/>
    </row>
    <row r="3611" spans="5:8" x14ac:dyDescent="0.2">
      <c r="E3611" s="11"/>
      <c r="H3611" s="6"/>
    </row>
    <row r="3612" spans="5:8" x14ac:dyDescent="0.2">
      <c r="E3612" s="11"/>
      <c r="H3612" s="6"/>
    </row>
    <row r="3613" spans="5:8" x14ac:dyDescent="0.2">
      <c r="E3613" s="11"/>
      <c r="H3613" s="6"/>
    </row>
    <row r="3614" spans="5:8" x14ac:dyDescent="0.2">
      <c r="E3614" s="11"/>
      <c r="H3614" s="6"/>
    </row>
    <row r="3615" spans="5:8" x14ac:dyDescent="0.2">
      <c r="E3615" s="11"/>
      <c r="H3615" s="6"/>
    </row>
    <row r="3616" spans="5:8" x14ac:dyDescent="0.2">
      <c r="E3616" s="11"/>
      <c r="H3616" s="6"/>
    </row>
    <row r="3617" spans="5:8" x14ac:dyDescent="0.2">
      <c r="E3617" s="11"/>
      <c r="H3617" s="6"/>
    </row>
    <row r="3618" spans="5:8" x14ac:dyDescent="0.2">
      <c r="E3618" s="11"/>
      <c r="H3618" s="6"/>
    </row>
    <row r="3619" spans="5:8" x14ac:dyDescent="0.2">
      <c r="E3619" s="11"/>
      <c r="H3619" s="6"/>
    </row>
    <row r="3620" spans="5:8" x14ac:dyDescent="0.2">
      <c r="E3620" s="11"/>
      <c r="H3620" s="6"/>
    </row>
    <row r="3621" spans="5:8" x14ac:dyDescent="0.2">
      <c r="E3621" s="11"/>
      <c r="H3621" s="6"/>
    </row>
    <row r="3622" spans="5:8" x14ac:dyDescent="0.2">
      <c r="E3622" s="11"/>
      <c r="H3622" s="6"/>
    </row>
    <row r="3623" spans="5:8" x14ac:dyDescent="0.2">
      <c r="E3623" s="11"/>
      <c r="H3623" s="6"/>
    </row>
    <row r="3624" spans="5:8" x14ac:dyDescent="0.2">
      <c r="E3624" s="11"/>
      <c r="H3624" s="6"/>
    </row>
    <row r="3625" spans="5:8" x14ac:dyDescent="0.2">
      <c r="E3625" s="11"/>
      <c r="H3625" s="6"/>
    </row>
    <row r="3626" spans="5:8" x14ac:dyDescent="0.2">
      <c r="E3626" s="11"/>
      <c r="H3626" s="6"/>
    </row>
    <row r="3627" spans="5:8" x14ac:dyDescent="0.2">
      <c r="E3627" s="11"/>
      <c r="H3627" s="6"/>
    </row>
    <row r="3628" spans="5:8" x14ac:dyDescent="0.2">
      <c r="E3628" s="11"/>
      <c r="H3628" s="6"/>
    </row>
    <row r="3629" spans="5:8" x14ac:dyDescent="0.2">
      <c r="E3629" s="11"/>
      <c r="H3629" s="6"/>
    </row>
    <row r="3630" spans="5:8" x14ac:dyDescent="0.2">
      <c r="E3630" s="11"/>
      <c r="H3630" s="6"/>
    </row>
    <row r="3631" spans="5:8" x14ac:dyDescent="0.2">
      <c r="E3631" s="11"/>
      <c r="H3631" s="6"/>
    </row>
    <row r="3632" spans="5:8" x14ac:dyDescent="0.2">
      <c r="E3632" s="11"/>
      <c r="H3632" s="6"/>
    </row>
    <row r="3633" spans="5:8" x14ac:dyDescent="0.2">
      <c r="E3633" s="11"/>
      <c r="H3633" s="6"/>
    </row>
    <row r="3634" spans="5:8" x14ac:dyDescent="0.2">
      <c r="E3634" s="11"/>
      <c r="H3634" s="6"/>
    </row>
    <row r="3635" spans="5:8" x14ac:dyDescent="0.2">
      <c r="E3635" s="11"/>
      <c r="H3635" s="6"/>
    </row>
    <row r="3636" spans="5:8" x14ac:dyDescent="0.2">
      <c r="E3636" s="11"/>
      <c r="H3636" s="6"/>
    </row>
    <row r="3637" spans="5:8" x14ac:dyDescent="0.2">
      <c r="E3637" s="11"/>
      <c r="H3637" s="6"/>
    </row>
    <row r="3638" spans="5:8" x14ac:dyDescent="0.2">
      <c r="E3638" s="11"/>
      <c r="H3638" s="6"/>
    </row>
    <row r="3639" spans="5:8" x14ac:dyDescent="0.2">
      <c r="E3639" s="11"/>
      <c r="H3639" s="6"/>
    </row>
    <row r="3640" spans="5:8" x14ac:dyDescent="0.2">
      <c r="E3640" s="11"/>
      <c r="H3640" s="6"/>
    </row>
    <row r="3641" spans="5:8" x14ac:dyDescent="0.2">
      <c r="E3641" s="11"/>
      <c r="H3641" s="6"/>
    </row>
    <row r="3642" spans="5:8" x14ac:dyDescent="0.2">
      <c r="E3642" s="11"/>
      <c r="H3642" s="6"/>
    </row>
    <row r="3643" spans="5:8" x14ac:dyDescent="0.2">
      <c r="E3643" s="11"/>
      <c r="H3643" s="6"/>
    </row>
    <row r="3644" spans="5:8" x14ac:dyDescent="0.2">
      <c r="E3644" s="11"/>
      <c r="H3644" s="6"/>
    </row>
    <row r="3645" spans="5:8" x14ac:dyDescent="0.2">
      <c r="E3645" s="11"/>
      <c r="H3645" s="6"/>
    </row>
    <row r="3646" spans="5:8" x14ac:dyDescent="0.2">
      <c r="E3646" s="11"/>
      <c r="H3646" s="6"/>
    </row>
    <row r="3647" spans="5:8" x14ac:dyDescent="0.2">
      <c r="E3647" s="11"/>
      <c r="H3647" s="6"/>
    </row>
    <row r="3648" spans="5:8" x14ac:dyDescent="0.2">
      <c r="E3648" s="11"/>
      <c r="H3648" s="6"/>
    </row>
    <row r="3649" spans="5:8" x14ac:dyDescent="0.2">
      <c r="E3649" s="11"/>
      <c r="H3649" s="6"/>
    </row>
    <row r="3650" spans="5:8" x14ac:dyDescent="0.2">
      <c r="E3650" s="11"/>
      <c r="H3650" s="6"/>
    </row>
    <row r="3651" spans="5:8" x14ac:dyDescent="0.2">
      <c r="E3651" s="11"/>
      <c r="H3651" s="6"/>
    </row>
    <row r="3652" spans="5:8" x14ac:dyDescent="0.2">
      <c r="E3652" s="11"/>
      <c r="H3652" s="6"/>
    </row>
    <row r="3653" spans="5:8" x14ac:dyDescent="0.2">
      <c r="E3653" s="11"/>
      <c r="H3653" s="6"/>
    </row>
    <row r="3654" spans="5:8" x14ac:dyDescent="0.2">
      <c r="E3654" s="11"/>
      <c r="H3654" s="6"/>
    </row>
    <row r="3655" spans="5:8" x14ac:dyDescent="0.2">
      <c r="E3655" s="11"/>
      <c r="H3655" s="6"/>
    </row>
    <row r="3656" spans="5:8" x14ac:dyDescent="0.2">
      <c r="E3656" s="11"/>
      <c r="H3656" s="6"/>
    </row>
    <row r="3657" spans="5:8" x14ac:dyDescent="0.2">
      <c r="E3657" s="11"/>
      <c r="H3657" s="6"/>
    </row>
    <row r="3658" spans="5:8" x14ac:dyDescent="0.2">
      <c r="E3658" s="11"/>
      <c r="H3658" s="6"/>
    </row>
    <row r="3659" spans="5:8" x14ac:dyDescent="0.2">
      <c r="E3659" s="11"/>
      <c r="H3659" s="6"/>
    </row>
    <row r="3660" spans="5:8" x14ac:dyDescent="0.2">
      <c r="E3660" s="11"/>
      <c r="H3660" s="6"/>
    </row>
    <row r="3661" spans="5:8" x14ac:dyDescent="0.2">
      <c r="E3661" s="11"/>
      <c r="H3661" s="6"/>
    </row>
    <row r="3662" spans="5:8" x14ac:dyDescent="0.2">
      <c r="E3662" s="11"/>
      <c r="H3662" s="6"/>
    </row>
    <row r="3663" spans="5:8" x14ac:dyDescent="0.2">
      <c r="E3663" s="11"/>
      <c r="H3663" s="6"/>
    </row>
    <row r="3664" spans="5:8" x14ac:dyDescent="0.2">
      <c r="E3664" s="11"/>
      <c r="H3664" s="6"/>
    </row>
    <row r="3665" spans="5:8" x14ac:dyDescent="0.2">
      <c r="E3665" s="11"/>
      <c r="H3665" s="6"/>
    </row>
    <row r="3666" spans="5:8" x14ac:dyDescent="0.2">
      <c r="E3666" s="11"/>
      <c r="H3666" s="6"/>
    </row>
    <row r="3667" spans="5:8" x14ac:dyDescent="0.2">
      <c r="E3667" s="11"/>
      <c r="H3667" s="6"/>
    </row>
    <row r="3668" spans="5:8" x14ac:dyDescent="0.2">
      <c r="E3668" s="11"/>
      <c r="H3668" s="6"/>
    </row>
    <row r="3669" spans="5:8" x14ac:dyDescent="0.2">
      <c r="E3669" s="11"/>
      <c r="H3669" s="6"/>
    </row>
    <row r="3670" spans="5:8" x14ac:dyDescent="0.2">
      <c r="E3670" s="11"/>
      <c r="H3670" s="6"/>
    </row>
    <row r="3671" spans="5:8" x14ac:dyDescent="0.2">
      <c r="E3671" s="11"/>
      <c r="H3671" s="6"/>
    </row>
    <row r="3672" spans="5:8" x14ac:dyDescent="0.2">
      <c r="E3672" s="11"/>
      <c r="H3672" s="6"/>
    </row>
    <row r="3673" spans="5:8" x14ac:dyDescent="0.2">
      <c r="E3673" s="11"/>
      <c r="H3673" s="6"/>
    </row>
    <row r="3674" spans="5:8" x14ac:dyDescent="0.2">
      <c r="E3674" s="11"/>
      <c r="H3674" s="6"/>
    </row>
    <row r="3675" spans="5:8" x14ac:dyDescent="0.2">
      <c r="E3675" s="11"/>
      <c r="H3675" s="6"/>
    </row>
    <row r="3676" spans="5:8" x14ac:dyDescent="0.2">
      <c r="E3676" s="11"/>
      <c r="H3676" s="6"/>
    </row>
    <row r="3677" spans="5:8" x14ac:dyDescent="0.2">
      <c r="E3677" s="11"/>
      <c r="H3677" s="6"/>
    </row>
    <row r="3678" spans="5:8" x14ac:dyDescent="0.2">
      <c r="E3678" s="11"/>
      <c r="H3678" s="6"/>
    </row>
    <row r="3679" spans="5:8" x14ac:dyDescent="0.2">
      <c r="E3679" s="11"/>
      <c r="H3679" s="6"/>
    </row>
    <row r="3680" spans="5:8" x14ac:dyDescent="0.2">
      <c r="E3680" s="11"/>
      <c r="H3680" s="6"/>
    </row>
    <row r="3681" spans="5:8" x14ac:dyDescent="0.2">
      <c r="E3681" s="11"/>
      <c r="H3681" s="6"/>
    </row>
    <row r="3682" spans="5:8" x14ac:dyDescent="0.2">
      <c r="E3682" s="11"/>
      <c r="H3682" s="6"/>
    </row>
    <row r="3683" spans="5:8" x14ac:dyDescent="0.2">
      <c r="E3683" s="11"/>
      <c r="H3683" s="6"/>
    </row>
    <row r="3684" spans="5:8" x14ac:dyDescent="0.2">
      <c r="E3684" s="11"/>
      <c r="H3684" s="6"/>
    </row>
    <row r="3685" spans="5:8" x14ac:dyDescent="0.2">
      <c r="E3685" s="11"/>
      <c r="H3685" s="6"/>
    </row>
    <row r="3686" spans="5:8" x14ac:dyDescent="0.2">
      <c r="E3686" s="11"/>
      <c r="H3686" s="6"/>
    </row>
    <row r="3687" spans="5:8" x14ac:dyDescent="0.2">
      <c r="E3687" s="11"/>
      <c r="H3687" s="6"/>
    </row>
    <row r="3688" spans="5:8" x14ac:dyDescent="0.2">
      <c r="E3688" s="11"/>
      <c r="H3688" s="6"/>
    </row>
    <row r="3689" spans="5:8" x14ac:dyDescent="0.2">
      <c r="E3689" s="11"/>
      <c r="H3689" s="6"/>
    </row>
    <row r="3690" spans="5:8" x14ac:dyDescent="0.2">
      <c r="E3690" s="11"/>
      <c r="H3690" s="6"/>
    </row>
    <row r="3691" spans="5:8" x14ac:dyDescent="0.2">
      <c r="E3691" s="11"/>
      <c r="H3691" s="6"/>
    </row>
    <row r="3692" spans="5:8" x14ac:dyDescent="0.2">
      <c r="E3692" s="11"/>
      <c r="H3692" s="6"/>
    </row>
    <row r="3693" spans="5:8" x14ac:dyDescent="0.2">
      <c r="E3693" s="11"/>
      <c r="H3693" s="6"/>
    </row>
    <row r="3694" spans="5:8" x14ac:dyDescent="0.2">
      <c r="E3694" s="11"/>
      <c r="H3694" s="6"/>
    </row>
    <row r="3695" spans="5:8" x14ac:dyDescent="0.2">
      <c r="E3695" s="11"/>
      <c r="H3695" s="6"/>
    </row>
    <row r="3696" spans="5:8" x14ac:dyDescent="0.2">
      <c r="E3696" s="11"/>
      <c r="H3696" s="6"/>
    </row>
    <row r="3697" spans="5:8" x14ac:dyDescent="0.2">
      <c r="E3697" s="11"/>
      <c r="H3697" s="6"/>
    </row>
    <row r="3698" spans="5:8" x14ac:dyDescent="0.2">
      <c r="E3698" s="11"/>
      <c r="H3698" s="6"/>
    </row>
    <row r="3699" spans="5:8" x14ac:dyDescent="0.2">
      <c r="E3699" s="11"/>
      <c r="H3699" s="6"/>
    </row>
    <row r="3700" spans="5:8" x14ac:dyDescent="0.2">
      <c r="E3700" s="11"/>
      <c r="H3700" s="6"/>
    </row>
    <row r="3701" spans="5:8" x14ac:dyDescent="0.2">
      <c r="E3701" s="11"/>
      <c r="H3701" s="6"/>
    </row>
    <row r="3702" spans="5:8" x14ac:dyDescent="0.2">
      <c r="E3702" s="11"/>
      <c r="H3702" s="6"/>
    </row>
    <row r="3703" spans="5:8" x14ac:dyDescent="0.2">
      <c r="E3703" s="11"/>
      <c r="H3703" s="6"/>
    </row>
    <row r="3704" spans="5:8" x14ac:dyDescent="0.2">
      <c r="E3704" s="11"/>
      <c r="H3704" s="6"/>
    </row>
    <row r="3705" spans="5:8" x14ac:dyDescent="0.2">
      <c r="E3705" s="11"/>
      <c r="H3705" s="6"/>
    </row>
    <row r="3706" spans="5:8" x14ac:dyDescent="0.2">
      <c r="E3706" s="11"/>
      <c r="H3706" s="6"/>
    </row>
    <row r="3707" spans="5:8" x14ac:dyDescent="0.2">
      <c r="E3707" s="11"/>
      <c r="H3707" s="6"/>
    </row>
    <row r="3708" spans="5:8" x14ac:dyDescent="0.2">
      <c r="E3708" s="11"/>
      <c r="H3708" s="6"/>
    </row>
    <row r="3709" spans="5:8" x14ac:dyDescent="0.2">
      <c r="E3709" s="11"/>
      <c r="H3709" s="6"/>
    </row>
    <row r="3710" spans="5:8" x14ac:dyDescent="0.2">
      <c r="E3710" s="11"/>
      <c r="H3710" s="6"/>
    </row>
    <row r="3711" spans="5:8" x14ac:dyDescent="0.2">
      <c r="E3711" s="11"/>
      <c r="H3711" s="6"/>
    </row>
    <row r="3712" spans="5:8" x14ac:dyDescent="0.2">
      <c r="E3712" s="11"/>
      <c r="H3712" s="6"/>
    </row>
    <row r="3713" spans="5:8" x14ac:dyDescent="0.2">
      <c r="E3713" s="11"/>
      <c r="H3713" s="6"/>
    </row>
    <row r="3714" spans="5:8" x14ac:dyDescent="0.2">
      <c r="E3714" s="11"/>
      <c r="H3714" s="6"/>
    </row>
    <row r="3715" spans="5:8" x14ac:dyDescent="0.2">
      <c r="E3715" s="11"/>
      <c r="H3715" s="6"/>
    </row>
    <row r="3716" spans="5:8" x14ac:dyDescent="0.2">
      <c r="E3716" s="11"/>
      <c r="H3716" s="6"/>
    </row>
    <row r="3717" spans="5:8" x14ac:dyDescent="0.2">
      <c r="E3717" s="11"/>
      <c r="H3717" s="6"/>
    </row>
    <row r="3718" spans="5:8" x14ac:dyDescent="0.2">
      <c r="E3718" s="11"/>
      <c r="H3718" s="6"/>
    </row>
    <row r="3719" spans="5:8" x14ac:dyDescent="0.2">
      <c r="E3719" s="11"/>
      <c r="H3719" s="6"/>
    </row>
    <row r="3720" spans="5:8" x14ac:dyDescent="0.2">
      <c r="E3720" s="11"/>
      <c r="H3720" s="6"/>
    </row>
    <row r="3721" spans="5:8" x14ac:dyDescent="0.2">
      <c r="E3721" s="11"/>
      <c r="H3721" s="6"/>
    </row>
    <row r="3722" spans="5:8" x14ac:dyDescent="0.2">
      <c r="E3722" s="11"/>
      <c r="H3722" s="6"/>
    </row>
    <row r="3723" spans="5:8" x14ac:dyDescent="0.2">
      <c r="E3723" s="11"/>
      <c r="H3723" s="6"/>
    </row>
    <row r="3724" spans="5:8" x14ac:dyDescent="0.2">
      <c r="E3724" s="11"/>
      <c r="H3724" s="6"/>
    </row>
    <row r="3725" spans="5:8" x14ac:dyDescent="0.2">
      <c r="E3725" s="11"/>
      <c r="H3725" s="6"/>
    </row>
    <row r="3726" spans="5:8" x14ac:dyDescent="0.2">
      <c r="E3726" s="11"/>
      <c r="H3726" s="6"/>
    </row>
    <row r="3727" spans="5:8" x14ac:dyDescent="0.2">
      <c r="E3727" s="11"/>
      <c r="H3727" s="6"/>
    </row>
    <row r="3728" spans="5:8" x14ac:dyDescent="0.2">
      <c r="E3728" s="11"/>
      <c r="H3728" s="6"/>
    </row>
    <row r="3729" spans="5:8" x14ac:dyDescent="0.2">
      <c r="E3729" s="11"/>
      <c r="H3729" s="6"/>
    </row>
    <row r="3730" spans="5:8" x14ac:dyDescent="0.2">
      <c r="E3730" s="11"/>
      <c r="H3730" s="6"/>
    </row>
    <row r="3731" spans="5:8" x14ac:dyDescent="0.2">
      <c r="E3731" s="11"/>
      <c r="H3731" s="6"/>
    </row>
    <row r="3732" spans="5:8" x14ac:dyDescent="0.2">
      <c r="E3732" s="11"/>
      <c r="H3732" s="6"/>
    </row>
    <row r="3733" spans="5:8" x14ac:dyDescent="0.2">
      <c r="E3733" s="11"/>
      <c r="H3733" s="6"/>
    </row>
    <row r="3734" spans="5:8" x14ac:dyDescent="0.2">
      <c r="E3734" s="11"/>
      <c r="H3734" s="6"/>
    </row>
    <row r="3735" spans="5:8" x14ac:dyDescent="0.2">
      <c r="E3735" s="11"/>
      <c r="H3735" s="6"/>
    </row>
    <row r="3736" spans="5:8" x14ac:dyDescent="0.2">
      <c r="E3736" s="11"/>
      <c r="H3736" s="6"/>
    </row>
    <row r="3737" spans="5:8" x14ac:dyDescent="0.2">
      <c r="E3737" s="11"/>
      <c r="H3737" s="6"/>
    </row>
    <row r="3738" spans="5:8" x14ac:dyDescent="0.2">
      <c r="E3738" s="11"/>
      <c r="H3738" s="6"/>
    </row>
    <row r="3739" spans="5:8" x14ac:dyDescent="0.2">
      <c r="E3739" s="11"/>
      <c r="H3739" s="6"/>
    </row>
    <row r="3740" spans="5:8" x14ac:dyDescent="0.2">
      <c r="E3740" s="11"/>
      <c r="H3740" s="6"/>
    </row>
    <row r="3741" spans="5:8" x14ac:dyDescent="0.2">
      <c r="E3741" s="11"/>
      <c r="H3741" s="6"/>
    </row>
    <row r="3742" spans="5:8" x14ac:dyDescent="0.2">
      <c r="E3742" s="11"/>
      <c r="H3742" s="6"/>
    </row>
    <row r="3743" spans="5:8" x14ac:dyDescent="0.2">
      <c r="E3743" s="11"/>
      <c r="H3743" s="6"/>
    </row>
    <row r="3744" spans="5:8" x14ac:dyDescent="0.2">
      <c r="E3744" s="11"/>
      <c r="H3744" s="6"/>
    </row>
    <row r="3745" spans="5:8" x14ac:dyDescent="0.2">
      <c r="E3745" s="11"/>
      <c r="H3745" s="6"/>
    </row>
    <row r="3746" spans="5:8" x14ac:dyDescent="0.2">
      <c r="E3746" s="11"/>
      <c r="H3746" s="6"/>
    </row>
    <row r="3747" spans="5:8" x14ac:dyDescent="0.2">
      <c r="E3747" s="11"/>
      <c r="H3747" s="6"/>
    </row>
    <row r="3748" spans="5:8" x14ac:dyDescent="0.2">
      <c r="E3748" s="11"/>
      <c r="H3748" s="6"/>
    </row>
    <row r="3749" spans="5:8" x14ac:dyDescent="0.2">
      <c r="E3749" s="11"/>
      <c r="H3749" s="6"/>
    </row>
    <row r="3750" spans="5:8" x14ac:dyDescent="0.2">
      <c r="E3750" s="11"/>
      <c r="H3750" s="6"/>
    </row>
    <row r="3751" spans="5:8" x14ac:dyDescent="0.2">
      <c r="E3751" s="11"/>
      <c r="H3751" s="6"/>
    </row>
    <row r="3752" spans="5:8" x14ac:dyDescent="0.2">
      <c r="E3752" s="11"/>
      <c r="H3752" s="6"/>
    </row>
    <row r="3753" spans="5:8" x14ac:dyDescent="0.2">
      <c r="E3753" s="11"/>
      <c r="H3753" s="6"/>
    </row>
    <row r="3754" spans="5:8" x14ac:dyDescent="0.2">
      <c r="E3754" s="11"/>
      <c r="H3754" s="6"/>
    </row>
    <row r="3755" spans="5:8" x14ac:dyDescent="0.2">
      <c r="E3755" s="11"/>
      <c r="H3755" s="6"/>
    </row>
    <row r="3756" spans="5:8" x14ac:dyDescent="0.2">
      <c r="E3756" s="11"/>
      <c r="H3756" s="6"/>
    </row>
    <row r="3757" spans="5:8" x14ac:dyDescent="0.2">
      <c r="E3757" s="11"/>
      <c r="H3757" s="6"/>
    </row>
    <row r="3758" spans="5:8" x14ac:dyDescent="0.2">
      <c r="E3758" s="11"/>
      <c r="H3758" s="6"/>
    </row>
    <row r="3759" spans="5:8" x14ac:dyDescent="0.2">
      <c r="E3759" s="11"/>
      <c r="H3759" s="6"/>
    </row>
    <row r="3760" spans="5:8" x14ac:dyDescent="0.2">
      <c r="E3760" s="11"/>
      <c r="H3760" s="6"/>
    </row>
    <row r="3761" spans="5:8" x14ac:dyDescent="0.2">
      <c r="E3761" s="11"/>
      <c r="H3761" s="6"/>
    </row>
    <row r="3762" spans="5:8" x14ac:dyDescent="0.2">
      <c r="E3762" s="11"/>
      <c r="H3762" s="6"/>
    </row>
    <row r="3763" spans="5:8" x14ac:dyDescent="0.2">
      <c r="E3763" s="11"/>
      <c r="H3763" s="6"/>
    </row>
    <row r="3764" spans="5:8" x14ac:dyDescent="0.2">
      <c r="E3764" s="11"/>
      <c r="H3764" s="6"/>
    </row>
    <row r="3765" spans="5:8" x14ac:dyDescent="0.2">
      <c r="E3765" s="11"/>
      <c r="H3765" s="6"/>
    </row>
    <row r="3766" spans="5:8" x14ac:dyDescent="0.2">
      <c r="E3766" s="11"/>
      <c r="H3766" s="6"/>
    </row>
    <row r="3767" spans="5:8" x14ac:dyDescent="0.2">
      <c r="E3767" s="11"/>
      <c r="H3767" s="6"/>
    </row>
    <row r="3768" spans="5:8" x14ac:dyDescent="0.2">
      <c r="E3768" s="11"/>
      <c r="H3768" s="6"/>
    </row>
    <row r="3769" spans="5:8" x14ac:dyDescent="0.2">
      <c r="E3769" s="11"/>
      <c r="H3769" s="6"/>
    </row>
    <row r="3770" spans="5:8" x14ac:dyDescent="0.2">
      <c r="E3770" s="11"/>
      <c r="H3770" s="6"/>
    </row>
    <row r="3771" spans="5:8" x14ac:dyDescent="0.2">
      <c r="E3771" s="11"/>
      <c r="H3771" s="6"/>
    </row>
    <row r="3772" spans="5:8" x14ac:dyDescent="0.2">
      <c r="E3772" s="11"/>
      <c r="H3772" s="6"/>
    </row>
    <row r="3773" spans="5:8" x14ac:dyDescent="0.2">
      <c r="E3773" s="11"/>
      <c r="H3773" s="6"/>
    </row>
    <row r="3774" spans="5:8" x14ac:dyDescent="0.2">
      <c r="E3774" s="11"/>
      <c r="H3774" s="6"/>
    </row>
    <row r="3775" spans="5:8" x14ac:dyDescent="0.2">
      <c r="E3775" s="11"/>
      <c r="H3775" s="6"/>
    </row>
    <row r="3776" spans="5:8" x14ac:dyDescent="0.2">
      <c r="E3776" s="11"/>
      <c r="H3776" s="6"/>
    </row>
    <row r="3777" spans="5:8" x14ac:dyDescent="0.2">
      <c r="E3777" s="11"/>
      <c r="H3777" s="6"/>
    </row>
    <row r="3778" spans="5:8" x14ac:dyDescent="0.2">
      <c r="E3778" s="11"/>
      <c r="H3778" s="6"/>
    </row>
    <row r="3779" spans="5:8" x14ac:dyDescent="0.2">
      <c r="E3779" s="11"/>
      <c r="H3779" s="6"/>
    </row>
    <row r="3780" spans="5:8" x14ac:dyDescent="0.2">
      <c r="E3780" s="11"/>
      <c r="H3780" s="6"/>
    </row>
    <row r="3781" spans="5:8" x14ac:dyDescent="0.2">
      <c r="E3781" s="11"/>
      <c r="H3781" s="6"/>
    </row>
    <row r="3782" spans="5:8" x14ac:dyDescent="0.2">
      <c r="E3782" s="11"/>
      <c r="H3782" s="6"/>
    </row>
    <row r="3783" spans="5:8" x14ac:dyDescent="0.2">
      <c r="E3783" s="11"/>
      <c r="H3783" s="6"/>
    </row>
    <row r="3784" spans="5:8" x14ac:dyDescent="0.2">
      <c r="E3784" s="11"/>
      <c r="H3784" s="6"/>
    </row>
    <row r="3785" spans="5:8" x14ac:dyDescent="0.2">
      <c r="E3785" s="11"/>
      <c r="H3785" s="6"/>
    </row>
    <row r="3786" spans="5:8" x14ac:dyDescent="0.2">
      <c r="E3786" s="11"/>
      <c r="H3786" s="6"/>
    </row>
    <row r="3787" spans="5:8" x14ac:dyDescent="0.2">
      <c r="E3787" s="11"/>
      <c r="H3787" s="6"/>
    </row>
    <row r="3788" spans="5:8" x14ac:dyDescent="0.2">
      <c r="E3788" s="11"/>
      <c r="H3788" s="6"/>
    </row>
    <row r="3789" spans="5:8" x14ac:dyDescent="0.2">
      <c r="E3789" s="11"/>
      <c r="H3789" s="6"/>
    </row>
    <row r="3790" spans="5:8" x14ac:dyDescent="0.2">
      <c r="E3790" s="11"/>
      <c r="H3790" s="6"/>
    </row>
    <row r="3791" spans="5:8" x14ac:dyDescent="0.2">
      <c r="E3791" s="11"/>
      <c r="H3791" s="6"/>
    </row>
    <row r="3792" spans="5:8" x14ac:dyDescent="0.2">
      <c r="E3792" s="11"/>
      <c r="H3792" s="6"/>
    </row>
    <row r="3793" spans="5:8" x14ac:dyDescent="0.2">
      <c r="E3793" s="11"/>
      <c r="H3793" s="6"/>
    </row>
    <row r="3794" spans="5:8" x14ac:dyDescent="0.2">
      <c r="E3794" s="11"/>
      <c r="H3794" s="6"/>
    </row>
    <row r="3795" spans="5:8" x14ac:dyDescent="0.2">
      <c r="E3795" s="11"/>
      <c r="H3795" s="6"/>
    </row>
    <row r="3796" spans="5:8" x14ac:dyDescent="0.2">
      <c r="E3796" s="11"/>
      <c r="H3796" s="6"/>
    </row>
    <row r="3797" spans="5:8" x14ac:dyDescent="0.2">
      <c r="E3797" s="11"/>
      <c r="H3797" s="6"/>
    </row>
    <row r="3798" spans="5:8" x14ac:dyDescent="0.2">
      <c r="E3798" s="11"/>
      <c r="H3798" s="6"/>
    </row>
    <row r="3799" spans="5:8" x14ac:dyDescent="0.2">
      <c r="E3799" s="11"/>
      <c r="H3799" s="6"/>
    </row>
    <row r="3800" spans="5:8" x14ac:dyDescent="0.2">
      <c r="E3800" s="11"/>
      <c r="H3800" s="6"/>
    </row>
    <row r="3801" spans="5:8" x14ac:dyDescent="0.2">
      <c r="E3801" s="11"/>
      <c r="H3801" s="6"/>
    </row>
    <row r="3802" spans="5:8" x14ac:dyDescent="0.2">
      <c r="E3802" s="11"/>
      <c r="H3802" s="6"/>
    </row>
    <row r="3803" spans="5:8" x14ac:dyDescent="0.2">
      <c r="E3803" s="11"/>
      <c r="H3803" s="6"/>
    </row>
    <row r="3804" spans="5:8" x14ac:dyDescent="0.2">
      <c r="E3804" s="11"/>
      <c r="H3804" s="6"/>
    </row>
    <row r="3805" spans="5:8" x14ac:dyDescent="0.2">
      <c r="E3805" s="11"/>
      <c r="H3805" s="6"/>
    </row>
    <row r="3806" spans="5:8" x14ac:dyDescent="0.2">
      <c r="E3806" s="11"/>
      <c r="H3806" s="6"/>
    </row>
    <row r="3807" spans="5:8" x14ac:dyDescent="0.2">
      <c r="E3807" s="11"/>
      <c r="H3807" s="6"/>
    </row>
    <row r="3808" spans="5:8" x14ac:dyDescent="0.2">
      <c r="E3808" s="11"/>
      <c r="H3808" s="6"/>
    </row>
    <row r="3809" spans="5:8" x14ac:dyDescent="0.2">
      <c r="E3809" s="11"/>
      <c r="H3809" s="6"/>
    </row>
    <row r="3810" spans="5:8" x14ac:dyDescent="0.2">
      <c r="E3810" s="11"/>
      <c r="H3810" s="6"/>
    </row>
    <row r="3811" spans="5:8" x14ac:dyDescent="0.2">
      <c r="E3811" s="11"/>
      <c r="H3811" s="6"/>
    </row>
    <row r="3812" spans="5:8" x14ac:dyDescent="0.2">
      <c r="E3812" s="11"/>
      <c r="H3812" s="6"/>
    </row>
    <row r="3813" spans="5:8" x14ac:dyDescent="0.2">
      <c r="E3813" s="11"/>
      <c r="H3813" s="6"/>
    </row>
    <row r="3814" spans="5:8" x14ac:dyDescent="0.2">
      <c r="E3814" s="11"/>
      <c r="H3814" s="6"/>
    </row>
    <row r="3815" spans="5:8" x14ac:dyDescent="0.2">
      <c r="E3815" s="11"/>
      <c r="H3815" s="6"/>
    </row>
    <row r="3816" spans="5:8" x14ac:dyDescent="0.2">
      <c r="E3816" s="11"/>
      <c r="H3816" s="6"/>
    </row>
    <row r="3817" spans="5:8" x14ac:dyDescent="0.2">
      <c r="E3817" s="11"/>
      <c r="H3817" s="6"/>
    </row>
    <row r="3818" spans="5:8" x14ac:dyDescent="0.2">
      <c r="E3818" s="11"/>
      <c r="H3818" s="6"/>
    </row>
    <row r="3819" spans="5:8" x14ac:dyDescent="0.2">
      <c r="E3819" s="11"/>
      <c r="H3819" s="6"/>
    </row>
    <row r="3820" spans="5:8" x14ac:dyDescent="0.2">
      <c r="E3820" s="11"/>
      <c r="H3820" s="6"/>
    </row>
    <row r="3821" spans="5:8" x14ac:dyDescent="0.2">
      <c r="E3821" s="11"/>
      <c r="H3821" s="6"/>
    </row>
    <row r="3822" spans="5:8" x14ac:dyDescent="0.2">
      <c r="E3822" s="11"/>
      <c r="H3822" s="6"/>
    </row>
    <row r="3823" spans="5:8" x14ac:dyDescent="0.2">
      <c r="E3823" s="11"/>
      <c r="H3823" s="6"/>
    </row>
    <row r="3824" spans="5:8" x14ac:dyDescent="0.2">
      <c r="E3824" s="11"/>
      <c r="H3824" s="6"/>
    </row>
    <row r="3825" spans="5:8" x14ac:dyDescent="0.2">
      <c r="E3825" s="11"/>
      <c r="H3825" s="6"/>
    </row>
    <row r="3826" spans="5:8" x14ac:dyDescent="0.2">
      <c r="E3826" s="11"/>
      <c r="H3826" s="6"/>
    </row>
    <row r="3827" spans="5:8" x14ac:dyDescent="0.2">
      <c r="E3827" s="11"/>
      <c r="H3827" s="6"/>
    </row>
    <row r="3828" spans="5:8" x14ac:dyDescent="0.2">
      <c r="E3828" s="11"/>
      <c r="H3828" s="6"/>
    </row>
    <row r="3829" spans="5:8" x14ac:dyDescent="0.2">
      <c r="E3829" s="11"/>
      <c r="H3829" s="6"/>
    </row>
    <row r="3830" spans="5:8" x14ac:dyDescent="0.2">
      <c r="E3830" s="11"/>
      <c r="H3830" s="6"/>
    </row>
    <row r="3831" spans="5:8" x14ac:dyDescent="0.2">
      <c r="E3831" s="11"/>
      <c r="H3831" s="6"/>
    </row>
    <row r="3832" spans="5:8" x14ac:dyDescent="0.2">
      <c r="E3832" s="11"/>
      <c r="H3832" s="6"/>
    </row>
    <row r="3833" spans="5:8" x14ac:dyDescent="0.2">
      <c r="E3833" s="11"/>
      <c r="H3833" s="6"/>
    </row>
    <row r="3834" spans="5:8" x14ac:dyDescent="0.2">
      <c r="E3834" s="11"/>
      <c r="H3834" s="6"/>
    </row>
    <row r="3835" spans="5:8" x14ac:dyDescent="0.2">
      <c r="E3835" s="11"/>
      <c r="H3835" s="6"/>
    </row>
    <row r="3836" spans="5:8" x14ac:dyDescent="0.2">
      <c r="E3836" s="11"/>
      <c r="H3836" s="6"/>
    </row>
    <row r="3837" spans="5:8" x14ac:dyDescent="0.2">
      <c r="E3837" s="11"/>
      <c r="H3837" s="6"/>
    </row>
    <row r="3838" spans="5:8" x14ac:dyDescent="0.2">
      <c r="E3838" s="11"/>
      <c r="H3838" s="6"/>
    </row>
    <row r="3839" spans="5:8" x14ac:dyDescent="0.2">
      <c r="E3839" s="11"/>
      <c r="H3839" s="6"/>
    </row>
    <row r="3840" spans="5:8" x14ac:dyDescent="0.2">
      <c r="E3840" s="11"/>
      <c r="H3840" s="6"/>
    </row>
    <row r="3841" spans="5:8" x14ac:dyDescent="0.2">
      <c r="E3841" s="11"/>
      <c r="H3841" s="6"/>
    </row>
    <row r="3842" spans="5:8" x14ac:dyDescent="0.2">
      <c r="E3842" s="11"/>
      <c r="H3842" s="6"/>
    </row>
    <row r="3843" spans="5:8" x14ac:dyDescent="0.2">
      <c r="E3843" s="11"/>
      <c r="H3843" s="6"/>
    </row>
    <row r="3844" spans="5:8" x14ac:dyDescent="0.2">
      <c r="E3844" s="11"/>
      <c r="H3844" s="6"/>
    </row>
    <row r="3845" spans="5:8" x14ac:dyDescent="0.2">
      <c r="E3845" s="11"/>
      <c r="H3845" s="6"/>
    </row>
    <row r="3846" spans="5:8" x14ac:dyDescent="0.2">
      <c r="E3846" s="11"/>
      <c r="H3846" s="6"/>
    </row>
    <row r="3847" spans="5:8" x14ac:dyDescent="0.2">
      <c r="E3847" s="11"/>
      <c r="H3847" s="6"/>
    </row>
    <row r="3848" spans="5:8" x14ac:dyDescent="0.2">
      <c r="E3848" s="11"/>
      <c r="H3848" s="6"/>
    </row>
    <row r="3849" spans="5:8" x14ac:dyDescent="0.2">
      <c r="E3849" s="11"/>
      <c r="H3849" s="6"/>
    </row>
    <row r="3850" spans="5:8" x14ac:dyDescent="0.2">
      <c r="E3850" s="11"/>
      <c r="H3850" s="6"/>
    </row>
    <row r="3851" spans="5:8" x14ac:dyDescent="0.2">
      <c r="E3851" s="11"/>
      <c r="H3851" s="6"/>
    </row>
    <row r="3852" spans="5:8" x14ac:dyDescent="0.2">
      <c r="E3852" s="11"/>
      <c r="H3852" s="6"/>
    </row>
    <row r="3853" spans="5:8" x14ac:dyDescent="0.2">
      <c r="E3853" s="11"/>
      <c r="H3853" s="6"/>
    </row>
    <row r="3854" spans="5:8" x14ac:dyDescent="0.2">
      <c r="E3854" s="11"/>
      <c r="H3854" s="6"/>
    </row>
    <row r="3855" spans="5:8" x14ac:dyDescent="0.2">
      <c r="E3855" s="11"/>
      <c r="H3855" s="6"/>
    </row>
    <row r="3856" spans="5:8" x14ac:dyDescent="0.2">
      <c r="E3856" s="11"/>
      <c r="H3856" s="6"/>
    </row>
    <row r="3857" spans="5:8" x14ac:dyDescent="0.2">
      <c r="E3857" s="11"/>
      <c r="H3857" s="6"/>
    </row>
    <row r="3858" spans="5:8" x14ac:dyDescent="0.2">
      <c r="E3858" s="11"/>
      <c r="H3858" s="6"/>
    </row>
    <row r="3859" spans="5:8" x14ac:dyDescent="0.2">
      <c r="E3859" s="11"/>
      <c r="H3859" s="6"/>
    </row>
    <row r="3860" spans="5:8" x14ac:dyDescent="0.2">
      <c r="E3860" s="11"/>
      <c r="H3860" s="6"/>
    </row>
    <row r="3861" spans="5:8" x14ac:dyDescent="0.2">
      <c r="E3861" s="11"/>
      <c r="H3861" s="6"/>
    </row>
    <row r="3862" spans="5:8" x14ac:dyDescent="0.2">
      <c r="E3862" s="11"/>
      <c r="H3862" s="6"/>
    </row>
    <row r="3863" spans="5:8" x14ac:dyDescent="0.2">
      <c r="E3863" s="11"/>
      <c r="H3863" s="6"/>
    </row>
    <row r="3864" spans="5:8" x14ac:dyDescent="0.2">
      <c r="E3864" s="11"/>
      <c r="H3864" s="6"/>
    </row>
    <row r="3865" spans="5:8" x14ac:dyDescent="0.2">
      <c r="E3865" s="11"/>
      <c r="H3865" s="6"/>
    </row>
    <row r="3866" spans="5:8" x14ac:dyDescent="0.2">
      <c r="E3866" s="11"/>
      <c r="H3866" s="6"/>
    </row>
    <row r="3867" spans="5:8" x14ac:dyDescent="0.2">
      <c r="E3867" s="11"/>
      <c r="H3867" s="6"/>
    </row>
    <row r="3868" spans="5:8" x14ac:dyDescent="0.2">
      <c r="E3868" s="11"/>
      <c r="H3868" s="6"/>
    </row>
    <row r="3869" spans="5:8" x14ac:dyDescent="0.2">
      <c r="E3869" s="11"/>
      <c r="H3869" s="6"/>
    </row>
    <row r="3870" spans="5:8" x14ac:dyDescent="0.2">
      <c r="E3870" s="11"/>
      <c r="H3870" s="6"/>
    </row>
    <row r="3871" spans="5:8" x14ac:dyDescent="0.2">
      <c r="E3871" s="11"/>
      <c r="H3871" s="6"/>
    </row>
    <row r="3872" spans="5:8" x14ac:dyDescent="0.2">
      <c r="E3872" s="11"/>
      <c r="H3872" s="6"/>
    </row>
    <row r="3873" spans="5:8" x14ac:dyDescent="0.2">
      <c r="E3873" s="11"/>
      <c r="H3873" s="6"/>
    </row>
    <row r="3874" spans="5:8" x14ac:dyDescent="0.2">
      <c r="E3874" s="11"/>
      <c r="H3874" s="6"/>
    </row>
    <row r="3875" spans="5:8" x14ac:dyDescent="0.2">
      <c r="E3875" s="11"/>
      <c r="H3875" s="6"/>
    </row>
    <row r="3876" spans="5:8" x14ac:dyDescent="0.2">
      <c r="E3876" s="11"/>
      <c r="H3876" s="6"/>
    </row>
    <row r="3877" spans="5:8" x14ac:dyDescent="0.2">
      <c r="E3877" s="11"/>
      <c r="H3877" s="6"/>
    </row>
    <row r="3878" spans="5:8" x14ac:dyDescent="0.2">
      <c r="E3878" s="11"/>
      <c r="H3878" s="6"/>
    </row>
    <row r="3879" spans="5:8" x14ac:dyDescent="0.2">
      <c r="E3879" s="11"/>
      <c r="H3879" s="6"/>
    </row>
    <row r="3880" spans="5:8" x14ac:dyDescent="0.2">
      <c r="E3880" s="11"/>
      <c r="H3880" s="6"/>
    </row>
    <row r="3881" spans="5:8" x14ac:dyDescent="0.2">
      <c r="E3881" s="11"/>
      <c r="H3881" s="6"/>
    </row>
    <row r="3882" spans="5:8" x14ac:dyDescent="0.2">
      <c r="E3882" s="11"/>
      <c r="H3882" s="6"/>
    </row>
    <row r="3883" spans="5:8" x14ac:dyDescent="0.2">
      <c r="E3883" s="11"/>
      <c r="H3883" s="6"/>
    </row>
    <row r="3884" spans="5:8" x14ac:dyDescent="0.2">
      <c r="E3884" s="11"/>
      <c r="H3884" s="6"/>
    </row>
    <row r="3885" spans="5:8" x14ac:dyDescent="0.2">
      <c r="E3885" s="11"/>
      <c r="H3885" s="6"/>
    </row>
    <row r="3886" spans="5:8" x14ac:dyDescent="0.2">
      <c r="E3886" s="11"/>
      <c r="H3886" s="6"/>
    </row>
    <row r="3887" spans="5:8" x14ac:dyDescent="0.2">
      <c r="E3887" s="11"/>
      <c r="H3887" s="6"/>
    </row>
    <row r="3888" spans="5:8" x14ac:dyDescent="0.2">
      <c r="E3888" s="11"/>
      <c r="H3888" s="6"/>
    </row>
    <row r="3889" spans="5:8" x14ac:dyDescent="0.2">
      <c r="E3889" s="11"/>
      <c r="H3889" s="6"/>
    </row>
    <row r="3890" spans="5:8" x14ac:dyDescent="0.2">
      <c r="E3890" s="11"/>
      <c r="H3890" s="6"/>
    </row>
    <row r="3891" spans="5:8" x14ac:dyDescent="0.2">
      <c r="E3891" s="11"/>
      <c r="H3891" s="6"/>
    </row>
    <row r="3892" spans="5:8" x14ac:dyDescent="0.2">
      <c r="E3892" s="11"/>
      <c r="H3892" s="6"/>
    </row>
    <row r="3893" spans="5:8" x14ac:dyDescent="0.2">
      <c r="E3893" s="11"/>
      <c r="H3893" s="6"/>
    </row>
    <row r="3894" spans="5:8" x14ac:dyDescent="0.2">
      <c r="E3894" s="11"/>
      <c r="H3894" s="6"/>
    </row>
    <row r="3895" spans="5:8" x14ac:dyDescent="0.2">
      <c r="E3895" s="11"/>
      <c r="H3895" s="6"/>
    </row>
    <row r="3896" spans="5:8" x14ac:dyDescent="0.2">
      <c r="E3896" s="11"/>
      <c r="H3896" s="6"/>
    </row>
    <row r="3897" spans="5:8" x14ac:dyDescent="0.2">
      <c r="E3897" s="11"/>
      <c r="H3897" s="6"/>
    </row>
    <row r="3898" spans="5:8" x14ac:dyDescent="0.2">
      <c r="E3898" s="11"/>
      <c r="H3898" s="6"/>
    </row>
    <row r="3899" spans="5:8" x14ac:dyDescent="0.2">
      <c r="E3899" s="11"/>
      <c r="H3899" s="6"/>
    </row>
    <row r="3900" spans="5:8" x14ac:dyDescent="0.2">
      <c r="E3900" s="11"/>
      <c r="H3900" s="6"/>
    </row>
    <row r="3901" spans="5:8" x14ac:dyDescent="0.2">
      <c r="E3901" s="11"/>
      <c r="H3901" s="6"/>
    </row>
    <row r="3902" spans="5:8" x14ac:dyDescent="0.2">
      <c r="E3902" s="11"/>
      <c r="H3902" s="6"/>
    </row>
    <row r="3903" spans="5:8" x14ac:dyDescent="0.2">
      <c r="E3903" s="11"/>
      <c r="H3903" s="6"/>
    </row>
    <row r="3904" spans="5:8" x14ac:dyDescent="0.2">
      <c r="E3904" s="11"/>
      <c r="H3904" s="6"/>
    </row>
    <row r="3905" spans="5:8" x14ac:dyDescent="0.2">
      <c r="E3905" s="11"/>
      <c r="H3905" s="6"/>
    </row>
    <row r="3906" spans="5:8" x14ac:dyDescent="0.2">
      <c r="E3906" s="11"/>
      <c r="H3906" s="6"/>
    </row>
    <row r="3907" spans="5:8" x14ac:dyDescent="0.2">
      <c r="E3907" s="11"/>
      <c r="H3907" s="6"/>
    </row>
    <row r="3908" spans="5:8" x14ac:dyDescent="0.2">
      <c r="E3908" s="11"/>
      <c r="H3908" s="6"/>
    </row>
    <row r="3909" spans="5:8" x14ac:dyDescent="0.2">
      <c r="E3909" s="11"/>
      <c r="H3909" s="6"/>
    </row>
    <row r="3910" spans="5:8" x14ac:dyDescent="0.2">
      <c r="E3910" s="11"/>
      <c r="H3910" s="6"/>
    </row>
    <row r="3911" spans="5:8" x14ac:dyDescent="0.2">
      <c r="E3911" s="11"/>
      <c r="H3911" s="6"/>
    </row>
    <row r="3912" spans="5:8" x14ac:dyDescent="0.2">
      <c r="E3912" s="11"/>
      <c r="H3912" s="6"/>
    </row>
    <row r="3913" spans="5:8" x14ac:dyDescent="0.2">
      <c r="E3913" s="11"/>
      <c r="H3913" s="6"/>
    </row>
    <row r="3914" spans="5:8" x14ac:dyDescent="0.2">
      <c r="E3914" s="11"/>
      <c r="H3914" s="6"/>
    </row>
    <row r="3915" spans="5:8" x14ac:dyDescent="0.2">
      <c r="E3915" s="11"/>
      <c r="H3915" s="6"/>
    </row>
    <row r="3916" spans="5:8" x14ac:dyDescent="0.2">
      <c r="E3916" s="11"/>
      <c r="H3916" s="6"/>
    </row>
    <row r="3917" spans="5:8" x14ac:dyDescent="0.2">
      <c r="E3917" s="11"/>
      <c r="H3917" s="6"/>
    </row>
    <row r="3918" spans="5:8" x14ac:dyDescent="0.2">
      <c r="E3918" s="11"/>
      <c r="H3918" s="6"/>
    </row>
    <row r="3919" spans="5:8" x14ac:dyDescent="0.2">
      <c r="E3919" s="11"/>
      <c r="H3919" s="6"/>
    </row>
    <row r="3920" spans="5:8" x14ac:dyDescent="0.2">
      <c r="E3920" s="11"/>
      <c r="H3920" s="6"/>
    </row>
    <row r="3921" spans="5:8" x14ac:dyDescent="0.2">
      <c r="E3921" s="11"/>
      <c r="H3921" s="6"/>
    </row>
    <row r="3922" spans="5:8" x14ac:dyDescent="0.2">
      <c r="E3922" s="11"/>
      <c r="H3922" s="6"/>
    </row>
    <row r="3923" spans="5:8" x14ac:dyDescent="0.2">
      <c r="E3923" s="11"/>
      <c r="H3923" s="6"/>
    </row>
    <row r="3924" spans="5:8" x14ac:dyDescent="0.2">
      <c r="E3924" s="11"/>
      <c r="H3924" s="6"/>
    </row>
    <row r="3925" spans="5:8" x14ac:dyDescent="0.2">
      <c r="E3925" s="11"/>
      <c r="H3925" s="6"/>
    </row>
    <row r="3926" spans="5:8" x14ac:dyDescent="0.2">
      <c r="E3926" s="11"/>
      <c r="H3926" s="6"/>
    </row>
    <row r="3927" spans="5:8" x14ac:dyDescent="0.2">
      <c r="E3927" s="11"/>
      <c r="H3927" s="6"/>
    </row>
    <row r="3928" spans="5:8" x14ac:dyDescent="0.2">
      <c r="E3928" s="11"/>
      <c r="H3928" s="6"/>
    </row>
    <row r="3929" spans="5:8" x14ac:dyDescent="0.2">
      <c r="E3929" s="11"/>
      <c r="H3929" s="6"/>
    </row>
    <row r="3930" spans="5:8" x14ac:dyDescent="0.2">
      <c r="E3930" s="11"/>
      <c r="H3930" s="6"/>
    </row>
    <row r="3931" spans="5:8" x14ac:dyDescent="0.2">
      <c r="E3931" s="11"/>
      <c r="H3931" s="6"/>
    </row>
    <row r="3932" spans="5:8" x14ac:dyDescent="0.2">
      <c r="E3932" s="11"/>
      <c r="H3932" s="6"/>
    </row>
    <row r="3933" spans="5:8" x14ac:dyDescent="0.2">
      <c r="E3933" s="11"/>
      <c r="H3933" s="6"/>
    </row>
    <row r="3934" spans="5:8" x14ac:dyDescent="0.2">
      <c r="E3934" s="11"/>
      <c r="H3934" s="6"/>
    </row>
    <row r="3935" spans="5:8" x14ac:dyDescent="0.2">
      <c r="E3935" s="11"/>
      <c r="H3935" s="6"/>
    </row>
    <row r="3936" spans="5:8" x14ac:dyDescent="0.2">
      <c r="E3936" s="11"/>
      <c r="H3936" s="6"/>
    </row>
    <row r="3937" spans="5:8" x14ac:dyDescent="0.2">
      <c r="E3937" s="11"/>
      <c r="H3937" s="6"/>
    </row>
    <row r="3938" spans="5:8" x14ac:dyDescent="0.2">
      <c r="E3938" s="11"/>
      <c r="H3938" s="6"/>
    </row>
    <row r="3939" spans="5:8" x14ac:dyDescent="0.2">
      <c r="E3939" s="11"/>
      <c r="H3939" s="6"/>
    </row>
    <row r="3940" spans="5:8" x14ac:dyDescent="0.2">
      <c r="E3940" s="11"/>
      <c r="H3940" s="6"/>
    </row>
    <row r="3941" spans="5:8" x14ac:dyDescent="0.2">
      <c r="E3941" s="11"/>
      <c r="H3941" s="6"/>
    </row>
    <row r="3942" spans="5:8" x14ac:dyDescent="0.2">
      <c r="E3942" s="11"/>
      <c r="H3942" s="6"/>
    </row>
    <row r="3943" spans="5:8" x14ac:dyDescent="0.2">
      <c r="E3943" s="11"/>
      <c r="H3943" s="6"/>
    </row>
    <row r="3944" spans="5:8" x14ac:dyDescent="0.2">
      <c r="E3944" s="11"/>
      <c r="H3944" s="6"/>
    </row>
    <row r="3945" spans="5:8" x14ac:dyDescent="0.2">
      <c r="E3945" s="11"/>
      <c r="H3945" s="6"/>
    </row>
    <row r="3946" spans="5:8" x14ac:dyDescent="0.2">
      <c r="E3946" s="11"/>
      <c r="H3946" s="6"/>
    </row>
    <row r="3947" spans="5:8" x14ac:dyDescent="0.2">
      <c r="E3947" s="11"/>
      <c r="H3947" s="6"/>
    </row>
    <row r="3948" spans="5:8" x14ac:dyDescent="0.2">
      <c r="E3948" s="11"/>
      <c r="H3948" s="6"/>
    </row>
    <row r="3949" spans="5:8" x14ac:dyDescent="0.2">
      <c r="E3949" s="11"/>
      <c r="H3949" s="6"/>
    </row>
    <row r="3950" spans="5:8" x14ac:dyDescent="0.2">
      <c r="E3950" s="11"/>
      <c r="H3950" s="6"/>
    </row>
    <row r="3951" spans="5:8" x14ac:dyDescent="0.2">
      <c r="E3951" s="11"/>
      <c r="H3951" s="6"/>
    </row>
    <row r="3952" spans="5:8" x14ac:dyDescent="0.2">
      <c r="E3952" s="11"/>
      <c r="H3952" s="6"/>
    </row>
    <row r="3953" spans="5:8" x14ac:dyDescent="0.2">
      <c r="E3953" s="11"/>
      <c r="H3953" s="6"/>
    </row>
    <row r="3954" spans="5:8" x14ac:dyDescent="0.2">
      <c r="E3954" s="11"/>
      <c r="H3954" s="6"/>
    </row>
    <row r="3955" spans="5:8" x14ac:dyDescent="0.2">
      <c r="E3955" s="11"/>
      <c r="H3955" s="6"/>
    </row>
    <row r="3956" spans="5:8" x14ac:dyDescent="0.2">
      <c r="E3956" s="11"/>
      <c r="H3956" s="6"/>
    </row>
    <row r="3957" spans="5:8" x14ac:dyDescent="0.2">
      <c r="E3957" s="11"/>
      <c r="H3957" s="6"/>
    </row>
    <row r="3958" spans="5:8" x14ac:dyDescent="0.2">
      <c r="E3958" s="11"/>
      <c r="H3958" s="6"/>
    </row>
    <row r="3959" spans="5:8" x14ac:dyDescent="0.2">
      <c r="E3959" s="11"/>
      <c r="H3959" s="6"/>
    </row>
    <row r="3960" spans="5:8" x14ac:dyDescent="0.2">
      <c r="E3960" s="11"/>
      <c r="H3960" s="6"/>
    </row>
    <row r="3961" spans="5:8" x14ac:dyDescent="0.2">
      <c r="E3961" s="11"/>
      <c r="H3961" s="6"/>
    </row>
    <row r="3962" spans="5:8" x14ac:dyDescent="0.2">
      <c r="E3962" s="11"/>
      <c r="H3962" s="6"/>
    </row>
    <row r="3963" spans="5:8" x14ac:dyDescent="0.2">
      <c r="E3963" s="11"/>
      <c r="H3963" s="6"/>
    </row>
    <row r="3964" spans="5:8" x14ac:dyDescent="0.2">
      <c r="E3964" s="11"/>
      <c r="H3964" s="6"/>
    </row>
    <row r="3965" spans="5:8" x14ac:dyDescent="0.2">
      <c r="E3965" s="11"/>
      <c r="H3965" s="6"/>
    </row>
    <row r="3966" spans="5:8" x14ac:dyDescent="0.2">
      <c r="E3966" s="11"/>
      <c r="H3966" s="6"/>
    </row>
    <row r="3967" spans="5:8" x14ac:dyDescent="0.2">
      <c r="E3967" s="11"/>
      <c r="H3967" s="6"/>
    </row>
    <row r="3968" spans="5:8" x14ac:dyDescent="0.2">
      <c r="E3968" s="11"/>
      <c r="H3968" s="6"/>
    </row>
    <row r="3969" spans="5:8" x14ac:dyDescent="0.2">
      <c r="E3969" s="11"/>
      <c r="H3969" s="6"/>
    </row>
    <row r="3970" spans="5:8" x14ac:dyDescent="0.2">
      <c r="E3970" s="11"/>
      <c r="H3970" s="6"/>
    </row>
    <row r="3971" spans="5:8" x14ac:dyDescent="0.2">
      <c r="E3971" s="11"/>
      <c r="H3971" s="6"/>
    </row>
    <row r="3972" spans="5:8" x14ac:dyDescent="0.2">
      <c r="E3972" s="11"/>
      <c r="H3972" s="6"/>
    </row>
    <row r="3973" spans="5:8" x14ac:dyDescent="0.2">
      <c r="E3973" s="11"/>
      <c r="H3973" s="6"/>
    </row>
    <row r="3974" spans="5:8" x14ac:dyDescent="0.2">
      <c r="E3974" s="11"/>
      <c r="H3974" s="6"/>
    </row>
    <row r="3975" spans="5:8" x14ac:dyDescent="0.2">
      <c r="E3975" s="11"/>
      <c r="H3975" s="6"/>
    </row>
    <row r="3976" spans="5:8" x14ac:dyDescent="0.2">
      <c r="E3976" s="11"/>
      <c r="H3976" s="6"/>
    </row>
    <row r="3977" spans="5:8" x14ac:dyDescent="0.2">
      <c r="E3977" s="11"/>
      <c r="H3977" s="6"/>
    </row>
    <row r="3978" spans="5:8" x14ac:dyDescent="0.2">
      <c r="E3978" s="11"/>
      <c r="H3978" s="6"/>
    </row>
    <row r="3979" spans="5:8" x14ac:dyDescent="0.2">
      <c r="E3979" s="11"/>
      <c r="H3979" s="6"/>
    </row>
    <row r="3980" spans="5:8" x14ac:dyDescent="0.2">
      <c r="E3980" s="11"/>
      <c r="H3980" s="6"/>
    </row>
    <row r="3981" spans="5:8" x14ac:dyDescent="0.2">
      <c r="E3981" s="11"/>
      <c r="H3981" s="6"/>
    </row>
    <row r="3982" spans="5:8" x14ac:dyDescent="0.2">
      <c r="E3982" s="11"/>
      <c r="H3982" s="6"/>
    </row>
    <row r="3983" spans="5:8" x14ac:dyDescent="0.2">
      <c r="E3983" s="11"/>
      <c r="H3983" s="6"/>
    </row>
    <row r="3984" spans="5:8" x14ac:dyDescent="0.2">
      <c r="E3984" s="11"/>
      <c r="H3984" s="6"/>
    </row>
    <row r="3985" spans="5:8" x14ac:dyDescent="0.2">
      <c r="E3985" s="11"/>
      <c r="H3985" s="6"/>
    </row>
    <row r="3986" spans="5:8" x14ac:dyDescent="0.2">
      <c r="E3986" s="11"/>
      <c r="H3986" s="6"/>
    </row>
    <row r="3987" spans="5:8" x14ac:dyDescent="0.2">
      <c r="E3987" s="11"/>
      <c r="H3987" s="6"/>
    </row>
    <row r="3988" spans="5:8" x14ac:dyDescent="0.2">
      <c r="E3988" s="11"/>
      <c r="H3988" s="6"/>
    </row>
    <row r="3989" spans="5:8" x14ac:dyDescent="0.2">
      <c r="E3989" s="11"/>
      <c r="H3989" s="6"/>
    </row>
    <row r="3990" spans="5:8" x14ac:dyDescent="0.2">
      <c r="E3990" s="11"/>
      <c r="H3990" s="6"/>
    </row>
    <row r="3991" spans="5:8" x14ac:dyDescent="0.2">
      <c r="E3991" s="11"/>
      <c r="H3991" s="6"/>
    </row>
    <row r="3992" spans="5:8" x14ac:dyDescent="0.2">
      <c r="E3992" s="11"/>
      <c r="H3992" s="6"/>
    </row>
    <row r="3993" spans="5:8" x14ac:dyDescent="0.2">
      <c r="E3993" s="11"/>
      <c r="H3993" s="6"/>
    </row>
    <row r="3994" spans="5:8" x14ac:dyDescent="0.2">
      <c r="E3994" s="11"/>
      <c r="H3994" s="6"/>
    </row>
    <row r="3995" spans="5:8" x14ac:dyDescent="0.2">
      <c r="E3995" s="11"/>
      <c r="H3995" s="6"/>
    </row>
    <row r="3996" spans="5:8" x14ac:dyDescent="0.2">
      <c r="E3996" s="11"/>
      <c r="H3996" s="6"/>
    </row>
    <row r="3997" spans="5:8" x14ac:dyDescent="0.2">
      <c r="E3997" s="11"/>
      <c r="H3997" s="6"/>
    </row>
    <row r="3998" spans="5:8" x14ac:dyDescent="0.2">
      <c r="E3998" s="11"/>
      <c r="H3998" s="6"/>
    </row>
    <row r="3999" spans="5:8" x14ac:dyDescent="0.2">
      <c r="E3999" s="11"/>
      <c r="H3999" s="6"/>
    </row>
    <row r="4000" spans="5:8" x14ac:dyDescent="0.2">
      <c r="E4000" s="11"/>
      <c r="H4000" s="6"/>
    </row>
    <row r="4001" spans="5:8" x14ac:dyDescent="0.2">
      <c r="E4001" s="11"/>
      <c r="H4001" s="6"/>
    </row>
    <row r="4002" spans="5:8" x14ac:dyDescent="0.2">
      <c r="E4002" s="11"/>
      <c r="H4002" s="6"/>
    </row>
    <row r="4003" spans="5:8" x14ac:dyDescent="0.2">
      <c r="E4003" s="11"/>
      <c r="H4003" s="6"/>
    </row>
    <row r="4004" spans="5:8" x14ac:dyDescent="0.2">
      <c r="E4004" s="11"/>
      <c r="H4004" s="6"/>
    </row>
    <row r="4005" spans="5:8" x14ac:dyDescent="0.2">
      <c r="E4005" s="11"/>
      <c r="H4005" s="6"/>
    </row>
    <row r="4006" spans="5:8" x14ac:dyDescent="0.2">
      <c r="E4006" s="11"/>
      <c r="H4006" s="6"/>
    </row>
    <row r="4007" spans="5:8" x14ac:dyDescent="0.2">
      <c r="E4007" s="11"/>
      <c r="H4007" s="6"/>
    </row>
    <row r="4008" spans="5:8" x14ac:dyDescent="0.2">
      <c r="E4008" s="11"/>
      <c r="H4008" s="6"/>
    </row>
    <row r="4009" spans="5:8" x14ac:dyDescent="0.2">
      <c r="E4009" s="11"/>
      <c r="H4009" s="6"/>
    </row>
    <row r="4010" spans="5:8" x14ac:dyDescent="0.2">
      <c r="E4010" s="11"/>
      <c r="H4010" s="6"/>
    </row>
    <row r="4011" spans="5:8" x14ac:dyDescent="0.2">
      <c r="E4011" s="11"/>
      <c r="H4011" s="6"/>
    </row>
    <row r="4012" spans="5:8" x14ac:dyDescent="0.2">
      <c r="E4012" s="11"/>
      <c r="H4012" s="6"/>
    </row>
    <row r="4013" spans="5:8" x14ac:dyDescent="0.2">
      <c r="E4013" s="11"/>
      <c r="H4013" s="6"/>
    </row>
    <row r="4014" spans="5:8" x14ac:dyDescent="0.2">
      <c r="E4014" s="11"/>
      <c r="H4014" s="6"/>
    </row>
    <row r="4015" spans="5:8" x14ac:dyDescent="0.2">
      <c r="E4015" s="11"/>
      <c r="H4015" s="6"/>
    </row>
    <row r="4016" spans="5:8" x14ac:dyDescent="0.2">
      <c r="E4016" s="11"/>
      <c r="H4016" s="6"/>
    </row>
    <row r="4017" spans="5:8" x14ac:dyDescent="0.2">
      <c r="E4017" s="11"/>
      <c r="H4017" s="6"/>
    </row>
    <row r="4018" spans="5:8" x14ac:dyDescent="0.2">
      <c r="E4018" s="11"/>
      <c r="H4018" s="6"/>
    </row>
    <row r="4019" spans="5:8" x14ac:dyDescent="0.2">
      <c r="E4019" s="11"/>
      <c r="H4019" s="6"/>
    </row>
    <row r="4020" spans="5:8" x14ac:dyDescent="0.2">
      <c r="E4020" s="11"/>
      <c r="H4020" s="6"/>
    </row>
    <row r="4021" spans="5:8" x14ac:dyDescent="0.2">
      <c r="E4021" s="11"/>
      <c r="H4021" s="6"/>
    </row>
    <row r="4022" spans="5:8" x14ac:dyDescent="0.2">
      <c r="E4022" s="11"/>
      <c r="H4022" s="6"/>
    </row>
    <row r="4023" spans="5:8" x14ac:dyDescent="0.2">
      <c r="E4023" s="11"/>
      <c r="H4023" s="6"/>
    </row>
    <row r="4024" spans="5:8" x14ac:dyDescent="0.2">
      <c r="E4024" s="11"/>
      <c r="H4024" s="6"/>
    </row>
    <row r="4025" spans="5:8" x14ac:dyDescent="0.2">
      <c r="E4025" s="11"/>
      <c r="H4025" s="6"/>
    </row>
    <row r="4026" spans="5:8" x14ac:dyDescent="0.2">
      <c r="E4026" s="11"/>
      <c r="H4026" s="6"/>
    </row>
    <row r="4027" spans="5:8" x14ac:dyDescent="0.2">
      <c r="E4027" s="21"/>
      <c r="H4027" s="10"/>
    </row>
    <row r="4028" spans="5:8" x14ac:dyDescent="0.2">
      <c r="E4028" s="21"/>
      <c r="H4028" s="10"/>
    </row>
    <row r="4029" spans="5:8" x14ac:dyDescent="0.2">
      <c r="E4029" s="21"/>
      <c r="H4029" s="10"/>
    </row>
    <row r="4030" spans="5:8" x14ac:dyDescent="0.2">
      <c r="E4030" s="21"/>
      <c r="H4030" s="10"/>
    </row>
    <row r="4031" spans="5:8" x14ac:dyDescent="0.2">
      <c r="E4031" s="21"/>
      <c r="H4031" s="10"/>
    </row>
    <row r="4032" spans="5:8" x14ac:dyDescent="0.2">
      <c r="E4032" s="21"/>
      <c r="H4032" s="10"/>
    </row>
    <row r="4033" spans="5:8" x14ac:dyDescent="0.2">
      <c r="E4033" s="21"/>
      <c r="H4033" s="10"/>
    </row>
    <row r="4034" spans="5:8" x14ac:dyDescent="0.2">
      <c r="E4034" s="21"/>
      <c r="H4034" s="10"/>
    </row>
    <row r="4035" spans="5:8" x14ac:dyDescent="0.2">
      <c r="E4035" s="21"/>
      <c r="H4035" s="10"/>
    </row>
    <row r="4036" spans="5:8" x14ac:dyDescent="0.2">
      <c r="E4036" s="21"/>
      <c r="H4036" s="10"/>
    </row>
    <row r="4037" spans="5:8" x14ac:dyDescent="0.2">
      <c r="E4037" s="21"/>
      <c r="H4037" s="10"/>
    </row>
    <row r="4038" spans="5:8" x14ac:dyDescent="0.2">
      <c r="E4038" s="21"/>
      <c r="H4038" s="10"/>
    </row>
    <row r="4039" spans="5:8" x14ac:dyDescent="0.2">
      <c r="E4039" s="21"/>
      <c r="H4039" s="10"/>
    </row>
    <row r="4040" spans="5:8" x14ac:dyDescent="0.2">
      <c r="E4040" s="21"/>
      <c r="H4040" s="10"/>
    </row>
    <row r="4041" spans="5:8" x14ac:dyDescent="0.2">
      <c r="E4041" s="21"/>
      <c r="H4041" s="10"/>
    </row>
    <row r="4042" spans="5:8" x14ac:dyDescent="0.2">
      <c r="E4042" s="21"/>
      <c r="H4042" s="10"/>
    </row>
    <row r="4043" spans="5:8" x14ac:dyDescent="0.2">
      <c r="E4043" s="21"/>
      <c r="H4043" s="10"/>
    </row>
    <row r="4044" spans="5:8" x14ac:dyDescent="0.2">
      <c r="E4044" s="21"/>
      <c r="H4044" s="10"/>
    </row>
    <row r="4045" spans="5:8" x14ac:dyDescent="0.2">
      <c r="E4045" s="21"/>
      <c r="H4045" s="10"/>
    </row>
    <row r="4046" spans="5:8" x14ac:dyDescent="0.2">
      <c r="E4046" s="21"/>
      <c r="H4046" s="10"/>
    </row>
    <row r="4047" spans="5:8" x14ac:dyDescent="0.2">
      <c r="E4047" s="21"/>
      <c r="H4047" s="10"/>
    </row>
    <row r="4048" spans="5:8" x14ac:dyDescent="0.2">
      <c r="E4048" s="21"/>
      <c r="H4048" s="10"/>
    </row>
    <row r="4049" spans="5:8" x14ac:dyDescent="0.2">
      <c r="E4049" s="21"/>
      <c r="H4049" s="10"/>
    </row>
    <row r="4050" spans="5:8" x14ac:dyDescent="0.2">
      <c r="E4050" s="21"/>
      <c r="H4050" s="10"/>
    </row>
    <row r="4051" spans="5:8" x14ac:dyDescent="0.2">
      <c r="E4051" s="21"/>
      <c r="H4051" s="10"/>
    </row>
    <row r="4052" spans="5:8" x14ac:dyDescent="0.2">
      <c r="E4052" s="21"/>
      <c r="H4052" s="10"/>
    </row>
    <row r="4053" spans="5:8" x14ac:dyDescent="0.2">
      <c r="E4053" s="21"/>
      <c r="H4053" s="10"/>
    </row>
    <row r="4054" spans="5:8" x14ac:dyDescent="0.2">
      <c r="E4054" s="21"/>
      <c r="H4054" s="10"/>
    </row>
    <row r="4055" spans="5:8" x14ac:dyDescent="0.2">
      <c r="E4055" s="21"/>
      <c r="H4055" s="10"/>
    </row>
    <row r="4056" spans="5:8" x14ac:dyDescent="0.2">
      <c r="E4056" s="21"/>
      <c r="H4056" s="10"/>
    </row>
    <row r="4057" spans="5:8" x14ac:dyDescent="0.2">
      <c r="E4057" s="21"/>
      <c r="H4057" s="10"/>
    </row>
    <row r="4058" spans="5:8" x14ac:dyDescent="0.2">
      <c r="E4058" s="21"/>
      <c r="H4058" s="10"/>
    </row>
    <row r="4059" spans="5:8" x14ac:dyDescent="0.2">
      <c r="E4059" s="21"/>
      <c r="H4059" s="10"/>
    </row>
    <row r="4060" spans="5:8" x14ac:dyDescent="0.2">
      <c r="E4060" s="21"/>
      <c r="H4060" s="10"/>
    </row>
    <row r="4061" spans="5:8" x14ac:dyDescent="0.2">
      <c r="E4061" s="21"/>
      <c r="H4061" s="10"/>
    </row>
    <row r="4062" spans="5:8" x14ac:dyDescent="0.2">
      <c r="E4062" s="21"/>
      <c r="H4062" s="10"/>
    </row>
    <row r="4063" spans="5:8" x14ac:dyDescent="0.2">
      <c r="E4063" s="21"/>
      <c r="H4063" s="10"/>
    </row>
    <row r="4064" spans="5:8" x14ac:dyDescent="0.2">
      <c r="E4064" s="21"/>
      <c r="H4064" s="10"/>
    </row>
    <row r="4065" spans="5:8" x14ac:dyDescent="0.2">
      <c r="E4065" s="21"/>
      <c r="H4065" s="10"/>
    </row>
    <row r="4066" spans="5:8" x14ac:dyDescent="0.2">
      <c r="E4066" s="21"/>
      <c r="H4066" s="10"/>
    </row>
    <row r="4067" spans="5:8" x14ac:dyDescent="0.2">
      <c r="E4067" s="21"/>
      <c r="H4067" s="10"/>
    </row>
    <row r="4068" spans="5:8" x14ac:dyDescent="0.2">
      <c r="E4068" s="21"/>
      <c r="H4068" s="10"/>
    </row>
    <row r="4069" spans="5:8" x14ac:dyDescent="0.2">
      <c r="E4069" s="21"/>
      <c r="H4069" s="10"/>
    </row>
    <row r="4070" spans="5:8" x14ac:dyDescent="0.2">
      <c r="E4070" s="21"/>
      <c r="H4070" s="10"/>
    </row>
    <row r="4071" spans="5:8" x14ac:dyDescent="0.2">
      <c r="E4071" s="21"/>
      <c r="H4071" s="10"/>
    </row>
    <row r="4072" spans="5:8" x14ac:dyDescent="0.2">
      <c r="E4072" s="21"/>
      <c r="H4072" s="10"/>
    </row>
    <row r="4073" spans="5:8" x14ac:dyDescent="0.2">
      <c r="E4073" s="21"/>
      <c r="H4073" s="10"/>
    </row>
    <row r="4074" spans="5:8" x14ac:dyDescent="0.2">
      <c r="E4074" s="21"/>
      <c r="H4074" s="10"/>
    </row>
    <row r="4075" spans="5:8" x14ac:dyDescent="0.2">
      <c r="E4075" s="21"/>
      <c r="H4075" s="10"/>
    </row>
    <row r="4076" spans="5:8" x14ac:dyDescent="0.2">
      <c r="E4076" s="21"/>
      <c r="H4076" s="10"/>
    </row>
    <row r="4077" spans="5:8" x14ac:dyDescent="0.2">
      <c r="E4077" s="21"/>
      <c r="H4077" s="10"/>
    </row>
    <row r="4078" spans="5:8" x14ac:dyDescent="0.2">
      <c r="E4078" s="21"/>
      <c r="H4078" s="10"/>
    </row>
    <row r="4079" spans="5:8" x14ac:dyDescent="0.2">
      <c r="E4079" s="21"/>
      <c r="H4079" s="10"/>
    </row>
    <row r="4080" spans="5:8" x14ac:dyDescent="0.2">
      <c r="E4080" s="21"/>
      <c r="H4080" s="10"/>
    </row>
    <row r="4081" spans="5:8" x14ac:dyDescent="0.2">
      <c r="E4081" s="21"/>
      <c r="H4081" s="10"/>
    </row>
    <row r="4082" spans="5:8" x14ac:dyDescent="0.2">
      <c r="E4082" s="21"/>
      <c r="H4082" s="10"/>
    </row>
    <row r="4083" spans="5:8" x14ac:dyDescent="0.2">
      <c r="E4083" s="21"/>
      <c r="H4083" s="10"/>
    </row>
    <row r="4084" spans="5:8" x14ac:dyDescent="0.2">
      <c r="E4084" s="21"/>
      <c r="H4084" s="10"/>
    </row>
    <row r="4085" spans="5:8" x14ac:dyDescent="0.2">
      <c r="E4085" s="21"/>
      <c r="H4085" s="10"/>
    </row>
    <row r="4086" spans="5:8" x14ac:dyDescent="0.2">
      <c r="E4086" s="21"/>
      <c r="H4086" s="10"/>
    </row>
    <row r="4087" spans="5:8" x14ac:dyDescent="0.2">
      <c r="E4087" s="21"/>
      <c r="H4087" s="10"/>
    </row>
    <row r="4088" spans="5:8" x14ac:dyDescent="0.2">
      <c r="E4088" s="21"/>
      <c r="H4088" s="10"/>
    </row>
    <row r="4089" spans="5:8" x14ac:dyDescent="0.2">
      <c r="E4089" s="21"/>
      <c r="H4089" s="10"/>
    </row>
    <row r="4090" spans="5:8" x14ac:dyDescent="0.2">
      <c r="E4090" s="21"/>
      <c r="H4090" s="10"/>
    </row>
    <row r="4091" spans="5:8" x14ac:dyDescent="0.2">
      <c r="E4091" s="21"/>
      <c r="H4091" s="10"/>
    </row>
    <row r="4092" spans="5:8" x14ac:dyDescent="0.2">
      <c r="E4092" s="21"/>
      <c r="H4092" s="10"/>
    </row>
    <row r="4093" spans="5:8" x14ac:dyDescent="0.2">
      <c r="E4093" s="21"/>
      <c r="H4093" s="10"/>
    </row>
    <row r="4094" spans="5:8" x14ac:dyDescent="0.2">
      <c r="E4094" s="21"/>
      <c r="H4094" s="10"/>
    </row>
    <row r="4095" spans="5:8" x14ac:dyDescent="0.2">
      <c r="E4095" s="21"/>
      <c r="H4095" s="10"/>
    </row>
    <row r="4096" spans="5:8" x14ac:dyDescent="0.2">
      <c r="E4096" s="21"/>
      <c r="H4096" s="10"/>
    </row>
    <row r="4097" spans="5:8" x14ac:dyDescent="0.2">
      <c r="E4097" s="21"/>
      <c r="H4097" s="10"/>
    </row>
    <row r="4098" spans="5:8" x14ac:dyDescent="0.2">
      <c r="E4098" s="21"/>
      <c r="H4098" s="10"/>
    </row>
    <row r="4099" spans="5:8" x14ac:dyDescent="0.2">
      <c r="E4099" s="21"/>
      <c r="H4099" s="10"/>
    </row>
    <row r="4100" spans="5:8" x14ac:dyDescent="0.2">
      <c r="E4100" s="21"/>
      <c r="H4100" s="10"/>
    </row>
    <row r="4101" spans="5:8" x14ac:dyDescent="0.2">
      <c r="E4101" s="21"/>
      <c r="H4101" s="10"/>
    </row>
    <row r="4102" spans="5:8" x14ac:dyDescent="0.2">
      <c r="E4102" s="21"/>
      <c r="H4102" s="10"/>
    </row>
    <row r="4103" spans="5:8" x14ac:dyDescent="0.2">
      <c r="E4103" s="21"/>
      <c r="H4103" s="10"/>
    </row>
    <row r="4104" spans="5:8" x14ac:dyDescent="0.2">
      <c r="E4104" s="21"/>
      <c r="H4104" s="10"/>
    </row>
    <row r="4105" spans="5:8" x14ac:dyDescent="0.2">
      <c r="E4105" s="11"/>
      <c r="H4105" s="6"/>
    </row>
    <row r="4106" spans="5:8" x14ac:dyDescent="0.2">
      <c r="E4106" s="11"/>
      <c r="H4106" s="6"/>
    </row>
    <row r="4107" spans="5:8" x14ac:dyDescent="0.2">
      <c r="E4107" s="11"/>
      <c r="H4107" s="6"/>
    </row>
    <row r="4108" spans="5:8" x14ac:dyDescent="0.2">
      <c r="E4108" s="11"/>
      <c r="H4108" s="6"/>
    </row>
    <row r="4109" spans="5:8" x14ac:dyDescent="0.2">
      <c r="E4109" s="11"/>
      <c r="H4109" s="6"/>
    </row>
    <row r="4110" spans="5:8" x14ac:dyDescent="0.2">
      <c r="E4110" s="11"/>
      <c r="H4110" s="6"/>
    </row>
    <row r="4111" spans="5:8" x14ac:dyDescent="0.2">
      <c r="E4111" s="11"/>
      <c r="H4111" s="6"/>
    </row>
    <row r="4112" spans="5:8" x14ac:dyDescent="0.2">
      <c r="E4112" s="11"/>
      <c r="H4112" s="6"/>
    </row>
    <row r="4113" spans="5:8" x14ac:dyDescent="0.2">
      <c r="E4113" s="11"/>
      <c r="H4113" s="6"/>
    </row>
    <row r="4114" spans="5:8" x14ac:dyDescent="0.2">
      <c r="E4114" s="11"/>
      <c r="H4114" s="6"/>
    </row>
    <row r="4115" spans="5:8" x14ac:dyDescent="0.2">
      <c r="E4115" s="11"/>
      <c r="H4115" s="6"/>
    </row>
    <row r="4116" spans="5:8" x14ac:dyDescent="0.2">
      <c r="E4116" s="11"/>
      <c r="H4116" s="6"/>
    </row>
    <row r="4117" spans="5:8" x14ac:dyDescent="0.2">
      <c r="E4117" s="11"/>
      <c r="H4117" s="6"/>
    </row>
    <row r="4118" spans="5:8" x14ac:dyDescent="0.2">
      <c r="E4118" s="11"/>
      <c r="H4118" s="6"/>
    </row>
    <row r="4119" spans="5:8" x14ac:dyDescent="0.2">
      <c r="E4119" s="11"/>
      <c r="H4119" s="6"/>
    </row>
    <row r="4120" spans="5:8" x14ac:dyDescent="0.2">
      <c r="E4120" s="11"/>
      <c r="H4120" s="6"/>
    </row>
    <row r="4121" spans="5:8" x14ac:dyDescent="0.2">
      <c r="E4121" s="11"/>
      <c r="H4121" s="6"/>
    </row>
    <row r="4122" spans="5:8" x14ac:dyDescent="0.2">
      <c r="E4122" s="11"/>
      <c r="H4122" s="6"/>
    </row>
    <row r="4123" spans="5:8" x14ac:dyDescent="0.2">
      <c r="E4123" s="11"/>
      <c r="H4123" s="6"/>
    </row>
    <row r="4124" spans="5:8" x14ac:dyDescent="0.2">
      <c r="E4124" s="11"/>
      <c r="H4124" s="6"/>
    </row>
    <row r="4125" spans="5:8" x14ac:dyDescent="0.2">
      <c r="E4125" s="11"/>
      <c r="H4125" s="6"/>
    </row>
    <row r="4126" spans="5:8" x14ac:dyDescent="0.2">
      <c r="E4126" s="11"/>
      <c r="H4126" s="6"/>
    </row>
    <row r="4127" spans="5:8" x14ac:dyDescent="0.2">
      <c r="E4127" s="11"/>
      <c r="H4127" s="6"/>
    </row>
    <row r="4128" spans="5:8" x14ac:dyDescent="0.2">
      <c r="E4128" s="11"/>
      <c r="H4128" s="6"/>
    </row>
    <row r="4129" spans="5:8" x14ac:dyDescent="0.2">
      <c r="E4129" s="11"/>
      <c r="H4129" s="6"/>
    </row>
    <row r="4130" spans="5:8" x14ac:dyDescent="0.2">
      <c r="E4130" s="11"/>
      <c r="H4130" s="6"/>
    </row>
    <row r="4131" spans="5:8" x14ac:dyDescent="0.2">
      <c r="E4131" s="11"/>
      <c r="H4131" s="6"/>
    </row>
    <row r="4132" spans="5:8" x14ac:dyDescent="0.2">
      <c r="E4132" s="11"/>
      <c r="H4132" s="6"/>
    </row>
    <row r="4133" spans="5:8" x14ac:dyDescent="0.2">
      <c r="E4133" s="11"/>
      <c r="H4133" s="6"/>
    </row>
    <row r="4134" spans="5:8" x14ac:dyDescent="0.2">
      <c r="E4134" s="11"/>
      <c r="H4134" s="6"/>
    </row>
    <row r="4135" spans="5:8" x14ac:dyDescent="0.2">
      <c r="E4135" s="11"/>
      <c r="H4135" s="6"/>
    </row>
    <row r="4136" spans="5:8" x14ac:dyDescent="0.2">
      <c r="E4136" s="11"/>
      <c r="H4136" s="6"/>
    </row>
    <row r="4137" spans="5:8" x14ac:dyDescent="0.2">
      <c r="E4137" s="11"/>
      <c r="H4137" s="6"/>
    </row>
    <row r="4138" spans="5:8" x14ac:dyDescent="0.2">
      <c r="E4138" s="11"/>
      <c r="H4138" s="6"/>
    </row>
    <row r="4139" spans="5:8" x14ac:dyDescent="0.2">
      <c r="E4139" s="11"/>
      <c r="H4139" s="6"/>
    </row>
    <row r="4140" spans="5:8" x14ac:dyDescent="0.2">
      <c r="E4140" s="11"/>
      <c r="H4140" s="6"/>
    </row>
    <row r="4141" spans="5:8" x14ac:dyDescent="0.2">
      <c r="E4141" s="11"/>
      <c r="H4141" s="6"/>
    </row>
    <row r="4142" spans="5:8" x14ac:dyDescent="0.2">
      <c r="E4142" s="11"/>
      <c r="H4142" s="6"/>
    </row>
    <row r="4143" spans="5:8" x14ac:dyDescent="0.2">
      <c r="E4143" s="11"/>
      <c r="H4143" s="6"/>
    </row>
    <row r="4144" spans="5:8" x14ac:dyDescent="0.2">
      <c r="E4144" s="11"/>
      <c r="H4144" s="6"/>
    </row>
    <row r="4145" spans="5:8" x14ac:dyDescent="0.2">
      <c r="E4145" s="11"/>
      <c r="H4145" s="6"/>
    </row>
    <row r="4146" spans="5:8" x14ac:dyDescent="0.2">
      <c r="E4146" s="11"/>
      <c r="H4146" s="6"/>
    </row>
    <row r="4147" spans="5:8" x14ac:dyDescent="0.2">
      <c r="E4147" s="11"/>
      <c r="H4147" s="6"/>
    </row>
    <row r="4148" spans="5:8" x14ac:dyDescent="0.2">
      <c r="E4148" s="11"/>
      <c r="H4148" s="6"/>
    </row>
    <row r="4149" spans="5:8" x14ac:dyDescent="0.2">
      <c r="E4149" s="11"/>
      <c r="H4149" s="6"/>
    </row>
    <row r="4150" spans="5:8" x14ac:dyDescent="0.2">
      <c r="E4150" s="11"/>
      <c r="H4150" s="6"/>
    </row>
    <row r="4151" spans="5:8" x14ac:dyDescent="0.2">
      <c r="E4151" s="11"/>
      <c r="H4151" s="6"/>
    </row>
    <row r="4152" spans="5:8" x14ac:dyDescent="0.2">
      <c r="E4152" s="11"/>
      <c r="H4152" s="6"/>
    </row>
    <row r="4153" spans="5:8" x14ac:dyDescent="0.2">
      <c r="E4153" s="11"/>
      <c r="H4153" s="6"/>
    </row>
    <row r="4154" spans="5:8" x14ac:dyDescent="0.2">
      <c r="E4154" s="11"/>
      <c r="H4154" s="6"/>
    </row>
    <row r="4155" spans="5:8" x14ac:dyDescent="0.2">
      <c r="E4155" s="11"/>
      <c r="H4155" s="6"/>
    </row>
    <row r="4156" spans="5:8" x14ac:dyDescent="0.2">
      <c r="E4156" s="11"/>
      <c r="H4156" s="6"/>
    </row>
    <row r="4157" spans="5:8" x14ac:dyDescent="0.2">
      <c r="E4157" s="11"/>
      <c r="H4157" s="6"/>
    </row>
    <row r="4158" spans="5:8" x14ac:dyDescent="0.2">
      <c r="E4158" s="11"/>
      <c r="H4158" s="6"/>
    </row>
    <row r="4159" spans="5:8" x14ac:dyDescent="0.2">
      <c r="E4159" s="11"/>
      <c r="H4159" s="6"/>
    </row>
    <row r="4160" spans="5:8" x14ac:dyDescent="0.2">
      <c r="E4160" s="11"/>
      <c r="H4160" s="6"/>
    </row>
    <row r="4161" spans="5:8" x14ac:dyDescent="0.2">
      <c r="E4161" s="11"/>
      <c r="H4161" s="6"/>
    </row>
    <row r="4162" spans="5:8" x14ac:dyDescent="0.2">
      <c r="E4162" s="11"/>
      <c r="H4162" s="6"/>
    </row>
    <row r="4163" spans="5:8" x14ac:dyDescent="0.2">
      <c r="E4163" s="11"/>
      <c r="H4163" s="6"/>
    </row>
    <row r="4164" spans="5:8" x14ac:dyDescent="0.2">
      <c r="E4164" s="11"/>
      <c r="H4164" s="6"/>
    </row>
    <row r="4165" spans="5:8" x14ac:dyDescent="0.2">
      <c r="E4165" s="11"/>
      <c r="H4165" s="6"/>
    </row>
    <row r="4166" spans="5:8" x14ac:dyDescent="0.2">
      <c r="E4166" s="11"/>
      <c r="H4166" s="6"/>
    </row>
    <row r="4167" spans="5:8" x14ac:dyDescent="0.2">
      <c r="E4167" s="11"/>
      <c r="H4167" s="6"/>
    </row>
    <row r="4168" spans="5:8" x14ac:dyDescent="0.2">
      <c r="E4168" s="11"/>
      <c r="H4168" s="6"/>
    </row>
    <row r="4169" spans="5:8" x14ac:dyDescent="0.2">
      <c r="E4169" s="11"/>
      <c r="H4169" s="6"/>
    </row>
    <row r="4170" spans="5:8" x14ac:dyDescent="0.2">
      <c r="E4170" s="11"/>
      <c r="H4170" s="6"/>
    </row>
    <row r="4171" spans="5:8" x14ac:dyDescent="0.2">
      <c r="E4171" s="11"/>
      <c r="H4171" s="6"/>
    </row>
    <row r="4172" spans="5:8" x14ac:dyDescent="0.2">
      <c r="E4172" s="11"/>
      <c r="H4172" s="6"/>
    </row>
    <row r="4173" spans="5:8" x14ac:dyDescent="0.2">
      <c r="E4173" s="11"/>
      <c r="H4173" s="6"/>
    </row>
    <row r="4174" spans="5:8" x14ac:dyDescent="0.2">
      <c r="E4174" s="11"/>
      <c r="H4174" s="6"/>
    </row>
    <row r="4175" spans="5:8" x14ac:dyDescent="0.2">
      <c r="E4175" s="11"/>
      <c r="H4175" s="6"/>
    </row>
    <row r="4176" spans="5:8" x14ac:dyDescent="0.2">
      <c r="E4176" s="11"/>
      <c r="H4176" s="6"/>
    </row>
    <row r="4177" spans="5:8" x14ac:dyDescent="0.2">
      <c r="E4177" s="11"/>
      <c r="H4177" s="6"/>
    </row>
    <row r="4178" spans="5:8" x14ac:dyDescent="0.2">
      <c r="E4178" s="11"/>
      <c r="H4178" s="6"/>
    </row>
    <row r="4179" spans="5:8" x14ac:dyDescent="0.2">
      <c r="E4179" s="11"/>
      <c r="H4179" s="6"/>
    </row>
    <row r="4180" spans="5:8" x14ac:dyDescent="0.2">
      <c r="E4180" s="11"/>
      <c r="H4180" s="6"/>
    </row>
    <row r="4181" spans="5:8" x14ac:dyDescent="0.2">
      <c r="E4181" s="11"/>
      <c r="H4181" s="6"/>
    </row>
    <row r="4182" spans="5:8" x14ac:dyDescent="0.2">
      <c r="E4182" s="11"/>
      <c r="H4182" s="6"/>
    </row>
    <row r="4183" spans="5:8" x14ac:dyDescent="0.2">
      <c r="E4183" s="11"/>
      <c r="H4183" s="6"/>
    </row>
    <row r="4184" spans="5:8" x14ac:dyDescent="0.2">
      <c r="E4184" s="11"/>
      <c r="H4184" s="6"/>
    </row>
    <row r="4185" spans="5:8" x14ac:dyDescent="0.2">
      <c r="E4185" s="11"/>
      <c r="H4185" s="6"/>
    </row>
    <row r="4186" spans="5:8" x14ac:dyDescent="0.2">
      <c r="E4186" s="11"/>
      <c r="H4186" s="6"/>
    </row>
    <row r="4187" spans="5:8" x14ac:dyDescent="0.2">
      <c r="E4187" s="11"/>
      <c r="H4187" s="6"/>
    </row>
    <row r="4188" spans="5:8" x14ac:dyDescent="0.2">
      <c r="E4188" s="11"/>
      <c r="H4188" s="6"/>
    </row>
    <row r="4189" spans="5:8" x14ac:dyDescent="0.2">
      <c r="E4189" s="11"/>
      <c r="H4189" s="6"/>
    </row>
    <row r="4190" spans="5:8" x14ac:dyDescent="0.2">
      <c r="E4190" s="11"/>
      <c r="H4190" s="6"/>
    </row>
    <row r="4191" spans="5:8" x14ac:dyDescent="0.2">
      <c r="E4191" s="11"/>
      <c r="H4191" s="6"/>
    </row>
    <row r="4192" spans="5:8" x14ac:dyDescent="0.2">
      <c r="E4192" s="11"/>
      <c r="H4192" s="6"/>
    </row>
    <row r="4193" spans="5:8" x14ac:dyDescent="0.2">
      <c r="E4193" s="11"/>
      <c r="H4193" s="6"/>
    </row>
    <row r="4194" spans="5:8" x14ac:dyDescent="0.2">
      <c r="E4194" s="11"/>
      <c r="H4194" s="6"/>
    </row>
    <row r="4195" spans="5:8" x14ac:dyDescent="0.2">
      <c r="E4195" s="11"/>
      <c r="H4195" s="6"/>
    </row>
    <row r="4196" spans="5:8" x14ac:dyDescent="0.2">
      <c r="E4196" s="11"/>
      <c r="H4196" s="6"/>
    </row>
    <row r="4197" spans="5:8" x14ac:dyDescent="0.2">
      <c r="E4197" s="11"/>
      <c r="H4197" s="6"/>
    </row>
    <row r="4198" spans="5:8" x14ac:dyDescent="0.2">
      <c r="E4198" s="11"/>
      <c r="H4198" s="6"/>
    </row>
    <row r="4199" spans="5:8" x14ac:dyDescent="0.2">
      <c r="E4199" s="11"/>
      <c r="H4199" s="6"/>
    </row>
    <row r="4200" spans="5:8" x14ac:dyDescent="0.2">
      <c r="E4200" s="11"/>
      <c r="H4200" s="6"/>
    </row>
    <row r="4201" spans="5:8" x14ac:dyDescent="0.2">
      <c r="E4201" s="11"/>
      <c r="H4201" s="6"/>
    </row>
    <row r="4202" spans="5:8" x14ac:dyDescent="0.2">
      <c r="E4202" s="11"/>
      <c r="H4202" s="6"/>
    </row>
    <row r="4203" spans="5:8" x14ac:dyDescent="0.2">
      <c r="E4203" s="11"/>
      <c r="H4203" s="6"/>
    </row>
    <row r="4204" spans="5:8" x14ac:dyDescent="0.2">
      <c r="E4204" s="11"/>
      <c r="H4204" s="6"/>
    </row>
    <row r="4205" spans="5:8" x14ac:dyDescent="0.2">
      <c r="E4205" s="11"/>
      <c r="H4205" s="6"/>
    </row>
    <row r="4206" spans="5:8" x14ac:dyDescent="0.2">
      <c r="E4206" s="11"/>
      <c r="H4206" s="6"/>
    </row>
    <row r="4207" spans="5:8" x14ac:dyDescent="0.2">
      <c r="E4207" s="11"/>
      <c r="H4207" s="6"/>
    </row>
    <row r="4208" spans="5:8" x14ac:dyDescent="0.2">
      <c r="E4208" s="11"/>
      <c r="H4208" s="6"/>
    </row>
    <row r="4209" spans="5:8" x14ac:dyDescent="0.2">
      <c r="E4209" s="11"/>
      <c r="H4209" s="6"/>
    </row>
    <row r="4210" spans="5:8" x14ac:dyDescent="0.2">
      <c r="E4210" s="11"/>
      <c r="H4210" s="6"/>
    </row>
    <row r="4211" spans="5:8" x14ac:dyDescent="0.2">
      <c r="E4211" s="11"/>
      <c r="H4211" s="6"/>
    </row>
    <row r="4212" spans="5:8" x14ac:dyDescent="0.2">
      <c r="E4212" s="11"/>
      <c r="H4212" s="6"/>
    </row>
    <row r="4213" spans="5:8" x14ac:dyDescent="0.2">
      <c r="E4213" s="11"/>
      <c r="H4213" s="6"/>
    </row>
    <row r="4214" spans="5:8" x14ac:dyDescent="0.2">
      <c r="E4214" s="11"/>
      <c r="H4214" s="6"/>
    </row>
    <row r="4215" spans="5:8" x14ac:dyDescent="0.2">
      <c r="E4215" s="11"/>
      <c r="H4215" s="6"/>
    </row>
    <row r="4216" spans="5:8" x14ac:dyDescent="0.2">
      <c r="E4216" s="11"/>
      <c r="H4216" s="6"/>
    </row>
    <row r="4217" spans="5:8" x14ac:dyDescent="0.2">
      <c r="E4217" s="11"/>
      <c r="H4217" s="6"/>
    </row>
    <row r="4218" spans="5:8" x14ac:dyDescent="0.2">
      <c r="E4218" s="11"/>
      <c r="H4218" s="6"/>
    </row>
    <row r="4219" spans="5:8" x14ac:dyDescent="0.2">
      <c r="E4219" s="11"/>
      <c r="H4219" s="6"/>
    </row>
    <row r="4220" spans="5:8" x14ac:dyDescent="0.2">
      <c r="E4220" s="11"/>
      <c r="H4220" s="6"/>
    </row>
    <row r="4221" spans="5:8" x14ac:dyDescent="0.2">
      <c r="E4221" s="11"/>
      <c r="H4221" s="6"/>
    </row>
    <row r="4222" spans="5:8" x14ac:dyDescent="0.2">
      <c r="E4222" s="11"/>
      <c r="H4222" s="6"/>
    </row>
    <row r="4223" spans="5:8" x14ac:dyDescent="0.2">
      <c r="E4223" s="11"/>
      <c r="H4223" s="6"/>
    </row>
    <row r="4224" spans="5:8" x14ac:dyDescent="0.2">
      <c r="E4224" s="11"/>
      <c r="H4224" s="6"/>
    </row>
    <row r="4225" spans="5:8" x14ac:dyDescent="0.2">
      <c r="E4225" s="11"/>
      <c r="H4225" s="6"/>
    </row>
    <row r="4226" spans="5:8" x14ac:dyDescent="0.2">
      <c r="E4226" s="11"/>
      <c r="H4226" s="6"/>
    </row>
    <row r="4227" spans="5:8" x14ac:dyDescent="0.2">
      <c r="E4227" s="11"/>
      <c r="H4227" s="6"/>
    </row>
    <row r="4228" spans="5:8" x14ac:dyDescent="0.2">
      <c r="E4228" s="11"/>
      <c r="H4228" s="6"/>
    </row>
    <row r="4229" spans="5:8" x14ac:dyDescent="0.2">
      <c r="E4229" s="11"/>
      <c r="H4229" s="6"/>
    </row>
    <row r="4230" spans="5:8" x14ac:dyDescent="0.2">
      <c r="E4230" s="11"/>
      <c r="H4230" s="6"/>
    </row>
    <row r="4231" spans="5:8" x14ac:dyDescent="0.2">
      <c r="E4231" s="11"/>
      <c r="H4231" s="6"/>
    </row>
    <row r="4232" spans="5:8" x14ac:dyDescent="0.2">
      <c r="E4232" s="11"/>
      <c r="H4232" s="6"/>
    </row>
    <row r="4233" spans="5:8" x14ac:dyDescent="0.2">
      <c r="E4233" s="11"/>
      <c r="H4233" s="6"/>
    </row>
    <row r="4234" spans="5:8" x14ac:dyDescent="0.2">
      <c r="E4234" s="11"/>
      <c r="H4234" s="6"/>
    </row>
    <row r="4235" spans="5:8" x14ac:dyDescent="0.2">
      <c r="E4235" s="11"/>
      <c r="H4235" s="6"/>
    </row>
    <row r="4236" spans="5:8" x14ac:dyDescent="0.2">
      <c r="E4236" s="11"/>
      <c r="H4236" s="6"/>
    </row>
    <row r="4237" spans="5:8" x14ac:dyDescent="0.2">
      <c r="E4237" s="11"/>
      <c r="H4237" s="6"/>
    </row>
    <row r="4238" spans="5:8" x14ac:dyDescent="0.2">
      <c r="E4238" s="11"/>
      <c r="H4238" s="6"/>
    </row>
    <row r="4239" spans="5:8" x14ac:dyDescent="0.2">
      <c r="E4239" s="11"/>
      <c r="H4239" s="6"/>
    </row>
    <row r="4240" spans="5:8" x14ac:dyDescent="0.2">
      <c r="E4240" s="11"/>
      <c r="H4240" s="6"/>
    </row>
    <row r="4241" spans="5:8" x14ac:dyDescent="0.2">
      <c r="E4241" s="11"/>
      <c r="H4241" s="6"/>
    </row>
    <row r="4242" spans="5:8" x14ac:dyDescent="0.2">
      <c r="E4242" s="11"/>
      <c r="H4242" s="6"/>
    </row>
    <row r="4243" spans="5:8" x14ac:dyDescent="0.2">
      <c r="E4243" s="11"/>
      <c r="H4243" s="6"/>
    </row>
    <row r="4244" spans="5:8" x14ac:dyDescent="0.2">
      <c r="E4244" s="11"/>
      <c r="H4244" s="6"/>
    </row>
    <row r="4245" spans="5:8" x14ac:dyDescent="0.2">
      <c r="E4245" s="11"/>
      <c r="H4245" s="6"/>
    </row>
    <row r="4246" spans="5:8" x14ac:dyDescent="0.2">
      <c r="E4246" s="11"/>
      <c r="H4246" s="6"/>
    </row>
    <row r="4247" spans="5:8" x14ac:dyDescent="0.2">
      <c r="E4247" s="11"/>
      <c r="H4247" s="6"/>
    </row>
    <row r="4248" spans="5:8" x14ac:dyDescent="0.2">
      <c r="E4248" s="11"/>
      <c r="H4248" s="6"/>
    </row>
    <row r="4249" spans="5:8" x14ac:dyDescent="0.2">
      <c r="E4249" s="11"/>
      <c r="H4249" s="6"/>
    </row>
    <row r="4250" spans="5:8" x14ac:dyDescent="0.2">
      <c r="E4250" s="11"/>
      <c r="H4250" s="6"/>
    </row>
    <row r="4251" spans="5:8" x14ac:dyDescent="0.2">
      <c r="E4251" s="11"/>
      <c r="H4251" s="6"/>
    </row>
    <row r="4252" spans="5:8" x14ac:dyDescent="0.2">
      <c r="E4252" s="11"/>
      <c r="H4252" s="6"/>
    </row>
    <row r="4253" spans="5:8" x14ac:dyDescent="0.2">
      <c r="E4253" s="11"/>
      <c r="H4253" s="6"/>
    </row>
    <row r="4254" spans="5:8" x14ac:dyDescent="0.2">
      <c r="E4254" s="11"/>
      <c r="H4254" s="6"/>
    </row>
    <row r="4255" spans="5:8" x14ac:dyDescent="0.2">
      <c r="E4255" s="11"/>
      <c r="H4255" s="6"/>
    </row>
    <row r="4256" spans="5:8" x14ac:dyDescent="0.2">
      <c r="E4256" s="11"/>
      <c r="H4256" s="6"/>
    </row>
    <row r="4257" spans="5:8" x14ac:dyDescent="0.2">
      <c r="E4257" s="11"/>
      <c r="H4257" s="6"/>
    </row>
    <row r="4258" spans="5:8" x14ac:dyDescent="0.2">
      <c r="E4258" s="11"/>
      <c r="H4258" s="6"/>
    </row>
    <row r="4259" spans="5:8" x14ac:dyDescent="0.2">
      <c r="E4259" s="11"/>
      <c r="H4259" s="6"/>
    </row>
    <row r="4260" spans="5:8" x14ac:dyDescent="0.2">
      <c r="E4260" s="11"/>
      <c r="H4260" s="6"/>
    </row>
    <row r="4261" spans="5:8" x14ac:dyDescent="0.2">
      <c r="E4261" s="11"/>
      <c r="H4261" s="6"/>
    </row>
    <row r="4262" spans="5:8" x14ac:dyDescent="0.2">
      <c r="E4262" s="11"/>
      <c r="H4262" s="6"/>
    </row>
    <row r="4263" spans="5:8" x14ac:dyDescent="0.2">
      <c r="E4263" s="11"/>
      <c r="H4263" s="6"/>
    </row>
    <row r="4264" spans="5:8" x14ac:dyDescent="0.2">
      <c r="E4264" s="11"/>
      <c r="H4264" s="6"/>
    </row>
    <row r="4265" spans="5:8" x14ac:dyDescent="0.2">
      <c r="E4265" s="11"/>
      <c r="H4265" s="6"/>
    </row>
    <row r="4266" spans="5:8" x14ac:dyDescent="0.2">
      <c r="E4266" s="11"/>
      <c r="H4266" s="6"/>
    </row>
    <row r="4267" spans="5:8" x14ac:dyDescent="0.2">
      <c r="E4267" s="11"/>
      <c r="H4267" s="6"/>
    </row>
    <row r="4268" spans="5:8" x14ac:dyDescent="0.2">
      <c r="E4268" s="11"/>
      <c r="H4268" s="6"/>
    </row>
    <row r="4269" spans="5:8" x14ac:dyDescent="0.2">
      <c r="E4269" s="11"/>
      <c r="H4269" s="6"/>
    </row>
    <row r="4270" spans="5:8" x14ac:dyDescent="0.2">
      <c r="E4270" s="11"/>
      <c r="H4270" s="6"/>
    </row>
    <row r="4271" spans="5:8" x14ac:dyDescent="0.2">
      <c r="E4271" s="11"/>
      <c r="H4271" s="6"/>
    </row>
    <row r="4272" spans="5:8" x14ac:dyDescent="0.2">
      <c r="E4272" s="11"/>
      <c r="H4272" s="6"/>
    </row>
    <row r="4273" spans="5:8" x14ac:dyDescent="0.2">
      <c r="E4273" s="11"/>
      <c r="H4273" s="6"/>
    </row>
    <row r="4274" spans="5:8" x14ac:dyDescent="0.2">
      <c r="E4274" s="11"/>
      <c r="H4274" s="6"/>
    </row>
    <row r="4275" spans="5:8" x14ac:dyDescent="0.2">
      <c r="E4275" s="11"/>
      <c r="H4275" s="6"/>
    </row>
    <row r="4276" spans="5:8" x14ac:dyDescent="0.2">
      <c r="E4276" s="11"/>
      <c r="H4276" s="6"/>
    </row>
    <row r="4277" spans="5:8" x14ac:dyDescent="0.2">
      <c r="E4277" s="11"/>
      <c r="H4277" s="6"/>
    </row>
    <row r="4278" spans="5:8" x14ac:dyDescent="0.2">
      <c r="E4278" s="11"/>
      <c r="H4278" s="6"/>
    </row>
    <row r="4279" spans="5:8" x14ac:dyDescent="0.2">
      <c r="E4279" s="11"/>
      <c r="H4279" s="6"/>
    </row>
    <row r="4280" spans="5:8" x14ac:dyDescent="0.2">
      <c r="E4280" s="11"/>
      <c r="H4280" s="6"/>
    </row>
    <row r="4281" spans="5:8" x14ac:dyDescent="0.2">
      <c r="E4281" s="11"/>
      <c r="H4281" s="6"/>
    </row>
    <row r="4282" spans="5:8" x14ac:dyDescent="0.2">
      <c r="E4282" s="11"/>
      <c r="H4282" s="6"/>
    </row>
    <row r="4283" spans="5:8" x14ac:dyDescent="0.2">
      <c r="E4283" s="11"/>
      <c r="H4283" s="6"/>
    </row>
    <row r="4284" spans="5:8" x14ac:dyDescent="0.2">
      <c r="E4284" s="11"/>
      <c r="H4284" s="6"/>
    </row>
    <row r="4285" spans="5:8" x14ac:dyDescent="0.2">
      <c r="E4285" s="11"/>
      <c r="H4285" s="6"/>
    </row>
    <row r="4286" spans="5:8" x14ac:dyDescent="0.2">
      <c r="E4286" s="11"/>
      <c r="H4286" s="6"/>
    </row>
    <row r="4287" spans="5:8" x14ac:dyDescent="0.2">
      <c r="E4287" s="11"/>
      <c r="H4287" s="6"/>
    </row>
    <row r="4288" spans="5:8" x14ac:dyDescent="0.2">
      <c r="E4288" s="11"/>
      <c r="H4288" s="6"/>
    </row>
    <row r="4289" spans="5:8" x14ac:dyDescent="0.2">
      <c r="E4289" s="11"/>
      <c r="H4289" s="6"/>
    </row>
    <row r="4290" spans="5:8" x14ac:dyDescent="0.2">
      <c r="E4290" s="11"/>
      <c r="H4290" s="6"/>
    </row>
    <row r="4291" spans="5:8" x14ac:dyDescent="0.2">
      <c r="E4291" s="11"/>
      <c r="H4291" s="6"/>
    </row>
    <row r="4292" spans="5:8" x14ac:dyDescent="0.2">
      <c r="E4292" s="11"/>
      <c r="H4292" s="6"/>
    </row>
    <row r="4293" spans="5:8" x14ac:dyDescent="0.2">
      <c r="E4293" s="11"/>
      <c r="H4293" s="6"/>
    </row>
    <row r="4294" spans="5:8" x14ac:dyDescent="0.2">
      <c r="E4294" s="11"/>
      <c r="H4294" s="6"/>
    </row>
    <row r="4295" spans="5:8" x14ac:dyDescent="0.2">
      <c r="E4295" s="11"/>
      <c r="H4295" s="6"/>
    </row>
    <row r="4296" spans="5:8" x14ac:dyDescent="0.2">
      <c r="E4296" s="11"/>
      <c r="H4296" s="6"/>
    </row>
    <row r="4297" spans="5:8" x14ac:dyDescent="0.2">
      <c r="E4297" s="11"/>
      <c r="H4297" s="6"/>
    </row>
    <row r="4298" spans="5:8" x14ac:dyDescent="0.2">
      <c r="E4298" s="11"/>
      <c r="H4298" s="6"/>
    </row>
    <row r="4299" spans="5:8" x14ac:dyDescent="0.2">
      <c r="E4299" s="11"/>
      <c r="H4299" s="6"/>
    </row>
    <row r="4300" spans="5:8" x14ac:dyDescent="0.2">
      <c r="E4300" s="11"/>
      <c r="H4300" s="6"/>
    </row>
    <row r="4301" spans="5:8" x14ac:dyDescent="0.2">
      <c r="E4301" s="11"/>
      <c r="H4301" s="6"/>
    </row>
    <row r="4302" spans="5:8" x14ac:dyDescent="0.2">
      <c r="E4302" s="11"/>
      <c r="H4302" s="6"/>
    </row>
    <row r="4303" spans="5:8" x14ac:dyDescent="0.2">
      <c r="E4303" s="11"/>
      <c r="H4303" s="6"/>
    </row>
    <row r="4304" spans="5:8" x14ac:dyDescent="0.2">
      <c r="E4304" s="11"/>
      <c r="H4304" s="6"/>
    </row>
    <row r="4305" spans="5:8" x14ac:dyDescent="0.2">
      <c r="E4305" s="11"/>
      <c r="H4305" s="6"/>
    </row>
    <row r="4306" spans="5:8" x14ac:dyDescent="0.2">
      <c r="E4306" s="11"/>
      <c r="H4306" s="6"/>
    </row>
    <row r="4307" spans="5:8" x14ac:dyDescent="0.2">
      <c r="E4307" s="11"/>
      <c r="H4307" s="6"/>
    </row>
    <row r="4308" spans="5:8" x14ac:dyDescent="0.2">
      <c r="E4308" s="11"/>
      <c r="H4308" s="6"/>
    </row>
    <row r="4309" spans="5:8" x14ac:dyDescent="0.2">
      <c r="E4309" s="11"/>
      <c r="H4309" s="6"/>
    </row>
    <row r="4310" spans="5:8" x14ac:dyDescent="0.2">
      <c r="E4310" s="11"/>
      <c r="H4310" s="6"/>
    </row>
    <row r="4311" spans="5:8" x14ac:dyDescent="0.2">
      <c r="E4311" s="11"/>
      <c r="H4311" s="6"/>
    </row>
    <row r="4312" spans="5:8" x14ac:dyDescent="0.2">
      <c r="E4312" s="11"/>
      <c r="H4312" s="6"/>
    </row>
    <row r="4313" spans="5:8" x14ac:dyDescent="0.2">
      <c r="E4313" s="11"/>
      <c r="H4313" s="6"/>
    </row>
    <row r="4314" spans="5:8" x14ac:dyDescent="0.2">
      <c r="E4314" s="11"/>
      <c r="H4314" s="6"/>
    </row>
    <row r="4315" spans="5:8" x14ac:dyDescent="0.2">
      <c r="E4315" s="11"/>
      <c r="H4315" s="6"/>
    </row>
    <row r="4316" spans="5:8" x14ac:dyDescent="0.2">
      <c r="E4316" s="11"/>
      <c r="H4316" s="6"/>
    </row>
    <row r="4317" spans="5:8" x14ac:dyDescent="0.2">
      <c r="E4317" s="11"/>
      <c r="H4317" s="6"/>
    </row>
    <row r="4318" spans="5:8" x14ac:dyDescent="0.2">
      <c r="E4318" s="11"/>
      <c r="H4318" s="6"/>
    </row>
    <row r="4319" spans="5:8" x14ac:dyDescent="0.2">
      <c r="E4319" s="11"/>
      <c r="H4319" s="6"/>
    </row>
    <row r="4320" spans="5:8" x14ac:dyDescent="0.2">
      <c r="E4320" s="11"/>
      <c r="H4320" s="6"/>
    </row>
    <row r="4321" spans="5:8" x14ac:dyDescent="0.2">
      <c r="E4321" s="11"/>
      <c r="H4321" s="6"/>
    </row>
    <row r="4322" spans="5:8" x14ac:dyDescent="0.2">
      <c r="E4322" s="11"/>
      <c r="H4322" s="6"/>
    </row>
    <row r="4323" spans="5:8" x14ac:dyDescent="0.2">
      <c r="E4323" s="11"/>
      <c r="H4323" s="6"/>
    </row>
    <row r="4324" spans="5:8" x14ac:dyDescent="0.2">
      <c r="E4324" s="11"/>
      <c r="H4324" s="6"/>
    </row>
    <row r="4325" spans="5:8" x14ac:dyDescent="0.2">
      <c r="E4325" s="11"/>
      <c r="H4325" s="6"/>
    </row>
    <row r="4326" spans="5:8" x14ac:dyDescent="0.2">
      <c r="E4326" s="11"/>
      <c r="H4326" s="6"/>
    </row>
    <row r="4327" spans="5:8" x14ac:dyDescent="0.2">
      <c r="E4327" s="11"/>
      <c r="H4327" s="6"/>
    </row>
    <row r="4328" spans="5:8" x14ac:dyDescent="0.2">
      <c r="E4328" s="11"/>
      <c r="H4328" s="6"/>
    </row>
    <row r="4329" spans="5:8" x14ac:dyDescent="0.2">
      <c r="E4329" s="11"/>
      <c r="H4329" s="6"/>
    </row>
    <row r="4330" spans="5:8" x14ac:dyDescent="0.2">
      <c r="E4330" s="11"/>
      <c r="H4330" s="6"/>
    </row>
    <row r="4331" spans="5:8" x14ac:dyDescent="0.2">
      <c r="E4331" s="11"/>
      <c r="H4331" s="6"/>
    </row>
    <row r="4332" spans="5:8" x14ac:dyDescent="0.2">
      <c r="E4332" s="11"/>
      <c r="H4332" s="6"/>
    </row>
    <row r="4333" spans="5:8" x14ac:dyDescent="0.2">
      <c r="E4333" s="11"/>
      <c r="H4333" s="6"/>
    </row>
    <row r="4334" spans="5:8" x14ac:dyDescent="0.2">
      <c r="E4334" s="11"/>
      <c r="H4334" s="6"/>
    </row>
    <row r="4335" spans="5:8" x14ac:dyDescent="0.2">
      <c r="E4335" s="11"/>
      <c r="H4335" s="6"/>
    </row>
    <row r="4336" spans="5:8" x14ac:dyDescent="0.2">
      <c r="E4336" s="11"/>
      <c r="H4336" s="6"/>
    </row>
    <row r="4337" spans="5:8" x14ac:dyDescent="0.2">
      <c r="E4337" s="11"/>
      <c r="H4337" s="6"/>
    </row>
    <row r="4338" spans="5:8" x14ac:dyDescent="0.2">
      <c r="E4338" s="11"/>
      <c r="H4338" s="6"/>
    </row>
    <row r="4339" spans="5:8" x14ac:dyDescent="0.2">
      <c r="E4339" s="11"/>
      <c r="H4339" s="6"/>
    </row>
    <row r="4340" spans="5:8" x14ac:dyDescent="0.2">
      <c r="E4340" s="11"/>
      <c r="H4340" s="6"/>
    </row>
    <row r="4341" spans="5:8" x14ac:dyDescent="0.2">
      <c r="E4341" s="11"/>
      <c r="H4341" s="6"/>
    </row>
    <row r="4342" spans="5:8" x14ac:dyDescent="0.2">
      <c r="E4342" s="11"/>
      <c r="H4342" s="6"/>
    </row>
    <row r="4343" spans="5:8" x14ac:dyDescent="0.2">
      <c r="E4343" s="11"/>
      <c r="H4343" s="6"/>
    </row>
    <row r="4344" spans="5:8" x14ac:dyDescent="0.2">
      <c r="E4344" s="11"/>
      <c r="H4344" s="6"/>
    </row>
    <row r="4345" spans="5:8" x14ac:dyDescent="0.2">
      <c r="E4345" s="11"/>
      <c r="H4345" s="6"/>
    </row>
    <row r="4346" spans="5:8" x14ac:dyDescent="0.2">
      <c r="E4346" s="11"/>
      <c r="H4346" s="6"/>
    </row>
    <row r="4347" spans="5:8" x14ac:dyDescent="0.2">
      <c r="E4347" s="11"/>
      <c r="H4347" s="6"/>
    </row>
    <row r="4348" spans="5:8" x14ac:dyDescent="0.2">
      <c r="E4348" s="11"/>
      <c r="H4348" s="6"/>
    </row>
    <row r="4349" spans="5:8" x14ac:dyDescent="0.2">
      <c r="E4349" s="11"/>
      <c r="H4349" s="6"/>
    </row>
    <row r="4350" spans="5:8" x14ac:dyDescent="0.2">
      <c r="E4350" s="11"/>
      <c r="H4350" s="6"/>
    </row>
    <row r="4351" spans="5:8" x14ac:dyDescent="0.2">
      <c r="E4351" s="11"/>
      <c r="H4351" s="6"/>
    </row>
    <row r="4352" spans="5:8" x14ac:dyDescent="0.2">
      <c r="E4352" s="11"/>
      <c r="H4352" s="6"/>
    </row>
    <row r="4353" spans="5:8" x14ac:dyDescent="0.2">
      <c r="E4353" s="11"/>
      <c r="H4353" s="6"/>
    </row>
    <row r="4354" spans="5:8" x14ac:dyDescent="0.2">
      <c r="E4354" s="11"/>
      <c r="H4354" s="6"/>
    </row>
    <row r="4355" spans="5:8" x14ac:dyDescent="0.2">
      <c r="E4355" s="11"/>
      <c r="H4355" s="6"/>
    </row>
    <row r="4356" spans="5:8" x14ac:dyDescent="0.2">
      <c r="E4356" s="11"/>
      <c r="H4356" s="6"/>
    </row>
    <row r="4357" spans="5:8" x14ac:dyDescent="0.2">
      <c r="E4357" s="11"/>
      <c r="H4357" s="6"/>
    </row>
    <row r="4358" spans="5:8" x14ac:dyDescent="0.2">
      <c r="E4358" s="11"/>
      <c r="H4358" s="6"/>
    </row>
    <row r="4359" spans="5:8" x14ac:dyDescent="0.2">
      <c r="E4359" s="11"/>
      <c r="H4359" s="6"/>
    </row>
    <row r="4360" spans="5:8" x14ac:dyDescent="0.2">
      <c r="E4360" s="11"/>
      <c r="H4360" s="6"/>
    </row>
    <row r="4361" spans="5:8" x14ac:dyDescent="0.2">
      <c r="E4361" s="11"/>
      <c r="H4361" s="6"/>
    </row>
    <row r="4362" spans="5:8" x14ac:dyDescent="0.2">
      <c r="E4362" s="11"/>
      <c r="H4362" s="6"/>
    </row>
    <row r="4363" spans="5:8" x14ac:dyDescent="0.2">
      <c r="E4363" s="11"/>
      <c r="H4363" s="6"/>
    </row>
    <row r="4364" spans="5:8" x14ac:dyDescent="0.2">
      <c r="E4364" s="11"/>
      <c r="H4364" s="6"/>
    </row>
    <row r="4365" spans="5:8" x14ac:dyDescent="0.2">
      <c r="E4365" s="11"/>
      <c r="H4365" s="6"/>
    </row>
    <row r="4366" spans="5:8" x14ac:dyDescent="0.2">
      <c r="E4366" s="11"/>
      <c r="H4366" s="6"/>
    </row>
    <row r="4367" spans="5:8" x14ac:dyDescent="0.2">
      <c r="E4367" s="11"/>
      <c r="H4367" s="6"/>
    </row>
    <row r="4368" spans="5:8" x14ac:dyDescent="0.2">
      <c r="E4368" s="11"/>
      <c r="H4368" s="6"/>
    </row>
    <row r="4369" spans="5:8" x14ac:dyDescent="0.2">
      <c r="E4369" s="11"/>
      <c r="H4369" s="6"/>
    </row>
    <row r="4370" spans="5:8" x14ac:dyDescent="0.2">
      <c r="E4370" s="11"/>
      <c r="H4370" s="6"/>
    </row>
    <row r="4371" spans="5:8" x14ac:dyDescent="0.2">
      <c r="E4371" s="11"/>
      <c r="H4371" s="6"/>
    </row>
    <row r="4372" spans="5:8" x14ac:dyDescent="0.2">
      <c r="E4372" s="11"/>
      <c r="H4372" s="6"/>
    </row>
    <row r="4373" spans="5:8" x14ac:dyDescent="0.2">
      <c r="E4373" s="11"/>
      <c r="H4373" s="6"/>
    </row>
    <row r="4374" spans="5:8" x14ac:dyDescent="0.2">
      <c r="E4374" s="11"/>
      <c r="H4374" s="6"/>
    </row>
    <row r="4375" spans="5:8" x14ac:dyDescent="0.2">
      <c r="E4375" s="11"/>
      <c r="H4375" s="6"/>
    </row>
    <row r="4376" spans="5:8" x14ac:dyDescent="0.2">
      <c r="E4376" s="11"/>
      <c r="H4376" s="6"/>
    </row>
    <row r="4377" spans="5:8" x14ac:dyDescent="0.2">
      <c r="E4377" s="11"/>
      <c r="H4377" s="6"/>
    </row>
    <row r="4378" spans="5:8" x14ac:dyDescent="0.2">
      <c r="E4378" s="11"/>
      <c r="H4378" s="6"/>
    </row>
    <row r="4379" spans="5:8" x14ac:dyDescent="0.2">
      <c r="E4379" s="11"/>
      <c r="H4379" s="6"/>
    </row>
    <row r="4380" spans="5:8" x14ac:dyDescent="0.2">
      <c r="E4380" s="11"/>
      <c r="H4380" s="6"/>
    </row>
    <row r="4381" spans="5:8" x14ac:dyDescent="0.2">
      <c r="E4381" s="11"/>
      <c r="H4381" s="6"/>
    </row>
    <row r="4382" spans="5:8" x14ac:dyDescent="0.2">
      <c r="E4382" s="11"/>
      <c r="H4382" s="6"/>
    </row>
    <row r="4383" spans="5:8" x14ac:dyDescent="0.2">
      <c r="E4383" s="11"/>
      <c r="H4383" s="6"/>
    </row>
    <row r="4384" spans="5:8" x14ac:dyDescent="0.2">
      <c r="E4384" s="11"/>
      <c r="H4384" s="6"/>
    </row>
    <row r="4385" spans="5:8" x14ac:dyDescent="0.2">
      <c r="E4385" s="11"/>
      <c r="H4385" s="6"/>
    </row>
    <row r="4386" spans="5:8" x14ac:dyDescent="0.2">
      <c r="E4386" s="11"/>
      <c r="H4386" s="6"/>
    </row>
    <row r="4387" spans="5:8" x14ac:dyDescent="0.2">
      <c r="E4387" s="11"/>
      <c r="H4387" s="6"/>
    </row>
    <row r="4388" spans="5:8" x14ac:dyDescent="0.2">
      <c r="E4388" s="11"/>
      <c r="H4388" s="6"/>
    </row>
    <row r="4389" spans="5:8" x14ac:dyDescent="0.2">
      <c r="E4389" s="11"/>
      <c r="H4389" s="6"/>
    </row>
    <row r="4390" spans="5:8" x14ac:dyDescent="0.2">
      <c r="E4390" s="11"/>
      <c r="H4390" s="6"/>
    </row>
    <row r="4391" spans="5:8" x14ac:dyDescent="0.2">
      <c r="E4391" s="11"/>
      <c r="H4391" s="6"/>
    </row>
    <row r="4392" spans="5:8" x14ac:dyDescent="0.2">
      <c r="E4392" s="11"/>
      <c r="H4392" s="6"/>
    </row>
    <row r="4393" spans="5:8" x14ac:dyDescent="0.2">
      <c r="E4393" s="11"/>
      <c r="H4393" s="6"/>
    </row>
    <row r="4394" spans="5:8" x14ac:dyDescent="0.2">
      <c r="E4394" s="11"/>
      <c r="H4394" s="6"/>
    </row>
    <row r="4395" spans="5:8" x14ac:dyDescent="0.2">
      <c r="E4395" s="11"/>
      <c r="H4395" s="6"/>
    </row>
    <row r="4396" spans="5:8" x14ac:dyDescent="0.2">
      <c r="E4396" s="11"/>
      <c r="H4396" s="6"/>
    </row>
    <row r="4397" spans="5:8" x14ac:dyDescent="0.2">
      <c r="E4397" s="11"/>
      <c r="H4397" s="6"/>
    </row>
    <row r="4398" spans="5:8" x14ac:dyDescent="0.2">
      <c r="E4398" s="11"/>
      <c r="H4398" s="6"/>
    </row>
    <row r="4399" spans="5:8" x14ac:dyDescent="0.2">
      <c r="E4399" s="11"/>
      <c r="H4399" s="6"/>
    </row>
    <row r="4400" spans="5:8" x14ac:dyDescent="0.2">
      <c r="E4400" s="11"/>
      <c r="H4400" s="6"/>
    </row>
    <row r="4401" spans="5:8" x14ac:dyDescent="0.2">
      <c r="E4401" s="11"/>
      <c r="H4401" s="6"/>
    </row>
    <row r="4402" spans="5:8" x14ac:dyDescent="0.2">
      <c r="E4402" s="11"/>
      <c r="H4402" s="6"/>
    </row>
    <row r="4403" spans="5:8" x14ac:dyDescent="0.2">
      <c r="E4403" s="11"/>
      <c r="H4403" s="6"/>
    </row>
    <row r="4404" spans="5:8" x14ac:dyDescent="0.2">
      <c r="E4404" s="11"/>
      <c r="H4404" s="6"/>
    </row>
    <row r="4405" spans="5:8" x14ac:dyDescent="0.2">
      <c r="E4405" s="11"/>
      <c r="H4405" s="6"/>
    </row>
    <row r="4406" spans="5:8" x14ac:dyDescent="0.2">
      <c r="E4406" s="11"/>
      <c r="H4406" s="6"/>
    </row>
    <row r="4407" spans="5:8" x14ac:dyDescent="0.2">
      <c r="E4407" s="11"/>
      <c r="H4407" s="6"/>
    </row>
    <row r="4408" spans="5:8" x14ac:dyDescent="0.2">
      <c r="E4408" s="11"/>
      <c r="H4408" s="6"/>
    </row>
    <row r="4409" spans="5:8" x14ac:dyDescent="0.2">
      <c r="E4409" s="11"/>
      <c r="H4409" s="6"/>
    </row>
    <row r="4410" spans="5:8" x14ac:dyDescent="0.2">
      <c r="E4410" s="11"/>
      <c r="H4410" s="6"/>
    </row>
    <row r="4411" spans="5:8" x14ac:dyDescent="0.2">
      <c r="E4411" s="11"/>
      <c r="H4411" s="6"/>
    </row>
    <row r="4412" spans="5:8" x14ac:dyDescent="0.2">
      <c r="E4412" s="11"/>
      <c r="H4412" s="6"/>
    </row>
    <row r="4413" spans="5:8" x14ac:dyDescent="0.2">
      <c r="E4413" s="11"/>
      <c r="H4413" s="6"/>
    </row>
    <row r="4414" spans="5:8" x14ac:dyDescent="0.2">
      <c r="E4414" s="11"/>
      <c r="H4414" s="6"/>
    </row>
    <row r="4415" spans="5:8" x14ac:dyDescent="0.2">
      <c r="E4415" s="11"/>
      <c r="H4415" s="6"/>
    </row>
    <row r="4416" spans="5:8" x14ac:dyDescent="0.2">
      <c r="E4416" s="11"/>
      <c r="H4416" s="6"/>
    </row>
    <row r="4417" spans="5:8" x14ac:dyDescent="0.2">
      <c r="E4417" s="11"/>
      <c r="H4417" s="6"/>
    </row>
    <row r="4418" spans="5:8" x14ac:dyDescent="0.2">
      <c r="E4418" s="11"/>
      <c r="H4418" s="6"/>
    </row>
    <row r="4419" spans="5:8" x14ac:dyDescent="0.2">
      <c r="E4419" s="11"/>
      <c r="H4419" s="6"/>
    </row>
    <row r="4420" spans="5:8" x14ac:dyDescent="0.2">
      <c r="E4420" s="11"/>
      <c r="H4420" s="6"/>
    </row>
    <row r="4421" spans="5:8" x14ac:dyDescent="0.2">
      <c r="E4421" s="11"/>
      <c r="H4421" s="6"/>
    </row>
    <row r="4422" spans="5:8" x14ac:dyDescent="0.2">
      <c r="E4422" s="11"/>
      <c r="H4422" s="6"/>
    </row>
    <row r="4423" spans="5:8" x14ac:dyDescent="0.2">
      <c r="E4423" s="11"/>
      <c r="H4423" s="6"/>
    </row>
    <row r="4424" spans="5:8" x14ac:dyDescent="0.2">
      <c r="E4424" s="11"/>
      <c r="H4424" s="6"/>
    </row>
    <row r="4425" spans="5:8" x14ac:dyDescent="0.2">
      <c r="E4425" s="11"/>
      <c r="H4425" s="6"/>
    </row>
    <row r="4426" spans="5:8" x14ac:dyDescent="0.2">
      <c r="E4426" s="11"/>
      <c r="H4426" s="6"/>
    </row>
    <row r="4427" spans="5:8" x14ac:dyDescent="0.2">
      <c r="E4427" s="11"/>
      <c r="H4427" s="6"/>
    </row>
    <row r="4428" spans="5:8" x14ac:dyDescent="0.2">
      <c r="E4428" s="11"/>
      <c r="H4428" s="6"/>
    </row>
    <row r="4429" spans="5:8" x14ac:dyDescent="0.2">
      <c r="E4429" s="11"/>
      <c r="H4429" s="6"/>
    </row>
    <row r="4430" spans="5:8" x14ac:dyDescent="0.2">
      <c r="E4430" s="11"/>
      <c r="H4430" s="6"/>
    </row>
    <row r="4431" spans="5:8" x14ac:dyDescent="0.2">
      <c r="E4431" s="11"/>
      <c r="H4431" s="6"/>
    </row>
    <row r="4432" spans="5:8" x14ac:dyDescent="0.2">
      <c r="E4432" s="11"/>
      <c r="H4432" s="6"/>
    </row>
    <row r="4433" spans="5:8" x14ac:dyDescent="0.2">
      <c r="E4433" s="11"/>
      <c r="H4433" s="6"/>
    </row>
    <row r="4434" spans="5:8" x14ac:dyDescent="0.2">
      <c r="E4434" s="11"/>
      <c r="H4434" s="6"/>
    </row>
    <row r="4435" spans="5:8" x14ac:dyDescent="0.2">
      <c r="E4435" s="11"/>
      <c r="H4435" s="6"/>
    </row>
    <row r="4436" spans="5:8" x14ac:dyDescent="0.2">
      <c r="E4436" s="11"/>
      <c r="H4436" s="6"/>
    </row>
    <row r="4437" spans="5:8" x14ac:dyDescent="0.2">
      <c r="E4437" s="11"/>
      <c r="H4437" s="6"/>
    </row>
    <row r="4438" spans="5:8" x14ac:dyDescent="0.2">
      <c r="E4438" s="11"/>
      <c r="H4438" s="6"/>
    </row>
    <row r="4439" spans="5:8" x14ac:dyDescent="0.2">
      <c r="E4439" s="11"/>
      <c r="H4439" s="6"/>
    </row>
    <row r="4440" spans="5:8" x14ac:dyDescent="0.2">
      <c r="E4440" s="11"/>
      <c r="H4440" s="6"/>
    </row>
    <row r="4441" spans="5:8" x14ac:dyDescent="0.2">
      <c r="E4441" s="11"/>
      <c r="H4441" s="6"/>
    </row>
    <row r="4442" spans="5:8" x14ac:dyDescent="0.2">
      <c r="E4442" s="11"/>
      <c r="H4442" s="6"/>
    </row>
    <row r="4443" spans="5:8" x14ac:dyDescent="0.2">
      <c r="E4443" s="11"/>
      <c r="H4443" s="6"/>
    </row>
    <row r="4444" spans="5:8" x14ac:dyDescent="0.2">
      <c r="E4444" s="11"/>
      <c r="H4444" s="6"/>
    </row>
    <row r="4445" spans="5:8" x14ac:dyDescent="0.2">
      <c r="E4445" s="11"/>
      <c r="H4445" s="6"/>
    </row>
    <row r="4446" spans="5:8" x14ac:dyDescent="0.2">
      <c r="E4446" s="11"/>
      <c r="H4446" s="6"/>
    </row>
    <row r="4447" spans="5:8" x14ac:dyDescent="0.2">
      <c r="E4447" s="11"/>
      <c r="H4447" s="6"/>
    </row>
    <row r="4448" spans="5:8" x14ac:dyDescent="0.2">
      <c r="E4448" s="11"/>
      <c r="H4448" s="6"/>
    </row>
    <row r="4449" spans="5:8" x14ac:dyDescent="0.2">
      <c r="E4449" s="11"/>
      <c r="H4449" s="6"/>
    </row>
    <row r="4450" spans="5:8" x14ac:dyDescent="0.2">
      <c r="E4450" s="11"/>
      <c r="H4450" s="6"/>
    </row>
    <row r="4451" spans="5:8" x14ac:dyDescent="0.2">
      <c r="E4451" s="11"/>
      <c r="H4451" s="6"/>
    </row>
    <row r="4452" spans="5:8" x14ac:dyDescent="0.2">
      <c r="E4452" s="11"/>
      <c r="H4452" s="6"/>
    </row>
    <row r="4453" spans="5:8" x14ac:dyDescent="0.2">
      <c r="E4453" s="11"/>
      <c r="H4453" s="6"/>
    </row>
    <row r="4454" spans="5:8" x14ac:dyDescent="0.2">
      <c r="E4454" s="11"/>
      <c r="H4454" s="6"/>
    </row>
    <row r="4455" spans="5:8" x14ac:dyDescent="0.2">
      <c r="E4455" s="11"/>
      <c r="H4455" s="6"/>
    </row>
    <row r="4456" spans="5:8" x14ac:dyDescent="0.2">
      <c r="E4456" s="11"/>
      <c r="H4456" s="6"/>
    </row>
    <row r="4457" spans="5:8" x14ac:dyDescent="0.2">
      <c r="E4457" s="11"/>
      <c r="H4457" s="6"/>
    </row>
    <row r="4458" spans="5:8" x14ac:dyDescent="0.2">
      <c r="E4458" s="11"/>
      <c r="H4458" s="6"/>
    </row>
    <row r="4459" spans="5:8" x14ac:dyDescent="0.2">
      <c r="E4459" s="11"/>
      <c r="H4459" s="6"/>
    </row>
    <row r="4460" spans="5:8" x14ac:dyDescent="0.2">
      <c r="E4460" s="11"/>
      <c r="H4460" s="6"/>
    </row>
    <row r="4461" spans="5:8" x14ac:dyDescent="0.2">
      <c r="E4461" s="11"/>
      <c r="H4461" s="6"/>
    </row>
    <row r="4462" spans="5:8" x14ac:dyDescent="0.2">
      <c r="E4462" s="11"/>
      <c r="H4462" s="6"/>
    </row>
    <row r="4463" spans="5:8" x14ac:dyDescent="0.2">
      <c r="E4463" s="11"/>
      <c r="H4463" s="6"/>
    </row>
    <row r="4464" spans="5:8" x14ac:dyDescent="0.2">
      <c r="E4464" s="11"/>
      <c r="H4464" s="6"/>
    </row>
    <row r="4465" spans="5:8" x14ac:dyDescent="0.2">
      <c r="E4465" s="11"/>
      <c r="H4465" s="6"/>
    </row>
    <row r="4466" spans="5:8" x14ac:dyDescent="0.2">
      <c r="E4466" s="11"/>
      <c r="H4466" s="6"/>
    </row>
    <row r="4467" spans="5:8" x14ac:dyDescent="0.2">
      <c r="E4467" s="11"/>
      <c r="H4467" s="6"/>
    </row>
    <row r="4468" spans="5:8" x14ac:dyDescent="0.2">
      <c r="E4468" s="11"/>
      <c r="H4468" s="6"/>
    </row>
    <row r="4469" spans="5:8" x14ac:dyDescent="0.2">
      <c r="E4469" s="11"/>
      <c r="H4469" s="6"/>
    </row>
    <row r="4470" spans="5:8" x14ac:dyDescent="0.2">
      <c r="E4470" s="11"/>
      <c r="H4470" s="6"/>
    </row>
    <row r="4471" spans="5:8" x14ac:dyDescent="0.2">
      <c r="E4471" s="11"/>
      <c r="H4471" s="6"/>
    </row>
    <row r="4472" spans="5:8" x14ac:dyDescent="0.2">
      <c r="E4472" s="11"/>
      <c r="H4472" s="6"/>
    </row>
    <row r="4473" spans="5:8" x14ac:dyDescent="0.2">
      <c r="E4473" s="11"/>
      <c r="H4473" s="6"/>
    </row>
    <row r="4474" spans="5:8" x14ac:dyDescent="0.2">
      <c r="E4474" s="11"/>
      <c r="H4474" s="6"/>
    </row>
    <row r="4475" spans="5:8" x14ac:dyDescent="0.2">
      <c r="E4475" s="11"/>
      <c r="H4475" s="6"/>
    </row>
    <row r="4476" spans="5:8" x14ac:dyDescent="0.2">
      <c r="E4476" s="11"/>
      <c r="H4476" s="6"/>
    </row>
    <row r="4477" spans="5:8" x14ac:dyDescent="0.2">
      <c r="E4477" s="11"/>
      <c r="H4477" s="6"/>
    </row>
    <row r="4478" spans="5:8" x14ac:dyDescent="0.2">
      <c r="E4478" s="11"/>
      <c r="H4478" s="6"/>
    </row>
    <row r="4479" spans="5:8" x14ac:dyDescent="0.2">
      <c r="E4479" s="11"/>
      <c r="H4479" s="6"/>
    </row>
    <row r="4480" spans="5:8" x14ac:dyDescent="0.2">
      <c r="E4480" s="11"/>
      <c r="H4480" s="6"/>
    </row>
    <row r="4481" spans="5:8" x14ac:dyDescent="0.2">
      <c r="E4481" s="11"/>
      <c r="H4481" s="6"/>
    </row>
    <row r="4482" spans="5:8" x14ac:dyDescent="0.2">
      <c r="E4482" s="11"/>
      <c r="H4482" s="6"/>
    </row>
    <row r="4483" spans="5:8" x14ac:dyDescent="0.2">
      <c r="E4483" s="11"/>
      <c r="H4483" s="6"/>
    </row>
    <row r="4484" spans="5:8" x14ac:dyDescent="0.2">
      <c r="E4484" s="11"/>
      <c r="H4484" s="6"/>
    </row>
    <row r="4485" spans="5:8" x14ac:dyDescent="0.2">
      <c r="E4485" s="11"/>
      <c r="H4485" s="6"/>
    </row>
    <row r="4486" spans="5:8" x14ac:dyDescent="0.2">
      <c r="E4486" s="11"/>
      <c r="H4486" s="6"/>
    </row>
    <row r="4487" spans="5:8" x14ac:dyDescent="0.2">
      <c r="E4487" s="11"/>
      <c r="H4487" s="6"/>
    </row>
    <row r="4488" spans="5:8" x14ac:dyDescent="0.2">
      <c r="E4488" s="11"/>
      <c r="H4488" s="6"/>
    </row>
    <row r="4489" spans="5:8" x14ac:dyDescent="0.2">
      <c r="E4489" s="11"/>
      <c r="H4489" s="6"/>
    </row>
    <row r="4490" spans="5:8" x14ac:dyDescent="0.2">
      <c r="E4490" s="11"/>
      <c r="H4490" s="6"/>
    </row>
    <row r="4491" spans="5:8" x14ac:dyDescent="0.2">
      <c r="E4491" s="11"/>
      <c r="H4491" s="6"/>
    </row>
    <row r="4492" spans="5:8" x14ac:dyDescent="0.2">
      <c r="E4492" s="11"/>
      <c r="H4492" s="6"/>
    </row>
    <row r="4493" spans="5:8" x14ac:dyDescent="0.2">
      <c r="E4493" s="11"/>
      <c r="H4493" s="6"/>
    </row>
    <row r="4494" spans="5:8" x14ac:dyDescent="0.2">
      <c r="E4494" s="11"/>
      <c r="H4494" s="6"/>
    </row>
    <row r="4495" spans="5:8" x14ac:dyDescent="0.2">
      <c r="E4495" s="11"/>
      <c r="H4495" s="6"/>
    </row>
    <row r="4496" spans="5:8" x14ac:dyDescent="0.2">
      <c r="E4496" s="11"/>
      <c r="H4496" s="6"/>
    </row>
    <row r="4497" spans="5:8" x14ac:dyDescent="0.2">
      <c r="E4497" s="11"/>
      <c r="H4497" s="6"/>
    </row>
    <row r="4498" spans="5:8" x14ac:dyDescent="0.2">
      <c r="E4498" s="11"/>
      <c r="H4498" s="6"/>
    </row>
    <row r="4499" spans="5:8" x14ac:dyDescent="0.2">
      <c r="E4499" s="11"/>
      <c r="H4499" s="6"/>
    </row>
    <row r="4500" spans="5:8" x14ac:dyDescent="0.2">
      <c r="E4500" s="11"/>
      <c r="H4500" s="6"/>
    </row>
    <row r="4501" spans="5:8" x14ac:dyDescent="0.2">
      <c r="E4501" s="11"/>
      <c r="H4501" s="6"/>
    </row>
    <row r="4502" spans="5:8" x14ac:dyDescent="0.2">
      <c r="E4502" s="11"/>
      <c r="H4502" s="6"/>
    </row>
    <row r="4503" spans="5:8" x14ac:dyDescent="0.2">
      <c r="E4503" s="11"/>
      <c r="H4503" s="6"/>
    </row>
    <row r="4504" spans="5:8" x14ac:dyDescent="0.2">
      <c r="E4504" s="11"/>
      <c r="H4504" s="6"/>
    </row>
    <row r="4505" spans="5:8" x14ac:dyDescent="0.2">
      <c r="E4505" s="11"/>
      <c r="H4505" s="6"/>
    </row>
    <row r="4506" spans="5:8" x14ac:dyDescent="0.2">
      <c r="E4506" s="11"/>
      <c r="H4506" s="6"/>
    </row>
    <row r="4507" spans="5:8" x14ac:dyDescent="0.2">
      <c r="E4507" s="11"/>
      <c r="H4507" s="6"/>
    </row>
    <row r="4508" spans="5:8" x14ac:dyDescent="0.2">
      <c r="E4508" s="11"/>
      <c r="H4508" s="6"/>
    </row>
    <row r="4509" spans="5:8" x14ac:dyDescent="0.2">
      <c r="E4509" s="11"/>
      <c r="H4509" s="6"/>
    </row>
    <row r="4510" spans="5:8" x14ac:dyDescent="0.2">
      <c r="E4510" s="11"/>
      <c r="H4510" s="6"/>
    </row>
    <row r="4511" spans="5:8" x14ac:dyDescent="0.2">
      <c r="E4511" s="11"/>
      <c r="H4511" s="6"/>
    </row>
    <row r="4512" spans="5:8" x14ac:dyDescent="0.2">
      <c r="E4512" s="11"/>
      <c r="H4512" s="6"/>
    </row>
    <row r="4513" spans="5:8" x14ac:dyDescent="0.2">
      <c r="E4513" s="11"/>
      <c r="H4513" s="6"/>
    </row>
    <row r="4514" spans="5:8" x14ac:dyDescent="0.2">
      <c r="E4514" s="11"/>
      <c r="H4514" s="6"/>
    </row>
    <row r="4515" spans="5:8" x14ac:dyDescent="0.2">
      <c r="E4515" s="11"/>
      <c r="H4515" s="6"/>
    </row>
    <row r="4516" spans="5:8" x14ac:dyDescent="0.2">
      <c r="E4516" s="11"/>
      <c r="H4516" s="6"/>
    </row>
    <row r="4517" spans="5:8" x14ac:dyDescent="0.2">
      <c r="E4517" s="11"/>
      <c r="H4517" s="6"/>
    </row>
    <row r="4518" spans="5:8" x14ac:dyDescent="0.2">
      <c r="E4518" s="11"/>
      <c r="H4518" s="6"/>
    </row>
    <row r="4519" spans="5:8" x14ac:dyDescent="0.2">
      <c r="E4519" s="11"/>
      <c r="H4519" s="6"/>
    </row>
    <row r="4520" spans="5:8" x14ac:dyDescent="0.2">
      <c r="E4520" s="11"/>
      <c r="H4520" s="6"/>
    </row>
    <row r="4521" spans="5:8" x14ac:dyDescent="0.2">
      <c r="E4521" s="11"/>
      <c r="H4521" s="6"/>
    </row>
    <row r="4522" spans="5:8" x14ac:dyDescent="0.2">
      <c r="E4522" s="11"/>
      <c r="H4522" s="6"/>
    </row>
    <row r="4523" spans="5:8" x14ac:dyDescent="0.2">
      <c r="E4523" s="11"/>
      <c r="H4523" s="6"/>
    </row>
    <row r="4524" spans="5:8" x14ac:dyDescent="0.2">
      <c r="E4524" s="11"/>
      <c r="H4524" s="6"/>
    </row>
    <row r="4525" spans="5:8" x14ac:dyDescent="0.2">
      <c r="E4525" s="11"/>
      <c r="H4525" s="6"/>
    </row>
    <row r="4526" spans="5:8" x14ac:dyDescent="0.2">
      <c r="E4526" s="11"/>
      <c r="H4526" s="6"/>
    </row>
    <row r="4527" spans="5:8" x14ac:dyDescent="0.2">
      <c r="E4527" s="11"/>
      <c r="H4527" s="6"/>
    </row>
    <row r="4528" spans="5:8" x14ac:dyDescent="0.2">
      <c r="E4528" s="11"/>
      <c r="H4528" s="6"/>
    </row>
    <row r="4529" spans="5:8" x14ac:dyDescent="0.2">
      <c r="E4529" s="11"/>
      <c r="H4529" s="6"/>
    </row>
    <row r="4530" spans="5:8" x14ac:dyDescent="0.2">
      <c r="E4530" s="11"/>
      <c r="H4530" s="6"/>
    </row>
    <row r="4531" spans="5:8" x14ac:dyDescent="0.2">
      <c r="E4531" s="11"/>
      <c r="H4531" s="6"/>
    </row>
    <row r="4532" spans="5:8" x14ac:dyDescent="0.2">
      <c r="E4532" s="11"/>
      <c r="H4532" s="6"/>
    </row>
    <row r="4533" spans="5:8" x14ac:dyDescent="0.2">
      <c r="E4533" s="11"/>
      <c r="H4533" s="6"/>
    </row>
    <row r="4534" spans="5:8" x14ac:dyDescent="0.2">
      <c r="E4534" s="11"/>
      <c r="H4534" s="6"/>
    </row>
    <row r="4535" spans="5:8" x14ac:dyDescent="0.2">
      <c r="E4535" s="11"/>
      <c r="H4535" s="6"/>
    </row>
    <row r="4536" spans="5:8" x14ac:dyDescent="0.2">
      <c r="E4536" s="11"/>
      <c r="H4536" s="6"/>
    </row>
    <row r="4537" spans="5:8" x14ac:dyDescent="0.2">
      <c r="E4537" s="11"/>
      <c r="H4537" s="6"/>
    </row>
    <row r="4538" spans="5:8" x14ac:dyDescent="0.2">
      <c r="E4538" s="11"/>
      <c r="H4538" s="6"/>
    </row>
    <row r="4539" spans="5:8" x14ac:dyDescent="0.2">
      <c r="E4539" s="11"/>
      <c r="H4539" s="6"/>
    </row>
    <row r="4540" spans="5:8" x14ac:dyDescent="0.2">
      <c r="E4540" s="11"/>
      <c r="H4540" s="6"/>
    </row>
    <row r="4541" spans="5:8" x14ac:dyDescent="0.2">
      <c r="E4541" s="11"/>
      <c r="H4541" s="6"/>
    </row>
    <row r="4542" spans="5:8" x14ac:dyDescent="0.2">
      <c r="E4542" s="11"/>
      <c r="H4542" s="6"/>
    </row>
    <row r="4543" spans="5:8" x14ac:dyDescent="0.2">
      <c r="E4543" s="11"/>
      <c r="H4543" s="6"/>
    </row>
    <row r="4544" spans="5:8" x14ac:dyDescent="0.2">
      <c r="E4544" s="11"/>
      <c r="H4544" s="6"/>
    </row>
    <row r="4545" spans="5:8" x14ac:dyDescent="0.2">
      <c r="E4545" s="11"/>
      <c r="H4545" s="6"/>
    </row>
    <row r="4546" spans="5:8" x14ac:dyDescent="0.2">
      <c r="E4546" s="11"/>
      <c r="H4546" s="6"/>
    </row>
    <row r="4547" spans="5:8" x14ac:dyDescent="0.2">
      <c r="E4547" s="11"/>
      <c r="H4547" s="6"/>
    </row>
    <row r="4548" spans="5:8" x14ac:dyDescent="0.2">
      <c r="E4548" s="11"/>
      <c r="H4548" s="6"/>
    </row>
    <row r="4549" spans="5:8" x14ac:dyDescent="0.2">
      <c r="E4549" s="11"/>
      <c r="H4549" s="6"/>
    </row>
    <row r="4550" spans="5:8" x14ac:dyDescent="0.2">
      <c r="E4550" s="11"/>
      <c r="H4550" s="6"/>
    </row>
    <row r="4551" spans="5:8" x14ac:dyDescent="0.2">
      <c r="E4551" s="11"/>
      <c r="H4551" s="6"/>
    </row>
    <row r="4552" spans="5:8" x14ac:dyDescent="0.2">
      <c r="E4552" s="11"/>
      <c r="H4552" s="6"/>
    </row>
    <row r="4553" spans="5:8" x14ac:dyDescent="0.2">
      <c r="E4553" s="11"/>
      <c r="H4553" s="6"/>
    </row>
    <row r="4554" spans="5:8" x14ac:dyDescent="0.2">
      <c r="E4554" s="11"/>
      <c r="H4554" s="6"/>
    </row>
    <row r="4555" spans="5:8" x14ac:dyDescent="0.2">
      <c r="E4555" s="11"/>
      <c r="H4555" s="6"/>
    </row>
    <row r="4556" spans="5:8" x14ac:dyDescent="0.2">
      <c r="E4556" s="11"/>
      <c r="H4556" s="6"/>
    </row>
    <row r="4557" spans="5:8" x14ac:dyDescent="0.2">
      <c r="E4557" s="11"/>
      <c r="H4557" s="6"/>
    </row>
    <row r="4558" spans="5:8" x14ac:dyDescent="0.2">
      <c r="E4558" s="11"/>
      <c r="H4558" s="6"/>
    </row>
    <row r="4559" spans="5:8" x14ac:dyDescent="0.2">
      <c r="E4559" s="11"/>
      <c r="H4559" s="6"/>
    </row>
    <row r="4560" spans="5:8" x14ac:dyDescent="0.2">
      <c r="E4560" s="11"/>
      <c r="H4560" s="6"/>
    </row>
    <row r="4561" spans="5:8" x14ac:dyDescent="0.2">
      <c r="E4561" s="11"/>
      <c r="H4561" s="6"/>
    </row>
    <row r="4562" spans="5:8" x14ac:dyDescent="0.2">
      <c r="E4562" s="11"/>
      <c r="H4562" s="6"/>
    </row>
    <row r="4563" spans="5:8" x14ac:dyDescent="0.2">
      <c r="E4563" s="11"/>
      <c r="H4563" s="6"/>
    </row>
    <row r="4564" spans="5:8" x14ac:dyDescent="0.2">
      <c r="E4564" s="11"/>
      <c r="H4564" s="6"/>
    </row>
    <row r="4565" spans="5:8" x14ac:dyDescent="0.2">
      <c r="E4565" s="11"/>
      <c r="H4565" s="6"/>
    </row>
    <row r="4566" spans="5:8" x14ac:dyDescent="0.2">
      <c r="E4566" s="11"/>
      <c r="H4566" s="6"/>
    </row>
    <row r="4567" spans="5:8" x14ac:dyDescent="0.2">
      <c r="E4567" s="11"/>
      <c r="H4567" s="6"/>
    </row>
    <row r="4568" spans="5:8" x14ac:dyDescent="0.2">
      <c r="E4568" s="11"/>
      <c r="H4568" s="6"/>
    </row>
    <row r="4569" spans="5:8" x14ac:dyDescent="0.2">
      <c r="E4569" s="11"/>
      <c r="H4569" s="6"/>
    </row>
    <row r="4570" spans="5:8" x14ac:dyDescent="0.2">
      <c r="E4570" s="11"/>
      <c r="H4570" s="6"/>
    </row>
    <row r="4571" spans="5:8" x14ac:dyDescent="0.2">
      <c r="E4571" s="11"/>
      <c r="H4571" s="6"/>
    </row>
    <row r="4572" spans="5:8" x14ac:dyDescent="0.2">
      <c r="E4572" s="11"/>
      <c r="H4572" s="6"/>
    </row>
    <row r="4573" spans="5:8" x14ac:dyDescent="0.2">
      <c r="E4573" s="11"/>
      <c r="H4573" s="6"/>
    </row>
    <row r="4574" spans="5:8" x14ac:dyDescent="0.2">
      <c r="E4574" s="11"/>
      <c r="H4574" s="6"/>
    </row>
    <row r="4575" spans="5:8" x14ac:dyDescent="0.2">
      <c r="E4575" s="11"/>
      <c r="H4575" s="6"/>
    </row>
    <row r="4576" spans="5:8" x14ac:dyDescent="0.2">
      <c r="E4576" s="11"/>
      <c r="H4576" s="6"/>
    </row>
    <row r="4577" spans="5:8" x14ac:dyDescent="0.2">
      <c r="E4577" s="11"/>
      <c r="H4577" s="6"/>
    </row>
    <row r="4578" spans="5:8" x14ac:dyDescent="0.2">
      <c r="E4578" s="11"/>
      <c r="H4578" s="6"/>
    </row>
    <row r="4579" spans="5:8" x14ac:dyDescent="0.2">
      <c r="E4579" s="11"/>
      <c r="H4579" s="6"/>
    </row>
    <row r="4580" spans="5:8" x14ac:dyDescent="0.2">
      <c r="E4580" s="11"/>
      <c r="H4580" s="6"/>
    </row>
    <row r="4581" spans="5:8" x14ac:dyDescent="0.2">
      <c r="E4581" s="11"/>
      <c r="H4581" s="6"/>
    </row>
    <row r="4582" spans="5:8" x14ac:dyDescent="0.2">
      <c r="E4582" s="11"/>
      <c r="H4582" s="6"/>
    </row>
    <row r="4583" spans="5:8" x14ac:dyDescent="0.2">
      <c r="E4583" s="11"/>
      <c r="H4583" s="6"/>
    </row>
    <row r="4584" spans="5:8" x14ac:dyDescent="0.2">
      <c r="E4584" s="11"/>
      <c r="H4584" s="6"/>
    </row>
    <row r="4585" spans="5:8" x14ac:dyDescent="0.2">
      <c r="E4585" s="11"/>
      <c r="H4585" s="6"/>
    </row>
    <row r="4586" spans="5:8" x14ac:dyDescent="0.2">
      <c r="E4586" s="11"/>
      <c r="H4586" s="6"/>
    </row>
    <row r="4587" spans="5:8" x14ac:dyDescent="0.2">
      <c r="E4587" s="11"/>
      <c r="H4587" s="6"/>
    </row>
    <row r="4588" spans="5:8" x14ac:dyDescent="0.2">
      <c r="E4588" s="11"/>
      <c r="H4588" s="6"/>
    </row>
    <row r="4589" spans="5:8" x14ac:dyDescent="0.2">
      <c r="E4589" s="11"/>
      <c r="H4589" s="6"/>
    </row>
    <row r="4590" spans="5:8" x14ac:dyDescent="0.2">
      <c r="E4590" s="11"/>
      <c r="H4590" s="6"/>
    </row>
    <row r="4591" spans="5:8" x14ac:dyDescent="0.2">
      <c r="E4591" s="11"/>
      <c r="H4591" s="6"/>
    </row>
    <row r="4592" spans="5:8" x14ac:dyDescent="0.2">
      <c r="E4592" s="11"/>
      <c r="H4592" s="6"/>
    </row>
    <row r="4593" spans="5:8" x14ac:dyDescent="0.2">
      <c r="E4593" s="11"/>
      <c r="H4593" s="6"/>
    </row>
    <row r="4594" spans="5:8" x14ac:dyDescent="0.2">
      <c r="E4594" s="11"/>
      <c r="H4594" s="6"/>
    </row>
    <row r="4595" spans="5:8" x14ac:dyDescent="0.2">
      <c r="E4595" s="11"/>
      <c r="H4595" s="6"/>
    </row>
    <row r="4596" spans="5:8" x14ac:dyDescent="0.2">
      <c r="E4596" s="11"/>
      <c r="H4596" s="6"/>
    </row>
    <row r="4597" spans="5:8" x14ac:dyDescent="0.2">
      <c r="E4597" s="11"/>
      <c r="H4597" s="6"/>
    </row>
    <row r="4598" spans="5:8" x14ac:dyDescent="0.2">
      <c r="E4598" s="11"/>
      <c r="H4598" s="6"/>
    </row>
    <row r="4599" spans="5:8" x14ac:dyDescent="0.2">
      <c r="E4599" s="11"/>
      <c r="H4599" s="6"/>
    </row>
    <row r="4600" spans="5:8" x14ac:dyDescent="0.2">
      <c r="E4600" s="11"/>
      <c r="H4600" s="6"/>
    </row>
    <row r="4601" spans="5:8" x14ac:dyDescent="0.2">
      <c r="E4601" s="11"/>
      <c r="H4601" s="6"/>
    </row>
    <row r="4602" spans="5:8" x14ac:dyDescent="0.2">
      <c r="E4602" s="11"/>
      <c r="H4602" s="6"/>
    </row>
    <row r="4603" spans="5:8" x14ac:dyDescent="0.2">
      <c r="E4603" s="11"/>
      <c r="H4603" s="6"/>
    </row>
    <row r="4604" spans="5:8" x14ac:dyDescent="0.2">
      <c r="E4604" s="11"/>
      <c r="H4604" s="6"/>
    </row>
    <row r="4605" spans="5:8" x14ac:dyDescent="0.2">
      <c r="E4605" s="11"/>
      <c r="H4605" s="6"/>
    </row>
    <row r="4606" spans="5:8" x14ac:dyDescent="0.2">
      <c r="E4606" s="11"/>
      <c r="H4606" s="6"/>
    </row>
    <row r="4607" spans="5:8" x14ac:dyDescent="0.2">
      <c r="E4607" s="11"/>
      <c r="H4607" s="6"/>
    </row>
    <row r="4608" spans="5:8" x14ac:dyDescent="0.2">
      <c r="E4608" s="11"/>
      <c r="H4608" s="6"/>
    </row>
    <row r="4609" spans="5:8" x14ac:dyDescent="0.2">
      <c r="E4609" s="11"/>
      <c r="H4609" s="6"/>
    </row>
    <row r="4610" spans="5:8" x14ac:dyDescent="0.2">
      <c r="E4610" s="11"/>
      <c r="H4610" s="6"/>
    </row>
    <row r="4611" spans="5:8" x14ac:dyDescent="0.2">
      <c r="E4611" s="11"/>
      <c r="H4611" s="6"/>
    </row>
    <row r="4612" spans="5:8" x14ac:dyDescent="0.2">
      <c r="E4612" s="11"/>
      <c r="H4612" s="6"/>
    </row>
    <row r="4613" spans="5:8" x14ac:dyDescent="0.2">
      <c r="E4613" s="11"/>
      <c r="H4613" s="6"/>
    </row>
    <row r="4614" spans="5:8" x14ac:dyDescent="0.2">
      <c r="E4614" s="11"/>
      <c r="H4614" s="6"/>
    </row>
    <row r="4615" spans="5:8" x14ac:dyDescent="0.2">
      <c r="E4615" s="11"/>
      <c r="H4615" s="6"/>
    </row>
    <row r="4616" spans="5:8" x14ac:dyDescent="0.2">
      <c r="E4616" s="11"/>
      <c r="H4616" s="6"/>
    </row>
    <row r="4617" spans="5:8" x14ac:dyDescent="0.2">
      <c r="E4617" s="11"/>
      <c r="H4617" s="6"/>
    </row>
    <row r="4618" spans="5:8" x14ac:dyDescent="0.2">
      <c r="E4618" s="11"/>
      <c r="H4618" s="6"/>
    </row>
    <row r="4619" spans="5:8" x14ac:dyDescent="0.2">
      <c r="E4619" s="11"/>
      <c r="H4619" s="6"/>
    </row>
    <row r="4620" spans="5:8" x14ac:dyDescent="0.2">
      <c r="E4620" s="11"/>
      <c r="H4620" s="6"/>
    </row>
    <row r="4621" spans="5:8" x14ac:dyDescent="0.2">
      <c r="E4621" s="11"/>
      <c r="H4621" s="6"/>
    </row>
    <row r="4622" spans="5:8" x14ac:dyDescent="0.2">
      <c r="E4622" s="11"/>
      <c r="H4622" s="6"/>
    </row>
    <row r="4623" spans="5:8" x14ac:dyDescent="0.2">
      <c r="E4623" s="11"/>
      <c r="H4623" s="6"/>
    </row>
    <row r="4624" spans="5:8" x14ac:dyDescent="0.2">
      <c r="E4624" s="11"/>
      <c r="H4624" s="6"/>
    </row>
    <row r="4625" spans="5:8" x14ac:dyDescent="0.2">
      <c r="E4625" s="11"/>
      <c r="H4625" s="6"/>
    </row>
    <row r="4626" spans="5:8" x14ac:dyDescent="0.2">
      <c r="E4626" s="11"/>
      <c r="H4626" s="6"/>
    </row>
    <row r="4627" spans="5:8" x14ac:dyDescent="0.2">
      <c r="E4627" s="11"/>
      <c r="H4627" s="6"/>
    </row>
    <row r="4628" spans="5:8" x14ac:dyDescent="0.2">
      <c r="E4628" s="11"/>
      <c r="H4628" s="6"/>
    </row>
    <row r="4629" spans="5:8" x14ac:dyDescent="0.2">
      <c r="E4629" s="11"/>
      <c r="H4629" s="6"/>
    </row>
    <row r="4630" spans="5:8" x14ac:dyDescent="0.2">
      <c r="E4630" s="11"/>
      <c r="H4630" s="6"/>
    </row>
    <row r="4631" spans="5:8" x14ac:dyDescent="0.2">
      <c r="E4631" s="11"/>
      <c r="H4631" s="6"/>
    </row>
    <row r="4632" spans="5:8" x14ac:dyDescent="0.2">
      <c r="E4632" s="11"/>
      <c r="H4632" s="6"/>
    </row>
    <row r="4633" spans="5:8" x14ac:dyDescent="0.2">
      <c r="E4633" s="11"/>
      <c r="H4633" s="6"/>
    </row>
    <row r="4634" spans="5:8" x14ac:dyDescent="0.2">
      <c r="E4634" s="11"/>
      <c r="H4634" s="6"/>
    </row>
    <row r="4635" spans="5:8" x14ac:dyDescent="0.2">
      <c r="E4635" s="11"/>
      <c r="H4635" s="6"/>
    </row>
    <row r="4636" spans="5:8" x14ac:dyDescent="0.2">
      <c r="E4636" s="11"/>
      <c r="H4636" s="6"/>
    </row>
    <row r="4637" spans="5:8" x14ac:dyDescent="0.2">
      <c r="E4637" s="11"/>
      <c r="H4637" s="6"/>
    </row>
    <row r="4638" spans="5:8" x14ac:dyDescent="0.2">
      <c r="E4638" s="11"/>
      <c r="H4638" s="6"/>
    </row>
    <row r="4639" spans="5:8" x14ac:dyDescent="0.2">
      <c r="E4639" s="11"/>
      <c r="H4639" s="6"/>
    </row>
    <row r="4640" spans="5:8" x14ac:dyDescent="0.2">
      <c r="E4640" s="11"/>
      <c r="H4640" s="6"/>
    </row>
    <row r="4641" spans="5:8" x14ac:dyDescent="0.2">
      <c r="E4641" s="11"/>
      <c r="H4641" s="6"/>
    </row>
    <row r="4642" spans="5:8" x14ac:dyDescent="0.2">
      <c r="E4642" s="11"/>
      <c r="H4642" s="6"/>
    </row>
    <row r="4643" spans="5:8" x14ac:dyDescent="0.2">
      <c r="E4643" s="11"/>
      <c r="H4643" s="6"/>
    </row>
    <row r="4644" spans="5:8" x14ac:dyDescent="0.2">
      <c r="E4644" s="11"/>
      <c r="H4644" s="6"/>
    </row>
    <row r="4645" spans="5:8" x14ac:dyDescent="0.2">
      <c r="E4645" s="11"/>
      <c r="H4645" s="6"/>
    </row>
    <row r="4646" spans="5:8" x14ac:dyDescent="0.2">
      <c r="E4646" s="11"/>
      <c r="H4646" s="6"/>
    </row>
    <row r="4647" spans="5:8" x14ac:dyDescent="0.2">
      <c r="E4647" s="11"/>
      <c r="H4647" s="6"/>
    </row>
    <row r="4648" spans="5:8" x14ac:dyDescent="0.2">
      <c r="E4648" s="11"/>
      <c r="H4648" s="6"/>
    </row>
    <row r="4649" spans="5:8" x14ac:dyDescent="0.2">
      <c r="E4649" s="11"/>
      <c r="H4649" s="6"/>
    </row>
    <row r="4650" spans="5:8" x14ac:dyDescent="0.2">
      <c r="E4650" s="11"/>
      <c r="H4650" s="6"/>
    </row>
    <row r="4651" spans="5:8" x14ac:dyDescent="0.2">
      <c r="E4651" s="11"/>
      <c r="H4651" s="6"/>
    </row>
    <row r="4652" spans="5:8" x14ac:dyDescent="0.2">
      <c r="E4652" s="11"/>
      <c r="H4652" s="6"/>
    </row>
    <row r="4653" spans="5:8" x14ac:dyDescent="0.2">
      <c r="E4653" s="11"/>
      <c r="H4653" s="6"/>
    </row>
    <row r="4654" spans="5:8" x14ac:dyDescent="0.2">
      <c r="E4654" s="11"/>
      <c r="H4654" s="6"/>
    </row>
    <row r="4655" spans="5:8" x14ac:dyDescent="0.2">
      <c r="E4655" s="11"/>
      <c r="H4655" s="6"/>
    </row>
    <row r="4656" spans="5:8" x14ac:dyDescent="0.2">
      <c r="E4656" s="11"/>
      <c r="H4656" s="6"/>
    </row>
    <row r="4657" spans="5:8" x14ac:dyDescent="0.2">
      <c r="E4657" s="11"/>
      <c r="H4657" s="6"/>
    </row>
    <row r="4658" spans="5:8" x14ac:dyDescent="0.2">
      <c r="E4658" s="11"/>
      <c r="H4658" s="6"/>
    </row>
    <row r="4659" spans="5:8" x14ac:dyDescent="0.2">
      <c r="E4659" s="11"/>
      <c r="H4659" s="6"/>
    </row>
    <row r="4660" spans="5:8" x14ac:dyDescent="0.2">
      <c r="E4660" s="11"/>
      <c r="H4660" s="6"/>
    </row>
    <row r="4661" spans="5:8" x14ac:dyDescent="0.2">
      <c r="E4661" s="11"/>
      <c r="H4661" s="6"/>
    </row>
    <row r="4662" spans="5:8" x14ac:dyDescent="0.2">
      <c r="E4662" s="11"/>
      <c r="H4662" s="6"/>
    </row>
    <row r="4663" spans="5:8" x14ac:dyDescent="0.2">
      <c r="E4663" s="11"/>
      <c r="H4663" s="6"/>
    </row>
    <row r="4664" spans="5:8" x14ac:dyDescent="0.2">
      <c r="E4664" s="11"/>
      <c r="H4664" s="6"/>
    </row>
    <row r="4665" spans="5:8" x14ac:dyDescent="0.2">
      <c r="E4665" s="11"/>
      <c r="H4665" s="6"/>
    </row>
    <row r="4666" spans="5:8" x14ac:dyDescent="0.2">
      <c r="E4666" s="11"/>
      <c r="H4666" s="6"/>
    </row>
    <row r="4667" spans="5:8" x14ac:dyDescent="0.2">
      <c r="E4667" s="11"/>
      <c r="H4667" s="6"/>
    </row>
    <row r="4668" spans="5:8" x14ac:dyDescent="0.2">
      <c r="E4668" s="11"/>
      <c r="H4668" s="6"/>
    </row>
    <row r="4669" spans="5:8" x14ac:dyDescent="0.2">
      <c r="E4669" s="11"/>
      <c r="H4669" s="6"/>
    </row>
    <row r="4670" spans="5:8" x14ac:dyDescent="0.2">
      <c r="E4670" s="11"/>
      <c r="H4670" s="6"/>
    </row>
    <row r="4671" spans="5:8" x14ac:dyDescent="0.2">
      <c r="E4671" s="11"/>
      <c r="H4671" s="6"/>
    </row>
    <row r="4672" spans="5:8" x14ac:dyDescent="0.2">
      <c r="E4672" s="11"/>
      <c r="H4672" s="6"/>
    </row>
    <row r="4673" spans="5:8" x14ac:dyDescent="0.2">
      <c r="E4673" s="11"/>
      <c r="H4673" s="6"/>
    </row>
    <row r="4674" spans="5:8" x14ac:dyDescent="0.2">
      <c r="E4674" s="11"/>
      <c r="H4674" s="6"/>
    </row>
    <row r="4675" spans="5:8" x14ac:dyDescent="0.2">
      <c r="E4675" s="11"/>
      <c r="H4675" s="6"/>
    </row>
    <row r="4676" spans="5:8" x14ac:dyDescent="0.2">
      <c r="E4676" s="11"/>
      <c r="H4676" s="6"/>
    </row>
    <row r="4677" spans="5:8" x14ac:dyDescent="0.2">
      <c r="E4677" s="11"/>
      <c r="H4677" s="6"/>
    </row>
    <row r="4678" spans="5:8" x14ac:dyDescent="0.2">
      <c r="E4678" s="11"/>
      <c r="H4678" s="6"/>
    </row>
    <row r="4679" spans="5:8" x14ac:dyDescent="0.2">
      <c r="E4679" s="11"/>
      <c r="H4679" s="6"/>
    </row>
    <row r="4680" spans="5:8" x14ac:dyDescent="0.2">
      <c r="E4680" s="11"/>
      <c r="H4680" s="6"/>
    </row>
    <row r="4681" spans="5:8" x14ac:dyDescent="0.2">
      <c r="E4681" s="21"/>
      <c r="H4681" s="10"/>
    </row>
    <row r="4682" spans="5:8" x14ac:dyDescent="0.2">
      <c r="E4682" s="21"/>
      <c r="H4682" s="10"/>
    </row>
    <row r="4683" spans="5:8" x14ac:dyDescent="0.2">
      <c r="E4683" s="21"/>
      <c r="H4683" s="10"/>
    </row>
    <row r="4684" spans="5:8" x14ac:dyDescent="0.2">
      <c r="E4684" s="21"/>
      <c r="H4684" s="10"/>
    </row>
    <row r="4685" spans="5:8" x14ac:dyDescent="0.2">
      <c r="E4685" s="21"/>
      <c r="H4685" s="10"/>
    </row>
    <row r="4686" spans="5:8" x14ac:dyDescent="0.2">
      <c r="E4686" s="21"/>
      <c r="H4686" s="10"/>
    </row>
    <row r="4687" spans="5:8" x14ac:dyDescent="0.2">
      <c r="E4687" s="21"/>
      <c r="H4687" s="10"/>
    </row>
    <row r="4688" spans="5:8" x14ac:dyDescent="0.2">
      <c r="E4688" s="21"/>
      <c r="H4688" s="10"/>
    </row>
    <row r="4689" spans="5:8" x14ac:dyDescent="0.2">
      <c r="E4689" s="21"/>
      <c r="H4689" s="10"/>
    </row>
    <row r="4690" spans="5:8" x14ac:dyDescent="0.2">
      <c r="E4690" s="21"/>
      <c r="H4690" s="10"/>
    </row>
    <row r="4691" spans="5:8" x14ac:dyDescent="0.2">
      <c r="E4691" s="21"/>
      <c r="H4691" s="10"/>
    </row>
    <row r="4692" spans="5:8" x14ac:dyDescent="0.2">
      <c r="E4692" s="21"/>
      <c r="H4692" s="10"/>
    </row>
    <row r="4693" spans="5:8" x14ac:dyDescent="0.2">
      <c r="E4693" s="21"/>
      <c r="H4693" s="10"/>
    </row>
    <row r="4694" spans="5:8" x14ac:dyDescent="0.2">
      <c r="E4694" s="21"/>
      <c r="H4694" s="10"/>
    </row>
    <row r="4695" spans="5:8" x14ac:dyDescent="0.2">
      <c r="E4695" s="21"/>
      <c r="H4695" s="10"/>
    </row>
    <row r="4696" spans="5:8" x14ac:dyDescent="0.2">
      <c r="E4696" s="21"/>
      <c r="H4696" s="10"/>
    </row>
    <row r="4697" spans="5:8" x14ac:dyDescent="0.2">
      <c r="E4697" s="21"/>
      <c r="H4697" s="10"/>
    </row>
    <row r="4698" spans="5:8" x14ac:dyDescent="0.2">
      <c r="E4698" s="21"/>
      <c r="H4698" s="10"/>
    </row>
    <row r="4699" spans="5:8" x14ac:dyDescent="0.2">
      <c r="E4699" s="21"/>
      <c r="H4699" s="10"/>
    </row>
    <row r="4700" spans="5:8" x14ac:dyDescent="0.2">
      <c r="E4700" s="21"/>
      <c r="H4700" s="10"/>
    </row>
    <row r="4701" spans="5:8" x14ac:dyDescent="0.2">
      <c r="E4701" s="21"/>
      <c r="H4701" s="10"/>
    </row>
    <row r="4702" spans="5:8" x14ac:dyDescent="0.2">
      <c r="E4702" s="21"/>
      <c r="H4702" s="10"/>
    </row>
    <row r="4703" spans="5:8" x14ac:dyDescent="0.2">
      <c r="E4703" s="21"/>
      <c r="H4703" s="10"/>
    </row>
    <row r="4704" spans="5:8" x14ac:dyDescent="0.2">
      <c r="E4704" s="21"/>
      <c r="H4704" s="10"/>
    </row>
    <row r="4705" spans="5:8" x14ac:dyDescent="0.2">
      <c r="E4705" s="21"/>
      <c r="H4705" s="10"/>
    </row>
    <row r="4706" spans="5:8" x14ac:dyDescent="0.2">
      <c r="E4706" s="21"/>
      <c r="H4706" s="10"/>
    </row>
    <row r="4707" spans="5:8" x14ac:dyDescent="0.2">
      <c r="E4707" s="11"/>
      <c r="H4707" s="6"/>
    </row>
    <row r="4708" spans="5:8" x14ac:dyDescent="0.2">
      <c r="E4708" s="11"/>
      <c r="H4708" s="6"/>
    </row>
    <row r="4709" spans="5:8" x14ac:dyDescent="0.2">
      <c r="E4709" s="11"/>
      <c r="H4709" s="6"/>
    </row>
    <row r="4710" spans="5:8" x14ac:dyDescent="0.2">
      <c r="E4710" s="11"/>
      <c r="H4710" s="6"/>
    </row>
    <row r="4711" spans="5:8" x14ac:dyDescent="0.2">
      <c r="E4711" s="11"/>
      <c r="H4711" s="6"/>
    </row>
    <row r="4712" spans="5:8" x14ac:dyDescent="0.2">
      <c r="E4712" s="11"/>
      <c r="H4712" s="6"/>
    </row>
    <row r="4713" spans="5:8" x14ac:dyDescent="0.2">
      <c r="E4713" s="11"/>
      <c r="H4713" s="6"/>
    </row>
    <row r="4714" spans="5:8" x14ac:dyDescent="0.2">
      <c r="E4714" s="11"/>
      <c r="H4714" s="6"/>
    </row>
    <row r="4715" spans="5:8" x14ac:dyDescent="0.2">
      <c r="E4715" s="11"/>
      <c r="H4715" s="6"/>
    </row>
    <row r="4716" spans="5:8" x14ac:dyDescent="0.2">
      <c r="E4716" s="11"/>
      <c r="H4716" s="6"/>
    </row>
    <row r="4717" spans="5:8" x14ac:dyDescent="0.2">
      <c r="E4717" s="11"/>
      <c r="H4717" s="6"/>
    </row>
    <row r="4718" spans="5:8" x14ac:dyDescent="0.2">
      <c r="E4718" s="11"/>
      <c r="H4718" s="6"/>
    </row>
    <row r="4719" spans="5:8" x14ac:dyDescent="0.2">
      <c r="E4719" s="11"/>
      <c r="H4719" s="6"/>
    </row>
    <row r="4720" spans="5:8" x14ac:dyDescent="0.2">
      <c r="E4720" s="11"/>
      <c r="H4720" s="6"/>
    </row>
    <row r="4721" spans="5:8" x14ac:dyDescent="0.2">
      <c r="E4721" s="11"/>
      <c r="H4721" s="6"/>
    </row>
    <row r="4722" spans="5:8" x14ac:dyDescent="0.2">
      <c r="E4722" s="11"/>
      <c r="H4722" s="6"/>
    </row>
    <row r="4723" spans="5:8" x14ac:dyDescent="0.2">
      <c r="E4723" s="11"/>
      <c r="H4723" s="6"/>
    </row>
    <row r="4724" spans="5:8" x14ac:dyDescent="0.2">
      <c r="E4724" s="11"/>
      <c r="H4724" s="6"/>
    </row>
    <row r="4725" spans="5:8" x14ac:dyDescent="0.2">
      <c r="E4725" s="11"/>
      <c r="H4725" s="6"/>
    </row>
    <row r="4726" spans="5:8" x14ac:dyDescent="0.2">
      <c r="E4726" s="11"/>
      <c r="H4726" s="6"/>
    </row>
    <row r="4727" spans="5:8" x14ac:dyDescent="0.2">
      <c r="E4727" s="11"/>
      <c r="H4727" s="6"/>
    </row>
    <row r="4728" spans="5:8" x14ac:dyDescent="0.2">
      <c r="E4728" s="11"/>
      <c r="H4728" s="6"/>
    </row>
    <row r="4729" spans="5:8" x14ac:dyDescent="0.2">
      <c r="E4729" s="11"/>
      <c r="H4729" s="6"/>
    </row>
    <row r="4730" spans="5:8" x14ac:dyDescent="0.2">
      <c r="E4730" s="11"/>
      <c r="H4730" s="6"/>
    </row>
    <row r="4731" spans="5:8" x14ac:dyDescent="0.2">
      <c r="E4731" s="11"/>
      <c r="H4731" s="6"/>
    </row>
    <row r="4732" spans="5:8" x14ac:dyDescent="0.2">
      <c r="E4732" s="11"/>
      <c r="H4732" s="6"/>
    </row>
    <row r="4733" spans="5:8" x14ac:dyDescent="0.2">
      <c r="E4733" s="11"/>
      <c r="H4733" s="6"/>
    </row>
    <row r="4734" spans="5:8" x14ac:dyDescent="0.2">
      <c r="E4734" s="11"/>
      <c r="H4734" s="6"/>
    </row>
    <row r="4735" spans="5:8" x14ac:dyDescent="0.2">
      <c r="E4735" s="11"/>
      <c r="H4735" s="6"/>
    </row>
    <row r="4736" spans="5:8" x14ac:dyDescent="0.2">
      <c r="E4736" s="11"/>
      <c r="H4736" s="6"/>
    </row>
    <row r="4737" spans="5:8" x14ac:dyDescent="0.2">
      <c r="E4737" s="11"/>
      <c r="H4737" s="6"/>
    </row>
    <row r="4738" spans="5:8" x14ac:dyDescent="0.2">
      <c r="E4738" s="11"/>
      <c r="H4738" s="6"/>
    </row>
    <row r="4739" spans="5:8" x14ac:dyDescent="0.2">
      <c r="E4739" s="11"/>
      <c r="H4739" s="6"/>
    </row>
    <row r="4740" spans="5:8" x14ac:dyDescent="0.2">
      <c r="E4740" s="11"/>
      <c r="H4740" s="6"/>
    </row>
    <row r="4741" spans="5:8" x14ac:dyDescent="0.2">
      <c r="E4741" s="11"/>
      <c r="H4741" s="6"/>
    </row>
    <row r="4742" spans="5:8" x14ac:dyDescent="0.2">
      <c r="E4742" s="11"/>
      <c r="H4742" s="6"/>
    </row>
    <row r="4743" spans="5:8" x14ac:dyDescent="0.2">
      <c r="E4743" s="11"/>
      <c r="H4743" s="6"/>
    </row>
    <row r="4744" spans="5:8" x14ac:dyDescent="0.2">
      <c r="E4744" s="11"/>
      <c r="H4744" s="6"/>
    </row>
    <row r="4745" spans="5:8" x14ac:dyDescent="0.2">
      <c r="E4745" s="11"/>
      <c r="H4745" s="6"/>
    </row>
    <row r="4746" spans="5:8" x14ac:dyDescent="0.2">
      <c r="E4746" s="11"/>
      <c r="H4746" s="6"/>
    </row>
    <row r="4747" spans="5:8" x14ac:dyDescent="0.2">
      <c r="E4747" s="11"/>
      <c r="H4747" s="6"/>
    </row>
    <row r="4748" spans="5:8" x14ac:dyDescent="0.2">
      <c r="E4748" s="11"/>
      <c r="H4748" s="6"/>
    </row>
    <row r="4749" spans="5:8" x14ac:dyDescent="0.2">
      <c r="E4749" s="11"/>
      <c r="H4749" s="6"/>
    </row>
    <row r="4750" spans="5:8" x14ac:dyDescent="0.2">
      <c r="E4750" s="11"/>
      <c r="H4750" s="6"/>
    </row>
    <row r="4751" spans="5:8" x14ac:dyDescent="0.2">
      <c r="E4751" s="11"/>
      <c r="H4751" s="6"/>
    </row>
    <row r="4752" spans="5:8" x14ac:dyDescent="0.2">
      <c r="E4752" s="11"/>
      <c r="H4752" s="6"/>
    </row>
    <row r="4753" spans="5:8" x14ac:dyDescent="0.2">
      <c r="E4753" s="11"/>
      <c r="H4753" s="6"/>
    </row>
    <row r="4754" spans="5:8" x14ac:dyDescent="0.2">
      <c r="E4754" s="11"/>
      <c r="H4754" s="6"/>
    </row>
    <row r="4755" spans="5:8" x14ac:dyDescent="0.2">
      <c r="E4755" s="11"/>
      <c r="H4755" s="6"/>
    </row>
    <row r="4756" spans="5:8" x14ac:dyDescent="0.2">
      <c r="E4756" s="11"/>
      <c r="H4756" s="6"/>
    </row>
    <row r="4757" spans="5:8" x14ac:dyDescent="0.2">
      <c r="E4757" s="11"/>
      <c r="H4757" s="6"/>
    </row>
    <row r="4758" spans="5:8" x14ac:dyDescent="0.2">
      <c r="E4758" s="11"/>
      <c r="H4758" s="6"/>
    </row>
    <row r="4759" spans="5:8" x14ac:dyDescent="0.2">
      <c r="E4759" s="11"/>
      <c r="H4759" s="6"/>
    </row>
    <row r="4760" spans="5:8" x14ac:dyDescent="0.2">
      <c r="E4760" s="11"/>
      <c r="H4760" s="6"/>
    </row>
    <row r="4761" spans="5:8" x14ac:dyDescent="0.2">
      <c r="E4761" s="11"/>
      <c r="H4761" s="6"/>
    </row>
    <row r="4762" spans="5:8" x14ac:dyDescent="0.2">
      <c r="E4762" s="11"/>
      <c r="H4762" s="6"/>
    </row>
    <row r="4763" spans="5:8" x14ac:dyDescent="0.2">
      <c r="E4763" s="11"/>
      <c r="H4763" s="6"/>
    </row>
    <row r="4764" spans="5:8" x14ac:dyDescent="0.2">
      <c r="E4764" s="11"/>
      <c r="H4764" s="6"/>
    </row>
    <row r="4765" spans="5:8" x14ac:dyDescent="0.2">
      <c r="E4765" s="11"/>
      <c r="H4765" s="6"/>
    </row>
    <row r="4766" spans="5:8" x14ac:dyDescent="0.2">
      <c r="E4766" s="11"/>
      <c r="H4766" s="6"/>
    </row>
    <row r="4767" spans="5:8" x14ac:dyDescent="0.2">
      <c r="E4767" s="11"/>
      <c r="H4767" s="6"/>
    </row>
    <row r="4768" spans="5:8" x14ac:dyDescent="0.2">
      <c r="E4768" s="11"/>
      <c r="H4768" s="6"/>
    </row>
    <row r="4769" spans="5:8" x14ac:dyDescent="0.2">
      <c r="E4769" s="11"/>
      <c r="H4769" s="6"/>
    </row>
    <row r="4770" spans="5:8" x14ac:dyDescent="0.2">
      <c r="E4770" s="11"/>
      <c r="H4770" s="6"/>
    </row>
    <row r="4771" spans="5:8" x14ac:dyDescent="0.2">
      <c r="E4771" s="11"/>
      <c r="H4771" s="6"/>
    </row>
    <row r="4772" spans="5:8" x14ac:dyDescent="0.2">
      <c r="E4772" s="11"/>
      <c r="H4772" s="6"/>
    </row>
    <row r="4773" spans="5:8" x14ac:dyDescent="0.2">
      <c r="E4773" s="11"/>
      <c r="H4773" s="6"/>
    </row>
    <row r="4774" spans="5:8" x14ac:dyDescent="0.2">
      <c r="E4774" s="11"/>
      <c r="H4774" s="6"/>
    </row>
    <row r="4775" spans="5:8" x14ac:dyDescent="0.2">
      <c r="E4775" s="11"/>
      <c r="H4775" s="6"/>
    </row>
    <row r="4776" spans="5:8" x14ac:dyDescent="0.2">
      <c r="E4776" s="11"/>
      <c r="H4776" s="6"/>
    </row>
    <row r="4777" spans="5:8" x14ac:dyDescent="0.2">
      <c r="E4777" s="11"/>
      <c r="H4777" s="6"/>
    </row>
    <row r="4778" spans="5:8" x14ac:dyDescent="0.2">
      <c r="E4778" s="11"/>
      <c r="H4778" s="6"/>
    </row>
    <row r="4779" spans="5:8" x14ac:dyDescent="0.2">
      <c r="E4779" s="11"/>
      <c r="H4779" s="6"/>
    </row>
    <row r="4780" spans="5:8" x14ac:dyDescent="0.2">
      <c r="E4780" s="11"/>
      <c r="H4780" s="6"/>
    </row>
    <row r="4781" spans="5:8" x14ac:dyDescent="0.2">
      <c r="E4781" s="11"/>
      <c r="H4781" s="6"/>
    </row>
    <row r="4782" spans="5:8" x14ac:dyDescent="0.2">
      <c r="E4782" s="11"/>
      <c r="H4782" s="6"/>
    </row>
    <row r="4783" spans="5:8" x14ac:dyDescent="0.2">
      <c r="E4783" s="11"/>
      <c r="H4783" s="6"/>
    </row>
    <row r="4784" spans="5:8" x14ac:dyDescent="0.2">
      <c r="E4784" s="11"/>
      <c r="H4784" s="6"/>
    </row>
    <row r="4785" spans="5:8" x14ac:dyDescent="0.2">
      <c r="E4785" s="11"/>
      <c r="H4785" s="6"/>
    </row>
    <row r="4786" spans="5:8" x14ac:dyDescent="0.2">
      <c r="E4786" s="11"/>
      <c r="H4786" s="6"/>
    </row>
    <row r="4787" spans="5:8" x14ac:dyDescent="0.2">
      <c r="E4787" s="11"/>
      <c r="H4787" s="6"/>
    </row>
    <row r="4788" spans="5:8" x14ac:dyDescent="0.2">
      <c r="E4788" s="11"/>
      <c r="H4788" s="6"/>
    </row>
    <row r="4789" spans="5:8" x14ac:dyDescent="0.2">
      <c r="E4789" s="11"/>
      <c r="H4789" s="6"/>
    </row>
    <row r="4790" spans="5:8" x14ac:dyDescent="0.2">
      <c r="E4790" s="11"/>
      <c r="H4790" s="6"/>
    </row>
    <row r="4791" spans="5:8" x14ac:dyDescent="0.2">
      <c r="E4791" s="11"/>
      <c r="H4791" s="6"/>
    </row>
    <row r="4792" spans="5:8" x14ac:dyDescent="0.2">
      <c r="E4792" s="11"/>
      <c r="H4792" s="6"/>
    </row>
    <row r="4793" spans="5:8" x14ac:dyDescent="0.2">
      <c r="E4793" s="11"/>
      <c r="H4793" s="6"/>
    </row>
    <row r="4794" spans="5:8" x14ac:dyDescent="0.2">
      <c r="E4794" s="11"/>
      <c r="H4794" s="6"/>
    </row>
    <row r="4795" spans="5:8" x14ac:dyDescent="0.2">
      <c r="E4795" s="11"/>
      <c r="H4795" s="6"/>
    </row>
    <row r="4796" spans="5:8" x14ac:dyDescent="0.2">
      <c r="E4796" s="11"/>
      <c r="H4796" s="6"/>
    </row>
    <row r="4797" spans="5:8" x14ac:dyDescent="0.2">
      <c r="E4797" s="11"/>
      <c r="H4797" s="6"/>
    </row>
    <row r="4798" spans="5:8" x14ac:dyDescent="0.2">
      <c r="E4798" s="11"/>
      <c r="H4798" s="6"/>
    </row>
    <row r="4799" spans="5:8" x14ac:dyDescent="0.2">
      <c r="E4799" s="11"/>
      <c r="H4799" s="6"/>
    </row>
    <row r="4800" spans="5:8" x14ac:dyDescent="0.2">
      <c r="E4800" s="11"/>
      <c r="H4800" s="6"/>
    </row>
    <row r="4801" spans="5:8" x14ac:dyDescent="0.2">
      <c r="E4801" s="11"/>
      <c r="H4801" s="6"/>
    </row>
    <row r="4802" spans="5:8" x14ac:dyDescent="0.2">
      <c r="E4802" s="11"/>
      <c r="H4802" s="6"/>
    </row>
    <row r="4803" spans="5:8" x14ac:dyDescent="0.2">
      <c r="E4803" s="11"/>
      <c r="H4803" s="6"/>
    </row>
    <row r="4804" spans="5:8" x14ac:dyDescent="0.2">
      <c r="E4804" s="11"/>
      <c r="H4804" s="6"/>
    </row>
    <row r="4805" spans="5:8" x14ac:dyDescent="0.2">
      <c r="E4805" s="11"/>
      <c r="H4805" s="6"/>
    </row>
    <row r="4806" spans="5:8" x14ac:dyDescent="0.2">
      <c r="E4806" s="11"/>
      <c r="H4806" s="6"/>
    </row>
    <row r="4807" spans="5:8" x14ac:dyDescent="0.2">
      <c r="E4807" s="11"/>
      <c r="H4807" s="6"/>
    </row>
    <row r="4808" spans="5:8" x14ac:dyDescent="0.2">
      <c r="E4808" s="11"/>
      <c r="H4808" s="6"/>
    </row>
    <row r="4809" spans="5:8" x14ac:dyDescent="0.2">
      <c r="E4809" s="11"/>
      <c r="H4809" s="6"/>
    </row>
    <row r="4810" spans="5:8" x14ac:dyDescent="0.2">
      <c r="E4810" s="11"/>
      <c r="H4810" s="6"/>
    </row>
    <row r="4811" spans="5:8" x14ac:dyDescent="0.2">
      <c r="E4811" s="11"/>
      <c r="H4811" s="6"/>
    </row>
    <row r="4812" spans="5:8" x14ac:dyDescent="0.2">
      <c r="E4812" s="11"/>
      <c r="H4812" s="6"/>
    </row>
    <row r="4813" spans="5:8" x14ac:dyDescent="0.2">
      <c r="E4813" s="11"/>
      <c r="H4813" s="6"/>
    </row>
    <row r="4814" spans="5:8" x14ac:dyDescent="0.2">
      <c r="E4814" s="11"/>
      <c r="H4814" s="6"/>
    </row>
    <row r="4815" spans="5:8" x14ac:dyDescent="0.2">
      <c r="E4815" s="11"/>
      <c r="H4815" s="6"/>
    </row>
    <row r="4816" spans="5:8" x14ac:dyDescent="0.2">
      <c r="E4816" s="11"/>
      <c r="H4816" s="6"/>
    </row>
    <row r="4817" spans="5:8" x14ac:dyDescent="0.2">
      <c r="E4817" s="11"/>
      <c r="H4817" s="6"/>
    </row>
    <row r="4818" spans="5:8" x14ac:dyDescent="0.2">
      <c r="E4818" s="11"/>
      <c r="H4818" s="6"/>
    </row>
    <row r="4819" spans="5:8" x14ac:dyDescent="0.2">
      <c r="E4819" s="11"/>
      <c r="H4819" s="6"/>
    </row>
    <row r="4820" spans="5:8" x14ac:dyDescent="0.2">
      <c r="E4820" s="11"/>
      <c r="H4820" s="6"/>
    </row>
    <row r="4821" spans="5:8" x14ac:dyDescent="0.2">
      <c r="E4821" s="11"/>
      <c r="H4821" s="6"/>
    </row>
    <row r="4822" spans="5:8" x14ac:dyDescent="0.2">
      <c r="E4822" s="11"/>
      <c r="H4822" s="6"/>
    </row>
    <row r="4823" spans="5:8" x14ac:dyDescent="0.2">
      <c r="E4823" s="11"/>
      <c r="H4823" s="6"/>
    </row>
    <row r="4824" spans="5:8" x14ac:dyDescent="0.2">
      <c r="E4824" s="11"/>
      <c r="H4824" s="6"/>
    </row>
    <row r="4825" spans="5:8" x14ac:dyDescent="0.2">
      <c r="E4825" s="11"/>
      <c r="H4825" s="6"/>
    </row>
    <row r="4826" spans="5:8" x14ac:dyDescent="0.2">
      <c r="E4826" s="11"/>
      <c r="H4826" s="6"/>
    </row>
    <row r="4827" spans="5:8" x14ac:dyDescent="0.2">
      <c r="E4827" s="11"/>
      <c r="H4827" s="6"/>
    </row>
    <row r="4828" spans="5:8" x14ac:dyDescent="0.2">
      <c r="E4828" s="11"/>
      <c r="H4828" s="6"/>
    </row>
    <row r="4829" spans="5:8" x14ac:dyDescent="0.2">
      <c r="E4829" s="11"/>
      <c r="H4829" s="6"/>
    </row>
    <row r="4830" spans="5:8" x14ac:dyDescent="0.2">
      <c r="E4830" s="11"/>
      <c r="H4830" s="6"/>
    </row>
    <row r="4831" spans="5:8" x14ac:dyDescent="0.2">
      <c r="E4831" s="11"/>
      <c r="H4831" s="6"/>
    </row>
    <row r="4832" spans="5:8" x14ac:dyDescent="0.2">
      <c r="E4832" s="11"/>
      <c r="H4832" s="6"/>
    </row>
    <row r="4833" spans="5:8" x14ac:dyDescent="0.2">
      <c r="E4833" s="11"/>
      <c r="H4833" s="6"/>
    </row>
    <row r="4834" spans="5:8" x14ac:dyDescent="0.2">
      <c r="E4834" s="11"/>
      <c r="H4834" s="6"/>
    </row>
    <row r="4835" spans="5:8" x14ac:dyDescent="0.2">
      <c r="E4835" s="11"/>
      <c r="H4835" s="6"/>
    </row>
    <row r="4836" spans="5:8" x14ac:dyDescent="0.2">
      <c r="E4836" s="11"/>
      <c r="H4836" s="6"/>
    </row>
    <row r="4837" spans="5:8" x14ac:dyDescent="0.2">
      <c r="E4837" s="11"/>
      <c r="H4837" s="6"/>
    </row>
    <row r="4838" spans="5:8" x14ac:dyDescent="0.2">
      <c r="E4838" s="11"/>
      <c r="H4838" s="6"/>
    </row>
    <row r="4839" spans="5:8" x14ac:dyDescent="0.2">
      <c r="E4839" s="11"/>
      <c r="H4839" s="6"/>
    </row>
    <row r="4840" spans="5:8" x14ac:dyDescent="0.2">
      <c r="E4840" s="11"/>
      <c r="H4840" s="6"/>
    </row>
    <row r="4841" spans="5:8" x14ac:dyDescent="0.2">
      <c r="E4841" s="11"/>
      <c r="H4841" s="6"/>
    </row>
    <row r="4842" spans="5:8" x14ac:dyDescent="0.2">
      <c r="E4842" s="11"/>
      <c r="H4842" s="6"/>
    </row>
    <row r="4843" spans="5:8" x14ac:dyDescent="0.2">
      <c r="E4843" s="11"/>
      <c r="H4843" s="6"/>
    </row>
    <row r="4844" spans="5:8" x14ac:dyDescent="0.2">
      <c r="E4844" s="11"/>
      <c r="H4844" s="6"/>
    </row>
    <row r="4845" spans="5:8" x14ac:dyDescent="0.2">
      <c r="E4845" s="11"/>
      <c r="H4845" s="6"/>
    </row>
    <row r="4846" spans="5:8" x14ac:dyDescent="0.2">
      <c r="E4846" s="11"/>
      <c r="H4846" s="6"/>
    </row>
    <row r="4847" spans="5:8" x14ac:dyDescent="0.2">
      <c r="E4847" s="11"/>
      <c r="H4847" s="6"/>
    </row>
    <row r="4848" spans="5:8" x14ac:dyDescent="0.2">
      <c r="E4848" s="11"/>
      <c r="H4848" s="6"/>
    </row>
    <row r="4849" spans="5:8" x14ac:dyDescent="0.2">
      <c r="E4849" s="11"/>
      <c r="H4849" s="6"/>
    </row>
    <row r="4850" spans="5:8" x14ac:dyDescent="0.2">
      <c r="E4850" s="11"/>
      <c r="H4850" s="6"/>
    </row>
    <row r="4851" spans="5:8" x14ac:dyDescent="0.2">
      <c r="E4851" s="11"/>
      <c r="H4851" s="6"/>
    </row>
    <row r="4852" spans="5:8" x14ac:dyDescent="0.2">
      <c r="E4852" s="11"/>
      <c r="H4852" s="6"/>
    </row>
    <row r="4853" spans="5:8" x14ac:dyDescent="0.2">
      <c r="E4853" s="11"/>
      <c r="H4853" s="6"/>
    </row>
    <row r="4854" spans="5:8" x14ac:dyDescent="0.2">
      <c r="E4854" s="11"/>
      <c r="H4854" s="6"/>
    </row>
    <row r="4855" spans="5:8" x14ac:dyDescent="0.2">
      <c r="E4855" s="11"/>
      <c r="H4855" s="6"/>
    </row>
    <row r="4856" spans="5:8" x14ac:dyDescent="0.2">
      <c r="E4856" s="11"/>
      <c r="H4856" s="6"/>
    </row>
    <row r="4857" spans="5:8" x14ac:dyDescent="0.2">
      <c r="E4857" s="11"/>
      <c r="H4857" s="6"/>
    </row>
    <row r="4858" spans="5:8" x14ac:dyDescent="0.2">
      <c r="E4858" s="11"/>
      <c r="H4858" s="6"/>
    </row>
    <row r="4859" spans="5:8" x14ac:dyDescent="0.2">
      <c r="E4859" s="11"/>
      <c r="H4859" s="6"/>
    </row>
    <row r="4860" spans="5:8" x14ac:dyDescent="0.2">
      <c r="E4860" s="11"/>
      <c r="H4860" s="6"/>
    </row>
    <row r="4861" spans="5:8" x14ac:dyDescent="0.2">
      <c r="E4861" s="11"/>
      <c r="H4861" s="6"/>
    </row>
    <row r="4862" spans="5:8" x14ac:dyDescent="0.2">
      <c r="E4862" s="11"/>
      <c r="H4862" s="6"/>
    </row>
    <row r="4863" spans="5:8" x14ac:dyDescent="0.2">
      <c r="E4863" s="11"/>
      <c r="H4863" s="6"/>
    </row>
    <row r="4864" spans="5:8" x14ac:dyDescent="0.2">
      <c r="E4864" s="11"/>
      <c r="H4864" s="6"/>
    </row>
    <row r="4865" spans="5:8" x14ac:dyDescent="0.2">
      <c r="E4865" s="11"/>
      <c r="H4865" s="6"/>
    </row>
    <row r="4866" spans="5:8" x14ac:dyDescent="0.2">
      <c r="E4866" s="11"/>
      <c r="H4866" s="6"/>
    </row>
    <row r="4867" spans="5:8" x14ac:dyDescent="0.2">
      <c r="E4867" s="11"/>
      <c r="H4867" s="6"/>
    </row>
    <row r="4868" spans="5:8" x14ac:dyDescent="0.2">
      <c r="E4868" s="11"/>
      <c r="H4868" s="6"/>
    </row>
    <row r="4869" spans="5:8" x14ac:dyDescent="0.2">
      <c r="E4869" s="11"/>
      <c r="H4869" s="6"/>
    </row>
    <row r="4870" spans="5:8" x14ac:dyDescent="0.2">
      <c r="E4870" s="11"/>
      <c r="H4870" s="6"/>
    </row>
    <row r="4871" spans="5:8" x14ac:dyDescent="0.2">
      <c r="E4871" s="11"/>
      <c r="H4871" s="6"/>
    </row>
    <row r="4872" spans="5:8" x14ac:dyDescent="0.2">
      <c r="E4872" s="11"/>
      <c r="H4872" s="6"/>
    </row>
    <row r="4873" spans="5:8" x14ac:dyDescent="0.2">
      <c r="E4873" s="11"/>
      <c r="H4873" s="6"/>
    </row>
    <row r="4874" spans="5:8" x14ac:dyDescent="0.2">
      <c r="E4874" s="11"/>
      <c r="H4874" s="6"/>
    </row>
    <row r="4875" spans="5:8" x14ac:dyDescent="0.2">
      <c r="E4875" s="11"/>
      <c r="H4875" s="6"/>
    </row>
    <row r="4876" spans="5:8" x14ac:dyDescent="0.2">
      <c r="E4876" s="11"/>
      <c r="H4876" s="6"/>
    </row>
  </sheetData>
  <autoFilter ref="A1:H2728"/>
  <phoneticPr fontId="0" type="noConversion"/>
  <pageMargins left="0.75" right="0.75" top="1" bottom="1" header="0.5" footer="0.5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 cross ref</vt:lpstr>
      <vt:lpstr>data</vt:lpstr>
    </vt:vector>
  </TitlesOfParts>
  <Company>mem250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SAYERSF</dc:creator>
  <cp:lastModifiedBy>Shaw, Karen A</cp:lastModifiedBy>
  <cp:lastPrinted>2004-06-18T12:15:24Z</cp:lastPrinted>
  <dcterms:created xsi:type="dcterms:W3CDTF">2004-06-10T13:38:48Z</dcterms:created>
  <dcterms:modified xsi:type="dcterms:W3CDTF">2012-03-15T16:00:06Z</dcterms:modified>
</cp:coreProperties>
</file>