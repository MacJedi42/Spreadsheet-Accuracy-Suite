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20" windowWidth="15480" windowHeight="11640"/>
  </bookViews>
  <sheets>
    <sheet name="ต.ค" sheetId="1" r:id="rId1"/>
    <sheet name="พ.ย" sheetId="2" r:id="rId2"/>
    <sheet name="ธ.ค" sheetId="3" r:id="rId3"/>
  </sheets>
  <calcPr calcId="125725"/>
</workbook>
</file>

<file path=xl/calcChain.xml><?xml version="1.0" encoding="utf-8"?>
<calcChain xmlns="http://schemas.openxmlformats.org/spreadsheetml/2006/main">
  <c r="DZ35" i="1"/>
  <c r="DZ36"/>
  <c r="DZ4"/>
  <c r="DZ5"/>
  <c r="DZ6"/>
  <c r="DZ7"/>
  <c r="DZ8"/>
  <c r="DZ9"/>
  <c r="DZ10"/>
  <c r="DZ11"/>
  <c r="DZ12"/>
  <c r="DZ13"/>
  <c r="DZ14"/>
  <c r="DZ15"/>
  <c r="DZ16"/>
  <c r="DZ17"/>
  <c r="DZ18"/>
  <c r="DZ19"/>
  <c r="DZ20"/>
  <c r="DZ21"/>
  <c r="DZ22"/>
  <c r="DZ23"/>
  <c r="DZ24"/>
  <c r="DZ25"/>
  <c r="DZ26"/>
  <c r="DZ27"/>
  <c r="DZ28"/>
  <c r="DZ29"/>
  <c r="DZ30"/>
  <c r="DZ31"/>
  <c r="DZ32"/>
  <c r="DZ33"/>
  <c r="DZ34"/>
  <c r="DZ3"/>
  <c r="DY41"/>
  <c r="DY30"/>
  <c r="DY29"/>
  <c r="DY28"/>
  <c r="DY27"/>
  <c r="DY26"/>
  <c r="DY25"/>
  <c r="DY24"/>
  <c r="E23"/>
  <c r="F23" s="1"/>
  <c r="G23" s="1"/>
  <c r="H23" s="1"/>
  <c r="I23" s="1"/>
  <c r="J23" s="1"/>
  <c r="K23" s="1"/>
  <c r="L23" s="1"/>
  <c r="M23" s="1"/>
  <c r="N23" s="1"/>
  <c r="O23" s="1"/>
  <c r="P23" s="1"/>
  <c r="Q23" s="1"/>
  <c r="R23" s="1"/>
  <c r="S23" s="1"/>
  <c r="T23" s="1"/>
  <c r="U23" s="1"/>
  <c r="V23" s="1"/>
  <c r="W23" s="1"/>
  <c r="X23" s="1"/>
  <c r="Y23" s="1"/>
  <c r="Z23" s="1"/>
  <c r="AA23" s="1"/>
  <c r="AB23" s="1"/>
  <c r="AC23" s="1"/>
  <c r="AD23" s="1"/>
  <c r="AE23" s="1"/>
  <c r="AF23" s="1"/>
  <c r="AG23" s="1"/>
  <c r="AH23" s="1"/>
  <c r="AI23" s="1"/>
  <c r="AJ23" s="1"/>
  <c r="AK23" s="1"/>
  <c r="AL23" s="1"/>
  <c r="AM23" s="1"/>
  <c r="AN23" s="1"/>
  <c r="AO23" s="1"/>
  <c r="AP23" s="1"/>
  <c r="AQ23" s="1"/>
  <c r="AR23" s="1"/>
  <c r="AS23" s="1"/>
  <c r="AT23" s="1"/>
  <c r="AU23" s="1"/>
  <c r="AV23" s="1"/>
  <c r="AW23" s="1"/>
  <c r="AX23" s="1"/>
  <c r="AY23" s="1"/>
  <c r="AZ23" s="1"/>
  <c r="BA23" s="1"/>
  <c r="BB23" s="1"/>
  <c r="BC23" s="1"/>
  <c r="BD23" s="1"/>
  <c r="BE23" s="1"/>
  <c r="BF23" s="1"/>
  <c r="BG23" s="1"/>
  <c r="BH23" s="1"/>
  <c r="BI23" s="1"/>
  <c r="BJ23" s="1"/>
  <c r="BK23" s="1"/>
  <c r="BL23" s="1"/>
  <c r="BM23" s="1"/>
  <c r="BN23" s="1"/>
  <c r="BO23" s="1"/>
  <c r="BP23" s="1"/>
  <c r="BQ23" s="1"/>
  <c r="BR23" s="1"/>
  <c r="BS23" s="1"/>
  <c r="BT23" s="1"/>
  <c r="BU23" s="1"/>
  <c r="BV23" s="1"/>
  <c r="BW23" s="1"/>
  <c r="BX23" s="1"/>
  <c r="BY23" s="1"/>
  <c r="BZ23" s="1"/>
  <c r="CA23" s="1"/>
  <c r="CB23" s="1"/>
  <c r="CC23" s="1"/>
  <c r="CD23" s="1"/>
  <c r="CE23" s="1"/>
  <c r="CF23" s="1"/>
  <c r="CG23" s="1"/>
  <c r="CH23" s="1"/>
  <c r="CI23" s="1"/>
  <c r="CJ23" s="1"/>
  <c r="CK23" s="1"/>
  <c r="CL23" s="1"/>
  <c r="CM23" s="1"/>
  <c r="CN23" s="1"/>
  <c r="CO23" s="1"/>
  <c r="CP23" s="1"/>
  <c r="CQ23" s="1"/>
  <c r="CR23" s="1"/>
  <c r="CS23" s="1"/>
  <c r="CT23" s="1"/>
  <c r="CU23" s="1"/>
  <c r="CV23" s="1"/>
  <c r="CW23" s="1"/>
  <c r="CX23" s="1"/>
  <c r="CY23" s="1"/>
  <c r="CZ23" s="1"/>
  <c r="DA23" s="1"/>
  <c r="DB23" s="1"/>
  <c r="DC23" s="1"/>
  <c r="DD23" s="1"/>
  <c r="DE23" s="1"/>
  <c r="DF23" s="1"/>
  <c r="DG23" s="1"/>
  <c r="DH23" s="1"/>
  <c r="DI23" s="1"/>
  <c r="DJ23" s="1"/>
  <c r="DK23" s="1"/>
  <c r="DL23" s="1"/>
  <c r="DM23" s="1"/>
  <c r="DN23" s="1"/>
  <c r="DO23" s="1"/>
  <c r="DP23" s="1"/>
  <c r="DQ23" s="1"/>
  <c r="DR23" s="1"/>
  <c r="DS23" s="1"/>
  <c r="DT23" s="1"/>
  <c r="DU23" s="1"/>
  <c r="DV23" s="1"/>
  <c r="DW23" s="1"/>
  <c r="DX23" s="1"/>
  <c r="DY23" s="1"/>
  <c r="E22"/>
  <c r="F22" s="1"/>
  <c r="G22" s="1"/>
  <c r="H22" s="1"/>
  <c r="I22" s="1"/>
  <c r="J22" s="1"/>
  <c r="K22" s="1"/>
  <c r="L22" s="1"/>
  <c r="M22" s="1"/>
  <c r="N22" s="1"/>
  <c r="O22" s="1"/>
  <c r="P22" s="1"/>
  <c r="Q22" s="1"/>
  <c r="R22" s="1"/>
  <c r="S22" s="1"/>
  <c r="T22" s="1"/>
  <c r="U22" s="1"/>
  <c r="V22" s="1"/>
  <c r="W22" s="1"/>
  <c r="X22" s="1"/>
  <c r="Y22" s="1"/>
  <c r="Z22" s="1"/>
  <c r="AA22" s="1"/>
  <c r="AB22" s="1"/>
  <c r="AC22" s="1"/>
  <c r="AD22" s="1"/>
  <c r="AE22" s="1"/>
  <c r="AF22" s="1"/>
  <c r="AG22" s="1"/>
  <c r="AH22" s="1"/>
  <c r="AI22" s="1"/>
  <c r="AJ22" s="1"/>
  <c r="AK22" s="1"/>
  <c r="AL22" s="1"/>
  <c r="AM22" s="1"/>
  <c r="AN22" s="1"/>
  <c r="AO22" s="1"/>
  <c r="AP22" s="1"/>
  <c r="AQ22" s="1"/>
  <c r="AR22" s="1"/>
  <c r="AS22" s="1"/>
  <c r="AT22" s="1"/>
  <c r="AU22" s="1"/>
  <c r="AV22" s="1"/>
  <c r="AW22" s="1"/>
  <c r="AX22" s="1"/>
  <c r="AY22" s="1"/>
  <c r="AZ22" s="1"/>
  <c r="BA22" s="1"/>
  <c r="BB22" s="1"/>
  <c r="BC22" s="1"/>
  <c r="BD22" s="1"/>
  <c r="BE22" s="1"/>
  <c r="BF22" s="1"/>
  <c r="BG22" s="1"/>
  <c r="BH22" s="1"/>
  <c r="BI22" s="1"/>
  <c r="BJ22" s="1"/>
  <c r="BK22" s="1"/>
  <c r="BL22" s="1"/>
  <c r="BM22" s="1"/>
  <c r="BN22" s="1"/>
  <c r="BO22" s="1"/>
  <c r="BP22" s="1"/>
  <c r="BQ22" s="1"/>
  <c r="BR22" s="1"/>
  <c r="BS22" s="1"/>
  <c r="BT22" s="1"/>
  <c r="BU22" s="1"/>
  <c r="BV22" s="1"/>
  <c r="BW22" s="1"/>
  <c r="BX22" s="1"/>
  <c r="BY22" s="1"/>
  <c r="BZ22" s="1"/>
  <c r="CA22" s="1"/>
  <c r="CB22" s="1"/>
  <c r="CC22" s="1"/>
  <c r="CD22" s="1"/>
  <c r="CE22" s="1"/>
  <c r="CF22" s="1"/>
  <c r="CG22" s="1"/>
  <c r="CH22" s="1"/>
  <c r="CI22" s="1"/>
  <c r="CJ22" s="1"/>
  <c r="CK22" s="1"/>
  <c r="CL22" s="1"/>
  <c r="CM22" s="1"/>
  <c r="CN22" s="1"/>
  <c r="CO22" s="1"/>
  <c r="CP22" s="1"/>
  <c r="CQ22" s="1"/>
  <c r="CR22" s="1"/>
  <c r="CS22" s="1"/>
  <c r="CT22" s="1"/>
  <c r="CU22" s="1"/>
  <c r="CV22" s="1"/>
  <c r="CW22" s="1"/>
  <c r="CX22" s="1"/>
  <c r="CY22" s="1"/>
  <c r="CZ22" s="1"/>
  <c r="DA22" s="1"/>
  <c r="DB22" s="1"/>
  <c r="DC22" s="1"/>
  <c r="DD22" s="1"/>
  <c r="DE22" s="1"/>
  <c r="DF22" s="1"/>
  <c r="DG22" s="1"/>
  <c r="DH22" s="1"/>
  <c r="DI22" s="1"/>
  <c r="DJ22" s="1"/>
  <c r="DK22" s="1"/>
  <c r="DL22" s="1"/>
  <c r="DM22" s="1"/>
  <c r="DN22" s="1"/>
  <c r="DO22" s="1"/>
  <c r="DP22" s="1"/>
  <c r="DQ22" s="1"/>
  <c r="DR22" s="1"/>
  <c r="DS22" s="1"/>
  <c r="DT22" s="1"/>
  <c r="DU22" s="1"/>
  <c r="DV22" s="1"/>
  <c r="DW22" s="1"/>
  <c r="DX22" s="1"/>
  <c r="DY22" s="1"/>
  <c r="DY21"/>
  <c r="DY20"/>
  <c r="DY18"/>
  <c r="DY17"/>
  <c r="DY16"/>
  <c r="DY15"/>
  <c r="DY14"/>
  <c r="DY13"/>
  <c r="DY12"/>
  <c r="DY11"/>
  <c r="DY10"/>
  <c r="DY9"/>
  <c r="DY8"/>
  <c r="DY7"/>
  <c r="DY6"/>
  <c r="DY5"/>
  <c r="DY4"/>
  <c r="DY3"/>
</calcChain>
</file>

<file path=xl/sharedStrings.xml><?xml version="1.0" encoding="utf-8"?>
<sst xmlns="http://schemas.openxmlformats.org/spreadsheetml/2006/main" count="623" uniqueCount="54">
  <si>
    <t>ภาระงานพนักงานเปล</t>
  </si>
  <si>
    <t>ลำดับ</t>
  </si>
  <si>
    <t>รายการ</t>
  </si>
  <si>
    <t>หน่วยนับ</t>
  </si>
  <si>
    <t>ค่ากลาง</t>
  </si>
  <si>
    <t>ด</t>
  </si>
  <si>
    <t>ช1</t>
  </si>
  <si>
    <t>ช2</t>
  </si>
  <si>
    <t>บ</t>
  </si>
  <si>
    <t xml:space="preserve">ลงทะเบียนผู้ป่วยเก่า </t>
  </si>
  <si>
    <t>ราย</t>
  </si>
  <si>
    <t>ลงทะเบียนผู้ป่วยใหม่</t>
  </si>
  <si>
    <t>เปลนอน(จากรถ ER OPD  X-ray)</t>
  </si>
  <si>
    <t>ครั้ง</t>
  </si>
  <si>
    <t>เปลนั่ง(จากรถ ER  OPD  X-ray)</t>
  </si>
  <si>
    <t>เปลนอนจาก ER OPD ตึกผู้ป่วย กายภาพ</t>
  </si>
  <si>
    <t>เปลนั่งจาก ER OPD ตึกผู้ป่วย กายภาพ</t>
  </si>
  <si>
    <t>ส่ง Admit จาก OPD ER ไปตึกส่งเสริม</t>
  </si>
  <si>
    <t>ตรวจรับออกซิเจน</t>
  </si>
  <si>
    <t>เปลี่ยนถังออกซิเจนต่อถัง</t>
  </si>
  <si>
    <t>ถัง</t>
  </si>
  <si>
    <t>ตรวจความพร้อมใช้ออกซิเจน</t>
  </si>
  <si>
    <t>ให้บริการเบิก / ยืมออกซิเจน</t>
  </si>
  <si>
    <t>เปลี่ยนกระเปาะออกซิเจน</t>
  </si>
  <si>
    <t>วัด V/S</t>
  </si>
  <si>
    <t>การทำ TONIGNE TEST</t>
  </si>
  <si>
    <t>การเจาะ  DTX</t>
  </si>
  <si>
    <t>การจับผู้ป่วย</t>
  </si>
  <si>
    <t>ช่วย CPR</t>
  </si>
  <si>
    <t>ดูแลผู้ป่วยผูกยึด</t>
  </si>
  <si>
    <t>ช่วยเตรียมเครื่องมือหัตถการ</t>
  </si>
  <si>
    <t>ตัดเผือก</t>
  </si>
  <si>
    <t>ฉีดศพ</t>
  </si>
  <si>
    <t>ช่วยทำ ADMIT</t>
  </si>
  <si>
    <t>ทำความสะอาดเปลนั่ง – เปลนอน เปลี่ยนผ้าปู</t>
  </si>
  <si>
    <t>ทำความสะอาดโต๊ะอาหาร / โต๊ะหัวหน้า</t>
  </si>
  <si>
    <t>ทำความสะอาดโต๊ะ COM / อ่างล้างจาน</t>
  </si>
  <si>
    <t>ทำความสะอาดตู้ผ้า / ชั้นลอย ตู้เก็บเอกสาร ถ้วยชาม</t>
  </si>
  <si>
    <t>ส่งผ้าและตรวจรับผ้า</t>
  </si>
  <si>
    <t>เตรียมน้ำดื่ม</t>
  </si>
  <si>
    <t>ประชุมประจำเดือน</t>
  </si>
  <si>
    <t>ชม.</t>
  </si>
  <si>
    <t>เข้าร่วมกิจกรรม รพ. / ร่วมกิจกรรม 5 ส</t>
  </si>
  <si>
    <t>รับส่งเอกสารระหว่างหน่วยงาน</t>
  </si>
  <si>
    <t>รับการประเมิน 5 ส  HA  QA</t>
  </si>
  <si>
    <t>สำรวจส่งซ่อม</t>
  </si>
  <si>
    <t>รวม</t>
  </si>
  <si>
    <t>เจ้าหน้าที่ปฏิบัติงาน</t>
  </si>
  <si>
    <t>คุณชำนาญ   ชนีวงศ์</t>
  </si>
  <si>
    <t>คะแนน</t>
  </si>
  <si>
    <t>แต้มรวม</t>
  </si>
  <si>
    <t>ช</t>
  </si>
  <si>
    <t>20ฃ</t>
  </si>
  <si>
    <t>แต้ม</t>
  </si>
</sst>
</file>

<file path=xl/styles.xml><?xml version="1.0" encoding="utf-8"?>
<styleSheet xmlns="http://schemas.openxmlformats.org/spreadsheetml/2006/main">
  <fonts count="5">
    <font>
      <sz val="11"/>
      <color theme="1"/>
      <name val="Tahoma"/>
      <family val="2"/>
      <charset val="222"/>
      <scheme val="minor"/>
    </font>
    <font>
      <sz val="16"/>
      <color theme="1"/>
      <name val="AngsanaUPC"/>
      <family val="1"/>
      <charset val="222"/>
    </font>
    <font>
      <sz val="14"/>
      <color theme="1"/>
      <name val="AngsanaUPC"/>
      <family val="1"/>
      <charset val="222"/>
    </font>
    <font>
      <sz val="15"/>
      <color theme="1"/>
      <name val="AngsanaUPC"/>
      <family val="1"/>
      <charset val="222"/>
    </font>
    <font>
      <sz val="16"/>
      <color rgb="FFFF0000"/>
      <name val="AngsanaUPC"/>
      <family val="1"/>
      <charset val="22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wrapText="1"/>
    </xf>
    <xf numFmtId="0" fontId="1" fillId="0" borderId="0" xfId="0" applyFont="1"/>
    <xf numFmtId="0" fontId="3" fillId="0" borderId="2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6" xfId="0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2" fontId="4" fillId="0" borderId="2" xfId="0" applyNumberFormat="1" applyFont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Z216"/>
  <sheetViews>
    <sheetView tabSelected="1" workbookViewId="0">
      <pane xSplit="14" ySplit="7" topLeftCell="DY41" activePane="bottomRight" state="frozen"/>
      <selection pane="topRight" activeCell="O1" sqref="O1"/>
      <selection pane="bottomLeft" activeCell="A9" sqref="A9"/>
      <selection pane="bottomRight" activeCell="DY44" sqref="DY44"/>
    </sheetView>
  </sheetViews>
  <sheetFormatPr defaultRowHeight="23.25"/>
  <cols>
    <col min="1" max="1" width="6.75" style="9" customWidth="1"/>
    <col min="2" max="2" width="29.5" style="9" customWidth="1"/>
    <col min="3" max="3" width="7.125" style="12" customWidth="1"/>
    <col min="4" max="4" width="6" style="9" customWidth="1"/>
    <col min="5" max="128" width="3.25" style="16" customWidth="1"/>
    <col min="129" max="130" width="9" style="12"/>
    <col min="131" max="16384" width="9" style="9"/>
  </cols>
  <sheetData>
    <row r="1" spans="1:130" s="3" customFormat="1" ht="21">
      <c r="A1" s="22" t="s">
        <v>1</v>
      </c>
      <c r="B1" s="23" t="s">
        <v>2</v>
      </c>
      <c r="C1" s="23" t="s">
        <v>3</v>
      </c>
      <c r="D1" s="25" t="s">
        <v>4</v>
      </c>
      <c r="E1" s="21">
        <v>1</v>
      </c>
      <c r="F1" s="21"/>
      <c r="G1" s="21"/>
      <c r="H1" s="21"/>
      <c r="I1" s="21">
        <v>2</v>
      </c>
      <c r="J1" s="21"/>
      <c r="K1" s="21"/>
      <c r="L1" s="21"/>
      <c r="M1" s="21">
        <v>3</v>
      </c>
      <c r="N1" s="21"/>
      <c r="O1" s="21"/>
      <c r="P1" s="21"/>
      <c r="Q1" s="21">
        <v>4</v>
      </c>
      <c r="R1" s="21"/>
      <c r="S1" s="21"/>
      <c r="T1" s="21"/>
      <c r="U1" s="21">
        <v>5</v>
      </c>
      <c r="V1" s="21"/>
      <c r="W1" s="21"/>
      <c r="X1" s="21"/>
      <c r="Y1" s="21">
        <v>6</v>
      </c>
      <c r="Z1" s="21"/>
      <c r="AA1" s="21"/>
      <c r="AB1" s="21"/>
      <c r="AC1" s="21">
        <v>7</v>
      </c>
      <c r="AD1" s="21"/>
      <c r="AE1" s="21"/>
      <c r="AF1" s="21"/>
      <c r="AG1" s="21">
        <v>8</v>
      </c>
      <c r="AH1" s="21"/>
      <c r="AI1" s="21"/>
      <c r="AJ1" s="21"/>
      <c r="AK1" s="21">
        <v>9</v>
      </c>
      <c r="AL1" s="21"/>
      <c r="AM1" s="21"/>
      <c r="AN1" s="21"/>
      <c r="AO1" s="21">
        <v>10</v>
      </c>
      <c r="AP1" s="21"/>
      <c r="AQ1" s="21"/>
      <c r="AR1" s="21"/>
      <c r="AS1" s="21">
        <v>11</v>
      </c>
      <c r="AT1" s="21"/>
      <c r="AU1" s="21"/>
      <c r="AV1" s="21"/>
      <c r="AW1" s="21">
        <v>12</v>
      </c>
      <c r="AX1" s="21"/>
      <c r="AY1" s="21"/>
      <c r="AZ1" s="21"/>
      <c r="BA1" s="21">
        <v>13</v>
      </c>
      <c r="BB1" s="21"/>
      <c r="BC1" s="21"/>
      <c r="BD1" s="21"/>
      <c r="BE1" s="21">
        <v>14</v>
      </c>
      <c r="BF1" s="21"/>
      <c r="BG1" s="21"/>
      <c r="BH1" s="21"/>
      <c r="BI1" s="21">
        <v>15</v>
      </c>
      <c r="BJ1" s="21"/>
      <c r="BK1" s="21"/>
      <c r="BL1" s="21"/>
      <c r="BM1" s="21">
        <v>16</v>
      </c>
      <c r="BN1" s="21"/>
      <c r="BO1" s="21"/>
      <c r="BP1" s="21"/>
      <c r="BQ1" s="21">
        <v>17</v>
      </c>
      <c r="BR1" s="21"/>
      <c r="BS1" s="21"/>
      <c r="BT1" s="21"/>
      <c r="BU1" s="21">
        <v>18</v>
      </c>
      <c r="BV1" s="21"/>
      <c r="BW1" s="21"/>
      <c r="BX1" s="21"/>
      <c r="BY1" s="21">
        <v>19</v>
      </c>
      <c r="BZ1" s="21"/>
      <c r="CA1" s="21"/>
      <c r="CB1" s="21"/>
      <c r="CC1" s="21">
        <v>20</v>
      </c>
      <c r="CD1" s="21"/>
      <c r="CE1" s="21"/>
      <c r="CF1" s="21"/>
      <c r="CG1" s="21">
        <v>21</v>
      </c>
      <c r="CH1" s="21"/>
      <c r="CI1" s="21"/>
      <c r="CJ1" s="21"/>
      <c r="CK1" s="21">
        <v>22</v>
      </c>
      <c r="CL1" s="21"/>
      <c r="CM1" s="21"/>
      <c r="CN1" s="21"/>
      <c r="CO1" s="21">
        <v>23</v>
      </c>
      <c r="CP1" s="21"/>
      <c r="CQ1" s="21"/>
      <c r="CR1" s="21"/>
      <c r="CS1" s="21">
        <v>24</v>
      </c>
      <c r="CT1" s="21"/>
      <c r="CU1" s="21"/>
      <c r="CV1" s="21"/>
      <c r="CW1" s="21">
        <v>25</v>
      </c>
      <c r="CX1" s="21"/>
      <c r="CY1" s="21"/>
      <c r="CZ1" s="21"/>
      <c r="DA1" s="21">
        <v>26</v>
      </c>
      <c r="DB1" s="21"/>
      <c r="DC1" s="21"/>
      <c r="DD1" s="21"/>
      <c r="DE1" s="21">
        <v>27</v>
      </c>
      <c r="DF1" s="21"/>
      <c r="DG1" s="21"/>
      <c r="DH1" s="21"/>
      <c r="DI1" s="21">
        <v>28</v>
      </c>
      <c r="DJ1" s="21"/>
      <c r="DK1" s="21"/>
      <c r="DL1" s="21"/>
      <c r="DM1" s="21">
        <v>29</v>
      </c>
      <c r="DN1" s="21"/>
      <c r="DO1" s="21"/>
      <c r="DP1" s="21"/>
      <c r="DQ1" s="21">
        <v>30</v>
      </c>
      <c r="DR1" s="21"/>
      <c r="DS1" s="21"/>
      <c r="DT1" s="21"/>
      <c r="DU1" s="21">
        <v>31</v>
      </c>
      <c r="DV1" s="21"/>
      <c r="DW1" s="21"/>
      <c r="DX1" s="21"/>
      <c r="DY1" s="18"/>
      <c r="DZ1" s="18"/>
    </row>
    <row r="2" spans="1:130" s="3" customFormat="1" ht="21">
      <c r="A2" s="22"/>
      <c r="B2" s="24"/>
      <c r="C2" s="24"/>
      <c r="D2" s="25"/>
      <c r="E2" s="4" t="s">
        <v>5</v>
      </c>
      <c r="F2" s="4" t="s">
        <v>6</v>
      </c>
      <c r="G2" s="4" t="s">
        <v>7</v>
      </c>
      <c r="H2" s="4" t="s">
        <v>8</v>
      </c>
      <c r="I2" s="4" t="s">
        <v>5</v>
      </c>
      <c r="J2" s="4" t="s">
        <v>6</v>
      </c>
      <c r="K2" s="4" t="s">
        <v>7</v>
      </c>
      <c r="L2" s="4" t="s">
        <v>8</v>
      </c>
      <c r="M2" s="4" t="s">
        <v>5</v>
      </c>
      <c r="N2" s="4" t="s">
        <v>6</v>
      </c>
      <c r="O2" s="4" t="s">
        <v>7</v>
      </c>
      <c r="P2" s="4" t="s">
        <v>8</v>
      </c>
      <c r="Q2" s="4" t="s">
        <v>5</v>
      </c>
      <c r="R2" s="4" t="s">
        <v>6</v>
      </c>
      <c r="S2" s="4" t="s">
        <v>7</v>
      </c>
      <c r="T2" s="4" t="s">
        <v>8</v>
      </c>
      <c r="U2" s="4" t="s">
        <v>5</v>
      </c>
      <c r="V2" s="4" t="s">
        <v>6</v>
      </c>
      <c r="W2" s="4" t="s">
        <v>7</v>
      </c>
      <c r="X2" s="4" t="s">
        <v>8</v>
      </c>
      <c r="Y2" s="4" t="s">
        <v>5</v>
      </c>
      <c r="Z2" s="4" t="s">
        <v>6</v>
      </c>
      <c r="AA2" s="4" t="s">
        <v>7</v>
      </c>
      <c r="AB2" s="4" t="s">
        <v>8</v>
      </c>
      <c r="AC2" s="4" t="s">
        <v>5</v>
      </c>
      <c r="AD2" s="4" t="s">
        <v>6</v>
      </c>
      <c r="AE2" s="4" t="s">
        <v>7</v>
      </c>
      <c r="AF2" s="4" t="s">
        <v>8</v>
      </c>
      <c r="AG2" s="4" t="s">
        <v>5</v>
      </c>
      <c r="AH2" s="4" t="s">
        <v>6</v>
      </c>
      <c r="AI2" s="4" t="s">
        <v>7</v>
      </c>
      <c r="AJ2" s="4" t="s">
        <v>8</v>
      </c>
      <c r="AK2" s="4" t="s">
        <v>5</v>
      </c>
      <c r="AL2" s="4" t="s">
        <v>6</v>
      </c>
      <c r="AM2" s="4" t="s">
        <v>7</v>
      </c>
      <c r="AN2" s="4" t="s">
        <v>8</v>
      </c>
      <c r="AO2" s="4" t="s">
        <v>5</v>
      </c>
      <c r="AP2" s="4" t="s">
        <v>6</v>
      </c>
      <c r="AQ2" s="4" t="s">
        <v>7</v>
      </c>
      <c r="AR2" s="4" t="s">
        <v>8</v>
      </c>
      <c r="AS2" s="4" t="s">
        <v>5</v>
      </c>
      <c r="AT2" s="4" t="s">
        <v>6</v>
      </c>
      <c r="AU2" s="4" t="s">
        <v>7</v>
      </c>
      <c r="AV2" s="4" t="s">
        <v>8</v>
      </c>
      <c r="AW2" s="4" t="s">
        <v>5</v>
      </c>
      <c r="AX2" s="4" t="s">
        <v>6</v>
      </c>
      <c r="AY2" s="4" t="s">
        <v>7</v>
      </c>
      <c r="AZ2" s="4" t="s">
        <v>8</v>
      </c>
      <c r="BA2" s="4" t="s">
        <v>5</v>
      </c>
      <c r="BB2" s="4" t="s">
        <v>6</v>
      </c>
      <c r="BC2" s="4" t="s">
        <v>7</v>
      </c>
      <c r="BD2" s="4" t="s">
        <v>8</v>
      </c>
      <c r="BE2" s="4" t="s">
        <v>5</v>
      </c>
      <c r="BF2" s="4" t="s">
        <v>6</v>
      </c>
      <c r="BG2" s="4" t="s">
        <v>7</v>
      </c>
      <c r="BH2" s="4" t="s">
        <v>8</v>
      </c>
      <c r="BI2" s="4" t="s">
        <v>5</v>
      </c>
      <c r="BJ2" s="4" t="s">
        <v>6</v>
      </c>
      <c r="BK2" s="4" t="s">
        <v>7</v>
      </c>
      <c r="BL2" s="4" t="s">
        <v>8</v>
      </c>
      <c r="BM2" s="4" t="s">
        <v>5</v>
      </c>
      <c r="BN2" s="4" t="s">
        <v>6</v>
      </c>
      <c r="BO2" s="4" t="s">
        <v>7</v>
      </c>
      <c r="BP2" s="4" t="s">
        <v>8</v>
      </c>
      <c r="BQ2" s="4" t="s">
        <v>5</v>
      </c>
      <c r="BR2" s="4" t="s">
        <v>6</v>
      </c>
      <c r="BS2" s="4" t="s">
        <v>7</v>
      </c>
      <c r="BT2" s="4" t="s">
        <v>8</v>
      </c>
      <c r="BU2" s="4" t="s">
        <v>5</v>
      </c>
      <c r="BV2" s="4" t="s">
        <v>6</v>
      </c>
      <c r="BW2" s="4" t="s">
        <v>7</v>
      </c>
      <c r="BX2" s="4" t="s">
        <v>8</v>
      </c>
      <c r="BY2" s="4" t="s">
        <v>5</v>
      </c>
      <c r="BZ2" s="4" t="s">
        <v>6</v>
      </c>
      <c r="CA2" s="4" t="s">
        <v>7</v>
      </c>
      <c r="CB2" s="4" t="s">
        <v>8</v>
      </c>
      <c r="CC2" s="4" t="s">
        <v>5</v>
      </c>
      <c r="CD2" s="4" t="s">
        <v>6</v>
      </c>
      <c r="CE2" s="4" t="s">
        <v>7</v>
      </c>
      <c r="CF2" s="4" t="s">
        <v>8</v>
      </c>
      <c r="CG2" s="4" t="s">
        <v>5</v>
      </c>
      <c r="CH2" s="4" t="s">
        <v>6</v>
      </c>
      <c r="CI2" s="4" t="s">
        <v>7</v>
      </c>
      <c r="CJ2" s="4" t="s">
        <v>8</v>
      </c>
      <c r="CK2" s="4" t="s">
        <v>5</v>
      </c>
      <c r="CL2" s="4" t="s">
        <v>6</v>
      </c>
      <c r="CM2" s="4" t="s">
        <v>7</v>
      </c>
      <c r="CN2" s="4" t="s">
        <v>8</v>
      </c>
      <c r="CO2" s="4" t="s">
        <v>5</v>
      </c>
      <c r="CP2" s="4" t="s">
        <v>6</v>
      </c>
      <c r="CQ2" s="4" t="s">
        <v>7</v>
      </c>
      <c r="CR2" s="4" t="s">
        <v>8</v>
      </c>
      <c r="CS2" s="4" t="s">
        <v>5</v>
      </c>
      <c r="CT2" s="4" t="s">
        <v>6</v>
      </c>
      <c r="CU2" s="4" t="s">
        <v>7</v>
      </c>
      <c r="CV2" s="4" t="s">
        <v>8</v>
      </c>
      <c r="CW2" s="4" t="s">
        <v>5</v>
      </c>
      <c r="CX2" s="4" t="s">
        <v>6</v>
      </c>
      <c r="CY2" s="4" t="s">
        <v>7</v>
      </c>
      <c r="CZ2" s="4" t="s">
        <v>8</v>
      </c>
      <c r="DA2" s="4" t="s">
        <v>5</v>
      </c>
      <c r="DB2" s="4" t="s">
        <v>6</v>
      </c>
      <c r="DC2" s="4" t="s">
        <v>7</v>
      </c>
      <c r="DD2" s="4" t="s">
        <v>8</v>
      </c>
      <c r="DE2" s="4" t="s">
        <v>5</v>
      </c>
      <c r="DF2" s="4" t="s">
        <v>6</v>
      </c>
      <c r="DG2" s="4" t="s">
        <v>7</v>
      </c>
      <c r="DH2" s="4" t="s">
        <v>8</v>
      </c>
      <c r="DI2" s="4" t="s">
        <v>5</v>
      </c>
      <c r="DJ2" s="4" t="s">
        <v>6</v>
      </c>
      <c r="DK2" s="4" t="s">
        <v>7</v>
      </c>
      <c r="DL2" s="4" t="s">
        <v>8</v>
      </c>
      <c r="DM2" s="4" t="s">
        <v>5</v>
      </c>
      <c r="DN2" s="4" t="s">
        <v>6</v>
      </c>
      <c r="DO2" s="4" t="s">
        <v>7</v>
      </c>
      <c r="DP2" s="4" t="s">
        <v>8</v>
      </c>
      <c r="DQ2" s="4" t="s">
        <v>5</v>
      </c>
      <c r="DR2" s="4" t="s">
        <v>6</v>
      </c>
      <c r="DS2" s="4" t="s">
        <v>7</v>
      </c>
      <c r="DT2" s="4" t="s">
        <v>8</v>
      </c>
      <c r="DU2" s="4" t="s">
        <v>5</v>
      </c>
      <c r="DV2" s="4" t="s">
        <v>6</v>
      </c>
      <c r="DW2" s="4" t="s">
        <v>7</v>
      </c>
      <c r="DX2" s="4" t="s">
        <v>8</v>
      </c>
      <c r="DY2" s="17" t="s">
        <v>53</v>
      </c>
      <c r="DZ2" s="17" t="s">
        <v>49</v>
      </c>
    </row>
    <row r="3" spans="1:130" ht="18" customHeight="1">
      <c r="A3" s="5">
        <v>1</v>
      </c>
      <c r="B3" s="6" t="s">
        <v>9</v>
      </c>
      <c r="C3" s="7" t="s">
        <v>10</v>
      </c>
      <c r="D3" s="7">
        <v>0.3</v>
      </c>
      <c r="E3" s="8"/>
      <c r="F3" s="8"/>
      <c r="G3" s="8"/>
      <c r="H3" s="8">
        <v>20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>
        <v>20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>
        <v>30</v>
      </c>
      <c r="AK3" s="8"/>
      <c r="AL3" s="8"/>
      <c r="AM3" s="8"/>
      <c r="AN3" s="8"/>
      <c r="AO3" s="8"/>
      <c r="AP3" s="8"/>
      <c r="AQ3" s="8"/>
      <c r="AR3" s="8"/>
      <c r="AS3" s="8">
        <v>6</v>
      </c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>
        <v>7</v>
      </c>
      <c r="BI3" s="8"/>
      <c r="BJ3" s="8"/>
      <c r="BK3" s="8"/>
      <c r="BL3" s="8"/>
      <c r="BM3" s="8">
        <v>4</v>
      </c>
      <c r="BN3" s="8"/>
      <c r="BO3" s="8"/>
      <c r="BP3" s="8">
        <v>14</v>
      </c>
      <c r="BQ3" s="8"/>
      <c r="BR3" s="8"/>
      <c r="BS3" s="8"/>
      <c r="BT3" s="8"/>
      <c r="BU3" s="8"/>
      <c r="BV3" s="8"/>
      <c r="BW3" s="8"/>
      <c r="BX3" s="8"/>
      <c r="BY3" s="8">
        <v>8</v>
      </c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>
        <v>5</v>
      </c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>
        <v>7</v>
      </c>
      <c r="CX3" s="8"/>
      <c r="CY3" s="8"/>
      <c r="CZ3" s="8"/>
      <c r="DA3" s="8">
        <v>4</v>
      </c>
      <c r="DB3" s="8"/>
      <c r="DC3" s="8"/>
      <c r="DD3" s="8"/>
      <c r="DE3" s="8"/>
      <c r="DF3" s="8"/>
      <c r="DG3" s="8"/>
      <c r="DH3" s="8">
        <v>10</v>
      </c>
      <c r="DI3" s="8"/>
      <c r="DJ3" s="8"/>
      <c r="DK3" s="8"/>
      <c r="DL3" s="8">
        <v>10</v>
      </c>
      <c r="DM3" s="8"/>
      <c r="DN3" s="8"/>
      <c r="DO3" s="8"/>
      <c r="DP3" s="8">
        <v>11</v>
      </c>
      <c r="DQ3" s="8"/>
      <c r="DR3" s="8"/>
      <c r="DS3" s="8"/>
      <c r="DT3" s="8"/>
      <c r="DU3" s="8"/>
      <c r="DV3" s="8">
        <v>1</v>
      </c>
      <c r="DW3" s="8"/>
      <c r="DX3" s="8"/>
      <c r="DY3" s="19">
        <f>SUM(E3:DX3)</f>
        <v>157</v>
      </c>
      <c r="DZ3" s="20">
        <f>DY3*D3</f>
        <v>47.1</v>
      </c>
    </row>
    <row r="4" spans="1:130" ht="18" customHeight="1">
      <c r="A4" s="5">
        <v>2</v>
      </c>
      <c r="B4" s="6" t="s">
        <v>11</v>
      </c>
      <c r="C4" s="7" t="s">
        <v>10</v>
      </c>
      <c r="D4" s="7">
        <v>0.5</v>
      </c>
      <c r="E4" s="8"/>
      <c r="F4" s="8"/>
      <c r="G4" s="8"/>
      <c r="H4" s="8">
        <v>2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2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>
        <v>10</v>
      </c>
      <c r="AK4" s="8"/>
      <c r="AL4" s="8"/>
      <c r="AM4" s="8"/>
      <c r="AN4" s="8"/>
      <c r="AO4" s="8"/>
      <c r="AP4" s="8"/>
      <c r="AQ4" s="8"/>
      <c r="AR4" s="8"/>
      <c r="AS4" s="8">
        <v>1</v>
      </c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>
        <v>2</v>
      </c>
      <c r="BI4" s="8"/>
      <c r="BJ4" s="8"/>
      <c r="BK4" s="8"/>
      <c r="BL4" s="8"/>
      <c r="BM4" s="8"/>
      <c r="BN4" s="8"/>
      <c r="BO4" s="8"/>
      <c r="BP4" s="8">
        <v>2</v>
      </c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>
        <v>1</v>
      </c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>
        <v>4</v>
      </c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>
        <v>2</v>
      </c>
      <c r="DM4" s="8"/>
      <c r="DN4" s="8"/>
      <c r="DO4" s="8"/>
      <c r="DP4" s="8">
        <v>1</v>
      </c>
      <c r="DQ4" s="8"/>
      <c r="DR4" s="8"/>
      <c r="DS4" s="8"/>
      <c r="DT4" s="8"/>
      <c r="DU4" s="8"/>
      <c r="DV4" s="8">
        <v>3</v>
      </c>
      <c r="DW4" s="8"/>
      <c r="DX4" s="8"/>
      <c r="DY4" s="19">
        <f>SUM(E4:DX4)</f>
        <v>30</v>
      </c>
      <c r="DZ4" s="20">
        <f t="shared" ref="DZ4:DZ35" si="0">DY4*D4</f>
        <v>15</v>
      </c>
    </row>
    <row r="5" spans="1:130" ht="18" customHeight="1">
      <c r="A5" s="5">
        <v>3</v>
      </c>
      <c r="B5" s="6" t="s">
        <v>12</v>
      </c>
      <c r="C5" s="7" t="s">
        <v>13</v>
      </c>
      <c r="D5" s="7">
        <v>1</v>
      </c>
      <c r="E5" s="8"/>
      <c r="F5" s="8"/>
      <c r="G5" s="8"/>
      <c r="H5" s="8">
        <v>20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10</v>
      </c>
      <c r="U5" s="8"/>
      <c r="V5" s="8">
        <v>20</v>
      </c>
      <c r="W5" s="8"/>
      <c r="X5" s="8"/>
      <c r="Y5" s="8"/>
      <c r="Z5" s="8">
        <v>20</v>
      </c>
      <c r="AA5" s="8"/>
      <c r="AB5" s="8"/>
      <c r="AC5" s="8"/>
      <c r="AD5" s="8">
        <v>20</v>
      </c>
      <c r="AE5" s="8"/>
      <c r="AF5" s="8"/>
      <c r="AG5" s="8"/>
      <c r="AH5" s="8"/>
      <c r="AI5" s="8"/>
      <c r="AJ5" s="8">
        <v>15</v>
      </c>
      <c r="AK5" s="8"/>
      <c r="AL5" s="8"/>
      <c r="AM5" s="8"/>
      <c r="AN5" s="8"/>
      <c r="AO5" s="8"/>
      <c r="AP5" s="8">
        <v>20</v>
      </c>
      <c r="AQ5" s="8"/>
      <c r="AR5" s="8"/>
      <c r="AS5" s="8">
        <v>2</v>
      </c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>
        <v>5</v>
      </c>
      <c r="BI5" s="8"/>
      <c r="BJ5" s="8">
        <v>4</v>
      </c>
      <c r="BK5" s="8"/>
      <c r="BL5" s="8"/>
      <c r="BM5" s="8"/>
      <c r="BN5" s="8"/>
      <c r="BO5" s="8"/>
      <c r="BP5" s="8">
        <v>3</v>
      </c>
      <c r="BQ5" s="8"/>
      <c r="BR5" s="8">
        <v>3</v>
      </c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>
        <v>2</v>
      </c>
      <c r="CE5" s="8"/>
      <c r="CF5" s="8"/>
      <c r="CG5" s="8"/>
      <c r="CH5" s="8">
        <v>3</v>
      </c>
      <c r="CI5" s="8"/>
      <c r="CJ5" s="8"/>
      <c r="CK5" s="8">
        <v>4</v>
      </c>
      <c r="CL5" s="8"/>
      <c r="CM5" s="8"/>
      <c r="CN5" s="8"/>
      <c r="CO5" s="8"/>
      <c r="CP5" s="8"/>
      <c r="CQ5" s="8"/>
      <c r="CR5" s="8"/>
      <c r="CS5" s="8"/>
      <c r="CT5" s="8">
        <v>1</v>
      </c>
      <c r="CU5" s="8"/>
      <c r="CV5" s="8"/>
      <c r="CW5" s="8">
        <v>2</v>
      </c>
      <c r="CX5" s="8"/>
      <c r="CY5" s="8"/>
      <c r="CZ5" s="8"/>
      <c r="DA5" s="8">
        <v>3</v>
      </c>
      <c r="DB5" s="8"/>
      <c r="DC5" s="8"/>
      <c r="DD5" s="8"/>
      <c r="DE5" s="8"/>
      <c r="DF5" s="8"/>
      <c r="DG5" s="8"/>
      <c r="DH5" s="8">
        <v>4</v>
      </c>
      <c r="DI5" s="8"/>
      <c r="DJ5" s="8"/>
      <c r="DK5" s="8"/>
      <c r="DL5" s="8">
        <v>3</v>
      </c>
      <c r="DM5" s="8"/>
      <c r="DN5" s="8"/>
      <c r="DO5" s="8"/>
      <c r="DP5" s="8">
        <v>1</v>
      </c>
      <c r="DQ5" s="8"/>
      <c r="DR5" s="8"/>
      <c r="DS5" s="8"/>
      <c r="DT5" s="8"/>
      <c r="DU5" s="8"/>
      <c r="DV5" s="8">
        <v>4</v>
      </c>
      <c r="DW5" s="8"/>
      <c r="DX5" s="8"/>
      <c r="DY5" s="19">
        <f>SUM(F5:DX5)</f>
        <v>169</v>
      </c>
      <c r="DZ5" s="20">
        <f t="shared" si="0"/>
        <v>169</v>
      </c>
    </row>
    <row r="6" spans="1:130" ht="18" customHeight="1">
      <c r="A6" s="5">
        <v>4</v>
      </c>
      <c r="B6" s="6" t="s">
        <v>14</v>
      </c>
      <c r="C6" s="7" t="s">
        <v>13</v>
      </c>
      <c r="D6" s="7">
        <v>0.7</v>
      </c>
      <c r="E6" s="8"/>
      <c r="F6" s="8"/>
      <c r="G6" s="8"/>
      <c r="H6" s="8">
        <v>10</v>
      </c>
      <c r="I6" s="8"/>
      <c r="J6" s="8"/>
      <c r="K6" s="8"/>
      <c r="L6" s="8"/>
      <c r="M6" s="8"/>
      <c r="N6" s="8">
        <v>21</v>
      </c>
      <c r="O6" s="8"/>
      <c r="P6" s="8"/>
      <c r="Q6" s="8"/>
      <c r="R6" s="8"/>
      <c r="S6" s="8"/>
      <c r="T6" s="8">
        <v>8</v>
      </c>
      <c r="U6" s="8"/>
      <c r="V6" s="8"/>
      <c r="W6" s="8"/>
      <c r="X6" s="8"/>
      <c r="Y6" s="8"/>
      <c r="Z6" s="8">
        <v>5</v>
      </c>
      <c r="AA6" s="8"/>
      <c r="AB6" s="8"/>
      <c r="AC6" s="8"/>
      <c r="AD6" s="8">
        <v>5</v>
      </c>
      <c r="AE6" s="8"/>
      <c r="AF6" s="8"/>
      <c r="AG6" s="8"/>
      <c r="AH6" s="8"/>
      <c r="AI6" s="8"/>
      <c r="AJ6" s="8">
        <v>10</v>
      </c>
      <c r="AK6" s="8"/>
      <c r="AL6" s="8"/>
      <c r="AM6" s="8"/>
      <c r="AN6" s="8"/>
      <c r="AO6" s="8"/>
      <c r="AP6" s="8">
        <v>10</v>
      </c>
      <c r="AQ6" s="8"/>
      <c r="AR6" s="8"/>
      <c r="AS6" s="8">
        <v>1</v>
      </c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>
        <v>2</v>
      </c>
      <c r="BI6" s="8"/>
      <c r="BJ6" s="8">
        <v>1</v>
      </c>
      <c r="BK6" s="8"/>
      <c r="BL6" s="8"/>
      <c r="BM6" s="8">
        <v>2</v>
      </c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>
        <v>2</v>
      </c>
      <c r="CE6" s="8"/>
      <c r="CF6" s="8"/>
      <c r="CG6" s="8"/>
      <c r="CH6" s="8">
        <v>2</v>
      </c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>
        <v>6</v>
      </c>
      <c r="CU6" s="8"/>
      <c r="CV6" s="8"/>
      <c r="CW6" s="8">
        <v>1</v>
      </c>
      <c r="CX6" s="8"/>
      <c r="CY6" s="8"/>
      <c r="CZ6" s="8"/>
      <c r="DA6" s="8"/>
      <c r="DB6" s="8"/>
      <c r="DC6" s="8"/>
      <c r="DD6" s="8"/>
      <c r="DE6" s="8"/>
      <c r="DF6" s="8"/>
      <c r="DG6" s="8"/>
      <c r="DH6" s="8">
        <v>3</v>
      </c>
      <c r="DI6" s="8"/>
      <c r="DJ6" s="8"/>
      <c r="DK6" s="8"/>
      <c r="DL6" s="8">
        <v>1</v>
      </c>
      <c r="DM6" s="8"/>
      <c r="DN6" s="8"/>
      <c r="DO6" s="8"/>
      <c r="DP6" s="8">
        <v>3</v>
      </c>
      <c r="DQ6" s="8"/>
      <c r="DR6" s="8"/>
      <c r="DS6" s="8"/>
      <c r="DT6" s="8"/>
      <c r="DU6" s="8"/>
      <c r="DV6" s="8">
        <v>5</v>
      </c>
      <c r="DW6" s="8"/>
      <c r="DX6" s="8"/>
      <c r="DY6" s="19">
        <f t="shared" ref="DY6:DY18" si="1">SUM(E6:DX6)</f>
        <v>98</v>
      </c>
      <c r="DZ6" s="20">
        <f t="shared" si="0"/>
        <v>68.599999999999994</v>
      </c>
    </row>
    <row r="7" spans="1:130" ht="18" customHeight="1">
      <c r="A7" s="5">
        <v>5</v>
      </c>
      <c r="B7" s="6" t="s">
        <v>15</v>
      </c>
      <c r="C7" s="7" t="s">
        <v>13</v>
      </c>
      <c r="D7" s="7">
        <v>1.2</v>
      </c>
      <c r="E7" s="8"/>
      <c r="F7" s="8"/>
      <c r="G7" s="8"/>
      <c r="H7" s="8"/>
      <c r="I7" s="8"/>
      <c r="J7" s="8"/>
      <c r="K7" s="8"/>
      <c r="L7" s="8"/>
      <c r="M7" s="8"/>
      <c r="N7" s="8">
        <v>5</v>
      </c>
      <c r="O7" s="8"/>
      <c r="P7" s="8"/>
      <c r="Q7" s="8"/>
      <c r="R7" s="8"/>
      <c r="S7" s="8"/>
      <c r="T7" s="8">
        <v>4</v>
      </c>
      <c r="U7" s="8"/>
      <c r="V7" s="8">
        <v>6</v>
      </c>
      <c r="W7" s="8"/>
      <c r="X7" s="8"/>
      <c r="Y7" s="8"/>
      <c r="Z7" s="8">
        <v>6</v>
      </c>
      <c r="AA7" s="8"/>
      <c r="AB7" s="8"/>
      <c r="AC7" s="8"/>
      <c r="AD7" s="8">
        <v>5</v>
      </c>
      <c r="AE7" s="8"/>
      <c r="AF7" s="8"/>
      <c r="AG7" s="8"/>
      <c r="AH7" s="8"/>
      <c r="AI7" s="8"/>
      <c r="AJ7" s="8">
        <v>7</v>
      </c>
      <c r="AK7" s="8"/>
      <c r="AL7" s="8"/>
      <c r="AM7" s="8"/>
      <c r="AN7" s="8"/>
      <c r="AO7" s="8"/>
      <c r="AP7" s="8">
        <v>5</v>
      </c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19">
        <f t="shared" si="1"/>
        <v>38</v>
      </c>
      <c r="DZ7" s="20">
        <f t="shared" si="0"/>
        <v>45.6</v>
      </c>
    </row>
    <row r="8" spans="1:130" ht="18" customHeight="1">
      <c r="A8" s="5">
        <v>6</v>
      </c>
      <c r="B8" s="6" t="s">
        <v>16</v>
      </c>
      <c r="C8" s="7" t="s">
        <v>13</v>
      </c>
      <c r="D8" s="7">
        <v>1</v>
      </c>
      <c r="E8" s="8"/>
      <c r="F8" s="8"/>
      <c r="G8" s="8"/>
      <c r="H8" s="8"/>
      <c r="I8" s="8"/>
      <c r="J8" s="8"/>
      <c r="K8" s="8"/>
      <c r="L8" s="8"/>
      <c r="M8" s="8"/>
      <c r="N8" s="8">
        <v>10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>
        <v>2</v>
      </c>
      <c r="AE8" s="8"/>
      <c r="AF8" s="8"/>
      <c r="AG8" s="8"/>
      <c r="AH8" s="8"/>
      <c r="AI8" s="8"/>
      <c r="AJ8" s="8">
        <v>2</v>
      </c>
      <c r="AK8" s="8"/>
      <c r="AL8" s="8"/>
      <c r="AM8" s="8"/>
      <c r="AN8" s="8"/>
      <c r="AO8" s="8"/>
      <c r="AP8" s="8">
        <v>3</v>
      </c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19">
        <f t="shared" si="1"/>
        <v>17</v>
      </c>
      <c r="DZ8" s="20">
        <f t="shared" si="0"/>
        <v>17</v>
      </c>
    </row>
    <row r="9" spans="1:130" ht="18" customHeight="1">
      <c r="A9" s="5">
        <v>7</v>
      </c>
      <c r="B9" s="6" t="s">
        <v>17</v>
      </c>
      <c r="C9" s="7" t="s">
        <v>13</v>
      </c>
      <c r="D9" s="7">
        <v>2</v>
      </c>
      <c r="E9" s="8"/>
      <c r="F9" s="8"/>
      <c r="G9" s="8"/>
      <c r="H9" s="8"/>
      <c r="I9" s="8"/>
      <c r="J9" s="8"/>
      <c r="K9" s="8"/>
      <c r="L9" s="8"/>
      <c r="M9" s="8"/>
      <c r="N9" s="8">
        <v>2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19">
        <f t="shared" si="1"/>
        <v>2</v>
      </c>
      <c r="DZ9" s="20">
        <f t="shared" si="0"/>
        <v>4</v>
      </c>
    </row>
    <row r="10" spans="1:130" ht="18" customHeight="1">
      <c r="A10" s="5">
        <v>8</v>
      </c>
      <c r="B10" s="6" t="s">
        <v>18</v>
      </c>
      <c r="C10" s="7" t="s">
        <v>13</v>
      </c>
      <c r="D10" s="7">
        <v>2</v>
      </c>
      <c r="E10" s="8"/>
      <c r="F10" s="8"/>
      <c r="G10" s="8"/>
      <c r="H10" s="8">
        <v>1</v>
      </c>
      <c r="I10" s="8"/>
      <c r="J10" s="8"/>
      <c r="K10" s="8"/>
      <c r="L10" s="8"/>
      <c r="M10" s="8"/>
      <c r="N10" s="8">
        <v>1</v>
      </c>
      <c r="O10" s="8"/>
      <c r="P10" s="8"/>
      <c r="Q10" s="8"/>
      <c r="R10" s="8"/>
      <c r="S10" s="8"/>
      <c r="T10" s="8">
        <v>1</v>
      </c>
      <c r="U10" s="8"/>
      <c r="V10" s="8">
        <v>1</v>
      </c>
      <c r="W10" s="8"/>
      <c r="X10" s="8"/>
      <c r="Y10" s="8"/>
      <c r="Z10" s="8">
        <v>1</v>
      </c>
      <c r="AA10" s="8"/>
      <c r="AB10" s="8"/>
      <c r="AC10" s="8"/>
      <c r="AD10" s="8">
        <v>1</v>
      </c>
      <c r="AE10" s="8"/>
      <c r="AF10" s="8"/>
      <c r="AG10" s="8"/>
      <c r="AH10" s="8"/>
      <c r="AI10" s="8"/>
      <c r="AJ10" s="8">
        <v>1</v>
      </c>
      <c r="AK10" s="8"/>
      <c r="AL10" s="8"/>
      <c r="AM10" s="8"/>
      <c r="AN10" s="8"/>
      <c r="AO10" s="8"/>
      <c r="AP10" s="8">
        <v>1</v>
      </c>
      <c r="AQ10" s="8"/>
      <c r="AR10" s="8"/>
      <c r="AS10" s="8">
        <v>1</v>
      </c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>
        <v>1</v>
      </c>
      <c r="BI10" s="8"/>
      <c r="BJ10" s="8">
        <v>1</v>
      </c>
      <c r="BK10" s="8"/>
      <c r="BL10" s="8"/>
      <c r="BM10" s="8">
        <v>1</v>
      </c>
      <c r="BN10" s="8"/>
      <c r="BO10" s="8"/>
      <c r="BP10" s="8">
        <v>1</v>
      </c>
      <c r="BQ10" s="8"/>
      <c r="BR10" s="8">
        <v>1</v>
      </c>
      <c r="BS10" s="8"/>
      <c r="BT10" s="8"/>
      <c r="BU10" s="8"/>
      <c r="BV10" s="8"/>
      <c r="BW10" s="8"/>
      <c r="BX10" s="8"/>
      <c r="BY10" s="8">
        <v>1</v>
      </c>
      <c r="BZ10" s="8"/>
      <c r="CA10" s="8"/>
      <c r="CB10" s="8"/>
      <c r="CC10" s="8"/>
      <c r="CD10" s="8">
        <v>1</v>
      </c>
      <c r="CE10" s="8"/>
      <c r="CF10" s="8"/>
      <c r="CG10" s="8"/>
      <c r="CH10" s="8">
        <v>1</v>
      </c>
      <c r="CI10" s="8"/>
      <c r="CJ10" s="8"/>
      <c r="CK10" s="8">
        <v>1</v>
      </c>
      <c r="CL10" s="8"/>
      <c r="CM10" s="8"/>
      <c r="CN10" s="8"/>
      <c r="CO10" s="8"/>
      <c r="CP10" s="8"/>
      <c r="CQ10" s="8"/>
      <c r="CR10" s="8"/>
      <c r="CS10" s="8"/>
      <c r="CT10" s="8">
        <v>1</v>
      </c>
      <c r="CU10" s="8"/>
      <c r="CV10" s="8"/>
      <c r="CW10" s="8">
        <v>1</v>
      </c>
      <c r="CX10" s="8"/>
      <c r="CY10" s="8"/>
      <c r="CZ10" s="8"/>
      <c r="DA10" s="8">
        <v>1</v>
      </c>
      <c r="DB10" s="8"/>
      <c r="DC10" s="8"/>
      <c r="DD10" s="8"/>
      <c r="DE10" s="8"/>
      <c r="DF10" s="8"/>
      <c r="DG10" s="8"/>
      <c r="DH10" s="8">
        <v>1</v>
      </c>
      <c r="DI10" s="8"/>
      <c r="DJ10" s="8"/>
      <c r="DK10" s="8"/>
      <c r="DL10" s="8">
        <v>1</v>
      </c>
      <c r="DM10" s="8"/>
      <c r="DN10" s="8"/>
      <c r="DO10" s="8"/>
      <c r="DP10" s="8">
        <v>1</v>
      </c>
      <c r="DQ10" s="8"/>
      <c r="DR10" s="8"/>
      <c r="DS10" s="8"/>
      <c r="DT10" s="8"/>
      <c r="DU10" s="8"/>
      <c r="DV10" s="8">
        <v>1</v>
      </c>
      <c r="DW10" s="8"/>
      <c r="DX10" s="8"/>
      <c r="DY10" s="19">
        <f t="shared" si="1"/>
        <v>25</v>
      </c>
      <c r="DZ10" s="20">
        <f t="shared" si="0"/>
        <v>50</v>
      </c>
    </row>
    <row r="11" spans="1:130" ht="18" customHeight="1">
      <c r="A11" s="5">
        <v>9</v>
      </c>
      <c r="B11" s="6" t="s">
        <v>19</v>
      </c>
      <c r="C11" s="7" t="s">
        <v>20</v>
      </c>
      <c r="D11" s="7">
        <v>1</v>
      </c>
      <c r="E11" s="8"/>
      <c r="F11" s="8"/>
      <c r="G11" s="8"/>
      <c r="H11" s="8">
        <v>1</v>
      </c>
      <c r="I11" s="8"/>
      <c r="J11" s="8"/>
      <c r="K11" s="8"/>
      <c r="L11" s="8"/>
      <c r="M11" s="8"/>
      <c r="N11" s="8">
        <v>1</v>
      </c>
      <c r="O11" s="8"/>
      <c r="P11" s="8"/>
      <c r="Q11" s="8"/>
      <c r="R11" s="8"/>
      <c r="S11" s="8"/>
      <c r="T11" s="8">
        <v>1</v>
      </c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>
        <v>2</v>
      </c>
      <c r="AK11" s="8"/>
      <c r="AL11" s="8"/>
      <c r="AM11" s="8"/>
      <c r="AN11" s="8"/>
      <c r="AO11" s="8"/>
      <c r="AP11" s="8">
        <v>1</v>
      </c>
      <c r="AQ11" s="8"/>
      <c r="AR11" s="8"/>
      <c r="AS11" s="8">
        <v>1</v>
      </c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>
        <v>1</v>
      </c>
      <c r="BI11" s="8"/>
      <c r="BJ11" s="8">
        <v>1</v>
      </c>
      <c r="BK11" s="8"/>
      <c r="BL11" s="8"/>
      <c r="BM11" s="8">
        <v>1</v>
      </c>
      <c r="BN11" s="8"/>
      <c r="BO11" s="8"/>
      <c r="BP11" s="8">
        <v>1</v>
      </c>
      <c r="BQ11" s="8"/>
      <c r="BR11" s="8">
        <v>1</v>
      </c>
      <c r="BS11" s="8"/>
      <c r="BT11" s="8"/>
      <c r="BU11" s="8"/>
      <c r="BV11" s="8"/>
      <c r="BW11" s="8"/>
      <c r="BX11" s="8"/>
      <c r="BY11" s="8">
        <v>1</v>
      </c>
      <c r="BZ11" s="8"/>
      <c r="CA11" s="8"/>
      <c r="CB11" s="8"/>
      <c r="CC11" s="8"/>
      <c r="CD11" s="8">
        <v>1</v>
      </c>
      <c r="CE11" s="8"/>
      <c r="CF11" s="8"/>
      <c r="CG11" s="8"/>
      <c r="CH11" s="8">
        <v>1</v>
      </c>
      <c r="CI11" s="8"/>
      <c r="CJ11" s="8"/>
      <c r="CK11" s="8">
        <v>1</v>
      </c>
      <c r="CL11" s="8"/>
      <c r="CM11" s="8"/>
      <c r="CN11" s="8"/>
      <c r="CO11" s="8"/>
      <c r="CP11" s="8"/>
      <c r="CQ11" s="8"/>
      <c r="CR11" s="8"/>
      <c r="CS11" s="8"/>
      <c r="CT11" s="8">
        <v>1</v>
      </c>
      <c r="CU11" s="8"/>
      <c r="CV11" s="8"/>
      <c r="CW11" s="8">
        <v>1</v>
      </c>
      <c r="CX11" s="8"/>
      <c r="CY11" s="8"/>
      <c r="CZ11" s="8"/>
      <c r="DA11" s="8">
        <v>1</v>
      </c>
      <c r="DB11" s="8"/>
      <c r="DC11" s="8"/>
      <c r="DD11" s="8"/>
      <c r="DE11" s="8"/>
      <c r="DF11" s="8"/>
      <c r="DG11" s="8"/>
      <c r="DH11" s="8">
        <v>1</v>
      </c>
      <c r="DI11" s="8"/>
      <c r="DJ11" s="8"/>
      <c r="DK11" s="8"/>
      <c r="DL11" s="8">
        <v>1</v>
      </c>
      <c r="DM11" s="8"/>
      <c r="DN11" s="8"/>
      <c r="DO11" s="8"/>
      <c r="DP11" s="8">
        <v>1</v>
      </c>
      <c r="DQ11" s="8"/>
      <c r="DR11" s="8"/>
      <c r="DS11" s="8"/>
      <c r="DT11" s="8"/>
      <c r="DU11" s="8"/>
      <c r="DV11" s="8">
        <v>1</v>
      </c>
      <c r="DW11" s="8"/>
      <c r="DX11" s="8"/>
      <c r="DY11" s="19">
        <f t="shared" si="1"/>
        <v>23</v>
      </c>
      <c r="DZ11" s="20">
        <f t="shared" si="0"/>
        <v>23</v>
      </c>
    </row>
    <row r="12" spans="1:130" ht="18" customHeight="1">
      <c r="A12" s="5">
        <v>10</v>
      </c>
      <c r="B12" s="6" t="s">
        <v>21</v>
      </c>
      <c r="C12" s="7" t="s">
        <v>13</v>
      </c>
      <c r="D12" s="7">
        <v>0.5</v>
      </c>
      <c r="E12" s="8"/>
      <c r="F12" s="8"/>
      <c r="G12" s="8"/>
      <c r="H12" s="8">
        <v>1</v>
      </c>
      <c r="I12" s="8"/>
      <c r="J12" s="8"/>
      <c r="K12" s="8"/>
      <c r="L12" s="8"/>
      <c r="M12" s="8"/>
      <c r="N12" s="8">
        <v>1</v>
      </c>
      <c r="O12" s="8"/>
      <c r="P12" s="8"/>
      <c r="Q12" s="8"/>
      <c r="R12" s="8"/>
      <c r="S12" s="8"/>
      <c r="T12" s="8">
        <v>1</v>
      </c>
      <c r="U12" s="8"/>
      <c r="V12" s="8">
        <v>1</v>
      </c>
      <c r="W12" s="8"/>
      <c r="X12" s="8"/>
      <c r="Y12" s="8"/>
      <c r="Z12" s="8"/>
      <c r="AA12" s="8"/>
      <c r="AB12" s="8"/>
      <c r="AC12" s="8"/>
      <c r="AD12" s="8">
        <v>1</v>
      </c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>
        <v>3</v>
      </c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>
        <v>3</v>
      </c>
      <c r="BI12" s="8"/>
      <c r="BJ12" s="8">
        <v>3</v>
      </c>
      <c r="BK12" s="8"/>
      <c r="BL12" s="8"/>
      <c r="BM12" s="8">
        <v>3</v>
      </c>
      <c r="BN12" s="8"/>
      <c r="BO12" s="8"/>
      <c r="BP12" s="8">
        <v>3</v>
      </c>
      <c r="BQ12" s="8"/>
      <c r="BR12" s="8">
        <v>3</v>
      </c>
      <c r="BS12" s="8"/>
      <c r="BT12" s="8"/>
      <c r="BU12" s="8"/>
      <c r="BV12" s="8"/>
      <c r="BW12" s="8"/>
      <c r="BX12" s="8"/>
      <c r="BY12" s="8">
        <v>3</v>
      </c>
      <c r="BZ12" s="8"/>
      <c r="CA12" s="8"/>
      <c r="CB12" s="8"/>
      <c r="CC12" s="8"/>
      <c r="CD12" s="8">
        <v>3</v>
      </c>
      <c r="CE12" s="8"/>
      <c r="CF12" s="8"/>
      <c r="CG12" s="8"/>
      <c r="CH12" s="8">
        <v>3</v>
      </c>
      <c r="CI12" s="8"/>
      <c r="CJ12" s="8"/>
      <c r="CK12" s="8">
        <v>3</v>
      </c>
      <c r="CL12" s="8"/>
      <c r="CM12" s="8"/>
      <c r="CN12" s="8"/>
      <c r="CO12" s="8"/>
      <c r="CP12" s="8"/>
      <c r="CQ12" s="8"/>
      <c r="CR12" s="8"/>
      <c r="CS12" s="8"/>
      <c r="CT12" s="8">
        <v>3</v>
      </c>
      <c r="CU12" s="8"/>
      <c r="CV12" s="8"/>
      <c r="CW12" s="8">
        <v>3</v>
      </c>
      <c r="CX12" s="8"/>
      <c r="CY12" s="8"/>
      <c r="CZ12" s="8"/>
      <c r="DA12" s="8">
        <v>1</v>
      </c>
      <c r="DB12" s="8"/>
      <c r="DC12" s="8"/>
      <c r="DD12" s="8"/>
      <c r="DE12" s="8"/>
      <c r="DF12" s="8"/>
      <c r="DG12" s="8"/>
      <c r="DH12" s="8">
        <v>3</v>
      </c>
      <c r="DI12" s="8"/>
      <c r="DJ12" s="8"/>
      <c r="DK12" s="8"/>
      <c r="DL12" s="8">
        <v>3</v>
      </c>
      <c r="DM12" s="8"/>
      <c r="DN12" s="8"/>
      <c r="DO12" s="8"/>
      <c r="DP12" s="8">
        <v>3</v>
      </c>
      <c r="DQ12" s="8"/>
      <c r="DR12" s="8"/>
      <c r="DS12" s="8"/>
      <c r="DT12" s="8"/>
      <c r="DU12" s="8"/>
      <c r="DV12" s="8">
        <v>3</v>
      </c>
      <c r="DW12" s="8"/>
      <c r="DX12" s="8"/>
      <c r="DY12" s="19">
        <f t="shared" si="1"/>
        <v>54</v>
      </c>
      <c r="DZ12" s="20">
        <f t="shared" si="0"/>
        <v>27</v>
      </c>
    </row>
    <row r="13" spans="1:130" ht="18" customHeight="1">
      <c r="A13" s="5">
        <v>11</v>
      </c>
      <c r="B13" s="6" t="s">
        <v>22</v>
      </c>
      <c r="C13" s="7" t="s">
        <v>13</v>
      </c>
      <c r="D13" s="7">
        <v>1</v>
      </c>
      <c r="E13" s="8"/>
      <c r="F13" s="8"/>
      <c r="G13" s="8"/>
      <c r="H13" s="8">
        <v>1</v>
      </c>
      <c r="I13" s="8"/>
      <c r="J13" s="8"/>
      <c r="K13" s="8"/>
      <c r="L13" s="8"/>
      <c r="M13" s="8"/>
      <c r="N13" s="8">
        <v>1</v>
      </c>
      <c r="O13" s="8"/>
      <c r="P13" s="8"/>
      <c r="Q13" s="8"/>
      <c r="R13" s="8"/>
      <c r="S13" s="8"/>
      <c r="T13" s="8">
        <v>1</v>
      </c>
      <c r="U13" s="8"/>
      <c r="V13" s="8"/>
      <c r="W13" s="8"/>
      <c r="X13" s="8"/>
      <c r="Y13" s="8"/>
      <c r="Z13" s="8"/>
      <c r="AA13" s="8"/>
      <c r="AB13" s="8"/>
      <c r="AC13" s="8"/>
      <c r="AD13" s="8">
        <v>1</v>
      </c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19">
        <f t="shared" si="1"/>
        <v>4</v>
      </c>
      <c r="DZ13" s="20">
        <f t="shared" si="0"/>
        <v>4</v>
      </c>
    </row>
    <row r="14" spans="1:130" ht="18" customHeight="1">
      <c r="A14" s="5">
        <v>12</v>
      </c>
      <c r="B14" s="6" t="s">
        <v>23</v>
      </c>
      <c r="C14" s="7" t="s">
        <v>13</v>
      </c>
      <c r="D14" s="7">
        <v>1</v>
      </c>
      <c r="E14" s="8"/>
      <c r="F14" s="8"/>
      <c r="G14" s="8"/>
      <c r="H14" s="8">
        <v>1</v>
      </c>
      <c r="I14" s="8"/>
      <c r="J14" s="8"/>
      <c r="K14" s="8"/>
      <c r="L14" s="8"/>
      <c r="M14" s="8"/>
      <c r="N14" s="8">
        <v>1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>
        <v>1</v>
      </c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19">
        <f t="shared" si="1"/>
        <v>3</v>
      </c>
      <c r="DZ14" s="20">
        <f t="shared" si="0"/>
        <v>3</v>
      </c>
    </row>
    <row r="15" spans="1:130" ht="18" customHeight="1">
      <c r="A15" s="5">
        <v>13</v>
      </c>
      <c r="B15" s="6" t="s">
        <v>24</v>
      </c>
      <c r="C15" s="7" t="s">
        <v>10</v>
      </c>
      <c r="D15" s="7">
        <v>0.7</v>
      </c>
      <c r="E15" s="8"/>
      <c r="F15" s="8"/>
      <c r="G15" s="8"/>
      <c r="H15" s="8">
        <v>30</v>
      </c>
      <c r="I15" s="8"/>
      <c r="J15" s="8"/>
      <c r="K15" s="8"/>
      <c r="L15" s="8"/>
      <c r="M15" s="8"/>
      <c r="N15" s="8">
        <v>10</v>
      </c>
      <c r="O15" s="8"/>
      <c r="P15" s="8"/>
      <c r="Q15" s="8"/>
      <c r="R15" s="8"/>
      <c r="S15" s="8"/>
      <c r="T15" s="8">
        <v>40</v>
      </c>
      <c r="U15" s="8"/>
      <c r="V15" s="8">
        <v>5</v>
      </c>
      <c r="W15" s="8"/>
      <c r="X15" s="8"/>
      <c r="Y15" s="8"/>
      <c r="Z15" s="8">
        <v>5</v>
      </c>
      <c r="AA15" s="8"/>
      <c r="AB15" s="8"/>
      <c r="AC15" s="8"/>
      <c r="AD15" s="8">
        <v>7</v>
      </c>
      <c r="AE15" s="8"/>
      <c r="AF15" s="8"/>
      <c r="AG15" s="8"/>
      <c r="AH15" s="8"/>
      <c r="AI15" s="8"/>
      <c r="AJ15" s="8">
        <v>40</v>
      </c>
      <c r="AK15" s="8"/>
      <c r="AL15" s="8"/>
      <c r="AM15" s="8"/>
      <c r="AN15" s="8"/>
      <c r="AO15" s="8"/>
      <c r="AP15" s="8">
        <v>8</v>
      </c>
      <c r="AQ15" s="8"/>
      <c r="AR15" s="8"/>
      <c r="AS15" s="8">
        <v>8</v>
      </c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>
        <v>32</v>
      </c>
      <c r="BI15" s="8"/>
      <c r="BJ15" s="8">
        <v>50</v>
      </c>
      <c r="BK15" s="8"/>
      <c r="BL15" s="8"/>
      <c r="BM15" s="8">
        <v>6</v>
      </c>
      <c r="BN15" s="8"/>
      <c r="BO15" s="8"/>
      <c r="BP15" s="8">
        <v>24</v>
      </c>
      <c r="BQ15" s="8"/>
      <c r="BR15" s="8">
        <v>2</v>
      </c>
      <c r="BS15" s="8"/>
      <c r="BT15" s="8"/>
      <c r="BU15" s="8"/>
      <c r="BV15" s="8">
        <v>30</v>
      </c>
      <c r="BW15" s="8"/>
      <c r="BX15" s="8"/>
      <c r="BY15" s="8">
        <v>8</v>
      </c>
      <c r="BZ15" s="8"/>
      <c r="CA15" s="8"/>
      <c r="CB15" s="8"/>
      <c r="CC15" s="8"/>
      <c r="CD15" s="8">
        <v>2</v>
      </c>
      <c r="CE15" s="8"/>
      <c r="CF15" s="8"/>
      <c r="CG15" s="8"/>
      <c r="CH15" s="8">
        <v>4</v>
      </c>
      <c r="CI15" s="8"/>
      <c r="CJ15" s="8"/>
      <c r="CK15" s="8">
        <v>6</v>
      </c>
      <c r="CL15" s="8"/>
      <c r="CM15" s="8"/>
      <c r="CN15" s="8"/>
      <c r="CO15" s="8"/>
      <c r="CP15" s="8"/>
      <c r="CQ15" s="8"/>
      <c r="CR15" s="8"/>
      <c r="CS15" s="8"/>
      <c r="CT15" s="8">
        <v>20</v>
      </c>
      <c r="CU15" s="8"/>
      <c r="CV15" s="8"/>
      <c r="CW15" s="8">
        <v>10</v>
      </c>
      <c r="CX15" s="8"/>
      <c r="CY15" s="8"/>
      <c r="CZ15" s="8"/>
      <c r="DA15" s="8">
        <v>3</v>
      </c>
      <c r="DB15" s="8"/>
      <c r="DC15" s="8"/>
      <c r="DD15" s="8"/>
      <c r="DE15" s="8"/>
      <c r="DF15" s="8"/>
      <c r="DG15" s="8"/>
      <c r="DH15" s="8">
        <v>24</v>
      </c>
      <c r="DI15" s="8"/>
      <c r="DJ15" s="8"/>
      <c r="DK15" s="8"/>
      <c r="DL15" s="8" t="s">
        <v>52</v>
      </c>
      <c r="DM15" s="8"/>
      <c r="DN15" s="8"/>
      <c r="DO15" s="8"/>
      <c r="DP15" s="8">
        <v>15</v>
      </c>
      <c r="DQ15" s="8"/>
      <c r="DR15" s="8"/>
      <c r="DS15" s="8"/>
      <c r="DT15" s="8"/>
      <c r="DU15" s="8"/>
      <c r="DV15" s="8">
        <v>4</v>
      </c>
      <c r="DW15" s="8"/>
      <c r="DX15" s="8"/>
      <c r="DY15" s="19">
        <f t="shared" si="1"/>
        <v>393</v>
      </c>
      <c r="DZ15" s="20">
        <f t="shared" si="0"/>
        <v>275.09999999999997</v>
      </c>
    </row>
    <row r="16" spans="1:130" ht="18" customHeight="1">
      <c r="A16" s="5">
        <v>14</v>
      </c>
      <c r="B16" s="6" t="s">
        <v>25</v>
      </c>
      <c r="C16" s="7" t="s">
        <v>10</v>
      </c>
      <c r="D16" s="7">
        <v>0.3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>
        <v>2</v>
      </c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19">
        <f t="shared" si="1"/>
        <v>2</v>
      </c>
      <c r="DZ16" s="20">
        <f t="shared" si="0"/>
        <v>0.6</v>
      </c>
    </row>
    <row r="17" spans="1:130" ht="18" customHeight="1">
      <c r="A17" s="5">
        <v>15</v>
      </c>
      <c r="B17" s="6" t="s">
        <v>26</v>
      </c>
      <c r="C17" s="7" t="s">
        <v>10</v>
      </c>
      <c r="D17" s="7">
        <v>0.3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>
        <v>2</v>
      </c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19">
        <f t="shared" si="1"/>
        <v>2</v>
      </c>
      <c r="DZ17" s="20">
        <f t="shared" si="0"/>
        <v>0.6</v>
      </c>
    </row>
    <row r="18" spans="1:130" ht="18" customHeight="1">
      <c r="A18" s="5">
        <v>16</v>
      </c>
      <c r="B18" s="6" t="s">
        <v>27</v>
      </c>
      <c r="C18" s="7" t="s">
        <v>10</v>
      </c>
      <c r="D18" s="7">
        <v>0.5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>
        <v>1</v>
      </c>
      <c r="CE18" s="8"/>
      <c r="CF18" s="8"/>
      <c r="CG18" s="8"/>
      <c r="CH18" s="8">
        <v>1</v>
      </c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>
        <v>3</v>
      </c>
      <c r="DQ18" s="8"/>
      <c r="DR18" s="8"/>
      <c r="DS18" s="8"/>
      <c r="DT18" s="8"/>
      <c r="DU18" s="8"/>
      <c r="DV18" s="8">
        <v>2</v>
      </c>
      <c r="DW18" s="8"/>
      <c r="DX18" s="8"/>
      <c r="DY18" s="19">
        <f t="shared" si="1"/>
        <v>7</v>
      </c>
      <c r="DZ18" s="20">
        <f t="shared" si="0"/>
        <v>3.5</v>
      </c>
    </row>
    <row r="19" spans="1:130" ht="18" customHeight="1">
      <c r="A19" s="5">
        <v>17</v>
      </c>
      <c r="B19" s="6" t="s">
        <v>28</v>
      </c>
      <c r="C19" s="7" t="s">
        <v>13</v>
      </c>
      <c r="D19" s="7">
        <v>5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19">
        <v>0</v>
      </c>
      <c r="DZ19" s="20">
        <f t="shared" si="0"/>
        <v>0</v>
      </c>
    </row>
    <row r="20" spans="1:130" ht="18" customHeight="1">
      <c r="A20" s="5">
        <v>18</v>
      </c>
      <c r="B20" s="6" t="s">
        <v>29</v>
      </c>
      <c r="C20" s="7" t="s">
        <v>10</v>
      </c>
      <c r="D20" s="7">
        <v>1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>
        <v>1</v>
      </c>
      <c r="AE20" s="8"/>
      <c r="AF20" s="8"/>
      <c r="AG20" s="8"/>
      <c r="AH20" s="8"/>
      <c r="AI20" s="8"/>
      <c r="AJ20" s="8">
        <v>1</v>
      </c>
      <c r="AK20" s="8"/>
      <c r="AL20" s="8"/>
      <c r="AM20" s="8"/>
      <c r="AN20" s="8"/>
      <c r="AO20" s="8"/>
      <c r="AP20" s="8">
        <v>2</v>
      </c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>
        <v>2</v>
      </c>
      <c r="DI20" s="8"/>
      <c r="DJ20" s="8"/>
      <c r="DK20" s="8"/>
      <c r="DL20" s="8">
        <v>2</v>
      </c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19">
        <f>SUM(E20:DX20)</f>
        <v>8</v>
      </c>
      <c r="DZ20" s="20">
        <f t="shared" si="0"/>
        <v>8</v>
      </c>
    </row>
    <row r="21" spans="1:130" ht="18" customHeight="1">
      <c r="A21" s="5">
        <v>19</v>
      </c>
      <c r="B21" s="6" t="s">
        <v>30</v>
      </c>
      <c r="C21" s="7" t="s">
        <v>10</v>
      </c>
      <c r="D21" s="7">
        <v>1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>
        <v>2</v>
      </c>
      <c r="DI21" s="8"/>
      <c r="DJ21" s="8"/>
      <c r="DK21" s="8"/>
      <c r="DL21" s="8">
        <v>3</v>
      </c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19">
        <f>SUM(E21:DX21)</f>
        <v>5</v>
      </c>
      <c r="DZ21" s="20">
        <f t="shared" si="0"/>
        <v>5</v>
      </c>
    </row>
    <row r="22" spans="1:130" ht="18" customHeight="1">
      <c r="A22" s="5">
        <v>20</v>
      </c>
      <c r="B22" s="6" t="s">
        <v>31</v>
      </c>
      <c r="C22" s="7" t="s">
        <v>13</v>
      </c>
      <c r="D22" s="7">
        <v>1</v>
      </c>
      <c r="E22" s="8">
        <f t="shared" ref="E22:AJ22" si="2">SUM(D22)</f>
        <v>1</v>
      </c>
      <c r="F22" s="8">
        <f t="shared" si="2"/>
        <v>1</v>
      </c>
      <c r="G22" s="8">
        <f t="shared" si="2"/>
        <v>1</v>
      </c>
      <c r="H22" s="8">
        <f t="shared" si="2"/>
        <v>1</v>
      </c>
      <c r="I22" s="8">
        <f t="shared" si="2"/>
        <v>1</v>
      </c>
      <c r="J22" s="8">
        <f t="shared" si="2"/>
        <v>1</v>
      </c>
      <c r="K22" s="8">
        <f t="shared" si="2"/>
        <v>1</v>
      </c>
      <c r="L22" s="8">
        <f t="shared" si="2"/>
        <v>1</v>
      </c>
      <c r="M22" s="8">
        <f t="shared" si="2"/>
        <v>1</v>
      </c>
      <c r="N22" s="8">
        <f t="shared" si="2"/>
        <v>1</v>
      </c>
      <c r="O22" s="8">
        <f t="shared" si="2"/>
        <v>1</v>
      </c>
      <c r="P22" s="8">
        <f t="shared" si="2"/>
        <v>1</v>
      </c>
      <c r="Q22" s="8">
        <f t="shared" si="2"/>
        <v>1</v>
      </c>
      <c r="R22" s="8">
        <f t="shared" si="2"/>
        <v>1</v>
      </c>
      <c r="S22" s="8">
        <f t="shared" si="2"/>
        <v>1</v>
      </c>
      <c r="T22" s="8">
        <f t="shared" si="2"/>
        <v>1</v>
      </c>
      <c r="U22" s="8">
        <f t="shared" si="2"/>
        <v>1</v>
      </c>
      <c r="V22" s="8">
        <f t="shared" si="2"/>
        <v>1</v>
      </c>
      <c r="W22" s="8">
        <f t="shared" si="2"/>
        <v>1</v>
      </c>
      <c r="X22" s="8">
        <f t="shared" si="2"/>
        <v>1</v>
      </c>
      <c r="Y22" s="8">
        <f t="shared" si="2"/>
        <v>1</v>
      </c>
      <c r="Z22" s="8">
        <f t="shared" si="2"/>
        <v>1</v>
      </c>
      <c r="AA22" s="8">
        <f t="shared" si="2"/>
        <v>1</v>
      </c>
      <c r="AB22" s="8">
        <f t="shared" si="2"/>
        <v>1</v>
      </c>
      <c r="AC22" s="8">
        <f t="shared" si="2"/>
        <v>1</v>
      </c>
      <c r="AD22" s="8">
        <f t="shared" si="2"/>
        <v>1</v>
      </c>
      <c r="AE22" s="8">
        <f t="shared" si="2"/>
        <v>1</v>
      </c>
      <c r="AF22" s="8">
        <f t="shared" si="2"/>
        <v>1</v>
      </c>
      <c r="AG22" s="8">
        <f t="shared" si="2"/>
        <v>1</v>
      </c>
      <c r="AH22" s="8">
        <f t="shared" si="2"/>
        <v>1</v>
      </c>
      <c r="AI22" s="8">
        <f t="shared" si="2"/>
        <v>1</v>
      </c>
      <c r="AJ22" s="8">
        <f t="shared" si="2"/>
        <v>1</v>
      </c>
      <c r="AK22" s="8">
        <f t="shared" ref="AK22:BP22" si="3">SUM(AJ22)</f>
        <v>1</v>
      </c>
      <c r="AL22" s="8">
        <f t="shared" si="3"/>
        <v>1</v>
      </c>
      <c r="AM22" s="8">
        <f t="shared" si="3"/>
        <v>1</v>
      </c>
      <c r="AN22" s="8">
        <f t="shared" si="3"/>
        <v>1</v>
      </c>
      <c r="AO22" s="8">
        <f t="shared" si="3"/>
        <v>1</v>
      </c>
      <c r="AP22" s="8">
        <f t="shared" si="3"/>
        <v>1</v>
      </c>
      <c r="AQ22" s="8">
        <f t="shared" si="3"/>
        <v>1</v>
      </c>
      <c r="AR22" s="8">
        <f t="shared" si="3"/>
        <v>1</v>
      </c>
      <c r="AS22" s="8">
        <f t="shared" si="3"/>
        <v>1</v>
      </c>
      <c r="AT22" s="8">
        <f t="shared" si="3"/>
        <v>1</v>
      </c>
      <c r="AU22" s="8">
        <f t="shared" si="3"/>
        <v>1</v>
      </c>
      <c r="AV22" s="8">
        <f t="shared" si="3"/>
        <v>1</v>
      </c>
      <c r="AW22" s="8">
        <f t="shared" si="3"/>
        <v>1</v>
      </c>
      <c r="AX22" s="8">
        <f t="shared" si="3"/>
        <v>1</v>
      </c>
      <c r="AY22" s="8">
        <f t="shared" si="3"/>
        <v>1</v>
      </c>
      <c r="AZ22" s="8">
        <f t="shared" si="3"/>
        <v>1</v>
      </c>
      <c r="BA22" s="8">
        <f t="shared" si="3"/>
        <v>1</v>
      </c>
      <c r="BB22" s="8">
        <f t="shared" si="3"/>
        <v>1</v>
      </c>
      <c r="BC22" s="8">
        <f t="shared" si="3"/>
        <v>1</v>
      </c>
      <c r="BD22" s="8">
        <f t="shared" si="3"/>
        <v>1</v>
      </c>
      <c r="BE22" s="8">
        <f t="shared" si="3"/>
        <v>1</v>
      </c>
      <c r="BF22" s="8">
        <f t="shared" si="3"/>
        <v>1</v>
      </c>
      <c r="BG22" s="8">
        <f t="shared" si="3"/>
        <v>1</v>
      </c>
      <c r="BH22" s="8">
        <f t="shared" si="3"/>
        <v>1</v>
      </c>
      <c r="BI22" s="8">
        <f t="shared" si="3"/>
        <v>1</v>
      </c>
      <c r="BJ22" s="8">
        <f t="shared" si="3"/>
        <v>1</v>
      </c>
      <c r="BK22" s="8">
        <f t="shared" si="3"/>
        <v>1</v>
      </c>
      <c r="BL22" s="8">
        <f t="shared" si="3"/>
        <v>1</v>
      </c>
      <c r="BM22" s="8">
        <f t="shared" si="3"/>
        <v>1</v>
      </c>
      <c r="BN22" s="8">
        <f t="shared" si="3"/>
        <v>1</v>
      </c>
      <c r="BO22" s="8">
        <f t="shared" si="3"/>
        <v>1</v>
      </c>
      <c r="BP22" s="8">
        <f t="shared" si="3"/>
        <v>1</v>
      </c>
      <c r="BQ22" s="8">
        <f t="shared" ref="BQ22:CV22" si="4">SUM(BP22)</f>
        <v>1</v>
      </c>
      <c r="BR22" s="8">
        <f t="shared" si="4"/>
        <v>1</v>
      </c>
      <c r="BS22" s="8">
        <f t="shared" si="4"/>
        <v>1</v>
      </c>
      <c r="BT22" s="8">
        <f t="shared" si="4"/>
        <v>1</v>
      </c>
      <c r="BU22" s="8">
        <f t="shared" si="4"/>
        <v>1</v>
      </c>
      <c r="BV22" s="8">
        <f t="shared" si="4"/>
        <v>1</v>
      </c>
      <c r="BW22" s="8">
        <f t="shared" si="4"/>
        <v>1</v>
      </c>
      <c r="BX22" s="8">
        <f t="shared" si="4"/>
        <v>1</v>
      </c>
      <c r="BY22" s="8">
        <f t="shared" si="4"/>
        <v>1</v>
      </c>
      <c r="BZ22" s="8">
        <f t="shared" si="4"/>
        <v>1</v>
      </c>
      <c r="CA22" s="8">
        <f t="shared" si="4"/>
        <v>1</v>
      </c>
      <c r="CB22" s="8">
        <f t="shared" si="4"/>
        <v>1</v>
      </c>
      <c r="CC22" s="8">
        <f t="shared" si="4"/>
        <v>1</v>
      </c>
      <c r="CD22" s="8">
        <f t="shared" si="4"/>
        <v>1</v>
      </c>
      <c r="CE22" s="8">
        <f t="shared" si="4"/>
        <v>1</v>
      </c>
      <c r="CF22" s="8">
        <f t="shared" si="4"/>
        <v>1</v>
      </c>
      <c r="CG22" s="8">
        <f t="shared" si="4"/>
        <v>1</v>
      </c>
      <c r="CH22" s="8">
        <f t="shared" si="4"/>
        <v>1</v>
      </c>
      <c r="CI22" s="8">
        <f t="shared" si="4"/>
        <v>1</v>
      </c>
      <c r="CJ22" s="8">
        <f t="shared" si="4"/>
        <v>1</v>
      </c>
      <c r="CK22" s="8">
        <f t="shared" si="4"/>
        <v>1</v>
      </c>
      <c r="CL22" s="8">
        <f t="shared" si="4"/>
        <v>1</v>
      </c>
      <c r="CM22" s="8">
        <f t="shared" si="4"/>
        <v>1</v>
      </c>
      <c r="CN22" s="8">
        <f t="shared" si="4"/>
        <v>1</v>
      </c>
      <c r="CO22" s="8">
        <f t="shared" si="4"/>
        <v>1</v>
      </c>
      <c r="CP22" s="8">
        <f t="shared" si="4"/>
        <v>1</v>
      </c>
      <c r="CQ22" s="8">
        <f t="shared" si="4"/>
        <v>1</v>
      </c>
      <c r="CR22" s="8">
        <f t="shared" si="4"/>
        <v>1</v>
      </c>
      <c r="CS22" s="8">
        <f t="shared" si="4"/>
        <v>1</v>
      </c>
      <c r="CT22" s="8">
        <f t="shared" si="4"/>
        <v>1</v>
      </c>
      <c r="CU22" s="8">
        <f t="shared" si="4"/>
        <v>1</v>
      </c>
      <c r="CV22" s="8">
        <f t="shared" si="4"/>
        <v>1</v>
      </c>
      <c r="CW22" s="8">
        <f t="shared" ref="CW22:DY22" si="5">SUM(CV22)</f>
        <v>1</v>
      </c>
      <c r="CX22" s="8">
        <f t="shared" si="5"/>
        <v>1</v>
      </c>
      <c r="CY22" s="8">
        <f t="shared" si="5"/>
        <v>1</v>
      </c>
      <c r="CZ22" s="8">
        <f t="shared" si="5"/>
        <v>1</v>
      </c>
      <c r="DA22" s="8">
        <f t="shared" si="5"/>
        <v>1</v>
      </c>
      <c r="DB22" s="8">
        <f t="shared" si="5"/>
        <v>1</v>
      </c>
      <c r="DC22" s="8">
        <f t="shared" si="5"/>
        <v>1</v>
      </c>
      <c r="DD22" s="8">
        <f t="shared" si="5"/>
        <v>1</v>
      </c>
      <c r="DE22" s="8">
        <f t="shared" si="5"/>
        <v>1</v>
      </c>
      <c r="DF22" s="8">
        <f t="shared" si="5"/>
        <v>1</v>
      </c>
      <c r="DG22" s="8">
        <f t="shared" si="5"/>
        <v>1</v>
      </c>
      <c r="DH22" s="8">
        <f t="shared" si="5"/>
        <v>1</v>
      </c>
      <c r="DI22" s="8">
        <f t="shared" si="5"/>
        <v>1</v>
      </c>
      <c r="DJ22" s="8">
        <f t="shared" si="5"/>
        <v>1</v>
      </c>
      <c r="DK22" s="8">
        <f t="shared" si="5"/>
        <v>1</v>
      </c>
      <c r="DL22" s="8">
        <f t="shared" si="5"/>
        <v>1</v>
      </c>
      <c r="DM22" s="8">
        <f t="shared" si="5"/>
        <v>1</v>
      </c>
      <c r="DN22" s="8">
        <f t="shared" si="5"/>
        <v>1</v>
      </c>
      <c r="DO22" s="8">
        <f t="shared" si="5"/>
        <v>1</v>
      </c>
      <c r="DP22" s="8">
        <f t="shared" si="5"/>
        <v>1</v>
      </c>
      <c r="DQ22" s="8">
        <f t="shared" si="5"/>
        <v>1</v>
      </c>
      <c r="DR22" s="8">
        <f t="shared" si="5"/>
        <v>1</v>
      </c>
      <c r="DS22" s="8">
        <f t="shared" si="5"/>
        <v>1</v>
      </c>
      <c r="DT22" s="8">
        <f t="shared" si="5"/>
        <v>1</v>
      </c>
      <c r="DU22" s="8">
        <f t="shared" si="5"/>
        <v>1</v>
      </c>
      <c r="DV22" s="8">
        <f t="shared" si="5"/>
        <v>1</v>
      </c>
      <c r="DW22" s="8">
        <f t="shared" si="5"/>
        <v>1</v>
      </c>
      <c r="DX22" s="8">
        <f t="shared" si="5"/>
        <v>1</v>
      </c>
      <c r="DY22" s="19">
        <f t="shared" si="5"/>
        <v>1</v>
      </c>
      <c r="DZ22" s="20">
        <f t="shared" si="0"/>
        <v>1</v>
      </c>
    </row>
    <row r="23" spans="1:130" ht="18" customHeight="1">
      <c r="A23" s="5">
        <v>21</v>
      </c>
      <c r="B23" s="6" t="s">
        <v>32</v>
      </c>
      <c r="C23" s="7" t="s">
        <v>13</v>
      </c>
      <c r="D23" s="7">
        <v>10</v>
      </c>
      <c r="E23" s="8">
        <f t="shared" ref="E23:AJ23" si="6">SUM(D23)</f>
        <v>10</v>
      </c>
      <c r="F23" s="8">
        <f t="shared" si="6"/>
        <v>10</v>
      </c>
      <c r="G23" s="8">
        <f t="shared" si="6"/>
        <v>10</v>
      </c>
      <c r="H23" s="8">
        <f t="shared" si="6"/>
        <v>10</v>
      </c>
      <c r="I23" s="8">
        <f t="shared" si="6"/>
        <v>10</v>
      </c>
      <c r="J23" s="8">
        <f t="shared" si="6"/>
        <v>10</v>
      </c>
      <c r="K23" s="8">
        <f t="shared" si="6"/>
        <v>10</v>
      </c>
      <c r="L23" s="8">
        <f t="shared" si="6"/>
        <v>10</v>
      </c>
      <c r="M23" s="8">
        <f t="shared" si="6"/>
        <v>10</v>
      </c>
      <c r="N23" s="8">
        <f t="shared" si="6"/>
        <v>10</v>
      </c>
      <c r="O23" s="8">
        <f t="shared" si="6"/>
        <v>10</v>
      </c>
      <c r="P23" s="8">
        <f t="shared" si="6"/>
        <v>10</v>
      </c>
      <c r="Q23" s="8">
        <f t="shared" si="6"/>
        <v>10</v>
      </c>
      <c r="R23" s="8">
        <f t="shared" si="6"/>
        <v>10</v>
      </c>
      <c r="S23" s="8">
        <f t="shared" si="6"/>
        <v>10</v>
      </c>
      <c r="T23" s="8">
        <f t="shared" si="6"/>
        <v>10</v>
      </c>
      <c r="U23" s="8">
        <f t="shared" si="6"/>
        <v>10</v>
      </c>
      <c r="V23" s="8">
        <f t="shared" si="6"/>
        <v>10</v>
      </c>
      <c r="W23" s="8">
        <f t="shared" si="6"/>
        <v>10</v>
      </c>
      <c r="X23" s="8">
        <f t="shared" si="6"/>
        <v>10</v>
      </c>
      <c r="Y23" s="8">
        <f t="shared" si="6"/>
        <v>10</v>
      </c>
      <c r="Z23" s="8">
        <f t="shared" si="6"/>
        <v>10</v>
      </c>
      <c r="AA23" s="8">
        <f t="shared" si="6"/>
        <v>10</v>
      </c>
      <c r="AB23" s="8">
        <f t="shared" si="6"/>
        <v>10</v>
      </c>
      <c r="AC23" s="8">
        <f t="shared" si="6"/>
        <v>10</v>
      </c>
      <c r="AD23" s="8">
        <f t="shared" si="6"/>
        <v>10</v>
      </c>
      <c r="AE23" s="8">
        <f t="shared" si="6"/>
        <v>10</v>
      </c>
      <c r="AF23" s="8">
        <f t="shared" si="6"/>
        <v>10</v>
      </c>
      <c r="AG23" s="8">
        <f t="shared" si="6"/>
        <v>10</v>
      </c>
      <c r="AH23" s="8">
        <f t="shared" si="6"/>
        <v>10</v>
      </c>
      <c r="AI23" s="8">
        <f t="shared" si="6"/>
        <v>10</v>
      </c>
      <c r="AJ23" s="8">
        <f t="shared" si="6"/>
        <v>10</v>
      </c>
      <c r="AK23" s="8">
        <f t="shared" ref="AK23:BP23" si="7">SUM(AJ23)</f>
        <v>10</v>
      </c>
      <c r="AL23" s="8">
        <f t="shared" si="7"/>
        <v>10</v>
      </c>
      <c r="AM23" s="8">
        <f t="shared" si="7"/>
        <v>10</v>
      </c>
      <c r="AN23" s="8">
        <f t="shared" si="7"/>
        <v>10</v>
      </c>
      <c r="AO23" s="8">
        <f t="shared" si="7"/>
        <v>10</v>
      </c>
      <c r="AP23" s="8">
        <f t="shared" si="7"/>
        <v>10</v>
      </c>
      <c r="AQ23" s="8">
        <f t="shared" si="7"/>
        <v>10</v>
      </c>
      <c r="AR23" s="8">
        <f t="shared" si="7"/>
        <v>10</v>
      </c>
      <c r="AS23" s="8">
        <f t="shared" si="7"/>
        <v>10</v>
      </c>
      <c r="AT23" s="8">
        <f t="shared" si="7"/>
        <v>10</v>
      </c>
      <c r="AU23" s="8">
        <f t="shared" si="7"/>
        <v>10</v>
      </c>
      <c r="AV23" s="8">
        <f t="shared" si="7"/>
        <v>10</v>
      </c>
      <c r="AW23" s="8">
        <f t="shared" si="7"/>
        <v>10</v>
      </c>
      <c r="AX23" s="8">
        <f t="shared" si="7"/>
        <v>10</v>
      </c>
      <c r="AY23" s="8">
        <f t="shared" si="7"/>
        <v>10</v>
      </c>
      <c r="AZ23" s="8">
        <f t="shared" si="7"/>
        <v>10</v>
      </c>
      <c r="BA23" s="8">
        <f t="shared" si="7"/>
        <v>10</v>
      </c>
      <c r="BB23" s="8">
        <f t="shared" si="7"/>
        <v>10</v>
      </c>
      <c r="BC23" s="8">
        <f t="shared" si="7"/>
        <v>10</v>
      </c>
      <c r="BD23" s="8">
        <f t="shared" si="7"/>
        <v>10</v>
      </c>
      <c r="BE23" s="8">
        <f t="shared" si="7"/>
        <v>10</v>
      </c>
      <c r="BF23" s="8">
        <f t="shared" si="7"/>
        <v>10</v>
      </c>
      <c r="BG23" s="8">
        <f t="shared" si="7"/>
        <v>10</v>
      </c>
      <c r="BH23" s="8">
        <f t="shared" si="7"/>
        <v>10</v>
      </c>
      <c r="BI23" s="8">
        <f t="shared" si="7"/>
        <v>10</v>
      </c>
      <c r="BJ23" s="8">
        <f t="shared" si="7"/>
        <v>10</v>
      </c>
      <c r="BK23" s="8">
        <f t="shared" si="7"/>
        <v>10</v>
      </c>
      <c r="BL23" s="8">
        <f t="shared" si="7"/>
        <v>10</v>
      </c>
      <c r="BM23" s="8">
        <f t="shared" si="7"/>
        <v>10</v>
      </c>
      <c r="BN23" s="8">
        <f t="shared" si="7"/>
        <v>10</v>
      </c>
      <c r="BO23" s="8">
        <f t="shared" si="7"/>
        <v>10</v>
      </c>
      <c r="BP23" s="8">
        <f t="shared" si="7"/>
        <v>10</v>
      </c>
      <c r="BQ23" s="8">
        <f t="shared" ref="BQ23:CV23" si="8">SUM(BP23)</f>
        <v>10</v>
      </c>
      <c r="BR23" s="8">
        <f t="shared" si="8"/>
        <v>10</v>
      </c>
      <c r="BS23" s="8">
        <f t="shared" si="8"/>
        <v>10</v>
      </c>
      <c r="BT23" s="8">
        <f t="shared" si="8"/>
        <v>10</v>
      </c>
      <c r="BU23" s="8">
        <f t="shared" si="8"/>
        <v>10</v>
      </c>
      <c r="BV23" s="8">
        <f t="shared" si="8"/>
        <v>10</v>
      </c>
      <c r="BW23" s="8">
        <f t="shared" si="8"/>
        <v>10</v>
      </c>
      <c r="BX23" s="8">
        <f t="shared" si="8"/>
        <v>10</v>
      </c>
      <c r="BY23" s="8">
        <f t="shared" si="8"/>
        <v>10</v>
      </c>
      <c r="BZ23" s="8">
        <f t="shared" si="8"/>
        <v>10</v>
      </c>
      <c r="CA23" s="8">
        <f t="shared" si="8"/>
        <v>10</v>
      </c>
      <c r="CB23" s="8">
        <f t="shared" si="8"/>
        <v>10</v>
      </c>
      <c r="CC23" s="8">
        <f t="shared" si="8"/>
        <v>10</v>
      </c>
      <c r="CD23" s="8">
        <f t="shared" si="8"/>
        <v>10</v>
      </c>
      <c r="CE23" s="8">
        <f t="shared" si="8"/>
        <v>10</v>
      </c>
      <c r="CF23" s="8">
        <f t="shared" si="8"/>
        <v>10</v>
      </c>
      <c r="CG23" s="8">
        <f t="shared" si="8"/>
        <v>10</v>
      </c>
      <c r="CH23" s="8">
        <f t="shared" si="8"/>
        <v>10</v>
      </c>
      <c r="CI23" s="8">
        <f t="shared" si="8"/>
        <v>10</v>
      </c>
      <c r="CJ23" s="8">
        <f t="shared" si="8"/>
        <v>10</v>
      </c>
      <c r="CK23" s="8">
        <f t="shared" si="8"/>
        <v>10</v>
      </c>
      <c r="CL23" s="8">
        <f t="shared" si="8"/>
        <v>10</v>
      </c>
      <c r="CM23" s="8">
        <f t="shared" si="8"/>
        <v>10</v>
      </c>
      <c r="CN23" s="8">
        <f t="shared" si="8"/>
        <v>10</v>
      </c>
      <c r="CO23" s="8">
        <f t="shared" si="8"/>
        <v>10</v>
      </c>
      <c r="CP23" s="8">
        <f t="shared" si="8"/>
        <v>10</v>
      </c>
      <c r="CQ23" s="8">
        <f t="shared" si="8"/>
        <v>10</v>
      </c>
      <c r="CR23" s="8">
        <f t="shared" si="8"/>
        <v>10</v>
      </c>
      <c r="CS23" s="8">
        <f t="shared" si="8"/>
        <v>10</v>
      </c>
      <c r="CT23" s="8">
        <f t="shared" si="8"/>
        <v>10</v>
      </c>
      <c r="CU23" s="8">
        <f t="shared" si="8"/>
        <v>10</v>
      </c>
      <c r="CV23" s="8">
        <f t="shared" si="8"/>
        <v>10</v>
      </c>
      <c r="CW23" s="8">
        <f t="shared" ref="CW23:DY23" si="9">SUM(CV23)</f>
        <v>10</v>
      </c>
      <c r="CX23" s="8">
        <f t="shared" si="9"/>
        <v>10</v>
      </c>
      <c r="CY23" s="8">
        <f t="shared" si="9"/>
        <v>10</v>
      </c>
      <c r="CZ23" s="8">
        <f t="shared" si="9"/>
        <v>10</v>
      </c>
      <c r="DA23" s="8">
        <f t="shared" si="9"/>
        <v>10</v>
      </c>
      <c r="DB23" s="8">
        <f t="shared" si="9"/>
        <v>10</v>
      </c>
      <c r="DC23" s="8">
        <f t="shared" si="9"/>
        <v>10</v>
      </c>
      <c r="DD23" s="8">
        <f t="shared" si="9"/>
        <v>10</v>
      </c>
      <c r="DE23" s="8">
        <f t="shared" si="9"/>
        <v>10</v>
      </c>
      <c r="DF23" s="8">
        <f t="shared" si="9"/>
        <v>10</v>
      </c>
      <c r="DG23" s="8">
        <f t="shared" si="9"/>
        <v>10</v>
      </c>
      <c r="DH23" s="8">
        <f t="shared" si="9"/>
        <v>10</v>
      </c>
      <c r="DI23" s="8">
        <f t="shared" si="9"/>
        <v>10</v>
      </c>
      <c r="DJ23" s="8">
        <f t="shared" si="9"/>
        <v>10</v>
      </c>
      <c r="DK23" s="8">
        <f t="shared" si="9"/>
        <v>10</v>
      </c>
      <c r="DL23" s="8">
        <f t="shared" si="9"/>
        <v>10</v>
      </c>
      <c r="DM23" s="8">
        <f t="shared" si="9"/>
        <v>10</v>
      </c>
      <c r="DN23" s="8">
        <f t="shared" si="9"/>
        <v>10</v>
      </c>
      <c r="DO23" s="8">
        <f t="shared" si="9"/>
        <v>10</v>
      </c>
      <c r="DP23" s="8">
        <f t="shared" si="9"/>
        <v>10</v>
      </c>
      <c r="DQ23" s="8">
        <f t="shared" si="9"/>
        <v>10</v>
      </c>
      <c r="DR23" s="8">
        <f t="shared" si="9"/>
        <v>10</v>
      </c>
      <c r="DS23" s="8">
        <f t="shared" si="9"/>
        <v>10</v>
      </c>
      <c r="DT23" s="8">
        <f t="shared" si="9"/>
        <v>10</v>
      </c>
      <c r="DU23" s="8">
        <f t="shared" si="9"/>
        <v>10</v>
      </c>
      <c r="DV23" s="8">
        <f t="shared" si="9"/>
        <v>10</v>
      </c>
      <c r="DW23" s="8">
        <f t="shared" si="9"/>
        <v>10</v>
      </c>
      <c r="DX23" s="8">
        <f t="shared" si="9"/>
        <v>10</v>
      </c>
      <c r="DY23" s="19">
        <f t="shared" si="9"/>
        <v>10</v>
      </c>
      <c r="DZ23" s="20">
        <f t="shared" si="0"/>
        <v>100</v>
      </c>
    </row>
    <row r="24" spans="1:130" ht="18" customHeight="1">
      <c r="A24" s="5">
        <v>22</v>
      </c>
      <c r="B24" s="6" t="s">
        <v>33</v>
      </c>
      <c r="C24" s="7" t="s">
        <v>13</v>
      </c>
      <c r="D24" s="7">
        <v>0.5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>
        <v>3</v>
      </c>
      <c r="CU24" s="8"/>
      <c r="CV24" s="8"/>
      <c r="CW24" s="8">
        <v>1</v>
      </c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19">
        <f t="shared" ref="DY24:DY30" si="10">SUM(E24:DX24)</f>
        <v>4</v>
      </c>
      <c r="DZ24" s="20">
        <f t="shared" si="0"/>
        <v>2</v>
      </c>
    </row>
    <row r="25" spans="1:130" ht="18" customHeight="1">
      <c r="A25" s="5">
        <v>23</v>
      </c>
      <c r="B25" s="10" t="s">
        <v>34</v>
      </c>
      <c r="C25" s="11" t="s">
        <v>13</v>
      </c>
      <c r="D25" s="7">
        <v>1</v>
      </c>
      <c r="E25" s="8"/>
      <c r="F25" s="8"/>
      <c r="G25" s="8"/>
      <c r="H25" s="8">
        <v>2</v>
      </c>
      <c r="I25" s="8"/>
      <c r="J25" s="8"/>
      <c r="K25" s="8"/>
      <c r="L25" s="8"/>
      <c r="M25" s="8"/>
      <c r="N25" s="8">
        <v>3</v>
      </c>
      <c r="O25" s="8"/>
      <c r="P25" s="8"/>
      <c r="Q25" s="8"/>
      <c r="R25" s="8"/>
      <c r="S25" s="8"/>
      <c r="T25" s="8">
        <v>2</v>
      </c>
      <c r="U25" s="8"/>
      <c r="V25" s="8">
        <v>3</v>
      </c>
      <c r="W25" s="8"/>
      <c r="X25" s="8"/>
      <c r="Y25" s="8"/>
      <c r="Z25" s="8">
        <v>4</v>
      </c>
      <c r="AA25" s="8"/>
      <c r="AB25" s="8"/>
      <c r="AC25" s="8"/>
      <c r="AD25" s="8">
        <v>2</v>
      </c>
      <c r="AE25" s="8"/>
      <c r="AF25" s="8"/>
      <c r="AG25" s="8"/>
      <c r="AH25" s="8"/>
      <c r="AI25" s="8"/>
      <c r="AJ25" s="8">
        <v>3</v>
      </c>
      <c r="AK25" s="8"/>
      <c r="AL25" s="8"/>
      <c r="AM25" s="8"/>
      <c r="AN25" s="8"/>
      <c r="AO25" s="8"/>
      <c r="AP25" s="8">
        <v>3</v>
      </c>
      <c r="AQ25" s="8"/>
      <c r="AR25" s="8"/>
      <c r="AS25" s="8">
        <v>8</v>
      </c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>
        <v>8</v>
      </c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>
        <v>8</v>
      </c>
      <c r="BZ25" s="8"/>
      <c r="CA25" s="8"/>
      <c r="CB25" s="8"/>
      <c r="CC25" s="8"/>
      <c r="CD25" s="8"/>
      <c r="CE25" s="8"/>
      <c r="CF25" s="8"/>
      <c r="CG25" s="8"/>
      <c r="CH25" s="8">
        <v>1</v>
      </c>
      <c r="CI25" s="8"/>
      <c r="CJ25" s="8"/>
      <c r="CK25" s="8">
        <v>8</v>
      </c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>
        <v>8</v>
      </c>
      <c r="CX25" s="8"/>
      <c r="CY25" s="8"/>
      <c r="CZ25" s="8"/>
      <c r="DA25" s="8">
        <v>8</v>
      </c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19">
        <f t="shared" si="10"/>
        <v>71</v>
      </c>
      <c r="DZ25" s="20">
        <f t="shared" si="0"/>
        <v>71</v>
      </c>
    </row>
    <row r="26" spans="1:130" ht="18" customHeight="1">
      <c r="A26" s="5">
        <v>24</v>
      </c>
      <c r="B26" s="6" t="s">
        <v>35</v>
      </c>
      <c r="C26" s="7" t="s">
        <v>13</v>
      </c>
      <c r="D26" s="7">
        <v>1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>
        <v>1</v>
      </c>
      <c r="U26" s="8"/>
      <c r="V26" s="8">
        <v>1</v>
      </c>
      <c r="W26" s="8"/>
      <c r="X26" s="8"/>
      <c r="Y26" s="8"/>
      <c r="Z26" s="8">
        <v>1</v>
      </c>
      <c r="AA26" s="8"/>
      <c r="AB26" s="8"/>
      <c r="AC26" s="8"/>
      <c r="AD26" s="8">
        <v>1</v>
      </c>
      <c r="AE26" s="8"/>
      <c r="AF26" s="8"/>
      <c r="AG26" s="8"/>
      <c r="AH26" s="8"/>
      <c r="AI26" s="8"/>
      <c r="AJ26" s="8">
        <v>1</v>
      </c>
      <c r="AK26" s="8"/>
      <c r="AL26" s="8"/>
      <c r="AM26" s="8"/>
      <c r="AN26" s="8"/>
      <c r="AO26" s="8"/>
      <c r="AP26" s="8">
        <v>1</v>
      </c>
      <c r="AQ26" s="8"/>
      <c r="AR26" s="8"/>
      <c r="AS26" s="8">
        <v>1</v>
      </c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>
        <v>1</v>
      </c>
      <c r="BI26" s="8"/>
      <c r="BJ26" s="8">
        <v>1</v>
      </c>
      <c r="BK26" s="8"/>
      <c r="BL26" s="8"/>
      <c r="BM26" s="8">
        <v>1</v>
      </c>
      <c r="BN26" s="8"/>
      <c r="BO26" s="8"/>
      <c r="BP26" s="8">
        <v>1</v>
      </c>
      <c r="BQ26" s="8"/>
      <c r="BR26" s="8">
        <v>1</v>
      </c>
      <c r="BS26" s="8"/>
      <c r="BT26" s="8"/>
      <c r="BU26" s="8"/>
      <c r="BV26" s="8">
        <v>1</v>
      </c>
      <c r="BW26" s="8"/>
      <c r="BX26" s="8"/>
      <c r="BY26" s="8">
        <v>1</v>
      </c>
      <c r="BZ26" s="8"/>
      <c r="CA26" s="8"/>
      <c r="CB26" s="8"/>
      <c r="CC26" s="8"/>
      <c r="CD26" s="8">
        <v>1</v>
      </c>
      <c r="CE26" s="8"/>
      <c r="CF26" s="8"/>
      <c r="CG26" s="8"/>
      <c r="CH26" s="8">
        <v>1</v>
      </c>
      <c r="CI26" s="8"/>
      <c r="CJ26" s="8"/>
      <c r="CK26" s="8">
        <v>1</v>
      </c>
      <c r="CL26" s="8"/>
      <c r="CM26" s="8"/>
      <c r="CN26" s="8"/>
      <c r="CO26" s="8"/>
      <c r="CP26" s="8"/>
      <c r="CQ26" s="8"/>
      <c r="CR26" s="8"/>
      <c r="CS26" s="8"/>
      <c r="CT26" s="8">
        <v>1</v>
      </c>
      <c r="CU26" s="8"/>
      <c r="CV26" s="8"/>
      <c r="CW26" s="8">
        <v>1</v>
      </c>
      <c r="CX26" s="8"/>
      <c r="CY26" s="8"/>
      <c r="CZ26" s="8"/>
      <c r="DA26" s="8">
        <v>1</v>
      </c>
      <c r="DB26" s="8"/>
      <c r="DC26" s="8"/>
      <c r="DD26" s="8"/>
      <c r="DE26" s="8"/>
      <c r="DF26" s="8"/>
      <c r="DG26" s="8"/>
      <c r="DH26" s="8">
        <v>1</v>
      </c>
      <c r="DI26" s="8"/>
      <c r="DJ26" s="8"/>
      <c r="DK26" s="8"/>
      <c r="DL26" s="8">
        <v>1</v>
      </c>
      <c r="DM26" s="8"/>
      <c r="DN26" s="8"/>
      <c r="DO26" s="8"/>
      <c r="DP26" s="8">
        <v>1</v>
      </c>
      <c r="DQ26" s="8"/>
      <c r="DR26" s="8"/>
      <c r="DS26" s="8"/>
      <c r="DT26" s="8"/>
      <c r="DU26" s="8"/>
      <c r="DV26" s="8">
        <v>1</v>
      </c>
      <c r="DW26" s="8"/>
      <c r="DX26" s="8"/>
      <c r="DY26" s="19">
        <f t="shared" si="10"/>
        <v>24</v>
      </c>
      <c r="DZ26" s="20">
        <f t="shared" si="0"/>
        <v>24</v>
      </c>
    </row>
    <row r="27" spans="1:130" ht="18" customHeight="1">
      <c r="A27" s="5">
        <v>25</v>
      </c>
      <c r="B27" s="6" t="s">
        <v>36</v>
      </c>
      <c r="C27" s="7" t="s">
        <v>13</v>
      </c>
      <c r="D27" s="7">
        <v>1</v>
      </c>
      <c r="E27" s="8"/>
      <c r="F27" s="8"/>
      <c r="G27" s="8"/>
      <c r="H27" s="8">
        <v>1</v>
      </c>
      <c r="I27" s="8"/>
      <c r="J27" s="8"/>
      <c r="K27" s="8"/>
      <c r="L27" s="8"/>
      <c r="M27" s="8"/>
      <c r="N27" s="8">
        <v>1</v>
      </c>
      <c r="O27" s="8"/>
      <c r="P27" s="8"/>
      <c r="Q27" s="8"/>
      <c r="R27" s="8"/>
      <c r="S27" s="8"/>
      <c r="T27" s="8">
        <v>1</v>
      </c>
      <c r="U27" s="8"/>
      <c r="V27" s="8">
        <v>1</v>
      </c>
      <c r="W27" s="8"/>
      <c r="X27" s="8"/>
      <c r="Y27" s="8"/>
      <c r="Z27" s="8">
        <v>1</v>
      </c>
      <c r="AA27" s="8"/>
      <c r="AB27" s="8"/>
      <c r="AC27" s="8"/>
      <c r="AD27" s="8">
        <v>1</v>
      </c>
      <c r="AE27" s="8"/>
      <c r="AF27" s="8"/>
      <c r="AG27" s="8"/>
      <c r="AH27" s="8"/>
      <c r="AI27" s="8"/>
      <c r="AJ27" s="8">
        <v>1</v>
      </c>
      <c r="AK27" s="8"/>
      <c r="AL27" s="8"/>
      <c r="AM27" s="8"/>
      <c r="AN27" s="8"/>
      <c r="AO27" s="8"/>
      <c r="AP27" s="8">
        <v>1</v>
      </c>
      <c r="AQ27" s="8"/>
      <c r="AR27" s="8"/>
      <c r="AS27" s="8">
        <v>1</v>
      </c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>
        <v>1</v>
      </c>
      <c r="BI27" s="8"/>
      <c r="BJ27" s="8">
        <v>1</v>
      </c>
      <c r="BK27" s="8"/>
      <c r="BL27" s="8"/>
      <c r="BM27" s="8">
        <v>1</v>
      </c>
      <c r="BN27" s="8"/>
      <c r="BO27" s="8"/>
      <c r="BP27" s="8">
        <v>1</v>
      </c>
      <c r="BQ27" s="8"/>
      <c r="BR27" s="8">
        <v>1</v>
      </c>
      <c r="BS27" s="8"/>
      <c r="BT27" s="8"/>
      <c r="BU27" s="8"/>
      <c r="BV27" s="8">
        <v>1</v>
      </c>
      <c r="BW27" s="8"/>
      <c r="BX27" s="8"/>
      <c r="BY27" s="8">
        <v>1</v>
      </c>
      <c r="BZ27" s="8"/>
      <c r="CA27" s="8"/>
      <c r="CB27" s="8"/>
      <c r="CC27" s="8"/>
      <c r="CD27" s="8">
        <v>1</v>
      </c>
      <c r="CE27" s="8"/>
      <c r="CF27" s="8"/>
      <c r="CG27" s="8"/>
      <c r="CH27" s="8">
        <v>1</v>
      </c>
      <c r="CI27" s="8"/>
      <c r="CJ27" s="8"/>
      <c r="CK27" s="8">
        <v>1</v>
      </c>
      <c r="CL27" s="8"/>
      <c r="CM27" s="8"/>
      <c r="CN27" s="8"/>
      <c r="CO27" s="8"/>
      <c r="CP27" s="8"/>
      <c r="CQ27" s="8"/>
      <c r="CR27" s="8"/>
      <c r="CS27" s="8"/>
      <c r="CT27" s="8">
        <v>1</v>
      </c>
      <c r="CU27" s="8"/>
      <c r="CV27" s="8"/>
      <c r="CW27" s="8">
        <v>1</v>
      </c>
      <c r="CX27" s="8"/>
      <c r="CY27" s="8"/>
      <c r="CZ27" s="8"/>
      <c r="DA27" s="8">
        <v>1</v>
      </c>
      <c r="DB27" s="8"/>
      <c r="DC27" s="8"/>
      <c r="DD27" s="8"/>
      <c r="DE27" s="8"/>
      <c r="DF27" s="8"/>
      <c r="DG27" s="8"/>
      <c r="DH27" s="8">
        <v>1</v>
      </c>
      <c r="DI27" s="8"/>
      <c r="DJ27" s="8"/>
      <c r="DK27" s="8"/>
      <c r="DL27" s="8">
        <v>1</v>
      </c>
      <c r="DM27" s="8"/>
      <c r="DN27" s="8"/>
      <c r="DO27" s="8"/>
      <c r="DP27" s="8">
        <v>1</v>
      </c>
      <c r="DQ27" s="8"/>
      <c r="DR27" s="8"/>
      <c r="DS27" s="8"/>
      <c r="DT27" s="8"/>
      <c r="DU27" s="8"/>
      <c r="DV27" s="8">
        <v>1</v>
      </c>
      <c r="DW27" s="8"/>
      <c r="DX27" s="8"/>
      <c r="DY27" s="19">
        <f t="shared" si="10"/>
        <v>26</v>
      </c>
      <c r="DZ27" s="20">
        <f t="shared" si="0"/>
        <v>26</v>
      </c>
    </row>
    <row r="28" spans="1:130" ht="18" customHeight="1">
      <c r="A28" s="5">
        <v>26</v>
      </c>
      <c r="B28" s="6" t="s">
        <v>37</v>
      </c>
      <c r="C28" s="7" t="s">
        <v>13</v>
      </c>
      <c r="D28" s="7">
        <v>2</v>
      </c>
      <c r="E28" s="8"/>
      <c r="F28" s="8"/>
      <c r="G28" s="8"/>
      <c r="H28" s="8">
        <v>1</v>
      </c>
      <c r="I28" s="8"/>
      <c r="J28" s="8"/>
      <c r="K28" s="8"/>
      <c r="L28" s="8"/>
      <c r="M28" s="8"/>
      <c r="N28" s="8">
        <v>1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>
        <v>1</v>
      </c>
      <c r="AA28" s="8"/>
      <c r="AB28" s="8"/>
      <c r="AC28" s="8"/>
      <c r="AD28" s="8">
        <v>1</v>
      </c>
      <c r="AE28" s="8"/>
      <c r="AF28" s="8"/>
      <c r="AG28" s="8"/>
      <c r="AH28" s="8"/>
      <c r="AI28" s="8"/>
      <c r="AJ28" s="8">
        <v>1</v>
      </c>
      <c r="AK28" s="8"/>
      <c r="AL28" s="8"/>
      <c r="AM28" s="8"/>
      <c r="AN28" s="8"/>
      <c r="AO28" s="8"/>
      <c r="AP28" s="8">
        <v>1</v>
      </c>
      <c r="AQ28" s="8"/>
      <c r="AR28" s="8"/>
      <c r="AS28" s="8">
        <v>1</v>
      </c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>
        <v>1</v>
      </c>
      <c r="BI28" s="8"/>
      <c r="BJ28" s="8">
        <v>1</v>
      </c>
      <c r="BK28" s="8"/>
      <c r="BL28" s="8"/>
      <c r="BM28" s="8">
        <v>1</v>
      </c>
      <c r="BN28" s="8"/>
      <c r="BO28" s="8"/>
      <c r="BP28" s="8">
        <v>1</v>
      </c>
      <c r="BQ28" s="8"/>
      <c r="BR28" s="8">
        <v>1</v>
      </c>
      <c r="BS28" s="8"/>
      <c r="BT28" s="8"/>
      <c r="BU28" s="8"/>
      <c r="BV28" s="8">
        <v>1</v>
      </c>
      <c r="BW28" s="8"/>
      <c r="BX28" s="8"/>
      <c r="BY28" s="8">
        <v>1</v>
      </c>
      <c r="BZ28" s="8"/>
      <c r="CA28" s="8"/>
      <c r="CB28" s="8"/>
      <c r="CC28" s="8"/>
      <c r="CD28" s="8">
        <v>1</v>
      </c>
      <c r="CE28" s="8"/>
      <c r="CF28" s="8"/>
      <c r="CG28" s="8"/>
      <c r="CH28" s="8">
        <v>1</v>
      </c>
      <c r="CI28" s="8"/>
      <c r="CJ28" s="8"/>
      <c r="CK28" s="8">
        <v>1</v>
      </c>
      <c r="CL28" s="8"/>
      <c r="CM28" s="8"/>
      <c r="CN28" s="8"/>
      <c r="CO28" s="8"/>
      <c r="CP28" s="8"/>
      <c r="CQ28" s="8"/>
      <c r="CR28" s="8"/>
      <c r="CS28" s="8"/>
      <c r="CT28" s="8">
        <v>1</v>
      </c>
      <c r="CU28" s="8"/>
      <c r="CV28" s="8"/>
      <c r="CW28" s="8">
        <v>1</v>
      </c>
      <c r="CX28" s="8"/>
      <c r="CY28" s="8"/>
      <c r="CZ28" s="8"/>
      <c r="DA28" s="8">
        <v>1</v>
      </c>
      <c r="DB28" s="8"/>
      <c r="DC28" s="8"/>
      <c r="DD28" s="8"/>
      <c r="DE28" s="8"/>
      <c r="DF28" s="8"/>
      <c r="DG28" s="8"/>
      <c r="DH28" s="8">
        <v>1</v>
      </c>
      <c r="DI28" s="8"/>
      <c r="DJ28" s="8"/>
      <c r="DK28" s="8"/>
      <c r="DL28" s="8">
        <v>1</v>
      </c>
      <c r="DM28" s="8"/>
      <c r="DN28" s="8"/>
      <c r="DO28" s="8"/>
      <c r="DP28" s="8">
        <v>1</v>
      </c>
      <c r="DQ28" s="8"/>
      <c r="DR28" s="8"/>
      <c r="DS28" s="8"/>
      <c r="DT28" s="8"/>
      <c r="DU28" s="8"/>
      <c r="DV28" s="8">
        <v>1</v>
      </c>
      <c r="DW28" s="8"/>
      <c r="DX28" s="8"/>
      <c r="DY28" s="19">
        <f t="shared" si="10"/>
        <v>24</v>
      </c>
      <c r="DZ28" s="20">
        <f t="shared" si="0"/>
        <v>48</v>
      </c>
    </row>
    <row r="29" spans="1:130" ht="18" customHeight="1">
      <c r="A29" s="5">
        <v>27</v>
      </c>
      <c r="B29" s="6" t="s">
        <v>38</v>
      </c>
      <c r="C29" s="7" t="s">
        <v>13</v>
      </c>
      <c r="D29" s="7">
        <v>1</v>
      </c>
      <c r="E29" s="8"/>
      <c r="F29" s="8"/>
      <c r="G29" s="8"/>
      <c r="H29" s="8">
        <v>1</v>
      </c>
      <c r="I29" s="8"/>
      <c r="J29" s="8"/>
      <c r="K29" s="8"/>
      <c r="L29" s="8"/>
      <c r="M29" s="8"/>
      <c r="N29" s="8">
        <v>1</v>
      </c>
      <c r="O29" s="8"/>
      <c r="P29" s="8"/>
      <c r="Q29" s="8"/>
      <c r="R29" s="8"/>
      <c r="S29" s="8"/>
      <c r="T29" s="8">
        <v>1</v>
      </c>
      <c r="U29" s="8"/>
      <c r="V29" s="8">
        <v>1</v>
      </c>
      <c r="W29" s="8"/>
      <c r="X29" s="8"/>
      <c r="Y29" s="8"/>
      <c r="Z29" s="8">
        <v>1</v>
      </c>
      <c r="AA29" s="8"/>
      <c r="AB29" s="8"/>
      <c r="AC29" s="8"/>
      <c r="AD29" s="8">
        <v>1</v>
      </c>
      <c r="AE29" s="8"/>
      <c r="AF29" s="8"/>
      <c r="AG29" s="8"/>
      <c r="AH29" s="8"/>
      <c r="AI29" s="8"/>
      <c r="AJ29" s="8">
        <v>1</v>
      </c>
      <c r="AK29" s="8"/>
      <c r="AL29" s="8"/>
      <c r="AM29" s="8"/>
      <c r="AN29" s="8"/>
      <c r="AO29" s="8"/>
      <c r="AP29" s="8">
        <v>1</v>
      </c>
      <c r="AQ29" s="8"/>
      <c r="AR29" s="8"/>
      <c r="AS29" s="8">
        <v>1</v>
      </c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>
        <v>1</v>
      </c>
      <c r="BI29" s="8"/>
      <c r="BJ29" s="8">
        <v>1</v>
      </c>
      <c r="BK29" s="8"/>
      <c r="BL29" s="8"/>
      <c r="BM29" s="8">
        <v>1</v>
      </c>
      <c r="BN29" s="8"/>
      <c r="BO29" s="8"/>
      <c r="BP29" s="8">
        <v>1</v>
      </c>
      <c r="BQ29" s="8"/>
      <c r="BR29" s="8">
        <v>1</v>
      </c>
      <c r="BS29" s="8"/>
      <c r="BT29" s="8"/>
      <c r="BU29" s="8"/>
      <c r="BV29" s="8">
        <v>1</v>
      </c>
      <c r="BW29" s="8"/>
      <c r="BX29" s="8"/>
      <c r="BY29" s="8">
        <v>1</v>
      </c>
      <c r="BZ29" s="8"/>
      <c r="CA29" s="8"/>
      <c r="CB29" s="8"/>
      <c r="CC29" s="8"/>
      <c r="CD29" s="8">
        <v>1</v>
      </c>
      <c r="CE29" s="8"/>
      <c r="CF29" s="8"/>
      <c r="CG29" s="8"/>
      <c r="CH29" s="8">
        <v>1</v>
      </c>
      <c r="CI29" s="8"/>
      <c r="CJ29" s="8"/>
      <c r="CK29" s="8">
        <v>1</v>
      </c>
      <c r="CL29" s="8"/>
      <c r="CM29" s="8"/>
      <c r="CN29" s="8"/>
      <c r="CO29" s="8"/>
      <c r="CP29" s="8"/>
      <c r="CQ29" s="8"/>
      <c r="CR29" s="8"/>
      <c r="CS29" s="8"/>
      <c r="CT29" s="8">
        <v>1</v>
      </c>
      <c r="CU29" s="8"/>
      <c r="CV29" s="8"/>
      <c r="CW29" s="8">
        <v>1</v>
      </c>
      <c r="CX29" s="8"/>
      <c r="CY29" s="8"/>
      <c r="CZ29" s="8"/>
      <c r="DA29" s="8">
        <v>1</v>
      </c>
      <c r="DB29" s="8"/>
      <c r="DC29" s="8"/>
      <c r="DD29" s="8"/>
      <c r="DE29" s="8"/>
      <c r="DF29" s="8"/>
      <c r="DG29" s="8"/>
      <c r="DH29" s="8">
        <v>1</v>
      </c>
      <c r="DI29" s="8"/>
      <c r="DJ29" s="8"/>
      <c r="DK29" s="8"/>
      <c r="DL29" s="8">
        <v>1</v>
      </c>
      <c r="DM29" s="8"/>
      <c r="DN29" s="8"/>
      <c r="DO29" s="8"/>
      <c r="DP29" s="8">
        <v>1</v>
      </c>
      <c r="DQ29" s="8"/>
      <c r="DR29" s="8"/>
      <c r="DS29" s="8"/>
      <c r="DT29" s="8"/>
      <c r="DU29" s="8"/>
      <c r="DV29" s="8">
        <v>1</v>
      </c>
      <c r="DW29" s="8"/>
      <c r="DX29" s="8"/>
      <c r="DY29" s="19">
        <f t="shared" si="10"/>
        <v>26</v>
      </c>
      <c r="DZ29" s="20">
        <f t="shared" si="0"/>
        <v>26</v>
      </c>
    </row>
    <row r="30" spans="1:130" ht="18" customHeight="1">
      <c r="A30" s="5">
        <v>28</v>
      </c>
      <c r="B30" s="6" t="s">
        <v>39</v>
      </c>
      <c r="C30" s="7" t="s">
        <v>13</v>
      </c>
      <c r="D30" s="7">
        <v>1</v>
      </c>
      <c r="E30" s="8"/>
      <c r="F30" s="8"/>
      <c r="G30" s="8"/>
      <c r="H30" s="8">
        <v>1</v>
      </c>
      <c r="I30" s="8"/>
      <c r="J30" s="8"/>
      <c r="K30" s="8"/>
      <c r="L30" s="8"/>
      <c r="M30" s="8"/>
      <c r="N30" s="8">
        <v>1</v>
      </c>
      <c r="O30" s="8"/>
      <c r="P30" s="8"/>
      <c r="Q30" s="8"/>
      <c r="R30" s="8"/>
      <c r="S30" s="8"/>
      <c r="T30" s="8">
        <v>1</v>
      </c>
      <c r="U30" s="8"/>
      <c r="V30" s="8">
        <v>1</v>
      </c>
      <c r="W30" s="8"/>
      <c r="X30" s="8"/>
      <c r="Y30" s="8"/>
      <c r="Z30" s="8">
        <v>1</v>
      </c>
      <c r="AA30" s="8"/>
      <c r="AB30" s="8"/>
      <c r="AC30" s="8"/>
      <c r="AD30" s="8">
        <v>1</v>
      </c>
      <c r="AE30" s="8"/>
      <c r="AF30" s="8"/>
      <c r="AG30" s="8"/>
      <c r="AH30" s="8"/>
      <c r="AI30" s="8"/>
      <c r="AJ30" s="8">
        <v>1</v>
      </c>
      <c r="AK30" s="8"/>
      <c r="AL30" s="8"/>
      <c r="AM30" s="8"/>
      <c r="AN30" s="8"/>
      <c r="AO30" s="8"/>
      <c r="AP30" s="8">
        <v>1</v>
      </c>
      <c r="AQ30" s="8"/>
      <c r="AR30" s="8"/>
      <c r="AS30" s="8">
        <v>1</v>
      </c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>
        <v>1</v>
      </c>
      <c r="BI30" s="8"/>
      <c r="BJ30" s="8">
        <v>1</v>
      </c>
      <c r="BK30" s="8"/>
      <c r="BL30" s="8"/>
      <c r="BM30" s="8">
        <v>1</v>
      </c>
      <c r="BN30" s="8"/>
      <c r="BO30" s="8"/>
      <c r="BP30" s="8">
        <v>1</v>
      </c>
      <c r="BQ30" s="8"/>
      <c r="BR30" s="8">
        <v>1</v>
      </c>
      <c r="BS30" s="8"/>
      <c r="BT30" s="8"/>
      <c r="BU30" s="8"/>
      <c r="BV30" s="8">
        <v>1</v>
      </c>
      <c r="BW30" s="8"/>
      <c r="BX30" s="8"/>
      <c r="BY30" s="8">
        <v>1</v>
      </c>
      <c r="BZ30" s="8"/>
      <c r="CA30" s="8"/>
      <c r="CB30" s="8"/>
      <c r="CC30" s="8"/>
      <c r="CD30" s="8">
        <v>1</v>
      </c>
      <c r="CE30" s="8"/>
      <c r="CF30" s="8"/>
      <c r="CG30" s="8"/>
      <c r="CH30" s="8">
        <v>1</v>
      </c>
      <c r="CI30" s="8"/>
      <c r="CJ30" s="8"/>
      <c r="CK30" s="8">
        <v>1</v>
      </c>
      <c r="CL30" s="8"/>
      <c r="CM30" s="8"/>
      <c r="CN30" s="8"/>
      <c r="CO30" s="8"/>
      <c r="CP30" s="8"/>
      <c r="CQ30" s="8"/>
      <c r="CR30" s="8"/>
      <c r="CS30" s="8"/>
      <c r="CT30" s="8">
        <v>1</v>
      </c>
      <c r="CU30" s="8"/>
      <c r="CV30" s="8"/>
      <c r="CW30" s="8">
        <v>1</v>
      </c>
      <c r="CX30" s="8"/>
      <c r="CY30" s="8"/>
      <c r="CZ30" s="8"/>
      <c r="DA30" s="8">
        <v>1</v>
      </c>
      <c r="DB30" s="8"/>
      <c r="DC30" s="8"/>
      <c r="DD30" s="8"/>
      <c r="DE30" s="8"/>
      <c r="DF30" s="8"/>
      <c r="DG30" s="8"/>
      <c r="DH30" s="8">
        <v>1</v>
      </c>
      <c r="DI30" s="8"/>
      <c r="DJ30" s="8"/>
      <c r="DK30" s="8"/>
      <c r="DL30" s="8">
        <v>1</v>
      </c>
      <c r="DM30" s="8"/>
      <c r="DN30" s="8"/>
      <c r="DO30" s="8"/>
      <c r="DP30" s="8">
        <v>1</v>
      </c>
      <c r="DQ30" s="8"/>
      <c r="DR30" s="8"/>
      <c r="DS30" s="8"/>
      <c r="DT30" s="8"/>
      <c r="DU30" s="8"/>
      <c r="DV30" s="8">
        <v>1</v>
      </c>
      <c r="DW30" s="8"/>
      <c r="DX30" s="8"/>
      <c r="DY30" s="19">
        <f t="shared" si="10"/>
        <v>26</v>
      </c>
      <c r="DZ30" s="20">
        <f t="shared" si="0"/>
        <v>26</v>
      </c>
    </row>
    <row r="31" spans="1:130" ht="18" customHeight="1">
      <c r="A31" s="5">
        <v>29</v>
      </c>
      <c r="B31" s="6" t="s">
        <v>40</v>
      </c>
      <c r="C31" s="7" t="s">
        <v>41</v>
      </c>
      <c r="D31" s="7">
        <v>3.125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>
        <v>1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19"/>
      <c r="DZ31" s="20">
        <f t="shared" si="0"/>
        <v>0</v>
      </c>
    </row>
    <row r="32" spans="1:130" ht="18" customHeight="1">
      <c r="A32" s="5">
        <v>30</v>
      </c>
      <c r="B32" s="6" t="s">
        <v>42</v>
      </c>
      <c r="C32" s="7" t="s">
        <v>41</v>
      </c>
      <c r="D32" s="7">
        <v>3.125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19"/>
      <c r="DZ32" s="20">
        <f t="shared" si="0"/>
        <v>0</v>
      </c>
    </row>
    <row r="33" spans="1:130" ht="18" customHeight="1">
      <c r="A33" s="5">
        <v>31</v>
      </c>
      <c r="B33" s="6" t="s">
        <v>43</v>
      </c>
      <c r="C33" s="7" t="s">
        <v>13</v>
      </c>
      <c r="D33" s="7">
        <v>1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19"/>
      <c r="DZ33" s="20">
        <f t="shared" si="0"/>
        <v>0</v>
      </c>
    </row>
    <row r="34" spans="1:130" ht="18" customHeight="1">
      <c r="A34" s="5">
        <v>32</v>
      </c>
      <c r="B34" s="6" t="s">
        <v>44</v>
      </c>
      <c r="C34" s="7" t="s">
        <v>13</v>
      </c>
      <c r="D34" s="7">
        <v>8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19"/>
      <c r="DZ34" s="20">
        <f t="shared" si="0"/>
        <v>0</v>
      </c>
    </row>
    <row r="35" spans="1:130" ht="18" customHeight="1">
      <c r="A35" s="5">
        <v>33</v>
      </c>
      <c r="B35" s="6" t="s">
        <v>45</v>
      </c>
      <c r="C35" s="7" t="s">
        <v>13</v>
      </c>
      <c r="D35" s="7">
        <v>1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19"/>
      <c r="DZ35" s="20">
        <f t="shared" si="0"/>
        <v>0</v>
      </c>
    </row>
    <row r="36" spans="1:130" ht="18" customHeight="1">
      <c r="A36" s="26"/>
      <c r="B36" s="27"/>
      <c r="C36" s="27"/>
      <c r="D36" s="2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19"/>
      <c r="DZ36" s="20">
        <f>SUM(DZ3:DZ35)</f>
        <v>1090.0999999999999</v>
      </c>
    </row>
    <row r="37" spans="1:130" ht="18" customHeight="1">
      <c r="A37" s="29" t="s">
        <v>47</v>
      </c>
      <c r="B37" s="30"/>
      <c r="C37" s="30"/>
      <c r="D37" s="31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19"/>
      <c r="DZ37" s="19"/>
    </row>
    <row r="38" spans="1:130" ht="18" customHeight="1">
      <c r="A38" s="29" t="s">
        <v>48</v>
      </c>
      <c r="B38" s="30"/>
      <c r="C38" s="30"/>
      <c r="D38" s="31"/>
      <c r="E38" s="8"/>
      <c r="F38" s="8"/>
      <c r="G38" s="8"/>
      <c r="H38" s="8" t="s">
        <v>8</v>
      </c>
      <c r="I38" s="8"/>
      <c r="J38" s="8"/>
      <c r="K38" s="8"/>
      <c r="L38" s="8"/>
      <c r="M38" s="8"/>
      <c r="N38" s="8" t="s">
        <v>51</v>
      </c>
      <c r="O38" s="8"/>
      <c r="P38" s="8"/>
      <c r="Q38" s="8"/>
      <c r="R38" s="8"/>
      <c r="S38" s="8"/>
      <c r="T38" s="8" t="s">
        <v>8</v>
      </c>
      <c r="U38" s="8"/>
      <c r="V38" s="8"/>
      <c r="W38" s="8"/>
      <c r="X38" s="8"/>
      <c r="Y38" s="8"/>
      <c r="Z38" s="8" t="s">
        <v>51</v>
      </c>
      <c r="AA38" s="8"/>
      <c r="AB38" s="8"/>
      <c r="AC38" s="8"/>
      <c r="AD38" s="8" t="s">
        <v>51</v>
      </c>
      <c r="AE38" s="8"/>
      <c r="AF38" s="8"/>
      <c r="AG38" s="8"/>
      <c r="AH38" s="8"/>
      <c r="AI38" s="8"/>
      <c r="AJ38" s="8" t="s">
        <v>8</v>
      </c>
      <c r="AK38" s="8"/>
      <c r="AL38" s="8"/>
      <c r="AM38" s="8"/>
      <c r="AN38" s="8"/>
      <c r="AO38" s="8"/>
      <c r="AP38" s="8" t="s">
        <v>51</v>
      </c>
      <c r="AQ38" s="8"/>
      <c r="AR38" s="8"/>
      <c r="AS38" s="8" t="s">
        <v>5</v>
      </c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 t="s">
        <v>8</v>
      </c>
      <c r="BI38" s="8"/>
      <c r="BJ38" s="8" t="s">
        <v>51</v>
      </c>
      <c r="BK38" s="8"/>
      <c r="BL38" s="8"/>
      <c r="BM38" s="8" t="s">
        <v>5</v>
      </c>
      <c r="BN38" s="8"/>
      <c r="BO38" s="8"/>
      <c r="BP38" s="8" t="s">
        <v>8</v>
      </c>
      <c r="BQ38" s="8"/>
      <c r="BR38" s="8" t="s">
        <v>51</v>
      </c>
      <c r="BS38" s="8"/>
      <c r="BT38" s="8"/>
      <c r="BU38" s="8"/>
      <c r="BV38" s="8" t="s">
        <v>51</v>
      </c>
      <c r="BW38" s="8"/>
      <c r="BX38" s="8"/>
      <c r="BY38" s="8" t="s">
        <v>5</v>
      </c>
      <c r="BZ38" s="8"/>
      <c r="CA38" s="8"/>
      <c r="CB38" s="8"/>
      <c r="CC38" s="8"/>
      <c r="CD38" s="8" t="s">
        <v>51</v>
      </c>
      <c r="CE38" s="8"/>
      <c r="CF38" s="8"/>
      <c r="CG38" s="8"/>
      <c r="CH38" s="8" t="s">
        <v>51</v>
      </c>
      <c r="CI38" s="8"/>
      <c r="CJ38" s="8"/>
      <c r="CK38" s="8" t="s">
        <v>5</v>
      </c>
      <c r="CL38" s="8"/>
      <c r="CM38" s="8"/>
      <c r="CN38" s="8"/>
      <c r="CO38" s="8"/>
      <c r="CP38" s="8"/>
      <c r="CQ38" s="8"/>
      <c r="CR38" s="8"/>
      <c r="CS38" s="8"/>
      <c r="CT38" s="8" t="s">
        <v>51</v>
      </c>
      <c r="CU38" s="8"/>
      <c r="CV38" s="8"/>
      <c r="CW38" s="8" t="s">
        <v>5</v>
      </c>
      <c r="CX38" s="8"/>
      <c r="CY38" s="8"/>
      <c r="CZ38" s="8"/>
      <c r="DA38" s="8" t="s">
        <v>5</v>
      </c>
      <c r="DB38" s="8"/>
      <c r="DC38" s="8"/>
      <c r="DD38" s="8"/>
      <c r="DE38" s="8"/>
      <c r="DF38" s="8"/>
      <c r="DG38" s="8"/>
      <c r="DH38" s="8" t="s">
        <v>8</v>
      </c>
      <c r="DI38" s="8"/>
      <c r="DJ38" s="8"/>
      <c r="DK38" s="8"/>
      <c r="DL38" s="8" t="s">
        <v>8</v>
      </c>
      <c r="DM38" s="8"/>
      <c r="DN38" s="8"/>
      <c r="DO38" s="8"/>
      <c r="DP38" s="8" t="s">
        <v>8</v>
      </c>
      <c r="DQ38" s="8"/>
      <c r="DR38" s="8"/>
      <c r="DS38" s="8"/>
      <c r="DT38" s="8"/>
      <c r="DU38" s="8"/>
      <c r="DV38" s="8" t="s">
        <v>51</v>
      </c>
      <c r="DW38" s="8"/>
      <c r="DX38" s="8"/>
      <c r="DY38" s="19"/>
      <c r="DZ38" s="19"/>
    </row>
    <row r="39" spans="1:130" ht="18" customHeight="1">
      <c r="A39" s="29"/>
      <c r="B39" s="30"/>
      <c r="C39" s="30"/>
      <c r="D39" s="31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19"/>
      <c r="DZ39" s="19"/>
    </row>
    <row r="40" spans="1:130" ht="18" customHeight="1">
      <c r="A40" s="32"/>
      <c r="B40" s="32"/>
      <c r="C40" s="32"/>
      <c r="D40" s="32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19"/>
      <c r="DZ40" s="19"/>
    </row>
    <row r="41" spans="1:130" ht="18" customHeight="1">
      <c r="A41" s="32" t="s">
        <v>46</v>
      </c>
      <c r="B41" s="32"/>
      <c r="C41" s="32"/>
      <c r="D41" s="32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19">
        <f>SUM(DY3:DY40)</f>
        <v>1249</v>
      </c>
      <c r="DZ41" s="33">
        <v>1090.0999999999999</v>
      </c>
    </row>
    <row r="42" spans="1:130">
      <c r="A42" s="12"/>
      <c r="B42" s="13"/>
      <c r="C42" s="14"/>
      <c r="D42" s="12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</row>
    <row r="43" spans="1:130"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</row>
    <row r="44" spans="1:130"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</row>
    <row r="45" spans="1:130"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</row>
    <row r="46" spans="1:130"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</row>
    <row r="47" spans="1:130"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</row>
    <row r="48" spans="1:130">
      <c r="C48" s="9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</row>
    <row r="49" spans="3:128">
      <c r="C49" s="9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</row>
    <row r="50" spans="3:128">
      <c r="C50" s="9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</row>
    <row r="51" spans="3:128">
      <c r="C51" s="9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</row>
    <row r="52" spans="3:128">
      <c r="C52" s="9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</row>
    <row r="53" spans="3:128">
      <c r="C53" s="9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</row>
    <row r="54" spans="3:128">
      <c r="C54" s="9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</row>
    <row r="55" spans="3:128">
      <c r="C55" s="9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</row>
    <row r="56" spans="3:128">
      <c r="C56" s="9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</row>
    <row r="57" spans="3:128">
      <c r="C57" s="9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</row>
    <row r="58" spans="3:128">
      <c r="C58" s="9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</row>
    <row r="59" spans="3:128">
      <c r="C59" s="9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</row>
    <row r="60" spans="3:128">
      <c r="C60" s="9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</row>
    <row r="61" spans="3:128">
      <c r="C61" s="9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</row>
    <row r="62" spans="3:128">
      <c r="C62" s="9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</row>
    <row r="63" spans="3:128">
      <c r="C63" s="9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</row>
    <row r="64" spans="3:128">
      <c r="C64" s="9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</row>
    <row r="65" spans="3:128">
      <c r="C65" s="9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</row>
    <row r="66" spans="3:128">
      <c r="C66" s="9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</row>
    <row r="67" spans="3:128">
      <c r="C67" s="9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</row>
    <row r="68" spans="3:128">
      <c r="C68" s="9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</row>
    <row r="69" spans="3:128">
      <c r="C69" s="9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</row>
    <row r="70" spans="3:128">
      <c r="C70" s="9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</row>
    <row r="71" spans="3:128">
      <c r="C71" s="9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</row>
    <row r="72" spans="3:128">
      <c r="C72" s="9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</row>
    <row r="73" spans="3:128">
      <c r="C73" s="9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</row>
    <row r="74" spans="3:128">
      <c r="C74" s="9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</row>
    <row r="75" spans="3:128">
      <c r="C75" s="9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</row>
    <row r="76" spans="3:128">
      <c r="C76" s="9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</row>
    <row r="77" spans="3:128">
      <c r="C77" s="9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</row>
    <row r="78" spans="3:128">
      <c r="C78" s="9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</row>
    <row r="79" spans="3:128">
      <c r="C79" s="9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</row>
    <row r="80" spans="3:128">
      <c r="C80" s="9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</row>
    <row r="81" spans="3:128">
      <c r="C81" s="9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</row>
    <row r="82" spans="3:128">
      <c r="C82" s="9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</row>
    <row r="83" spans="3:128">
      <c r="C83" s="9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</row>
    <row r="84" spans="3:128">
      <c r="C84" s="9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</row>
    <row r="85" spans="3:128">
      <c r="C85" s="9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</row>
    <row r="86" spans="3:128">
      <c r="C86" s="9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</row>
    <row r="87" spans="3:128">
      <c r="C87" s="9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</row>
    <row r="88" spans="3:128">
      <c r="C88" s="9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</row>
    <row r="89" spans="3:128">
      <c r="C89" s="9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</row>
    <row r="90" spans="3:128">
      <c r="C90" s="9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</row>
    <row r="91" spans="3:128">
      <c r="C91" s="9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</row>
    <row r="92" spans="3:128">
      <c r="C92" s="9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</row>
    <row r="93" spans="3:128">
      <c r="C93" s="9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</row>
    <row r="94" spans="3:128">
      <c r="C94" s="9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</row>
    <row r="95" spans="3:128">
      <c r="C95" s="9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</row>
    <row r="96" spans="3:128">
      <c r="C96" s="9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</row>
    <row r="97" spans="3:128">
      <c r="C97" s="9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</row>
    <row r="98" spans="3:128">
      <c r="C98" s="9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</row>
    <row r="99" spans="3:128">
      <c r="C99" s="9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</row>
    <row r="100" spans="3:128">
      <c r="C100" s="9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</row>
    <row r="101" spans="3:128">
      <c r="C101" s="9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</row>
    <row r="102" spans="3:128">
      <c r="C102" s="9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</row>
    <row r="103" spans="3:128">
      <c r="C103" s="9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</row>
    <row r="104" spans="3:128">
      <c r="C104" s="9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</row>
    <row r="105" spans="3:128">
      <c r="C105" s="9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</row>
    <row r="106" spans="3:128">
      <c r="C106" s="9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</row>
    <row r="107" spans="3:128">
      <c r="C107" s="9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</row>
    <row r="108" spans="3:128">
      <c r="C108" s="9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</row>
    <row r="109" spans="3:128">
      <c r="C109" s="9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</row>
    <row r="110" spans="3:128">
      <c r="C110" s="9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</row>
    <row r="111" spans="3:128">
      <c r="C111" s="9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</row>
    <row r="112" spans="3:128">
      <c r="C112" s="9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</row>
    <row r="113" spans="3:128">
      <c r="C113" s="9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</row>
    <row r="114" spans="3:128">
      <c r="C114" s="9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</row>
    <row r="115" spans="3:128">
      <c r="C115" s="9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</row>
    <row r="116" spans="3:128">
      <c r="C116" s="9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</row>
    <row r="117" spans="3:128">
      <c r="C117" s="9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</row>
    <row r="118" spans="3:128">
      <c r="C118" s="9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</row>
    <row r="119" spans="3:128">
      <c r="C119" s="9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</row>
    <row r="120" spans="3:128">
      <c r="C120" s="9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</row>
    <row r="121" spans="3:128">
      <c r="C121" s="9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</row>
    <row r="122" spans="3:128">
      <c r="C122" s="9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</row>
    <row r="123" spans="3:128">
      <c r="C123" s="9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</row>
    <row r="124" spans="3:128">
      <c r="C124" s="9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</row>
    <row r="125" spans="3:128">
      <c r="C125" s="9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</row>
    <row r="126" spans="3:128">
      <c r="C126" s="9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</row>
    <row r="127" spans="3:128">
      <c r="C127" s="9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</row>
    <row r="128" spans="3:128">
      <c r="C128" s="9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</row>
    <row r="129" spans="3:128">
      <c r="C129" s="9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</row>
    <row r="130" spans="3:128">
      <c r="C130" s="9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</row>
    <row r="131" spans="3:128">
      <c r="C131" s="9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</row>
    <row r="132" spans="3:128">
      <c r="C132" s="9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</row>
    <row r="133" spans="3:128">
      <c r="C133" s="9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</row>
    <row r="134" spans="3:128">
      <c r="C134" s="9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</row>
    <row r="135" spans="3:128">
      <c r="C135" s="9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</row>
    <row r="136" spans="3:128">
      <c r="C136" s="9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</row>
    <row r="137" spans="3:128">
      <c r="C137" s="9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</row>
    <row r="138" spans="3:128">
      <c r="C138" s="9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</row>
    <row r="139" spans="3:128">
      <c r="C139" s="9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</row>
    <row r="140" spans="3:128">
      <c r="C140" s="9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</row>
    <row r="141" spans="3:128">
      <c r="C141" s="9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</row>
    <row r="142" spans="3:128">
      <c r="C142" s="9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</row>
    <row r="143" spans="3:128">
      <c r="C143" s="9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</row>
    <row r="144" spans="3:128">
      <c r="C144" s="9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</row>
    <row r="145" spans="3:128">
      <c r="C145" s="9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</row>
    <row r="146" spans="3:128">
      <c r="C146" s="9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</row>
    <row r="147" spans="3:128">
      <c r="C147" s="9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</row>
    <row r="148" spans="3:128">
      <c r="C148" s="9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</row>
    <row r="149" spans="3:128">
      <c r="C149" s="9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</row>
    <row r="150" spans="3:128">
      <c r="C150" s="9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</row>
    <row r="151" spans="3:128">
      <c r="C151" s="9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</row>
    <row r="152" spans="3:128">
      <c r="C152" s="9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</row>
    <row r="153" spans="3:128">
      <c r="C153" s="9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</row>
    <row r="154" spans="3:128">
      <c r="C154" s="9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  <c r="DI154" s="15"/>
      <c r="DJ154" s="15"/>
      <c r="DK154" s="15"/>
      <c r="DL154" s="15"/>
      <c r="DM154" s="15"/>
      <c r="DN154" s="15"/>
      <c r="DO154" s="15"/>
      <c r="DP154" s="15"/>
      <c r="DQ154" s="15"/>
      <c r="DR154" s="15"/>
      <c r="DS154" s="15"/>
      <c r="DT154" s="15"/>
      <c r="DU154" s="15"/>
      <c r="DV154" s="15"/>
      <c r="DW154" s="15"/>
      <c r="DX154" s="15"/>
    </row>
    <row r="155" spans="3:128">
      <c r="C155" s="9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</row>
    <row r="156" spans="3:128">
      <c r="C156" s="9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5"/>
      <c r="DH156" s="15"/>
      <c r="DI156" s="15"/>
      <c r="DJ156" s="15"/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  <c r="DU156" s="15"/>
      <c r="DV156" s="15"/>
      <c r="DW156" s="15"/>
      <c r="DX156" s="15"/>
    </row>
    <row r="157" spans="3:128">
      <c r="C157" s="9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</row>
    <row r="158" spans="3:128">
      <c r="C158" s="9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  <c r="DU158" s="15"/>
      <c r="DV158" s="15"/>
      <c r="DW158" s="15"/>
      <c r="DX158" s="15"/>
    </row>
    <row r="159" spans="3:128">
      <c r="C159" s="9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</row>
    <row r="160" spans="3:128">
      <c r="C160" s="9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5"/>
      <c r="DQ160" s="15"/>
      <c r="DR160" s="15"/>
      <c r="DS160" s="15"/>
      <c r="DT160" s="15"/>
      <c r="DU160" s="15"/>
      <c r="DV160" s="15"/>
      <c r="DW160" s="15"/>
      <c r="DX160" s="15"/>
    </row>
    <row r="161" spans="3:128">
      <c r="C161" s="9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</row>
    <row r="162" spans="3:128">
      <c r="C162" s="9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5"/>
      <c r="DL162" s="15"/>
      <c r="DM162" s="15"/>
      <c r="DN162" s="15"/>
      <c r="DO162" s="15"/>
      <c r="DP162" s="15"/>
      <c r="DQ162" s="15"/>
      <c r="DR162" s="15"/>
      <c r="DS162" s="15"/>
      <c r="DT162" s="15"/>
      <c r="DU162" s="15"/>
      <c r="DV162" s="15"/>
      <c r="DW162" s="15"/>
      <c r="DX162" s="15"/>
    </row>
    <row r="163" spans="3:128">
      <c r="C163" s="9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</row>
    <row r="164" spans="3:128">
      <c r="C164" s="9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5"/>
      <c r="DL164" s="15"/>
      <c r="DM164" s="15"/>
      <c r="DN164" s="15"/>
      <c r="DO164" s="15"/>
      <c r="DP164" s="15"/>
      <c r="DQ164" s="15"/>
      <c r="DR164" s="15"/>
      <c r="DS164" s="15"/>
      <c r="DT164" s="15"/>
      <c r="DU164" s="15"/>
      <c r="DV164" s="15"/>
      <c r="DW164" s="15"/>
      <c r="DX164" s="15"/>
    </row>
    <row r="165" spans="3:128">
      <c r="C165" s="9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</row>
    <row r="166" spans="3:128">
      <c r="C166" s="9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  <c r="DI166" s="15"/>
      <c r="DJ166" s="15"/>
      <c r="DK166" s="15"/>
      <c r="DL166" s="15"/>
      <c r="DM166" s="15"/>
      <c r="DN166" s="15"/>
      <c r="DO166" s="15"/>
      <c r="DP166" s="15"/>
      <c r="DQ166" s="15"/>
      <c r="DR166" s="15"/>
      <c r="DS166" s="15"/>
      <c r="DT166" s="15"/>
      <c r="DU166" s="15"/>
      <c r="DV166" s="15"/>
      <c r="DW166" s="15"/>
      <c r="DX166" s="15"/>
    </row>
    <row r="167" spans="3:128">
      <c r="C167" s="9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</row>
    <row r="168" spans="3:128">
      <c r="C168" s="9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  <c r="DF168" s="15"/>
      <c r="DG168" s="15"/>
      <c r="DH168" s="15"/>
      <c r="DI168" s="15"/>
      <c r="DJ168" s="15"/>
      <c r="DK168" s="15"/>
      <c r="DL168" s="15"/>
      <c r="DM168" s="15"/>
      <c r="DN168" s="15"/>
      <c r="DO168" s="15"/>
      <c r="DP168" s="15"/>
      <c r="DQ168" s="15"/>
      <c r="DR168" s="15"/>
      <c r="DS168" s="15"/>
      <c r="DT168" s="15"/>
      <c r="DU168" s="15"/>
      <c r="DV168" s="15"/>
      <c r="DW168" s="15"/>
      <c r="DX168" s="15"/>
    </row>
    <row r="169" spans="3:128">
      <c r="C169" s="9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</row>
    <row r="170" spans="3:128">
      <c r="C170" s="9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  <c r="DF170" s="15"/>
      <c r="DG170" s="15"/>
      <c r="DH170" s="15"/>
      <c r="DI170" s="15"/>
      <c r="DJ170" s="15"/>
      <c r="DK170" s="15"/>
      <c r="DL170" s="15"/>
      <c r="DM170" s="15"/>
      <c r="DN170" s="15"/>
      <c r="DO170" s="15"/>
      <c r="DP170" s="15"/>
      <c r="DQ170" s="15"/>
      <c r="DR170" s="15"/>
      <c r="DS170" s="15"/>
      <c r="DT170" s="15"/>
      <c r="DU170" s="15"/>
      <c r="DV170" s="15"/>
      <c r="DW170" s="15"/>
      <c r="DX170" s="15"/>
    </row>
    <row r="171" spans="3:128">
      <c r="C171" s="9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</row>
    <row r="172" spans="3:128">
      <c r="C172" s="9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  <c r="DF172" s="15"/>
      <c r="DG172" s="15"/>
      <c r="DH172" s="15"/>
      <c r="DI172" s="15"/>
      <c r="DJ172" s="15"/>
      <c r="DK172" s="15"/>
      <c r="DL172" s="15"/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</row>
    <row r="173" spans="3:128">
      <c r="C173" s="9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</row>
    <row r="174" spans="3:128">
      <c r="C174" s="9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  <c r="DF174" s="15"/>
      <c r="DG174" s="15"/>
      <c r="DH174" s="15"/>
      <c r="DI174" s="15"/>
      <c r="DJ174" s="15"/>
      <c r="DK174" s="15"/>
      <c r="DL174" s="15"/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5"/>
      <c r="DX174" s="15"/>
    </row>
    <row r="175" spans="3:128">
      <c r="C175" s="9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</row>
    <row r="176" spans="3:128">
      <c r="C176" s="9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  <c r="DF176" s="15"/>
      <c r="DG176" s="15"/>
      <c r="DH176" s="15"/>
      <c r="DI176" s="15"/>
      <c r="DJ176" s="15"/>
      <c r="DK176" s="15"/>
      <c r="DL176" s="15"/>
      <c r="DM176" s="15"/>
      <c r="DN176" s="15"/>
      <c r="DO176" s="15"/>
      <c r="DP176" s="15"/>
      <c r="DQ176" s="15"/>
      <c r="DR176" s="15"/>
      <c r="DS176" s="15"/>
      <c r="DT176" s="15"/>
      <c r="DU176" s="15"/>
      <c r="DV176" s="15"/>
      <c r="DW176" s="15"/>
      <c r="DX176" s="15"/>
    </row>
    <row r="177" spans="3:128">
      <c r="C177" s="9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</row>
    <row r="178" spans="3:128">
      <c r="C178" s="9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  <c r="DF178" s="15"/>
      <c r="DG178" s="15"/>
      <c r="DH178" s="15"/>
      <c r="DI178" s="15"/>
      <c r="DJ178" s="15"/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</row>
    <row r="179" spans="3:128">
      <c r="C179" s="9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</row>
    <row r="180" spans="3:128">
      <c r="C180" s="9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</row>
    <row r="181" spans="3:128">
      <c r="C181" s="9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</row>
    <row r="182" spans="3:128">
      <c r="C182" s="9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  <c r="DF182" s="15"/>
      <c r="DG182" s="15"/>
      <c r="DH182" s="15"/>
      <c r="DI182" s="15"/>
      <c r="DJ182" s="15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</row>
    <row r="183" spans="3:128">
      <c r="C183" s="9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</row>
    <row r="184" spans="3:128">
      <c r="C184" s="9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</row>
    <row r="185" spans="3:128">
      <c r="C185" s="9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</row>
    <row r="186" spans="3:128">
      <c r="C186" s="9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</row>
    <row r="187" spans="3:128">
      <c r="C187" s="9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</row>
    <row r="188" spans="3:128">
      <c r="C188" s="9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</row>
    <row r="189" spans="3:128">
      <c r="C189" s="9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</row>
    <row r="190" spans="3:128">
      <c r="C190" s="9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</row>
    <row r="191" spans="3:128">
      <c r="C191" s="9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</row>
    <row r="192" spans="3:128">
      <c r="C192" s="9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5"/>
      <c r="DI192" s="15"/>
      <c r="DJ192" s="15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5"/>
    </row>
    <row r="193" spans="3:128">
      <c r="C193" s="9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</row>
    <row r="194" spans="3:128">
      <c r="C194" s="9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5"/>
      <c r="DH194" s="15"/>
      <c r="DI194" s="15"/>
      <c r="DJ194" s="15"/>
      <c r="DK194" s="15"/>
      <c r="DL194" s="15"/>
      <c r="DM194" s="15"/>
      <c r="DN194" s="15"/>
      <c r="DO194" s="15"/>
      <c r="DP194" s="15"/>
      <c r="DQ194" s="15"/>
      <c r="DR194" s="15"/>
      <c r="DS194" s="15"/>
      <c r="DT194" s="15"/>
      <c r="DU194" s="15"/>
      <c r="DV194" s="15"/>
      <c r="DW194" s="15"/>
      <c r="DX194" s="15"/>
    </row>
    <row r="195" spans="3:128">
      <c r="C195" s="9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</row>
    <row r="196" spans="3:128">
      <c r="C196" s="9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  <c r="DF196" s="15"/>
      <c r="DG196" s="15"/>
      <c r="DH196" s="15"/>
      <c r="DI196" s="15"/>
      <c r="DJ196" s="15"/>
      <c r="DK196" s="15"/>
      <c r="DL196" s="15"/>
      <c r="DM196" s="15"/>
      <c r="DN196" s="15"/>
      <c r="DO196" s="15"/>
      <c r="DP196" s="15"/>
      <c r="DQ196" s="15"/>
      <c r="DR196" s="15"/>
      <c r="DS196" s="15"/>
      <c r="DT196" s="15"/>
      <c r="DU196" s="15"/>
      <c r="DV196" s="15"/>
      <c r="DW196" s="15"/>
      <c r="DX196" s="15"/>
    </row>
    <row r="197" spans="3:128">
      <c r="C197" s="9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</row>
    <row r="198" spans="3:128">
      <c r="C198" s="9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  <c r="DF198" s="15"/>
      <c r="DG198" s="15"/>
      <c r="DH198" s="15"/>
      <c r="DI198" s="15"/>
      <c r="DJ198" s="15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</row>
    <row r="199" spans="3:128">
      <c r="C199" s="9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</row>
    <row r="200" spans="3:128">
      <c r="C200" s="9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5"/>
      <c r="DI200" s="15"/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</row>
    <row r="201" spans="3:128">
      <c r="C201" s="9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</row>
    <row r="202" spans="3:128">
      <c r="C202" s="9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  <c r="DI202" s="15"/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</row>
    <row r="203" spans="3:128">
      <c r="C203" s="9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</row>
    <row r="204" spans="3:128">
      <c r="C204" s="9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  <c r="DI204" s="15"/>
      <c r="DJ204" s="15"/>
      <c r="DK204" s="15"/>
      <c r="DL204" s="15"/>
      <c r="DM204" s="15"/>
      <c r="DN204" s="15"/>
      <c r="DO204" s="15"/>
      <c r="DP204" s="15"/>
      <c r="DQ204" s="15"/>
      <c r="DR204" s="15"/>
      <c r="DS204" s="15"/>
      <c r="DT204" s="15"/>
      <c r="DU204" s="15"/>
      <c r="DV204" s="15"/>
      <c r="DW204" s="15"/>
      <c r="DX204" s="15"/>
    </row>
    <row r="205" spans="3:128">
      <c r="C205" s="9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</row>
    <row r="206" spans="3:128">
      <c r="C206" s="9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  <c r="DF206" s="15"/>
      <c r="DG206" s="15"/>
      <c r="DH206" s="15"/>
      <c r="DI206" s="15"/>
      <c r="DJ206" s="15"/>
      <c r="DK206" s="15"/>
      <c r="DL206" s="15"/>
      <c r="DM206" s="15"/>
      <c r="DN206" s="15"/>
      <c r="DO206" s="15"/>
      <c r="DP206" s="15"/>
      <c r="DQ206" s="15"/>
      <c r="DR206" s="15"/>
      <c r="DS206" s="15"/>
      <c r="DT206" s="15"/>
      <c r="DU206" s="15"/>
      <c r="DV206" s="15"/>
      <c r="DW206" s="15"/>
      <c r="DX206" s="15"/>
    </row>
    <row r="207" spans="3:128">
      <c r="C207" s="9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</row>
    <row r="208" spans="3:128">
      <c r="C208" s="9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5"/>
      <c r="DL208" s="15"/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5"/>
      <c r="DX208" s="15"/>
    </row>
    <row r="209" spans="3:128">
      <c r="C209" s="9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</row>
    <row r="210" spans="3:128">
      <c r="C210" s="9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5"/>
      <c r="DL210" s="15"/>
      <c r="DM210" s="15"/>
      <c r="DN210" s="15"/>
      <c r="DO210" s="15"/>
      <c r="DP210" s="15"/>
      <c r="DQ210" s="15"/>
      <c r="DR210" s="15"/>
      <c r="DS210" s="15"/>
      <c r="DT210" s="15"/>
      <c r="DU210" s="15"/>
      <c r="DV210" s="15"/>
      <c r="DW210" s="15"/>
      <c r="DX210" s="15"/>
    </row>
    <row r="211" spans="3:128">
      <c r="C211" s="9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</row>
    <row r="212" spans="3:128">
      <c r="C212" s="9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5"/>
      <c r="DL212" s="15"/>
      <c r="DM212" s="15"/>
      <c r="DN212" s="15"/>
      <c r="DO212" s="15"/>
      <c r="DP212" s="15"/>
      <c r="DQ212" s="15"/>
      <c r="DR212" s="15"/>
      <c r="DS212" s="15"/>
      <c r="DT212" s="15"/>
      <c r="DU212" s="15"/>
      <c r="DV212" s="15"/>
      <c r="DW212" s="15"/>
      <c r="DX212" s="15"/>
    </row>
    <row r="213" spans="3:128">
      <c r="C213" s="9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</row>
    <row r="214" spans="3:128">
      <c r="C214" s="9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5"/>
      <c r="DL214" s="15"/>
      <c r="DM214" s="15"/>
      <c r="DN214" s="15"/>
      <c r="DO214" s="15"/>
      <c r="DP214" s="15"/>
      <c r="DQ214" s="15"/>
      <c r="DR214" s="15"/>
      <c r="DS214" s="15"/>
      <c r="DT214" s="15"/>
      <c r="DU214" s="15"/>
      <c r="DV214" s="15"/>
      <c r="DW214" s="15"/>
      <c r="DX214" s="15"/>
    </row>
    <row r="215" spans="3:128">
      <c r="C215" s="9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</row>
    <row r="216" spans="3:128">
      <c r="C216" s="9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5"/>
      <c r="DL216" s="15"/>
      <c r="DM216" s="15"/>
      <c r="DN216" s="15"/>
      <c r="DO216" s="15"/>
      <c r="DP216" s="15"/>
      <c r="DQ216" s="15"/>
      <c r="DR216" s="15"/>
      <c r="DS216" s="15"/>
      <c r="DT216" s="15"/>
      <c r="DU216" s="15"/>
      <c r="DV216" s="15"/>
      <c r="DW216" s="15"/>
      <c r="DX216" s="15"/>
    </row>
  </sheetData>
  <mergeCells count="41">
    <mergeCell ref="A37:D37"/>
    <mergeCell ref="A38:D38"/>
    <mergeCell ref="A39:D39"/>
    <mergeCell ref="A40:D40"/>
    <mergeCell ref="A41:D41"/>
    <mergeCell ref="DE1:DH1"/>
    <mergeCell ref="DI1:DL1"/>
    <mergeCell ref="DM1:DP1"/>
    <mergeCell ref="DQ1:DT1"/>
    <mergeCell ref="DU1:DX1"/>
    <mergeCell ref="A36:D36"/>
    <mergeCell ref="CG1:CJ1"/>
    <mergeCell ref="CK1:CN1"/>
    <mergeCell ref="CO1:CR1"/>
    <mergeCell ref="CS1:CV1"/>
    <mergeCell ref="AK1:AN1"/>
    <mergeCell ref="AO1:AR1"/>
    <mergeCell ref="AS1:AV1"/>
    <mergeCell ref="AW1:AZ1"/>
    <mergeCell ref="BA1:BD1"/>
    <mergeCell ref="BE1:BH1"/>
    <mergeCell ref="M1:P1"/>
    <mergeCell ref="Q1:T1"/>
    <mergeCell ref="U1:X1"/>
    <mergeCell ref="Y1:AB1"/>
    <mergeCell ref="AC1:AF1"/>
    <mergeCell ref="CW1:CZ1"/>
    <mergeCell ref="DA1:DD1"/>
    <mergeCell ref="BI1:BL1"/>
    <mergeCell ref="BM1:BP1"/>
    <mergeCell ref="BQ1:BT1"/>
    <mergeCell ref="BU1:BX1"/>
    <mergeCell ref="BY1:CB1"/>
    <mergeCell ref="CC1:CF1"/>
    <mergeCell ref="AG1:AJ1"/>
    <mergeCell ref="A1:A2"/>
    <mergeCell ref="B1:B2"/>
    <mergeCell ref="C1:C2"/>
    <mergeCell ref="D1:D2"/>
    <mergeCell ref="E1:H1"/>
    <mergeCell ref="I1:L1"/>
  </mergeCells>
  <pageMargins left="0.7" right="0.7" top="0.75" bottom="0.75" header="0.3" footer="0.3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X217"/>
  <sheetViews>
    <sheetView topLeftCell="A28" workbookViewId="0">
      <selection activeCell="A39" sqref="A39:D39"/>
    </sheetView>
  </sheetViews>
  <sheetFormatPr defaultRowHeight="23.25"/>
  <cols>
    <col min="1" max="1" width="6.75" style="9" customWidth="1"/>
    <col min="2" max="2" width="29.5" style="9" customWidth="1"/>
    <col min="3" max="3" width="7.125" style="12" customWidth="1"/>
    <col min="4" max="4" width="6" style="9" customWidth="1"/>
    <col min="5" max="128" width="3.25" style="16" customWidth="1"/>
    <col min="129" max="16384" width="9" style="9"/>
  </cols>
  <sheetData>
    <row r="1" spans="1:128" s="1" customFormat="1">
      <c r="B1" s="1" t="s">
        <v>0</v>
      </c>
      <c r="C1" s="2"/>
    </row>
    <row r="2" spans="1:128" s="3" customFormat="1" ht="21">
      <c r="A2" s="22" t="s">
        <v>1</v>
      </c>
      <c r="B2" s="23" t="s">
        <v>2</v>
      </c>
      <c r="C2" s="23" t="s">
        <v>3</v>
      </c>
      <c r="D2" s="25" t="s">
        <v>4</v>
      </c>
      <c r="E2" s="21">
        <v>1</v>
      </c>
      <c r="F2" s="21"/>
      <c r="G2" s="21"/>
      <c r="H2" s="21"/>
      <c r="I2" s="21">
        <v>2</v>
      </c>
      <c r="J2" s="21"/>
      <c r="K2" s="21"/>
      <c r="L2" s="21"/>
      <c r="M2" s="21">
        <v>3</v>
      </c>
      <c r="N2" s="21"/>
      <c r="O2" s="21"/>
      <c r="P2" s="21"/>
      <c r="Q2" s="21">
        <v>4</v>
      </c>
      <c r="R2" s="21"/>
      <c r="S2" s="21"/>
      <c r="T2" s="21"/>
      <c r="U2" s="21">
        <v>5</v>
      </c>
      <c r="V2" s="21"/>
      <c r="W2" s="21"/>
      <c r="X2" s="21"/>
      <c r="Y2" s="21">
        <v>6</v>
      </c>
      <c r="Z2" s="21"/>
      <c r="AA2" s="21"/>
      <c r="AB2" s="21"/>
      <c r="AC2" s="21">
        <v>7</v>
      </c>
      <c r="AD2" s="21"/>
      <c r="AE2" s="21"/>
      <c r="AF2" s="21"/>
      <c r="AG2" s="21">
        <v>8</v>
      </c>
      <c r="AH2" s="21"/>
      <c r="AI2" s="21"/>
      <c r="AJ2" s="21"/>
      <c r="AK2" s="21">
        <v>9</v>
      </c>
      <c r="AL2" s="21"/>
      <c r="AM2" s="21"/>
      <c r="AN2" s="21"/>
      <c r="AO2" s="21">
        <v>10</v>
      </c>
      <c r="AP2" s="21"/>
      <c r="AQ2" s="21"/>
      <c r="AR2" s="21"/>
      <c r="AS2" s="21">
        <v>11</v>
      </c>
      <c r="AT2" s="21"/>
      <c r="AU2" s="21"/>
      <c r="AV2" s="21"/>
      <c r="AW2" s="21">
        <v>12</v>
      </c>
      <c r="AX2" s="21"/>
      <c r="AY2" s="21"/>
      <c r="AZ2" s="21"/>
      <c r="BA2" s="21">
        <v>13</v>
      </c>
      <c r="BB2" s="21"/>
      <c r="BC2" s="21"/>
      <c r="BD2" s="21"/>
      <c r="BE2" s="21">
        <v>14</v>
      </c>
      <c r="BF2" s="21"/>
      <c r="BG2" s="21"/>
      <c r="BH2" s="21"/>
      <c r="BI2" s="21">
        <v>15</v>
      </c>
      <c r="BJ2" s="21"/>
      <c r="BK2" s="21"/>
      <c r="BL2" s="21"/>
      <c r="BM2" s="21">
        <v>16</v>
      </c>
      <c r="BN2" s="21"/>
      <c r="BO2" s="21"/>
      <c r="BP2" s="21"/>
      <c r="BQ2" s="21">
        <v>17</v>
      </c>
      <c r="BR2" s="21"/>
      <c r="BS2" s="21"/>
      <c r="BT2" s="21"/>
      <c r="BU2" s="21">
        <v>18</v>
      </c>
      <c r="BV2" s="21"/>
      <c r="BW2" s="21"/>
      <c r="BX2" s="21"/>
      <c r="BY2" s="21">
        <v>19</v>
      </c>
      <c r="BZ2" s="21"/>
      <c r="CA2" s="21"/>
      <c r="CB2" s="21"/>
      <c r="CC2" s="21">
        <v>20</v>
      </c>
      <c r="CD2" s="21"/>
      <c r="CE2" s="21"/>
      <c r="CF2" s="21"/>
      <c r="CG2" s="21">
        <v>21</v>
      </c>
      <c r="CH2" s="21"/>
      <c r="CI2" s="21"/>
      <c r="CJ2" s="21"/>
      <c r="CK2" s="21">
        <v>22</v>
      </c>
      <c r="CL2" s="21"/>
      <c r="CM2" s="21"/>
      <c r="CN2" s="21"/>
      <c r="CO2" s="21">
        <v>23</v>
      </c>
      <c r="CP2" s="21"/>
      <c r="CQ2" s="21"/>
      <c r="CR2" s="21"/>
      <c r="CS2" s="21">
        <v>24</v>
      </c>
      <c r="CT2" s="21"/>
      <c r="CU2" s="21"/>
      <c r="CV2" s="21"/>
      <c r="CW2" s="21">
        <v>25</v>
      </c>
      <c r="CX2" s="21"/>
      <c r="CY2" s="21"/>
      <c r="CZ2" s="21"/>
      <c r="DA2" s="21">
        <v>26</v>
      </c>
      <c r="DB2" s="21"/>
      <c r="DC2" s="21"/>
      <c r="DD2" s="21"/>
      <c r="DE2" s="21">
        <v>27</v>
      </c>
      <c r="DF2" s="21"/>
      <c r="DG2" s="21"/>
      <c r="DH2" s="21"/>
      <c r="DI2" s="21">
        <v>28</v>
      </c>
      <c r="DJ2" s="21"/>
      <c r="DK2" s="21"/>
      <c r="DL2" s="21"/>
      <c r="DM2" s="21">
        <v>29</v>
      </c>
      <c r="DN2" s="21"/>
      <c r="DO2" s="21"/>
      <c r="DP2" s="21"/>
      <c r="DQ2" s="21">
        <v>30</v>
      </c>
      <c r="DR2" s="21"/>
      <c r="DS2" s="21"/>
      <c r="DT2" s="21"/>
      <c r="DU2" s="21">
        <v>31</v>
      </c>
      <c r="DV2" s="21"/>
      <c r="DW2" s="21"/>
      <c r="DX2" s="21"/>
    </row>
    <row r="3" spans="1:128" s="3" customFormat="1" ht="21">
      <c r="A3" s="22"/>
      <c r="B3" s="24"/>
      <c r="C3" s="24"/>
      <c r="D3" s="25"/>
      <c r="E3" s="4" t="s">
        <v>5</v>
      </c>
      <c r="F3" s="4" t="s">
        <v>6</v>
      </c>
      <c r="G3" s="4" t="s">
        <v>7</v>
      </c>
      <c r="H3" s="4" t="s">
        <v>8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5</v>
      </c>
      <c r="N3" s="4" t="s">
        <v>6</v>
      </c>
      <c r="O3" s="4" t="s">
        <v>7</v>
      </c>
      <c r="P3" s="4" t="s">
        <v>8</v>
      </c>
      <c r="Q3" s="4" t="s">
        <v>5</v>
      </c>
      <c r="R3" s="4" t="s">
        <v>6</v>
      </c>
      <c r="S3" s="4" t="s">
        <v>7</v>
      </c>
      <c r="T3" s="4" t="s">
        <v>8</v>
      </c>
      <c r="U3" s="4" t="s">
        <v>5</v>
      </c>
      <c r="V3" s="4" t="s">
        <v>6</v>
      </c>
      <c r="W3" s="4" t="s">
        <v>7</v>
      </c>
      <c r="X3" s="4" t="s">
        <v>8</v>
      </c>
      <c r="Y3" s="4" t="s">
        <v>5</v>
      </c>
      <c r="Z3" s="4" t="s">
        <v>6</v>
      </c>
      <c r="AA3" s="4" t="s">
        <v>7</v>
      </c>
      <c r="AB3" s="4" t="s">
        <v>8</v>
      </c>
      <c r="AC3" s="4" t="s">
        <v>5</v>
      </c>
      <c r="AD3" s="4" t="s">
        <v>6</v>
      </c>
      <c r="AE3" s="4" t="s">
        <v>7</v>
      </c>
      <c r="AF3" s="4" t="s">
        <v>8</v>
      </c>
      <c r="AG3" s="4" t="s">
        <v>5</v>
      </c>
      <c r="AH3" s="4" t="s">
        <v>6</v>
      </c>
      <c r="AI3" s="4" t="s">
        <v>7</v>
      </c>
      <c r="AJ3" s="4" t="s">
        <v>8</v>
      </c>
      <c r="AK3" s="4" t="s">
        <v>5</v>
      </c>
      <c r="AL3" s="4" t="s">
        <v>6</v>
      </c>
      <c r="AM3" s="4" t="s">
        <v>7</v>
      </c>
      <c r="AN3" s="4" t="s">
        <v>8</v>
      </c>
      <c r="AO3" s="4" t="s">
        <v>5</v>
      </c>
      <c r="AP3" s="4" t="s">
        <v>6</v>
      </c>
      <c r="AQ3" s="4" t="s">
        <v>7</v>
      </c>
      <c r="AR3" s="4" t="s">
        <v>8</v>
      </c>
      <c r="AS3" s="4" t="s">
        <v>5</v>
      </c>
      <c r="AT3" s="4" t="s">
        <v>6</v>
      </c>
      <c r="AU3" s="4" t="s">
        <v>7</v>
      </c>
      <c r="AV3" s="4" t="s">
        <v>8</v>
      </c>
      <c r="AW3" s="4" t="s">
        <v>5</v>
      </c>
      <c r="AX3" s="4" t="s">
        <v>6</v>
      </c>
      <c r="AY3" s="4" t="s">
        <v>7</v>
      </c>
      <c r="AZ3" s="4" t="s">
        <v>8</v>
      </c>
      <c r="BA3" s="4" t="s">
        <v>5</v>
      </c>
      <c r="BB3" s="4" t="s">
        <v>6</v>
      </c>
      <c r="BC3" s="4" t="s">
        <v>7</v>
      </c>
      <c r="BD3" s="4" t="s">
        <v>8</v>
      </c>
      <c r="BE3" s="4" t="s">
        <v>5</v>
      </c>
      <c r="BF3" s="4" t="s">
        <v>6</v>
      </c>
      <c r="BG3" s="4" t="s">
        <v>7</v>
      </c>
      <c r="BH3" s="4" t="s">
        <v>8</v>
      </c>
      <c r="BI3" s="4" t="s">
        <v>5</v>
      </c>
      <c r="BJ3" s="4" t="s">
        <v>6</v>
      </c>
      <c r="BK3" s="4" t="s">
        <v>7</v>
      </c>
      <c r="BL3" s="4" t="s">
        <v>8</v>
      </c>
      <c r="BM3" s="4" t="s">
        <v>5</v>
      </c>
      <c r="BN3" s="4" t="s">
        <v>6</v>
      </c>
      <c r="BO3" s="4" t="s">
        <v>7</v>
      </c>
      <c r="BP3" s="4" t="s">
        <v>8</v>
      </c>
      <c r="BQ3" s="4" t="s">
        <v>5</v>
      </c>
      <c r="BR3" s="4" t="s">
        <v>6</v>
      </c>
      <c r="BS3" s="4" t="s">
        <v>7</v>
      </c>
      <c r="BT3" s="4" t="s">
        <v>8</v>
      </c>
      <c r="BU3" s="4" t="s">
        <v>5</v>
      </c>
      <c r="BV3" s="4" t="s">
        <v>6</v>
      </c>
      <c r="BW3" s="4" t="s">
        <v>7</v>
      </c>
      <c r="BX3" s="4" t="s">
        <v>8</v>
      </c>
      <c r="BY3" s="4" t="s">
        <v>5</v>
      </c>
      <c r="BZ3" s="4" t="s">
        <v>6</v>
      </c>
      <c r="CA3" s="4" t="s">
        <v>7</v>
      </c>
      <c r="CB3" s="4" t="s">
        <v>8</v>
      </c>
      <c r="CC3" s="4" t="s">
        <v>5</v>
      </c>
      <c r="CD3" s="4" t="s">
        <v>6</v>
      </c>
      <c r="CE3" s="4" t="s">
        <v>7</v>
      </c>
      <c r="CF3" s="4" t="s">
        <v>8</v>
      </c>
      <c r="CG3" s="4" t="s">
        <v>5</v>
      </c>
      <c r="CH3" s="4" t="s">
        <v>6</v>
      </c>
      <c r="CI3" s="4" t="s">
        <v>7</v>
      </c>
      <c r="CJ3" s="4" t="s">
        <v>8</v>
      </c>
      <c r="CK3" s="4" t="s">
        <v>5</v>
      </c>
      <c r="CL3" s="4" t="s">
        <v>6</v>
      </c>
      <c r="CM3" s="4" t="s">
        <v>7</v>
      </c>
      <c r="CN3" s="4" t="s">
        <v>8</v>
      </c>
      <c r="CO3" s="4" t="s">
        <v>5</v>
      </c>
      <c r="CP3" s="4" t="s">
        <v>6</v>
      </c>
      <c r="CQ3" s="4" t="s">
        <v>7</v>
      </c>
      <c r="CR3" s="4" t="s">
        <v>8</v>
      </c>
      <c r="CS3" s="4" t="s">
        <v>5</v>
      </c>
      <c r="CT3" s="4" t="s">
        <v>6</v>
      </c>
      <c r="CU3" s="4" t="s">
        <v>7</v>
      </c>
      <c r="CV3" s="4" t="s">
        <v>8</v>
      </c>
      <c r="CW3" s="4" t="s">
        <v>5</v>
      </c>
      <c r="CX3" s="4" t="s">
        <v>6</v>
      </c>
      <c r="CY3" s="4" t="s">
        <v>7</v>
      </c>
      <c r="CZ3" s="4" t="s">
        <v>8</v>
      </c>
      <c r="DA3" s="4" t="s">
        <v>5</v>
      </c>
      <c r="DB3" s="4" t="s">
        <v>6</v>
      </c>
      <c r="DC3" s="4" t="s">
        <v>7</v>
      </c>
      <c r="DD3" s="4" t="s">
        <v>8</v>
      </c>
      <c r="DE3" s="4" t="s">
        <v>5</v>
      </c>
      <c r="DF3" s="4" t="s">
        <v>6</v>
      </c>
      <c r="DG3" s="4" t="s">
        <v>7</v>
      </c>
      <c r="DH3" s="4" t="s">
        <v>8</v>
      </c>
      <c r="DI3" s="4" t="s">
        <v>5</v>
      </c>
      <c r="DJ3" s="4" t="s">
        <v>6</v>
      </c>
      <c r="DK3" s="4" t="s">
        <v>7</v>
      </c>
      <c r="DL3" s="4" t="s">
        <v>8</v>
      </c>
      <c r="DM3" s="4" t="s">
        <v>5</v>
      </c>
      <c r="DN3" s="4" t="s">
        <v>6</v>
      </c>
      <c r="DO3" s="4" t="s">
        <v>7</v>
      </c>
      <c r="DP3" s="4" t="s">
        <v>8</v>
      </c>
      <c r="DQ3" s="4" t="s">
        <v>5</v>
      </c>
      <c r="DR3" s="4" t="s">
        <v>6</v>
      </c>
      <c r="DS3" s="4" t="s">
        <v>7</v>
      </c>
      <c r="DT3" s="4" t="s">
        <v>8</v>
      </c>
      <c r="DU3" s="4" t="s">
        <v>5</v>
      </c>
      <c r="DV3" s="4" t="s">
        <v>6</v>
      </c>
      <c r="DW3" s="4" t="s">
        <v>7</v>
      </c>
      <c r="DX3" s="4" t="s">
        <v>8</v>
      </c>
    </row>
    <row r="4" spans="1:128" ht="18" customHeight="1">
      <c r="A4" s="5">
        <v>1</v>
      </c>
      <c r="B4" s="6" t="s">
        <v>9</v>
      </c>
      <c r="C4" s="7" t="s">
        <v>10</v>
      </c>
      <c r="D4" s="7">
        <v>0.3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</row>
    <row r="5" spans="1:128" ht="18" customHeight="1">
      <c r="A5" s="5">
        <v>2</v>
      </c>
      <c r="B5" s="6" t="s">
        <v>11</v>
      </c>
      <c r="C5" s="7" t="s">
        <v>10</v>
      </c>
      <c r="D5" s="7">
        <v>0.5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</row>
    <row r="6" spans="1:128" ht="18" customHeight="1">
      <c r="A6" s="5">
        <v>3</v>
      </c>
      <c r="B6" s="6" t="s">
        <v>12</v>
      </c>
      <c r="C6" s="7" t="s">
        <v>13</v>
      </c>
      <c r="D6" s="7">
        <v>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</row>
    <row r="7" spans="1:128" ht="18" customHeight="1">
      <c r="A7" s="5">
        <v>4</v>
      </c>
      <c r="B7" s="6" t="s">
        <v>14</v>
      </c>
      <c r="C7" s="7" t="s">
        <v>13</v>
      </c>
      <c r="D7" s="7">
        <v>0.7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</row>
    <row r="8" spans="1:128" ht="18" customHeight="1">
      <c r="A8" s="5">
        <v>5</v>
      </c>
      <c r="B8" s="6" t="s">
        <v>15</v>
      </c>
      <c r="C8" s="7" t="s">
        <v>13</v>
      </c>
      <c r="D8" s="7">
        <v>1.2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</row>
    <row r="9" spans="1:128" ht="18" customHeight="1">
      <c r="A9" s="5">
        <v>6</v>
      </c>
      <c r="B9" s="6" t="s">
        <v>16</v>
      </c>
      <c r="C9" s="7" t="s">
        <v>13</v>
      </c>
      <c r="D9" s="7">
        <v>1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</row>
    <row r="10" spans="1:128" ht="18" customHeight="1">
      <c r="A10" s="5">
        <v>7</v>
      </c>
      <c r="B10" s="6" t="s">
        <v>17</v>
      </c>
      <c r="C10" s="7" t="s">
        <v>13</v>
      </c>
      <c r="D10" s="7">
        <v>2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</row>
    <row r="11" spans="1:128" ht="18" customHeight="1">
      <c r="A11" s="5">
        <v>8</v>
      </c>
      <c r="B11" s="6" t="s">
        <v>18</v>
      </c>
      <c r="C11" s="7" t="s">
        <v>13</v>
      </c>
      <c r="D11" s="7">
        <v>2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</row>
    <row r="12" spans="1:128" ht="18" customHeight="1">
      <c r="A12" s="5">
        <v>9</v>
      </c>
      <c r="B12" s="6" t="s">
        <v>19</v>
      </c>
      <c r="C12" s="7" t="s">
        <v>20</v>
      </c>
      <c r="D12" s="7">
        <v>1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</row>
    <row r="13" spans="1:128" ht="18" customHeight="1">
      <c r="A13" s="5">
        <v>10</v>
      </c>
      <c r="B13" s="6" t="s">
        <v>21</v>
      </c>
      <c r="C13" s="7" t="s">
        <v>13</v>
      </c>
      <c r="D13" s="7">
        <v>0.5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</row>
    <row r="14" spans="1:128" ht="18" customHeight="1">
      <c r="A14" s="5">
        <v>11</v>
      </c>
      <c r="B14" s="6" t="s">
        <v>22</v>
      </c>
      <c r="C14" s="7" t="s">
        <v>13</v>
      </c>
      <c r="D14" s="7">
        <v>1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</row>
    <row r="15" spans="1:128" ht="18" customHeight="1">
      <c r="A15" s="5">
        <v>12</v>
      </c>
      <c r="B15" s="6" t="s">
        <v>23</v>
      </c>
      <c r="C15" s="7" t="s">
        <v>13</v>
      </c>
      <c r="D15" s="7">
        <v>1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</row>
    <row r="16" spans="1:128" ht="18" customHeight="1">
      <c r="A16" s="5">
        <v>13</v>
      </c>
      <c r="B16" s="6" t="s">
        <v>24</v>
      </c>
      <c r="C16" s="7" t="s">
        <v>10</v>
      </c>
      <c r="D16" s="7">
        <v>0.7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</row>
    <row r="17" spans="1:128" ht="18" customHeight="1">
      <c r="A17" s="5">
        <v>14</v>
      </c>
      <c r="B17" s="6" t="s">
        <v>25</v>
      </c>
      <c r="C17" s="7" t="s">
        <v>10</v>
      </c>
      <c r="D17" s="7">
        <v>0.3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</row>
    <row r="18" spans="1:128" ht="18" customHeight="1">
      <c r="A18" s="5">
        <v>15</v>
      </c>
      <c r="B18" s="6" t="s">
        <v>26</v>
      </c>
      <c r="C18" s="7" t="s">
        <v>10</v>
      </c>
      <c r="D18" s="7">
        <v>0.3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</row>
    <row r="19" spans="1:128" ht="18" customHeight="1">
      <c r="A19" s="5">
        <v>16</v>
      </c>
      <c r="B19" s="6" t="s">
        <v>27</v>
      </c>
      <c r="C19" s="7" t="s">
        <v>10</v>
      </c>
      <c r="D19" s="7">
        <v>0.5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</row>
    <row r="20" spans="1:128" ht="18" customHeight="1">
      <c r="A20" s="5">
        <v>17</v>
      </c>
      <c r="B20" s="6" t="s">
        <v>28</v>
      </c>
      <c r="C20" s="7" t="s">
        <v>13</v>
      </c>
      <c r="D20" s="7">
        <v>5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</row>
    <row r="21" spans="1:128" ht="18" customHeight="1">
      <c r="A21" s="5">
        <v>18</v>
      </c>
      <c r="B21" s="6" t="s">
        <v>29</v>
      </c>
      <c r="C21" s="7" t="s">
        <v>10</v>
      </c>
      <c r="D21" s="7">
        <v>1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</row>
    <row r="22" spans="1:128" ht="18" customHeight="1">
      <c r="A22" s="5">
        <v>19</v>
      </c>
      <c r="B22" s="6" t="s">
        <v>30</v>
      </c>
      <c r="C22" s="7" t="s">
        <v>10</v>
      </c>
      <c r="D22" s="7">
        <v>1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</row>
    <row r="23" spans="1:128" ht="18" customHeight="1">
      <c r="A23" s="5">
        <v>20</v>
      </c>
      <c r="B23" s="6" t="s">
        <v>31</v>
      </c>
      <c r="C23" s="7" t="s">
        <v>13</v>
      </c>
      <c r="D23" s="7">
        <v>1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</row>
    <row r="24" spans="1:128" ht="18" customHeight="1">
      <c r="A24" s="5">
        <v>21</v>
      </c>
      <c r="B24" s="6" t="s">
        <v>32</v>
      </c>
      <c r="C24" s="7" t="s">
        <v>13</v>
      </c>
      <c r="D24" s="7">
        <v>10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</row>
    <row r="25" spans="1:128" ht="18" customHeight="1">
      <c r="A25" s="5">
        <v>22</v>
      </c>
      <c r="B25" s="6" t="s">
        <v>33</v>
      </c>
      <c r="C25" s="7" t="s">
        <v>13</v>
      </c>
      <c r="D25" s="7">
        <v>0.5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</row>
    <row r="26" spans="1:128" ht="18" customHeight="1">
      <c r="A26" s="5">
        <v>23</v>
      </c>
      <c r="B26" s="10" t="s">
        <v>34</v>
      </c>
      <c r="C26" s="11" t="s">
        <v>13</v>
      </c>
      <c r="D26" s="7">
        <v>1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</row>
    <row r="27" spans="1:128" ht="18" customHeight="1">
      <c r="A27" s="5">
        <v>24</v>
      </c>
      <c r="B27" s="6" t="s">
        <v>35</v>
      </c>
      <c r="C27" s="7" t="s">
        <v>13</v>
      </c>
      <c r="D27" s="7">
        <v>1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</row>
    <row r="28" spans="1:128" ht="18" customHeight="1">
      <c r="A28" s="5">
        <v>25</v>
      </c>
      <c r="B28" s="6" t="s">
        <v>36</v>
      </c>
      <c r="C28" s="7" t="s">
        <v>13</v>
      </c>
      <c r="D28" s="7">
        <v>1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</row>
    <row r="29" spans="1:128" ht="18" customHeight="1">
      <c r="A29" s="5">
        <v>26</v>
      </c>
      <c r="B29" s="6" t="s">
        <v>37</v>
      </c>
      <c r="C29" s="7" t="s">
        <v>13</v>
      </c>
      <c r="D29" s="7">
        <v>2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</row>
    <row r="30" spans="1:128" ht="18" customHeight="1">
      <c r="A30" s="5">
        <v>27</v>
      </c>
      <c r="B30" s="6" t="s">
        <v>38</v>
      </c>
      <c r="C30" s="7" t="s">
        <v>13</v>
      </c>
      <c r="D30" s="7">
        <v>1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</row>
    <row r="31" spans="1:128" ht="18" customHeight="1">
      <c r="A31" s="5">
        <v>28</v>
      </c>
      <c r="B31" s="6" t="s">
        <v>39</v>
      </c>
      <c r="C31" s="7" t="s">
        <v>13</v>
      </c>
      <c r="D31" s="7">
        <v>1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</row>
    <row r="32" spans="1:128" ht="18" customHeight="1">
      <c r="A32" s="5">
        <v>29</v>
      </c>
      <c r="B32" s="6" t="s">
        <v>40</v>
      </c>
      <c r="C32" s="7" t="s">
        <v>41</v>
      </c>
      <c r="D32" s="7">
        <v>3.125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</row>
    <row r="33" spans="1:128" ht="18" customHeight="1">
      <c r="A33" s="5">
        <v>30</v>
      </c>
      <c r="B33" s="6" t="s">
        <v>42</v>
      </c>
      <c r="C33" s="7" t="s">
        <v>41</v>
      </c>
      <c r="D33" s="7">
        <v>3.125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</row>
    <row r="34" spans="1:128" ht="18" customHeight="1">
      <c r="A34" s="5">
        <v>31</v>
      </c>
      <c r="B34" s="6" t="s">
        <v>43</v>
      </c>
      <c r="C34" s="7" t="s">
        <v>13</v>
      </c>
      <c r="D34" s="7">
        <v>1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</row>
    <row r="35" spans="1:128" ht="18" customHeight="1">
      <c r="A35" s="5">
        <v>32</v>
      </c>
      <c r="B35" s="6" t="s">
        <v>44</v>
      </c>
      <c r="C35" s="7" t="s">
        <v>13</v>
      </c>
      <c r="D35" s="7">
        <v>8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</row>
    <row r="36" spans="1:128" ht="18" customHeight="1">
      <c r="A36" s="5">
        <v>33</v>
      </c>
      <c r="B36" s="6" t="s">
        <v>45</v>
      </c>
      <c r="C36" s="7" t="s">
        <v>13</v>
      </c>
      <c r="D36" s="7">
        <v>1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</row>
    <row r="37" spans="1:128" ht="18" customHeight="1">
      <c r="A37" s="26" t="s">
        <v>46</v>
      </c>
      <c r="B37" s="27"/>
      <c r="C37" s="27"/>
      <c r="D37" s="2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</row>
    <row r="38" spans="1:128" ht="18" customHeight="1">
      <c r="A38" s="29" t="s">
        <v>47</v>
      </c>
      <c r="B38" s="30"/>
      <c r="C38" s="30"/>
      <c r="D38" s="31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</row>
    <row r="39" spans="1:128" ht="18" customHeight="1">
      <c r="A39" s="29" t="s">
        <v>48</v>
      </c>
      <c r="B39" s="30"/>
      <c r="C39" s="30"/>
      <c r="D39" s="31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</row>
    <row r="40" spans="1:128" ht="18" customHeight="1">
      <c r="A40" s="29"/>
      <c r="B40" s="30"/>
      <c r="C40" s="30"/>
      <c r="D40" s="31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</row>
    <row r="41" spans="1:128" ht="18" customHeight="1">
      <c r="A41" s="32"/>
      <c r="B41" s="32"/>
      <c r="C41" s="32"/>
      <c r="D41" s="32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</row>
    <row r="42" spans="1:128" ht="18" customHeight="1">
      <c r="A42" s="32"/>
      <c r="B42" s="32"/>
      <c r="C42" s="32"/>
      <c r="D42" s="32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</row>
    <row r="43" spans="1:128">
      <c r="A43" s="12"/>
      <c r="B43" s="13"/>
      <c r="C43" s="14"/>
      <c r="D43" s="12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</row>
    <row r="44" spans="1:128"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</row>
    <row r="45" spans="1:128"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</row>
    <row r="46" spans="1:128"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</row>
    <row r="47" spans="1:128"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</row>
    <row r="48" spans="1:128"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</row>
    <row r="49" spans="5:128" s="9" customFormat="1"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</row>
    <row r="50" spans="5:128" s="9" customFormat="1"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</row>
    <row r="51" spans="5:128" s="9" customFormat="1"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</row>
    <row r="52" spans="5:128" s="9" customFormat="1"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</row>
    <row r="53" spans="5:128" s="9" customFormat="1"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</row>
    <row r="54" spans="5:128" s="9" customFormat="1"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</row>
    <row r="55" spans="5:128" s="9" customFormat="1"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</row>
    <row r="56" spans="5:128" s="9" customFormat="1"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</row>
    <row r="57" spans="5:128" s="9" customFormat="1"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</row>
    <row r="58" spans="5:128" s="9" customFormat="1"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</row>
    <row r="59" spans="5:128" s="9" customFormat="1"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</row>
    <row r="60" spans="5:128" s="9" customFormat="1"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</row>
    <row r="61" spans="5:128" s="9" customFormat="1"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</row>
    <row r="62" spans="5:128" s="9" customFormat="1"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</row>
    <row r="63" spans="5:128" s="9" customFormat="1"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</row>
    <row r="64" spans="5:128" s="9" customFormat="1"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</row>
    <row r="65" spans="5:128" s="9" customFormat="1"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</row>
    <row r="66" spans="5:128" s="9" customFormat="1"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</row>
    <row r="67" spans="5:128" s="9" customFormat="1"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</row>
    <row r="68" spans="5:128" s="9" customFormat="1"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</row>
    <row r="69" spans="5:128" s="9" customFormat="1"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</row>
    <row r="70" spans="5:128" s="9" customFormat="1"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</row>
    <row r="71" spans="5:128" s="9" customFormat="1"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</row>
    <row r="72" spans="5:128" s="9" customFormat="1"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</row>
    <row r="73" spans="5:128" s="9" customFormat="1"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</row>
    <row r="74" spans="5:128" s="9" customFormat="1"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</row>
    <row r="75" spans="5:128" s="9" customFormat="1"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</row>
    <row r="76" spans="5:128" s="9" customFormat="1"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</row>
    <row r="77" spans="5:128" s="9" customFormat="1"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</row>
    <row r="78" spans="5:128" s="9" customFormat="1"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</row>
    <row r="79" spans="5:128" s="9" customFormat="1"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</row>
    <row r="80" spans="5:128" s="9" customFormat="1"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</row>
    <row r="81" spans="5:128" s="9" customFormat="1"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</row>
    <row r="82" spans="5:128" s="9" customFormat="1"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</row>
    <row r="83" spans="5:128" s="9" customFormat="1"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</row>
    <row r="84" spans="5:128" s="9" customFormat="1"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</row>
    <row r="85" spans="5:128" s="9" customFormat="1"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</row>
    <row r="86" spans="5:128" s="9" customFormat="1"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</row>
    <row r="87" spans="5:128" s="9" customFormat="1"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</row>
    <row r="88" spans="5:128" s="9" customFormat="1"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</row>
    <row r="89" spans="5:128" s="9" customFormat="1"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</row>
    <row r="90" spans="5:128" s="9" customFormat="1"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</row>
    <row r="91" spans="5:128" s="9" customFormat="1"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</row>
    <row r="92" spans="5:128" s="9" customFormat="1"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</row>
    <row r="93" spans="5:128" s="9" customFormat="1"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</row>
    <row r="94" spans="5:128" s="9" customFormat="1"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</row>
    <row r="95" spans="5:128" s="9" customFormat="1"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</row>
    <row r="96" spans="5:128" s="9" customFormat="1"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</row>
    <row r="97" spans="5:128" s="9" customFormat="1"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</row>
    <row r="98" spans="5:128" s="9" customFormat="1"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</row>
    <row r="99" spans="5:128" s="9" customFormat="1"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</row>
    <row r="100" spans="5:128" s="9" customFormat="1"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</row>
    <row r="101" spans="5:128" s="9" customFormat="1"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</row>
    <row r="102" spans="5:128" s="9" customFormat="1"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</row>
    <row r="103" spans="5:128" s="9" customFormat="1"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</row>
    <row r="104" spans="5:128" s="9" customFormat="1"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</row>
    <row r="105" spans="5:128" s="9" customFormat="1"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</row>
    <row r="106" spans="5:128" s="9" customFormat="1"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</row>
    <row r="107" spans="5:128" s="9" customFormat="1"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</row>
    <row r="108" spans="5:128" s="9" customFormat="1"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</row>
    <row r="109" spans="5:128" s="9" customFormat="1"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</row>
    <row r="110" spans="5:128" s="9" customFormat="1"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</row>
    <row r="111" spans="5:128" s="9" customFormat="1"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</row>
    <row r="112" spans="5:128" s="9" customFormat="1"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</row>
    <row r="113" spans="5:128" s="9" customFormat="1"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</row>
    <row r="114" spans="5:128" s="9" customFormat="1"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</row>
    <row r="115" spans="5:128" s="9" customFormat="1"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</row>
    <row r="116" spans="5:128" s="9" customFormat="1"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</row>
    <row r="117" spans="5:128" s="9" customFormat="1"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</row>
    <row r="118" spans="5:128" s="9" customFormat="1"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</row>
    <row r="119" spans="5:128" s="9" customFormat="1"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</row>
    <row r="120" spans="5:128" s="9" customFormat="1"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</row>
    <row r="121" spans="5:128" s="9" customFormat="1"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</row>
    <row r="122" spans="5:128" s="9" customFormat="1"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</row>
    <row r="123" spans="5:128" s="9" customFormat="1"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</row>
    <row r="124" spans="5:128" s="9" customFormat="1"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</row>
    <row r="125" spans="5:128" s="9" customFormat="1"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</row>
    <row r="126" spans="5:128" s="9" customFormat="1"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</row>
    <row r="127" spans="5:128" s="9" customFormat="1"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</row>
    <row r="128" spans="5:128" s="9" customFormat="1"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</row>
    <row r="129" spans="5:128" s="9" customFormat="1"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</row>
    <row r="130" spans="5:128" s="9" customFormat="1"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</row>
    <row r="131" spans="5:128" s="9" customFormat="1"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</row>
    <row r="132" spans="5:128" s="9" customFormat="1"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</row>
    <row r="133" spans="5:128" s="9" customFormat="1"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</row>
    <row r="134" spans="5:128" s="9" customFormat="1"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</row>
    <row r="135" spans="5:128" s="9" customFormat="1"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</row>
    <row r="136" spans="5:128" s="9" customFormat="1"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</row>
    <row r="137" spans="5:128" s="9" customFormat="1"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</row>
    <row r="138" spans="5:128" s="9" customFormat="1"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</row>
    <row r="139" spans="5:128" s="9" customFormat="1"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</row>
    <row r="140" spans="5:128" s="9" customFormat="1"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</row>
    <row r="141" spans="5:128" s="9" customFormat="1"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</row>
    <row r="142" spans="5:128" s="9" customFormat="1"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</row>
    <row r="143" spans="5:128" s="9" customFormat="1"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</row>
    <row r="144" spans="5:128" s="9" customFormat="1"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</row>
    <row r="145" spans="5:128" s="9" customFormat="1"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</row>
    <row r="146" spans="5:128" s="9" customFormat="1"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</row>
    <row r="147" spans="5:128" s="9" customFormat="1"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</row>
    <row r="148" spans="5:128" s="9" customFormat="1"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</row>
    <row r="149" spans="5:128" s="9" customFormat="1"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</row>
    <row r="150" spans="5:128" s="9" customFormat="1"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</row>
    <row r="151" spans="5:128" s="9" customFormat="1"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</row>
    <row r="152" spans="5:128" s="9" customFormat="1"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</row>
    <row r="153" spans="5:128" s="9" customFormat="1"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</row>
    <row r="154" spans="5:128" s="9" customFormat="1"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  <c r="DI154" s="15"/>
      <c r="DJ154" s="15"/>
      <c r="DK154" s="15"/>
      <c r="DL154" s="15"/>
      <c r="DM154" s="15"/>
      <c r="DN154" s="15"/>
      <c r="DO154" s="15"/>
      <c r="DP154" s="15"/>
      <c r="DQ154" s="15"/>
      <c r="DR154" s="15"/>
      <c r="DS154" s="15"/>
      <c r="DT154" s="15"/>
      <c r="DU154" s="15"/>
      <c r="DV154" s="15"/>
      <c r="DW154" s="15"/>
      <c r="DX154" s="15"/>
    </row>
    <row r="155" spans="5:128" s="9" customFormat="1"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</row>
    <row r="156" spans="5:128" s="9" customFormat="1"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5"/>
      <c r="DH156" s="15"/>
      <c r="DI156" s="15"/>
      <c r="DJ156" s="15"/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  <c r="DU156" s="15"/>
      <c r="DV156" s="15"/>
      <c r="DW156" s="15"/>
      <c r="DX156" s="15"/>
    </row>
    <row r="157" spans="5:128" s="9" customFormat="1"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</row>
    <row r="158" spans="5:128" s="9" customFormat="1"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  <c r="DU158" s="15"/>
      <c r="DV158" s="15"/>
      <c r="DW158" s="15"/>
      <c r="DX158" s="15"/>
    </row>
    <row r="159" spans="5:128" s="9" customFormat="1"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</row>
    <row r="160" spans="5:128" s="9" customFormat="1"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5"/>
      <c r="DQ160" s="15"/>
      <c r="DR160" s="15"/>
      <c r="DS160" s="15"/>
      <c r="DT160" s="15"/>
      <c r="DU160" s="15"/>
      <c r="DV160" s="15"/>
      <c r="DW160" s="15"/>
      <c r="DX160" s="15"/>
    </row>
    <row r="161" spans="5:128" s="9" customFormat="1"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</row>
    <row r="162" spans="5:128" s="9" customFormat="1"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5"/>
      <c r="DL162" s="15"/>
      <c r="DM162" s="15"/>
      <c r="DN162" s="15"/>
      <c r="DO162" s="15"/>
      <c r="DP162" s="15"/>
      <c r="DQ162" s="15"/>
      <c r="DR162" s="15"/>
      <c r="DS162" s="15"/>
      <c r="DT162" s="15"/>
      <c r="DU162" s="15"/>
      <c r="DV162" s="15"/>
      <c r="DW162" s="15"/>
      <c r="DX162" s="15"/>
    </row>
    <row r="163" spans="5:128" s="9" customFormat="1"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</row>
    <row r="164" spans="5:128" s="9" customFormat="1"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5"/>
      <c r="DL164" s="15"/>
      <c r="DM164" s="15"/>
      <c r="DN164" s="15"/>
      <c r="DO164" s="15"/>
      <c r="DP164" s="15"/>
      <c r="DQ164" s="15"/>
      <c r="DR164" s="15"/>
      <c r="DS164" s="15"/>
      <c r="DT164" s="15"/>
      <c r="DU164" s="15"/>
      <c r="DV164" s="15"/>
      <c r="DW164" s="15"/>
      <c r="DX164" s="15"/>
    </row>
    <row r="165" spans="5:128" s="9" customFormat="1"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</row>
    <row r="166" spans="5:128" s="9" customFormat="1"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  <c r="DI166" s="15"/>
      <c r="DJ166" s="15"/>
      <c r="DK166" s="15"/>
      <c r="DL166" s="15"/>
      <c r="DM166" s="15"/>
      <c r="DN166" s="15"/>
      <c r="DO166" s="15"/>
      <c r="DP166" s="15"/>
      <c r="DQ166" s="15"/>
      <c r="DR166" s="15"/>
      <c r="DS166" s="15"/>
      <c r="DT166" s="15"/>
      <c r="DU166" s="15"/>
      <c r="DV166" s="15"/>
      <c r="DW166" s="15"/>
      <c r="DX166" s="15"/>
    </row>
    <row r="167" spans="5:128" s="9" customFormat="1"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</row>
    <row r="168" spans="5:128" s="9" customFormat="1"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  <c r="DF168" s="15"/>
      <c r="DG168" s="15"/>
      <c r="DH168" s="15"/>
      <c r="DI168" s="15"/>
      <c r="DJ168" s="15"/>
      <c r="DK168" s="15"/>
      <c r="DL168" s="15"/>
      <c r="DM168" s="15"/>
      <c r="DN168" s="15"/>
      <c r="DO168" s="15"/>
      <c r="DP168" s="15"/>
      <c r="DQ168" s="15"/>
      <c r="DR168" s="15"/>
      <c r="DS168" s="15"/>
      <c r="DT168" s="15"/>
      <c r="DU168" s="15"/>
      <c r="DV168" s="15"/>
      <c r="DW168" s="15"/>
      <c r="DX168" s="15"/>
    </row>
    <row r="169" spans="5:128" s="9" customFormat="1"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</row>
    <row r="170" spans="5:128" s="9" customFormat="1"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  <c r="DF170" s="15"/>
      <c r="DG170" s="15"/>
      <c r="DH170" s="15"/>
      <c r="DI170" s="15"/>
      <c r="DJ170" s="15"/>
      <c r="DK170" s="15"/>
      <c r="DL170" s="15"/>
      <c r="DM170" s="15"/>
      <c r="DN170" s="15"/>
      <c r="DO170" s="15"/>
      <c r="DP170" s="15"/>
      <c r="DQ170" s="15"/>
      <c r="DR170" s="15"/>
      <c r="DS170" s="15"/>
      <c r="DT170" s="15"/>
      <c r="DU170" s="15"/>
      <c r="DV170" s="15"/>
      <c r="DW170" s="15"/>
      <c r="DX170" s="15"/>
    </row>
    <row r="171" spans="5:128" s="9" customFormat="1"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</row>
    <row r="172" spans="5:128" s="9" customFormat="1"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  <c r="DF172" s="15"/>
      <c r="DG172" s="15"/>
      <c r="DH172" s="15"/>
      <c r="DI172" s="15"/>
      <c r="DJ172" s="15"/>
      <c r="DK172" s="15"/>
      <c r="DL172" s="15"/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</row>
    <row r="173" spans="5:128" s="9" customFormat="1"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</row>
    <row r="174" spans="5:128" s="9" customFormat="1"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  <c r="DF174" s="15"/>
      <c r="DG174" s="15"/>
      <c r="DH174" s="15"/>
      <c r="DI174" s="15"/>
      <c r="DJ174" s="15"/>
      <c r="DK174" s="15"/>
      <c r="DL174" s="15"/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5"/>
      <c r="DX174" s="15"/>
    </row>
    <row r="175" spans="5:128" s="9" customFormat="1"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</row>
    <row r="176" spans="5:128" s="9" customFormat="1"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  <c r="DF176" s="15"/>
      <c r="DG176" s="15"/>
      <c r="DH176" s="15"/>
      <c r="DI176" s="15"/>
      <c r="DJ176" s="15"/>
      <c r="DK176" s="15"/>
      <c r="DL176" s="15"/>
      <c r="DM176" s="15"/>
      <c r="DN176" s="15"/>
      <c r="DO176" s="15"/>
      <c r="DP176" s="15"/>
      <c r="DQ176" s="15"/>
      <c r="DR176" s="15"/>
      <c r="DS176" s="15"/>
      <c r="DT176" s="15"/>
      <c r="DU176" s="15"/>
      <c r="DV176" s="15"/>
      <c r="DW176" s="15"/>
      <c r="DX176" s="15"/>
    </row>
    <row r="177" spans="5:128" s="9" customFormat="1"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</row>
    <row r="178" spans="5:128" s="9" customFormat="1"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  <c r="DF178" s="15"/>
      <c r="DG178" s="15"/>
      <c r="DH178" s="15"/>
      <c r="DI178" s="15"/>
      <c r="DJ178" s="15"/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</row>
    <row r="179" spans="5:128" s="9" customFormat="1"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</row>
    <row r="180" spans="5:128" s="9" customFormat="1"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</row>
    <row r="181" spans="5:128" s="9" customFormat="1"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</row>
    <row r="182" spans="5:128" s="9" customFormat="1"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  <c r="DF182" s="15"/>
      <c r="DG182" s="15"/>
      <c r="DH182" s="15"/>
      <c r="DI182" s="15"/>
      <c r="DJ182" s="15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</row>
    <row r="183" spans="5:128" s="9" customFormat="1"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</row>
    <row r="184" spans="5:128" s="9" customFormat="1"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</row>
    <row r="185" spans="5:128" s="9" customFormat="1"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</row>
    <row r="186" spans="5:128" s="9" customFormat="1"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</row>
    <row r="187" spans="5:128" s="9" customFormat="1"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</row>
    <row r="188" spans="5:128" s="9" customFormat="1"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</row>
    <row r="189" spans="5:128" s="9" customFormat="1"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</row>
    <row r="190" spans="5:128" s="9" customFormat="1"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</row>
    <row r="191" spans="5:128" s="9" customFormat="1"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</row>
    <row r="192" spans="5:128" s="9" customFormat="1"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5"/>
      <c r="DI192" s="15"/>
      <c r="DJ192" s="15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5"/>
    </row>
    <row r="193" spans="5:128" s="9" customFormat="1"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</row>
    <row r="194" spans="5:128" s="9" customFormat="1"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5"/>
      <c r="DH194" s="15"/>
      <c r="DI194" s="15"/>
      <c r="DJ194" s="15"/>
      <c r="DK194" s="15"/>
      <c r="DL194" s="15"/>
      <c r="DM194" s="15"/>
      <c r="DN194" s="15"/>
      <c r="DO194" s="15"/>
      <c r="DP194" s="15"/>
      <c r="DQ194" s="15"/>
      <c r="DR194" s="15"/>
      <c r="DS194" s="15"/>
      <c r="DT194" s="15"/>
      <c r="DU194" s="15"/>
      <c r="DV194" s="15"/>
      <c r="DW194" s="15"/>
      <c r="DX194" s="15"/>
    </row>
    <row r="195" spans="5:128" s="9" customFormat="1"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</row>
    <row r="196" spans="5:128" s="9" customFormat="1"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  <c r="DF196" s="15"/>
      <c r="DG196" s="15"/>
      <c r="DH196" s="15"/>
      <c r="DI196" s="15"/>
      <c r="DJ196" s="15"/>
      <c r="DK196" s="15"/>
      <c r="DL196" s="15"/>
      <c r="DM196" s="15"/>
      <c r="DN196" s="15"/>
      <c r="DO196" s="15"/>
      <c r="DP196" s="15"/>
      <c r="DQ196" s="15"/>
      <c r="DR196" s="15"/>
      <c r="DS196" s="15"/>
      <c r="DT196" s="15"/>
      <c r="DU196" s="15"/>
      <c r="DV196" s="15"/>
      <c r="DW196" s="15"/>
      <c r="DX196" s="15"/>
    </row>
    <row r="197" spans="5:128" s="9" customFormat="1"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</row>
    <row r="198" spans="5:128" s="9" customFormat="1"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  <c r="DF198" s="15"/>
      <c r="DG198" s="15"/>
      <c r="DH198" s="15"/>
      <c r="DI198" s="15"/>
      <c r="DJ198" s="15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</row>
    <row r="199" spans="5:128" s="9" customFormat="1"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</row>
    <row r="200" spans="5:128" s="9" customFormat="1"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5"/>
      <c r="DI200" s="15"/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</row>
    <row r="201" spans="5:128" s="9" customFormat="1"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</row>
    <row r="202" spans="5:128" s="9" customFormat="1"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  <c r="DI202" s="15"/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</row>
    <row r="203" spans="5:128" s="9" customFormat="1"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</row>
    <row r="204" spans="5:128" s="9" customFormat="1"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  <c r="DI204" s="15"/>
      <c r="DJ204" s="15"/>
      <c r="DK204" s="15"/>
      <c r="DL204" s="15"/>
      <c r="DM204" s="15"/>
      <c r="DN204" s="15"/>
      <c r="DO204" s="15"/>
      <c r="DP204" s="15"/>
      <c r="DQ204" s="15"/>
      <c r="DR204" s="15"/>
      <c r="DS204" s="15"/>
      <c r="DT204" s="15"/>
      <c r="DU204" s="15"/>
      <c r="DV204" s="15"/>
      <c r="DW204" s="15"/>
      <c r="DX204" s="15"/>
    </row>
    <row r="205" spans="5:128" s="9" customFormat="1"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</row>
    <row r="206" spans="5:128" s="9" customFormat="1"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  <c r="DF206" s="15"/>
      <c r="DG206" s="15"/>
      <c r="DH206" s="15"/>
      <c r="DI206" s="15"/>
      <c r="DJ206" s="15"/>
      <c r="DK206" s="15"/>
      <c r="DL206" s="15"/>
      <c r="DM206" s="15"/>
      <c r="DN206" s="15"/>
      <c r="DO206" s="15"/>
      <c r="DP206" s="15"/>
      <c r="DQ206" s="15"/>
      <c r="DR206" s="15"/>
      <c r="DS206" s="15"/>
      <c r="DT206" s="15"/>
      <c r="DU206" s="15"/>
      <c r="DV206" s="15"/>
      <c r="DW206" s="15"/>
      <c r="DX206" s="15"/>
    </row>
    <row r="207" spans="5:128" s="9" customFormat="1"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</row>
    <row r="208" spans="5:128" s="9" customFormat="1"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5"/>
      <c r="DL208" s="15"/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5"/>
      <c r="DX208" s="15"/>
    </row>
    <row r="209" spans="5:128" s="9" customFormat="1"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</row>
    <row r="210" spans="5:128" s="9" customFormat="1"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5"/>
      <c r="DL210" s="15"/>
      <c r="DM210" s="15"/>
      <c r="DN210" s="15"/>
      <c r="DO210" s="15"/>
      <c r="DP210" s="15"/>
      <c r="DQ210" s="15"/>
      <c r="DR210" s="15"/>
      <c r="DS210" s="15"/>
      <c r="DT210" s="15"/>
      <c r="DU210" s="15"/>
      <c r="DV210" s="15"/>
      <c r="DW210" s="15"/>
      <c r="DX210" s="15"/>
    </row>
    <row r="211" spans="5:128" s="9" customFormat="1"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</row>
    <row r="212" spans="5:128" s="9" customFormat="1"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5"/>
      <c r="DL212" s="15"/>
      <c r="DM212" s="15"/>
      <c r="DN212" s="15"/>
      <c r="DO212" s="15"/>
      <c r="DP212" s="15"/>
      <c r="DQ212" s="15"/>
      <c r="DR212" s="15"/>
      <c r="DS212" s="15"/>
      <c r="DT212" s="15"/>
      <c r="DU212" s="15"/>
      <c r="DV212" s="15"/>
      <c r="DW212" s="15"/>
      <c r="DX212" s="15"/>
    </row>
    <row r="213" spans="5:128" s="9" customFormat="1"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</row>
    <row r="214" spans="5:128" s="9" customFormat="1"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5"/>
      <c r="DL214" s="15"/>
      <c r="DM214" s="15"/>
      <c r="DN214" s="15"/>
      <c r="DO214" s="15"/>
      <c r="DP214" s="15"/>
      <c r="DQ214" s="15"/>
      <c r="DR214" s="15"/>
      <c r="DS214" s="15"/>
      <c r="DT214" s="15"/>
      <c r="DU214" s="15"/>
      <c r="DV214" s="15"/>
      <c r="DW214" s="15"/>
      <c r="DX214" s="15"/>
    </row>
    <row r="215" spans="5:128" s="9" customFormat="1"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</row>
    <row r="216" spans="5:128" s="9" customFormat="1"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5"/>
      <c r="DL216" s="15"/>
      <c r="DM216" s="15"/>
      <c r="DN216" s="15"/>
      <c r="DO216" s="15"/>
      <c r="DP216" s="15"/>
      <c r="DQ216" s="15"/>
      <c r="DR216" s="15"/>
      <c r="DS216" s="15"/>
      <c r="DT216" s="15"/>
      <c r="DU216" s="15"/>
      <c r="DV216" s="15"/>
      <c r="DW216" s="15"/>
      <c r="DX216" s="15"/>
    </row>
    <row r="217" spans="5:128" s="9" customFormat="1"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</row>
  </sheetData>
  <mergeCells count="41">
    <mergeCell ref="A38:D38"/>
    <mergeCell ref="A39:D39"/>
    <mergeCell ref="A40:D40"/>
    <mergeCell ref="A41:D41"/>
    <mergeCell ref="A42:D42"/>
    <mergeCell ref="DE2:DH2"/>
    <mergeCell ref="DI2:DL2"/>
    <mergeCell ref="DM2:DP2"/>
    <mergeCell ref="DQ2:DT2"/>
    <mergeCell ref="DU2:DX2"/>
    <mergeCell ref="A37:D37"/>
    <mergeCell ref="CG2:CJ2"/>
    <mergeCell ref="CK2:CN2"/>
    <mergeCell ref="CO2:CR2"/>
    <mergeCell ref="CS2:CV2"/>
    <mergeCell ref="AK2:AN2"/>
    <mergeCell ref="AO2:AR2"/>
    <mergeCell ref="AS2:AV2"/>
    <mergeCell ref="AW2:AZ2"/>
    <mergeCell ref="BA2:BD2"/>
    <mergeCell ref="BE2:BH2"/>
    <mergeCell ref="M2:P2"/>
    <mergeCell ref="Q2:T2"/>
    <mergeCell ref="U2:X2"/>
    <mergeCell ref="Y2:AB2"/>
    <mergeCell ref="AC2:AF2"/>
    <mergeCell ref="CW2:CZ2"/>
    <mergeCell ref="DA2:DD2"/>
    <mergeCell ref="BI2:BL2"/>
    <mergeCell ref="BM2:BP2"/>
    <mergeCell ref="BQ2:BT2"/>
    <mergeCell ref="BU2:BX2"/>
    <mergeCell ref="BY2:CB2"/>
    <mergeCell ref="CC2:CF2"/>
    <mergeCell ref="AG2:AJ2"/>
    <mergeCell ref="A2:A3"/>
    <mergeCell ref="B2:B3"/>
    <mergeCell ref="C2:C3"/>
    <mergeCell ref="D2:D3"/>
    <mergeCell ref="E2:H2"/>
    <mergeCell ref="I2:L2"/>
  </mergeCells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Z217"/>
  <sheetViews>
    <sheetView zoomScale="82" zoomScaleNormal="82" workbookViewId="0">
      <selection activeCell="AO20" sqref="AO20"/>
    </sheetView>
  </sheetViews>
  <sheetFormatPr defaultRowHeight="23.25"/>
  <cols>
    <col min="1" max="1" width="6.75" style="9" customWidth="1"/>
    <col min="2" max="2" width="29.5" style="9" customWidth="1"/>
    <col min="3" max="3" width="7.125" style="12" customWidth="1"/>
    <col min="4" max="4" width="6" style="9" customWidth="1"/>
    <col min="5" max="128" width="3.25" style="16" customWidth="1"/>
    <col min="129" max="16384" width="9" style="9"/>
  </cols>
  <sheetData>
    <row r="1" spans="1:130" s="1" customFormat="1">
      <c r="B1" s="1" t="s">
        <v>0</v>
      </c>
      <c r="C1" s="2"/>
    </row>
    <row r="2" spans="1:130" s="3" customFormat="1" ht="21">
      <c r="A2" s="22" t="s">
        <v>1</v>
      </c>
      <c r="B2" s="23" t="s">
        <v>2</v>
      </c>
      <c r="C2" s="23" t="s">
        <v>3</v>
      </c>
      <c r="D2" s="25" t="s">
        <v>4</v>
      </c>
      <c r="E2" s="21">
        <v>1</v>
      </c>
      <c r="F2" s="21"/>
      <c r="G2" s="21"/>
      <c r="H2" s="21"/>
      <c r="I2" s="21">
        <v>2</v>
      </c>
      <c r="J2" s="21"/>
      <c r="K2" s="21"/>
      <c r="L2" s="21"/>
      <c r="M2" s="21">
        <v>3</v>
      </c>
      <c r="N2" s="21"/>
      <c r="O2" s="21"/>
      <c r="P2" s="21"/>
      <c r="Q2" s="21">
        <v>4</v>
      </c>
      <c r="R2" s="21"/>
      <c r="S2" s="21"/>
      <c r="T2" s="21"/>
      <c r="U2" s="21">
        <v>5</v>
      </c>
      <c r="V2" s="21"/>
      <c r="W2" s="21"/>
      <c r="X2" s="21"/>
      <c r="Y2" s="21">
        <v>6</v>
      </c>
      <c r="Z2" s="21"/>
      <c r="AA2" s="21"/>
      <c r="AB2" s="21"/>
      <c r="AC2" s="21">
        <v>7</v>
      </c>
      <c r="AD2" s="21"/>
      <c r="AE2" s="21"/>
      <c r="AF2" s="21"/>
      <c r="AG2" s="21">
        <v>8</v>
      </c>
      <c r="AH2" s="21"/>
      <c r="AI2" s="21"/>
      <c r="AJ2" s="21"/>
      <c r="AK2" s="21">
        <v>9</v>
      </c>
      <c r="AL2" s="21"/>
      <c r="AM2" s="21"/>
      <c r="AN2" s="21"/>
      <c r="AO2" s="21">
        <v>10</v>
      </c>
      <c r="AP2" s="21"/>
      <c r="AQ2" s="21"/>
      <c r="AR2" s="21"/>
      <c r="AS2" s="21">
        <v>11</v>
      </c>
      <c r="AT2" s="21"/>
      <c r="AU2" s="21"/>
      <c r="AV2" s="21"/>
      <c r="AW2" s="21">
        <v>12</v>
      </c>
      <c r="AX2" s="21"/>
      <c r="AY2" s="21"/>
      <c r="AZ2" s="21"/>
      <c r="BA2" s="21">
        <v>13</v>
      </c>
      <c r="BB2" s="21"/>
      <c r="BC2" s="21"/>
      <c r="BD2" s="21"/>
      <c r="BE2" s="21">
        <v>14</v>
      </c>
      <c r="BF2" s="21"/>
      <c r="BG2" s="21"/>
      <c r="BH2" s="21"/>
      <c r="BI2" s="21">
        <v>15</v>
      </c>
      <c r="BJ2" s="21"/>
      <c r="BK2" s="21"/>
      <c r="BL2" s="21"/>
      <c r="BM2" s="21">
        <v>16</v>
      </c>
      <c r="BN2" s="21"/>
      <c r="BO2" s="21"/>
      <c r="BP2" s="21"/>
      <c r="BQ2" s="21">
        <v>17</v>
      </c>
      <c r="BR2" s="21"/>
      <c r="BS2" s="21"/>
      <c r="BT2" s="21"/>
      <c r="BU2" s="21">
        <v>18</v>
      </c>
      <c r="BV2" s="21"/>
      <c r="BW2" s="21"/>
      <c r="BX2" s="21"/>
      <c r="BY2" s="21">
        <v>19</v>
      </c>
      <c r="BZ2" s="21"/>
      <c r="CA2" s="21"/>
      <c r="CB2" s="21"/>
      <c r="CC2" s="21">
        <v>20</v>
      </c>
      <c r="CD2" s="21"/>
      <c r="CE2" s="21"/>
      <c r="CF2" s="21"/>
      <c r="CG2" s="21">
        <v>21</v>
      </c>
      <c r="CH2" s="21"/>
      <c r="CI2" s="21"/>
      <c r="CJ2" s="21"/>
      <c r="CK2" s="21">
        <v>22</v>
      </c>
      <c r="CL2" s="21"/>
      <c r="CM2" s="21"/>
      <c r="CN2" s="21"/>
      <c r="CO2" s="21">
        <v>23</v>
      </c>
      <c r="CP2" s="21"/>
      <c r="CQ2" s="21"/>
      <c r="CR2" s="21"/>
      <c r="CS2" s="21">
        <v>24</v>
      </c>
      <c r="CT2" s="21"/>
      <c r="CU2" s="21"/>
      <c r="CV2" s="21"/>
      <c r="CW2" s="21">
        <v>25</v>
      </c>
      <c r="CX2" s="21"/>
      <c r="CY2" s="21"/>
      <c r="CZ2" s="21"/>
      <c r="DA2" s="21">
        <v>26</v>
      </c>
      <c r="DB2" s="21"/>
      <c r="DC2" s="21"/>
      <c r="DD2" s="21"/>
      <c r="DE2" s="21">
        <v>27</v>
      </c>
      <c r="DF2" s="21"/>
      <c r="DG2" s="21"/>
      <c r="DH2" s="21"/>
      <c r="DI2" s="21">
        <v>28</v>
      </c>
      <c r="DJ2" s="21"/>
      <c r="DK2" s="21"/>
      <c r="DL2" s="21"/>
      <c r="DM2" s="21">
        <v>29</v>
      </c>
      <c r="DN2" s="21"/>
      <c r="DO2" s="21"/>
      <c r="DP2" s="21"/>
      <c r="DQ2" s="21">
        <v>30</v>
      </c>
      <c r="DR2" s="21"/>
      <c r="DS2" s="21"/>
      <c r="DT2" s="21"/>
      <c r="DU2" s="21">
        <v>31</v>
      </c>
      <c r="DV2" s="21"/>
      <c r="DW2" s="21"/>
      <c r="DX2" s="21"/>
    </row>
    <row r="3" spans="1:130" s="3" customFormat="1" ht="21">
      <c r="A3" s="22"/>
      <c r="B3" s="24"/>
      <c r="C3" s="24"/>
      <c r="D3" s="25"/>
      <c r="E3" s="4" t="s">
        <v>5</v>
      </c>
      <c r="F3" s="4" t="s">
        <v>6</v>
      </c>
      <c r="G3" s="4" t="s">
        <v>7</v>
      </c>
      <c r="H3" s="4" t="s">
        <v>8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5</v>
      </c>
      <c r="N3" s="4" t="s">
        <v>6</v>
      </c>
      <c r="O3" s="4" t="s">
        <v>7</v>
      </c>
      <c r="P3" s="4" t="s">
        <v>8</v>
      </c>
      <c r="Q3" s="4" t="s">
        <v>5</v>
      </c>
      <c r="R3" s="4" t="s">
        <v>6</v>
      </c>
      <c r="S3" s="4" t="s">
        <v>7</v>
      </c>
      <c r="T3" s="4" t="s">
        <v>8</v>
      </c>
      <c r="U3" s="4" t="s">
        <v>5</v>
      </c>
      <c r="V3" s="4" t="s">
        <v>6</v>
      </c>
      <c r="W3" s="4" t="s">
        <v>7</v>
      </c>
      <c r="X3" s="4" t="s">
        <v>8</v>
      </c>
      <c r="Y3" s="4" t="s">
        <v>5</v>
      </c>
      <c r="Z3" s="4" t="s">
        <v>6</v>
      </c>
      <c r="AA3" s="4" t="s">
        <v>7</v>
      </c>
      <c r="AB3" s="4" t="s">
        <v>8</v>
      </c>
      <c r="AC3" s="4" t="s">
        <v>5</v>
      </c>
      <c r="AD3" s="4" t="s">
        <v>6</v>
      </c>
      <c r="AE3" s="4" t="s">
        <v>7</v>
      </c>
      <c r="AF3" s="4" t="s">
        <v>8</v>
      </c>
      <c r="AG3" s="4" t="s">
        <v>5</v>
      </c>
      <c r="AH3" s="4" t="s">
        <v>6</v>
      </c>
      <c r="AI3" s="4" t="s">
        <v>7</v>
      </c>
      <c r="AJ3" s="4" t="s">
        <v>8</v>
      </c>
      <c r="AK3" s="4" t="s">
        <v>5</v>
      </c>
      <c r="AL3" s="4" t="s">
        <v>6</v>
      </c>
      <c r="AM3" s="4" t="s">
        <v>7</v>
      </c>
      <c r="AN3" s="4" t="s">
        <v>8</v>
      </c>
      <c r="AO3" s="4" t="s">
        <v>5</v>
      </c>
      <c r="AP3" s="4" t="s">
        <v>6</v>
      </c>
      <c r="AQ3" s="4" t="s">
        <v>7</v>
      </c>
      <c r="AR3" s="4" t="s">
        <v>8</v>
      </c>
      <c r="AS3" s="4" t="s">
        <v>5</v>
      </c>
      <c r="AT3" s="4" t="s">
        <v>6</v>
      </c>
      <c r="AU3" s="4" t="s">
        <v>7</v>
      </c>
      <c r="AV3" s="4" t="s">
        <v>8</v>
      </c>
      <c r="AW3" s="4" t="s">
        <v>5</v>
      </c>
      <c r="AX3" s="4" t="s">
        <v>6</v>
      </c>
      <c r="AY3" s="4" t="s">
        <v>7</v>
      </c>
      <c r="AZ3" s="4" t="s">
        <v>8</v>
      </c>
      <c r="BA3" s="4" t="s">
        <v>5</v>
      </c>
      <c r="BB3" s="4" t="s">
        <v>6</v>
      </c>
      <c r="BC3" s="4" t="s">
        <v>7</v>
      </c>
      <c r="BD3" s="4" t="s">
        <v>8</v>
      </c>
      <c r="BE3" s="4" t="s">
        <v>5</v>
      </c>
      <c r="BF3" s="4" t="s">
        <v>6</v>
      </c>
      <c r="BG3" s="4" t="s">
        <v>7</v>
      </c>
      <c r="BH3" s="4" t="s">
        <v>8</v>
      </c>
      <c r="BI3" s="4" t="s">
        <v>5</v>
      </c>
      <c r="BJ3" s="4" t="s">
        <v>6</v>
      </c>
      <c r="BK3" s="4" t="s">
        <v>7</v>
      </c>
      <c r="BL3" s="4" t="s">
        <v>8</v>
      </c>
      <c r="BM3" s="4" t="s">
        <v>5</v>
      </c>
      <c r="BN3" s="4" t="s">
        <v>6</v>
      </c>
      <c r="BO3" s="4" t="s">
        <v>7</v>
      </c>
      <c r="BP3" s="4" t="s">
        <v>8</v>
      </c>
      <c r="BQ3" s="4" t="s">
        <v>5</v>
      </c>
      <c r="BR3" s="4" t="s">
        <v>6</v>
      </c>
      <c r="BS3" s="4" t="s">
        <v>7</v>
      </c>
      <c r="BT3" s="4" t="s">
        <v>8</v>
      </c>
      <c r="BU3" s="4" t="s">
        <v>5</v>
      </c>
      <c r="BV3" s="4" t="s">
        <v>6</v>
      </c>
      <c r="BW3" s="4" t="s">
        <v>7</v>
      </c>
      <c r="BX3" s="4" t="s">
        <v>8</v>
      </c>
      <c r="BY3" s="4" t="s">
        <v>5</v>
      </c>
      <c r="BZ3" s="4" t="s">
        <v>6</v>
      </c>
      <c r="CA3" s="4" t="s">
        <v>7</v>
      </c>
      <c r="CB3" s="4" t="s">
        <v>8</v>
      </c>
      <c r="CC3" s="4" t="s">
        <v>5</v>
      </c>
      <c r="CD3" s="4" t="s">
        <v>6</v>
      </c>
      <c r="CE3" s="4" t="s">
        <v>7</v>
      </c>
      <c r="CF3" s="4" t="s">
        <v>8</v>
      </c>
      <c r="CG3" s="4" t="s">
        <v>5</v>
      </c>
      <c r="CH3" s="4" t="s">
        <v>6</v>
      </c>
      <c r="CI3" s="4" t="s">
        <v>7</v>
      </c>
      <c r="CJ3" s="4" t="s">
        <v>8</v>
      </c>
      <c r="CK3" s="4" t="s">
        <v>5</v>
      </c>
      <c r="CL3" s="4" t="s">
        <v>6</v>
      </c>
      <c r="CM3" s="4" t="s">
        <v>7</v>
      </c>
      <c r="CN3" s="4" t="s">
        <v>8</v>
      </c>
      <c r="CO3" s="4" t="s">
        <v>5</v>
      </c>
      <c r="CP3" s="4" t="s">
        <v>6</v>
      </c>
      <c r="CQ3" s="4" t="s">
        <v>7</v>
      </c>
      <c r="CR3" s="4" t="s">
        <v>8</v>
      </c>
      <c r="CS3" s="4" t="s">
        <v>5</v>
      </c>
      <c r="CT3" s="4" t="s">
        <v>6</v>
      </c>
      <c r="CU3" s="4" t="s">
        <v>7</v>
      </c>
      <c r="CV3" s="4" t="s">
        <v>8</v>
      </c>
      <c r="CW3" s="4" t="s">
        <v>5</v>
      </c>
      <c r="CX3" s="4" t="s">
        <v>6</v>
      </c>
      <c r="CY3" s="4" t="s">
        <v>7</v>
      </c>
      <c r="CZ3" s="4" t="s">
        <v>8</v>
      </c>
      <c r="DA3" s="4" t="s">
        <v>5</v>
      </c>
      <c r="DB3" s="4" t="s">
        <v>6</v>
      </c>
      <c r="DC3" s="4" t="s">
        <v>7</v>
      </c>
      <c r="DD3" s="4" t="s">
        <v>8</v>
      </c>
      <c r="DE3" s="4" t="s">
        <v>5</v>
      </c>
      <c r="DF3" s="4" t="s">
        <v>6</v>
      </c>
      <c r="DG3" s="4" t="s">
        <v>7</v>
      </c>
      <c r="DH3" s="4" t="s">
        <v>8</v>
      </c>
      <c r="DI3" s="4" t="s">
        <v>5</v>
      </c>
      <c r="DJ3" s="4" t="s">
        <v>6</v>
      </c>
      <c r="DK3" s="4" t="s">
        <v>7</v>
      </c>
      <c r="DL3" s="4" t="s">
        <v>8</v>
      </c>
      <c r="DM3" s="4" t="s">
        <v>5</v>
      </c>
      <c r="DN3" s="4" t="s">
        <v>6</v>
      </c>
      <c r="DO3" s="4" t="s">
        <v>7</v>
      </c>
      <c r="DP3" s="4" t="s">
        <v>8</v>
      </c>
      <c r="DQ3" s="4" t="s">
        <v>5</v>
      </c>
      <c r="DR3" s="4" t="s">
        <v>6</v>
      </c>
      <c r="DS3" s="4" t="s">
        <v>7</v>
      </c>
      <c r="DT3" s="4" t="s">
        <v>8</v>
      </c>
      <c r="DU3" s="4" t="s">
        <v>5</v>
      </c>
      <c r="DV3" s="4" t="s">
        <v>6</v>
      </c>
      <c r="DW3" s="4" t="s">
        <v>7</v>
      </c>
      <c r="DX3" s="4" t="s">
        <v>8</v>
      </c>
      <c r="DY3" s="17" t="s">
        <v>49</v>
      </c>
      <c r="DZ3" s="17" t="s">
        <v>50</v>
      </c>
    </row>
    <row r="4" spans="1:130" ht="18" customHeight="1">
      <c r="A4" s="5">
        <v>1</v>
      </c>
      <c r="B4" s="6" t="s">
        <v>9</v>
      </c>
      <c r="C4" s="7" t="s">
        <v>10</v>
      </c>
      <c r="D4" s="7">
        <v>0.3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16"/>
      <c r="DZ4" s="16"/>
    </row>
    <row r="5" spans="1:130" ht="18" customHeight="1">
      <c r="A5" s="5">
        <v>2</v>
      </c>
      <c r="B5" s="6" t="s">
        <v>11</v>
      </c>
      <c r="C5" s="7" t="s">
        <v>10</v>
      </c>
      <c r="D5" s="7">
        <v>0.5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16"/>
      <c r="DZ5" s="16"/>
    </row>
    <row r="6" spans="1:130" ht="18" customHeight="1">
      <c r="A6" s="5">
        <v>3</v>
      </c>
      <c r="B6" s="6" t="s">
        <v>12</v>
      </c>
      <c r="C6" s="7" t="s">
        <v>13</v>
      </c>
      <c r="D6" s="7">
        <v>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16"/>
      <c r="DZ6" s="16"/>
    </row>
    <row r="7" spans="1:130" ht="18" customHeight="1">
      <c r="A7" s="5">
        <v>4</v>
      </c>
      <c r="B7" s="6" t="s">
        <v>14</v>
      </c>
      <c r="C7" s="7" t="s">
        <v>13</v>
      </c>
      <c r="D7" s="7">
        <v>0.7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16"/>
      <c r="DZ7" s="16"/>
    </row>
    <row r="8" spans="1:130" ht="18" customHeight="1">
      <c r="A8" s="5">
        <v>5</v>
      </c>
      <c r="B8" s="6" t="s">
        <v>15</v>
      </c>
      <c r="C8" s="7" t="s">
        <v>13</v>
      </c>
      <c r="D8" s="7">
        <v>1.2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16"/>
      <c r="DZ8" s="16"/>
    </row>
    <row r="9" spans="1:130" ht="18" customHeight="1">
      <c r="A9" s="5">
        <v>6</v>
      </c>
      <c r="B9" s="6" t="s">
        <v>16</v>
      </c>
      <c r="C9" s="7" t="s">
        <v>13</v>
      </c>
      <c r="D9" s="7">
        <v>1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16"/>
      <c r="DZ9" s="16"/>
    </row>
    <row r="10" spans="1:130" ht="18" customHeight="1">
      <c r="A10" s="5">
        <v>7</v>
      </c>
      <c r="B10" s="6" t="s">
        <v>17</v>
      </c>
      <c r="C10" s="7" t="s">
        <v>13</v>
      </c>
      <c r="D10" s="7">
        <v>2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16"/>
      <c r="DZ10" s="16"/>
    </row>
    <row r="11" spans="1:130" ht="18" customHeight="1">
      <c r="A11" s="5">
        <v>8</v>
      </c>
      <c r="B11" s="6" t="s">
        <v>18</v>
      </c>
      <c r="C11" s="7" t="s">
        <v>13</v>
      </c>
      <c r="D11" s="7">
        <v>2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16"/>
      <c r="DZ11" s="16"/>
    </row>
    <row r="12" spans="1:130" ht="18" customHeight="1">
      <c r="A12" s="5">
        <v>9</v>
      </c>
      <c r="B12" s="6" t="s">
        <v>19</v>
      </c>
      <c r="C12" s="7" t="s">
        <v>20</v>
      </c>
      <c r="D12" s="7">
        <v>1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16"/>
      <c r="DZ12" s="16"/>
    </row>
    <row r="13" spans="1:130" ht="18" customHeight="1">
      <c r="A13" s="5">
        <v>10</v>
      </c>
      <c r="B13" s="6" t="s">
        <v>21</v>
      </c>
      <c r="C13" s="7" t="s">
        <v>13</v>
      </c>
      <c r="D13" s="7">
        <v>0.5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16"/>
      <c r="DZ13" s="16"/>
    </row>
    <row r="14" spans="1:130" ht="18" customHeight="1">
      <c r="A14" s="5">
        <v>11</v>
      </c>
      <c r="B14" s="6" t="s">
        <v>22</v>
      </c>
      <c r="C14" s="7" t="s">
        <v>13</v>
      </c>
      <c r="D14" s="7">
        <v>1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16"/>
      <c r="DZ14" s="16"/>
    </row>
    <row r="15" spans="1:130" ht="18" customHeight="1">
      <c r="A15" s="5">
        <v>12</v>
      </c>
      <c r="B15" s="6" t="s">
        <v>23</v>
      </c>
      <c r="C15" s="7" t="s">
        <v>13</v>
      </c>
      <c r="D15" s="7">
        <v>1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16"/>
      <c r="DZ15" s="16"/>
    </row>
    <row r="16" spans="1:130" ht="18" customHeight="1">
      <c r="A16" s="5">
        <v>13</v>
      </c>
      <c r="B16" s="6" t="s">
        <v>24</v>
      </c>
      <c r="C16" s="7" t="s">
        <v>10</v>
      </c>
      <c r="D16" s="7">
        <v>0.7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16"/>
      <c r="DZ16" s="16"/>
    </row>
    <row r="17" spans="1:130" ht="18" customHeight="1">
      <c r="A17" s="5">
        <v>14</v>
      </c>
      <c r="B17" s="6" t="s">
        <v>25</v>
      </c>
      <c r="C17" s="7" t="s">
        <v>10</v>
      </c>
      <c r="D17" s="7">
        <v>0.3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16"/>
      <c r="DZ17" s="16"/>
    </row>
    <row r="18" spans="1:130" ht="18" customHeight="1">
      <c r="A18" s="5">
        <v>15</v>
      </c>
      <c r="B18" s="6" t="s">
        <v>26</v>
      </c>
      <c r="C18" s="7" t="s">
        <v>10</v>
      </c>
      <c r="D18" s="7">
        <v>0.3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16"/>
      <c r="DZ18" s="16"/>
    </row>
    <row r="19" spans="1:130" ht="18" customHeight="1">
      <c r="A19" s="5">
        <v>16</v>
      </c>
      <c r="B19" s="6" t="s">
        <v>27</v>
      </c>
      <c r="C19" s="7" t="s">
        <v>10</v>
      </c>
      <c r="D19" s="7">
        <v>0.5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16"/>
      <c r="DZ19" s="16"/>
    </row>
    <row r="20" spans="1:130" ht="18" customHeight="1">
      <c r="A20" s="5">
        <v>17</v>
      </c>
      <c r="B20" s="6" t="s">
        <v>28</v>
      </c>
      <c r="C20" s="7" t="s">
        <v>13</v>
      </c>
      <c r="D20" s="7">
        <v>5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16"/>
      <c r="DZ20" s="16"/>
    </row>
    <row r="21" spans="1:130" ht="18" customHeight="1">
      <c r="A21" s="5">
        <v>18</v>
      </c>
      <c r="B21" s="6" t="s">
        <v>29</v>
      </c>
      <c r="C21" s="7" t="s">
        <v>10</v>
      </c>
      <c r="D21" s="7">
        <v>1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16"/>
      <c r="DZ21" s="16"/>
    </row>
    <row r="22" spans="1:130" ht="18" customHeight="1">
      <c r="A22" s="5">
        <v>19</v>
      </c>
      <c r="B22" s="6" t="s">
        <v>30</v>
      </c>
      <c r="C22" s="7" t="s">
        <v>10</v>
      </c>
      <c r="D22" s="7">
        <v>1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16"/>
      <c r="DZ22" s="16"/>
    </row>
    <row r="23" spans="1:130" ht="18" customHeight="1">
      <c r="A23" s="5">
        <v>20</v>
      </c>
      <c r="B23" s="6" t="s">
        <v>31</v>
      </c>
      <c r="C23" s="7" t="s">
        <v>13</v>
      </c>
      <c r="D23" s="7">
        <v>1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16"/>
      <c r="DZ23" s="16"/>
    </row>
    <row r="24" spans="1:130" ht="18" customHeight="1">
      <c r="A24" s="5">
        <v>21</v>
      </c>
      <c r="B24" s="6" t="s">
        <v>32</v>
      </c>
      <c r="C24" s="7" t="s">
        <v>13</v>
      </c>
      <c r="D24" s="7">
        <v>10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16"/>
      <c r="DZ24" s="16"/>
    </row>
    <row r="25" spans="1:130" ht="18" customHeight="1">
      <c r="A25" s="5">
        <v>22</v>
      </c>
      <c r="B25" s="6" t="s">
        <v>33</v>
      </c>
      <c r="C25" s="7" t="s">
        <v>13</v>
      </c>
      <c r="D25" s="7">
        <v>0.5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16"/>
      <c r="DZ25" s="16"/>
    </row>
    <row r="26" spans="1:130" ht="18" customHeight="1">
      <c r="A26" s="5">
        <v>23</v>
      </c>
      <c r="B26" s="10" t="s">
        <v>34</v>
      </c>
      <c r="C26" s="11" t="s">
        <v>13</v>
      </c>
      <c r="D26" s="7">
        <v>1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16"/>
      <c r="DZ26" s="16"/>
    </row>
    <row r="27" spans="1:130" ht="18" customHeight="1">
      <c r="A27" s="5">
        <v>24</v>
      </c>
      <c r="B27" s="6" t="s">
        <v>35</v>
      </c>
      <c r="C27" s="7" t="s">
        <v>13</v>
      </c>
      <c r="D27" s="7">
        <v>1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16"/>
      <c r="DZ27" s="16"/>
    </row>
    <row r="28" spans="1:130" ht="18" customHeight="1">
      <c r="A28" s="5">
        <v>25</v>
      </c>
      <c r="B28" s="6" t="s">
        <v>36</v>
      </c>
      <c r="C28" s="7" t="s">
        <v>13</v>
      </c>
      <c r="D28" s="7">
        <v>1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16"/>
      <c r="DZ28" s="16"/>
    </row>
    <row r="29" spans="1:130" ht="18" customHeight="1">
      <c r="A29" s="5">
        <v>26</v>
      </c>
      <c r="B29" s="6" t="s">
        <v>37</v>
      </c>
      <c r="C29" s="7" t="s">
        <v>13</v>
      </c>
      <c r="D29" s="7">
        <v>2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16"/>
      <c r="DZ29" s="16"/>
    </row>
    <row r="30" spans="1:130" ht="18" customHeight="1">
      <c r="A30" s="5">
        <v>27</v>
      </c>
      <c r="B30" s="6" t="s">
        <v>38</v>
      </c>
      <c r="C30" s="7" t="s">
        <v>13</v>
      </c>
      <c r="D30" s="7">
        <v>1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16"/>
      <c r="DZ30" s="16"/>
    </row>
    <row r="31" spans="1:130" ht="18" customHeight="1">
      <c r="A31" s="5">
        <v>28</v>
      </c>
      <c r="B31" s="6" t="s">
        <v>39</v>
      </c>
      <c r="C31" s="7" t="s">
        <v>13</v>
      </c>
      <c r="D31" s="7">
        <v>1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16"/>
      <c r="DZ31" s="16"/>
    </row>
    <row r="32" spans="1:130" ht="18" customHeight="1">
      <c r="A32" s="5">
        <v>29</v>
      </c>
      <c r="B32" s="6" t="s">
        <v>40</v>
      </c>
      <c r="C32" s="7" t="s">
        <v>41</v>
      </c>
      <c r="D32" s="7">
        <v>3.125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16"/>
      <c r="DZ32" s="16"/>
    </row>
    <row r="33" spans="1:130" ht="18" customHeight="1">
      <c r="A33" s="5">
        <v>30</v>
      </c>
      <c r="B33" s="6" t="s">
        <v>42</v>
      </c>
      <c r="C33" s="7" t="s">
        <v>41</v>
      </c>
      <c r="D33" s="7">
        <v>3.125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16"/>
      <c r="DZ33" s="16"/>
    </row>
    <row r="34" spans="1:130" ht="18" customHeight="1">
      <c r="A34" s="5">
        <v>31</v>
      </c>
      <c r="B34" s="6" t="s">
        <v>43</v>
      </c>
      <c r="C34" s="7" t="s">
        <v>13</v>
      </c>
      <c r="D34" s="7">
        <v>1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16"/>
      <c r="DZ34" s="16"/>
    </row>
    <row r="35" spans="1:130" ht="18" customHeight="1">
      <c r="A35" s="5">
        <v>32</v>
      </c>
      <c r="B35" s="6" t="s">
        <v>44</v>
      </c>
      <c r="C35" s="7" t="s">
        <v>13</v>
      </c>
      <c r="D35" s="7">
        <v>8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16"/>
      <c r="DZ35" s="16"/>
    </row>
    <row r="36" spans="1:130" ht="18" customHeight="1">
      <c r="A36" s="5">
        <v>33</v>
      </c>
      <c r="B36" s="6" t="s">
        <v>45</v>
      </c>
      <c r="C36" s="7" t="s">
        <v>13</v>
      </c>
      <c r="D36" s="7">
        <v>1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16"/>
      <c r="DZ36" s="16"/>
    </row>
    <row r="37" spans="1:130" ht="18" customHeight="1">
      <c r="A37" s="26"/>
      <c r="B37" s="27"/>
      <c r="C37" s="27"/>
      <c r="D37" s="2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16"/>
      <c r="DZ37" s="16"/>
    </row>
    <row r="38" spans="1:130" ht="18" customHeight="1">
      <c r="A38" s="29" t="s">
        <v>47</v>
      </c>
      <c r="B38" s="30"/>
      <c r="C38" s="30"/>
      <c r="D38" s="31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16"/>
      <c r="DZ38" s="16"/>
    </row>
    <row r="39" spans="1:130" ht="18" customHeight="1">
      <c r="A39" s="29" t="s">
        <v>48</v>
      </c>
      <c r="B39" s="30"/>
      <c r="C39" s="30"/>
      <c r="D39" s="31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16"/>
      <c r="DZ39" s="16"/>
    </row>
    <row r="40" spans="1:130" ht="18" customHeight="1">
      <c r="A40" s="29"/>
      <c r="B40" s="30"/>
      <c r="C40" s="30"/>
      <c r="D40" s="31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16"/>
      <c r="DZ40" s="16"/>
    </row>
    <row r="41" spans="1:130" ht="18" customHeight="1">
      <c r="A41" s="32"/>
      <c r="B41" s="32"/>
      <c r="C41" s="32"/>
      <c r="D41" s="32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16"/>
      <c r="DZ41" s="16"/>
    </row>
    <row r="42" spans="1:130" ht="18" customHeight="1">
      <c r="A42" s="32" t="s">
        <v>46</v>
      </c>
      <c r="B42" s="32"/>
      <c r="C42" s="32"/>
      <c r="D42" s="32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16"/>
      <c r="DZ42" s="16"/>
    </row>
    <row r="43" spans="1:130">
      <c r="A43" s="12"/>
      <c r="B43" s="13"/>
      <c r="C43" s="14"/>
      <c r="D43" s="12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</row>
    <row r="44" spans="1:130"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</row>
    <row r="45" spans="1:130"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</row>
    <row r="46" spans="1:130"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</row>
    <row r="47" spans="1:130"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</row>
    <row r="48" spans="1:130"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</row>
    <row r="49" spans="5:128" s="9" customFormat="1"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</row>
    <row r="50" spans="5:128" s="9" customFormat="1"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</row>
    <row r="51" spans="5:128" s="9" customFormat="1"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</row>
    <row r="52" spans="5:128" s="9" customFormat="1"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</row>
    <row r="53" spans="5:128" s="9" customFormat="1"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</row>
    <row r="54" spans="5:128" s="9" customFormat="1"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</row>
    <row r="55" spans="5:128" s="9" customFormat="1"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</row>
    <row r="56" spans="5:128" s="9" customFormat="1"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</row>
    <row r="57" spans="5:128" s="9" customFormat="1"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</row>
    <row r="58" spans="5:128" s="9" customFormat="1"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</row>
    <row r="59" spans="5:128" s="9" customFormat="1"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</row>
    <row r="60" spans="5:128" s="9" customFormat="1"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</row>
    <row r="61" spans="5:128" s="9" customFormat="1"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</row>
    <row r="62" spans="5:128" s="9" customFormat="1"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</row>
    <row r="63" spans="5:128" s="9" customFormat="1"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</row>
    <row r="64" spans="5:128" s="9" customFormat="1"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</row>
    <row r="65" spans="5:128" s="9" customFormat="1"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</row>
    <row r="66" spans="5:128" s="9" customFormat="1"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</row>
    <row r="67" spans="5:128" s="9" customFormat="1"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</row>
    <row r="68" spans="5:128" s="9" customFormat="1"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</row>
    <row r="69" spans="5:128" s="9" customFormat="1"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</row>
    <row r="70" spans="5:128" s="9" customFormat="1"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</row>
    <row r="71" spans="5:128" s="9" customFormat="1"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</row>
    <row r="72" spans="5:128" s="9" customFormat="1"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</row>
    <row r="73" spans="5:128" s="9" customFormat="1"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</row>
    <row r="74" spans="5:128" s="9" customFormat="1"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</row>
    <row r="75" spans="5:128" s="9" customFormat="1"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</row>
    <row r="76" spans="5:128" s="9" customFormat="1"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</row>
    <row r="77" spans="5:128" s="9" customFormat="1"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</row>
    <row r="78" spans="5:128" s="9" customFormat="1"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</row>
    <row r="79" spans="5:128" s="9" customFormat="1"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</row>
    <row r="80" spans="5:128" s="9" customFormat="1"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</row>
    <row r="81" spans="5:128" s="9" customFormat="1"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</row>
    <row r="82" spans="5:128" s="9" customFormat="1"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</row>
    <row r="83" spans="5:128" s="9" customFormat="1"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</row>
    <row r="84" spans="5:128" s="9" customFormat="1"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</row>
    <row r="85" spans="5:128" s="9" customFormat="1"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</row>
    <row r="86" spans="5:128" s="9" customFormat="1"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</row>
    <row r="87" spans="5:128" s="9" customFormat="1"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</row>
    <row r="88" spans="5:128" s="9" customFormat="1"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</row>
    <row r="89" spans="5:128" s="9" customFormat="1"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</row>
    <row r="90" spans="5:128" s="9" customFormat="1"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</row>
    <row r="91" spans="5:128" s="9" customFormat="1"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</row>
    <row r="92" spans="5:128" s="9" customFormat="1"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</row>
    <row r="93" spans="5:128" s="9" customFormat="1"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</row>
    <row r="94" spans="5:128" s="9" customFormat="1"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</row>
    <row r="95" spans="5:128" s="9" customFormat="1"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</row>
    <row r="96" spans="5:128" s="9" customFormat="1"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</row>
    <row r="97" spans="5:128" s="9" customFormat="1"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</row>
    <row r="98" spans="5:128" s="9" customFormat="1"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</row>
    <row r="99" spans="5:128" s="9" customFormat="1"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</row>
    <row r="100" spans="5:128" s="9" customFormat="1"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</row>
    <row r="101" spans="5:128" s="9" customFormat="1"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</row>
    <row r="102" spans="5:128" s="9" customFormat="1"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</row>
    <row r="103" spans="5:128" s="9" customFormat="1"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</row>
    <row r="104" spans="5:128" s="9" customFormat="1"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</row>
    <row r="105" spans="5:128" s="9" customFormat="1"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</row>
    <row r="106" spans="5:128" s="9" customFormat="1"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</row>
    <row r="107" spans="5:128" s="9" customFormat="1"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</row>
    <row r="108" spans="5:128" s="9" customFormat="1"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</row>
    <row r="109" spans="5:128" s="9" customFormat="1"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</row>
    <row r="110" spans="5:128" s="9" customFormat="1"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</row>
    <row r="111" spans="5:128" s="9" customFormat="1"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</row>
    <row r="112" spans="5:128" s="9" customFormat="1"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</row>
    <row r="113" spans="5:128" s="9" customFormat="1"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</row>
    <row r="114" spans="5:128" s="9" customFormat="1"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</row>
    <row r="115" spans="5:128" s="9" customFormat="1"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</row>
    <row r="116" spans="5:128" s="9" customFormat="1"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</row>
    <row r="117" spans="5:128" s="9" customFormat="1"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</row>
    <row r="118" spans="5:128" s="9" customFormat="1"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</row>
    <row r="119" spans="5:128" s="9" customFormat="1"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</row>
    <row r="120" spans="5:128" s="9" customFormat="1"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</row>
    <row r="121" spans="5:128" s="9" customFormat="1"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</row>
    <row r="122" spans="5:128" s="9" customFormat="1"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</row>
    <row r="123" spans="5:128" s="9" customFormat="1"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</row>
    <row r="124" spans="5:128" s="9" customFormat="1"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</row>
    <row r="125" spans="5:128" s="9" customFormat="1"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</row>
    <row r="126" spans="5:128" s="9" customFormat="1"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</row>
    <row r="127" spans="5:128" s="9" customFormat="1"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</row>
    <row r="128" spans="5:128" s="9" customFormat="1"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</row>
    <row r="129" spans="5:128" s="9" customFormat="1"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</row>
    <row r="130" spans="5:128" s="9" customFormat="1"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</row>
    <row r="131" spans="5:128" s="9" customFormat="1"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</row>
    <row r="132" spans="5:128" s="9" customFormat="1"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</row>
    <row r="133" spans="5:128" s="9" customFormat="1"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</row>
    <row r="134" spans="5:128" s="9" customFormat="1"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</row>
    <row r="135" spans="5:128" s="9" customFormat="1"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</row>
    <row r="136" spans="5:128" s="9" customFormat="1"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</row>
    <row r="137" spans="5:128" s="9" customFormat="1"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</row>
    <row r="138" spans="5:128" s="9" customFormat="1"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</row>
    <row r="139" spans="5:128" s="9" customFormat="1"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</row>
    <row r="140" spans="5:128" s="9" customFormat="1"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</row>
    <row r="141" spans="5:128" s="9" customFormat="1"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</row>
    <row r="142" spans="5:128" s="9" customFormat="1"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</row>
    <row r="143" spans="5:128" s="9" customFormat="1"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</row>
    <row r="144" spans="5:128" s="9" customFormat="1"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</row>
    <row r="145" spans="5:128" s="9" customFormat="1"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</row>
    <row r="146" spans="5:128" s="9" customFormat="1"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</row>
    <row r="147" spans="5:128" s="9" customFormat="1"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</row>
    <row r="148" spans="5:128" s="9" customFormat="1"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</row>
    <row r="149" spans="5:128" s="9" customFormat="1"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</row>
    <row r="150" spans="5:128" s="9" customFormat="1"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</row>
    <row r="151" spans="5:128" s="9" customFormat="1"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</row>
    <row r="152" spans="5:128" s="9" customFormat="1"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</row>
    <row r="153" spans="5:128" s="9" customFormat="1"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</row>
    <row r="154" spans="5:128" s="9" customFormat="1"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  <c r="DI154" s="15"/>
      <c r="DJ154" s="15"/>
      <c r="DK154" s="15"/>
      <c r="DL154" s="15"/>
      <c r="DM154" s="15"/>
      <c r="DN154" s="15"/>
      <c r="DO154" s="15"/>
      <c r="DP154" s="15"/>
      <c r="DQ154" s="15"/>
      <c r="DR154" s="15"/>
      <c r="DS154" s="15"/>
      <c r="DT154" s="15"/>
      <c r="DU154" s="15"/>
      <c r="DV154" s="15"/>
      <c r="DW154" s="15"/>
      <c r="DX154" s="15"/>
    </row>
    <row r="155" spans="5:128" s="9" customFormat="1"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</row>
    <row r="156" spans="5:128" s="9" customFormat="1"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5"/>
      <c r="DH156" s="15"/>
      <c r="DI156" s="15"/>
      <c r="DJ156" s="15"/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  <c r="DU156" s="15"/>
      <c r="DV156" s="15"/>
      <c r="DW156" s="15"/>
      <c r="DX156" s="15"/>
    </row>
    <row r="157" spans="5:128" s="9" customFormat="1"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</row>
    <row r="158" spans="5:128" s="9" customFormat="1"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  <c r="DU158" s="15"/>
      <c r="DV158" s="15"/>
      <c r="DW158" s="15"/>
      <c r="DX158" s="15"/>
    </row>
    <row r="159" spans="5:128" s="9" customFormat="1"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</row>
    <row r="160" spans="5:128" s="9" customFormat="1"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5"/>
      <c r="DQ160" s="15"/>
      <c r="DR160" s="15"/>
      <c r="DS160" s="15"/>
      <c r="DT160" s="15"/>
      <c r="DU160" s="15"/>
      <c r="DV160" s="15"/>
      <c r="DW160" s="15"/>
      <c r="DX160" s="15"/>
    </row>
    <row r="161" spans="5:128" s="9" customFormat="1"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</row>
    <row r="162" spans="5:128" s="9" customFormat="1"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5"/>
      <c r="DL162" s="15"/>
      <c r="DM162" s="15"/>
      <c r="DN162" s="15"/>
      <c r="DO162" s="15"/>
      <c r="DP162" s="15"/>
      <c r="DQ162" s="15"/>
      <c r="DR162" s="15"/>
      <c r="DS162" s="15"/>
      <c r="DT162" s="15"/>
      <c r="DU162" s="15"/>
      <c r="DV162" s="15"/>
      <c r="DW162" s="15"/>
      <c r="DX162" s="15"/>
    </row>
    <row r="163" spans="5:128" s="9" customFormat="1"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</row>
    <row r="164" spans="5:128" s="9" customFormat="1"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5"/>
      <c r="DL164" s="15"/>
      <c r="DM164" s="15"/>
      <c r="DN164" s="15"/>
      <c r="DO164" s="15"/>
      <c r="DP164" s="15"/>
      <c r="DQ164" s="15"/>
      <c r="DR164" s="15"/>
      <c r="DS164" s="15"/>
      <c r="DT164" s="15"/>
      <c r="DU164" s="15"/>
      <c r="DV164" s="15"/>
      <c r="DW164" s="15"/>
      <c r="DX164" s="15"/>
    </row>
    <row r="165" spans="5:128" s="9" customFormat="1"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</row>
    <row r="166" spans="5:128" s="9" customFormat="1"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  <c r="DI166" s="15"/>
      <c r="DJ166" s="15"/>
      <c r="DK166" s="15"/>
      <c r="DL166" s="15"/>
      <c r="DM166" s="15"/>
      <c r="DN166" s="15"/>
      <c r="DO166" s="15"/>
      <c r="DP166" s="15"/>
      <c r="DQ166" s="15"/>
      <c r="DR166" s="15"/>
      <c r="DS166" s="15"/>
      <c r="DT166" s="15"/>
      <c r="DU166" s="15"/>
      <c r="DV166" s="15"/>
      <c r="DW166" s="15"/>
      <c r="DX166" s="15"/>
    </row>
    <row r="167" spans="5:128" s="9" customFormat="1"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</row>
    <row r="168" spans="5:128" s="9" customFormat="1"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  <c r="DF168" s="15"/>
      <c r="DG168" s="15"/>
      <c r="DH168" s="15"/>
      <c r="DI168" s="15"/>
      <c r="DJ168" s="15"/>
      <c r="DK168" s="15"/>
      <c r="DL168" s="15"/>
      <c r="DM168" s="15"/>
      <c r="DN168" s="15"/>
      <c r="DO168" s="15"/>
      <c r="DP168" s="15"/>
      <c r="DQ168" s="15"/>
      <c r="DR168" s="15"/>
      <c r="DS168" s="15"/>
      <c r="DT168" s="15"/>
      <c r="DU168" s="15"/>
      <c r="DV168" s="15"/>
      <c r="DW168" s="15"/>
      <c r="DX168" s="15"/>
    </row>
    <row r="169" spans="5:128" s="9" customFormat="1"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</row>
    <row r="170" spans="5:128" s="9" customFormat="1"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  <c r="DF170" s="15"/>
      <c r="DG170" s="15"/>
      <c r="DH170" s="15"/>
      <c r="DI170" s="15"/>
      <c r="DJ170" s="15"/>
      <c r="DK170" s="15"/>
      <c r="DL170" s="15"/>
      <c r="DM170" s="15"/>
      <c r="DN170" s="15"/>
      <c r="DO170" s="15"/>
      <c r="DP170" s="15"/>
      <c r="DQ170" s="15"/>
      <c r="DR170" s="15"/>
      <c r="DS170" s="15"/>
      <c r="DT170" s="15"/>
      <c r="DU170" s="15"/>
      <c r="DV170" s="15"/>
      <c r="DW170" s="15"/>
      <c r="DX170" s="15"/>
    </row>
    <row r="171" spans="5:128" s="9" customFormat="1"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</row>
    <row r="172" spans="5:128" s="9" customFormat="1"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  <c r="DF172" s="15"/>
      <c r="DG172" s="15"/>
      <c r="DH172" s="15"/>
      <c r="DI172" s="15"/>
      <c r="DJ172" s="15"/>
      <c r="DK172" s="15"/>
      <c r="DL172" s="15"/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</row>
    <row r="173" spans="5:128" s="9" customFormat="1"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</row>
    <row r="174" spans="5:128" s="9" customFormat="1"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  <c r="DF174" s="15"/>
      <c r="DG174" s="15"/>
      <c r="DH174" s="15"/>
      <c r="DI174" s="15"/>
      <c r="DJ174" s="15"/>
      <c r="DK174" s="15"/>
      <c r="DL174" s="15"/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5"/>
      <c r="DX174" s="15"/>
    </row>
    <row r="175" spans="5:128" s="9" customFormat="1"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</row>
    <row r="176" spans="5:128" s="9" customFormat="1"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  <c r="DF176" s="15"/>
      <c r="DG176" s="15"/>
      <c r="DH176" s="15"/>
      <c r="DI176" s="15"/>
      <c r="DJ176" s="15"/>
      <c r="DK176" s="15"/>
      <c r="DL176" s="15"/>
      <c r="DM176" s="15"/>
      <c r="DN176" s="15"/>
      <c r="DO176" s="15"/>
      <c r="DP176" s="15"/>
      <c r="DQ176" s="15"/>
      <c r="DR176" s="15"/>
      <c r="DS176" s="15"/>
      <c r="DT176" s="15"/>
      <c r="DU176" s="15"/>
      <c r="DV176" s="15"/>
      <c r="DW176" s="15"/>
      <c r="DX176" s="15"/>
    </row>
    <row r="177" spans="5:128" s="9" customFormat="1"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</row>
    <row r="178" spans="5:128" s="9" customFormat="1"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  <c r="DF178" s="15"/>
      <c r="DG178" s="15"/>
      <c r="DH178" s="15"/>
      <c r="DI178" s="15"/>
      <c r="DJ178" s="15"/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</row>
    <row r="179" spans="5:128" s="9" customFormat="1"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</row>
    <row r="180" spans="5:128" s="9" customFormat="1"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</row>
    <row r="181" spans="5:128" s="9" customFormat="1"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</row>
    <row r="182" spans="5:128" s="9" customFormat="1"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  <c r="DF182" s="15"/>
      <c r="DG182" s="15"/>
      <c r="DH182" s="15"/>
      <c r="DI182" s="15"/>
      <c r="DJ182" s="15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</row>
    <row r="183" spans="5:128" s="9" customFormat="1"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</row>
    <row r="184" spans="5:128" s="9" customFormat="1"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</row>
    <row r="185" spans="5:128" s="9" customFormat="1"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</row>
    <row r="186" spans="5:128" s="9" customFormat="1"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</row>
    <row r="187" spans="5:128" s="9" customFormat="1"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</row>
    <row r="188" spans="5:128" s="9" customFormat="1"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</row>
    <row r="189" spans="5:128" s="9" customFormat="1"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</row>
    <row r="190" spans="5:128" s="9" customFormat="1"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</row>
    <row r="191" spans="5:128" s="9" customFormat="1"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</row>
    <row r="192" spans="5:128" s="9" customFormat="1"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5"/>
      <c r="DI192" s="15"/>
      <c r="DJ192" s="15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5"/>
    </row>
    <row r="193" spans="5:128" s="9" customFormat="1"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</row>
    <row r="194" spans="5:128" s="9" customFormat="1"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5"/>
      <c r="DH194" s="15"/>
      <c r="DI194" s="15"/>
      <c r="DJ194" s="15"/>
      <c r="DK194" s="15"/>
      <c r="DL194" s="15"/>
      <c r="DM194" s="15"/>
      <c r="DN194" s="15"/>
      <c r="DO194" s="15"/>
      <c r="DP194" s="15"/>
      <c r="DQ194" s="15"/>
      <c r="DR194" s="15"/>
      <c r="DS194" s="15"/>
      <c r="DT194" s="15"/>
      <c r="DU194" s="15"/>
      <c r="DV194" s="15"/>
      <c r="DW194" s="15"/>
      <c r="DX194" s="15"/>
    </row>
    <row r="195" spans="5:128" s="9" customFormat="1"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</row>
    <row r="196" spans="5:128" s="9" customFormat="1"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  <c r="DF196" s="15"/>
      <c r="DG196" s="15"/>
      <c r="DH196" s="15"/>
      <c r="DI196" s="15"/>
      <c r="DJ196" s="15"/>
      <c r="DK196" s="15"/>
      <c r="DL196" s="15"/>
      <c r="DM196" s="15"/>
      <c r="DN196" s="15"/>
      <c r="DO196" s="15"/>
      <c r="DP196" s="15"/>
      <c r="DQ196" s="15"/>
      <c r="DR196" s="15"/>
      <c r="DS196" s="15"/>
      <c r="DT196" s="15"/>
      <c r="DU196" s="15"/>
      <c r="DV196" s="15"/>
      <c r="DW196" s="15"/>
      <c r="DX196" s="15"/>
    </row>
    <row r="197" spans="5:128" s="9" customFormat="1"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</row>
    <row r="198" spans="5:128" s="9" customFormat="1"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  <c r="DF198" s="15"/>
      <c r="DG198" s="15"/>
      <c r="DH198" s="15"/>
      <c r="DI198" s="15"/>
      <c r="DJ198" s="15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</row>
    <row r="199" spans="5:128" s="9" customFormat="1"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</row>
    <row r="200" spans="5:128" s="9" customFormat="1"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5"/>
      <c r="DI200" s="15"/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</row>
    <row r="201" spans="5:128" s="9" customFormat="1"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</row>
    <row r="202" spans="5:128" s="9" customFormat="1"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  <c r="DI202" s="15"/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</row>
    <row r="203" spans="5:128" s="9" customFormat="1"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</row>
    <row r="204" spans="5:128" s="9" customFormat="1"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  <c r="DI204" s="15"/>
      <c r="DJ204" s="15"/>
      <c r="DK204" s="15"/>
      <c r="DL204" s="15"/>
      <c r="DM204" s="15"/>
      <c r="DN204" s="15"/>
      <c r="DO204" s="15"/>
      <c r="DP204" s="15"/>
      <c r="DQ204" s="15"/>
      <c r="DR204" s="15"/>
      <c r="DS204" s="15"/>
      <c r="DT204" s="15"/>
      <c r="DU204" s="15"/>
      <c r="DV204" s="15"/>
      <c r="DW204" s="15"/>
      <c r="DX204" s="15"/>
    </row>
    <row r="205" spans="5:128" s="9" customFormat="1"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</row>
    <row r="206" spans="5:128" s="9" customFormat="1"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  <c r="DF206" s="15"/>
      <c r="DG206" s="15"/>
      <c r="DH206" s="15"/>
      <c r="DI206" s="15"/>
      <c r="DJ206" s="15"/>
      <c r="DK206" s="15"/>
      <c r="DL206" s="15"/>
      <c r="DM206" s="15"/>
      <c r="DN206" s="15"/>
      <c r="DO206" s="15"/>
      <c r="DP206" s="15"/>
      <c r="DQ206" s="15"/>
      <c r="DR206" s="15"/>
      <c r="DS206" s="15"/>
      <c r="DT206" s="15"/>
      <c r="DU206" s="15"/>
      <c r="DV206" s="15"/>
      <c r="DW206" s="15"/>
      <c r="DX206" s="15"/>
    </row>
    <row r="207" spans="5:128" s="9" customFormat="1"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</row>
    <row r="208" spans="5:128" s="9" customFormat="1"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5"/>
      <c r="DL208" s="15"/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5"/>
      <c r="DX208" s="15"/>
    </row>
    <row r="209" spans="5:128" s="9" customFormat="1"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</row>
    <row r="210" spans="5:128" s="9" customFormat="1"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5"/>
      <c r="DL210" s="15"/>
      <c r="DM210" s="15"/>
      <c r="DN210" s="15"/>
      <c r="DO210" s="15"/>
      <c r="DP210" s="15"/>
      <c r="DQ210" s="15"/>
      <c r="DR210" s="15"/>
      <c r="DS210" s="15"/>
      <c r="DT210" s="15"/>
      <c r="DU210" s="15"/>
      <c r="DV210" s="15"/>
      <c r="DW210" s="15"/>
      <c r="DX210" s="15"/>
    </row>
    <row r="211" spans="5:128" s="9" customFormat="1"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</row>
    <row r="212" spans="5:128" s="9" customFormat="1"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5"/>
      <c r="DL212" s="15"/>
      <c r="DM212" s="15"/>
      <c r="DN212" s="15"/>
      <c r="DO212" s="15"/>
      <c r="DP212" s="15"/>
      <c r="DQ212" s="15"/>
      <c r="DR212" s="15"/>
      <c r="DS212" s="15"/>
      <c r="DT212" s="15"/>
      <c r="DU212" s="15"/>
      <c r="DV212" s="15"/>
      <c r="DW212" s="15"/>
      <c r="DX212" s="15"/>
    </row>
    <row r="213" spans="5:128" s="9" customFormat="1"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</row>
    <row r="214" spans="5:128" s="9" customFormat="1"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5"/>
      <c r="DL214" s="15"/>
      <c r="DM214" s="15"/>
      <c r="DN214" s="15"/>
      <c r="DO214" s="15"/>
      <c r="DP214" s="15"/>
      <c r="DQ214" s="15"/>
      <c r="DR214" s="15"/>
      <c r="DS214" s="15"/>
      <c r="DT214" s="15"/>
      <c r="DU214" s="15"/>
      <c r="DV214" s="15"/>
      <c r="DW214" s="15"/>
      <c r="DX214" s="15"/>
    </row>
    <row r="215" spans="5:128" s="9" customFormat="1"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</row>
    <row r="216" spans="5:128" s="9" customFormat="1"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5"/>
      <c r="DL216" s="15"/>
      <c r="DM216" s="15"/>
      <c r="DN216" s="15"/>
      <c r="DO216" s="15"/>
      <c r="DP216" s="15"/>
      <c r="DQ216" s="15"/>
      <c r="DR216" s="15"/>
      <c r="DS216" s="15"/>
      <c r="DT216" s="15"/>
      <c r="DU216" s="15"/>
      <c r="DV216" s="15"/>
      <c r="DW216" s="15"/>
      <c r="DX216" s="15"/>
    </row>
    <row r="217" spans="5:128" s="9" customFormat="1"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</row>
  </sheetData>
  <mergeCells count="41">
    <mergeCell ref="A38:D38"/>
    <mergeCell ref="A39:D39"/>
    <mergeCell ref="A40:D40"/>
    <mergeCell ref="A41:D41"/>
    <mergeCell ref="A42:D42"/>
    <mergeCell ref="DE2:DH2"/>
    <mergeCell ref="DI2:DL2"/>
    <mergeCell ref="DM2:DP2"/>
    <mergeCell ref="DQ2:DT2"/>
    <mergeCell ref="DU2:DX2"/>
    <mergeCell ref="A37:D37"/>
    <mergeCell ref="CG2:CJ2"/>
    <mergeCell ref="CK2:CN2"/>
    <mergeCell ref="CO2:CR2"/>
    <mergeCell ref="CS2:CV2"/>
    <mergeCell ref="AK2:AN2"/>
    <mergeCell ref="AO2:AR2"/>
    <mergeCell ref="AS2:AV2"/>
    <mergeCell ref="AW2:AZ2"/>
    <mergeCell ref="BA2:BD2"/>
    <mergeCell ref="BE2:BH2"/>
    <mergeCell ref="M2:P2"/>
    <mergeCell ref="Q2:T2"/>
    <mergeCell ref="U2:X2"/>
    <mergeCell ref="Y2:AB2"/>
    <mergeCell ref="AC2:AF2"/>
    <mergeCell ref="CW2:CZ2"/>
    <mergeCell ref="DA2:DD2"/>
    <mergeCell ref="BI2:BL2"/>
    <mergeCell ref="BM2:BP2"/>
    <mergeCell ref="BQ2:BT2"/>
    <mergeCell ref="BU2:BX2"/>
    <mergeCell ref="BY2:CB2"/>
    <mergeCell ref="CC2:CF2"/>
    <mergeCell ref="AG2:AJ2"/>
    <mergeCell ref="A2:A3"/>
    <mergeCell ref="B2:B3"/>
    <mergeCell ref="C2:C3"/>
    <mergeCell ref="D2:D3"/>
    <mergeCell ref="E2:H2"/>
    <mergeCell ref="I2:L2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3</vt:i4>
      </vt:variant>
    </vt:vector>
  </HeadingPairs>
  <TitlesOfParts>
    <vt:vector size="3" baseType="lpstr">
      <vt:lpstr>ต.ค</vt:lpstr>
      <vt:lpstr>พ.ย</vt:lpstr>
      <vt:lpstr>ธ.ค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2006-09-13T11:32:04Z</dcterms:created>
  <dcterms:modified xsi:type="dcterms:W3CDTF">2011-11-14T03:45:48Z</dcterms:modified>
</cp:coreProperties>
</file>