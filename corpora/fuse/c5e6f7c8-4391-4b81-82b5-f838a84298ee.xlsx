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5" yWindow="-195" windowWidth="15480" windowHeight="6015" tabRatio="785" activeTab="1"/>
  </bookViews>
  <sheets>
    <sheet name="Cover" sheetId="35" r:id="rId1"/>
    <sheet name="Master" sheetId="1" r:id="rId2"/>
    <sheet name="Footnotes" sheetId="34" r:id="rId3"/>
  </sheets>
  <externalReferences>
    <externalReference r:id="rId4"/>
    <externalReference r:id="rId5"/>
    <externalReference r:id="rId6"/>
    <externalReference r:id="rId7"/>
    <externalReference r:id="rId8"/>
    <externalReference r:id="rId9"/>
    <externalReference r:id="rId10"/>
    <externalReference r:id="rId11"/>
  </externalReferences>
  <definedNames>
    <definedName name="____New1" localSheetId="1">#N/A</definedName>
    <definedName name="____New1">#REF!</definedName>
    <definedName name="__New1" localSheetId="1">#N/A</definedName>
    <definedName name="__New1">#REF!</definedName>
    <definedName name="_12yrto100" localSheetId="1">#REF!</definedName>
    <definedName name="_12yrto100">[1]Lookups!#REF!</definedName>
    <definedName name="_12yrto60" localSheetId="1">#REF!</definedName>
    <definedName name="_12yrto60">[1]Lookups!#REF!</definedName>
    <definedName name="_3yrto100" localSheetId="1">#REF!</definedName>
    <definedName name="_3yrto100">[1]Lookups!#REF!</definedName>
    <definedName name="_3yrto60" localSheetId="1">#REF!</definedName>
    <definedName name="_3yrto60">[1]Lookups!#REF!</definedName>
    <definedName name="_6yrto100" localSheetId="1">#REF!</definedName>
    <definedName name="_6yrto100">[1]Lookups!#REF!</definedName>
    <definedName name="_6yrto60" localSheetId="1">#REF!</definedName>
    <definedName name="_6yrto60">[1]Lookups!#REF!</definedName>
    <definedName name="_9yrto100" localSheetId="1">#REF!</definedName>
    <definedName name="_9yrto100">[1]Lookups!#REF!</definedName>
    <definedName name="_9yrto60" localSheetId="1">#REF!</definedName>
    <definedName name="_9yrto60">[1]Lookups!#REF!</definedName>
    <definedName name="_xlnm._FilterDatabase" localSheetId="1" hidden="1">Master!$A$2:$R$22</definedName>
    <definedName name="_New1" localSheetId="1">#N/A</definedName>
    <definedName name="_New1">#REF!</definedName>
    <definedName name="AGRICULTURAL" localSheetId="1">#N/A</definedName>
    <definedName name="AGRICULTURAL">#REF!</definedName>
    <definedName name="Annual_Install" localSheetId="1">#N/A</definedName>
    <definedName name="Annual_Install">#REF!</definedName>
    <definedName name="CAlist" localSheetId="1">#N/A</definedName>
    <definedName name="CAlist">#REF!</definedName>
    <definedName name="CBWorkbookPriority" hidden="1">-1472087526</definedName>
    <definedName name="CheckArea" localSheetId="1">#N/A</definedName>
    <definedName name="CheckArea">#REF!</definedName>
    <definedName name="CodeIndex">[2]Inputs!$C$1</definedName>
    <definedName name="CodeNever" localSheetId="1">#N/A</definedName>
    <definedName name="CodeNever">#REF!</definedName>
    <definedName name="COLLEGES" localSheetId="1">#N/A</definedName>
    <definedName name="COLLEGES">#REF!</definedName>
    <definedName name="COMMERCIAL" localSheetId="1">#N/A</definedName>
    <definedName name="COMMERCIAL">#REF!</definedName>
    <definedName name="Commitment_Type">[3]Lookup!$A$2:$A$11</definedName>
    <definedName name="_xlnm.Criteria" localSheetId="1">#REF!</definedName>
    <definedName name="_xlnm.Criteria">'[4]1.1 Done'!#REF!</definedName>
    <definedName name="Criteria_MI" localSheetId="1">#N/A</definedName>
    <definedName name="Criteria_MI">#REF!</definedName>
    <definedName name="d" localSheetId="1">#N/A</definedName>
    <definedName name="d">#REF!</definedName>
    <definedName name="data" localSheetId="1">#N/A</definedName>
    <definedName name="data">#REF!</definedName>
    <definedName name="_xlnm.Database">'[4]1.1 Done'!#REF!</definedName>
    <definedName name="Database_MI" localSheetId="1">#N/A</definedName>
    <definedName name="Database_MI">#REF!</definedName>
    <definedName name="DirText" localSheetId="1">#N/A</definedName>
    <definedName name="DirText">#REF!</definedName>
    <definedName name="Disc" localSheetId="1">#N/A</definedName>
    <definedName name="Disc">#REF!</definedName>
    <definedName name="Disrate" localSheetId="1">#N/A</definedName>
    <definedName name="Disrate">#REF!</definedName>
    <definedName name="E3_ENG" localSheetId="1">#N/A</definedName>
    <definedName name="E3_ENG">#REF!</definedName>
    <definedName name="E3_ENG_SC" localSheetId="1">#N/A</definedName>
    <definedName name="E3_ENG_SC">#REF!</definedName>
    <definedName name="EEGA_v5" localSheetId="1">#N/A</definedName>
    <definedName name="EEGA_v5">#REF!</definedName>
    <definedName name="EEGAVersion" localSheetId="1">#N/A</definedName>
    <definedName name="EEGAVersion">#REF!</definedName>
    <definedName name="ElecShare" localSheetId="1">#N/A</definedName>
    <definedName name="ElecShare">#REF!</definedName>
    <definedName name="Enf60Never" localSheetId="1">#N/A</definedName>
    <definedName name="Enf60Never">#REF!</definedName>
    <definedName name="ErrorLog" localSheetId="1">#N/A</definedName>
    <definedName name="ErrorLog">#REF!</definedName>
    <definedName name="ExportDirText" localSheetId="1">#N/A</definedName>
    <definedName name="ExportDirText">#REF!</definedName>
    <definedName name="ExportRanges" localSheetId="1">#N/A</definedName>
    <definedName name="ExportRanges">#REF!</definedName>
    <definedName name="ExportRangeSeed" localSheetId="1">#N/A</definedName>
    <definedName name="ExportRangeSeed">#REF!</definedName>
    <definedName name="_xlnm.Extract">'[4]1.1 Done'!#REF!</definedName>
    <definedName name="Extract_MI" localSheetId="1">#N/A</definedName>
    <definedName name="Extract_MI">#REF!</definedName>
    <definedName name="GasRate" localSheetId="1">#N/A</definedName>
    <definedName name="GasRate">#REF!</definedName>
    <definedName name="GenRate" localSheetId="1">#N/A</definedName>
    <definedName name="GenRate">#REF!</definedName>
    <definedName name="Gray" localSheetId="1">#N/A</definedName>
    <definedName name="Gray">[5]Partnerships!$B$13:$O$13,[5]Partnerships!#REF!,[5]Partnerships!$B$16:$O$16,[5]Partnerships!#REF!,[5]Partnerships!$B$33:$O$33,[5]Partnerships!#REF!,[5]Partnerships!#REF!,[5]Partnerships!$B$35:$O$35,[5]Partnerships!$B$37:$O$37</definedName>
    <definedName name="GROCERY" localSheetId="1">#N/A</definedName>
    <definedName name="GROCERY">#REF!</definedName>
    <definedName name="HOSPITALS" localSheetId="1">#N/A</definedName>
    <definedName name="HOSPITALS">#REF!</definedName>
    <definedName name="ImportExportRanges" localSheetId="1">#N/A</definedName>
    <definedName name="ImportExportRanges">#REF!</definedName>
    <definedName name="ImportExportRangeSeed" localSheetId="1">#N/A</definedName>
    <definedName name="ImportExportRangeSeed">#REF!</definedName>
    <definedName name="Inc_Cost" localSheetId="1">#N/A</definedName>
    <definedName name="Inc_Cost">#REF!</definedName>
    <definedName name="IncludeTD" localSheetId="1">#N/A</definedName>
    <definedName name="IncludeTD">#REF!</definedName>
    <definedName name="indata" localSheetId="1">#N/A</definedName>
    <definedName name="indata">#REF!</definedName>
    <definedName name="INDUSTRIAL" localSheetId="1">#N/A</definedName>
    <definedName name="INDUSTRIAL">#REF!</definedName>
    <definedName name="INR" localSheetId="1">#N/A</definedName>
    <definedName name="INR">#REF!</definedName>
    <definedName name="InRows" localSheetId="1">#N/A</definedName>
    <definedName name="InRows">#REF!</definedName>
    <definedName name="Jan">[5]Month!$C$36</definedName>
    <definedName name="KWh_Unit" localSheetId="1">#N/A</definedName>
    <definedName name="KWh_Unit">#REF!</definedName>
    <definedName name="LODGING" localSheetId="1">#N/A</definedName>
    <definedName name="LODGING">#REF!</definedName>
    <definedName name="Lookup_names" localSheetId="1">#N/A</definedName>
    <definedName name="Lookup_names">#REF!</definedName>
    <definedName name="Lookup_table" localSheetId="1">#N/A</definedName>
    <definedName name="Lookup_table">#REF!</definedName>
    <definedName name="MasterRows" localSheetId="1">#N/A</definedName>
    <definedName name="MasterRows">#REF!</definedName>
    <definedName name="MaxMeasures">[6]Calculations!$K$8</definedName>
    <definedName name="MktNever" localSheetId="1">#N/A</definedName>
    <definedName name="MktNever">#REF!</definedName>
    <definedName name="NAlist" localSheetId="1">#N/A</definedName>
    <definedName name="NAlist">#REF!</definedName>
    <definedName name="NameStart" localSheetId="1">#N/A</definedName>
    <definedName name="NameStart">#REF!</definedName>
    <definedName name="NCR" localSheetId="1">#N/A</definedName>
    <definedName name="NCR">#REF!</definedName>
    <definedName name="Never" localSheetId="1">#N/A</definedName>
    <definedName name="Never">#REF!</definedName>
    <definedName name="NEW">'[7]1.1 Done'!#REF!</definedName>
    <definedName name="NextCycle" localSheetId="1">#N/A</definedName>
    <definedName name="NextCycle">#REF!</definedName>
    <definedName name="NumFiles" localSheetId="1">#N/A</definedName>
    <definedName name="NumFiles">#REF!</definedName>
    <definedName name="OFFICE" localSheetId="1">#N/A</definedName>
    <definedName name="OFFICE">#REF!</definedName>
    <definedName name="OTHER_COM" localSheetId="1">#N/A</definedName>
    <definedName name="OTHER_COM">#REF!</definedName>
    <definedName name="OutputStart" localSheetId="1">#N/A</definedName>
    <definedName name="OutputStart">#REF!</definedName>
    <definedName name="OverwriteOut" localSheetId="1">#N/A</definedName>
    <definedName name="OverwriteOut">#REF!</definedName>
    <definedName name="PD" localSheetId="1">#N/A</definedName>
    <definedName name="PD">#REF!</definedName>
    <definedName name="Periods" localSheetId="1">#N/A</definedName>
    <definedName name="Periods">#REF!</definedName>
    <definedName name="PGE_Quarterly" localSheetId="1">#N/A</definedName>
    <definedName name="PGE_Quarterly">#REF!</definedName>
    <definedName name="Print_Area_MI" localSheetId="1">#N/A</definedName>
    <definedName name="Print_Area_MI">#REF!</definedName>
    <definedName name="_xlnm.Print_Titles" localSheetId="2">Footnotes!$1:$1</definedName>
    <definedName name="_xlnm.Print_Titles" localSheetId="1">Master!$1:$2</definedName>
    <definedName name="ProgYear" localSheetId="1">#N/A</definedName>
    <definedName name="ProgYear">#REF!</definedName>
    <definedName name="qryNormByMkt_AllData" localSheetId="1">#N/A</definedName>
    <definedName name="qryNormByMkt_AllData">#REF!</definedName>
    <definedName name="REF_WAREHOUSE" localSheetId="1">#N/A</definedName>
    <definedName name="REF_WAREHOUSE">#REF!</definedName>
    <definedName name="Res_New_Construction" localSheetId="1">#N/A</definedName>
    <definedName name="Res_New_Construction">#REF!</definedName>
    <definedName name="Residential" localSheetId="1">#N/A</definedName>
    <definedName name="Residential">#REF!</definedName>
    <definedName name="RESTAURANTS" localSheetId="1">#N/A</definedName>
    <definedName name="RESTAURANTS">#REF!</definedName>
    <definedName name="ResultTable" localSheetId="1">#N/A</definedName>
    <definedName name="ResultTable">#REF!</definedName>
    <definedName name="RETAIL" localSheetId="1">#N/A</definedName>
    <definedName name="RETAIL">#REF!</definedName>
    <definedName name="S_DEM" localSheetId="1">#N/A</definedName>
    <definedName name="S_DEM">#REF!</definedName>
    <definedName name="S_ENG" localSheetId="1">#N/A</definedName>
    <definedName name="S_ENG">#REF!</definedName>
    <definedName name="S_GAS" localSheetId="1">#N/A</definedName>
    <definedName name="S_GAS">#REF!</definedName>
    <definedName name="SCGAggEnd" localSheetId="1">#N/A</definedName>
    <definedName name="SCGAggEnd">#REF!</definedName>
    <definedName name="SCGMktSector" localSheetId="1">#N/A</definedName>
    <definedName name="SCGMktSector">#REF!</definedName>
    <definedName name="SCGPgmSum" localSheetId="1">#N/A</definedName>
    <definedName name="SCGPgmSum">#REF!</definedName>
    <definedName name="SCHOOLS" localSheetId="1">#N/A</definedName>
    <definedName name="SCHOOLS">#REF!</definedName>
    <definedName name="SCsetting" localSheetId="1">#N/A</definedName>
    <definedName name="SCsetting">#REF!</definedName>
    <definedName name="SDGE_EUL" localSheetId="1">#N/A</definedName>
    <definedName name="SDGE_EUL">#REF!</definedName>
    <definedName name="sdgeAggEnd" localSheetId="1">#N/A</definedName>
    <definedName name="sdgeAggEnd">#REF!</definedName>
    <definedName name="sdgeMktSector" localSheetId="1">#N/A</definedName>
    <definedName name="sdgeMktSector">#REF!</definedName>
    <definedName name="SDGEPgmSum" localSheetId="1">#N/A</definedName>
    <definedName name="SDGEPgmSum">#REF!</definedName>
    <definedName name="SelectRate" localSheetId="1">#N/A</definedName>
    <definedName name="SelectRate">#REF!</definedName>
    <definedName name="SelectResult" localSheetId="1">#N/A</definedName>
    <definedName name="SelectResult">#REF!</definedName>
    <definedName name="SkipYrs" localSheetId="1">#N/A</definedName>
    <definedName name="SkipYrs">#REF!</definedName>
    <definedName name="StampStatusLocation" localSheetId="1">#N/A</definedName>
    <definedName name="StampStatusLocation">#REF!</definedName>
    <definedName name="StampVersionLocation" localSheetId="1">#N/A</definedName>
    <definedName name="StampVersionLocation">#REF!</definedName>
    <definedName name="StandaloneMode" localSheetId="1">#N/A</definedName>
    <definedName name="StandaloneMode">#REF!</definedName>
    <definedName name="StartYr">[8]Input!$E$7</definedName>
    <definedName name="Suffix" localSheetId="1">#N/A</definedName>
    <definedName name="Suffix">#REF!</definedName>
    <definedName name="T20YES" localSheetId="1">#N/A</definedName>
    <definedName name="T20YES">#REF!</definedName>
    <definedName name="T24YES" localSheetId="1">#N/A</definedName>
    <definedName name="T24YES">#REF!</definedName>
    <definedName name="TargetNCR" localSheetId="1">#N/A</definedName>
    <definedName name="TargetNCR">#REF!</definedName>
    <definedName name="TargetPD" localSheetId="1">#N/A</definedName>
    <definedName name="TargetPD">#REF!</definedName>
    <definedName name="TDRate" localSheetId="1">#N/A</definedName>
    <definedName name="TDRate">#REF!</definedName>
    <definedName name="UpdateVersion" localSheetId="1">#N/A</definedName>
    <definedName name="UpdateVersion">#REF!</definedName>
    <definedName name="Validation_Ranges" localSheetId="1">#N/A</definedName>
    <definedName name="Validation_Ranges">#REF!</definedName>
    <definedName name="ValidationRangeSeed" localSheetId="1">#N/A</definedName>
    <definedName name="ValidationRangeSeed">#REF!</definedName>
    <definedName name="ValidatorVersion" localSheetId="1">#N/A</definedName>
    <definedName name="ValidatorVersion">#REF!</definedName>
    <definedName name="Version" localSheetId="1">#N/A</definedName>
    <definedName name="Version">#REF!</definedName>
    <definedName name="vertical" localSheetId="1">#N/A</definedName>
    <definedName name="vertical">[5]Partnerships!#REF!,[5]Partnerships!$I$11:$I$37,[5]Partnerships!$J$11:$J$37,[5]Partnerships!#REF!,[5]Partnerships!$L$11:$L$37,[5]Partnerships!#REF!,[5]Partnerships!$N$11:$N$37,[5]Partnerships!$O$11:$O$37,[5]Partnerships!#REF!</definedName>
    <definedName name="WAREHOUSE" localSheetId="1">#N/A</definedName>
    <definedName name="WAREHOUSE">#REF!</definedName>
    <definedName name="White" localSheetId="1">#REF!,#REF!,#REF!,#REF!,#REF!,#REF!,#REF!,#REF!,#REF!,#REF!,#REF!</definedName>
    <definedName name="White">[5]Business!$B$9:$M$9,[5]Business!#REF!,[5]Business!$B$24:$M$24,[5]Business!$B$25:$M$25,[5]Business!#REF!,[5]Business!$B$12:$M$12,[5]Business!#REF!,[5]Business!$B$13:$M$13,[5]Business!#REF!,[5]Business!$B$17:$M$17,[5]Business!#REF!</definedName>
    <definedName name="WriteOutput" localSheetId="1">#N/A</definedName>
    <definedName name="WriteOutput">[8]Control!#REF!</definedName>
  </definedNames>
  <calcPr calcId="145621"/>
</workbook>
</file>

<file path=xl/calcChain.xml><?xml version="1.0" encoding="utf-8"?>
<calcChain xmlns="http://schemas.openxmlformats.org/spreadsheetml/2006/main">
  <c r="I126" i="1" l="1"/>
  <c r="I125" i="1" l="1"/>
  <c r="I123" i="1"/>
  <c r="I122" i="1"/>
  <c r="I121" i="1"/>
  <c r="I120" i="1"/>
  <c r="I119" i="1"/>
  <c r="I118" i="1"/>
  <c r="I117" i="1"/>
  <c r="I116" i="1"/>
  <c r="O145" i="1" l="1"/>
  <c r="I22" i="1" l="1"/>
  <c r="H22" i="1"/>
  <c r="G22" i="1"/>
  <c r="L126" i="1" l="1"/>
  <c r="L125" i="1"/>
  <c r="K120" i="1"/>
  <c r="L122" i="1" s="1"/>
  <c r="L118" i="1"/>
  <c r="L116" i="1"/>
  <c r="K116" i="1"/>
  <c r="L119" i="1" s="1"/>
  <c r="L121" i="1" l="1"/>
  <c r="L123" i="1"/>
  <c r="L117" i="1"/>
  <c r="L120" i="1"/>
  <c r="I19" i="1" l="1"/>
  <c r="H19" i="1"/>
  <c r="G19" i="1"/>
  <c r="J36" i="1" l="1"/>
  <c r="J35" i="1"/>
  <c r="L19" i="1"/>
  <c r="K19" i="1"/>
  <c r="J19" i="1"/>
  <c r="G28" i="1" l="1"/>
  <c r="G26" i="1"/>
  <c r="R145" i="1" l="1"/>
  <c r="G39" i="1" l="1"/>
  <c r="G38" i="1"/>
  <c r="G37" i="1"/>
  <c r="G36" i="1"/>
  <c r="G35" i="1"/>
  <c r="M38" i="1" l="1"/>
  <c r="M37" i="1"/>
  <c r="M36" i="1"/>
  <c r="M35" i="1"/>
  <c r="M28" i="1"/>
  <c r="M26" i="1"/>
  <c r="O19" i="1"/>
  <c r="N19" i="1"/>
  <c r="M19" i="1"/>
  <c r="L145" i="1" l="1"/>
  <c r="I145" i="1"/>
  <c r="R126" i="1" l="1"/>
  <c r="R125" i="1"/>
  <c r="R123" i="1"/>
  <c r="R122" i="1"/>
  <c r="R121" i="1"/>
  <c r="R120" i="1"/>
  <c r="R119" i="1"/>
  <c r="R118" i="1"/>
  <c r="R117" i="1"/>
  <c r="R116" i="1"/>
  <c r="P38" i="1" l="1"/>
  <c r="P37" i="1"/>
  <c r="P36" i="1"/>
  <c r="P35" i="1"/>
  <c r="G13" i="1" l="1"/>
  <c r="O126" i="1" l="1"/>
  <c r="O125" i="1"/>
  <c r="O123" i="1"/>
  <c r="O122" i="1"/>
  <c r="O121" i="1"/>
  <c r="O120" i="1"/>
  <c r="O119" i="1"/>
  <c r="O118" i="1"/>
  <c r="O117" i="1"/>
  <c r="O116" i="1"/>
  <c r="N16" i="1"/>
  <c r="M16" i="1"/>
  <c r="N13" i="1"/>
  <c r="M13" i="1"/>
  <c r="R22" i="1" l="1"/>
  <c r="Q22" i="1"/>
  <c r="P22" i="1"/>
  <c r="R19" i="1"/>
  <c r="Q19" i="1"/>
  <c r="P19" i="1"/>
  <c r="Q16" i="1"/>
  <c r="Q13" i="1"/>
  <c r="H13" i="1"/>
  <c r="H16" i="1"/>
  <c r="G16" i="1"/>
  <c r="J39" i="1" l="1"/>
  <c r="J38" i="1"/>
  <c r="J37" i="1"/>
  <c r="J28" i="1"/>
  <c r="J26" i="1"/>
  <c r="L22" i="1"/>
  <c r="K22" i="1"/>
  <c r="J22" i="1"/>
  <c r="K16" i="1"/>
  <c r="J16" i="1"/>
  <c r="K13" i="1"/>
  <c r="J13" i="1"/>
  <c r="A6" i="34" l="1"/>
  <c r="A14" i="34"/>
  <c r="A16" i="34"/>
</calcChain>
</file>

<file path=xl/sharedStrings.xml><?xml version="1.0" encoding="utf-8"?>
<sst xmlns="http://schemas.openxmlformats.org/spreadsheetml/2006/main" count="544" uniqueCount="279">
  <si>
    <t xml:space="preserve">Total </t>
  </si>
  <si>
    <t>% kW</t>
  </si>
  <si>
    <t>% kWh</t>
  </si>
  <si>
    <t>Q</t>
  </si>
  <si>
    <t>Advanced</t>
  </si>
  <si>
    <t xml:space="preserve">Avg kWh </t>
  </si>
  <si>
    <t>Avoid kW</t>
  </si>
  <si>
    <t>Therm saving</t>
  </si>
  <si>
    <t>Deemed</t>
  </si>
  <si>
    <t>Calculated</t>
  </si>
  <si>
    <t xml:space="preserve">
Percent</t>
  </si>
  <si>
    <t>Sub-
Program</t>
  </si>
  <si>
    <t>RES-18.1</t>
  </si>
  <si>
    <t>RES-18.2</t>
  </si>
  <si>
    <r>
      <t xml:space="preserve">Average Ex-ante savings per home as reported (average kWh, therms, kW) for </t>
    </r>
    <r>
      <rPr>
        <b/>
        <sz val="9"/>
        <color indexed="8"/>
        <rFont val="Arial"/>
        <family val="2"/>
      </rPr>
      <t>performance</t>
    </r>
    <r>
      <rPr>
        <sz val="9"/>
        <color indexed="8"/>
        <rFont val="Arial"/>
        <family val="2"/>
      </rPr>
      <t xml:space="preserve"> program by climate zone </t>
    </r>
  </si>
  <si>
    <r>
      <t xml:space="preserve">Average Ex-ante savings per home as reported (average kWh, therms, kW) for </t>
    </r>
    <r>
      <rPr>
        <b/>
        <sz val="9"/>
        <color indexed="8"/>
        <rFont val="Arial"/>
        <family val="2"/>
      </rPr>
      <t>prescriptive</t>
    </r>
    <r>
      <rPr>
        <sz val="9"/>
        <color indexed="8"/>
        <rFont val="Arial"/>
        <family val="2"/>
      </rPr>
      <t xml:space="preserve"> program by climate zone </t>
    </r>
  </si>
  <si>
    <t xml:space="preserve"># </t>
  </si>
  <si>
    <t>Elec %</t>
  </si>
  <si>
    <t>Gas %</t>
  </si>
  <si>
    <t>% Customers in NRA</t>
  </si>
  <si>
    <t>% Customers in Deemed</t>
  </si>
  <si>
    <t>% Customers in Calculated</t>
  </si>
  <si>
    <t>% Customers in CEI</t>
  </si>
  <si>
    <t>Total Participants</t>
  </si>
  <si>
    <t># Participating in Other EE programs</t>
  </si>
  <si>
    <t>Basic (CFL bare spiral &lt;30 W)</t>
  </si>
  <si>
    <t>Covered</t>
  </si>
  <si>
    <t>Bare Spiral &gt;30 Watts</t>
  </si>
  <si>
    <t>Ext Fixture</t>
  </si>
  <si>
    <t>Int Fixture</t>
  </si>
  <si>
    <t>LED - Seasonal</t>
  </si>
  <si>
    <t>Plug-in CFL Lamp</t>
  </si>
  <si>
    <t># Participating Retailers/
Resellers</t>
  </si>
  <si>
    <t>LED - Desk Lamp*</t>
  </si>
  <si>
    <t>Plug-in LED night light*</t>
  </si>
  <si>
    <t>PG&amp;E is not pursuing these products</t>
  </si>
  <si>
    <t>*SCE includes these measures elsewhere</t>
  </si>
  <si>
    <t># of Store Locations</t>
  </si>
  <si>
    <t>Reflector</t>
  </si>
  <si>
    <t>Dimmable</t>
  </si>
  <si>
    <t>Three-Way</t>
  </si>
  <si>
    <t>% customers in HTR participating in subprograms</t>
  </si>
  <si>
    <t>RES-16.1</t>
  </si>
  <si>
    <t>Whole House Retrofit</t>
  </si>
  <si>
    <t xml:space="preserve">Number of homes treated in the program for 2010-2012. (Report by prescriptive program.) </t>
  </si>
  <si>
    <t>RES-16.2</t>
  </si>
  <si>
    <t xml:space="preserve">Number of homes treated in the program for 2010-2012. (Report by  performance program.) </t>
  </si>
  <si>
    <t>RES-17</t>
  </si>
  <si>
    <t>Number of enrolled contracting firms participating in the program</t>
  </si>
  <si>
    <t>Climate Zone</t>
  </si>
  <si>
    <t>RES-20.1</t>
  </si>
  <si>
    <t xml:space="preserve">Number of homes not passing Quality Assurance/Quality Control review, by IOU </t>
  </si>
  <si>
    <t>RES-20.2</t>
  </si>
  <si>
    <t xml:space="preserve">Percentage of homes not passing Quality Assurance/Quality Control review, by IOU </t>
  </si>
  <si>
    <t>LMT-1</t>
  </si>
  <si>
    <t>Lighting Market Transform.</t>
  </si>
  <si>
    <t>LMT</t>
  </si>
  <si>
    <r>
      <t xml:space="preserve">Develop a lighting technology roadmap (i.e., what’s new and available by when (MM/YY), using available information from all IOU and external parties) by January 2011 </t>
    </r>
    <r>
      <rPr>
        <sz val="9"/>
        <rFont val="Arial"/>
        <family val="2"/>
      </rPr>
      <t>and to be reported twice in 2011</t>
    </r>
    <r>
      <rPr>
        <sz val="9"/>
        <color indexed="8"/>
        <rFont val="Arial"/>
        <family val="2"/>
      </rPr>
      <t xml:space="preserve"> and annually thereafter. (Y/N)</t>
    </r>
  </si>
  <si>
    <t>LMT-4</t>
  </si>
  <si>
    <t xml:space="preserve">Number of EE lighting measures added, removed, or updated as a result of LMT activities and influence, and reported in annual LMT June Report </t>
  </si>
  <si>
    <t>NC-1</t>
  </si>
  <si>
    <t>New Construction</t>
  </si>
  <si>
    <t>CAHP</t>
  </si>
  <si>
    <t>Number and percentage of committed CAHP participant homes  (applied and accepted) with modeled, ex-ante savings exceeding 2008 T24 units (Single family (SF) and multi-family (MF)) by 15%-19%, by 20%-29%, 30%-39%,  and 40+%.</t>
  </si>
  <si>
    <t>T24 Participants</t>
  </si>
  <si>
    <t>#</t>
  </si>
  <si>
    <t>SF 15%-19%</t>
  </si>
  <si>
    <t>SF 20%-29%</t>
  </si>
  <si>
    <t>SF 30%-39%</t>
  </si>
  <si>
    <t>SF 40%+</t>
  </si>
  <si>
    <t>MF 15%-19%</t>
  </si>
  <si>
    <t>MF 20%-29%</t>
  </si>
  <si>
    <t>MF 30%-39%</t>
  </si>
  <si>
    <t>MF 40%+</t>
  </si>
  <si>
    <t>NC-2</t>
  </si>
  <si>
    <t>Percentage of (current year SF CAHP program paid units)/ (SF building permits within service territories from the previous year)</t>
  </si>
  <si>
    <t>NC-3</t>
  </si>
  <si>
    <t>Percentage of (current year MF CAHP program paid units)/ (MF building permits within service territories from the previous year)</t>
  </si>
  <si>
    <t>NC-5</t>
  </si>
  <si>
    <t>ES Mfg. Homes</t>
  </si>
  <si>
    <t>Number of manufactured housing units sold in IOU service territories (via retailers and/or manufacturers) participating in program</t>
  </si>
  <si>
    <t>NC-6</t>
  </si>
  <si>
    <t>Number and percentage of participating projects utilizing:  (a) whole house incentive for gas heat; (b) whole house incentive for electric heat</t>
  </si>
  <si>
    <t>CS-3</t>
  </si>
  <si>
    <t>Codes &amp; Standards</t>
  </si>
  <si>
    <t>Compliance Enhance.</t>
  </si>
  <si>
    <t>Number of role-based, Title 24, training sessions delivered.</t>
  </si>
  <si>
    <t>HVAC-1.1</t>
  </si>
  <si>
    <t>HVAC</t>
  </si>
  <si>
    <t>Upstream HVAC</t>
  </si>
  <si>
    <t xml:space="preserve">(a) kW/ton incentivized in the program. (Note:  Decrease in metric indicates positive progress), combined with </t>
  </si>
  <si>
    <t>HVAC-1.2</t>
  </si>
  <si>
    <t>(b) the number of units that are incentivized in the program vs.</t>
  </si>
  <si>
    <t>HVAC-1.3</t>
  </si>
  <si>
    <r>
      <t>(c) number of units over 5.4 tons shipped to California as tracked through AHRI shipment data. (Assuming the availability of AHRI data.)</t>
    </r>
    <r>
      <rPr>
        <vertAlign val="superscript"/>
        <sz val="9"/>
        <color indexed="8"/>
        <rFont val="Arial"/>
        <family val="2"/>
      </rPr>
      <t>7</t>
    </r>
  </si>
  <si>
    <t>HVAC-3</t>
  </si>
  <si>
    <t>Res ES Quality Installation</t>
  </si>
  <si>
    <r>
      <t>Number of first time</t>
    </r>
    <r>
      <rPr>
        <vertAlign val="superscript"/>
        <sz val="9"/>
        <color indexed="8"/>
        <rFont val="Arial"/>
        <family val="2"/>
      </rPr>
      <t>6</t>
    </r>
    <r>
      <rPr>
        <sz val="9"/>
        <color indexed="8"/>
        <rFont val="Arial"/>
        <family val="2"/>
      </rPr>
      <t xml:space="preserve"> participants in energy efficiency programs.  (Report disaggregate data by sub-program)</t>
    </r>
  </si>
  <si>
    <t>Ind-1.2</t>
  </si>
  <si>
    <r>
      <t>Percent of first time</t>
    </r>
    <r>
      <rPr>
        <vertAlign val="superscript"/>
        <sz val="9"/>
        <color indexed="8"/>
        <rFont val="Arial"/>
        <family val="2"/>
      </rPr>
      <t>6</t>
    </r>
    <r>
      <rPr>
        <sz val="9"/>
        <color indexed="8"/>
        <rFont val="Arial"/>
        <family val="2"/>
      </rPr>
      <t xml:space="preserve"> participants in energy efficiency programs.  (Report disaggregate data by sub-program)</t>
    </r>
  </si>
  <si>
    <t>RES-3</t>
  </si>
  <si>
    <t>Residential</t>
  </si>
  <si>
    <t>Home EE Rebate</t>
  </si>
  <si>
    <t>Percentage of program rebates made through the point-of-sale mode relative to all rebates</t>
  </si>
  <si>
    <t>RES-4</t>
  </si>
  <si>
    <r>
      <t>Percentage of participating stores located in hard-to-reach (HTR)</t>
    </r>
    <r>
      <rPr>
        <vertAlign val="superscript"/>
        <sz val="9"/>
        <color indexed="8"/>
        <rFont val="Arial"/>
        <family val="2"/>
      </rPr>
      <t>1</t>
    </r>
    <r>
      <rPr>
        <sz val="9"/>
        <color indexed="8"/>
        <rFont val="Arial"/>
        <family val="2"/>
      </rPr>
      <t xml:space="preserve"> zip-codes relative to all program participating stores.</t>
    </r>
    <r>
      <rPr>
        <vertAlign val="superscript"/>
        <sz val="9"/>
        <color indexed="8"/>
        <rFont val="Arial"/>
        <family val="2"/>
      </rPr>
      <t>18</t>
    </r>
  </si>
  <si>
    <t>RES-5</t>
  </si>
  <si>
    <t>MF EE Rebate</t>
  </si>
  <si>
    <t>Percentage of non-lighting measure savings as compared to the total EE measures adopted in the MFEER program. (KWh for single-commodity IOU and BTU for mixed-commodity IOU.)</t>
  </si>
  <si>
    <t>RES-6</t>
  </si>
  <si>
    <t>BCE</t>
  </si>
  <si>
    <t>Number of participating retailers, and number of retail store locations by retailer, and other resellers receiving training.</t>
  </si>
  <si>
    <t>RES-7</t>
  </si>
  <si>
    <t xml:space="preserve">Number of participating retailers receiving detailing.
</t>
  </si>
  <si>
    <t>RES-9</t>
  </si>
  <si>
    <t>Advanced Lighting</t>
  </si>
  <si>
    <t>Percent kW/kWh/Quantity of incented products under the Advanced Lighting program as compared to the Basic Lighting program, by product type.</t>
  </si>
  <si>
    <t>RES-10</t>
  </si>
  <si>
    <r>
      <t>Percent of products incented under the Advanced Lighting Program by distribution channel</t>
    </r>
    <r>
      <rPr>
        <vertAlign val="superscript"/>
        <sz val="9"/>
        <color indexed="8"/>
        <rFont val="Arial"/>
        <family val="2"/>
      </rPr>
      <t>10</t>
    </r>
    <r>
      <rPr>
        <sz val="9"/>
        <color indexed="8"/>
        <rFont val="Arial"/>
        <family val="2"/>
      </rPr>
      <t xml:space="preserve"> and by hard-to-reach (HTR)</t>
    </r>
    <r>
      <rPr>
        <vertAlign val="superscript"/>
        <sz val="9"/>
        <color indexed="8"/>
        <rFont val="Arial"/>
        <family val="2"/>
      </rPr>
      <t>1</t>
    </r>
    <r>
      <rPr>
        <sz val="9"/>
        <color indexed="8"/>
        <rFont val="Arial"/>
        <family val="2"/>
      </rPr>
      <t xml:space="preserve"> zip-codes.</t>
    </r>
  </si>
  <si>
    <t>Distribution Channel</t>
  </si>
  <si>
    <t>Discount</t>
  </si>
  <si>
    <t>Drug</t>
  </si>
  <si>
    <t>Grocery</t>
  </si>
  <si>
    <t>Hardware</t>
  </si>
  <si>
    <t>Home Improvement</t>
  </si>
  <si>
    <t>Ltg &amp; Electronics</t>
  </si>
  <si>
    <t>Mass Merchandise</t>
  </si>
  <si>
    <t>Membership Club</t>
  </si>
  <si>
    <t>Other</t>
  </si>
  <si>
    <t>Total</t>
  </si>
  <si>
    <t>RES-12</t>
  </si>
  <si>
    <t>Basic CFL</t>
  </si>
  <si>
    <r>
      <t>Percent of products incented under the Basic Lighting Program by distribution channel</t>
    </r>
    <r>
      <rPr>
        <vertAlign val="superscript"/>
        <sz val="9"/>
        <color indexed="8"/>
        <rFont val="Arial"/>
        <family val="2"/>
      </rPr>
      <t>10</t>
    </r>
    <r>
      <rPr>
        <sz val="9"/>
        <color indexed="8"/>
        <rFont val="Arial"/>
        <family val="2"/>
      </rPr>
      <t xml:space="preserve"> and by hard-to-reach (HTR)</t>
    </r>
    <r>
      <rPr>
        <vertAlign val="superscript"/>
        <sz val="9"/>
        <color indexed="8"/>
        <rFont val="Arial"/>
        <family val="2"/>
      </rPr>
      <t>1</t>
    </r>
    <r>
      <rPr>
        <sz val="9"/>
        <color indexed="8"/>
        <rFont val="Arial"/>
        <family val="2"/>
      </rPr>
      <t xml:space="preserve"> zip-codes.</t>
    </r>
  </si>
  <si>
    <t>RES-15</t>
  </si>
  <si>
    <t>Appliance Recycling</t>
  </si>
  <si>
    <t>Number of program appliance units by year, appliance type, model # (as available), age (estimated), and size.</t>
  </si>
  <si>
    <r>
      <t>Percentage of HVAC contracting companies that are participating in statewide residential QI program as a share of the targeted market</t>
    </r>
    <r>
      <rPr>
        <vertAlign val="superscript"/>
        <sz val="9"/>
        <color indexed="8"/>
        <rFont val="Arial"/>
        <family val="2"/>
      </rPr>
      <t>8</t>
    </r>
  </si>
  <si>
    <t>HVAC-5</t>
  </si>
  <si>
    <t>Com Quality Installation</t>
  </si>
  <si>
    <r>
      <t>Percentage of HVAC contracting companies that are participating in statewide commercial QI program as a share of the targeted market</t>
    </r>
    <r>
      <rPr>
        <vertAlign val="superscript"/>
        <sz val="9"/>
        <color indexed="8"/>
        <rFont val="Arial"/>
        <family val="2"/>
      </rPr>
      <t>8</t>
    </r>
  </si>
  <si>
    <t>HVAC-7</t>
  </si>
  <si>
    <t>Quality Maintenance Dev</t>
  </si>
  <si>
    <t>Measured progress towards specific milestones provided in the project GANTT chart indicating the development/finalization of this IOU program based on Quality Maintenance standards.</t>
  </si>
  <si>
    <t>HVAC-8</t>
  </si>
  <si>
    <t>Tech and System Diagnostics</t>
  </si>
  <si>
    <t>Status of progress towards completion of roadmap (i.e., plan and recommendations) to support the development of a national standard diagnostic protocol (activities, concrete actions taken).</t>
  </si>
  <si>
    <t>HVAC-9</t>
  </si>
  <si>
    <t>WE&amp;T</t>
  </si>
  <si>
    <t>Status of progress towards completion (activities, concrete actions taken) of detailed WE&amp;T roadmap (plans, goals, timelines and recommendations).</t>
  </si>
  <si>
    <t>MEO-1</t>
  </si>
  <si>
    <t>ME&amp;O</t>
  </si>
  <si>
    <t>Awareness and knowledge of key elements of the Engage360 brand among customer groups specifically targeted by grassroots and social networking phase of the program.</t>
  </si>
  <si>
    <t>WET-5</t>
  </si>
  <si>
    <t>Connections</t>
  </si>
  <si>
    <t>Percent of K-12 WET Connection program participants that are from Title-1 schools</t>
  </si>
  <si>
    <t>Complete baseline study to determine the current number of partnerships. (Y/N)</t>
  </si>
  <si>
    <t>Number of high school continuing education outreach partnerships in WET Connection</t>
  </si>
  <si>
    <t>Comments</t>
  </si>
  <si>
    <t>AHRI data was not made available to IOUs</t>
  </si>
  <si>
    <t>PPM ID</t>
  </si>
  <si>
    <t>Program</t>
  </si>
  <si>
    <t>Metric</t>
  </si>
  <si>
    <t>PGE</t>
  </si>
  <si>
    <t>SCE</t>
  </si>
  <si>
    <t>SDGE</t>
  </si>
  <si>
    <t>SCG</t>
  </si>
  <si>
    <t>C</t>
  </si>
  <si>
    <t>I</t>
  </si>
  <si>
    <t>A</t>
  </si>
  <si>
    <t>CIA-1</t>
  </si>
  <si>
    <t>CIA combined</t>
  </si>
  <si>
    <t>CIA</t>
  </si>
  <si>
    <r>
      <t>Number and percent (relative to all eligible customers) of commercial, industrial and agricultural customers participating in sub-programs (NRA, Deemed, Calculated, and CEI) by NAICS code, by size (+/- 200 kW per yr or +/- 50K therms per yr), and by Hard to Reach (HTR)</t>
    </r>
    <r>
      <rPr>
        <vertAlign val="superscript"/>
        <sz val="9"/>
        <color indexed="8"/>
        <rFont val="Arial"/>
        <family val="2"/>
      </rPr>
      <t>1</t>
    </r>
  </si>
  <si>
    <t>a</t>
  </si>
  <si>
    <t>CIA-2</t>
  </si>
  <si>
    <t>CEI</t>
  </si>
  <si>
    <t>Number and percent of commercial, industrial, and agricultural CEI participants that meet short-term (2010-2012) milestones as identified by their long term energy plans.</t>
  </si>
  <si>
    <t>Total CEI Participants</t>
  </si>
  <si>
    <t>CIA-4</t>
  </si>
  <si>
    <t>Number and percent of commercial, industrial and agricultural customers that created an energy plan via CEI will be tracked by program.</t>
  </si>
  <si>
    <t># Creating Energy Plans</t>
  </si>
  <si>
    <t>CIA-7</t>
  </si>
  <si>
    <t>Deemed Incentives</t>
  </si>
  <si>
    <r>
      <t>Number and percent of new, improved, or ETP measures</t>
    </r>
    <r>
      <rPr>
        <vertAlign val="superscript"/>
        <sz val="9"/>
        <color indexed="8"/>
        <rFont val="Arial"/>
        <family val="2"/>
      </rPr>
      <t>3</t>
    </r>
    <r>
      <rPr>
        <sz val="9"/>
        <color indexed="8"/>
        <rFont val="Arial"/>
        <family val="2"/>
      </rPr>
      <t xml:space="preserve"> installed in the commercial, industrial and agricultural programs.</t>
    </r>
  </si>
  <si>
    <t>CIA-8</t>
  </si>
  <si>
    <t>Calculated Incentives</t>
  </si>
  <si>
    <t>Number and percent of new, improved, or ETP measures installed in completed calculated projects.</t>
  </si>
  <si>
    <t># Milestones Met</t>
  </si>
  <si>
    <t>%</t>
  </si>
  <si>
    <t>Comm-2.1</t>
  </si>
  <si>
    <t>Commercial</t>
  </si>
  <si>
    <t>Direct Install</t>
  </si>
  <si>
    <t>Number  of Direct Install participants that participate in other resource programs or OBF.</t>
  </si>
  <si>
    <t>NA</t>
  </si>
  <si>
    <t>Comm-2.2</t>
  </si>
  <si>
    <t>Percent of Direct Install participants that participate in other resource programs or OBF.</t>
  </si>
  <si>
    <t>Comm-3.1</t>
  </si>
  <si>
    <t>Non Res Audits</t>
  </si>
  <si>
    <r>
      <t>Number of participants that are hard to reach (HTR).</t>
    </r>
    <r>
      <rPr>
        <vertAlign val="superscript"/>
        <sz val="9"/>
        <color indexed="8"/>
        <rFont val="Arial"/>
        <family val="2"/>
      </rPr>
      <t>1</t>
    </r>
  </si>
  <si>
    <t>Comm-3.2</t>
  </si>
  <si>
    <r>
      <t>Percent of participants that are hard to reach (HTR).</t>
    </r>
    <r>
      <rPr>
        <vertAlign val="superscript"/>
        <sz val="9"/>
        <color indexed="8"/>
        <rFont val="Arial"/>
        <family val="2"/>
      </rPr>
      <t>1</t>
    </r>
  </si>
  <si>
    <t>Ind-1.1</t>
  </si>
  <si>
    <t>Industrial</t>
  </si>
  <si>
    <t>Ind</t>
  </si>
  <si>
    <t>% HTR</t>
  </si>
  <si>
    <t>Footnote #</t>
  </si>
  <si>
    <t>Footnote</t>
  </si>
  <si>
    <t xml:space="preserve">“HTR” is as defined in the EE Policy Manual </t>
  </si>
  <si>
    <t>Data sources for reporting will come from (a) program tracking databases and (b) process evaluation to refine estimates.
– An audit completed in one portfolio may have measures implemented over several years and portfolios.</t>
  </si>
  <si>
    <t>“ETP measure” defined as ET measures first introduced into the EE portfolio since January 1, 2006</t>
  </si>
  <si>
    <t xml:space="preserve"> “Integration Bonus” is an incentive mechanism to promote greater integration of DSM resources, available to customers who (a) sign up or are already signed up for a DSM program,  and (b) purchase, install, and/are eligible to receive a rebate for an energy saving device.</t>
  </si>
  <si>
    <t>”First time” means customer has not participated in energy efficiency programs since December 31, 2005.</t>
  </si>
  <si>
    <t>As is indicated within this PPM, the availability of item (c) in this PPM is not yet confirmed, since it is closely-held, proprietary third-party information.  The IOU team is in discussions with AHRI about obtaining this data and to ascertain the statistical validity of what data would be provided; the IOU team will communicate with the ED about any issues regarding this data element before the first reporting period in Q1 2011 for 2010 information.</t>
  </si>
  <si>
    <t>”Target market” defined as C20 licensed HVAC contracting companies in CA.</t>
  </si>
  <si>
    <t>The IOUs use the existing HERS Rater infrastructure to verify HERS measures and other building characteristics as required by CA Title 24 and the CEC.  The IOUs do not perform the verification inspections and do not certify HERS raters.  Note: HERS inspection protocol for production builders does not require inspection of 100% of homes; there is a sampling protocol.  For more information on HERS inspection please see http://www.energy.ca.gov/HERS/index.html</t>
  </si>
  <si>
    <t xml:space="preserve">Distribution channels” are as defined in 06-08 Upstream Lighting Study
</t>
  </si>
  <si>
    <t>Data sources for reporting will come from (a) program tracking databases and (b) process evaluation to refine estimates.</t>
  </si>
  <si>
    <t>“Adoption” means measure is available to end-use customers through IOU programs.  Adoption of a measure may be attributed to one or more ET sub-programs</t>
  </si>
  <si>
    <t xml:space="preserve">Potential energy impacts to be reported based on ET project findings and estimated market potential (reported through quarterly ET database updates) </t>
  </si>
  <si>
    <t>“Use Cases” describe the need for a technology or application.</t>
  </si>
  <si>
    <t xml:space="preserve">“Possible action” means that the manufacturer/private industry considered TDS results in their product development efforts.   </t>
  </si>
  <si>
    <t>Educational “collaboration” is defined as seminars, outreach events and consultations as needed.  These collaborations include exchanges of monetary or in-kind support and services (i.e., sharing meeting facilities, marketing/promotional services, etc.).</t>
  </si>
  <si>
    <t>“Substantial” is defined as approximately 50% or more of class content must address IDSM subject matter</t>
  </si>
  <si>
    <t xml:space="preserve">The data for this metric applies to rebates made through the point of sale (POS) mode.  </t>
  </si>
  <si>
    <t>Total Hard to Reach</t>
  </si>
  <si>
    <t>Total First Time Participants</t>
  </si>
  <si>
    <t>% First Time Participants</t>
  </si>
  <si>
    <t>% customers participating in subprograms</t>
  </si>
  <si>
    <t>WET-6</t>
  </si>
  <si>
    <t>WET-7</t>
  </si>
  <si>
    <t>2011 paid</t>
  </si>
  <si>
    <t>2010 permits</t>
  </si>
  <si>
    <t>0.336 kW/ton</t>
  </si>
  <si>
    <t>1760.5 tons</t>
  </si>
  <si>
    <t>Y - Completed in 2010</t>
  </si>
  <si>
    <t>Program not launched in 2011</t>
  </si>
  <si>
    <t>Annual Progress for Program Year 2011</t>
  </si>
  <si>
    <t>Data represents Inception to December 2011</t>
  </si>
  <si>
    <t>45,069 tons</t>
  </si>
  <si>
    <t>n/a</t>
  </si>
  <si>
    <t>Large Supermarket</t>
  </si>
  <si>
    <t>SCG has a SCE/SCG joint Whole House program.  SCG launched an "SCG gas-only" program in 2011, however, there were no "gas-only" projects completed in 2011.</t>
  </si>
  <si>
    <t xml:space="preserve"> </t>
  </si>
  <si>
    <t xml:space="preserve">The launch of the Engage 360 brand was strategically designed for implementation in two distinct campaign phases: grassroots and mass media. The program was put on hold in September 2011  before it was completely launched. Therefore, it did not have an opportunity to impact awareness and knowledge of key elements of the brand.  </t>
  </si>
  <si>
    <t>Title 1</t>
  </si>
  <si>
    <t>66,882 tons</t>
  </si>
  <si>
    <t>0.157 kW/ton</t>
  </si>
  <si>
    <t>Metric reported in therms; SCE reflects savings for electric-only utility</t>
  </si>
  <si>
    <t>Total Deemed
Measure Occurrences</t>
  </si>
  <si>
    <t># New, Improved, ETP Occurrences</t>
  </si>
  <si>
    <t>Total Calculated Measure Occurrences</t>
  </si>
  <si>
    <t>Workpaper pending final approval since 2010; discussions with CPUC ongoing</t>
  </si>
  <si>
    <t>SCE and SCG utilize joint contractors</t>
  </si>
  <si>
    <t>Yes - PPM was reported twice in 2011.  The LMT Roadmap was submitted to Energy Division on January 31, 2011 and with the May 1, 2011 PPM report. Additional details were provided in the June 2011 LMT Annual Report. The LMT Roadmap Study was conducted in 2011, resulting in the Lighting Solution Workbook, which was presented at the LMT Stakeholder Meeting in November. An update to the workbook will be submitted with the LMT Annual Report due June 1, 2012.</t>
  </si>
  <si>
    <t>LMT has influenced and supported several measures for the Residential and Commercial market segments. In addition, workpapers were developed in 2011 for new measures and are pending CPUC approval.  See Narrative Report for more information.</t>
  </si>
  <si>
    <t>Participating Schools</t>
  </si>
  <si>
    <t>PG&amp;E's program offered 1 measure (dishwashers); other IOUs offer more than 1 measure (refrigerators).  PG&amp;E is collecting customer information on every rebate; other IOUs are collecting a sample.</t>
  </si>
  <si>
    <r>
      <t>SCG has a SCE/SCG joint Whole House program.  SCG launched an "SCG gas-only" program in 2011, however, there were no "gas-only" projects completed in 2011</t>
    </r>
    <r>
      <rPr>
        <sz val="9"/>
        <color rgb="FFFF0000"/>
        <rFont val="Arial"/>
        <family val="2"/>
      </rPr>
      <t xml:space="preserve">
</t>
    </r>
  </si>
  <si>
    <t>SCE and SCG data are for joint projects</t>
  </si>
  <si>
    <t>SEE TABLE "RES-6_BCE_Statewide" FOR LIST OF RETAILER NAMES AND NUMBER OF STORES BY RETAILER</t>
  </si>
  <si>
    <t>SEE "TABLE CIA-1_PGE"</t>
  </si>
  <si>
    <t>SEE "TABLE CIA-1_SCE"</t>
  </si>
  <si>
    <t>SEE "TABLE 
CIA-1_SDGE"</t>
  </si>
  <si>
    <t>SEE "TABLE CIA-1_SCG"</t>
  </si>
  <si>
    <t>SEE "TABLE RES-15_PGE"</t>
  </si>
  <si>
    <t>SEE "TABLE RES-15_SCE"</t>
  </si>
  <si>
    <t>SEE "TABLE RES-15_SDGE"</t>
  </si>
  <si>
    <t>ALSO SEE "TABLE RES-9_Statewide"</t>
  </si>
  <si>
    <t xml:space="preserve">
PG&amp;E's MF results are from PG&amp;E's Third Party CMFNH program, not CAHP</t>
  </si>
  <si>
    <t>0.090 kW/ton</t>
  </si>
  <si>
    <t>SEE "TABLE 
HVAC-7_PGE"</t>
  </si>
  <si>
    <t>SEE "TABLE 
HVAC-7_SCE"</t>
  </si>
  <si>
    <t>SEE "TABLE 
HVAC-7_SDGE"</t>
  </si>
  <si>
    <t>SEE "TABLE 
HVAC-7_SCG"</t>
  </si>
  <si>
    <t xml:space="preserve">Program launched in 2011.  See separate TABLE HVAC-7 for each IOU for updated QM Development Plan timeline of milestones </t>
  </si>
  <si>
    <t>SEE "TABLE HVAC-8" for statewide update</t>
  </si>
  <si>
    <t>SEE "TABLE HVAC-9" for statewide update</t>
  </si>
  <si>
    <t>2011 Joint IOU Program Performance Metrics Report 
Joint IOU Master PPM Spreadsheet
and Related PPM Tables 
Metric Type 2a Reporting for Program Year 2011
May 1, 2012</t>
  </si>
  <si>
    <t xml:space="preserve">Specialty Lighting </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</si>
</sst>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8" formatCode="&quot;$&quot;#,##0.00_);[Red]\(&quot;$&quot;#,##0.00\)"/>
    <numFmt numFmtId="44" formatCode="_(&quot;$&quot;* #,##0.00_);_(&quot;$&quot;* \(#,##0.00\);_(&quot;$&quot;* &quot;-&quot;??_);_(@_)"/>
    <numFmt numFmtId="43" formatCode="_(* #,##0.00_);_(* \(#,##0.00\);_(* &quot;-&quot;??_);_(@_)"/>
    <numFmt numFmtId="164" formatCode="0.0%"/>
    <numFmt numFmtId="165" formatCode="yymmmmdd"/>
    <numFmt numFmtId="166" formatCode="#,##0.00&quot; $&quot;;\-#,##0.00&quot; $&quot;"/>
    <numFmt numFmtId="167" formatCode=";;;"/>
    <numFmt numFmtId="168" formatCode="dd/mm/yy"/>
    <numFmt numFmtId="169" formatCode="[&lt;=9999999]###\-####;\(###\)\ ###\-####"/>
    <numFmt numFmtId="170" formatCode="00\-0000000"/>
  </numFmts>
  <fonts count="71">
    <font>
      <sz val="11"/>
      <color indexed="8"/>
      <name val="Calibri"/>
      <family val="2"/>
    </font>
    <font>
      <sz val="10"/>
      <color theme="1"/>
      <name val="Arial"/>
      <family val="2"/>
    </font>
    <font>
      <sz val="10"/>
      <color theme="1"/>
      <name val="Arial"/>
      <family val="2"/>
    </font>
    <font>
      <sz val="10"/>
      <color theme="1"/>
      <name val="Arial"/>
      <family val="2"/>
    </font>
    <font>
      <sz val="11"/>
      <color indexed="8"/>
      <name val="Calibri"/>
      <family val="2"/>
    </font>
    <font>
      <sz val="11"/>
      <color indexed="9"/>
      <name val="Calibri"/>
      <family val="2"/>
    </font>
    <font>
      <sz val="10"/>
      <color indexed="8"/>
      <name val="MS Sans Serif"/>
      <family val="2"/>
    </font>
    <font>
      <sz val="11"/>
      <color indexed="14"/>
      <name val="Calibri"/>
      <family val="2"/>
    </font>
    <font>
      <sz val="11"/>
      <color indexed="20"/>
      <name val="Calibri"/>
      <family val="2"/>
    </font>
    <font>
      <b/>
      <sz val="11"/>
      <color indexed="52"/>
      <name val="Calibri"/>
      <family val="2"/>
    </font>
    <font>
      <b/>
      <sz val="11"/>
      <color indexed="9"/>
      <name val="Calibri"/>
      <family val="2"/>
    </font>
    <font>
      <sz val="10"/>
      <name val="MS Sans Serif"/>
      <family val="2"/>
    </font>
    <font>
      <sz val="10"/>
      <name val="Arial"/>
      <family val="2"/>
    </font>
    <font>
      <b/>
      <sz val="11"/>
      <color indexed="8"/>
      <name val="Calibri"/>
      <family val="2"/>
    </font>
    <font>
      <i/>
      <sz val="11"/>
      <color indexed="23"/>
      <name val="Calibri"/>
      <family val="2"/>
    </font>
    <font>
      <sz val="11"/>
      <color indexed="17"/>
      <name val="Calibri"/>
      <family val="2"/>
    </font>
    <font>
      <sz val="8"/>
      <name val="Arial"/>
      <family val="2"/>
    </font>
    <font>
      <b/>
      <u/>
      <sz val="11"/>
      <color indexed="37"/>
      <name val="Arial"/>
      <family val="2"/>
    </font>
    <font>
      <b/>
      <sz val="12"/>
      <name val="Arial"/>
      <family val="2"/>
    </font>
    <font>
      <b/>
      <sz val="15"/>
      <color indexed="56"/>
      <name val="Calibri"/>
      <family val="2"/>
    </font>
    <font>
      <b/>
      <sz val="13"/>
      <color indexed="56"/>
      <name val="Calibri"/>
      <family val="2"/>
    </font>
    <font>
      <b/>
      <sz val="11"/>
      <color indexed="56"/>
      <name val="Calibri"/>
      <family val="2"/>
    </font>
    <font>
      <sz val="10"/>
      <color indexed="12"/>
      <name val="Arial"/>
      <family val="2"/>
    </font>
    <font>
      <u/>
      <sz val="10"/>
      <color indexed="12"/>
      <name val="Arial"/>
      <family val="2"/>
    </font>
    <font>
      <u/>
      <sz val="9"/>
      <color indexed="12"/>
      <name val="Geneva"/>
    </font>
    <font>
      <sz val="11"/>
      <color indexed="62"/>
      <name val="Calibri"/>
      <family val="2"/>
    </font>
    <font>
      <sz val="11"/>
      <color indexed="52"/>
      <name val="Calibri"/>
      <family val="2"/>
    </font>
    <font>
      <sz val="11"/>
      <color indexed="60"/>
      <name val="Calibri"/>
      <family val="2"/>
    </font>
    <font>
      <sz val="7"/>
      <name val="Small Fonts"/>
      <family val="2"/>
    </font>
    <font>
      <sz val="12"/>
      <name val="Arial"/>
      <family val="2"/>
    </font>
    <font>
      <sz val="10"/>
      <color indexed="8"/>
      <name val="Arial"/>
      <family val="2"/>
    </font>
    <font>
      <sz val="10"/>
      <name val="Arial"/>
      <family val="2"/>
    </font>
    <font>
      <b/>
      <sz val="11"/>
      <color indexed="63"/>
      <name val="Calibri"/>
      <family val="2"/>
    </font>
    <font>
      <b/>
      <sz val="10"/>
      <color indexed="8"/>
      <name val="Arial"/>
      <family val="2"/>
    </font>
    <font>
      <b/>
      <sz val="10"/>
      <color indexed="39"/>
      <name val="Arial"/>
      <family val="2"/>
    </font>
    <font>
      <b/>
      <sz val="12"/>
      <color indexed="8"/>
      <name val="Arial"/>
      <family val="2"/>
    </font>
    <font>
      <b/>
      <sz val="8"/>
      <name val="Arial"/>
      <family val="2"/>
    </font>
    <font>
      <sz val="10"/>
      <color indexed="39"/>
      <name val="Arial"/>
      <family val="2"/>
    </font>
    <font>
      <sz val="19"/>
      <color indexed="48"/>
      <name val="Arial"/>
      <family val="2"/>
    </font>
    <font>
      <sz val="10"/>
      <color indexed="10"/>
      <name val="Arial"/>
      <family val="2"/>
    </font>
    <font>
      <b/>
      <sz val="18"/>
      <color indexed="62"/>
      <name val="Cambria"/>
      <family val="2"/>
    </font>
    <font>
      <b/>
      <sz val="40"/>
      <color indexed="63"/>
      <name val="Trebuchet MS"/>
      <family val="2"/>
    </font>
    <font>
      <b/>
      <sz val="22"/>
      <name val="Tahoma"/>
      <family val="2"/>
    </font>
    <font>
      <b/>
      <sz val="24"/>
      <name val="Tahoma"/>
      <family val="2"/>
    </font>
    <font>
      <sz val="22"/>
      <name val="Tahoma"/>
      <family val="2"/>
    </font>
    <font>
      <sz val="10"/>
      <name val="Tahoma"/>
      <family val="2"/>
    </font>
    <font>
      <b/>
      <sz val="18"/>
      <color indexed="56"/>
      <name val="Cambria"/>
      <family val="2"/>
    </font>
    <font>
      <sz val="8"/>
      <color indexed="12"/>
      <name val="Arial"/>
      <family val="2"/>
    </font>
    <font>
      <sz val="11"/>
      <color indexed="10"/>
      <name val="Calibri"/>
      <family val="2"/>
    </font>
    <font>
      <sz val="10"/>
      <color indexed="8"/>
      <name val="楲污瑡潩⁮"/>
    </font>
    <font>
      <sz val="8"/>
      <name val="Calibri"/>
      <family val="2"/>
    </font>
    <font>
      <b/>
      <sz val="9"/>
      <color indexed="8"/>
      <name val="Arial"/>
      <family val="2"/>
    </font>
    <font>
      <sz val="9"/>
      <color indexed="8"/>
      <name val="Arial"/>
      <family val="2"/>
    </font>
    <font>
      <vertAlign val="superscript"/>
      <sz val="9"/>
      <color indexed="8"/>
      <name val="Arial"/>
      <family val="2"/>
    </font>
    <font>
      <sz val="9"/>
      <color indexed="10"/>
      <name val="Arial"/>
      <family val="2"/>
    </font>
    <font>
      <b/>
      <sz val="9"/>
      <name val="Arial"/>
      <family val="2"/>
    </font>
    <font>
      <sz val="9"/>
      <name val="Arial"/>
      <family val="2"/>
    </font>
    <font>
      <b/>
      <i/>
      <sz val="9"/>
      <color indexed="8"/>
      <name val="Arial"/>
      <family val="2"/>
    </font>
    <font>
      <sz val="8.5"/>
      <name val="Arial"/>
      <family val="2"/>
    </font>
    <font>
      <sz val="8.5"/>
      <color indexed="8"/>
      <name val="Arial"/>
      <family val="2"/>
    </font>
    <font>
      <sz val="9"/>
      <name val="Arial"/>
      <family val="2"/>
    </font>
    <font>
      <u/>
      <sz val="9"/>
      <color indexed="8"/>
      <name val="Arial"/>
      <family val="2"/>
    </font>
    <font>
      <sz val="9"/>
      <color theme="0" tint="-0.14999847407452621"/>
      <name val="Arial"/>
      <family val="2"/>
    </font>
    <font>
      <b/>
      <sz val="9"/>
      <color rgb="FFFF0000"/>
      <name val="Arial"/>
      <family val="2"/>
    </font>
    <font>
      <b/>
      <sz val="11"/>
      <color rgb="FFFF0000"/>
      <name val="Arial"/>
      <family val="2"/>
    </font>
    <font>
      <sz val="9"/>
      <color rgb="FFFF0000"/>
      <name val="Arial"/>
      <family val="2"/>
    </font>
    <font>
      <sz val="11"/>
      <color rgb="FFFF0000"/>
      <name val="Calibri"/>
      <family val="2"/>
    </font>
    <font>
      <sz val="11"/>
      <color theme="1"/>
      <name val="Calibri"/>
      <family val="2"/>
      <scheme val="minor"/>
    </font>
    <font>
      <b/>
      <sz val="9"/>
      <color rgb="FF000000"/>
      <name val="Arial"/>
      <family val="2"/>
    </font>
    <font>
      <sz val="9"/>
      <color rgb="FF000000"/>
      <name val="Arial"/>
      <family val="2"/>
    </font>
    <font>
      <sz val="26"/>
      <color indexed="8"/>
      <name val="Arial"/>
      <family val="2"/>
    </font>
  </fonts>
  <fills count="56">
    <fill>
      <patternFill patternType="none"/>
    </fill>
    <fill>
      <patternFill patternType="gray125"/>
    </fill>
    <fill>
      <patternFill patternType="solid">
        <fgColor indexed="9"/>
      </patternFill>
    </fill>
    <fill>
      <patternFill patternType="solid">
        <fgColor indexed="31"/>
      </patternFill>
    </fill>
    <fill>
      <patternFill patternType="solid">
        <fgColor indexed="47"/>
      </patternFill>
    </fill>
    <fill>
      <patternFill patternType="solid">
        <fgColor indexed="45"/>
      </patternFill>
    </fill>
    <fill>
      <patternFill patternType="solid">
        <fgColor indexed="42"/>
      </patternFill>
    </fill>
    <fill>
      <patternFill patternType="solid">
        <fgColor indexed="46"/>
      </patternFill>
    </fill>
    <fill>
      <patternFill patternType="solid">
        <fgColor indexed="41"/>
      </patternFill>
    </fill>
    <fill>
      <patternFill patternType="solid">
        <fgColor indexed="2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22"/>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19"/>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10"/>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57"/>
      </patternFill>
    </fill>
    <fill>
      <patternFill patternType="solid">
        <fgColor indexed="26"/>
        <bgColor indexed="26"/>
      </patternFill>
    </fill>
    <fill>
      <patternFill patternType="solid">
        <fgColor indexed="47"/>
        <bgColor indexed="47"/>
      </patternFill>
    </fill>
    <fill>
      <patternFill patternType="solid">
        <fgColor indexed="53"/>
      </patternFill>
    </fill>
    <fill>
      <patternFill patternType="solid">
        <fgColor indexed="44"/>
        <bgColor indexed="64"/>
      </patternFill>
    </fill>
    <fill>
      <patternFill patternType="solid">
        <fgColor indexed="55"/>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22"/>
        <bgColor indexed="64"/>
      </patternFill>
    </fill>
    <fill>
      <patternFill patternType="solid">
        <fgColor indexed="26"/>
        <bgColor indexed="64"/>
      </patternFill>
    </fill>
    <fill>
      <patternFill patternType="solid">
        <fgColor indexed="26"/>
      </patternFill>
    </fill>
    <fill>
      <patternFill patternType="solid">
        <fgColor indexed="43"/>
      </patternFill>
    </fill>
    <fill>
      <patternFill patternType="solid">
        <fgColor indexed="40"/>
      </patternFill>
    </fill>
    <fill>
      <patternFill patternType="solid">
        <fgColor indexed="50"/>
      </patternFill>
    </fill>
    <fill>
      <patternFill patternType="lightUp">
        <fgColor indexed="48"/>
        <bgColor indexed="41"/>
      </patternFill>
    </fill>
    <fill>
      <patternFill patternType="solid">
        <fgColor indexed="54"/>
      </patternFill>
    </fill>
    <fill>
      <patternFill patternType="solid">
        <fgColor indexed="15"/>
      </patternFill>
    </fill>
    <fill>
      <patternFill patternType="solid">
        <fgColor indexed="20"/>
      </patternFill>
    </fill>
    <fill>
      <patternFill patternType="solid">
        <fgColor indexed="43"/>
        <bgColor indexed="64"/>
      </patternFill>
    </fill>
    <fill>
      <patternFill patternType="solid">
        <fgColor indexed="42"/>
        <bgColor indexed="64"/>
      </patternFill>
    </fill>
    <fill>
      <patternFill patternType="solid">
        <fgColor indexed="8"/>
        <bgColor indexed="64"/>
      </patternFill>
    </fill>
    <fill>
      <patternFill patternType="solid">
        <fgColor indexed="41"/>
        <bgColor indexed="64"/>
      </patternFill>
    </fill>
    <fill>
      <patternFill patternType="solid">
        <fgColor theme="0" tint="-0.14999847407452621"/>
        <bgColor indexed="64"/>
      </patternFill>
    </fill>
    <fill>
      <patternFill patternType="solid">
        <fgColor theme="0" tint="-0.249977111117893"/>
        <bgColor indexed="64"/>
      </patternFill>
    </fill>
  </fills>
  <borders count="106">
    <border>
      <left/>
      <right/>
      <top/>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54"/>
      </left>
      <right/>
      <top style="thin">
        <color indexed="54"/>
      </top>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ck">
        <color indexed="64"/>
      </right>
      <top/>
      <bottom/>
      <diagonal/>
    </border>
    <border>
      <left/>
      <right/>
      <top/>
      <bottom style="medium">
        <color indexed="64"/>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top/>
      <bottom/>
      <diagonal/>
    </border>
    <border>
      <left style="medium">
        <color indexed="64"/>
      </left>
      <right style="thin">
        <color indexed="64"/>
      </right>
      <top style="thin">
        <color indexed="64"/>
      </top>
      <bottom/>
      <diagonal/>
    </border>
    <border>
      <left/>
      <right style="thin">
        <color indexed="64"/>
      </right>
      <top style="medium">
        <color indexed="64"/>
      </top>
      <bottom style="thin">
        <color indexed="64"/>
      </bottom>
      <diagonal/>
    </border>
    <border>
      <left/>
      <right style="medium">
        <color indexed="64"/>
      </right>
      <top/>
      <bottom/>
      <diagonal/>
    </border>
    <border>
      <left style="thin">
        <color indexed="64"/>
      </left>
      <right/>
      <top/>
      <bottom style="medium">
        <color indexed="64"/>
      </bottom>
      <diagonal/>
    </border>
    <border>
      <left style="thin">
        <color indexed="64"/>
      </left>
      <right style="medium">
        <color indexed="64"/>
      </right>
      <top/>
      <bottom/>
      <diagonal/>
    </border>
    <border>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8"/>
      </right>
      <top style="thin">
        <color indexed="64"/>
      </top>
      <bottom style="thin">
        <color indexed="64"/>
      </bottom>
      <diagonal/>
    </border>
    <border>
      <left style="medium">
        <color indexed="64"/>
      </left>
      <right style="thin">
        <color indexed="8"/>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style="medium">
        <color indexed="64"/>
      </bottom>
      <diagonal/>
    </border>
    <border>
      <left/>
      <right style="medium">
        <color indexed="64"/>
      </right>
      <top/>
      <bottom style="thin">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medium">
        <color indexed="64"/>
      </right>
      <top style="medium">
        <color indexed="64"/>
      </top>
      <bottom/>
      <diagonal/>
    </border>
    <border>
      <left style="thick">
        <color indexed="64"/>
      </left>
      <right style="thin">
        <color indexed="64"/>
      </right>
      <top style="thin">
        <color indexed="64"/>
      </top>
      <bottom/>
      <diagonal/>
    </border>
    <border>
      <left style="thin">
        <color indexed="64"/>
      </left>
      <right style="thick">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ck">
        <color indexed="64"/>
      </left>
      <right style="thick">
        <color indexed="64"/>
      </right>
      <top style="thick">
        <color indexed="64"/>
      </top>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style="thin">
        <color indexed="8"/>
      </left>
      <right/>
      <top style="thin">
        <color indexed="64"/>
      </top>
      <bottom/>
      <diagonal/>
    </border>
    <border>
      <left style="thin">
        <color indexed="8"/>
      </left>
      <right/>
      <top/>
      <bottom/>
      <diagonal/>
    </border>
    <border>
      <left style="thin">
        <color indexed="8"/>
      </left>
      <right/>
      <top/>
      <bottom style="medium">
        <color indexed="64"/>
      </bottom>
      <diagonal/>
    </border>
    <border>
      <left/>
      <right/>
      <top style="medium">
        <color indexed="64"/>
      </top>
      <bottom style="thin">
        <color indexed="64"/>
      </bottom>
      <diagonal/>
    </border>
    <border>
      <left style="medium">
        <color indexed="64"/>
      </left>
      <right style="thin">
        <color indexed="8"/>
      </right>
      <top/>
      <bottom style="thin">
        <color indexed="64"/>
      </bottom>
      <diagonal/>
    </border>
    <border>
      <left style="medium">
        <color indexed="64"/>
      </left>
      <right style="thin">
        <color indexed="8"/>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2290">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3" borderId="0" applyNumberFormat="0" applyBorder="0" applyAlignment="0" applyProtection="0"/>
    <xf numFmtId="0" fontId="4" fillId="6" borderId="0" applyNumberFormat="0" applyBorder="0" applyAlignment="0" applyProtection="0"/>
    <xf numFmtId="0" fontId="4" fillId="2"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4" borderId="0" applyNumberFormat="0" applyBorder="0" applyAlignment="0" applyProtection="0"/>
    <xf numFmtId="0" fontId="4" fillId="11" borderId="0" applyNumberFormat="0" applyBorder="0" applyAlignment="0" applyProtection="0"/>
    <xf numFmtId="0" fontId="4" fillId="3"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3"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4"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5" fillId="22" borderId="0" applyNumberFormat="0" applyBorder="0" applyAlignment="0" applyProtection="0"/>
    <xf numFmtId="0" fontId="5" fillId="19" borderId="0" applyNumberFormat="0" applyBorder="0" applyAlignment="0" applyProtection="0"/>
    <xf numFmtId="0" fontId="5"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1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5" fillId="30"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5" fillId="21" borderId="0" applyNumberFormat="0" applyBorder="0" applyAlignment="0" applyProtection="0"/>
    <xf numFmtId="0" fontId="5" fillId="17" borderId="0" applyNumberFormat="0" applyBorder="0" applyAlignment="0" applyProtection="0"/>
    <xf numFmtId="0" fontId="5" fillId="11" borderId="0" applyNumberFormat="0" applyBorder="0" applyAlignment="0" applyProtection="0"/>
    <xf numFmtId="0" fontId="4" fillId="32" borderId="0" applyNumberFormat="0" applyBorder="0" applyAlignment="0" applyProtection="0"/>
    <xf numFmtId="0" fontId="4" fillId="25"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165" fontId="6" fillId="35" borderId="1">
      <alignment horizontal="center" vertical="center"/>
    </xf>
    <xf numFmtId="0" fontId="7" fillId="5" borderId="0" applyNumberFormat="0" applyBorder="0" applyAlignment="0" applyProtection="0"/>
    <xf numFmtId="0" fontId="8" fillId="5" borderId="0" applyNumberFormat="0" applyBorder="0" applyAlignment="0" applyProtection="0"/>
    <xf numFmtId="0" fontId="9" fillId="15" borderId="2" applyNumberFormat="0" applyAlignment="0" applyProtection="0"/>
    <xf numFmtId="0" fontId="9" fillId="15" borderId="2" applyNumberFormat="0" applyAlignment="0" applyProtection="0"/>
    <xf numFmtId="0" fontId="10" fillId="36" borderId="3" applyNumberFormat="0" applyAlignment="0" applyProtection="0"/>
    <xf numFmtId="0" fontId="10" fillId="36" borderId="3" applyNumberFormat="0" applyAlignment="0" applyProtection="0"/>
    <xf numFmtId="38" fontId="1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4"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4" fillId="0" borderId="0" applyFont="0" applyFill="0" applyBorder="0" applyAlignment="0" applyProtection="0"/>
    <xf numFmtId="43" fontId="12" fillId="0" borderId="0" applyFont="0" applyFill="0" applyBorder="0" applyAlignment="0" applyProtection="0"/>
    <xf numFmtId="43" fontId="4"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3"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8" fontId="11" fillId="0" borderId="0" applyFont="0" applyFill="0" applyBorder="0" applyAlignment="0" applyProtection="0"/>
    <xf numFmtId="44" fontId="4"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0" fontId="12" fillId="0" borderId="0" applyFont="0" applyFill="0" applyBorder="0" applyAlignment="0" applyProtection="0"/>
    <xf numFmtId="14" fontId="12" fillId="0" borderId="0" applyFont="0" applyFill="0" applyBorder="0" applyAlignment="0" applyProtection="0"/>
    <xf numFmtId="0" fontId="13" fillId="37"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2" fontId="12" fillId="0" borderId="0" applyFont="0" applyFill="0" applyBorder="0" applyAlignment="0" applyProtection="0"/>
    <xf numFmtId="0" fontId="15" fillId="6" borderId="0" applyNumberFormat="0" applyBorder="0" applyAlignment="0" applyProtection="0"/>
    <xf numFmtId="0" fontId="15" fillId="6" borderId="0" applyNumberFormat="0" applyBorder="0" applyAlignment="0" applyProtection="0"/>
    <xf numFmtId="38" fontId="16" fillId="40" borderId="0" applyNumberFormat="0" applyBorder="0" applyAlignment="0" applyProtection="0"/>
    <xf numFmtId="0" fontId="17" fillId="0" borderId="0" applyNumberFormat="0" applyFill="0" applyBorder="0" applyAlignment="0" applyProtection="0"/>
    <xf numFmtId="0" fontId="18" fillId="0" borderId="4" applyNumberFormat="0" applyAlignment="0" applyProtection="0">
      <alignment horizontal="left" vertical="center"/>
    </xf>
    <xf numFmtId="0" fontId="18" fillId="0" borderId="5">
      <alignment horizontal="left" vertical="center"/>
    </xf>
    <xf numFmtId="0" fontId="19" fillId="0" borderId="6" applyNumberFormat="0" applyFill="0" applyAlignment="0" applyProtection="0"/>
    <xf numFmtId="0" fontId="19" fillId="0" borderId="6" applyNumberFormat="0" applyFill="0" applyAlignment="0" applyProtection="0"/>
    <xf numFmtId="0" fontId="20" fillId="0" borderId="7" applyNumberFormat="0" applyFill="0" applyAlignment="0" applyProtection="0"/>
    <xf numFmtId="0" fontId="20" fillId="0" borderId="7" applyNumberFormat="0" applyFill="0" applyAlignment="0" applyProtection="0"/>
    <xf numFmtId="0" fontId="21" fillId="0" borderId="8" applyNumberFormat="0" applyFill="0" applyAlignment="0" applyProtection="0"/>
    <xf numFmtId="0" fontId="21" fillId="0" borderId="8"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166" fontId="12" fillId="0" borderId="0">
      <protection locked="0"/>
    </xf>
    <xf numFmtId="166" fontId="12" fillId="0" borderId="0">
      <protection locked="0"/>
    </xf>
    <xf numFmtId="167" fontId="12" fillId="0" borderId="0" applyFont="0" applyFill="0" applyBorder="0" applyAlignment="0" applyProtection="0">
      <alignment horizontal="center"/>
    </xf>
    <xf numFmtId="0" fontId="22" fillId="0" borderId="9" applyNumberFormat="0" applyFill="0" applyAlignment="0" applyProtection="0"/>
    <xf numFmtId="0" fontId="23"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25" fillId="4" borderId="2" applyNumberFormat="0" applyAlignment="0" applyProtection="0"/>
    <xf numFmtId="10" fontId="16" fillId="41" borderId="10" applyNumberFormat="0" applyBorder="0" applyAlignment="0" applyProtection="0"/>
    <xf numFmtId="0" fontId="25" fillId="4" borderId="2" applyNumberFormat="0" applyAlignment="0" applyProtection="0"/>
    <xf numFmtId="0" fontId="26" fillId="0" borderId="11" applyNumberFormat="0" applyFill="0" applyAlignment="0" applyProtection="0"/>
    <xf numFmtId="0" fontId="26" fillId="0" borderId="11" applyNumberFormat="0" applyFill="0" applyAlignment="0" applyProtection="0"/>
    <xf numFmtId="0" fontId="27" fillId="42" borderId="0" applyNumberFormat="0" applyBorder="0" applyAlignment="0" applyProtection="0"/>
    <xf numFmtId="0" fontId="27" fillId="43" borderId="0" applyNumberFormat="0" applyBorder="0" applyAlignment="0" applyProtection="0"/>
    <xf numFmtId="37" fontId="28" fillId="0" borderId="0"/>
    <xf numFmtId="168" fontId="29" fillId="0" borderId="0"/>
    <xf numFmtId="0" fontId="12" fillId="0" borderId="0"/>
    <xf numFmtId="0" fontId="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0" fillId="0" borderId="0"/>
    <xf numFmtId="0" fontId="12" fillId="0" borderId="0"/>
    <xf numFmtId="0" fontId="12" fillId="0" borderId="0"/>
    <xf numFmtId="0" fontId="29" fillId="0" borderId="0"/>
    <xf numFmtId="0" fontId="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4" fillId="0" borderId="0"/>
    <xf numFmtId="0" fontId="4" fillId="0" borderId="0"/>
    <xf numFmtId="0" fontId="4" fillId="0" borderId="0"/>
    <xf numFmtId="0" fontId="4" fillId="0" borderId="0"/>
    <xf numFmtId="0" fontId="12" fillId="0" borderId="0"/>
    <xf numFmtId="0" fontId="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12" fillId="0" borderId="0"/>
    <xf numFmtId="0" fontId="31" fillId="0" borderId="0"/>
    <xf numFmtId="0" fontId="31" fillId="0" borderId="0"/>
    <xf numFmtId="0" fontId="30" fillId="0" borderId="0"/>
    <xf numFmtId="0" fontId="12" fillId="0" borderId="0"/>
    <xf numFmtId="0" fontId="4" fillId="0" borderId="0"/>
    <xf numFmtId="0" fontId="4" fillId="43" borderId="12" applyNumberFormat="0" applyFont="0" applyAlignment="0" applyProtection="0"/>
    <xf numFmtId="0" fontId="12" fillId="42" borderId="12" applyNumberFormat="0" applyFont="0" applyAlignment="0" applyProtection="0"/>
    <xf numFmtId="0" fontId="32" fillId="15" borderId="13" applyNumberFormat="0" applyAlignment="0" applyProtection="0"/>
    <xf numFmtId="0" fontId="32" fillId="15" borderId="13" applyNumberFormat="0" applyAlignment="0" applyProtection="0"/>
    <xf numFmtId="9" fontId="4" fillId="0" borderId="0" applyFont="0" applyFill="0" applyBorder="0" applyAlignment="0" applyProtection="0"/>
    <xf numFmtId="10"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4" fillId="0" borderId="0" applyFont="0" applyFill="0" applyBorder="0" applyAlignment="0" applyProtection="0"/>
    <xf numFmtId="9" fontId="12" fillId="0" borderId="0" applyFont="0" applyFill="0" applyBorder="0" applyAlignment="0" applyProtection="0"/>
    <xf numFmtId="9" fontId="4"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4" fontId="33" fillId="43" borderId="14" applyNumberFormat="0" applyProtection="0">
      <alignment vertical="center"/>
    </xf>
    <xf numFmtId="4" fontId="34" fillId="43" borderId="14" applyNumberFormat="0" applyProtection="0">
      <alignment vertical="center"/>
    </xf>
    <xf numFmtId="4" fontId="33" fillId="43" borderId="14" applyNumberFormat="0" applyProtection="0">
      <alignment horizontal="left" vertical="center" indent="1"/>
    </xf>
    <xf numFmtId="0" fontId="33" fillId="43" borderId="14" applyNumberFormat="0" applyProtection="0">
      <alignment horizontal="left" vertical="top" indent="1"/>
    </xf>
    <xf numFmtId="4" fontId="33" fillId="44" borderId="0" applyNumberFormat="0" applyProtection="0">
      <alignment horizontal="left" vertical="center" indent="1"/>
    </xf>
    <xf numFmtId="4" fontId="30" fillId="5" borderId="14" applyNumberFormat="0" applyProtection="0">
      <alignment horizontal="right" vertical="center"/>
    </xf>
    <xf numFmtId="4" fontId="30" fillId="11" borderId="14" applyNumberFormat="0" applyProtection="0">
      <alignment horizontal="right" vertical="center"/>
    </xf>
    <xf numFmtId="4" fontId="30" fillId="27" borderId="14" applyNumberFormat="0" applyProtection="0">
      <alignment horizontal="right" vertical="center"/>
    </xf>
    <xf numFmtId="4" fontId="30" fillId="13" borderId="14" applyNumberFormat="0" applyProtection="0">
      <alignment horizontal="right" vertical="center"/>
    </xf>
    <xf numFmtId="4" fontId="30" fillId="18" borderId="14" applyNumberFormat="0" applyProtection="0">
      <alignment horizontal="right" vertical="center"/>
    </xf>
    <xf numFmtId="4" fontId="30" fillId="34" borderId="14" applyNumberFormat="0" applyProtection="0">
      <alignment horizontal="right" vertical="center"/>
    </xf>
    <xf numFmtId="4" fontId="30" fillId="31" borderId="14" applyNumberFormat="0" applyProtection="0">
      <alignment horizontal="right" vertical="center"/>
    </xf>
    <xf numFmtId="4" fontId="30" fillId="45" borderId="14" applyNumberFormat="0" applyProtection="0">
      <alignment horizontal="right" vertical="center"/>
    </xf>
    <xf numFmtId="4" fontId="30" fillId="12" borderId="14" applyNumberFormat="0" applyProtection="0">
      <alignment horizontal="right" vertical="center"/>
    </xf>
    <xf numFmtId="4" fontId="33" fillId="46" borderId="15" applyNumberFormat="0" applyProtection="0">
      <alignment horizontal="left" vertical="center" indent="1"/>
    </xf>
    <xf numFmtId="4" fontId="30" fillId="8" borderId="0" applyNumberFormat="0" applyProtection="0">
      <alignment horizontal="left" vertical="center" indent="1"/>
    </xf>
    <xf numFmtId="4" fontId="35" fillId="47" borderId="0" applyNumberFormat="0" applyProtection="0">
      <alignment horizontal="left" vertical="center" indent="1"/>
    </xf>
    <xf numFmtId="4" fontId="30" fillId="44" borderId="14" applyNumberFormat="0" applyProtection="0">
      <alignment horizontal="right" vertical="center"/>
    </xf>
    <xf numFmtId="4" fontId="30" fillId="8" borderId="0" applyNumberFormat="0" applyProtection="0">
      <alignment horizontal="left" vertical="center" indent="1"/>
    </xf>
    <xf numFmtId="4" fontId="30" fillId="44" borderId="0" applyNumberFormat="0" applyProtection="0">
      <alignment horizontal="left" vertical="center" indent="1"/>
    </xf>
    <xf numFmtId="0" fontId="12" fillId="47" borderId="14" applyNumberFormat="0" applyProtection="0">
      <alignment horizontal="left" vertical="center" indent="1"/>
    </xf>
    <xf numFmtId="0" fontId="12" fillId="47" borderId="14" applyNumberFormat="0" applyProtection="0">
      <alignment horizontal="left" vertical="top" indent="1"/>
    </xf>
    <xf numFmtId="0" fontId="12" fillId="44" borderId="14" applyNumberFormat="0" applyProtection="0">
      <alignment horizontal="left" vertical="center" indent="1"/>
    </xf>
    <xf numFmtId="0" fontId="12" fillId="44" borderId="14" applyNumberFormat="0" applyProtection="0">
      <alignment horizontal="left" vertical="top" indent="1"/>
    </xf>
    <xf numFmtId="0" fontId="12" fillId="10" borderId="14" applyNumberFormat="0" applyProtection="0">
      <alignment horizontal="left" vertical="center" indent="1"/>
    </xf>
    <xf numFmtId="0" fontId="12" fillId="10" borderId="14" applyNumberFormat="0" applyProtection="0">
      <alignment horizontal="left" vertical="top" indent="1"/>
    </xf>
    <xf numFmtId="0" fontId="12" fillId="8" borderId="14" applyNumberFormat="0" applyProtection="0">
      <alignment horizontal="left" vertical="center" indent="1"/>
    </xf>
    <xf numFmtId="0" fontId="12" fillId="8" borderId="14" applyNumberFormat="0" applyProtection="0">
      <alignment horizontal="left" vertical="top" indent="1"/>
    </xf>
    <xf numFmtId="0" fontId="12" fillId="2" borderId="10" applyNumberFormat="0">
      <protection locked="0"/>
    </xf>
    <xf numFmtId="0" fontId="36" fillId="47" borderId="16" applyBorder="0"/>
    <xf numFmtId="4" fontId="30" fillId="42" borderId="14" applyNumberFormat="0" applyProtection="0">
      <alignment vertical="center"/>
    </xf>
    <xf numFmtId="4" fontId="37" fillId="42" borderId="14" applyNumberFormat="0" applyProtection="0">
      <alignment vertical="center"/>
    </xf>
    <xf numFmtId="4" fontId="30" fillId="42" borderId="14" applyNumberFormat="0" applyProtection="0">
      <alignment horizontal="left" vertical="center" indent="1"/>
    </xf>
    <xf numFmtId="0" fontId="30" fillId="42" borderId="14" applyNumberFormat="0" applyProtection="0">
      <alignment horizontal="left" vertical="top" indent="1"/>
    </xf>
    <xf numFmtId="4" fontId="30" fillId="8" borderId="14" applyNumberFormat="0" applyProtection="0">
      <alignment horizontal="right" vertical="center"/>
    </xf>
    <xf numFmtId="4" fontId="37" fillId="8" borderId="14" applyNumberFormat="0" applyProtection="0">
      <alignment horizontal="right" vertical="center"/>
    </xf>
    <xf numFmtId="4" fontId="30" fillId="44" borderId="14" applyNumberFormat="0" applyProtection="0">
      <alignment horizontal="left" vertical="center" indent="1"/>
    </xf>
    <xf numFmtId="0" fontId="30" fillId="44" borderId="14" applyNumberFormat="0" applyProtection="0">
      <alignment horizontal="left" vertical="top" indent="1"/>
    </xf>
    <xf numFmtId="4" fontId="38" fillId="48" borderId="0" applyNumberFormat="0" applyProtection="0">
      <alignment horizontal="left" vertical="center" indent="1"/>
    </xf>
    <xf numFmtId="0" fontId="16" fillId="49" borderId="10"/>
    <xf numFmtId="4" fontId="39" fillId="8" borderId="14" applyNumberFormat="0" applyProtection="0">
      <alignment horizontal="right" vertical="center"/>
    </xf>
    <xf numFmtId="0" fontId="40" fillId="0" borderId="0" applyNumberFormat="0" applyFill="0" applyBorder="0" applyAlignment="0" applyProtection="0"/>
    <xf numFmtId="0" fontId="41" fillId="0" borderId="0" applyNumberFormat="0" applyFill="0" applyBorder="0" applyProtection="0">
      <alignment vertical="center"/>
    </xf>
    <xf numFmtId="0" fontId="42" fillId="0" borderId="0" applyNumberFormat="0" applyFill="0" applyBorder="0" applyProtection="0">
      <alignment horizontal="center" wrapText="1"/>
    </xf>
    <xf numFmtId="0" fontId="42" fillId="0" borderId="0" applyNumberFormat="0" applyFill="0" applyBorder="0" applyProtection="0">
      <alignment horizontal="center" wrapText="1"/>
    </xf>
    <xf numFmtId="0" fontId="43"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5" fillId="0" borderId="0" applyNumberFormat="0" applyFont="0" applyFill="0" applyBorder="0" applyAlignment="0" applyProtection="0"/>
    <xf numFmtId="169" fontId="42" fillId="0" borderId="0" applyFill="0" applyBorder="0" applyProtection="0">
      <alignment horizontal="center"/>
    </xf>
    <xf numFmtId="169" fontId="42" fillId="0" borderId="0" applyFill="0" applyBorder="0" applyProtection="0">
      <alignment horizontal="center"/>
    </xf>
    <xf numFmtId="169" fontId="44" fillId="0" borderId="0" applyFill="0" applyBorder="0" applyProtection="0">
      <alignment horizontal="center"/>
    </xf>
    <xf numFmtId="169" fontId="44" fillId="0" borderId="0" applyFill="0" applyBorder="0" applyProtection="0">
      <alignment horizontal="center"/>
    </xf>
    <xf numFmtId="170" fontId="42" fillId="0" borderId="0" applyFill="0" applyBorder="0" applyProtection="0">
      <alignment horizontal="center"/>
    </xf>
    <xf numFmtId="170" fontId="42" fillId="0" borderId="0" applyFill="0" applyBorder="0" applyProtection="0">
      <alignment horizontal="center"/>
    </xf>
    <xf numFmtId="170" fontId="44" fillId="0" borderId="0" applyFill="0" applyBorder="0" applyProtection="0">
      <alignment horizontal="center"/>
    </xf>
    <xf numFmtId="170" fontId="44" fillId="0" borderId="0" applyFill="0" applyBorder="0" applyProtection="0">
      <alignment horizontal="center"/>
    </xf>
    <xf numFmtId="0" fontId="44" fillId="0" borderId="0" applyNumberFormat="0" applyFill="0" applyBorder="0" applyProtection="0">
      <alignment wrapText="1"/>
    </xf>
    <xf numFmtId="0" fontId="44" fillId="0" borderId="0" applyNumberFormat="0" applyFill="0" applyBorder="0" applyProtection="0">
      <alignment wrapText="1"/>
    </xf>
    <xf numFmtId="0" fontId="44" fillId="0" borderId="10" applyNumberFormat="0" applyFill="0" applyProtection="0">
      <alignment wrapText="1"/>
    </xf>
    <xf numFmtId="0" fontId="44" fillId="0" borderId="10" applyNumberFormat="0" applyFill="0" applyProtection="0">
      <alignment wrapText="1"/>
    </xf>
    <xf numFmtId="0" fontId="44" fillId="0" borderId="10" applyNumberFormat="0" applyFill="0" applyProtection="0">
      <alignment wrapText="1"/>
    </xf>
    <xf numFmtId="0" fontId="44" fillId="0" borderId="0" applyNumberFormat="0" applyFill="0" applyBorder="0" applyAlignment="0" applyProtection="0"/>
    <xf numFmtId="0" fontId="44" fillId="0" borderId="0" applyNumberFormat="0" applyFill="0" applyBorder="0" applyAlignment="0" applyProtection="0"/>
    <xf numFmtId="0" fontId="12" fillId="0" borderId="17" applyNumberFormat="0" applyFont="0" applyFill="0" applyAlignment="0" applyProtection="0"/>
    <xf numFmtId="0" fontId="12" fillId="0" borderId="17" applyNumberFormat="0" applyFont="0" applyFill="0" applyAlignment="0" applyProtection="0"/>
    <xf numFmtId="0" fontId="12" fillId="0" borderId="17" applyNumberFormat="0" applyFont="0" applyFill="0" applyAlignment="0" applyProtection="0"/>
    <xf numFmtId="0" fontId="12" fillId="0" borderId="18" applyNumberFormat="0" applyFont="0" applyFill="0" applyAlignment="0" applyProtection="0"/>
    <xf numFmtId="0" fontId="12" fillId="0" borderId="18" applyNumberFormat="0" applyFont="0" applyFill="0" applyAlignment="0" applyProtection="0"/>
    <xf numFmtId="0" fontId="12" fillId="0" borderId="18" applyNumberFormat="0" applyFont="0" applyFill="0" applyAlignment="0" applyProtection="0"/>
    <xf numFmtId="0" fontId="12" fillId="0" borderId="19" applyNumberFormat="0" applyFont="0" applyFill="0" applyAlignment="0" applyProtection="0"/>
    <xf numFmtId="0" fontId="12" fillId="0" borderId="19" applyNumberFormat="0" applyFont="0" applyFill="0" applyAlignment="0" applyProtection="0"/>
    <xf numFmtId="0" fontId="12" fillId="0" borderId="19" applyNumberFormat="0" applyFont="0" applyFill="0" applyAlignment="0" applyProtection="0"/>
    <xf numFmtId="0" fontId="12" fillId="0" borderId="20" applyNumberFormat="0" applyFont="0" applyFill="0" applyAlignment="0" applyProtection="0"/>
    <xf numFmtId="0" fontId="12" fillId="0" borderId="20" applyNumberFormat="0" applyFont="0" applyFill="0" applyAlignment="0" applyProtection="0"/>
    <xf numFmtId="0" fontId="12" fillId="0" borderId="20" applyNumberFormat="0" applyFont="0" applyFill="0" applyAlignment="0" applyProtection="0"/>
    <xf numFmtId="0" fontId="12" fillId="0" borderId="21" applyNumberFormat="0" applyFont="0" applyFill="0" applyAlignment="0" applyProtection="0"/>
    <xf numFmtId="0" fontId="12" fillId="0" borderId="21" applyNumberFormat="0" applyFont="0" applyFill="0" applyAlignment="0" applyProtection="0"/>
    <xf numFmtId="0" fontId="12" fillId="0" borderId="21" applyNumberFormat="0" applyFont="0" applyFill="0" applyAlignment="0" applyProtection="0"/>
    <xf numFmtId="0" fontId="12" fillId="0" borderId="22" applyNumberFormat="0" applyFont="0" applyFill="0" applyAlignment="0" applyProtection="0"/>
    <xf numFmtId="0" fontId="12" fillId="0" borderId="22" applyNumberFormat="0" applyFont="0" applyFill="0" applyAlignment="0" applyProtection="0"/>
    <xf numFmtId="0" fontId="12" fillId="0" borderId="22" applyNumberFormat="0" applyFont="0" applyFill="0" applyAlignment="0" applyProtection="0"/>
    <xf numFmtId="0" fontId="12" fillId="0" borderId="23" applyNumberFormat="0" applyFont="0" applyFill="0" applyAlignment="0" applyProtection="0"/>
    <xf numFmtId="0" fontId="12" fillId="0" borderId="23" applyNumberFormat="0" applyFont="0" applyFill="0" applyAlignment="0" applyProtection="0"/>
    <xf numFmtId="0" fontId="12" fillId="0" borderId="23" applyNumberFormat="0" applyFont="0" applyFill="0" applyAlignment="0" applyProtection="0"/>
    <xf numFmtId="0" fontId="12" fillId="0" borderId="24" applyNumberFormat="0" applyFont="0" applyFill="0" applyAlignment="0" applyProtection="0"/>
    <xf numFmtId="0" fontId="12" fillId="0" borderId="24" applyNumberFormat="0" applyFont="0" applyFill="0" applyAlignment="0" applyProtection="0"/>
    <xf numFmtId="0" fontId="12" fillId="0" borderId="24" applyNumberFormat="0" applyFon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3" fillId="0" borderId="25" applyNumberFormat="0" applyFill="0" applyAlignment="0" applyProtection="0"/>
    <xf numFmtId="0" fontId="13" fillId="0" borderId="25" applyNumberFormat="0" applyFill="0" applyAlignment="0" applyProtection="0"/>
    <xf numFmtId="37" fontId="16" fillId="50" borderId="0" applyNumberFormat="0" applyBorder="0" applyAlignment="0" applyProtection="0"/>
    <xf numFmtId="37" fontId="16" fillId="0" borderId="0"/>
    <xf numFmtId="3" fontId="47" fillId="0" borderId="9" applyProtection="0"/>
    <xf numFmtId="0" fontId="48" fillId="0" borderId="0" applyNumberFormat="0" applyFill="0" applyBorder="0" applyAlignment="0" applyProtection="0"/>
    <xf numFmtId="0" fontId="48" fillId="0" borderId="0" applyNumberFormat="0" applyFill="0" applyBorder="0" applyAlignment="0" applyProtection="0"/>
    <xf numFmtId="0" fontId="49" fillId="0" borderId="0"/>
    <xf numFmtId="0" fontId="3" fillId="0" borderId="0"/>
    <xf numFmtId="0" fontId="4" fillId="0" borderId="0"/>
    <xf numFmtId="0" fontId="67" fillId="0" borderId="0"/>
    <xf numFmtId="9" fontId="67"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2" fillId="0" borderId="0"/>
    <xf numFmtId="43" fontId="2" fillId="0" borderId="0" applyFont="0" applyFill="0" applyBorder="0" applyAlignment="0" applyProtection="0"/>
    <xf numFmtId="0" fontId="1" fillId="0" borderId="0"/>
    <xf numFmtId="0" fontId="1" fillId="0" borderId="0"/>
    <xf numFmtId="43" fontId="1" fillId="0" borderId="0" applyFont="0" applyFill="0" applyBorder="0" applyAlignment="0" applyProtection="0"/>
  </cellStyleXfs>
  <cellXfs count="848">
    <xf numFmtId="0" fontId="0" fillId="0" borderId="0" xfId="0"/>
    <xf numFmtId="0" fontId="52" fillId="0" borderId="0" xfId="0" applyFont="1" applyAlignment="1">
      <alignment vertical="center" wrapText="1"/>
    </xf>
    <xf numFmtId="0" fontId="52" fillId="0" borderId="0" xfId="0" applyFont="1" applyFill="1" applyAlignment="1">
      <alignment vertical="center" wrapText="1"/>
    </xf>
    <xf numFmtId="0" fontId="52" fillId="0" borderId="10" xfId="0" applyFont="1" applyBorder="1" applyAlignment="1">
      <alignment horizontal="center" vertical="center" wrapText="1"/>
    </xf>
    <xf numFmtId="0" fontId="52" fillId="0" borderId="26" xfId="0" applyFont="1" applyBorder="1" applyAlignment="1">
      <alignment horizontal="center" vertical="center" wrapText="1"/>
    </xf>
    <xf numFmtId="164" fontId="52" fillId="0" borderId="0" xfId="0" applyNumberFormat="1" applyFont="1" applyAlignment="1">
      <alignment vertical="center" wrapText="1"/>
    </xf>
    <xf numFmtId="0" fontId="52" fillId="0" borderId="27" xfId="0" applyFont="1" applyBorder="1" applyAlignment="1">
      <alignment horizontal="center" vertical="center" wrapText="1"/>
    </xf>
    <xf numFmtId="0" fontId="52" fillId="0" borderId="0" xfId="0" applyNumberFormat="1" applyFont="1" applyAlignment="1">
      <alignment vertical="center" wrapText="1"/>
    </xf>
    <xf numFmtId="10" fontId="52" fillId="0" borderId="0" xfId="0" applyNumberFormat="1" applyFont="1" applyAlignment="1">
      <alignment vertical="center" wrapText="1"/>
    </xf>
    <xf numFmtId="0" fontId="52" fillId="0" borderId="0" xfId="0" applyFont="1" applyAlignment="1">
      <alignment horizontal="center" vertical="center" wrapText="1"/>
    </xf>
    <xf numFmtId="0" fontId="52" fillId="0" borderId="28" xfId="0" applyFont="1" applyFill="1" applyBorder="1" applyAlignment="1">
      <alignment horizontal="center" vertical="center" wrapText="1"/>
    </xf>
    <xf numFmtId="0" fontId="51" fillId="50" borderId="4" xfId="0" applyFont="1" applyFill="1" applyBorder="1" applyAlignment="1">
      <alignment horizontal="center" vertical="center" wrapText="1"/>
    </xf>
    <xf numFmtId="0" fontId="51" fillId="50" borderId="29" xfId="0" applyFont="1" applyFill="1" applyBorder="1" applyAlignment="1">
      <alignment horizontal="center" vertical="center" wrapText="1"/>
    </xf>
    <xf numFmtId="0" fontId="51" fillId="0" borderId="30" xfId="0" applyFont="1" applyFill="1" applyBorder="1" applyAlignment="1">
      <alignment horizontal="center" vertical="center" wrapText="1"/>
    </xf>
    <xf numFmtId="0" fontId="51" fillId="0" borderId="31" xfId="0" applyFont="1" applyFill="1" applyBorder="1" applyAlignment="1">
      <alignment horizontal="center" vertical="center" wrapText="1"/>
    </xf>
    <xf numFmtId="0" fontId="51" fillId="0" borderId="32" xfId="0" applyFont="1" applyFill="1" applyBorder="1" applyAlignment="1">
      <alignment horizontal="center" vertical="center" wrapText="1"/>
    </xf>
    <xf numFmtId="0" fontId="52" fillId="0" borderId="33" xfId="0" applyFont="1" applyBorder="1" applyAlignment="1">
      <alignment horizontal="center" vertical="center" wrapText="1"/>
    </xf>
    <xf numFmtId="0" fontId="52" fillId="0" borderId="33" xfId="0" applyFont="1" applyBorder="1" applyAlignment="1">
      <alignment vertical="center" wrapText="1"/>
    </xf>
    <xf numFmtId="0" fontId="52" fillId="0" borderId="30" xfId="0" applyFont="1" applyBorder="1" applyAlignment="1">
      <alignment horizontal="center" vertical="center" wrapText="1"/>
    </xf>
    <xf numFmtId="0" fontId="52" fillId="0" borderId="31" xfId="0" applyFont="1" applyBorder="1" applyAlignment="1">
      <alignment horizontal="center" vertical="center" wrapText="1"/>
    </xf>
    <xf numFmtId="0" fontId="52" fillId="0" borderId="31" xfId="0" applyFont="1" applyBorder="1" applyAlignment="1">
      <alignment vertical="center" wrapText="1"/>
    </xf>
    <xf numFmtId="0" fontId="52" fillId="0" borderId="28" xfId="0" applyFont="1" applyBorder="1" applyAlignment="1">
      <alignment horizontal="center" vertical="center" wrapText="1"/>
    </xf>
    <xf numFmtId="0" fontId="52" fillId="0" borderId="34" xfId="0" applyFont="1" applyBorder="1" applyAlignment="1">
      <alignment horizontal="center" vertical="center" wrapText="1"/>
    </xf>
    <xf numFmtId="164" fontId="52" fillId="0" borderId="35" xfId="0" applyNumberFormat="1" applyFont="1" applyBorder="1" applyAlignment="1">
      <alignment horizontal="center" vertical="center" wrapText="1"/>
    </xf>
    <xf numFmtId="164" fontId="52" fillId="0" borderId="36" xfId="0" applyNumberFormat="1" applyFont="1" applyBorder="1" applyAlignment="1">
      <alignment horizontal="center" vertical="center" wrapText="1"/>
    </xf>
    <xf numFmtId="164" fontId="52" fillId="0" borderId="36" xfId="0" applyNumberFormat="1" applyFont="1" applyBorder="1" applyAlignment="1">
      <alignment vertical="center" wrapText="1"/>
    </xf>
    <xf numFmtId="164" fontId="51" fillId="51" borderId="37" xfId="0" applyNumberFormat="1" applyFont="1" applyFill="1" applyBorder="1" applyAlignment="1">
      <alignment horizontal="center" vertical="center" wrapText="1"/>
    </xf>
    <xf numFmtId="0" fontId="51" fillId="51" borderId="38" xfId="0" applyFont="1" applyFill="1" applyBorder="1" applyAlignment="1">
      <alignment horizontal="center" vertical="center" wrapText="1"/>
    </xf>
    <xf numFmtId="164" fontId="52" fillId="0" borderId="33" xfId="0" applyNumberFormat="1" applyFont="1" applyBorder="1" applyAlignment="1">
      <alignment horizontal="center" vertical="center" wrapText="1"/>
    </xf>
    <xf numFmtId="164" fontId="52" fillId="0" borderId="33" xfId="0" applyNumberFormat="1" applyFont="1" applyBorder="1" applyAlignment="1">
      <alignment vertical="center" wrapText="1"/>
    </xf>
    <xf numFmtId="0" fontId="52" fillId="0" borderId="30" xfId="0" applyNumberFormat="1" applyFont="1" applyBorder="1" applyAlignment="1">
      <alignment horizontal="center" vertical="center" wrapText="1"/>
    </xf>
    <xf numFmtId="0" fontId="52" fillId="0" borderId="31" xfId="0" applyNumberFormat="1" applyFont="1" applyBorder="1" applyAlignment="1">
      <alignment horizontal="center" vertical="center" wrapText="1"/>
    </xf>
    <xf numFmtId="0" fontId="52" fillId="0" borderId="31" xfId="0" applyNumberFormat="1" applyFont="1" applyBorder="1" applyAlignment="1">
      <alignment vertical="center" wrapText="1"/>
    </xf>
    <xf numFmtId="164" fontId="52" fillId="0" borderId="34" xfId="0" applyNumberFormat="1" applyFont="1" applyBorder="1" applyAlignment="1">
      <alignment horizontal="center" vertical="center" wrapText="1"/>
    </xf>
    <xf numFmtId="164" fontId="51" fillId="51" borderId="38" xfId="0" applyNumberFormat="1" applyFont="1" applyFill="1" applyBorder="1" applyAlignment="1">
      <alignment horizontal="center" vertical="center" wrapText="1"/>
    </xf>
    <xf numFmtId="164" fontId="51" fillId="51" borderId="39" xfId="0" applyNumberFormat="1" applyFont="1" applyFill="1" applyBorder="1" applyAlignment="1">
      <alignment horizontal="center" vertical="center" wrapText="1"/>
    </xf>
    <xf numFmtId="0" fontId="52" fillId="0" borderId="38" xfId="0" applyFont="1" applyFill="1" applyBorder="1" applyAlignment="1">
      <alignment horizontal="center" vertical="center" wrapText="1"/>
    </xf>
    <xf numFmtId="0" fontId="52" fillId="0" borderId="39" xfId="0" applyFont="1" applyBorder="1" applyAlignment="1">
      <alignment horizontal="center" vertical="center" wrapText="1"/>
    </xf>
    <xf numFmtId="0" fontId="52" fillId="0" borderId="41" xfId="0" applyFont="1" applyFill="1" applyBorder="1" applyAlignment="1">
      <alignment horizontal="center" vertical="center" wrapText="1"/>
    </xf>
    <xf numFmtId="0" fontId="52" fillId="52" borderId="10" xfId="0" applyFont="1" applyFill="1" applyBorder="1" applyAlignment="1">
      <alignment horizontal="center" vertical="center" wrapText="1"/>
    </xf>
    <xf numFmtId="0" fontId="52" fillId="52" borderId="10" xfId="0" applyFont="1" applyFill="1" applyBorder="1" applyAlignment="1">
      <alignment vertical="center" wrapText="1"/>
    </xf>
    <xf numFmtId="0" fontId="52" fillId="52" borderId="26" xfId="0" applyFont="1" applyFill="1" applyBorder="1" applyAlignment="1">
      <alignment horizontal="center" vertical="center" wrapText="1"/>
    </xf>
    <xf numFmtId="0" fontId="52" fillId="52" borderId="5" xfId="0" applyFont="1" applyFill="1" applyBorder="1" applyAlignment="1">
      <alignment horizontal="center" vertical="center" wrapText="1"/>
    </xf>
    <xf numFmtId="0" fontId="52" fillId="52" borderId="43" xfId="0" applyFont="1" applyFill="1" applyBorder="1" applyAlignment="1">
      <alignment horizontal="center" vertical="center" wrapText="1"/>
    </xf>
    <xf numFmtId="0" fontId="52" fillId="0" borderId="10" xfId="0" applyFont="1" applyFill="1" applyBorder="1" applyAlignment="1">
      <alignment horizontal="center" vertical="center" wrapText="1"/>
    </xf>
    <xf numFmtId="0" fontId="52" fillId="0" borderId="10" xfId="0" applyFont="1" applyFill="1" applyBorder="1" applyAlignment="1">
      <alignment vertical="center" wrapText="1"/>
    </xf>
    <xf numFmtId="0" fontId="52" fillId="0" borderId="26" xfId="0" applyFont="1" applyFill="1" applyBorder="1" applyAlignment="1">
      <alignment horizontal="center" vertical="center" wrapText="1"/>
    </xf>
    <xf numFmtId="0" fontId="52" fillId="0" borderId="10" xfId="0" applyFont="1" applyBorder="1" applyAlignment="1">
      <alignment vertical="center" wrapText="1"/>
    </xf>
    <xf numFmtId="164" fontId="52" fillId="0" borderId="26" xfId="0" applyNumberFormat="1" applyFont="1" applyBorder="1" applyAlignment="1">
      <alignment horizontal="center" vertical="center" wrapText="1"/>
    </xf>
    <xf numFmtId="10" fontId="52" fillId="0" borderId="10" xfId="0" applyNumberFormat="1" applyFont="1" applyBorder="1" applyAlignment="1">
      <alignment horizontal="center" vertical="center" wrapText="1"/>
    </xf>
    <xf numFmtId="10" fontId="52" fillId="0" borderId="10" xfId="0" applyNumberFormat="1" applyFont="1" applyBorder="1" applyAlignment="1">
      <alignment vertical="center" wrapText="1"/>
    </xf>
    <xf numFmtId="10" fontId="52" fillId="0" borderId="26" xfId="0" applyNumberFormat="1" applyFont="1" applyBorder="1" applyAlignment="1">
      <alignment horizontal="center" vertical="center" wrapText="1"/>
    </xf>
    <xf numFmtId="0" fontId="52" fillId="0" borderId="44" xfId="0" applyFont="1" applyBorder="1" applyAlignment="1">
      <alignment vertical="center" wrapText="1"/>
    </xf>
    <xf numFmtId="0" fontId="52" fillId="0" borderId="23" xfId="0" applyFont="1" applyBorder="1" applyAlignment="1">
      <alignment horizontal="center" vertical="center" wrapText="1"/>
    </xf>
    <xf numFmtId="0" fontId="52" fillId="0" borderId="19" xfId="0" applyFont="1" applyBorder="1" applyAlignment="1">
      <alignment horizontal="center" vertical="center" wrapText="1"/>
    </xf>
    <xf numFmtId="0" fontId="52" fillId="0" borderId="0" xfId="0" applyFont="1" applyBorder="1" applyAlignment="1">
      <alignment horizontal="center" vertical="center" wrapText="1"/>
    </xf>
    <xf numFmtId="0" fontId="52" fillId="0" borderId="21" xfId="0" applyFont="1" applyBorder="1" applyAlignment="1">
      <alignment horizontal="center" vertical="center" wrapText="1"/>
    </xf>
    <xf numFmtId="0" fontId="52" fillId="0" borderId="45" xfId="0" applyFont="1" applyFill="1" applyBorder="1" applyAlignment="1">
      <alignment horizontal="center"/>
    </xf>
    <xf numFmtId="0" fontId="52" fillId="0" borderId="21" xfId="0" applyFont="1" applyFill="1" applyBorder="1" applyAlignment="1">
      <alignment horizontal="center"/>
    </xf>
    <xf numFmtId="0" fontId="52" fillId="0" borderId="10" xfId="0" applyFont="1" applyFill="1" applyBorder="1" applyAlignment="1">
      <alignment horizontal="center"/>
    </xf>
    <xf numFmtId="0" fontId="52" fillId="0" borderId="26" xfId="0" applyFont="1" applyFill="1" applyBorder="1" applyAlignment="1">
      <alignment horizontal="center"/>
    </xf>
    <xf numFmtId="0" fontId="52" fillId="52" borderId="18" xfId="0" applyFont="1" applyFill="1" applyBorder="1" applyAlignment="1">
      <alignment horizontal="center" vertical="center" wrapText="1"/>
    </xf>
    <xf numFmtId="0" fontId="0" fillId="52" borderId="18" xfId="0" applyFill="1" applyBorder="1" applyAlignment="1">
      <alignment horizontal="center" vertical="center" wrapText="1"/>
    </xf>
    <xf numFmtId="14" fontId="52" fillId="52" borderId="45" xfId="0" applyNumberFormat="1" applyFont="1" applyFill="1" applyBorder="1" applyAlignment="1">
      <alignment horizontal="center" vertical="center" wrapText="1"/>
    </xf>
    <xf numFmtId="0" fontId="52" fillId="52" borderId="46" xfId="0" applyFont="1" applyFill="1" applyBorder="1" applyAlignment="1">
      <alignment horizontal="center" vertical="center" wrapText="1"/>
    </xf>
    <xf numFmtId="0" fontId="51" fillId="0" borderId="10" xfId="0" applyFont="1" applyBorder="1" applyAlignment="1">
      <alignment horizontal="center" vertical="center" wrapText="1"/>
    </xf>
    <xf numFmtId="0" fontId="51" fillId="0" borderId="44" xfId="0" applyFont="1" applyBorder="1" applyAlignment="1">
      <alignment horizontal="center" vertical="center" wrapText="1"/>
    </xf>
    <xf numFmtId="0" fontId="52" fillId="0" borderId="44" xfId="0" applyFont="1" applyBorder="1" applyAlignment="1">
      <alignment horizontal="center" vertical="center" wrapText="1"/>
    </xf>
    <xf numFmtId="0" fontId="52" fillId="0" borderId="45" xfId="0" applyFont="1" applyBorder="1" applyAlignment="1">
      <alignment horizontal="center" vertical="center" wrapText="1"/>
    </xf>
    <xf numFmtId="0" fontId="52" fillId="0" borderId="45" xfId="0" applyFont="1" applyBorder="1" applyAlignment="1">
      <alignment vertical="center" wrapText="1"/>
    </xf>
    <xf numFmtId="0" fontId="52" fillId="52" borderId="0" xfId="0" applyFont="1" applyFill="1" applyBorder="1" applyAlignment="1">
      <alignment horizontal="center" vertical="center" wrapText="1"/>
    </xf>
    <xf numFmtId="0" fontId="52" fillId="52" borderId="44" xfId="0" applyFont="1" applyFill="1" applyBorder="1" applyAlignment="1">
      <alignment horizontal="center" vertical="center" wrapText="1"/>
    </xf>
    <xf numFmtId="14" fontId="52" fillId="52" borderId="43" xfId="0" applyNumberFormat="1" applyFont="1" applyFill="1" applyBorder="1" applyAlignment="1">
      <alignment horizontal="center" vertical="center" wrapText="1"/>
    </xf>
    <xf numFmtId="14" fontId="52" fillId="52" borderId="10" xfId="0" applyNumberFormat="1" applyFont="1" applyFill="1" applyBorder="1" applyAlignment="1">
      <alignment horizontal="center" vertical="center" wrapText="1"/>
    </xf>
    <xf numFmtId="0" fontId="52" fillId="0" borderId="47" xfId="0" applyFont="1" applyBorder="1" applyAlignment="1">
      <alignment vertical="center" wrapText="1"/>
    </xf>
    <xf numFmtId="0" fontId="51" fillId="0" borderId="48" xfId="0" applyFont="1" applyFill="1" applyBorder="1" applyAlignment="1">
      <alignment horizontal="center" vertical="center" wrapText="1"/>
    </xf>
    <xf numFmtId="0" fontId="52" fillId="0" borderId="49" xfId="0" applyFont="1" applyFill="1" applyBorder="1" applyAlignment="1">
      <alignment horizontal="center" vertical="center" wrapText="1"/>
    </xf>
    <xf numFmtId="0" fontId="52" fillId="52" borderId="27" xfId="0" applyFont="1" applyFill="1" applyBorder="1" applyAlignment="1">
      <alignment horizontal="center" vertical="center" wrapText="1"/>
    </xf>
    <xf numFmtId="0" fontId="52" fillId="52" borderId="50" xfId="0" applyFont="1" applyFill="1" applyBorder="1" applyAlignment="1">
      <alignment horizontal="center" vertical="center" wrapText="1"/>
    </xf>
    <xf numFmtId="0" fontId="51" fillId="0" borderId="27" xfId="0" applyFont="1" applyBorder="1" applyAlignment="1">
      <alignment horizontal="center" vertical="center" wrapText="1"/>
    </xf>
    <xf numFmtId="0" fontId="52" fillId="52" borderId="51" xfId="0" applyFont="1" applyFill="1" applyBorder="1" applyAlignment="1">
      <alignment horizontal="center" vertical="center" wrapText="1"/>
    </xf>
    <xf numFmtId="0" fontId="52" fillId="0" borderId="27" xfId="0" applyFont="1" applyFill="1" applyBorder="1" applyAlignment="1">
      <alignment horizontal="center" vertical="center" wrapText="1"/>
    </xf>
    <xf numFmtId="0" fontId="52" fillId="52" borderId="52" xfId="0" applyFont="1" applyFill="1" applyBorder="1" applyAlignment="1">
      <alignment horizontal="center" vertical="center" wrapText="1"/>
    </xf>
    <xf numFmtId="0" fontId="52" fillId="0" borderId="22" xfId="0" applyFont="1" applyFill="1" applyBorder="1" applyAlignment="1">
      <alignment horizontal="center"/>
    </xf>
    <xf numFmtId="0" fontId="52" fillId="0" borderId="43" xfId="0" applyFont="1" applyFill="1" applyBorder="1" applyAlignment="1">
      <alignment horizontal="center"/>
    </xf>
    <xf numFmtId="0" fontId="51" fillId="0" borderId="43" xfId="0" applyFont="1" applyBorder="1" applyAlignment="1">
      <alignment horizontal="center" vertical="center" wrapText="1"/>
    </xf>
    <xf numFmtId="0" fontId="52" fillId="52" borderId="54" xfId="0" applyFont="1" applyFill="1" applyBorder="1" applyAlignment="1">
      <alignment horizontal="center" vertical="center" wrapText="1"/>
    </xf>
    <xf numFmtId="0" fontId="52" fillId="0" borderId="54" xfId="0" applyFont="1" applyBorder="1" applyAlignment="1">
      <alignment horizontal="center" vertical="center" wrapText="1"/>
    </xf>
    <xf numFmtId="0" fontId="52" fillId="0" borderId="48" xfId="0" applyFont="1" applyBorder="1" applyAlignment="1">
      <alignment horizontal="center" vertical="center" wrapText="1"/>
    </xf>
    <xf numFmtId="164" fontId="52" fillId="0" borderId="55" xfId="0" applyNumberFormat="1" applyFont="1" applyBorder="1" applyAlignment="1">
      <alignment horizontal="center" vertical="center" wrapText="1"/>
    </xf>
    <xf numFmtId="164" fontId="52" fillId="0" borderId="48" xfId="0" applyNumberFormat="1" applyFont="1" applyBorder="1" applyAlignment="1">
      <alignment horizontal="center" vertical="center" wrapText="1"/>
    </xf>
    <xf numFmtId="164" fontId="52" fillId="0" borderId="19" xfId="0" applyNumberFormat="1" applyFont="1" applyBorder="1" applyAlignment="1">
      <alignment horizontal="center" vertical="center" wrapText="1"/>
    </xf>
    <xf numFmtId="0" fontId="52" fillId="52" borderId="39" xfId="0" applyFont="1" applyFill="1" applyBorder="1" applyAlignment="1">
      <alignment horizontal="center" vertical="center" wrapText="1"/>
    </xf>
    <xf numFmtId="164" fontId="52" fillId="0" borderId="39" xfId="0" applyNumberFormat="1" applyFont="1" applyBorder="1" applyAlignment="1">
      <alignment horizontal="center" vertical="center" wrapText="1"/>
    </xf>
    <xf numFmtId="0" fontId="52" fillId="51" borderId="39" xfId="0" applyFont="1" applyFill="1" applyBorder="1" applyAlignment="1">
      <alignment horizontal="center" vertical="center" wrapText="1"/>
    </xf>
    <xf numFmtId="0" fontId="52" fillId="0" borderId="56" xfId="0" applyFont="1" applyBorder="1" applyAlignment="1">
      <alignment horizontal="center" vertical="center" wrapText="1"/>
    </xf>
    <xf numFmtId="14" fontId="52" fillId="52" borderId="0" xfId="0" applyNumberFormat="1" applyFont="1" applyFill="1" applyBorder="1" applyAlignment="1">
      <alignment horizontal="center" vertical="center" wrapText="1"/>
    </xf>
    <xf numFmtId="0" fontId="52" fillId="52" borderId="58" xfId="0" applyFont="1" applyFill="1" applyBorder="1" applyAlignment="1">
      <alignment horizontal="center" vertical="center" wrapText="1"/>
    </xf>
    <xf numFmtId="164" fontId="52" fillId="0" borderId="59" xfId="0" applyNumberFormat="1" applyFont="1" applyBorder="1" applyAlignment="1">
      <alignment horizontal="center" vertical="center" wrapText="1"/>
    </xf>
    <xf numFmtId="164" fontId="52" fillId="0" borderId="38" xfId="0" applyNumberFormat="1" applyFont="1" applyBorder="1" applyAlignment="1">
      <alignment horizontal="center" vertical="center" wrapText="1"/>
    </xf>
    <xf numFmtId="164" fontId="52" fillId="0" borderId="37" xfId="0" applyNumberFormat="1" applyFont="1" applyBorder="1" applyAlignment="1">
      <alignment horizontal="center" vertical="center" wrapText="1"/>
    </xf>
    <xf numFmtId="14" fontId="52" fillId="52" borderId="59" xfId="0" applyNumberFormat="1" applyFont="1" applyFill="1" applyBorder="1" applyAlignment="1">
      <alignment horizontal="center" vertical="center" wrapText="1"/>
    </xf>
    <xf numFmtId="0" fontId="52" fillId="0" borderId="27" xfId="0" applyFont="1" applyBorder="1" applyAlignment="1">
      <alignment horizontal="center"/>
    </xf>
    <xf numFmtId="0" fontId="52" fillId="0" borderId="60" xfId="0" applyFont="1" applyBorder="1" applyAlignment="1">
      <alignment horizontal="center"/>
    </xf>
    <xf numFmtId="0" fontId="0" fillId="52" borderId="0" xfId="0" applyFill="1" applyBorder="1" applyAlignment="1">
      <alignment horizontal="center" vertical="center" wrapText="1"/>
    </xf>
    <xf numFmtId="0" fontId="0" fillId="52" borderId="54" xfId="0" applyFill="1" applyBorder="1" applyAlignment="1">
      <alignment horizontal="center" vertical="center" wrapText="1"/>
    </xf>
    <xf numFmtId="14" fontId="52" fillId="52" borderId="26" xfId="0" applyNumberFormat="1" applyFont="1" applyFill="1" applyBorder="1" applyAlignment="1">
      <alignment horizontal="center" vertical="center" wrapText="1"/>
    </xf>
    <xf numFmtId="14" fontId="52" fillId="52" borderId="27" xfId="0" applyNumberFormat="1" applyFont="1" applyFill="1" applyBorder="1" applyAlignment="1">
      <alignment horizontal="center" vertical="center" wrapText="1"/>
    </xf>
    <xf numFmtId="0" fontId="52" fillId="0" borderId="17" xfId="0" applyFont="1" applyBorder="1" applyAlignment="1">
      <alignment vertical="center" wrapText="1"/>
    </xf>
    <xf numFmtId="0" fontId="51" fillId="51" borderId="37" xfId="0" applyFont="1" applyFill="1" applyBorder="1" applyAlignment="1">
      <alignment horizontal="center" vertical="center" wrapText="1"/>
    </xf>
    <xf numFmtId="0" fontId="52" fillId="0" borderId="41" xfId="0" applyFont="1" applyBorder="1" applyAlignment="1">
      <alignment horizontal="center" vertical="center" wrapText="1"/>
    </xf>
    <xf numFmtId="0" fontId="52" fillId="0" borderId="28" xfId="0" applyFont="1" applyBorder="1" applyAlignment="1">
      <alignment vertical="center" wrapText="1"/>
    </xf>
    <xf numFmtId="0" fontId="52" fillId="0" borderId="61" xfId="0" applyFont="1" applyBorder="1" applyAlignment="1">
      <alignment horizontal="center" vertical="center" wrapText="1"/>
    </xf>
    <xf numFmtId="0" fontId="52" fillId="52" borderId="59" xfId="0" applyFont="1" applyFill="1" applyBorder="1" applyAlignment="1">
      <alignment horizontal="center" vertical="center" wrapText="1"/>
    </xf>
    <xf numFmtId="0" fontId="52" fillId="52" borderId="17" xfId="0" applyFont="1" applyFill="1" applyBorder="1" applyAlignment="1">
      <alignment horizontal="center" vertical="center" wrapText="1"/>
    </xf>
    <xf numFmtId="0" fontId="52" fillId="52" borderId="22" xfId="0" applyFont="1" applyFill="1" applyBorder="1" applyAlignment="1">
      <alignment horizontal="center" vertical="center" wrapText="1"/>
    </xf>
    <xf numFmtId="0" fontId="52" fillId="52" borderId="21" xfId="0" applyFont="1" applyFill="1" applyBorder="1" applyAlignment="1">
      <alignment horizontal="center" vertical="center" wrapText="1"/>
    </xf>
    <xf numFmtId="0" fontId="52" fillId="52" borderId="45" xfId="0" applyFont="1" applyFill="1" applyBorder="1" applyAlignment="1">
      <alignment horizontal="center" vertical="center" wrapText="1"/>
    </xf>
    <xf numFmtId="0" fontId="52" fillId="52" borderId="57" xfId="0" applyFont="1" applyFill="1" applyBorder="1" applyAlignment="1">
      <alignment horizontal="center" vertical="center" wrapText="1"/>
    </xf>
    <xf numFmtId="164" fontId="52" fillId="0" borderId="62" xfId="0" applyNumberFormat="1" applyFont="1" applyBorder="1" applyAlignment="1">
      <alignment horizontal="center" vertical="center" wrapText="1"/>
    </xf>
    <xf numFmtId="14" fontId="52" fillId="52" borderId="22" xfId="0" applyNumberFormat="1" applyFont="1" applyFill="1" applyBorder="1" applyAlignment="1">
      <alignment horizontal="center" vertical="center" wrapText="1"/>
    </xf>
    <xf numFmtId="0" fontId="52" fillId="52" borderId="23" xfId="0" applyFont="1" applyFill="1" applyBorder="1" applyAlignment="1">
      <alignment horizontal="center" vertical="center" wrapText="1"/>
    </xf>
    <xf numFmtId="0" fontId="52" fillId="0" borderId="41" xfId="0" applyFont="1" applyBorder="1" applyAlignment="1">
      <alignment horizontal="center"/>
    </xf>
    <xf numFmtId="0" fontId="51" fillId="0" borderId="41" xfId="0" applyFont="1" applyBorder="1" applyAlignment="1">
      <alignment horizontal="center" vertical="center" wrapText="1"/>
    </xf>
    <xf numFmtId="0" fontId="51" fillId="0" borderId="28" xfId="0" applyFont="1" applyBorder="1" applyAlignment="1">
      <alignment horizontal="center" vertical="center" wrapText="1"/>
    </xf>
    <xf numFmtId="0" fontId="52" fillId="0" borderId="60" xfId="0" applyFont="1" applyBorder="1" applyAlignment="1">
      <alignment horizontal="center" vertical="center" wrapText="1"/>
    </xf>
    <xf numFmtId="0" fontId="52" fillId="0" borderId="63" xfId="0" applyNumberFormat="1" applyFont="1" applyFill="1" applyBorder="1" applyAlignment="1">
      <alignment horizontal="center"/>
    </xf>
    <xf numFmtId="0" fontId="52" fillId="0" borderId="64" xfId="0" applyNumberFormat="1" applyFont="1" applyFill="1" applyBorder="1" applyAlignment="1">
      <alignment horizontal="center"/>
    </xf>
    <xf numFmtId="0" fontId="51" fillId="51" borderId="65" xfId="0" applyFont="1" applyFill="1" applyBorder="1" applyAlignment="1">
      <alignment horizontal="center" wrapText="1"/>
    </xf>
    <xf numFmtId="0" fontId="52" fillId="0" borderId="52" xfId="0" applyFont="1" applyFill="1" applyBorder="1" applyAlignment="1">
      <alignment horizontal="center" vertical="center" wrapText="1"/>
    </xf>
    <xf numFmtId="0" fontId="52" fillId="0" borderId="44" xfId="0" applyFont="1" applyFill="1" applyBorder="1" applyAlignment="1">
      <alignment horizontal="center" vertical="center" wrapText="1"/>
    </xf>
    <xf numFmtId="0" fontId="52" fillId="0" borderId="66" xfId="0" applyFont="1" applyBorder="1" applyAlignment="1">
      <alignment horizontal="center" vertical="center" wrapText="1"/>
    </xf>
    <xf numFmtId="0" fontId="52" fillId="0" borderId="67" xfId="0" applyFont="1" applyBorder="1" applyAlignment="1">
      <alignment horizontal="center" vertical="center" wrapText="1"/>
    </xf>
    <xf numFmtId="0" fontId="52" fillId="0" borderId="67" xfId="0" applyFont="1" applyBorder="1" applyAlignment="1">
      <alignment vertical="center" wrapText="1"/>
    </xf>
    <xf numFmtId="0" fontId="52" fillId="52" borderId="44" xfId="0" applyFont="1" applyFill="1" applyBorder="1" applyAlignment="1">
      <alignment vertical="center" wrapText="1"/>
    </xf>
    <xf numFmtId="0" fontId="52" fillId="52" borderId="68" xfId="0" applyFont="1" applyFill="1" applyBorder="1" applyAlignment="1">
      <alignment horizontal="center" vertical="center" wrapText="1"/>
    </xf>
    <xf numFmtId="0" fontId="52" fillId="0" borderId="60" xfId="0" applyFont="1" applyFill="1" applyBorder="1" applyAlignment="1">
      <alignment horizontal="center" vertical="center" wrapText="1"/>
    </xf>
    <xf numFmtId="0" fontId="52" fillId="0" borderId="69" xfId="0" applyFont="1" applyBorder="1" applyAlignment="1">
      <alignment horizontal="center" vertical="center" wrapText="1"/>
    </xf>
    <xf numFmtId="0" fontId="52" fillId="0" borderId="69" xfId="0" applyFont="1" applyBorder="1" applyAlignment="1">
      <alignment vertical="center" wrapText="1"/>
    </xf>
    <xf numFmtId="0" fontId="52" fillId="0" borderId="62" xfId="0" applyFont="1" applyBorder="1" applyAlignment="1">
      <alignment horizontal="center" vertical="center" wrapText="1"/>
    </xf>
    <xf numFmtId="0" fontId="52" fillId="0" borderId="36" xfId="0" applyFont="1" applyBorder="1" applyAlignment="1">
      <alignment horizontal="center" vertical="center" wrapText="1"/>
    </xf>
    <xf numFmtId="0" fontId="52" fillId="0" borderId="52" xfId="0" applyFont="1" applyBorder="1" applyAlignment="1">
      <alignment horizontal="center" vertical="center" wrapText="1"/>
    </xf>
    <xf numFmtId="3" fontId="52" fillId="0" borderId="10" xfId="0" applyNumberFormat="1" applyFont="1" applyFill="1" applyBorder="1" applyAlignment="1">
      <alignment horizontal="center" vertical="center" wrapText="1"/>
    </xf>
    <xf numFmtId="0" fontId="51" fillId="0" borderId="28" xfId="0" applyFont="1" applyFill="1" applyBorder="1" applyAlignment="1">
      <alignment horizontal="center" vertical="center" wrapText="1"/>
    </xf>
    <xf numFmtId="0" fontId="52" fillId="0" borderId="27" xfId="0" applyNumberFormat="1" applyFont="1" applyFill="1" applyBorder="1" applyAlignment="1">
      <alignment horizontal="center" vertical="center" wrapText="1"/>
    </xf>
    <xf numFmtId="0" fontId="0" fillId="0" borderId="45" xfId="0" applyBorder="1" applyAlignment="1">
      <alignment vertical="center" wrapText="1"/>
    </xf>
    <xf numFmtId="0" fontId="0" fillId="0" borderId="58" xfId="0" applyBorder="1" applyAlignment="1">
      <alignment vertical="center" wrapText="1"/>
    </xf>
    <xf numFmtId="10" fontId="52" fillId="0" borderId="27" xfId="0" applyNumberFormat="1" applyFont="1" applyBorder="1" applyAlignment="1">
      <alignment horizontal="center" vertical="center" wrapText="1"/>
    </xf>
    <xf numFmtId="0" fontId="52" fillId="0" borderId="50" xfId="0" applyFont="1" applyBorder="1" applyAlignment="1">
      <alignment horizontal="center" vertical="center" wrapText="1"/>
    </xf>
    <xf numFmtId="0" fontId="51" fillId="50" borderId="30" xfId="0" applyFont="1" applyFill="1" applyBorder="1" applyAlignment="1">
      <alignment horizontal="center" vertical="center" wrapText="1"/>
    </xf>
    <xf numFmtId="0" fontId="51" fillId="50" borderId="31" xfId="0" applyFont="1" applyFill="1" applyBorder="1" applyAlignment="1">
      <alignment horizontal="center" vertical="center" wrapText="1"/>
    </xf>
    <xf numFmtId="0" fontId="51" fillId="50" borderId="32" xfId="0" applyFont="1" applyFill="1" applyBorder="1" applyAlignment="1">
      <alignment horizontal="center" vertical="center" wrapText="1"/>
    </xf>
    <xf numFmtId="0" fontId="51" fillId="50" borderId="35" xfId="0" applyFont="1" applyFill="1" applyBorder="1" applyAlignment="1">
      <alignment horizontal="center" vertical="center" wrapText="1"/>
    </xf>
    <xf numFmtId="0" fontId="51" fillId="50" borderId="36" xfId="0" applyFont="1" applyFill="1" applyBorder="1" applyAlignment="1">
      <alignment horizontal="center" vertical="center" wrapText="1"/>
    </xf>
    <xf numFmtId="0" fontId="51" fillId="50" borderId="71" xfId="0" applyFont="1" applyFill="1" applyBorder="1" applyAlignment="1">
      <alignment horizontal="center" vertical="center" wrapText="1"/>
    </xf>
    <xf numFmtId="164" fontId="52" fillId="0" borderId="60" xfId="2114" applyNumberFormat="1" applyFont="1" applyFill="1" applyBorder="1" applyAlignment="1">
      <alignment horizontal="center" vertical="center" wrapText="1"/>
    </xf>
    <xf numFmtId="164" fontId="52" fillId="0" borderId="69" xfId="2114" applyNumberFormat="1" applyFont="1" applyFill="1" applyBorder="1" applyAlignment="1">
      <alignment horizontal="center" vertical="center" wrapText="1"/>
    </xf>
    <xf numFmtId="164" fontId="52" fillId="0" borderId="37" xfId="2114" applyNumberFormat="1" applyFont="1" applyFill="1" applyBorder="1" applyAlignment="1">
      <alignment horizontal="center" vertical="center" wrapText="1"/>
    </xf>
    <xf numFmtId="0" fontId="0" fillId="0" borderId="45" xfId="0" applyBorder="1"/>
    <xf numFmtId="0" fontId="52" fillId="0" borderId="50" xfId="0" applyFont="1" applyBorder="1" applyAlignment="1">
      <alignment vertical="center" wrapText="1"/>
    </xf>
    <xf numFmtId="0" fontId="52" fillId="0" borderId="52" xfId="0" applyFont="1" applyBorder="1" applyAlignment="1">
      <alignment horizontal="center"/>
    </xf>
    <xf numFmtId="0" fontId="52" fillId="0" borderId="32" xfId="0" applyFont="1" applyBorder="1" applyAlignment="1">
      <alignment horizontal="center" vertical="center" wrapText="1"/>
    </xf>
    <xf numFmtId="164" fontId="52" fillId="0" borderId="33" xfId="0" applyNumberFormat="1" applyFont="1" applyFill="1" applyBorder="1" applyAlignment="1">
      <alignment vertical="center" wrapText="1"/>
    </xf>
    <xf numFmtId="164" fontId="55" fillId="0" borderId="33" xfId="0" applyNumberFormat="1" applyFont="1" applyFill="1" applyBorder="1" applyAlignment="1">
      <alignment horizontal="center" vertical="center" wrapText="1"/>
    </xf>
    <xf numFmtId="0" fontId="55" fillId="40" borderId="75" xfId="0" applyFont="1" applyFill="1" applyBorder="1" applyAlignment="1">
      <alignment horizontal="center" vertical="center" wrapText="1"/>
    </xf>
    <xf numFmtId="0" fontId="55" fillId="40" borderId="31" xfId="0" applyFont="1" applyFill="1" applyBorder="1" applyAlignment="1">
      <alignment horizontal="center" vertical="center" wrapText="1"/>
    </xf>
    <xf numFmtId="0" fontId="55" fillId="40" borderId="48" xfId="0" applyFont="1" applyFill="1" applyBorder="1" applyAlignment="1">
      <alignment horizontal="center" vertical="center" wrapText="1"/>
    </xf>
    <xf numFmtId="0" fontId="51" fillId="51" borderId="28" xfId="0" applyFont="1" applyFill="1" applyBorder="1" applyAlignment="1">
      <alignment horizontal="center" vertical="center" wrapText="1"/>
    </xf>
    <xf numFmtId="0" fontId="51" fillId="51" borderId="53" xfId="0" applyFont="1" applyFill="1" applyBorder="1" applyAlignment="1">
      <alignment horizontal="center" vertical="center" wrapText="1"/>
    </xf>
    <xf numFmtId="0" fontId="51" fillId="51" borderId="67" xfId="0" applyFont="1" applyFill="1" applyBorder="1" applyAlignment="1">
      <alignment horizontal="center" wrapText="1"/>
    </xf>
    <xf numFmtId="0" fontId="51" fillId="51" borderId="76" xfId="0" applyFont="1" applyFill="1" applyBorder="1" applyAlignment="1">
      <alignment horizontal="center" wrapText="1"/>
    </xf>
    <xf numFmtId="0" fontId="55" fillId="40" borderId="30" xfId="0" applyFont="1" applyFill="1" applyBorder="1" applyAlignment="1">
      <alignment horizontal="center" vertical="center" wrapText="1"/>
    </xf>
    <xf numFmtId="0" fontId="55" fillId="40" borderId="32" xfId="0" applyFont="1" applyFill="1" applyBorder="1" applyAlignment="1">
      <alignment horizontal="center" vertical="center" wrapText="1"/>
    </xf>
    <xf numFmtId="0" fontId="52" fillId="0" borderId="50" xfId="0" applyNumberFormat="1" applyFont="1" applyFill="1" applyBorder="1" applyAlignment="1">
      <alignment horizontal="center" vertical="center" wrapText="1"/>
    </xf>
    <xf numFmtId="0" fontId="52" fillId="0" borderId="45" xfId="0" applyNumberFormat="1" applyFont="1" applyFill="1" applyBorder="1" applyAlignment="1">
      <alignment horizontal="center" vertical="center" wrapText="1"/>
    </xf>
    <xf numFmtId="0" fontId="52" fillId="0" borderId="58" xfId="0" applyNumberFormat="1" applyFont="1" applyFill="1" applyBorder="1" applyAlignment="1">
      <alignment horizontal="center" vertical="center" wrapText="1"/>
    </xf>
    <xf numFmtId="0" fontId="51" fillId="51" borderId="39" xfId="0" applyFont="1" applyFill="1" applyBorder="1" applyAlignment="1">
      <alignment horizontal="center" vertical="center" wrapText="1"/>
    </xf>
    <xf numFmtId="1" fontId="52" fillId="0" borderId="26" xfId="0" applyNumberFormat="1" applyFont="1" applyFill="1" applyBorder="1" applyAlignment="1">
      <alignment horizontal="center"/>
    </xf>
    <xf numFmtId="0" fontId="52" fillId="52" borderId="45" xfId="0" applyFont="1" applyFill="1" applyBorder="1" applyAlignment="1">
      <alignment vertical="center" wrapText="1"/>
    </xf>
    <xf numFmtId="0" fontId="52" fillId="0" borderId="35" xfId="0" applyFont="1" applyBorder="1" applyAlignment="1">
      <alignment horizontal="center" vertical="center" wrapText="1"/>
    </xf>
    <xf numFmtId="0" fontId="52" fillId="0" borderId="36" xfId="0" applyFont="1" applyBorder="1" applyAlignment="1">
      <alignment vertical="center" wrapText="1"/>
    </xf>
    <xf numFmtId="0" fontId="52" fillId="0" borderId="55" xfId="0" applyFont="1" applyBorder="1" applyAlignment="1">
      <alignment horizontal="center" vertical="center" wrapText="1"/>
    </xf>
    <xf numFmtId="0" fontId="52" fillId="0" borderId="71" xfId="0" applyFont="1" applyBorder="1" applyAlignment="1">
      <alignment horizontal="center" vertical="center" wrapText="1"/>
    </xf>
    <xf numFmtId="9" fontId="52" fillId="0" borderId="69" xfId="0" applyNumberFormat="1" applyFont="1" applyBorder="1" applyAlignment="1">
      <alignment horizontal="center" vertical="center" wrapText="1"/>
    </xf>
    <xf numFmtId="9" fontId="51" fillId="0" borderId="41" xfId="0" applyNumberFormat="1" applyFont="1" applyFill="1" applyBorder="1" applyAlignment="1">
      <alignment horizontal="center" vertical="top" wrapText="1"/>
    </xf>
    <xf numFmtId="0" fontId="52" fillId="0" borderId="28" xfId="0" applyNumberFormat="1" applyFont="1" applyFill="1" applyBorder="1" applyAlignment="1">
      <alignment horizontal="center" vertical="center" wrapText="1"/>
    </xf>
    <xf numFmtId="0" fontId="52" fillId="0" borderId="38" xfId="0" applyNumberFormat="1" applyFont="1" applyFill="1" applyBorder="1" applyAlignment="1">
      <alignment horizontal="center" vertical="center" wrapText="1"/>
    </xf>
    <xf numFmtId="164" fontId="52" fillId="0" borderId="74" xfId="2114" applyNumberFormat="1" applyFont="1" applyFill="1" applyBorder="1" applyAlignment="1">
      <alignment horizontal="center" vertical="center" wrapText="1"/>
    </xf>
    <xf numFmtId="164" fontId="52" fillId="0" borderId="62" xfId="2114" applyNumberFormat="1" applyFont="1" applyFill="1" applyBorder="1" applyAlignment="1">
      <alignment horizontal="center" vertical="center" wrapText="1"/>
    </xf>
    <xf numFmtId="164" fontId="52" fillId="0" borderId="37" xfId="2114" applyNumberFormat="1" applyFont="1" applyFill="1" applyBorder="1" applyAlignment="1">
      <alignment horizontal="center" vertical="center" wrapText="1"/>
    </xf>
    <xf numFmtId="164" fontId="51" fillId="51" borderId="32" xfId="0" applyNumberFormat="1" applyFont="1" applyFill="1" applyBorder="1" applyAlignment="1">
      <alignment horizontal="center" vertical="center" wrapText="1"/>
    </xf>
    <xf numFmtId="0" fontId="51" fillId="51" borderId="49" xfId="0" applyFont="1" applyFill="1" applyBorder="1" applyAlignment="1">
      <alignment horizontal="center" wrapText="1"/>
    </xf>
    <xf numFmtId="0" fontId="52" fillId="0" borderId="49" xfId="0" applyFont="1" applyBorder="1" applyAlignment="1">
      <alignment horizontal="center" vertical="center" wrapText="1"/>
    </xf>
    <xf numFmtId="0" fontId="52" fillId="52" borderId="78" xfId="0" applyFont="1" applyFill="1" applyBorder="1" applyAlignment="1">
      <alignment horizontal="center" vertical="center" wrapText="1"/>
    </xf>
    <xf numFmtId="0" fontId="52" fillId="52" borderId="24" xfId="0" applyFont="1" applyFill="1" applyBorder="1" applyAlignment="1">
      <alignment horizontal="center" vertical="center" wrapText="1"/>
    </xf>
    <xf numFmtId="0" fontId="52" fillId="52" borderId="79" xfId="0" applyFont="1" applyFill="1" applyBorder="1" applyAlignment="1">
      <alignment horizontal="center" vertical="center" wrapText="1"/>
    </xf>
    <xf numFmtId="10" fontId="52" fillId="0" borderId="43" xfId="0" applyNumberFormat="1" applyFont="1" applyBorder="1" applyAlignment="1">
      <alignment horizontal="center" vertical="center" wrapText="1"/>
    </xf>
    <xf numFmtId="10" fontId="56" fillId="0" borderId="10" xfId="2105" applyNumberFormat="1" applyFont="1" applyFill="1" applyBorder="1" applyAlignment="1">
      <alignment horizontal="center" vertical="center" wrapText="1"/>
    </xf>
    <xf numFmtId="10" fontId="52" fillId="0" borderId="27" xfId="0" applyNumberFormat="1" applyFont="1" applyFill="1" applyBorder="1" applyAlignment="1">
      <alignment vertical="center" wrapText="1"/>
    </xf>
    <xf numFmtId="10" fontId="52" fillId="0" borderId="27" xfId="2109" applyNumberFormat="1" applyFont="1" applyFill="1" applyBorder="1" applyAlignment="1">
      <alignment vertical="center" wrapText="1"/>
    </xf>
    <xf numFmtId="10" fontId="52" fillId="0" borderId="10" xfId="2109" applyNumberFormat="1" applyFont="1" applyFill="1" applyBorder="1" applyAlignment="1">
      <alignment horizontal="center" vertical="center" wrapText="1"/>
    </xf>
    <xf numFmtId="10" fontId="52" fillId="0" borderId="10" xfId="0" applyNumberFormat="1" applyFont="1" applyFill="1" applyBorder="1" applyAlignment="1">
      <alignment horizontal="center" vertical="center"/>
    </xf>
    <xf numFmtId="10" fontId="52" fillId="0" borderId="39" xfId="0" applyNumberFormat="1" applyFont="1" applyFill="1" applyBorder="1" applyAlignment="1">
      <alignment horizontal="center" vertical="center"/>
    </xf>
    <xf numFmtId="10" fontId="52" fillId="0" borderId="10" xfId="2109" applyNumberFormat="1" applyFont="1" applyFill="1" applyBorder="1" applyAlignment="1">
      <alignment vertical="center" wrapText="1"/>
    </xf>
    <xf numFmtId="10" fontId="52" fillId="0" borderId="39" xfId="2109" applyNumberFormat="1" applyFont="1" applyFill="1" applyBorder="1" applyAlignment="1">
      <alignment vertical="center" wrapText="1"/>
    </xf>
    <xf numFmtId="10" fontId="52" fillId="0" borderId="43" xfId="2114" applyNumberFormat="1" applyFont="1" applyBorder="1" applyAlignment="1">
      <alignment horizontal="center" vertical="center" wrapText="1"/>
    </xf>
    <xf numFmtId="10" fontId="52" fillId="0" borderId="60" xfId="2109" applyNumberFormat="1" applyFont="1" applyFill="1" applyBorder="1" applyAlignment="1">
      <alignment vertical="center" wrapText="1"/>
    </xf>
    <xf numFmtId="0" fontId="52" fillId="0" borderId="38" xfId="0" applyFont="1" applyBorder="1" applyAlignment="1">
      <alignment horizontal="center" vertical="center" wrapText="1"/>
    </xf>
    <xf numFmtId="0" fontId="55" fillId="51" borderId="38" xfId="2107" applyFont="1" applyFill="1" applyBorder="1" applyAlignment="1">
      <alignment wrapText="1"/>
    </xf>
    <xf numFmtId="10" fontId="52" fillId="0" borderId="72" xfId="2114" applyNumberFormat="1" applyFont="1" applyBorder="1" applyAlignment="1">
      <alignment horizontal="center" vertical="center" wrapText="1"/>
    </xf>
    <xf numFmtId="10" fontId="56" fillId="0" borderId="69" xfId="2105" applyNumberFormat="1" applyFont="1" applyFill="1" applyBorder="1" applyAlignment="1">
      <alignment horizontal="center" vertical="center" wrapText="1"/>
    </xf>
    <xf numFmtId="0" fontId="52" fillId="0" borderId="47" xfId="0" applyFont="1" applyFill="1" applyBorder="1" applyAlignment="1">
      <alignment vertical="center" wrapText="1"/>
    </xf>
    <xf numFmtId="164" fontId="55" fillId="51" borderId="82" xfId="0" applyNumberFormat="1" applyFont="1" applyFill="1" applyBorder="1" applyAlignment="1">
      <alignment horizontal="center" vertical="center" wrapText="1"/>
    </xf>
    <xf numFmtId="0" fontId="55" fillId="51" borderId="58" xfId="2108" applyFont="1" applyFill="1" applyBorder="1" applyAlignment="1">
      <alignment horizontal="center" vertical="center" wrapText="1"/>
    </xf>
    <xf numFmtId="0" fontId="55" fillId="51" borderId="39" xfId="2108" applyFont="1" applyFill="1" applyBorder="1" applyAlignment="1">
      <alignment horizontal="center" vertical="center" wrapText="1"/>
    </xf>
    <xf numFmtId="164" fontId="55" fillId="51" borderId="37" xfId="2108" applyNumberFormat="1" applyFont="1" applyFill="1" applyBorder="1" applyAlignment="1">
      <alignment horizontal="center" vertical="center" wrapText="1"/>
    </xf>
    <xf numFmtId="0" fontId="55" fillId="51" borderId="39" xfId="2108" applyFont="1" applyFill="1" applyBorder="1" applyAlignment="1">
      <alignment horizontal="center" wrapText="1"/>
    </xf>
    <xf numFmtId="0" fontId="51" fillId="51" borderId="26" xfId="0" applyFont="1" applyFill="1" applyBorder="1" applyAlignment="1">
      <alignment horizontal="center" vertical="center" wrapText="1"/>
    </xf>
    <xf numFmtId="0" fontId="52" fillId="51" borderId="26" xfId="0" applyFont="1" applyFill="1" applyBorder="1" applyAlignment="1">
      <alignment horizontal="center" vertical="center" wrapText="1"/>
    </xf>
    <xf numFmtId="10" fontId="51" fillId="51" borderId="26" xfId="0" applyNumberFormat="1" applyFont="1" applyFill="1" applyBorder="1" applyAlignment="1">
      <alignment horizontal="center" vertical="center" wrapText="1"/>
    </xf>
    <xf numFmtId="10" fontId="52" fillId="51" borderId="26" xfId="0" applyNumberFormat="1" applyFont="1" applyFill="1" applyBorder="1" applyAlignment="1">
      <alignment horizontal="center" vertical="center" wrapText="1"/>
    </xf>
    <xf numFmtId="164" fontId="60" fillId="0" borderId="10" xfId="2114" applyNumberFormat="1" applyFont="1" applyFill="1" applyBorder="1"/>
    <xf numFmtId="0" fontId="51" fillId="51" borderId="66" xfId="0" applyFont="1" applyFill="1" applyBorder="1" applyAlignment="1">
      <alignment horizontal="center" wrapText="1"/>
    </xf>
    <xf numFmtId="0" fontId="12" fillId="51" borderId="26" xfId="2106" applyFont="1" applyFill="1" applyBorder="1" applyAlignment="1">
      <alignment wrapText="1"/>
    </xf>
    <xf numFmtId="0" fontId="12" fillId="51" borderId="23" xfId="2106" applyFont="1" applyFill="1" applyBorder="1" applyAlignment="1">
      <alignment wrapText="1"/>
    </xf>
    <xf numFmtId="0" fontId="12" fillId="51" borderId="61" xfId="2106" applyFont="1" applyFill="1" applyBorder="1" applyAlignment="1">
      <alignment wrapText="1"/>
    </xf>
    <xf numFmtId="0" fontId="52" fillId="0" borderId="60" xfId="0" applyNumberFormat="1" applyFont="1" applyBorder="1" applyAlignment="1">
      <alignment horizontal="center" vertical="center" wrapText="1"/>
    </xf>
    <xf numFmtId="164" fontId="52" fillId="0" borderId="42" xfId="0" applyNumberFormat="1" applyFont="1" applyFill="1" applyBorder="1" applyAlignment="1">
      <alignment vertical="center" wrapText="1"/>
    </xf>
    <xf numFmtId="164" fontId="52" fillId="0" borderId="10" xfId="0" applyNumberFormat="1" applyFont="1" applyFill="1" applyBorder="1" applyAlignment="1">
      <alignment horizontal="center"/>
    </xf>
    <xf numFmtId="10" fontId="30" fillId="0" borderId="10" xfId="2114" applyNumberFormat="1" applyFont="1" applyFill="1" applyBorder="1"/>
    <xf numFmtId="164" fontId="30" fillId="0" borderId="10" xfId="2114" applyNumberFormat="1" applyFont="1" applyFill="1" applyBorder="1"/>
    <xf numFmtId="0" fontId="0" fillId="0" borderId="59" xfId="0" applyBorder="1" applyAlignment="1"/>
    <xf numFmtId="0" fontId="0" fillId="0" borderId="56" xfId="0" applyBorder="1" applyAlignment="1"/>
    <xf numFmtId="0" fontId="0" fillId="0" borderId="58" xfId="0" applyBorder="1" applyAlignment="1"/>
    <xf numFmtId="0" fontId="51" fillId="51" borderId="61" xfId="0" applyFont="1" applyFill="1" applyBorder="1" applyAlignment="1">
      <alignment vertical="center"/>
    </xf>
    <xf numFmtId="0" fontId="51" fillId="51" borderId="83" xfId="0" applyFont="1" applyFill="1" applyBorder="1" applyAlignment="1">
      <alignment vertical="center"/>
    </xf>
    <xf numFmtId="0" fontId="51" fillId="50" borderId="84" xfId="0" applyFont="1" applyFill="1" applyBorder="1" applyAlignment="1">
      <alignment horizontal="center" vertical="center" wrapText="1"/>
    </xf>
    <xf numFmtId="0" fontId="52" fillId="0" borderId="41" xfId="0" applyFont="1" applyFill="1" applyBorder="1" applyAlignment="1">
      <alignment horizontal="center" vertical="center" wrapText="1"/>
    </xf>
    <xf numFmtId="0" fontId="52" fillId="0" borderId="28" xfId="0" applyFont="1" applyBorder="1" applyAlignment="1">
      <alignment vertical="center" wrapText="1"/>
    </xf>
    <xf numFmtId="0" fontId="52" fillId="0" borderId="27" xfId="0" applyFont="1" applyFill="1" applyBorder="1" applyAlignment="1">
      <alignment horizontal="center" vertical="center" wrapText="1"/>
    </xf>
    <xf numFmtId="0" fontId="52" fillId="0" borderId="10" xfId="0" applyFont="1" applyBorder="1" applyAlignment="1">
      <alignment vertical="center" wrapText="1"/>
    </xf>
    <xf numFmtId="0" fontId="57" fillId="51" borderId="62" xfId="2107" applyFont="1" applyFill="1" applyBorder="1" applyAlignment="1">
      <alignment horizontal="center" vertical="center" wrapText="1"/>
    </xf>
    <xf numFmtId="10" fontId="52" fillId="0" borderId="43" xfId="0" applyNumberFormat="1" applyFont="1" applyFill="1" applyBorder="1" applyAlignment="1">
      <alignment horizontal="center" vertical="center" wrapText="1"/>
    </xf>
    <xf numFmtId="0" fontId="52" fillId="0" borderId="31" xfId="0" applyFont="1" applyFill="1" applyBorder="1" applyAlignment="1">
      <alignment vertical="center" wrapText="1"/>
    </xf>
    <xf numFmtId="0" fontId="52" fillId="0" borderId="61" xfId="0" applyFont="1" applyFill="1" applyBorder="1" applyAlignment="1">
      <alignment horizontal="center" vertical="center" wrapText="1"/>
    </xf>
    <xf numFmtId="0" fontId="52" fillId="0" borderId="28" xfId="0" applyFont="1" applyFill="1" applyBorder="1" applyAlignment="1">
      <alignment vertical="center" wrapText="1"/>
    </xf>
    <xf numFmtId="10" fontId="56" fillId="0" borderId="45" xfId="2105" applyNumberFormat="1" applyFont="1" applyFill="1" applyBorder="1" applyAlignment="1">
      <alignment horizontal="center" vertical="center" wrapText="1"/>
    </xf>
    <xf numFmtId="10" fontId="52" fillId="0" borderId="50" xfId="0" applyNumberFormat="1" applyFont="1" applyFill="1" applyBorder="1" applyAlignment="1">
      <alignment vertical="center" wrapText="1"/>
    </xf>
    <xf numFmtId="10" fontId="52" fillId="0" borderId="33" xfId="0" applyNumberFormat="1" applyFont="1" applyFill="1" applyBorder="1" applyAlignment="1">
      <alignment horizontal="center" vertical="center"/>
    </xf>
    <xf numFmtId="10" fontId="52" fillId="0" borderId="56" xfId="0" applyNumberFormat="1" applyFont="1" applyFill="1" applyBorder="1" applyAlignment="1">
      <alignment horizontal="center" vertical="center"/>
    </xf>
    <xf numFmtId="10" fontId="52" fillId="0" borderId="50" xfId="2109" applyNumberFormat="1" applyFont="1" applyFill="1" applyBorder="1" applyAlignment="1">
      <alignment vertical="center" wrapText="1"/>
    </xf>
    <xf numFmtId="10" fontId="52" fillId="0" borderId="45" xfId="2109" applyNumberFormat="1" applyFont="1" applyFill="1" applyBorder="1" applyAlignment="1">
      <alignment horizontal="center" vertical="center" wrapText="1"/>
    </xf>
    <xf numFmtId="10" fontId="52" fillId="0" borderId="58" xfId="2109" applyNumberFormat="1" applyFont="1" applyFill="1" applyBorder="1" applyAlignment="1">
      <alignment vertical="center" wrapText="1"/>
    </xf>
    <xf numFmtId="0" fontId="52" fillId="0" borderId="44" xfId="0" applyFont="1" applyFill="1" applyBorder="1" applyAlignment="1">
      <alignment vertical="center" wrapText="1"/>
    </xf>
    <xf numFmtId="0" fontId="52" fillId="0" borderId="23" xfId="0" applyFont="1" applyFill="1" applyBorder="1" applyAlignment="1">
      <alignment horizontal="center" vertical="center" wrapText="1"/>
    </xf>
    <xf numFmtId="3" fontId="52" fillId="0" borderId="52" xfId="0" applyNumberFormat="1" applyFont="1" applyFill="1" applyBorder="1" applyAlignment="1">
      <alignment horizontal="center" vertical="center" wrapText="1"/>
    </xf>
    <xf numFmtId="3" fontId="52" fillId="0" borderId="44" xfId="0" applyNumberFormat="1" applyFont="1" applyFill="1" applyBorder="1" applyAlignment="1">
      <alignment horizontal="center" vertical="center" wrapText="1"/>
    </xf>
    <xf numFmtId="0" fontId="52" fillId="0" borderId="52" xfId="0" applyNumberFormat="1" applyFont="1" applyFill="1" applyBorder="1" applyAlignment="1">
      <alignment horizontal="center" vertical="center" wrapText="1"/>
    </xf>
    <xf numFmtId="0" fontId="51" fillId="0" borderId="45" xfId="0" applyFont="1" applyBorder="1" applyAlignment="1">
      <alignment horizontal="center" vertical="center" wrapText="1"/>
    </xf>
    <xf numFmtId="0" fontId="51" fillId="0" borderId="58" xfId="0" applyFont="1" applyBorder="1" applyAlignment="1">
      <alignment horizontal="center" vertical="center" wrapText="1"/>
    </xf>
    <xf numFmtId="0" fontId="51" fillId="0" borderId="21" xfId="0" applyFont="1" applyBorder="1" applyAlignment="1">
      <alignment horizontal="center" vertical="center" wrapText="1"/>
    </xf>
    <xf numFmtId="9" fontId="52" fillId="52" borderId="58" xfId="0" applyNumberFormat="1" applyFont="1" applyFill="1" applyBorder="1" applyAlignment="1">
      <alignment horizontal="center" vertical="center" wrapText="1"/>
    </xf>
    <xf numFmtId="0" fontId="0" fillId="52" borderId="22" xfId="0" applyFill="1" applyBorder="1" applyAlignment="1">
      <alignment horizontal="center" vertical="center" wrapText="1"/>
    </xf>
    <xf numFmtId="10" fontId="52" fillId="52" borderId="21" xfId="2114" applyNumberFormat="1" applyFont="1" applyFill="1" applyBorder="1" applyAlignment="1">
      <alignment horizontal="center" vertical="center" wrapText="1"/>
    </xf>
    <xf numFmtId="0" fontId="0" fillId="52" borderId="90" xfId="0" applyFill="1" applyBorder="1" applyAlignment="1">
      <alignment horizontal="center" vertical="center" wrapText="1"/>
    </xf>
    <xf numFmtId="10" fontId="52" fillId="52" borderId="21" xfId="0" applyNumberFormat="1" applyFont="1" applyFill="1" applyBorder="1" applyAlignment="1">
      <alignment horizontal="center" vertical="center" wrapText="1"/>
    </xf>
    <xf numFmtId="164" fontId="52" fillId="0" borderId="60" xfId="0" applyNumberFormat="1" applyFont="1" applyBorder="1" applyAlignment="1">
      <alignment horizontal="center" vertical="center" wrapText="1"/>
    </xf>
    <xf numFmtId="164" fontId="52" fillId="0" borderId="69" xfId="0" applyNumberFormat="1" applyFont="1" applyFill="1" applyBorder="1" applyAlignment="1">
      <alignment horizontal="center" vertical="center" wrapText="1"/>
    </xf>
    <xf numFmtId="164" fontId="52" fillId="0" borderId="69" xfId="0" applyNumberFormat="1" applyFont="1" applyFill="1" applyBorder="1" applyAlignment="1">
      <alignment vertical="center" wrapText="1"/>
    </xf>
    <xf numFmtId="164" fontId="52" fillId="0" borderId="62" xfId="0" applyNumberFormat="1" applyFont="1" applyFill="1" applyBorder="1" applyAlignment="1">
      <alignment horizontal="center" vertical="center" wrapText="1"/>
    </xf>
    <xf numFmtId="164" fontId="52" fillId="0" borderId="69" xfId="0" applyNumberFormat="1" applyFont="1" applyBorder="1" applyAlignment="1">
      <alignment horizontal="center" vertical="center" wrapText="1"/>
    </xf>
    <xf numFmtId="164" fontId="51" fillId="51" borderId="59" xfId="0" applyNumberFormat="1" applyFont="1" applyFill="1" applyBorder="1" applyAlignment="1">
      <alignment horizontal="center" vertical="center" wrapText="1"/>
    </xf>
    <xf numFmtId="164" fontId="52" fillId="0" borderId="69" xfId="0" applyNumberFormat="1" applyFont="1" applyBorder="1" applyAlignment="1">
      <alignment vertical="center" wrapText="1"/>
    </xf>
    <xf numFmtId="0" fontId="52" fillId="0" borderId="67" xfId="0" applyFont="1" applyFill="1" applyBorder="1" applyAlignment="1">
      <alignment vertical="center" wrapText="1"/>
    </xf>
    <xf numFmtId="0" fontId="52" fillId="0" borderId="28" xfId="0" applyFont="1" applyBorder="1" applyAlignment="1">
      <alignment horizontal="center" vertical="center" wrapText="1"/>
    </xf>
    <xf numFmtId="0" fontId="52" fillId="0" borderId="61" xfId="0" applyFont="1" applyBorder="1" applyAlignment="1">
      <alignment horizontal="center" vertical="center" wrapText="1"/>
    </xf>
    <xf numFmtId="0" fontId="52" fillId="0" borderId="34" xfId="0" applyFont="1" applyBorder="1" applyAlignment="1">
      <alignment horizontal="center" vertical="center" wrapText="1"/>
    </xf>
    <xf numFmtId="0" fontId="52" fillId="0" borderId="33" xfId="0" applyFont="1" applyBorder="1" applyAlignment="1">
      <alignment horizontal="center" vertical="center" wrapText="1"/>
    </xf>
    <xf numFmtId="10" fontId="52" fillId="0" borderId="52" xfId="0" applyNumberFormat="1" applyFont="1" applyFill="1" applyBorder="1" applyAlignment="1">
      <alignment vertical="center" wrapText="1"/>
    </xf>
    <xf numFmtId="10" fontId="52" fillId="0" borderId="44" xfId="2109" applyNumberFormat="1" applyFont="1" applyFill="1" applyBorder="1" applyAlignment="1">
      <alignment vertical="center" wrapText="1"/>
    </xf>
    <xf numFmtId="10" fontId="52" fillId="0" borderId="59" xfId="2109" applyNumberFormat="1" applyFont="1" applyFill="1" applyBorder="1" applyAlignment="1">
      <alignment vertical="center" wrapText="1"/>
    </xf>
    <xf numFmtId="0" fontId="52" fillId="0" borderId="27" xfId="0" applyFont="1" applyFill="1" applyBorder="1" applyAlignment="1">
      <alignment horizontal="center"/>
    </xf>
    <xf numFmtId="1" fontId="52" fillId="0" borderId="39" xfId="0" applyNumberFormat="1" applyFont="1" applyFill="1" applyBorder="1" applyAlignment="1">
      <alignment horizontal="center"/>
    </xf>
    <xf numFmtId="164" fontId="52" fillId="52" borderId="51" xfId="0" applyNumberFormat="1" applyFont="1" applyFill="1" applyBorder="1" applyAlignment="1">
      <alignment horizontal="center" vertical="center" wrapText="1"/>
    </xf>
    <xf numFmtId="0" fontId="52" fillId="0" borderId="19" xfId="0" applyFont="1" applyFill="1" applyBorder="1" applyAlignment="1">
      <alignment horizontal="center" wrapText="1"/>
    </xf>
    <xf numFmtId="0" fontId="52" fillId="0" borderId="41" xfId="0" applyNumberFormat="1" applyFont="1" applyFill="1" applyBorder="1" applyAlignment="1">
      <alignment horizontal="center" vertical="center" wrapText="1"/>
    </xf>
    <xf numFmtId="0" fontId="52" fillId="0" borderId="50" xfId="0" applyFont="1" applyFill="1" applyBorder="1" applyAlignment="1">
      <alignment horizontal="center" vertical="center" wrapText="1"/>
    </xf>
    <xf numFmtId="0" fontId="52" fillId="0" borderId="50" xfId="0" applyFont="1" applyFill="1" applyBorder="1" applyAlignment="1">
      <alignment horizontal="center" vertical="center" wrapText="1"/>
    </xf>
    <xf numFmtId="0" fontId="52" fillId="0" borderId="42" xfId="0" applyFont="1" applyBorder="1" applyAlignment="1">
      <alignment horizontal="center" vertical="center" wrapText="1"/>
    </xf>
    <xf numFmtId="0" fontId="52" fillId="0" borderId="45" xfId="0" applyFont="1" applyFill="1" applyBorder="1" applyAlignment="1">
      <alignment horizontal="center" vertical="center" wrapText="1"/>
    </xf>
    <xf numFmtId="0" fontId="52" fillId="0" borderId="58" xfId="0" applyFont="1" applyFill="1" applyBorder="1" applyAlignment="1">
      <alignment horizontal="center" vertical="center" wrapText="1"/>
    </xf>
    <xf numFmtId="164" fontId="52" fillId="0" borderId="69" xfId="2109" applyNumberFormat="1" applyFont="1" applyFill="1" applyBorder="1" applyAlignment="1">
      <alignment horizontal="center" vertical="center" wrapText="1"/>
    </xf>
    <xf numFmtId="164" fontId="52" fillId="0" borderId="62" xfId="0" applyNumberFormat="1" applyFont="1" applyBorder="1" applyAlignment="1">
      <alignment horizontal="center" vertical="center" wrapText="1"/>
    </xf>
    <xf numFmtId="0" fontId="52" fillId="0" borderId="83" xfId="0" applyFont="1" applyBorder="1" applyAlignment="1">
      <alignment horizontal="center" vertical="center" wrapText="1"/>
    </xf>
    <xf numFmtId="0" fontId="52" fillId="0" borderId="41" xfId="0" applyNumberFormat="1" applyFont="1" applyFill="1" applyBorder="1" applyAlignment="1">
      <alignment horizontal="center" vertical="center" wrapText="1"/>
    </xf>
    <xf numFmtId="3" fontId="52" fillId="0" borderId="41" xfId="0" applyNumberFormat="1" applyFont="1" applyFill="1" applyBorder="1" applyAlignment="1">
      <alignment horizontal="center" vertical="center" wrapText="1"/>
    </xf>
    <xf numFmtId="3" fontId="52" fillId="0" borderId="28" xfId="0" applyNumberFormat="1" applyFont="1" applyFill="1" applyBorder="1" applyAlignment="1">
      <alignment horizontal="center" vertical="center" wrapText="1"/>
    </xf>
    <xf numFmtId="14" fontId="52" fillId="52" borderId="20" xfId="0" applyNumberFormat="1" applyFont="1" applyFill="1" applyBorder="1" applyAlignment="1">
      <alignment horizontal="center" vertical="center" wrapText="1"/>
    </xf>
    <xf numFmtId="0" fontId="52" fillId="52" borderId="33" xfId="0" applyFont="1" applyFill="1" applyBorder="1" applyAlignment="1">
      <alignment horizontal="center" vertical="center" wrapText="1"/>
    </xf>
    <xf numFmtId="0" fontId="52" fillId="0" borderId="103" xfId="0" applyNumberFormat="1" applyFont="1" applyFill="1" applyBorder="1" applyAlignment="1">
      <alignment horizontal="center"/>
    </xf>
    <xf numFmtId="164" fontId="52" fillId="0" borderId="21" xfId="0" applyNumberFormat="1" applyFont="1" applyBorder="1" applyAlignment="1">
      <alignment horizontal="center" vertical="center" wrapText="1"/>
    </xf>
    <xf numFmtId="0" fontId="52" fillId="0" borderId="104" xfId="0" applyNumberFormat="1" applyFont="1" applyFill="1" applyBorder="1" applyAlignment="1">
      <alignment horizontal="center"/>
    </xf>
    <xf numFmtId="164" fontId="52" fillId="0" borderId="39" xfId="0" applyNumberFormat="1" applyFont="1" applyFill="1" applyBorder="1" applyAlignment="1">
      <alignment horizontal="center" vertical="center" wrapText="1"/>
    </xf>
    <xf numFmtId="164" fontId="52" fillId="0" borderId="59" xfId="0" applyNumberFormat="1" applyFont="1" applyFill="1" applyBorder="1" applyAlignment="1">
      <alignment horizontal="center" vertical="center" wrapText="1"/>
    </xf>
    <xf numFmtId="0" fontId="52" fillId="0" borderId="69" xfId="0" applyNumberFormat="1" applyFont="1" applyBorder="1" applyAlignment="1">
      <alignment horizontal="center" vertical="center" wrapText="1"/>
    </xf>
    <xf numFmtId="0" fontId="0" fillId="52" borderId="51" xfId="0" applyFill="1" applyBorder="1" applyAlignment="1">
      <alignment horizontal="center" vertical="center" wrapText="1"/>
    </xf>
    <xf numFmtId="0" fontId="52" fillId="52" borderId="56" xfId="0" applyFont="1" applyFill="1" applyBorder="1" applyAlignment="1">
      <alignment horizontal="center" vertical="center" wrapText="1"/>
    </xf>
    <xf numFmtId="0" fontId="52" fillId="52" borderId="34" xfId="0" applyFont="1" applyFill="1" applyBorder="1" applyAlignment="1">
      <alignment horizontal="center" vertical="center" wrapText="1"/>
    </xf>
    <xf numFmtId="10" fontId="30" fillId="0" borderId="10" xfId="2114" applyNumberFormat="1" applyFont="1" applyFill="1" applyBorder="1" applyAlignment="1">
      <alignment horizontal="right"/>
    </xf>
    <xf numFmtId="0" fontId="51" fillId="51" borderId="39" xfId="2107" applyFont="1" applyFill="1" applyBorder="1" applyAlignment="1"/>
    <xf numFmtId="10" fontId="52" fillId="0" borderId="42" xfId="0" applyNumberFormat="1" applyFont="1" applyBorder="1" applyAlignment="1">
      <alignment vertical="center" wrapText="1"/>
    </xf>
    <xf numFmtId="10" fontId="30" fillId="0" borderId="45" xfId="2114" applyNumberFormat="1" applyFont="1" applyFill="1" applyBorder="1"/>
    <xf numFmtId="10" fontId="52" fillId="0" borderId="42" xfId="0" applyNumberFormat="1" applyFont="1" applyBorder="1" applyAlignment="1">
      <alignment horizontal="right" vertical="center" wrapText="1"/>
    </xf>
    <xf numFmtId="9" fontId="30" fillId="0" borderId="10" xfId="2114" applyNumberFormat="1" applyFont="1" applyFill="1" applyBorder="1" applyAlignment="1">
      <alignment horizontal="right"/>
    </xf>
    <xf numFmtId="0" fontId="52" fillId="55" borderId="43" xfId="0" applyFont="1" applyFill="1" applyBorder="1" applyAlignment="1">
      <alignment horizontal="center"/>
    </xf>
    <xf numFmtId="0" fontId="52" fillId="55" borderId="10" xfId="0" applyFont="1" applyFill="1" applyBorder="1" applyAlignment="1">
      <alignment horizontal="center"/>
    </xf>
    <xf numFmtId="1" fontId="52" fillId="55" borderId="26" xfId="0" applyNumberFormat="1" applyFont="1" applyFill="1" applyBorder="1" applyAlignment="1">
      <alignment horizontal="center"/>
    </xf>
    <xf numFmtId="0" fontId="62" fillId="55" borderId="38" xfId="0" applyFont="1" applyFill="1" applyBorder="1" applyAlignment="1">
      <alignment horizontal="center"/>
    </xf>
    <xf numFmtId="1" fontId="62" fillId="55" borderId="39" xfId="0" applyNumberFormat="1" applyFont="1" applyFill="1" applyBorder="1" applyAlignment="1">
      <alignment horizontal="center"/>
    </xf>
    <xf numFmtId="0" fontId="52" fillId="0" borderId="42" xfId="0" applyFont="1" applyFill="1" applyBorder="1" applyAlignment="1">
      <alignment horizontal="center"/>
    </xf>
    <xf numFmtId="1" fontId="52" fillId="55" borderId="40" xfId="0" applyNumberFormat="1" applyFont="1" applyFill="1" applyBorder="1" applyAlignment="1">
      <alignment horizontal="center"/>
    </xf>
    <xf numFmtId="0" fontId="52" fillId="55" borderId="42" xfId="0" applyFont="1" applyFill="1" applyBorder="1" applyAlignment="1">
      <alignment horizontal="center"/>
    </xf>
    <xf numFmtId="0" fontId="52" fillId="55" borderId="40" xfId="0" applyFont="1" applyFill="1" applyBorder="1" applyAlignment="1">
      <alignment horizontal="center"/>
    </xf>
    <xf numFmtId="0" fontId="52" fillId="55" borderId="26" xfId="0" applyFont="1" applyFill="1" applyBorder="1" applyAlignment="1">
      <alignment horizontal="center"/>
    </xf>
    <xf numFmtId="0" fontId="52" fillId="55" borderId="41" xfId="0" applyFont="1" applyFill="1" applyBorder="1" applyAlignment="1">
      <alignment horizontal="center"/>
    </xf>
    <xf numFmtId="0" fontId="52" fillId="55" borderId="28" xfId="0" applyFont="1" applyFill="1" applyBorder="1" applyAlignment="1">
      <alignment horizontal="center"/>
    </xf>
    <xf numFmtId="0" fontId="52" fillId="55" borderId="27" xfId="0" applyFont="1" applyFill="1" applyBorder="1" applyAlignment="1">
      <alignment horizontal="center"/>
    </xf>
    <xf numFmtId="0" fontId="52" fillId="55" borderId="52" xfId="0" applyFont="1" applyFill="1" applyBorder="1" applyAlignment="1">
      <alignment horizontal="center"/>
    </xf>
    <xf numFmtId="0" fontId="52" fillId="55" borderId="44" xfId="0" applyFont="1" applyFill="1" applyBorder="1" applyAlignment="1">
      <alignment horizontal="center"/>
    </xf>
    <xf numFmtId="164" fontId="55" fillId="51" borderId="102" xfId="0" applyNumberFormat="1" applyFont="1" applyFill="1" applyBorder="1" applyAlignment="1">
      <alignment horizontal="center" vertical="center" wrapText="1"/>
    </xf>
    <xf numFmtId="10" fontId="52" fillId="0" borderId="5" xfId="0" applyNumberFormat="1" applyFont="1" applyFill="1" applyBorder="1" applyAlignment="1">
      <alignment vertical="center" wrapText="1"/>
    </xf>
    <xf numFmtId="10" fontId="52" fillId="0" borderId="5" xfId="0" applyNumberFormat="1" applyFont="1" applyFill="1" applyBorder="1" applyAlignment="1">
      <alignment horizontal="right" vertical="center" wrapText="1"/>
    </xf>
    <xf numFmtId="0" fontId="57" fillId="51" borderId="37" xfId="2107" applyFont="1" applyFill="1" applyBorder="1" applyAlignment="1">
      <alignment horizontal="center" vertical="center" wrapText="1"/>
    </xf>
    <xf numFmtId="0" fontId="52" fillId="52" borderId="19" xfId="0" applyFont="1" applyFill="1" applyBorder="1" applyAlignment="1">
      <alignment horizontal="center" vertical="center" wrapText="1"/>
    </xf>
    <xf numFmtId="0" fontId="52" fillId="0" borderId="28" xfId="0" applyFont="1" applyBorder="1" applyAlignment="1">
      <alignment horizontal="center" vertical="center" wrapText="1"/>
    </xf>
    <xf numFmtId="0" fontId="52" fillId="0" borderId="61" xfId="0" applyFont="1" applyBorder="1" applyAlignment="1">
      <alignment horizontal="center" vertical="center" wrapText="1"/>
    </xf>
    <xf numFmtId="0" fontId="52" fillId="0" borderId="41" xfId="0" applyFont="1" applyFill="1" applyBorder="1" applyAlignment="1">
      <alignment horizontal="center" vertical="center" wrapText="1"/>
    </xf>
    <xf numFmtId="0" fontId="51" fillId="51" borderId="30" xfId="0" applyFont="1" applyFill="1" applyBorder="1" applyAlignment="1">
      <alignment horizontal="center" wrapText="1"/>
    </xf>
    <xf numFmtId="0" fontId="51" fillId="51" borderId="31" xfId="0" applyFont="1" applyFill="1" applyBorder="1" applyAlignment="1">
      <alignment horizontal="center" wrapText="1"/>
    </xf>
    <xf numFmtId="0" fontId="51" fillId="51" borderId="32" xfId="0" applyFont="1" applyFill="1" applyBorder="1" applyAlignment="1">
      <alignment horizontal="center" wrapText="1"/>
    </xf>
    <xf numFmtId="0" fontId="51" fillId="51" borderId="24" xfId="0" applyFont="1" applyFill="1" applyBorder="1" applyAlignment="1">
      <alignment horizontal="center" wrapText="1"/>
    </xf>
    <xf numFmtId="0" fontId="51" fillId="51" borderId="44" xfId="0" applyFont="1" applyFill="1" applyBorder="1" applyAlignment="1">
      <alignment horizontal="center" wrapText="1"/>
    </xf>
    <xf numFmtId="0" fontId="51" fillId="51" borderId="21" xfId="0" applyFont="1" applyFill="1" applyBorder="1" applyAlignment="1">
      <alignment vertical="center"/>
    </xf>
    <xf numFmtId="0" fontId="51" fillId="51" borderId="70" xfId="0" applyFont="1" applyFill="1" applyBorder="1" applyAlignment="1">
      <alignment vertical="center"/>
    </xf>
    <xf numFmtId="0" fontId="52" fillId="55" borderId="26" xfId="0" applyFont="1" applyFill="1" applyBorder="1" applyAlignment="1">
      <alignment horizontal="center" vertical="center" wrapText="1"/>
    </xf>
    <xf numFmtId="0" fontId="52" fillId="55" borderId="10" xfId="0" applyFont="1" applyFill="1" applyBorder="1" applyAlignment="1">
      <alignment horizontal="center" vertical="center" wrapText="1"/>
    </xf>
    <xf numFmtId="0" fontId="52" fillId="55" borderId="43" xfId="0" applyFont="1" applyFill="1" applyBorder="1" applyAlignment="1">
      <alignment horizontal="center" vertical="center" wrapText="1"/>
    </xf>
    <xf numFmtId="0" fontId="52" fillId="55" borderId="21" xfId="0" applyFont="1" applyFill="1" applyBorder="1" applyAlignment="1">
      <alignment horizontal="center"/>
    </xf>
    <xf numFmtId="0" fontId="52" fillId="55" borderId="45" xfId="0" applyFont="1" applyFill="1" applyBorder="1" applyAlignment="1">
      <alignment horizontal="center"/>
    </xf>
    <xf numFmtId="0" fontId="52" fillId="55" borderId="22" xfId="0" applyFont="1" applyFill="1" applyBorder="1" applyAlignment="1">
      <alignment horizontal="center"/>
    </xf>
    <xf numFmtId="1" fontId="52" fillId="55" borderId="43" xfId="0" applyNumberFormat="1" applyFont="1" applyFill="1" applyBorder="1" applyAlignment="1">
      <alignment horizontal="center"/>
    </xf>
    <xf numFmtId="2" fontId="52" fillId="55" borderId="27" xfId="0" applyNumberFormat="1" applyFont="1" applyFill="1" applyBorder="1" applyAlignment="1">
      <alignment horizontal="center"/>
    </xf>
    <xf numFmtId="1" fontId="52" fillId="55" borderId="39" xfId="0" applyNumberFormat="1" applyFont="1" applyFill="1" applyBorder="1" applyAlignment="1">
      <alignment horizontal="center"/>
    </xf>
    <xf numFmtId="1" fontId="52" fillId="55" borderId="38" xfId="0" applyNumberFormat="1" applyFont="1" applyFill="1" applyBorder="1" applyAlignment="1">
      <alignment horizontal="center"/>
    </xf>
    <xf numFmtId="1" fontId="52" fillId="55" borderId="28" xfId="0" applyNumberFormat="1" applyFont="1" applyFill="1" applyBorder="1" applyAlignment="1">
      <alignment horizontal="center"/>
    </xf>
    <xf numFmtId="1" fontId="52" fillId="0" borderId="45" xfId="0" applyNumberFormat="1" applyFont="1" applyFill="1" applyBorder="1" applyAlignment="1">
      <alignment horizontal="center"/>
    </xf>
    <xf numFmtId="1" fontId="52" fillId="0" borderId="40" xfId="0" applyNumberFormat="1" applyFont="1" applyFill="1" applyBorder="1" applyAlignment="1">
      <alignment horizontal="center"/>
    </xf>
    <xf numFmtId="1" fontId="52" fillId="55" borderId="10" xfId="0" applyNumberFormat="1" applyFont="1" applyFill="1" applyBorder="1" applyAlignment="1">
      <alignment horizontal="center"/>
    </xf>
    <xf numFmtId="1" fontId="52" fillId="0" borderId="43" xfId="0" applyNumberFormat="1" applyFont="1" applyFill="1" applyBorder="1" applyAlignment="1">
      <alignment horizontal="center"/>
    </xf>
    <xf numFmtId="1" fontId="52" fillId="0" borderId="10" xfId="0" applyNumberFormat="1" applyFont="1" applyFill="1" applyBorder="1" applyAlignment="1">
      <alignment horizontal="center"/>
    </xf>
    <xf numFmtId="164" fontId="55" fillId="51" borderId="90" xfId="0" applyNumberFormat="1" applyFont="1" applyFill="1" applyBorder="1" applyAlignment="1">
      <alignment horizontal="center" vertical="center" wrapText="1"/>
    </xf>
    <xf numFmtId="164" fontId="51" fillId="0" borderId="10" xfId="0" applyNumberFormat="1" applyFont="1" applyFill="1" applyBorder="1" applyAlignment="1">
      <alignment horizontal="center" vertical="center" wrapText="1"/>
    </xf>
    <xf numFmtId="164" fontId="52" fillId="0" borderId="42" xfId="0" applyNumberFormat="1" applyFont="1" applyFill="1" applyBorder="1" applyAlignment="1">
      <alignment vertical="center" wrapText="1"/>
    </xf>
    <xf numFmtId="164" fontId="52" fillId="0" borderId="10" xfId="0" applyNumberFormat="1" applyFont="1" applyFill="1" applyBorder="1" applyAlignment="1">
      <alignment horizontal="center"/>
    </xf>
    <xf numFmtId="2" fontId="52" fillId="0" borderId="27" xfId="0" applyNumberFormat="1" applyFont="1" applyFill="1" applyBorder="1" applyAlignment="1">
      <alignment horizontal="center"/>
    </xf>
    <xf numFmtId="164" fontId="30" fillId="0" borderId="10" xfId="2114" applyNumberFormat="1" applyFont="1" applyFill="1" applyBorder="1" applyAlignment="1">
      <alignment horizontal="right"/>
    </xf>
    <xf numFmtId="164" fontId="52" fillId="0" borderId="10" xfId="0" applyNumberFormat="1" applyFont="1" applyFill="1" applyBorder="1" applyAlignment="1">
      <alignment horizontal="right"/>
    </xf>
    <xf numFmtId="164" fontId="52" fillId="0" borderId="42" xfId="0" applyNumberFormat="1" applyFont="1" applyFill="1" applyBorder="1" applyAlignment="1">
      <alignment horizontal="right" vertical="center" wrapText="1"/>
    </xf>
    <xf numFmtId="0" fontId="0" fillId="0" borderId="0" xfId="0"/>
    <xf numFmtId="0" fontId="52" fillId="0" borderId="0" xfId="0" applyFont="1" applyAlignment="1">
      <alignment vertical="center" wrapText="1"/>
    </xf>
    <xf numFmtId="0" fontId="52" fillId="0" borderId="33" xfId="0" applyFont="1" applyBorder="1" applyAlignment="1">
      <alignment horizontal="center" vertical="center" wrapText="1"/>
    </xf>
    <xf numFmtId="0" fontId="52" fillId="0" borderId="33" xfId="0" applyFont="1" applyBorder="1" applyAlignment="1">
      <alignment vertical="center" wrapText="1"/>
    </xf>
    <xf numFmtId="0" fontId="52" fillId="0" borderId="34" xfId="0" applyFont="1" applyBorder="1" applyAlignment="1">
      <alignment horizontal="center" vertical="center" wrapText="1"/>
    </xf>
    <xf numFmtId="0" fontId="51" fillId="51" borderId="65" xfId="0" applyFont="1" applyFill="1" applyBorder="1" applyAlignment="1">
      <alignment horizontal="center" wrapText="1"/>
    </xf>
    <xf numFmtId="0" fontId="51" fillId="51" borderId="67" xfId="0" applyFont="1" applyFill="1" applyBorder="1" applyAlignment="1">
      <alignment horizontal="center" wrapText="1"/>
    </xf>
    <xf numFmtId="0" fontId="51" fillId="51" borderId="76" xfId="0" applyFont="1" applyFill="1" applyBorder="1" applyAlignment="1">
      <alignment horizontal="center" wrapText="1"/>
    </xf>
    <xf numFmtId="0" fontId="51" fillId="51" borderId="49" xfId="0" applyFont="1" applyFill="1" applyBorder="1" applyAlignment="1">
      <alignment horizontal="center" wrapText="1"/>
    </xf>
    <xf numFmtId="0" fontId="51" fillId="51" borderId="66" xfId="0" applyFont="1" applyFill="1" applyBorder="1" applyAlignment="1">
      <alignment horizontal="center" wrapText="1"/>
    </xf>
    <xf numFmtId="164" fontId="52" fillId="0" borderId="42" xfId="0" applyNumberFormat="1" applyFont="1" applyFill="1" applyBorder="1" applyAlignment="1">
      <alignment vertical="center" wrapText="1"/>
    </xf>
    <xf numFmtId="164" fontId="30" fillId="0" borderId="10" xfId="2114" applyNumberFormat="1" applyFont="1" applyFill="1" applyBorder="1"/>
    <xf numFmtId="10" fontId="52" fillId="0" borderId="37" xfId="2109" applyNumberFormat="1" applyFont="1" applyFill="1" applyBorder="1" applyAlignment="1">
      <alignment vertical="center" wrapText="1"/>
    </xf>
    <xf numFmtId="0" fontId="52" fillId="0" borderId="39" xfId="0" applyFont="1" applyFill="1" applyBorder="1" applyAlignment="1">
      <alignment horizontal="center" vertical="center" wrapText="1"/>
    </xf>
    <xf numFmtId="0" fontId="52" fillId="0" borderId="57" xfId="0" applyFont="1" applyBorder="1" applyAlignment="1">
      <alignment horizontal="left" vertical="center" wrapText="1"/>
    </xf>
    <xf numFmtId="0" fontId="52" fillId="0" borderId="40" xfId="0" applyFont="1" applyFill="1" applyBorder="1" applyAlignment="1">
      <alignment horizontal="left" vertical="center" wrapText="1"/>
    </xf>
    <xf numFmtId="3" fontId="52" fillId="0" borderId="53" xfId="0" applyNumberFormat="1" applyFont="1" applyFill="1" applyBorder="1" applyAlignment="1">
      <alignment horizontal="center" vertical="center" wrapText="1"/>
    </xf>
    <xf numFmtId="0" fontId="52" fillId="0" borderId="43" xfId="0" applyFont="1" applyFill="1" applyBorder="1" applyAlignment="1">
      <alignment horizontal="center" vertical="center" wrapText="1"/>
    </xf>
    <xf numFmtId="164" fontId="52" fillId="0" borderId="72" xfId="2114" applyNumberFormat="1" applyFont="1" applyFill="1" applyBorder="1" applyAlignment="1">
      <alignment horizontal="center" vertical="center" wrapText="1"/>
    </xf>
    <xf numFmtId="164" fontId="52" fillId="0" borderId="73" xfId="2114" applyNumberFormat="1" applyFont="1" applyFill="1" applyBorder="1" applyAlignment="1">
      <alignment horizontal="center" vertical="center" wrapText="1"/>
    </xf>
    <xf numFmtId="164" fontId="56" fillId="0" borderId="10" xfId="2114" applyNumberFormat="1" applyFont="1" applyFill="1" applyBorder="1" applyAlignment="1">
      <alignment horizontal="right"/>
    </xf>
    <xf numFmtId="0" fontId="52" fillId="0" borderId="0" xfId="0" applyFont="1" applyBorder="1" applyAlignment="1">
      <alignment horizontal="center" vertical="center" wrapText="1"/>
    </xf>
    <xf numFmtId="0" fontId="52" fillId="0" borderId="50" xfId="0" applyFont="1" applyFill="1" applyBorder="1" applyAlignment="1">
      <alignment horizontal="center" vertical="center" wrapText="1"/>
    </xf>
    <xf numFmtId="0" fontId="52" fillId="0" borderId="52" xfId="0" applyFont="1" applyBorder="1" applyAlignment="1">
      <alignment horizontal="center" vertical="center" wrapText="1"/>
    </xf>
    <xf numFmtId="0" fontId="51" fillId="50" borderId="77" xfId="0" applyFont="1" applyFill="1" applyBorder="1" applyAlignment="1">
      <alignment horizontal="left" vertical="center" wrapText="1"/>
    </xf>
    <xf numFmtId="0" fontId="55" fillId="50" borderId="85" xfId="0" applyFont="1" applyFill="1" applyBorder="1" applyAlignment="1">
      <alignment horizontal="left" vertical="center" wrapText="1"/>
    </xf>
    <xf numFmtId="0" fontId="51" fillId="40" borderId="29" xfId="0" applyFont="1" applyFill="1" applyBorder="1" applyAlignment="1">
      <alignment horizontal="left" vertical="center" wrapText="1"/>
    </xf>
    <xf numFmtId="0" fontId="52" fillId="52" borderId="54" xfId="0" applyFont="1" applyFill="1" applyBorder="1" applyAlignment="1">
      <alignment horizontal="left" vertical="center" wrapText="1"/>
    </xf>
    <xf numFmtId="0" fontId="52" fillId="0" borderId="88" xfId="0" applyFont="1" applyBorder="1" applyAlignment="1">
      <alignment horizontal="left" vertical="center" wrapText="1"/>
    </xf>
    <xf numFmtId="0" fontId="52" fillId="0" borderId="81" xfId="0" applyFont="1" applyBorder="1" applyAlignment="1">
      <alignment horizontal="left" vertical="center" wrapText="1"/>
    </xf>
    <xf numFmtId="0" fontId="52" fillId="52" borderId="40" xfId="0" applyFont="1" applyFill="1" applyBorder="1" applyAlignment="1">
      <alignment horizontal="left" vertical="center" wrapText="1"/>
    </xf>
    <xf numFmtId="0" fontId="52" fillId="0" borderId="81" xfId="0" applyFont="1" applyFill="1" applyBorder="1" applyAlignment="1">
      <alignment horizontal="left" vertical="center" wrapText="1"/>
    </xf>
    <xf numFmtId="0" fontId="52" fillId="0" borderId="89" xfId="0" applyFont="1" applyBorder="1" applyAlignment="1">
      <alignment horizontal="left" vertical="center" wrapText="1"/>
    </xf>
    <xf numFmtId="0" fontId="52" fillId="52" borderId="88" xfId="0" applyFont="1" applyFill="1" applyBorder="1" applyAlignment="1">
      <alignment horizontal="left" vertical="center" wrapText="1"/>
    </xf>
    <xf numFmtId="0" fontId="52" fillId="0" borderId="54" xfId="0" applyFont="1" applyFill="1" applyBorder="1" applyAlignment="1">
      <alignment horizontal="left" vertical="center" wrapText="1"/>
    </xf>
    <xf numFmtId="0" fontId="52" fillId="52" borderId="70" xfId="0" applyFont="1" applyFill="1" applyBorder="1" applyAlignment="1">
      <alignment horizontal="left" vertical="center" wrapText="1"/>
    </xf>
    <xf numFmtId="0" fontId="54" fillId="0" borderId="40" xfId="0" applyFont="1" applyFill="1" applyBorder="1" applyAlignment="1">
      <alignment horizontal="left" vertical="center" wrapText="1"/>
    </xf>
    <xf numFmtId="0" fontId="52" fillId="0" borderId="40" xfId="0" applyFont="1" applyBorder="1" applyAlignment="1">
      <alignment horizontal="left" vertical="center" wrapText="1"/>
    </xf>
    <xf numFmtId="0" fontId="54" fillId="0" borderId="73" xfId="0" applyFont="1" applyFill="1" applyBorder="1" applyAlignment="1">
      <alignment horizontal="left" vertical="center" wrapText="1"/>
    </xf>
    <xf numFmtId="0" fontId="52" fillId="0" borderId="86" xfId="0" applyFont="1" applyFill="1" applyBorder="1" applyAlignment="1">
      <alignment horizontal="left" vertical="center" wrapText="1"/>
    </xf>
    <xf numFmtId="0" fontId="0" fillId="0" borderId="0" xfId="0" applyAlignment="1">
      <alignment horizontal="left"/>
    </xf>
    <xf numFmtId="0" fontId="52" fillId="0" borderId="54" xfId="0" applyFont="1" applyBorder="1" applyAlignment="1">
      <alignment horizontal="left" vertical="center" wrapText="1"/>
    </xf>
    <xf numFmtId="164" fontId="56" fillId="0" borderId="45" xfId="2105" applyNumberFormat="1" applyFont="1" applyFill="1" applyBorder="1" applyAlignment="1">
      <alignment horizontal="center" vertical="center" wrapText="1"/>
    </xf>
    <xf numFmtId="164" fontId="56" fillId="0" borderId="10" xfId="2105" applyNumberFormat="1" applyFont="1" applyFill="1" applyBorder="1" applyAlignment="1">
      <alignment horizontal="center" vertical="center" wrapText="1"/>
    </xf>
    <xf numFmtId="164" fontId="56" fillId="0" borderId="69" xfId="2105" applyNumberFormat="1" applyFont="1" applyFill="1" applyBorder="1" applyAlignment="1">
      <alignment horizontal="center" vertical="center" wrapText="1"/>
    </xf>
    <xf numFmtId="10" fontId="56" fillId="0" borderId="21" xfId="2105" applyNumberFormat="1" applyFont="1" applyFill="1" applyBorder="1" applyAlignment="1">
      <alignment horizontal="center" vertical="center" wrapText="1"/>
    </xf>
    <xf numFmtId="10" fontId="56" fillId="0" borderId="26" xfId="2105" applyNumberFormat="1" applyFont="1" applyFill="1" applyBorder="1" applyAlignment="1">
      <alignment horizontal="center" vertical="center" wrapText="1"/>
    </xf>
    <xf numFmtId="10" fontId="56" fillId="0" borderId="62" xfId="2105" applyNumberFormat="1" applyFont="1" applyFill="1" applyBorder="1" applyAlignment="1">
      <alignment horizontal="center" vertical="center" wrapText="1"/>
    </xf>
    <xf numFmtId="164" fontId="52" fillId="0" borderId="50" xfId="0" applyNumberFormat="1" applyFont="1" applyBorder="1" applyAlignment="1">
      <alignment horizontal="center" vertical="center" wrapText="1"/>
    </xf>
    <xf numFmtId="164" fontId="56" fillId="0" borderId="58" xfId="2105" applyNumberFormat="1" applyFont="1" applyFill="1" applyBorder="1" applyAlignment="1">
      <alignment horizontal="center" vertical="center" wrapText="1"/>
    </xf>
    <xf numFmtId="164" fontId="52" fillId="0" borderId="27" xfId="0" applyNumberFormat="1" applyFont="1" applyFill="1" applyBorder="1" applyAlignment="1">
      <alignment horizontal="center" vertical="center" wrapText="1"/>
    </xf>
    <xf numFmtId="164" fontId="56" fillId="0" borderId="39" xfId="2105" applyNumberFormat="1" applyFont="1" applyFill="1" applyBorder="1" applyAlignment="1">
      <alignment horizontal="center" vertical="center" wrapText="1"/>
    </xf>
    <xf numFmtId="164" fontId="52" fillId="0" borderId="27" xfId="0" applyNumberFormat="1" applyFont="1" applyBorder="1" applyAlignment="1">
      <alignment horizontal="center" vertical="center" wrapText="1"/>
    </xf>
    <xf numFmtId="164" fontId="52" fillId="0" borderId="27" xfId="2114" applyNumberFormat="1" applyFont="1" applyBorder="1" applyAlignment="1">
      <alignment horizontal="center" vertical="center" wrapText="1"/>
    </xf>
    <xf numFmtId="164" fontId="52" fillId="0" borderId="60" xfId="2114" applyNumberFormat="1" applyFont="1" applyBorder="1" applyAlignment="1">
      <alignment horizontal="center" vertical="center" wrapText="1"/>
    </xf>
    <xf numFmtId="164" fontId="56" fillId="0" borderId="37" xfId="2105" applyNumberFormat="1" applyFont="1" applyFill="1" applyBorder="1" applyAlignment="1">
      <alignment horizontal="center" vertical="center" wrapText="1"/>
    </xf>
    <xf numFmtId="0" fontId="0" fillId="0" borderId="5" xfId="0" applyBorder="1" applyAlignment="1">
      <alignment horizontal="center"/>
    </xf>
    <xf numFmtId="164" fontId="52" fillId="0" borderId="23" xfId="0" applyNumberFormat="1" applyFont="1" applyBorder="1" applyAlignment="1">
      <alignment horizontal="center" vertical="center" wrapText="1"/>
    </xf>
    <xf numFmtId="3" fontId="52" fillId="0" borderId="27" xfId="2114" applyNumberFormat="1" applyFont="1" applyFill="1" applyBorder="1" applyAlignment="1">
      <alignment horizontal="center" vertical="center" wrapText="1"/>
    </xf>
    <xf numFmtId="9" fontId="52" fillId="0" borderId="39" xfId="0" applyNumberFormat="1" applyFont="1" applyFill="1" applyBorder="1" applyAlignment="1">
      <alignment horizontal="center" vertical="center" wrapText="1"/>
    </xf>
    <xf numFmtId="3" fontId="52" fillId="0" borderId="52" xfId="2114" applyNumberFormat="1" applyFont="1" applyFill="1" applyBorder="1" applyAlignment="1">
      <alignment horizontal="center" vertical="center" wrapText="1"/>
    </xf>
    <xf numFmtId="9" fontId="52" fillId="0" borderId="59" xfId="0" applyNumberFormat="1" applyFont="1" applyFill="1" applyBorder="1" applyAlignment="1">
      <alignment horizontal="center" vertical="center" wrapText="1"/>
    </xf>
    <xf numFmtId="0" fontId="51" fillId="0" borderId="45" xfId="0" applyFont="1" applyFill="1" applyBorder="1" applyAlignment="1">
      <alignment horizontal="center" vertical="center" wrapText="1"/>
    </xf>
    <xf numFmtId="0" fontId="51" fillId="0" borderId="58" xfId="0" applyFont="1" applyFill="1" applyBorder="1" applyAlignment="1">
      <alignment horizontal="center" vertical="center" wrapText="1"/>
    </xf>
    <xf numFmtId="0" fontId="52" fillId="0" borderId="60" xfId="0" applyNumberFormat="1" applyFont="1" applyFill="1" applyBorder="1" applyAlignment="1">
      <alignment horizontal="center" vertical="center" wrapText="1"/>
    </xf>
    <xf numFmtId="9" fontId="52" fillId="0" borderId="69" xfId="0" applyNumberFormat="1" applyFont="1" applyFill="1" applyBorder="1" applyAlignment="1">
      <alignment horizontal="center" vertical="center" wrapText="1"/>
    </xf>
    <xf numFmtId="0" fontId="52" fillId="0" borderId="81" xfId="0" applyFont="1" applyBorder="1" applyAlignment="1">
      <alignment horizontal="left" vertical="center" wrapText="1"/>
    </xf>
    <xf numFmtId="0" fontId="52" fillId="0" borderId="41" xfId="0" applyFont="1" applyFill="1" applyBorder="1" applyAlignment="1">
      <alignment horizontal="center" vertical="center" wrapText="1"/>
    </xf>
    <xf numFmtId="0" fontId="52" fillId="0" borderId="43" xfId="0" applyNumberFormat="1" applyFont="1" applyFill="1" applyBorder="1" applyAlignment="1">
      <alignment horizontal="center" vertical="center" wrapText="1"/>
    </xf>
    <xf numFmtId="0" fontId="51" fillId="0" borderId="0" xfId="0" applyFont="1" applyFill="1" applyBorder="1" applyAlignment="1">
      <alignment horizontal="center" wrapText="1"/>
    </xf>
    <xf numFmtId="0" fontId="52" fillId="55" borderId="60" xfId="0" applyFont="1" applyFill="1" applyBorder="1" applyAlignment="1">
      <alignment horizontal="center" vertical="center" wrapText="1"/>
    </xf>
    <xf numFmtId="1" fontId="52" fillId="55" borderId="69" xfId="0" applyNumberFormat="1" applyFont="1" applyFill="1" applyBorder="1" applyAlignment="1">
      <alignment horizontal="center" vertical="center" wrapText="1"/>
    </xf>
    <xf numFmtId="1" fontId="52" fillId="55" borderId="37" xfId="0" applyNumberFormat="1" applyFont="1" applyFill="1" applyBorder="1" applyAlignment="1">
      <alignment horizontal="center" vertical="center" wrapText="1"/>
    </xf>
    <xf numFmtId="0" fontId="52" fillId="0" borderId="105" xfId="0" applyFont="1" applyFill="1" applyBorder="1" applyAlignment="1">
      <alignment horizontal="left" vertical="center" wrapText="1"/>
    </xf>
    <xf numFmtId="0" fontId="65" fillId="0" borderId="81" xfId="0" applyFont="1" applyBorder="1" applyAlignment="1">
      <alignment horizontal="left" vertical="center" wrapText="1"/>
    </xf>
    <xf numFmtId="0" fontId="65" fillId="0" borderId="89" xfId="0" applyFont="1" applyBorder="1" applyAlignment="1">
      <alignment horizontal="left" vertical="center" wrapText="1"/>
    </xf>
    <xf numFmtId="0" fontId="65" fillId="0" borderId="86" xfId="0" applyFont="1" applyFill="1" applyBorder="1" applyAlignment="1">
      <alignment horizontal="left" vertical="center" wrapText="1"/>
    </xf>
    <xf numFmtId="0" fontId="65" fillId="0" borderId="81" xfId="0" applyFont="1" applyFill="1" applyBorder="1" applyAlignment="1">
      <alignment horizontal="left" vertical="center" wrapText="1"/>
    </xf>
    <xf numFmtId="0" fontId="65" fillId="0" borderId="40" xfId="0" applyFont="1" applyFill="1" applyBorder="1" applyAlignment="1">
      <alignment horizontal="left" vertical="center" wrapText="1"/>
    </xf>
    <xf numFmtId="0" fontId="65" fillId="0" borderId="87" xfId="0" applyFont="1" applyBorder="1" applyAlignment="1">
      <alignment horizontal="left" vertical="center" wrapText="1"/>
    </xf>
    <xf numFmtId="0" fontId="65" fillId="0" borderId="80" xfId="0" applyFont="1" applyBorder="1" applyAlignment="1">
      <alignment horizontal="left" vertical="center" wrapText="1"/>
    </xf>
    <xf numFmtId="9" fontId="52" fillId="0" borderId="37" xfId="0" applyNumberFormat="1" applyFont="1" applyBorder="1" applyAlignment="1">
      <alignment horizontal="center" vertical="center" wrapText="1"/>
    </xf>
    <xf numFmtId="9" fontId="52" fillId="0" borderId="37" xfId="0" applyNumberFormat="1" applyFont="1" applyFill="1" applyBorder="1" applyAlignment="1">
      <alignment horizontal="center" vertical="center" wrapText="1"/>
    </xf>
    <xf numFmtId="0" fontId="51" fillId="51" borderId="102" xfId="0" applyFont="1" applyFill="1" applyBorder="1" applyAlignment="1">
      <alignment vertical="center"/>
    </xf>
    <xf numFmtId="0" fontId="0" fillId="0" borderId="23" xfId="0" applyBorder="1" applyAlignment="1"/>
    <xf numFmtId="0" fontId="0" fillId="0" borderId="19" xfId="0" applyBorder="1" applyAlignment="1"/>
    <xf numFmtId="0" fontId="0" fillId="0" borderId="21" xfId="0" applyBorder="1" applyAlignment="1"/>
    <xf numFmtId="0" fontId="52" fillId="0" borderId="37" xfId="0" applyFont="1" applyBorder="1" applyAlignment="1">
      <alignment horizontal="center" vertical="center" wrapText="1"/>
    </xf>
    <xf numFmtId="0" fontId="56" fillId="0" borderId="81" xfId="0" applyFont="1" applyFill="1" applyBorder="1" applyAlignment="1">
      <alignment horizontal="left" vertical="center" wrapText="1"/>
    </xf>
    <xf numFmtId="0" fontId="51" fillId="51" borderId="41" xfId="0" applyFont="1" applyFill="1" applyBorder="1" applyAlignment="1">
      <alignment horizontal="center" vertical="center" wrapText="1"/>
    </xf>
    <xf numFmtId="164" fontId="68" fillId="0" borderId="27" xfId="0" applyNumberFormat="1" applyFont="1" applyBorder="1" applyAlignment="1">
      <alignment horizontal="center" vertical="center" wrapText="1"/>
    </xf>
    <xf numFmtId="164" fontId="68" fillId="0" borderId="10" xfId="0" applyNumberFormat="1" applyFont="1" applyBorder="1" applyAlignment="1">
      <alignment horizontal="right" vertical="center"/>
    </xf>
    <xf numFmtId="164" fontId="68" fillId="0" borderId="39" xfId="0" applyNumberFormat="1" applyFont="1" applyBorder="1" applyAlignment="1">
      <alignment horizontal="right" vertical="center"/>
    </xf>
    <xf numFmtId="164" fontId="52" fillId="0" borderId="27" xfId="0" applyNumberFormat="1" applyFont="1" applyBorder="1" applyAlignment="1">
      <alignment horizontal="right" vertical="center"/>
    </xf>
    <xf numFmtId="164" fontId="52" fillId="0" borderId="10" xfId="0" applyNumberFormat="1" applyFont="1" applyBorder="1" applyAlignment="1">
      <alignment horizontal="right" vertical="center"/>
    </xf>
    <xf numFmtId="164" fontId="52" fillId="0" borderId="39" xfId="0" applyNumberFormat="1" applyFont="1" applyBorder="1" applyAlignment="1">
      <alignment horizontal="right" vertical="center"/>
    </xf>
    <xf numFmtId="164" fontId="69" fillId="0" borderId="27" xfId="0" applyNumberFormat="1" applyFont="1" applyBorder="1" applyAlignment="1">
      <alignment horizontal="right" vertical="center"/>
    </xf>
    <xf numFmtId="164" fontId="69" fillId="0" borderId="10" xfId="0" applyNumberFormat="1" applyFont="1" applyBorder="1" applyAlignment="1">
      <alignment horizontal="right" vertical="center"/>
    </xf>
    <xf numFmtId="164" fontId="69" fillId="0" borderId="39" xfId="0" applyNumberFormat="1" applyFont="1" applyBorder="1" applyAlignment="1">
      <alignment horizontal="right" vertical="center"/>
    </xf>
    <xf numFmtId="164" fontId="69" fillId="0" borderId="27" xfId="0" applyNumberFormat="1" applyFont="1" applyBorder="1" applyAlignment="1">
      <alignment horizontal="right" vertical="center" wrapText="1"/>
    </xf>
    <xf numFmtId="164" fontId="68" fillId="0" borderId="60" xfId="0" applyNumberFormat="1" applyFont="1" applyBorder="1" applyAlignment="1">
      <alignment horizontal="center" vertical="center" wrapText="1"/>
    </xf>
    <xf numFmtId="164" fontId="68" fillId="0" borderId="69" xfId="0" applyNumberFormat="1" applyFont="1" applyBorder="1" applyAlignment="1">
      <alignment horizontal="right" vertical="center"/>
    </xf>
    <xf numFmtId="164" fontId="68" fillId="0" borderId="37" xfId="0" applyNumberFormat="1" applyFont="1" applyBorder="1" applyAlignment="1">
      <alignment horizontal="right" vertical="center"/>
    </xf>
    <xf numFmtId="10" fontId="52" fillId="0" borderId="22" xfId="0" applyNumberFormat="1" applyFont="1" applyBorder="1" applyAlignment="1">
      <alignment horizontal="center" vertical="center" wrapText="1"/>
    </xf>
    <xf numFmtId="164" fontId="51" fillId="0" borderId="39" xfId="0" applyNumberFormat="1" applyFont="1" applyFill="1" applyBorder="1" applyAlignment="1">
      <alignment horizontal="center" vertical="center" wrapText="1"/>
    </xf>
    <xf numFmtId="164" fontId="52" fillId="0" borderId="37" xfId="0" applyNumberFormat="1" applyFont="1" applyFill="1" applyBorder="1" applyAlignment="1">
      <alignment horizontal="center" vertical="center" wrapText="1"/>
    </xf>
    <xf numFmtId="3" fontId="52" fillId="0" borderId="27" xfId="0" applyNumberFormat="1" applyFont="1" applyFill="1" applyBorder="1" applyAlignment="1">
      <alignment horizontal="center" vertical="center" wrapText="1"/>
    </xf>
    <xf numFmtId="0" fontId="65" fillId="0" borderId="81" xfId="0" applyFont="1" applyFill="1" applyBorder="1" applyAlignment="1">
      <alignment horizontal="left" vertical="center" wrapText="1"/>
    </xf>
    <xf numFmtId="0" fontId="70" fillId="0" borderId="0" xfId="0" applyFont="1" applyAlignment="1">
      <alignment vertical="center"/>
    </xf>
    <xf numFmtId="0" fontId="52" fillId="0" borderId="61" xfId="0" applyFont="1" applyBorder="1" applyAlignment="1">
      <alignment horizontal="center" vertical="center" wrapText="1"/>
    </xf>
    <xf numFmtId="164" fontId="51" fillId="0" borderId="27" xfId="0" applyNumberFormat="1" applyFont="1" applyFill="1" applyBorder="1" applyAlignment="1">
      <alignment horizontal="center" vertical="center" wrapText="1"/>
    </xf>
    <xf numFmtId="0" fontId="58" fillId="51" borderId="23" xfId="2107" applyFont="1" applyFill="1" applyBorder="1" applyAlignment="1">
      <alignment wrapText="1"/>
    </xf>
    <xf numFmtId="0" fontId="58" fillId="51" borderId="26" xfId="2107" applyFont="1" applyFill="1" applyBorder="1" applyAlignment="1">
      <alignment wrapText="1"/>
    </xf>
    <xf numFmtId="0" fontId="58" fillId="51" borderId="26" xfId="2107" applyFont="1" applyFill="1" applyBorder="1" applyAlignment="1">
      <alignment horizontal="left" wrapText="1"/>
    </xf>
    <xf numFmtId="0" fontId="59" fillId="51" borderId="26" xfId="2107" applyFont="1" applyFill="1" applyBorder="1" applyAlignment="1">
      <alignment wrapText="1"/>
    </xf>
    <xf numFmtId="0" fontId="51" fillId="51" borderId="62" xfId="0" applyFont="1" applyFill="1" applyBorder="1" applyAlignment="1">
      <alignment horizontal="center" vertical="center" wrapText="1"/>
    </xf>
    <xf numFmtId="164" fontId="60" fillId="0" borderId="27" xfId="2114" applyNumberFormat="1" applyFont="1" applyFill="1" applyBorder="1"/>
    <xf numFmtId="164" fontId="60" fillId="0" borderId="39" xfId="2114" applyNumberFormat="1" applyFont="1" applyFill="1" applyBorder="1"/>
    <xf numFmtId="164" fontId="56" fillId="0" borderId="27" xfId="2114" applyNumberFormat="1" applyFont="1" applyFill="1" applyBorder="1" applyAlignment="1">
      <alignment horizontal="right"/>
    </xf>
    <xf numFmtId="164" fontId="56" fillId="0" borderId="39" xfId="2114" applyNumberFormat="1" applyFont="1" applyFill="1" applyBorder="1" applyAlignment="1">
      <alignment horizontal="right"/>
    </xf>
    <xf numFmtId="164" fontId="52" fillId="0" borderId="39" xfId="0" applyNumberFormat="1" applyFont="1" applyFill="1" applyBorder="1" applyAlignment="1">
      <alignment horizontal="right" vertical="center" wrapText="1"/>
    </xf>
    <xf numFmtId="164" fontId="52" fillId="0" borderId="10" xfId="0" applyNumberFormat="1" applyFont="1" applyFill="1" applyBorder="1" applyAlignment="1">
      <alignment horizontal="right" vertical="center" wrapText="1"/>
    </xf>
    <xf numFmtId="164" fontId="52" fillId="0" borderId="27" xfId="0" applyNumberFormat="1" applyFont="1" applyFill="1" applyBorder="1" applyAlignment="1">
      <alignment horizontal="right" vertical="center" wrapText="1"/>
    </xf>
    <xf numFmtId="164" fontId="51" fillId="0" borderId="10" xfId="0" applyNumberFormat="1" applyFont="1" applyFill="1" applyBorder="1" applyAlignment="1">
      <alignment horizontal="center" vertical="center" wrapText="1"/>
    </xf>
    <xf numFmtId="164" fontId="52" fillId="0" borderId="10" xfId="2137" applyNumberFormat="1" applyFont="1" applyBorder="1"/>
    <xf numFmtId="164" fontId="52" fillId="0" borderId="27" xfId="2137" applyNumberFormat="1" applyFont="1" applyBorder="1"/>
    <xf numFmtId="164" fontId="56" fillId="0" borderId="27" xfId="2137" applyNumberFormat="1" applyFont="1" applyFill="1" applyBorder="1"/>
    <xf numFmtId="164" fontId="56" fillId="0" borderId="10" xfId="2137" applyNumberFormat="1" applyFont="1" applyFill="1" applyBorder="1"/>
    <xf numFmtId="164" fontId="51" fillId="0" borderId="27" xfId="0" applyNumberFormat="1" applyFont="1" applyFill="1" applyBorder="1" applyAlignment="1">
      <alignment horizontal="center" vertical="center" wrapText="1"/>
    </xf>
    <xf numFmtId="164" fontId="51" fillId="0" borderId="39" xfId="0" applyNumberFormat="1" applyFont="1" applyFill="1" applyBorder="1" applyAlignment="1">
      <alignment horizontal="center" vertical="center" wrapText="1"/>
    </xf>
    <xf numFmtId="164" fontId="56" fillId="0" borderId="39" xfId="2137" applyNumberFormat="1" applyFont="1" applyFill="1" applyBorder="1"/>
    <xf numFmtId="164" fontId="52" fillId="0" borderId="39" xfId="2137" applyNumberFormat="1" applyFont="1" applyBorder="1"/>
    <xf numFmtId="0" fontId="70" fillId="0" borderId="0" xfId="0" applyFont="1" applyAlignment="1">
      <alignment horizontal="center" vertical="center" wrapText="1"/>
    </xf>
    <xf numFmtId="0" fontId="52" fillId="40" borderId="97" xfId="0" applyFont="1" applyFill="1" applyBorder="1" applyAlignment="1">
      <alignment horizontal="center" vertical="center" wrapText="1"/>
    </xf>
    <xf numFmtId="0" fontId="0" fillId="40" borderId="0" xfId="0" applyFill="1" applyBorder="1" applyAlignment="1">
      <alignment horizontal="center" vertical="center" wrapText="1"/>
    </xf>
    <xf numFmtId="0" fontId="0" fillId="40" borderId="47" xfId="0" applyFill="1" applyBorder="1" applyAlignment="1">
      <alignment horizontal="center" vertical="center" wrapText="1"/>
    </xf>
    <xf numFmtId="0" fontId="0" fillId="0" borderId="33" xfId="0" applyBorder="1" applyAlignment="1">
      <alignment horizontal="center" vertical="center" wrapText="1"/>
    </xf>
    <xf numFmtId="0" fontId="0" fillId="0" borderId="36" xfId="0" applyBorder="1" applyAlignment="1">
      <alignment horizontal="center" vertical="center" wrapText="1"/>
    </xf>
    <xf numFmtId="0" fontId="0" fillId="0" borderId="45" xfId="0" applyBorder="1" applyAlignment="1">
      <alignment horizontal="center" vertical="center" wrapText="1"/>
    </xf>
    <xf numFmtId="0" fontId="52" fillId="40" borderId="51" xfId="0" applyFont="1" applyFill="1" applyBorder="1" applyAlignment="1">
      <alignment horizontal="center" vertical="center" wrapText="1"/>
    </xf>
    <xf numFmtId="0" fontId="0" fillId="40" borderId="54" xfId="0" applyFill="1" applyBorder="1" applyAlignment="1">
      <alignment horizontal="center" vertical="center" wrapText="1"/>
    </xf>
    <xf numFmtId="0" fontId="0" fillId="40" borderId="51" xfId="0" applyFill="1" applyBorder="1" applyAlignment="1">
      <alignment horizontal="center" vertical="center" wrapText="1"/>
    </xf>
    <xf numFmtId="0" fontId="0" fillId="40" borderId="93" xfId="0" applyFill="1" applyBorder="1" applyAlignment="1">
      <alignment horizontal="center" vertical="center" wrapText="1"/>
    </xf>
    <xf numFmtId="0" fontId="0" fillId="40" borderId="85" xfId="0" applyFill="1" applyBorder="1" applyAlignment="1">
      <alignment horizontal="center" vertical="center" wrapText="1"/>
    </xf>
    <xf numFmtId="0" fontId="52" fillId="40" borderId="96" xfId="0" applyFont="1" applyFill="1" applyBorder="1" applyAlignment="1">
      <alignment horizontal="center" vertical="center" wrapText="1"/>
    </xf>
    <xf numFmtId="0" fontId="0" fillId="40" borderId="97" xfId="0" applyFill="1" applyBorder="1" applyAlignment="1">
      <alignment horizontal="center" vertical="center" wrapText="1"/>
    </xf>
    <xf numFmtId="0" fontId="0" fillId="40" borderId="77" xfId="0" applyFill="1" applyBorder="1" applyAlignment="1">
      <alignment horizontal="center" vertical="center" wrapText="1"/>
    </xf>
    <xf numFmtId="164" fontId="52" fillId="0" borderId="74" xfId="0" applyNumberFormat="1" applyFont="1" applyFill="1" applyBorder="1" applyAlignment="1">
      <alignment horizontal="center" vertical="center" wrapText="1"/>
    </xf>
    <xf numFmtId="0" fontId="0" fillId="0" borderId="95" xfId="0" applyBorder="1" applyAlignment="1"/>
    <xf numFmtId="0" fontId="0" fillId="0" borderId="73" xfId="0" applyBorder="1" applyAlignment="1"/>
    <xf numFmtId="0" fontId="52" fillId="0" borderId="51" xfId="0" applyFont="1" applyBorder="1" applyAlignment="1">
      <alignment horizontal="center" vertical="center" wrapText="1"/>
    </xf>
    <xf numFmtId="0" fontId="52" fillId="0" borderId="0" xfId="0" applyFont="1" applyBorder="1" applyAlignment="1">
      <alignment horizontal="center" vertical="center" wrapText="1"/>
    </xf>
    <xf numFmtId="0" fontId="52" fillId="0" borderId="20" xfId="0" applyFont="1" applyBorder="1" applyAlignment="1">
      <alignment horizontal="center" vertical="center" wrapText="1"/>
    </xf>
    <xf numFmtId="0" fontId="52" fillId="0" borderId="93" xfId="0" applyFont="1" applyBorder="1" applyAlignment="1">
      <alignment horizontal="center" vertical="center" wrapText="1"/>
    </xf>
    <xf numFmtId="0" fontId="52" fillId="0" borderId="47" xfId="0" applyFont="1" applyBorder="1" applyAlignment="1">
      <alignment horizontal="center" vertical="center" wrapText="1"/>
    </xf>
    <xf numFmtId="0" fontId="52" fillId="0" borderId="94" xfId="0" applyFont="1" applyBorder="1" applyAlignment="1">
      <alignment horizontal="center" vertical="center" wrapText="1"/>
    </xf>
    <xf numFmtId="0" fontId="52" fillId="0" borderId="74" xfId="0" applyFont="1" applyBorder="1" applyAlignment="1">
      <alignment horizontal="center" vertical="center" wrapText="1"/>
    </xf>
    <xf numFmtId="0" fontId="52" fillId="0" borderId="95" xfId="0" applyFont="1" applyBorder="1" applyAlignment="1">
      <alignment horizontal="center" vertical="center" wrapText="1"/>
    </xf>
    <xf numFmtId="0" fontId="52" fillId="0" borderId="72" xfId="0" applyFont="1" applyBorder="1" applyAlignment="1">
      <alignment horizontal="center" vertical="center" wrapText="1"/>
    </xf>
    <xf numFmtId="0" fontId="52" fillId="0" borderId="88" xfId="0" applyFont="1" applyBorder="1" applyAlignment="1">
      <alignment horizontal="left" vertical="center" wrapText="1"/>
    </xf>
    <xf numFmtId="0" fontId="52" fillId="0" borderId="89" xfId="0" applyFont="1" applyBorder="1" applyAlignment="1">
      <alignment horizontal="left" vertical="center" wrapText="1"/>
    </xf>
    <xf numFmtId="0" fontId="52" fillId="0" borderId="42" xfId="0" applyNumberFormat="1" applyFont="1" applyBorder="1" applyAlignment="1">
      <alignment horizontal="center" vertical="center" wrapText="1"/>
    </xf>
    <xf numFmtId="0" fontId="0" fillId="0" borderId="5" xfId="0" applyBorder="1" applyAlignment="1">
      <alignment horizontal="center" vertical="center" wrapText="1"/>
    </xf>
    <xf numFmtId="0" fontId="0" fillId="0" borderId="40" xfId="0" applyBorder="1" applyAlignment="1">
      <alignment horizontal="center" vertical="center" wrapText="1"/>
    </xf>
    <xf numFmtId="164" fontId="52" fillId="0" borderId="42" xfId="0" applyNumberFormat="1" applyFont="1" applyBorder="1" applyAlignment="1">
      <alignment horizontal="center" vertical="center" wrapText="1"/>
    </xf>
    <xf numFmtId="0" fontId="65" fillId="0" borderId="88" xfId="0" applyFont="1" applyBorder="1" applyAlignment="1">
      <alignment horizontal="left" vertical="center" wrapText="1"/>
    </xf>
    <xf numFmtId="0" fontId="65" fillId="0" borderId="86" xfId="0" applyFont="1" applyBorder="1" applyAlignment="1">
      <alignment horizontal="left" vertical="center" wrapText="1"/>
    </xf>
    <xf numFmtId="0" fontId="65" fillId="0" borderId="89" xfId="0" applyFont="1" applyBorder="1" applyAlignment="1">
      <alignment horizontal="left" vertical="center" wrapText="1"/>
    </xf>
    <xf numFmtId="0" fontId="52" fillId="0" borderId="86" xfId="0" applyFont="1" applyBorder="1" applyAlignment="1">
      <alignment horizontal="left" vertical="center" wrapText="1"/>
    </xf>
    <xf numFmtId="0" fontId="61" fillId="0" borderId="88" xfId="0" applyNumberFormat="1" applyFont="1" applyBorder="1" applyAlignment="1">
      <alignment horizontal="left" vertical="center" wrapText="1"/>
    </xf>
    <xf numFmtId="0" fontId="0" fillId="0" borderId="86" xfId="0" applyBorder="1" applyAlignment="1">
      <alignment horizontal="left"/>
    </xf>
    <xf numFmtId="0" fontId="0" fillId="0" borderId="89" xfId="0" applyBorder="1" applyAlignment="1">
      <alignment horizontal="left"/>
    </xf>
    <xf numFmtId="164" fontId="52" fillId="0" borderId="95" xfId="0" applyNumberFormat="1" applyFont="1" applyBorder="1" applyAlignment="1">
      <alignment horizontal="center" vertical="center" wrapText="1"/>
    </xf>
    <xf numFmtId="164" fontId="0" fillId="0" borderId="95" xfId="0" applyNumberFormat="1" applyBorder="1" applyAlignment="1"/>
    <xf numFmtId="164" fontId="0" fillId="0" borderId="73" xfId="0" applyNumberFormat="1" applyBorder="1" applyAlignment="1"/>
    <xf numFmtId="164" fontId="52" fillId="0" borderId="47" xfId="0" applyNumberFormat="1" applyFont="1" applyFill="1" applyBorder="1" applyAlignment="1">
      <alignment horizontal="center" vertical="center" wrapText="1"/>
    </xf>
    <xf numFmtId="164" fontId="0" fillId="0" borderId="47" xfId="0" applyNumberFormat="1" applyBorder="1" applyAlignment="1"/>
    <xf numFmtId="0" fontId="52" fillId="0" borderId="50" xfId="0" applyFont="1" applyFill="1" applyBorder="1" applyAlignment="1">
      <alignment horizontal="center" vertical="center" wrapText="1"/>
    </xf>
    <xf numFmtId="0" fontId="52" fillId="0" borderId="45" xfId="0" applyFont="1" applyBorder="1" applyAlignment="1">
      <alignment horizontal="center" vertical="center" wrapText="1"/>
    </xf>
    <xf numFmtId="0" fontId="52" fillId="0" borderId="58" xfId="0" applyFont="1" applyBorder="1" applyAlignment="1">
      <alignment horizontal="center" vertical="center" wrapText="1"/>
    </xf>
    <xf numFmtId="0" fontId="52" fillId="0" borderId="66" xfId="0" applyFont="1" applyBorder="1" applyAlignment="1">
      <alignment horizontal="center" vertical="center" wrapText="1"/>
    </xf>
    <xf numFmtId="0" fontId="0" fillId="0" borderId="67" xfId="0" applyBorder="1" applyAlignment="1">
      <alignment horizontal="center" vertical="center" wrapText="1"/>
    </xf>
    <xf numFmtId="0" fontId="0" fillId="0" borderId="65" xfId="0" applyBorder="1" applyAlignment="1">
      <alignment horizontal="center" vertical="center" wrapText="1"/>
    </xf>
    <xf numFmtId="0" fontId="52" fillId="0" borderId="4" xfId="0" applyNumberFormat="1" applyFont="1" applyFill="1" applyBorder="1" applyAlignment="1">
      <alignment horizontal="center" vertical="center" wrapText="1"/>
    </xf>
    <xf numFmtId="0" fontId="0" fillId="0" borderId="4" xfId="0" applyFill="1" applyBorder="1" applyAlignment="1">
      <alignment horizontal="center" vertical="center" wrapText="1"/>
    </xf>
    <xf numFmtId="0" fontId="52" fillId="0" borderId="4" xfId="0" applyNumberFormat="1" applyFont="1" applyBorder="1" applyAlignment="1">
      <alignment horizontal="center" vertical="center" wrapText="1"/>
    </xf>
    <xf numFmtId="0" fontId="0" fillId="0" borderId="4" xfId="0" applyBorder="1" applyAlignment="1">
      <alignment horizontal="center" vertical="center" wrapText="1"/>
    </xf>
    <xf numFmtId="0" fontId="0" fillId="0" borderId="29" xfId="0" applyBorder="1" applyAlignment="1">
      <alignment horizontal="center" vertical="center" wrapText="1"/>
    </xf>
    <xf numFmtId="0" fontId="52" fillId="0" borderId="22" xfId="0" applyFont="1" applyFill="1" applyBorder="1" applyAlignment="1">
      <alignment horizontal="center" vertical="center" wrapText="1"/>
    </xf>
    <xf numFmtId="0" fontId="52" fillId="0" borderId="45" xfId="0" applyFont="1" applyFill="1" applyBorder="1" applyAlignment="1">
      <alignment horizontal="center" vertical="center" wrapText="1"/>
    </xf>
    <xf numFmtId="0" fontId="52" fillId="0" borderId="21" xfId="0" applyFont="1" applyFill="1" applyBorder="1" applyAlignment="1">
      <alignment horizontal="center" vertical="center" wrapText="1"/>
    </xf>
    <xf numFmtId="1" fontId="52" fillId="0" borderId="98" xfId="0" applyNumberFormat="1" applyFont="1" applyBorder="1" applyAlignment="1">
      <alignment horizontal="center" vertical="center" wrapText="1"/>
    </xf>
    <xf numFmtId="0" fontId="52" fillId="0" borderId="34" xfId="0" applyFont="1" applyBorder="1" applyAlignment="1">
      <alignment horizontal="center" vertical="center" wrapText="1"/>
    </xf>
    <xf numFmtId="0" fontId="52" fillId="0" borderId="50" xfId="0" applyFont="1" applyBorder="1" applyAlignment="1">
      <alignment horizontal="center" vertical="center" wrapText="1"/>
    </xf>
    <xf numFmtId="0" fontId="52" fillId="0" borderId="52" xfId="0" applyFont="1" applyFill="1" applyBorder="1" applyAlignment="1">
      <alignment horizontal="center" vertical="center" wrapText="1"/>
    </xf>
    <xf numFmtId="0" fontId="52" fillId="0" borderId="44" xfId="0" applyFont="1" applyBorder="1" applyAlignment="1">
      <alignment horizontal="center" vertical="center" wrapText="1"/>
    </xf>
    <xf numFmtId="0" fontId="52" fillId="0" borderId="59" xfId="0" applyFont="1" applyBorder="1" applyAlignment="1">
      <alignment horizontal="center" vertical="center" wrapText="1"/>
    </xf>
    <xf numFmtId="0" fontId="52" fillId="0" borderId="51" xfId="2109" applyFont="1" applyFill="1" applyBorder="1" applyAlignment="1">
      <alignment horizontal="center" vertical="center" wrapText="1"/>
    </xf>
    <xf numFmtId="0" fontId="52" fillId="0" borderId="0" xfId="2109" applyFont="1" applyFill="1" applyBorder="1" applyAlignment="1">
      <alignment horizontal="center" vertical="center" wrapText="1"/>
    </xf>
    <xf numFmtId="0" fontId="52" fillId="0" borderId="33" xfId="0" applyFont="1" applyFill="1" applyBorder="1" applyAlignment="1">
      <alignment horizontal="right" textRotation="90" wrapText="1"/>
    </xf>
    <xf numFmtId="0" fontId="52" fillId="0" borderId="45" xfId="0" applyFont="1" applyFill="1" applyBorder="1" applyAlignment="1">
      <alignment horizontal="right" textRotation="90" wrapText="1"/>
    </xf>
    <xf numFmtId="0" fontId="52" fillId="0" borderId="52" xfId="0" applyFont="1" applyBorder="1" applyAlignment="1">
      <alignment horizontal="center" vertical="center" wrapText="1"/>
    </xf>
    <xf numFmtId="0" fontId="52" fillId="0" borderId="24" xfId="0" applyFont="1" applyFill="1" applyBorder="1" applyAlignment="1">
      <alignment horizontal="center" vertical="center" wrapText="1"/>
    </xf>
    <xf numFmtId="0" fontId="52" fillId="0" borderId="44" xfId="0" applyFont="1" applyFill="1" applyBorder="1" applyAlignment="1">
      <alignment horizontal="center" vertical="center" wrapText="1"/>
    </xf>
    <xf numFmtId="0" fontId="52" fillId="0" borderId="23" xfId="0" applyFont="1" applyFill="1" applyBorder="1" applyAlignment="1">
      <alignment horizontal="center" vertical="center" wrapText="1"/>
    </xf>
    <xf numFmtId="0" fontId="51" fillId="51" borderId="62" xfId="0" applyFont="1" applyFill="1" applyBorder="1" applyAlignment="1">
      <alignment horizontal="right" vertical="center"/>
    </xf>
    <xf numFmtId="0" fontId="51" fillId="51" borderId="95" xfId="0" applyFont="1" applyFill="1" applyBorder="1" applyAlignment="1">
      <alignment horizontal="right" vertical="center"/>
    </xf>
    <xf numFmtId="0" fontId="51" fillId="51" borderId="73" xfId="0" applyFont="1" applyFill="1" applyBorder="1" applyAlignment="1">
      <alignment horizontal="right" vertical="center"/>
    </xf>
    <xf numFmtId="0" fontId="52" fillId="0" borderId="42" xfId="0" applyFont="1" applyFill="1" applyBorder="1" applyAlignment="1">
      <alignment horizontal="center" vertical="center" wrapText="1"/>
    </xf>
    <xf numFmtId="3" fontId="52" fillId="0" borderId="82" xfId="0" applyNumberFormat="1" applyFont="1" applyFill="1" applyBorder="1" applyAlignment="1">
      <alignment horizontal="center" vertical="center" wrapText="1"/>
    </xf>
    <xf numFmtId="3" fontId="52" fillId="0" borderId="102" xfId="0" applyNumberFormat="1" applyFont="1" applyFill="1" applyBorder="1" applyAlignment="1">
      <alignment horizontal="center" vertical="center" wrapText="1"/>
    </xf>
    <xf numFmtId="3" fontId="52" fillId="0" borderId="83" xfId="0" applyNumberFormat="1" applyFont="1" applyFill="1" applyBorder="1" applyAlignment="1">
      <alignment horizontal="center" vertical="center" wrapText="1"/>
    </xf>
    <xf numFmtId="0" fontId="51" fillId="51" borderId="26" xfId="0" applyFont="1" applyFill="1" applyBorder="1" applyAlignment="1">
      <alignment horizontal="right" vertical="center"/>
    </xf>
    <xf numFmtId="0" fontId="51" fillId="51" borderId="5" xfId="0" applyFont="1" applyFill="1" applyBorder="1" applyAlignment="1">
      <alignment horizontal="right" vertical="center"/>
    </xf>
    <xf numFmtId="0" fontId="51" fillId="51" borderId="40" xfId="0" applyFont="1" applyFill="1" applyBorder="1" applyAlignment="1">
      <alignment horizontal="right" vertical="center"/>
    </xf>
    <xf numFmtId="0" fontId="52" fillId="0" borderId="68" xfId="0" applyFont="1" applyBorder="1" applyAlignment="1">
      <alignment horizontal="center" vertical="center" wrapText="1"/>
    </xf>
    <xf numFmtId="0" fontId="0" fillId="0" borderId="17" xfId="0" applyBorder="1" applyAlignment="1">
      <alignment vertical="center" wrapText="1"/>
    </xf>
    <xf numFmtId="0" fontId="0" fillId="0" borderId="24" xfId="0" applyBorder="1" applyAlignment="1">
      <alignment vertical="center" wrapText="1"/>
    </xf>
    <xf numFmtId="0" fontId="0" fillId="0" borderId="51" xfId="0" applyBorder="1" applyAlignment="1">
      <alignment vertical="center" wrapText="1"/>
    </xf>
    <xf numFmtId="0" fontId="0" fillId="0" borderId="0" xfId="0" applyBorder="1" applyAlignment="1">
      <alignment vertical="center" wrapText="1"/>
    </xf>
    <xf numFmtId="0" fontId="0" fillId="0" borderId="20" xfId="0" applyBorder="1" applyAlignment="1">
      <alignment vertical="center" wrapText="1"/>
    </xf>
    <xf numFmtId="0" fontId="0" fillId="0" borderId="90" xfId="0" applyBorder="1" applyAlignment="1">
      <alignment vertical="center" wrapText="1"/>
    </xf>
    <xf numFmtId="0" fontId="0" fillId="0" borderId="18" xfId="0" applyBorder="1" applyAlignment="1">
      <alignment vertical="center" wrapText="1"/>
    </xf>
    <xf numFmtId="0" fontId="0" fillId="0" borderId="22" xfId="0" applyBorder="1" applyAlignment="1">
      <alignment vertical="center" wrapText="1"/>
    </xf>
    <xf numFmtId="0" fontId="65" fillId="0" borderId="81" xfId="0" applyFont="1" applyFill="1" applyBorder="1" applyAlignment="1">
      <alignment horizontal="left" vertical="center" wrapText="1"/>
    </xf>
    <xf numFmtId="0" fontId="65" fillId="0" borderId="87" xfId="0" applyFont="1" applyFill="1" applyBorder="1" applyAlignment="1">
      <alignment horizontal="left" vertical="center" wrapText="1"/>
    </xf>
    <xf numFmtId="0" fontId="52" fillId="0" borderId="91" xfId="0" applyFont="1" applyBorder="1" applyAlignment="1">
      <alignment horizontal="left" vertical="center" wrapText="1"/>
    </xf>
    <xf numFmtId="0" fontId="52" fillId="0" borderId="88" xfId="0" applyFont="1" applyFill="1" applyBorder="1" applyAlignment="1">
      <alignment horizontal="left" vertical="center" wrapText="1"/>
    </xf>
    <xf numFmtId="0" fontId="52" fillId="0" borderId="86" xfId="0" applyFont="1" applyFill="1" applyBorder="1" applyAlignment="1">
      <alignment horizontal="left" vertical="center" wrapText="1"/>
    </xf>
    <xf numFmtId="0" fontId="65" fillId="0" borderId="92" xfId="0" applyFont="1" applyBorder="1" applyAlignment="1">
      <alignment horizontal="left" vertical="center" wrapText="1"/>
    </xf>
    <xf numFmtId="0" fontId="52" fillId="0" borderId="33" xfId="0" applyFont="1" applyBorder="1" applyAlignment="1">
      <alignment horizontal="center" vertical="center" wrapText="1"/>
    </xf>
    <xf numFmtId="0" fontId="52" fillId="0" borderId="36" xfId="0" applyFont="1" applyBorder="1" applyAlignment="1">
      <alignment horizontal="center" vertical="center" wrapText="1"/>
    </xf>
    <xf numFmtId="0" fontId="64" fillId="0" borderId="81" xfId="0" applyFont="1" applyBorder="1" applyAlignment="1">
      <alignment horizontal="left" vertical="center" wrapText="1"/>
    </xf>
    <xf numFmtId="0" fontId="64" fillId="0" borderId="88" xfId="0" applyFont="1" applyBorder="1" applyAlignment="1">
      <alignment horizontal="left" vertical="center" wrapText="1"/>
    </xf>
    <xf numFmtId="0" fontId="52" fillId="53" borderId="30" xfId="0" applyFont="1" applyFill="1" applyBorder="1" applyAlignment="1">
      <alignment horizontal="center" vertical="center" wrapText="1"/>
    </xf>
    <xf numFmtId="0" fontId="52" fillId="53" borderId="35" xfId="0" applyFont="1" applyFill="1" applyBorder="1" applyAlignment="1">
      <alignment horizontal="center" vertical="center" wrapText="1"/>
    </xf>
    <xf numFmtId="0" fontId="52" fillId="0" borderId="32" xfId="0" applyFont="1" applyFill="1" applyBorder="1" applyAlignment="1">
      <alignment horizontal="center" vertical="center" wrapText="1"/>
    </xf>
    <xf numFmtId="0" fontId="52" fillId="0" borderId="58" xfId="0" applyFont="1" applyFill="1" applyBorder="1" applyAlignment="1">
      <alignment horizontal="center" vertical="center" wrapText="1"/>
    </xf>
    <xf numFmtId="0" fontId="0" fillId="0" borderId="5" xfId="0" applyFill="1" applyBorder="1" applyAlignment="1">
      <alignment horizontal="center" vertical="center" wrapText="1"/>
    </xf>
    <xf numFmtId="164" fontId="52" fillId="0" borderId="42" xfId="0" applyNumberFormat="1" applyFont="1" applyFill="1" applyBorder="1" applyAlignment="1">
      <alignment horizontal="center" vertical="center" wrapText="1"/>
    </xf>
    <xf numFmtId="0" fontId="0" fillId="0" borderId="40" xfId="0" applyFill="1" applyBorder="1" applyAlignment="1">
      <alignment horizontal="center" vertical="center" wrapText="1"/>
    </xf>
    <xf numFmtId="0" fontId="51" fillId="0" borderId="31" xfId="0" applyFont="1" applyBorder="1" applyAlignment="1">
      <alignment horizontal="center" wrapText="1"/>
    </xf>
    <xf numFmtId="0" fontId="51" fillId="0" borderId="33" xfId="0" applyFont="1" applyBorder="1" applyAlignment="1">
      <alignment horizontal="center" wrapText="1"/>
    </xf>
    <xf numFmtId="0" fontId="51" fillId="0" borderId="36" xfId="0" applyFont="1" applyBorder="1" applyAlignment="1">
      <alignment horizontal="center" wrapText="1"/>
    </xf>
    <xf numFmtId="0" fontId="51" fillId="0" borderId="17" xfId="0" applyFont="1" applyBorder="1" applyAlignment="1">
      <alignment horizontal="center" wrapText="1"/>
    </xf>
    <xf numFmtId="0" fontId="51" fillId="0" borderId="0" xfId="0" applyFont="1" applyBorder="1" applyAlignment="1">
      <alignment horizontal="center" wrapText="1"/>
    </xf>
    <xf numFmtId="0" fontId="51" fillId="0" borderId="47" xfId="0" applyFont="1" applyBorder="1" applyAlignment="1">
      <alignment horizontal="center" wrapText="1"/>
    </xf>
    <xf numFmtId="0" fontId="51" fillId="0" borderId="99" xfId="0" applyFont="1" applyBorder="1" applyAlignment="1">
      <alignment horizontal="center" wrapText="1"/>
    </xf>
    <xf numFmtId="0" fontId="51" fillId="0" borderId="100" xfId="0" applyFont="1" applyBorder="1" applyAlignment="1">
      <alignment horizontal="center" wrapText="1"/>
    </xf>
    <xf numFmtId="0" fontId="51" fillId="0" borderId="101" xfId="0" applyFont="1" applyBorder="1" applyAlignment="1">
      <alignment horizontal="center" wrapText="1"/>
    </xf>
    <xf numFmtId="0" fontId="52" fillId="0" borderId="92" xfId="0" applyFont="1" applyFill="1" applyBorder="1" applyAlignment="1">
      <alignment horizontal="left" vertical="center" wrapText="1"/>
    </xf>
    <xf numFmtId="0" fontId="65" fillId="0" borderId="88" xfId="0" applyFont="1" applyFill="1" applyBorder="1" applyAlignment="1">
      <alignment horizontal="left" vertical="center" wrapText="1"/>
    </xf>
    <xf numFmtId="0" fontId="65" fillId="0" borderId="86" xfId="0" applyFont="1" applyFill="1" applyBorder="1" applyAlignment="1">
      <alignment horizontal="left" vertical="center" wrapText="1"/>
    </xf>
    <xf numFmtId="0" fontId="65" fillId="0" borderId="89" xfId="0" applyFont="1" applyFill="1" applyBorder="1" applyAlignment="1">
      <alignment horizontal="left" vertical="center" wrapText="1"/>
    </xf>
    <xf numFmtId="0" fontId="52" fillId="0" borderId="92" xfId="0" applyFont="1" applyBorder="1" applyAlignment="1">
      <alignment horizontal="left" vertical="center" wrapText="1"/>
    </xf>
    <xf numFmtId="0" fontId="52" fillId="0" borderId="81" xfId="0" applyFont="1" applyBorder="1" applyAlignment="1">
      <alignment horizontal="left" vertical="center" wrapText="1"/>
    </xf>
    <xf numFmtId="0" fontId="63" fillId="0" borderId="81" xfId="0" applyNumberFormat="1" applyFont="1" applyFill="1" applyBorder="1" applyAlignment="1">
      <alignment horizontal="left" vertical="center" wrapText="1"/>
    </xf>
    <xf numFmtId="164" fontId="52" fillId="0" borderId="5" xfId="0" applyNumberFormat="1" applyFont="1" applyBorder="1" applyAlignment="1">
      <alignment horizontal="center" vertical="center" wrapText="1"/>
    </xf>
    <xf numFmtId="164" fontId="52" fillId="0" borderId="40" xfId="0" applyNumberFormat="1" applyFont="1" applyBorder="1" applyAlignment="1">
      <alignment horizontal="center" vertical="center" wrapText="1"/>
    </xf>
    <xf numFmtId="164" fontId="52" fillId="0" borderId="5" xfId="0" applyNumberFormat="1" applyFont="1" applyFill="1" applyBorder="1" applyAlignment="1">
      <alignment horizontal="center" vertical="center" wrapText="1"/>
    </xf>
    <xf numFmtId="164" fontId="52" fillId="0" borderId="40" xfId="0" applyNumberFormat="1" applyFont="1" applyFill="1" applyBorder="1" applyAlignment="1">
      <alignment horizontal="center" vertical="center" wrapText="1"/>
    </xf>
    <xf numFmtId="0" fontId="51" fillId="0" borderId="43" xfId="0" applyFont="1" applyFill="1" applyBorder="1" applyAlignment="1">
      <alignment horizontal="center" vertical="center" wrapText="1"/>
    </xf>
    <xf numFmtId="0" fontId="13" fillId="0" borderId="10" xfId="0" applyFont="1" applyBorder="1" applyAlignment="1">
      <alignment horizontal="center" vertical="center" wrapText="1"/>
    </xf>
    <xf numFmtId="0" fontId="13" fillId="0" borderId="26" xfId="0" applyFont="1" applyBorder="1" applyAlignment="1">
      <alignment horizontal="center" vertical="center" wrapText="1"/>
    </xf>
    <xf numFmtId="10" fontId="52" fillId="0" borderId="44" xfId="0" applyNumberFormat="1" applyFont="1" applyBorder="1" applyAlignment="1">
      <alignment horizontal="center" vertical="center" wrapText="1"/>
    </xf>
    <xf numFmtId="10" fontId="52" fillId="0" borderId="33" xfId="0" applyNumberFormat="1" applyFont="1" applyBorder="1" applyAlignment="1">
      <alignment horizontal="center" vertical="center" wrapText="1"/>
    </xf>
    <xf numFmtId="10" fontId="52" fillId="0" borderId="45" xfId="0" applyNumberFormat="1" applyFont="1" applyBorder="1" applyAlignment="1">
      <alignment horizontal="center" vertical="center" wrapText="1"/>
    </xf>
    <xf numFmtId="10" fontId="52" fillId="0" borderId="60" xfId="0" applyNumberFormat="1" applyFont="1" applyFill="1" applyBorder="1" applyAlignment="1">
      <alignment horizontal="center" vertical="center" wrapText="1"/>
    </xf>
    <xf numFmtId="10" fontId="52" fillId="0" borderId="69" xfId="0" applyNumberFormat="1" applyFont="1" applyBorder="1" applyAlignment="1">
      <alignment horizontal="center" vertical="center" wrapText="1"/>
    </xf>
    <xf numFmtId="10" fontId="52" fillId="0" borderId="62" xfId="0" applyNumberFormat="1" applyFont="1" applyBorder="1" applyAlignment="1">
      <alignment horizontal="center" vertical="center" wrapText="1"/>
    </xf>
    <xf numFmtId="0" fontId="52" fillId="0" borderId="17" xfId="0" applyFont="1" applyBorder="1" applyAlignment="1">
      <alignment horizontal="center" vertical="center" wrapText="1"/>
    </xf>
    <xf numFmtId="0" fontId="0" fillId="0" borderId="47" xfId="0" applyBorder="1" applyAlignment="1">
      <alignment vertical="center" wrapText="1"/>
    </xf>
    <xf numFmtId="0" fontId="52" fillId="0" borderId="35" xfId="0" applyFont="1" applyBorder="1" applyAlignment="1">
      <alignment horizontal="center" vertical="center" wrapText="1"/>
    </xf>
    <xf numFmtId="0" fontId="52" fillId="0" borderId="68" xfId="0" applyFont="1" applyFill="1" applyBorder="1" applyAlignment="1">
      <alignment horizontal="center" vertical="center" wrapText="1"/>
    </xf>
    <xf numFmtId="0" fontId="0" fillId="0" borderId="17" xfId="0" applyFill="1" applyBorder="1" applyAlignment="1">
      <alignment vertical="center" wrapText="1"/>
    </xf>
    <xf numFmtId="0" fontId="0" fillId="0" borderId="24" xfId="0" applyFill="1" applyBorder="1" applyAlignment="1">
      <alignment vertical="center" wrapText="1"/>
    </xf>
    <xf numFmtId="0" fontId="0" fillId="0" borderId="51" xfId="0" applyFill="1" applyBorder="1" applyAlignment="1">
      <alignment vertical="center" wrapText="1"/>
    </xf>
    <xf numFmtId="0" fontId="0" fillId="0" borderId="0" xfId="0" applyFill="1" applyBorder="1" applyAlignment="1">
      <alignment vertical="center" wrapText="1"/>
    </xf>
    <xf numFmtId="0" fontId="0" fillId="0" borderId="20" xfId="0" applyFill="1" applyBorder="1" applyAlignment="1">
      <alignment vertical="center" wrapText="1"/>
    </xf>
    <xf numFmtId="0" fontId="0" fillId="0" borderId="93" xfId="0" applyFill="1" applyBorder="1" applyAlignment="1">
      <alignment vertical="center" wrapText="1"/>
    </xf>
    <xf numFmtId="0" fontId="0" fillId="0" borderId="47" xfId="0" applyFill="1" applyBorder="1" applyAlignment="1">
      <alignment vertical="center" wrapText="1"/>
    </xf>
    <xf numFmtId="0" fontId="0" fillId="0" borderId="94" xfId="0" applyFill="1" applyBorder="1" applyAlignment="1">
      <alignment vertical="center" wrapText="1"/>
    </xf>
    <xf numFmtId="164" fontId="52" fillId="0" borderId="68" xfId="0" applyNumberFormat="1" applyFont="1" applyFill="1" applyBorder="1" applyAlignment="1">
      <alignment horizontal="center" vertical="center" wrapText="1"/>
    </xf>
    <xf numFmtId="164" fontId="52" fillId="0" borderId="17" xfId="0" applyNumberFormat="1" applyFont="1" applyFill="1" applyBorder="1" applyAlignment="1">
      <alignment horizontal="center" vertical="center" wrapText="1"/>
    </xf>
    <xf numFmtId="164" fontId="52" fillId="0" borderId="57" xfId="0" applyNumberFormat="1" applyFont="1" applyFill="1" applyBorder="1" applyAlignment="1">
      <alignment horizontal="center" vertical="center" wrapText="1"/>
    </xf>
    <xf numFmtId="164" fontId="52" fillId="0" borderId="90" xfId="0" applyNumberFormat="1" applyFont="1" applyFill="1" applyBorder="1" applyAlignment="1">
      <alignment horizontal="center" vertical="center" wrapText="1"/>
    </xf>
    <xf numFmtId="164" fontId="52" fillId="0" borderId="18" xfId="0" applyNumberFormat="1" applyFont="1" applyFill="1" applyBorder="1" applyAlignment="1">
      <alignment horizontal="center" vertical="center" wrapText="1"/>
    </xf>
    <xf numFmtId="164" fontId="52" fillId="0" borderId="70" xfId="0" applyNumberFormat="1" applyFont="1" applyFill="1" applyBorder="1" applyAlignment="1">
      <alignment horizontal="center" vertical="center" wrapText="1"/>
    </xf>
    <xf numFmtId="164" fontId="56" fillId="0" borderId="17" xfId="0" applyNumberFormat="1" applyFont="1" applyFill="1" applyBorder="1" applyAlignment="1">
      <alignment horizontal="center" vertical="center" wrapText="1"/>
    </xf>
    <xf numFmtId="164" fontId="56" fillId="0" borderId="57" xfId="0" applyNumberFormat="1" applyFont="1" applyFill="1" applyBorder="1" applyAlignment="1">
      <alignment horizontal="center" vertical="center" wrapText="1"/>
    </xf>
    <xf numFmtId="164" fontId="56" fillId="0" borderId="18" xfId="0" applyNumberFormat="1" applyFont="1" applyFill="1" applyBorder="1" applyAlignment="1">
      <alignment horizontal="center" vertical="center" wrapText="1"/>
    </xf>
    <xf numFmtId="164" fontId="56" fillId="0" borderId="70" xfId="0" applyNumberFormat="1" applyFont="1" applyFill="1" applyBorder="1" applyAlignment="1">
      <alignment horizontal="center" vertical="center" wrapText="1"/>
    </xf>
    <xf numFmtId="0" fontId="0" fillId="0" borderId="95" xfId="0" applyBorder="1" applyAlignment="1">
      <alignment horizontal="center" vertical="center" wrapText="1"/>
    </xf>
    <xf numFmtId="0" fontId="0" fillId="0" borderId="73" xfId="0" applyBorder="1" applyAlignment="1">
      <alignment horizontal="center" vertical="center" wrapText="1"/>
    </xf>
    <xf numFmtId="0" fontId="52" fillId="0" borderId="68" xfId="2109" applyFont="1" applyFill="1" applyBorder="1" applyAlignment="1">
      <alignment horizontal="center" vertical="center" wrapText="1"/>
    </xf>
    <xf numFmtId="0" fontId="52" fillId="0" borderId="17" xfId="2109" applyFont="1" applyFill="1" applyBorder="1" applyAlignment="1">
      <alignment horizontal="center" vertical="center" wrapText="1"/>
    </xf>
    <xf numFmtId="164" fontId="52" fillId="0" borderId="74" xfId="0" applyNumberFormat="1" applyFont="1" applyBorder="1" applyAlignment="1">
      <alignment horizontal="center" vertical="center" wrapText="1"/>
    </xf>
    <xf numFmtId="164" fontId="52" fillId="0" borderId="73" xfId="0" applyNumberFormat="1" applyFont="1" applyBorder="1" applyAlignment="1">
      <alignment horizontal="center" vertical="center" wrapText="1"/>
    </xf>
    <xf numFmtId="0" fontId="52" fillId="0" borderId="66" xfId="0" applyFont="1" applyFill="1" applyBorder="1" applyAlignment="1">
      <alignment horizontal="center" vertical="center" wrapText="1"/>
    </xf>
    <xf numFmtId="0" fontId="0" fillId="0" borderId="67" xfId="0" applyFill="1" applyBorder="1" applyAlignment="1">
      <alignment horizontal="center" vertical="center" wrapText="1"/>
    </xf>
    <xf numFmtId="0" fontId="0" fillId="0" borderId="65" xfId="0" applyFill="1" applyBorder="1" applyAlignment="1">
      <alignment horizontal="center" vertical="center" wrapText="1"/>
    </xf>
    <xf numFmtId="164" fontId="52" fillId="0" borderId="60" xfId="0" applyNumberFormat="1" applyFont="1" applyBorder="1" applyAlignment="1">
      <alignment horizontal="center" vertical="center" wrapText="1"/>
    </xf>
    <xf numFmtId="164" fontId="0" fillId="0" borderId="69" xfId="0" applyNumberFormat="1" applyBorder="1" applyAlignment="1">
      <alignment horizontal="center" vertical="center" wrapText="1"/>
    </xf>
    <xf numFmtId="164" fontId="0" fillId="0" borderId="37" xfId="0" applyNumberFormat="1" applyBorder="1" applyAlignment="1">
      <alignment horizontal="center" vertical="center" wrapText="1"/>
    </xf>
    <xf numFmtId="164" fontId="52" fillId="0" borderId="95" xfId="0" applyNumberFormat="1" applyFont="1" applyFill="1" applyBorder="1" applyAlignment="1">
      <alignment horizontal="center" vertical="center" wrapText="1"/>
    </xf>
    <xf numFmtId="164" fontId="52" fillId="0" borderId="73" xfId="0" applyNumberFormat="1" applyFont="1" applyFill="1" applyBorder="1" applyAlignment="1">
      <alignment horizontal="center" vertical="center" wrapText="1"/>
    </xf>
    <xf numFmtId="0" fontId="0" fillId="0" borderId="45" xfId="0" applyFill="1" applyBorder="1" applyAlignment="1">
      <alignment horizontal="center" vertical="center" wrapText="1"/>
    </xf>
    <xf numFmtId="0" fontId="0" fillId="0" borderId="21" xfId="0" applyFill="1" applyBorder="1" applyAlignment="1">
      <alignment horizontal="center" vertical="center" wrapText="1"/>
    </xf>
    <xf numFmtId="0" fontId="52" fillId="0" borderId="74" xfId="0" applyFont="1" applyFill="1" applyBorder="1" applyAlignment="1">
      <alignment horizontal="center" vertical="center" wrapText="1"/>
    </xf>
    <xf numFmtId="0" fontId="0" fillId="0" borderId="95" xfId="0" applyFill="1" applyBorder="1" applyAlignment="1">
      <alignment horizontal="center" vertical="center" wrapText="1"/>
    </xf>
    <xf numFmtId="0" fontId="0" fillId="0" borderId="73" xfId="0" applyFill="1" applyBorder="1" applyAlignment="1">
      <alignment horizontal="center" vertical="center" wrapText="1"/>
    </xf>
    <xf numFmtId="0" fontId="0" fillId="0" borderId="58" xfId="0" applyFill="1" applyBorder="1" applyAlignment="1">
      <alignment horizontal="center" vertical="center" wrapText="1"/>
    </xf>
    <xf numFmtId="0" fontId="52" fillId="0" borderId="76" xfId="0" applyFont="1" applyFill="1" applyBorder="1" applyAlignment="1">
      <alignment horizontal="center" vertical="center" wrapText="1"/>
    </xf>
    <xf numFmtId="0" fontId="52" fillId="0" borderId="67" xfId="0" applyFont="1" applyFill="1" applyBorder="1" applyAlignment="1">
      <alignment horizontal="center" vertical="center" wrapText="1"/>
    </xf>
    <xf numFmtId="0" fontId="52" fillId="0" borderId="49" xfId="0" applyFont="1" applyFill="1" applyBorder="1" applyAlignment="1">
      <alignment horizontal="center" vertical="center" wrapText="1"/>
    </xf>
    <xf numFmtId="0" fontId="65" fillId="0" borderId="88" xfId="0" applyNumberFormat="1" applyFont="1" applyFill="1" applyBorder="1" applyAlignment="1">
      <alignment horizontal="left" vertical="center" wrapText="1"/>
    </xf>
    <xf numFmtId="0" fontId="66" fillId="0" borderId="86" xfId="0" applyFont="1" applyFill="1" applyBorder="1" applyAlignment="1">
      <alignment horizontal="left"/>
    </xf>
    <xf numFmtId="0" fontId="66" fillId="0" borderId="89" xfId="0" applyFont="1" applyFill="1" applyBorder="1" applyAlignment="1">
      <alignment horizontal="left"/>
    </xf>
    <xf numFmtId="0" fontId="52" fillId="53" borderId="42" xfId="0" applyFont="1" applyFill="1" applyBorder="1" applyAlignment="1">
      <alignment horizontal="center" vertical="center" wrapText="1"/>
    </xf>
    <xf numFmtId="0" fontId="52" fillId="53" borderId="5" xfId="0" applyFont="1" applyFill="1" applyBorder="1" applyAlignment="1">
      <alignment horizontal="center" vertical="center" wrapText="1"/>
    </xf>
    <xf numFmtId="0" fontId="52" fillId="53" borderId="40" xfId="0" applyFont="1" applyFill="1" applyBorder="1" applyAlignment="1">
      <alignment horizontal="center" vertical="center" wrapText="1"/>
    </xf>
    <xf numFmtId="0" fontId="52" fillId="53" borderId="81" xfId="0" applyFont="1" applyFill="1" applyBorder="1" applyAlignment="1">
      <alignment horizontal="center" vertical="center" wrapText="1"/>
    </xf>
    <xf numFmtId="14" fontId="56" fillId="0" borderId="98" xfId="0" applyNumberFormat="1" applyFont="1" applyFill="1" applyBorder="1" applyAlignment="1">
      <alignment horizontal="left" vertical="center" wrapText="1"/>
    </xf>
    <xf numFmtId="14" fontId="56" fillId="0" borderId="4" xfId="0" applyNumberFormat="1" applyFont="1" applyFill="1" applyBorder="1" applyAlignment="1">
      <alignment horizontal="left" vertical="center" wrapText="1"/>
    </xf>
    <xf numFmtId="14" fontId="56" fillId="0" borderId="29" xfId="0" applyNumberFormat="1" applyFont="1" applyFill="1" applyBorder="1" applyAlignment="1">
      <alignment horizontal="left" vertical="center" wrapText="1"/>
    </xf>
    <xf numFmtId="0" fontId="52" fillId="40" borderId="77" xfId="0" applyFont="1" applyFill="1" applyBorder="1" applyAlignment="1">
      <alignment horizontal="center" vertical="center" wrapText="1"/>
    </xf>
    <xf numFmtId="0" fontId="52" fillId="0" borderId="5" xfId="0" applyFont="1" applyFill="1" applyBorder="1" applyAlignment="1">
      <alignment horizontal="center" vertical="center" wrapText="1"/>
    </xf>
    <xf numFmtId="0" fontId="52" fillId="0" borderId="40" xfId="0" applyFont="1" applyFill="1" applyBorder="1" applyAlignment="1">
      <alignment horizontal="center" vertical="center" wrapText="1"/>
    </xf>
    <xf numFmtId="0" fontId="51" fillId="0" borderId="44" xfId="0" applyFont="1" applyBorder="1" applyAlignment="1">
      <alignment horizontal="center" wrapText="1"/>
    </xf>
    <xf numFmtId="0" fontId="52" fillId="0" borderId="90" xfId="0" applyFont="1" applyFill="1" applyBorder="1" applyAlignment="1">
      <alignment horizontal="center" vertical="center" wrapText="1"/>
    </xf>
    <xf numFmtId="0" fontId="52" fillId="0" borderId="18" xfId="0" applyFont="1" applyFill="1" applyBorder="1" applyAlignment="1">
      <alignment horizontal="center" vertical="center" wrapText="1"/>
    </xf>
    <xf numFmtId="0" fontId="52" fillId="0" borderId="70" xfId="0" applyFont="1" applyFill="1" applyBorder="1" applyAlignment="1">
      <alignment horizontal="center" vertical="center" wrapText="1"/>
    </xf>
    <xf numFmtId="0" fontId="52" fillId="0" borderId="42" xfId="0" applyNumberFormat="1" applyFont="1" applyFill="1" applyBorder="1" applyAlignment="1">
      <alignment horizontal="center" vertical="center" wrapText="1"/>
    </xf>
    <xf numFmtId="0" fontId="52" fillId="40" borderId="42" xfId="0" applyFont="1" applyFill="1" applyBorder="1" applyAlignment="1">
      <alignment horizontal="center" vertical="center" wrapText="1"/>
    </xf>
    <xf numFmtId="0" fontId="52" fillId="40" borderId="5" xfId="0" applyFont="1" applyFill="1" applyBorder="1" applyAlignment="1">
      <alignment horizontal="center" vertical="center" wrapText="1"/>
    </xf>
    <xf numFmtId="0" fontId="52" fillId="40" borderId="40" xfId="0" applyFont="1" applyFill="1" applyBorder="1" applyAlignment="1">
      <alignment horizontal="center" vertical="center" wrapText="1"/>
    </xf>
    <xf numFmtId="0" fontId="52" fillId="0" borderId="51" xfId="0" applyNumberFormat="1" applyFont="1" applyFill="1" applyBorder="1" applyAlignment="1">
      <alignment horizontal="center" vertical="center" wrapText="1"/>
    </xf>
    <xf numFmtId="0" fontId="52" fillId="0" borderId="0" xfId="0" applyNumberFormat="1" applyFont="1" applyFill="1" applyBorder="1" applyAlignment="1">
      <alignment horizontal="center" vertical="center" wrapText="1"/>
    </xf>
    <xf numFmtId="0" fontId="52" fillId="0" borderId="54" xfId="0" applyNumberFormat="1" applyFont="1" applyFill="1" applyBorder="1" applyAlignment="1">
      <alignment horizontal="center" vertical="center" wrapText="1"/>
    </xf>
    <xf numFmtId="0" fontId="51" fillId="0" borderId="97" xfId="0" applyFont="1" applyBorder="1" applyAlignment="1">
      <alignment horizontal="center" wrapText="1"/>
    </xf>
    <xf numFmtId="0" fontId="13" fillId="0" borderId="0" xfId="0" applyFont="1" applyBorder="1" applyAlignment="1">
      <alignment horizontal="center" wrapText="1"/>
    </xf>
    <xf numFmtId="10" fontId="52" fillId="0" borderId="68" xfId="0" applyNumberFormat="1" applyFont="1" applyFill="1" applyBorder="1" applyAlignment="1">
      <alignment horizontal="center" vertical="center" wrapText="1"/>
    </xf>
    <xf numFmtId="10" fontId="52" fillId="0" borderId="17" xfId="0" applyNumberFormat="1" applyFont="1" applyFill="1" applyBorder="1" applyAlignment="1">
      <alignment horizontal="center" vertical="center" wrapText="1"/>
    </xf>
    <xf numFmtId="10" fontId="52" fillId="0" borderId="57" xfId="0" applyNumberFormat="1" applyFont="1" applyFill="1" applyBorder="1" applyAlignment="1">
      <alignment horizontal="center" vertical="center" wrapText="1"/>
    </xf>
    <xf numFmtId="9" fontId="52" fillId="0" borderId="68" xfId="0" applyNumberFormat="1" applyFont="1" applyFill="1" applyBorder="1" applyAlignment="1">
      <alignment horizontal="center" vertical="center" wrapText="1"/>
    </xf>
    <xf numFmtId="0" fontId="52" fillId="0" borderId="17" xfId="0" applyFont="1" applyFill="1" applyBorder="1" applyAlignment="1">
      <alignment horizontal="center" vertical="center" wrapText="1"/>
    </xf>
    <xf numFmtId="0" fontId="52" fillId="0" borderId="57" xfId="0" applyFont="1" applyFill="1" applyBorder="1" applyAlignment="1">
      <alignment horizontal="center" vertical="center" wrapText="1"/>
    </xf>
    <xf numFmtId="164" fontId="52" fillId="0" borderId="42" xfId="2114" applyNumberFormat="1" applyFont="1" applyFill="1" applyBorder="1" applyAlignment="1">
      <alignment horizontal="center" vertical="center" wrapText="1"/>
    </xf>
    <xf numFmtId="164" fontId="52" fillId="0" borderId="5" xfId="2114" applyNumberFormat="1" applyFont="1" applyFill="1" applyBorder="1" applyAlignment="1">
      <alignment horizontal="center" vertical="center" wrapText="1"/>
    </xf>
    <xf numFmtId="164" fontId="52" fillId="0" borderId="40" xfId="2114" applyNumberFormat="1" applyFont="1" applyFill="1" applyBorder="1" applyAlignment="1">
      <alignment horizontal="center" vertical="center" wrapText="1"/>
    </xf>
    <xf numFmtId="164" fontId="51" fillId="0" borderId="27" xfId="0" applyNumberFormat="1" applyFont="1" applyBorder="1" applyAlignment="1">
      <alignment horizontal="center" vertical="center" wrapText="1"/>
    </xf>
    <xf numFmtId="164" fontId="13" fillId="0" borderId="10" xfId="0" applyNumberFormat="1" applyFont="1" applyBorder="1" applyAlignment="1">
      <alignment horizontal="center" vertical="center" wrapText="1"/>
    </xf>
    <xf numFmtId="164" fontId="13" fillId="0" borderId="39" xfId="0" applyNumberFormat="1" applyFont="1" applyBorder="1" applyAlignment="1">
      <alignment horizontal="center" vertical="center" wrapText="1"/>
    </xf>
    <xf numFmtId="10" fontId="52" fillId="0" borderId="68" xfId="0" applyNumberFormat="1" applyFont="1" applyBorder="1" applyAlignment="1">
      <alignment horizontal="center" vertical="center" wrapText="1"/>
    </xf>
    <xf numFmtId="10" fontId="52" fillId="0" borderId="17" xfId="0" applyNumberFormat="1" applyFont="1" applyBorder="1" applyAlignment="1">
      <alignment horizontal="center" vertical="center" wrapText="1"/>
    </xf>
    <xf numFmtId="10" fontId="52" fillId="0" borderId="24" xfId="0" applyNumberFormat="1" applyFont="1" applyBorder="1" applyAlignment="1">
      <alignment horizontal="center" vertical="center" wrapText="1"/>
    </xf>
    <xf numFmtId="10" fontId="52" fillId="0" borderId="51" xfId="0" applyNumberFormat="1" applyFont="1" applyBorder="1" applyAlignment="1">
      <alignment horizontal="center" vertical="center" wrapText="1"/>
    </xf>
    <xf numFmtId="10" fontId="52" fillId="0" borderId="0" xfId="0" applyNumberFormat="1" applyFont="1" applyBorder="1" applyAlignment="1">
      <alignment horizontal="center" vertical="center" wrapText="1"/>
    </xf>
    <xf numFmtId="10" fontId="52" fillId="0" borderId="20" xfId="0" applyNumberFormat="1" applyFont="1" applyBorder="1" applyAlignment="1">
      <alignment horizontal="center" vertical="center" wrapText="1"/>
    </xf>
    <xf numFmtId="10" fontId="52" fillId="0" borderId="90" xfId="0" applyNumberFormat="1" applyFont="1" applyBorder="1" applyAlignment="1">
      <alignment horizontal="center" vertical="center" wrapText="1"/>
    </xf>
    <xf numFmtId="10" fontId="52" fillId="0" borderId="18" xfId="0" applyNumberFormat="1" applyFont="1" applyBorder="1" applyAlignment="1">
      <alignment horizontal="center" vertical="center" wrapText="1"/>
    </xf>
    <xf numFmtId="10" fontId="52" fillId="0" borderId="22" xfId="0" applyNumberFormat="1" applyFont="1" applyBorder="1" applyAlignment="1">
      <alignment horizontal="center" vertical="center" wrapText="1"/>
    </xf>
    <xf numFmtId="0" fontId="52" fillId="53" borderId="82" xfId="0" applyFont="1" applyFill="1" applyBorder="1" applyAlignment="1">
      <alignment horizontal="center" vertical="center" wrapText="1"/>
    </xf>
    <xf numFmtId="0" fontId="52" fillId="53" borderId="102" xfId="0" applyFont="1" applyFill="1" applyBorder="1" applyAlignment="1">
      <alignment horizontal="center" vertical="center" wrapText="1"/>
    </xf>
    <xf numFmtId="0" fontId="52" fillId="53" borderId="83" xfId="0" applyFont="1" applyFill="1" applyBorder="1" applyAlignment="1">
      <alignment horizontal="center" vertical="center" wrapText="1"/>
    </xf>
    <xf numFmtId="164" fontId="52" fillId="0" borderId="76" xfId="2114" applyNumberFormat="1" applyFont="1" applyBorder="1" applyAlignment="1">
      <alignment horizontal="center" vertical="center" wrapText="1"/>
    </xf>
    <xf numFmtId="164" fontId="0" fillId="0" borderId="67" xfId="0" applyNumberFormat="1" applyBorder="1" applyAlignment="1">
      <alignment horizontal="center" vertical="center" wrapText="1"/>
    </xf>
    <xf numFmtId="164" fontId="0" fillId="0" borderId="49" xfId="0" applyNumberFormat="1" applyBorder="1" applyAlignment="1">
      <alignment horizontal="center" vertical="center" wrapText="1"/>
    </xf>
    <xf numFmtId="164" fontId="52" fillId="0" borderId="66" xfId="0" applyNumberFormat="1" applyFont="1" applyBorder="1" applyAlignment="1">
      <alignment horizontal="center" vertical="center" wrapText="1"/>
    </xf>
    <xf numFmtId="164" fontId="52" fillId="0" borderId="66" xfId="0" applyNumberFormat="1" applyFont="1" applyFill="1" applyBorder="1" applyAlignment="1">
      <alignment horizontal="center" vertical="center" wrapText="1"/>
    </xf>
    <xf numFmtId="164" fontId="0" fillId="0" borderId="65" xfId="0" applyNumberFormat="1" applyBorder="1" applyAlignment="1">
      <alignment horizontal="center" vertical="center" wrapText="1"/>
    </xf>
    <xf numFmtId="0" fontId="52" fillId="0" borderId="51" xfId="0" applyFont="1" applyFill="1" applyBorder="1" applyAlignment="1">
      <alignment horizontal="center" vertical="center" wrapText="1"/>
    </xf>
    <xf numFmtId="0" fontId="52" fillId="0" borderId="0" xfId="0" applyFont="1" applyFill="1" applyBorder="1" applyAlignment="1">
      <alignment horizontal="center" vertical="center" wrapText="1"/>
    </xf>
    <xf numFmtId="0" fontId="52" fillId="0" borderId="20" xfId="0" applyFont="1" applyFill="1" applyBorder="1" applyAlignment="1">
      <alignment horizontal="center" vertical="center" wrapText="1"/>
    </xf>
    <xf numFmtId="0" fontId="52" fillId="0" borderId="93" xfId="0" applyFont="1" applyFill="1" applyBorder="1" applyAlignment="1">
      <alignment horizontal="center" vertical="center" wrapText="1"/>
    </xf>
    <xf numFmtId="0" fontId="52" fillId="0" borderId="47" xfId="0" applyFont="1" applyFill="1" applyBorder="1" applyAlignment="1">
      <alignment horizontal="center" vertical="center" wrapText="1"/>
    </xf>
    <xf numFmtId="0" fontId="52" fillId="0" borderId="94" xfId="0" applyFont="1" applyFill="1" applyBorder="1" applyAlignment="1">
      <alignment horizontal="center" vertical="center" wrapText="1"/>
    </xf>
    <xf numFmtId="0" fontId="52" fillId="0" borderId="41" xfId="0" applyNumberFormat="1" applyFont="1" applyFill="1" applyBorder="1" applyAlignment="1">
      <alignment horizontal="center" vertical="center" wrapText="1"/>
    </xf>
    <xf numFmtId="0" fontId="52" fillId="0" borderId="28" xfId="0" applyFont="1" applyBorder="1" applyAlignment="1">
      <alignment horizontal="center" vertical="center" wrapText="1"/>
    </xf>
    <xf numFmtId="0" fontId="52" fillId="0" borderId="61" xfId="0" applyFont="1" applyBorder="1" applyAlignment="1">
      <alignment horizontal="center" vertical="center" wrapText="1"/>
    </xf>
    <xf numFmtId="0" fontId="52" fillId="0" borderId="42" xfId="2109" applyFont="1" applyFill="1" applyBorder="1" applyAlignment="1">
      <alignment horizontal="center" vertical="center" wrapText="1"/>
    </xf>
    <xf numFmtId="0" fontId="52" fillId="0" borderId="5" xfId="2109" applyFont="1" applyFill="1" applyBorder="1" applyAlignment="1">
      <alignment horizontal="center" vertical="center" wrapText="1"/>
    </xf>
    <xf numFmtId="0" fontId="51" fillId="0" borderId="27" xfId="0" applyFont="1" applyBorder="1" applyAlignment="1">
      <alignment horizontal="center" vertical="center" wrapText="1"/>
    </xf>
    <xf numFmtId="0" fontId="13" fillId="0" borderId="39" xfId="0" applyFont="1" applyBorder="1" applyAlignment="1">
      <alignment horizontal="center" vertical="center" wrapText="1"/>
    </xf>
    <xf numFmtId="164" fontId="52" fillId="0" borderId="76" xfId="2114" applyNumberFormat="1" applyFont="1" applyFill="1" applyBorder="1" applyAlignment="1">
      <alignment horizontal="center" vertical="center" wrapText="1"/>
    </xf>
    <xf numFmtId="164" fontId="52" fillId="0" borderId="72" xfId="2114" applyNumberFormat="1" applyFont="1" applyBorder="1" applyAlignment="1">
      <alignment horizontal="center" vertical="center" wrapText="1"/>
    </xf>
    <xf numFmtId="164" fontId="0" fillId="0" borderId="62" xfId="0" applyNumberFormat="1" applyBorder="1" applyAlignment="1">
      <alignment horizontal="center" vertical="center" wrapText="1"/>
    </xf>
    <xf numFmtId="164" fontId="0" fillId="0" borderId="67" xfId="0" applyNumberFormat="1" applyFill="1" applyBorder="1" applyAlignment="1">
      <alignment horizontal="center" vertical="center" wrapText="1"/>
    </xf>
    <xf numFmtId="164" fontId="0" fillId="0" borderId="65" xfId="0" applyNumberFormat="1" applyFill="1" applyBorder="1" applyAlignment="1">
      <alignment horizontal="center" vertical="center" wrapText="1"/>
    </xf>
    <xf numFmtId="0" fontId="52" fillId="40" borderId="98" xfId="0" applyFont="1" applyFill="1" applyBorder="1" applyAlignment="1">
      <alignment horizontal="center" vertical="center" wrapText="1"/>
    </xf>
    <xf numFmtId="0" fontId="0" fillId="40" borderId="4" xfId="0" applyFill="1" applyBorder="1" applyAlignment="1">
      <alignment horizontal="center" vertical="center" wrapText="1"/>
    </xf>
    <xf numFmtId="0" fontId="0" fillId="40" borderId="29" xfId="0" applyFill="1" applyBorder="1" applyAlignment="1">
      <alignment horizontal="center" vertical="center" wrapText="1"/>
    </xf>
    <xf numFmtId="0" fontId="52" fillId="53" borderId="66" xfId="0" applyFont="1" applyFill="1" applyBorder="1" applyAlignment="1">
      <alignment horizontal="center" vertical="center" wrapText="1"/>
    </xf>
    <xf numFmtId="0" fontId="52" fillId="53" borderId="67" xfId="0" applyFont="1" applyFill="1" applyBorder="1" applyAlignment="1">
      <alignment horizontal="center" vertical="center" wrapText="1"/>
    </xf>
    <xf numFmtId="0" fontId="52" fillId="53" borderId="65" xfId="0" applyFont="1" applyFill="1" applyBorder="1" applyAlignment="1">
      <alignment horizontal="center" vertical="center" wrapText="1"/>
    </xf>
    <xf numFmtId="164" fontId="52" fillId="0" borderId="93" xfId="0" applyNumberFormat="1" applyFont="1" applyFill="1" applyBorder="1" applyAlignment="1">
      <alignment horizontal="center" vertical="center" wrapText="1"/>
    </xf>
    <xf numFmtId="164" fontId="0" fillId="0" borderId="85" xfId="0" applyNumberFormat="1" applyBorder="1" applyAlignment="1"/>
    <xf numFmtId="0" fontId="51" fillId="0" borderId="99" xfId="0" applyFont="1" applyFill="1" applyBorder="1" applyAlignment="1">
      <alignment horizontal="center" wrapText="1"/>
    </xf>
    <xf numFmtId="0" fontId="51" fillId="0" borderId="100" xfId="0" applyFont="1" applyFill="1" applyBorder="1" applyAlignment="1">
      <alignment horizontal="center" wrapText="1"/>
    </xf>
    <xf numFmtId="0" fontId="51" fillId="0" borderId="101" xfId="0" applyFont="1" applyFill="1" applyBorder="1" applyAlignment="1">
      <alignment horizontal="center" wrapText="1"/>
    </xf>
    <xf numFmtId="0" fontId="52" fillId="0" borderId="96" xfId="0" applyFont="1" applyFill="1" applyBorder="1" applyAlignment="1">
      <alignment horizontal="center" vertical="center" wrapText="1"/>
    </xf>
    <xf numFmtId="0" fontId="52" fillId="0" borderId="97" xfId="0" applyFont="1" applyFill="1" applyBorder="1" applyAlignment="1">
      <alignment horizontal="center" vertical="center" wrapText="1"/>
    </xf>
    <xf numFmtId="0" fontId="52" fillId="0" borderId="77" xfId="0" applyFont="1" applyFill="1" applyBorder="1" applyAlignment="1">
      <alignment horizontal="center" vertical="center" wrapText="1"/>
    </xf>
    <xf numFmtId="0" fontId="51" fillId="50" borderId="4" xfId="0" applyFont="1" applyFill="1" applyBorder="1" applyAlignment="1">
      <alignment horizontal="center" vertical="center" wrapText="1"/>
    </xf>
    <xf numFmtId="0" fontId="51" fillId="50" borderId="96" xfId="0" applyFont="1" applyFill="1" applyBorder="1" applyAlignment="1">
      <alignment horizontal="center" vertical="center" wrapText="1"/>
    </xf>
    <xf numFmtId="0" fontId="51" fillId="50" borderId="97" xfId="0" applyFont="1" applyFill="1" applyBorder="1" applyAlignment="1">
      <alignment horizontal="center" vertical="center" wrapText="1"/>
    </xf>
    <xf numFmtId="0" fontId="52" fillId="0" borderId="77" xfId="0" applyFont="1" applyBorder="1" applyAlignment="1">
      <alignment horizontal="center" vertical="center" wrapText="1"/>
    </xf>
    <xf numFmtId="0" fontId="0" fillId="0" borderId="97" xfId="0" applyBorder="1" applyAlignment="1">
      <alignment horizontal="center" vertical="center" wrapText="1"/>
    </xf>
    <xf numFmtId="0" fontId="0" fillId="0" borderId="77" xfId="0" applyBorder="1" applyAlignment="1">
      <alignment horizontal="center" vertical="center" wrapText="1"/>
    </xf>
    <xf numFmtId="0" fontId="51" fillId="0" borderId="27"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3" fillId="0" borderId="26" xfId="0" applyFont="1" applyFill="1" applyBorder="1" applyAlignment="1">
      <alignment horizontal="center" vertical="center" wrapText="1"/>
    </xf>
    <xf numFmtId="0" fontId="52" fillId="0" borderId="42" xfId="0" applyFont="1" applyBorder="1" applyAlignment="1">
      <alignment horizontal="center" vertical="center" wrapText="1"/>
    </xf>
    <xf numFmtId="10" fontId="0" fillId="0" borderId="69" xfId="0" applyNumberFormat="1" applyFill="1" applyBorder="1" applyAlignment="1">
      <alignment horizontal="center" vertical="center" wrapText="1"/>
    </xf>
    <xf numFmtId="10" fontId="0" fillId="0" borderId="37" xfId="0" applyNumberFormat="1" applyFill="1" applyBorder="1" applyAlignment="1">
      <alignment horizontal="center" vertical="center" wrapText="1"/>
    </xf>
    <xf numFmtId="0" fontId="52" fillId="0" borderId="41" xfId="0" applyFont="1" applyFill="1" applyBorder="1" applyAlignment="1">
      <alignment horizontal="center" vertical="center" wrapText="1"/>
    </xf>
    <xf numFmtId="0" fontId="0" fillId="0" borderId="28" xfId="0" applyFill="1" applyBorder="1" applyAlignment="1">
      <alignment horizontal="center" vertical="center" wrapText="1"/>
    </xf>
    <xf numFmtId="0" fontId="0" fillId="0" borderId="38" xfId="0" applyFill="1" applyBorder="1" applyAlignment="1">
      <alignment horizontal="center" vertical="center" wrapText="1"/>
    </xf>
    <xf numFmtId="10" fontId="52" fillId="0" borderId="72" xfId="0" applyNumberFormat="1" applyFont="1" applyFill="1" applyBorder="1" applyAlignment="1">
      <alignment horizontal="center" vertical="center" wrapText="1"/>
    </xf>
    <xf numFmtId="0" fontId="52" fillId="53" borderId="80" xfId="0" applyFont="1" applyFill="1" applyBorder="1" applyAlignment="1">
      <alignment horizontal="center" vertical="center" wrapText="1"/>
    </xf>
    <xf numFmtId="0" fontId="52" fillId="0" borderId="74" xfId="0" applyNumberFormat="1" applyFont="1" applyFill="1" applyBorder="1" applyAlignment="1">
      <alignment horizontal="center" vertical="center" wrapText="1"/>
    </xf>
    <xf numFmtId="0" fontId="0" fillId="0" borderId="95" xfId="0" applyNumberFormat="1" applyFill="1" applyBorder="1" applyAlignment="1">
      <alignment horizontal="center" vertical="center" wrapText="1"/>
    </xf>
    <xf numFmtId="0" fontId="0" fillId="0" borderId="73" xfId="0" applyNumberFormat="1" applyFill="1" applyBorder="1" applyAlignment="1">
      <alignment horizontal="center" vertical="center" wrapText="1"/>
    </xf>
    <xf numFmtId="14" fontId="52" fillId="54" borderId="82" xfId="0" applyNumberFormat="1" applyFont="1" applyFill="1" applyBorder="1" applyAlignment="1">
      <alignment horizontal="center" vertical="center" wrapText="1"/>
    </xf>
    <xf numFmtId="14" fontId="52" fillId="54" borderId="102" xfId="0" applyNumberFormat="1" applyFont="1" applyFill="1" applyBorder="1" applyAlignment="1">
      <alignment horizontal="center" vertical="center" wrapText="1"/>
    </xf>
    <xf numFmtId="14" fontId="52" fillId="54" borderId="83" xfId="0" applyNumberFormat="1" applyFont="1" applyFill="1" applyBorder="1" applyAlignment="1">
      <alignment horizontal="center" vertical="center" wrapText="1"/>
    </xf>
    <xf numFmtId="0" fontId="52" fillId="40" borderId="41" xfId="0" applyFont="1" applyFill="1" applyBorder="1" applyAlignment="1">
      <alignment horizontal="center" vertical="center" wrapText="1"/>
    </xf>
    <xf numFmtId="0" fontId="0" fillId="40" borderId="28" xfId="0" applyFill="1" applyBorder="1" applyAlignment="1">
      <alignment horizontal="center" vertical="center" wrapText="1"/>
    </xf>
    <xf numFmtId="0" fontId="0" fillId="40" borderId="38" xfId="0" applyFill="1" applyBorder="1" applyAlignment="1">
      <alignment horizontal="center" vertical="center" wrapText="1"/>
    </xf>
    <xf numFmtId="0" fontId="52" fillId="0" borderId="68" xfId="0" applyNumberFormat="1" applyFont="1" applyFill="1" applyBorder="1" applyAlignment="1">
      <alignment horizontal="center" vertical="center" wrapText="1"/>
    </xf>
    <xf numFmtId="0" fontId="52" fillId="0" borderId="17" xfId="0" applyNumberFormat="1" applyFont="1" applyFill="1" applyBorder="1" applyAlignment="1">
      <alignment horizontal="center" vertical="center" wrapText="1"/>
    </xf>
    <xf numFmtId="0" fontId="52" fillId="0" borderId="57" xfId="0" applyNumberFormat="1" applyFont="1" applyFill="1" applyBorder="1" applyAlignment="1">
      <alignment horizontal="center" vertical="center" wrapText="1"/>
    </xf>
    <xf numFmtId="0" fontId="52" fillId="40" borderId="66" xfId="0" applyFont="1" applyFill="1" applyBorder="1" applyAlignment="1">
      <alignment horizontal="center" vertical="center" wrapText="1"/>
    </xf>
    <xf numFmtId="0" fontId="0" fillId="40" borderId="67" xfId="0" applyFill="1" applyBorder="1" applyAlignment="1">
      <alignment horizontal="center" vertical="center" wrapText="1"/>
    </xf>
    <xf numFmtId="0" fontId="0" fillId="40" borderId="49" xfId="0" applyFill="1" applyBorder="1" applyAlignment="1">
      <alignment horizontal="center" vertical="center" wrapText="1"/>
    </xf>
    <xf numFmtId="0" fontId="52" fillId="40" borderId="74" xfId="0" applyFont="1" applyFill="1" applyBorder="1" applyAlignment="1">
      <alignment horizontal="center" vertical="center" wrapText="1"/>
    </xf>
    <xf numFmtId="0" fontId="0" fillId="40" borderId="95" xfId="0" applyFill="1" applyBorder="1" applyAlignment="1">
      <alignment horizontal="center" vertical="center" wrapText="1"/>
    </xf>
    <xf numFmtId="0" fontId="52" fillId="40" borderId="50" xfId="0" applyFont="1" applyFill="1" applyBorder="1" applyAlignment="1">
      <alignment horizontal="center" vertical="center" wrapText="1"/>
    </xf>
    <xf numFmtId="0" fontId="0" fillId="40" borderId="45" xfId="0" applyFill="1" applyBorder="1" applyAlignment="1">
      <alignment horizontal="center" vertical="center" wrapText="1"/>
    </xf>
    <xf numFmtId="0" fontId="0" fillId="40" borderId="21" xfId="0" applyFill="1" applyBorder="1" applyAlignment="1">
      <alignment horizontal="center" vertical="center" wrapText="1"/>
    </xf>
    <xf numFmtId="0" fontId="52" fillId="0" borderId="68" xfId="0" applyFont="1" applyBorder="1" applyAlignment="1">
      <alignment horizontal="left" vertical="center" wrapText="1"/>
    </xf>
    <xf numFmtId="0" fontId="52" fillId="0" borderId="17" xfId="0" applyFont="1" applyBorder="1" applyAlignment="1">
      <alignment horizontal="left" vertical="center" wrapText="1"/>
    </xf>
    <xf numFmtId="0" fontId="52" fillId="0" borderId="57" xfId="0" applyFont="1" applyBorder="1" applyAlignment="1">
      <alignment horizontal="left" vertical="center" wrapText="1"/>
    </xf>
    <xf numFmtId="10" fontId="52" fillId="0" borderId="42" xfId="0" applyNumberFormat="1" applyFont="1" applyFill="1" applyBorder="1" applyAlignment="1">
      <alignment horizontal="center" vertical="center" wrapText="1"/>
    </xf>
    <xf numFmtId="9" fontId="52" fillId="0" borderId="17" xfId="0" applyNumberFormat="1" applyFont="1" applyFill="1" applyBorder="1" applyAlignment="1">
      <alignment horizontal="center" vertical="center" wrapText="1"/>
    </xf>
    <xf numFmtId="9" fontId="52" fillId="0" borderId="57" xfId="0" applyNumberFormat="1" applyFont="1" applyFill="1" applyBorder="1" applyAlignment="1">
      <alignment horizontal="center" vertical="center" wrapText="1"/>
    </xf>
    <xf numFmtId="0" fontId="51" fillId="0" borderId="41" xfId="0" applyFont="1" applyFill="1" applyBorder="1" applyAlignment="1">
      <alignment horizontal="center" vertical="center" wrapText="1"/>
    </xf>
    <xf numFmtId="0" fontId="13" fillId="0" borderId="28" xfId="0" applyFont="1" applyBorder="1" applyAlignment="1">
      <alignment horizontal="center" vertical="center" wrapText="1"/>
    </xf>
    <xf numFmtId="0" fontId="13" fillId="0" borderId="38" xfId="0" applyFont="1" applyBorder="1" applyAlignment="1">
      <alignment horizontal="center" vertical="center" wrapText="1"/>
    </xf>
    <xf numFmtId="0" fontId="52" fillId="0" borderId="96" xfId="0" applyFont="1" applyFill="1" applyBorder="1" applyAlignment="1">
      <alignment horizontal="left" vertical="center" wrapText="1"/>
    </xf>
    <xf numFmtId="0" fontId="52" fillId="0" borderId="97" xfId="0" applyFont="1" applyFill="1" applyBorder="1" applyAlignment="1">
      <alignment horizontal="left" vertical="center" wrapText="1"/>
    </xf>
    <xf numFmtId="0" fontId="52" fillId="0" borderId="77" xfId="0" applyFont="1" applyFill="1" applyBorder="1" applyAlignment="1">
      <alignment horizontal="left" vertical="center" wrapText="1"/>
    </xf>
    <xf numFmtId="0" fontId="52" fillId="0" borderId="31" xfId="0" applyFont="1" applyBorder="1" applyAlignment="1">
      <alignment horizontal="left" vertical="center" wrapText="1"/>
    </xf>
    <xf numFmtId="0" fontId="52" fillId="0" borderId="33" xfId="0" applyFont="1" applyBorder="1" applyAlignment="1">
      <alignment horizontal="left" vertical="center" wrapText="1"/>
    </xf>
    <xf numFmtId="0" fontId="52" fillId="0" borderId="36" xfId="0" applyFont="1" applyBorder="1" applyAlignment="1">
      <alignment horizontal="left" vertical="center" wrapText="1"/>
    </xf>
    <xf numFmtId="0" fontId="52" fillId="0" borderId="82" xfId="0" applyFont="1" applyFill="1" applyBorder="1" applyAlignment="1">
      <alignment horizontal="center" vertical="center" wrapText="1"/>
    </xf>
    <xf numFmtId="0" fontId="52" fillId="0" borderId="102" xfId="0" applyFont="1" applyFill="1" applyBorder="1" applyAlignment="1">
      <alignment horizontal="center" vertical="center" wrapText="1"/>
    </xf>
    <xf numFmtId="0" fontId="52" fillId="0" borderId="83" xfId="0" applyFont="1" applyFill="1" applyBorder="1" applyAlignment="1">
      <alignment horizontal="center" vertical="center" wrapText="1"/>
    </xf>
    <xf numFmtId="0" fontId="52" fillId="0" borderId="82" xfId="0" applyNumberFormat="1" applyFont="1" applyFill="1" applyBorder="1" applyAlignment="1">
      <alignment horizontal="center" vertical="center" wrapText="1"/>
    </xf>
    <xf numFmtId="0" fontId="52" fillId="0" borderId="102" xfId="0" applyNumberFormat="1" applyFont="1" applyFill="1" applyBorder="1" applyAlignment="1">
      <alignment horizontal="center" vertical="center" wrapText="1"/>
    </xf>
    <xf numFmtId="0" fontId="52" fillId="0" borderId="83" xfId="0" applyNumberFormat="1" applyFont="1" applyFill="1" applyBorder="1" applyAlignment="1">
      <alignment horizontal="center" vertical="center" wrapText="1"/>
    </xf>
    <xf numFmtId="0" fontId="52" fillId="40" borderId="82" xfId="0" applyFont="1" applyFill="1" applyBorder="1" applyAlignment="1">
      <alignment horizontal="center" vertical="center" wrapText="1"/>
    </xf>
    <xf numFmtId="0" fontId="52" fillId="40" borderId="102" xfId="0" applyFont="1" applyFill="1" applyBorder="1" applyAlignment="1">
      <alignment horizontal="center" vertical="center" wrapText="1"/>
    </xf>
    <xf numFmtId="0" fontId="52" fillId="40" borderId="83" xfId="0" applyFont="1" applyFill="1" applyBorder="1" applyAlignment="1">
      <alignment horizontal="center" vertical="center" wrapText="1"/>
    </xf>
    <xf numFmtId="0" fontId="52" fillId="40" borderId="62" xfId="0" applyFont="1" applyFill="1" applyBorder="1" applyAlignment="1">
      <alignment horizontal="center" vertical="center" wrapText="1"/>
    </xf>
    <xf numFmtId="0" fontId="52" fillId="40" borderId="95" xfId="0" applyFont="1" applyFill="1" applyBorder="1" applyAlignment="1">
      <alignment horizontal="center" vertical="center" wrapText="1"/>
    </xf>
    <xf numFmtId="0" fontId="52" fillId="40" borderId="73" xfId="0" applyFont="1" applyFill="1" applyBorder="1" applyAlignment="1">
      <alignment horizontal="center" vertical="center" wrapText="1"/>
    </xf>
    <xf numFmtId="0" fontId="56" fillId="0" borderId="81" xfId="0" applyNumberFormat="1" applyFont="1" applyFill="1" applyBorder="1" applyAlignment="1">
      <alignment horizontal="left" vertical="center" wrapText="1"/>
    </xf>
    <xf numFmtId="0" fontId="52" fillId="40" borderId="68" xfId="0" applyFont="1" applyFill="1" applyBorder="1" applyAlignment="1">
      <alignment horizontal="center" vertical="center" wrapText="1"/>
    </xf>
    <xf numFmtId="0" fontId="52" fillId="40" borderId="17" xfId="0" applyFont="1" applyFill="1" applyBorder="1" applyAlignment="1">
      <alignment horizontal="center" vertical="center" wrapText="1"/>
    </xf>
    <xf numFmtId="0" fontId="52" fillId="40" borderId="57" xfId="0" applyFont="1" applyFill="1" applyBorder="1" applyAlignment="1">
      <alignment horizontal="center" vertical="center" wrapText="1"/>
    </xf>
    <xf numFmtId="164" fontId="52" fillId="40" borderId="60" xfId="0" applyNumberFormat="1" applyFont="1" applyFill="1" applyBorder="1" applyAlignment="1">
      <alignment horizontal="center" vertical="center" wrapText="1"/>
    </xf>
    <xf numFmtId="164" fontId="0" fillId="40" borderId="69" xfId="0" applyNumberFormat="1" applyFill="1" applyBorder="1" applyAlignment="1">
      <alignment horizontal="center" vertical="center" wrapText="1"/>
    </xf>
    <xf numFmtId="164" fontId="0" fillId="40" borderId="37" xfId="0" applyNumberFormat="1" applyFill="1" applyBorder="1" applyAlignment="1">
      <alignment horizontal="center" vertical="center" wrapText="1"/>
    </xf>
    <xf numFmtId="164" fontId="51" fillId="0" borderId="27" xfId="0" applyNumberFormat="1" applyFont="1" applyFill="1" applyBorder="1" applyAlignment="1">
      <alignment horizontal="center" vertical="center" wrapText="1"/>
    </xf>
    <xf numFmtId="164" fontId="13" fillId="0" borderId="10" xfId="0" applyNumberFormat="1" applyFont="1" applyFill="1" applyBorder="1" applyAlignment="1">
      <alignment horizontal="center" vertical="center" wrapText="1"/>
    </xf>
    <xf numFmtId="164" fontId="13" fillId="0" borderId="26" xfId="0" applyNumberFormat="1" applyFont="1" applyFill="1" applyBorder="1" applyAlignment="1">
      <alignment horizontal="center" vertical="center" wrapText="1"/>
    </xf>
    <xf numFmtId="164" fontId="51" fillId="0" borderId="27" xfId="0" applyNumberFormat="1" applyFont="1" applyFill="1" applyBorder="1" applyAlignment="1">
      <alignment horizontal="right" vertical="center" wrapText="1"/>
    </xf>
    <xf numFmtId="164" fontId="51" fillId="0" borderId="10" xfId="0" applyNumberFormat="1" applyFont="1" applyFill="1" applyBorder="1" applyAlignment="1">
      <alignment horizontal="right" vertical="center" wrapText="1"/>
    </xf>
    <xf numFmtId="164" fontId="51" fillId="0" borderId="39" xfId="0" applyNumberFormat="1" applyFont="1" applyFill="1" applyBorder="1" applyAlignment="1">
      <alignment horizontal="right" vertical="center" wrapText="1"/>
    </xf>
  </cellXfs>
  <cellStyles count="2290">
    <cellStyle name="20% - Accent1" xfId="1" builtinId="30" customBuiltin="1"/>
    <cellStyle name="20% - Accent1 2" xfId="2"/>
    <cellStyle name="20% - Accent2" xfId="3" builtinId="34" customBuiltin="1"/>
    <cellStyle name="20% - Accent2 2" xfId="4"/>
    <cellStyle name="20% - Accent3" xfId="5" builtinId="38" customBuiltin="1"/>
    <cellStyle name="20% - Accent3 2" xfId="6"/>
    <cellStyle name="20% - Accent4" xfId="7" builtinId="42" customBuiltin="1"/>
    <cellStyle name="20% - Accent4 2" xfId="8"/>
    <cellStyle name="20% - Accent5" xfId="9" builtinId="46" customBuiltin="1"/>
    <cellStyle name="20% - Accent5 2" xfId="10"/>
    <cellStyle name="20% - Accent6" xfId="11" builtinId="50" customBuiltin="1"/>
    <cellStyle name="20% - Accent6 2" xfId="12"/>
    <cellStyle name="40% - Accent1" xfId="13" builtinId="31" customBuiltin="1"/>
    <cellStyle name="40% - Accent1 2" xfId="14"/>
    <cellStyle name="40% - Accent2" xfId="15" builtinId="35" customBuiltin="1"/>
    <cellStyle name="40% - Accent2 2" xfId="16"/>
    <cellStyle name="40% - Accent3" xfId="17" builtinId="39" customBuiltin="1"/>
    <cellStyle name="40% - Accent3 2" xfId="18"/>
    <cellStyle name="40% - Accent4" xfId="19" builtinId="43" customBuiltin="1"/>
    <cellStyle name="40% - Accent4 2" xfId="20"/>
    <cellStyle name="40% - Accent5" xfId="21" builtinId="47" customBuiltin="1"/>
    <cellStyle name="40% - Accent5 2" xfId="22"/>
    <cellStyle name="40% - Accent6" xfId="23" builtinId="51" customBuiltin="1"/>
    <cellStyle name="40% - Accent6 2" xfId="24"/>
    <cellStyle name="60% - Accent1" xfId="25" builtinId="32" customBuiltin="1"/>
    <cellStyle name="60% - Accent1 2" xfId="26"/>
    <cellStyle name="60% - Accent2" xfId="27" builtinId="36" customBuiltin="1"/>
    <cellStyle name="60% - Accent2 2" xfId="28"/>
    <cellStyle name="60% - Accent3" xfId="29" builtinId="40" customBuiltin="1"/>
    <cellStyle name="60% - Accent3 2" xfId="30"/>
    <cellStyle name="60% - Accent4" xfId="31" builtinId="44" customBuiltin="1"/>
    <cellStyle name="60% - Accent4 2" xfId="32"/>
    <cellStyle name="60% - Accent5" xfId="33" builtinId="48" customBuiltin="1"/>
    <cellStyle name="60% - Accent5 2" xfId="34"/>
    <cellStyle name="60% - Accent6" xfId="35" builtinId="52" customBuiltin="1"/>
    <cellStyle name="60% - Accent6 2" xfId="36"/>
    <cellStyle name="Accent1" xfId="37" builtinId="29" customBuiltin="1"/>
    <cellStyle name="Accent1 - 20%" xfId="38"/>
    <cellStyle name="Accent1 - 40%" xfId="39"/>
    <cellStyle name="Accent1 - 60%" xfId="40"/>
    <cellStyle name="Accent1 2" xfId="41"/>
    <cellStyle name="Accent2" xfId="42" builtinId="33" customBuiltin="1"/>
    <cellStyle name="Accent2 - 20%" xfId="43"/>
    <cellStyle name="Accent2 - 40%" xfId="44"/>
    <cellStyle name="Accent2 - 60%" xfId="45"/>
    <cellStyle name="Accent2 2" xfId="46"/>
    <cellStyle name="Accent3" xfId="47" builtinId="37" customBuiltin="1"/>
    <cellStyle name="Accent3 - 20%" xfId="48"/>
    <cellStyle name="Accent3 - 40%" xfId="49"/>
    <cellStyle name="Accent3 - 60%" xfId="50"/>
    <cellStyle name="Accent3 2" xfId="51"/>
    <cellStyle name="Accent4" xfId="52" builtinId="41" customBuiltin="1"/>
    <cellStyle name="Accent4 - 20%" xfId="53"/>
    <cellStyle name="Accent4 - 40%" xfId="54"/>
    <cellStyle name="Accent4 - 60%" xfId="55"/>
    <cellStyle name="Accent4 2" xfId="56"/>
    <cellStyle name="Accent5" xfId="57" builtinId="45" customBuiltin="1"/>
    <cellStyle name="Accent5 - 20%" xfId="58"/>
    <cellStyle name="Accent5 - 40%" xfId="59"/>
    <cellStyle name="Accent5 - 60%" xfId="60"/>
    <cellStyle name="Accent5 2" xfId="61"/>
    <cellStyle name="Accent6" xfId="62" builtinId="49" customBuiltin="1"/>
    <cellStyle name="Accent6 - 20%" xfId="63"/>
    <cellStyle name="Accent6 - 40%" xfId="64"/>
    <cellStyle name="Accent6 - 60%" xfId="65"/>
    <cellStyle name="Accent6 2" xfId="66"/>
    <cellStyle name="Actual Date" xfId="67"/>
    <cellStyle name="Bad" xfId="68" builtinId="27" customBuiltin="1"/>
    <cellStyle name="Bad 2" xfId="69"/>
    <cellStyle name="Calculation" xfId="70" builtinId="22" customBuiltin="1"/>
    <cellStyle name="Calculation 2" xfId="71"/>
    <cellStyle name="Check Cell" xfId="72" builtinId="23" customBuiltin="1"/>
    <cellStyle name="Check Cell 2" xfId="73"/>
    <cellStyle name="Comma [0] 2" xfId="74"/>
    <cellStyle name="Comma 10" xfId="75"/>
    <cellStyle name="Comma 11" xfId="76"/>
    <cellStyle name="Comma 12" xfId="77"/>
    <cellStyle name="Comma 13" xfId="78"/>
    <cellStyle name="Comma 14" xfId="79"/>
    <cellStyle name="Comma 15" xfId="80"/>
    <cellStyle name="Comma 16" xfId="81"/>
    <cellStyle name="Comma 17" xfId="82"/>
    <cellStyle name="Comma 18" xfId="83"/>
    <cellStyle name="Comma 19" xfId="84"/>
    <cellStyle name="Comma 2" xfId="85"/>
    <cellStyle name="Comma 2 2" xfId="86"/>
    <cellStyle name="Comma 20" xfId="87"/>
    <cellStyle name="Comma 21" xfId="88"/>
    <cellStyle name="Comma 22" xfId="89"/>
    <cellStyle name="Comma 23" xfId="90"/>
    <cellStyle name="Comma 24" xfId="91"/>
    <cellStyle name="Comma 25" xfId="92"/>
    <cellStyle name="Comma 26" xfId="93"/>
    <cellStyle name="Comma 27" xfId="94"/>
    <cellStyle name="Comma 28" xfId="95"/>
    <cellStyle name="Comma 29" xfId="96"/>
    <cellStyle name="Comma 3" xfId="97"/>
    <cellStyle name="Comma 3 2" xfId="2283"/>
    <cellStyle name="Comma 30" xfId="98"/>
    <cellStyle name="Comma 31" xfId="99"/>
    <cellStyle name="Comma 32" xfId="100"/>
    <cellStyle name="Comma 33" xfId="101"/>
    <cellStyle name="Comma 34" xfId="102"/>
    <cellStyle name="Comma 35" xfId="103"/>
    <cellStyle name="Comma 36" xfId="104"/>
    <cellStyle name="Comma 37" xfId="105"/>
    <cellStyle name="Comma 38" xfId="106"/>
    <cellStyle name="Comma 39" xfId="107"/>
    <cellStyle name="Comma 4" xfId="108"/>
    <cellStyle name="Comma 4 2" xfId="2282"/>
    <cellStyle name="Comma 40" xfId="109"/>
    <cellStyle name="Comma 41" xfId="110"/>
    <cellStyle name="Comma 42" xfId="111"/>
    <cellStyle name="Comma 43" xfId="112"/>
    <cellStyle name="Comma 44" xfId="113"/>
    <cellStyle name="Comma 45" xfId="114"/>
    <cellStyle name="Comma 46" xfId="115"/>
    <cellStyle name="Comma 47" xfId="116"/>
    <cellStyle name="Comma 48" xfId="117"/>
    <cellStyle name="Comma 49" xfId="118"/>
    <cellStyle name="Comma 5" xfId="119"/>
    <cellStyle name="Comma 50" xfId="120"/>
    <cellStyle name="Comma 51" xfId="121"/>
    <cellStyle name="Comma 52" xfId="122"/>
    <cellStyle name="Comma 53" xfId="123"/>
    <cellStyle name="Comma 54" xfId="124"/>
    <cellStyle name="Comma 55" xfId="125"/>
    <cellStyle name="Comma 56" xfId="126"/>
    <cellStyle name="Comma 57" xfId="127"/>
    <cellStyle name="Comma 58" xfId="128"/>
    <cellStyle name="Comma 59" xfId="129"/>
    <cellStyle name="Comma 6" xfId="130"/>
    <cellStyle name="Comma 60" xfId="131"/>
    <cellStyle name="Comma 61" xfId="132"/>
    <cellStyle name="Comma 62" xfId="133"/>
    <cellStyle name="Comma 63" xfId="134"/>
    <cellStyle name="Comma 64" xfId="2286"/>
    <cellStyle name="Comma 64 2" xfId="2289"/>
    <cellStyle name="Comma 7" xfId="135"/>
    <cellStyle name="Comma 8" xfId="136"/>
    <cellStyle name="Comma 9" xfId="137"/>
    <cellStyle name="Comma0" xfId="138"/>
    <cellStyle name="Currency 10" xfId="139"/>
    <cellStyle name="Currency 2" xfId="140"/>
    <cellStyle name="Currency 3" xfId="141"/>
    <cellStyle name="Currency 4" xfId="142"/>
    <cellStyle name="Currency 5" xfId="143"/>
    <cellStyle name="Currency 6" xfId="144"/>
    <cellStyle name="Currency 7" xfId="145"/>
    <cellStyle name="Currency 8" xfId="146"/>
    <cellStyle name="Currency0" xfId="147"/>
    <cellStyle name="Date" xfId="148"/>
    <cellStyle name="Emphasis 1" xfId="149"/>
    <cellStyle name="Emphasis 2" xfId="150"/>
    <cellStyle name="Emphasis 3" xfId="151"/>
    <cellStyle name="Explanatory Text" xfId="152" builtinId="53" customBuiltin="1"/>
    <cellStyle name="Explanatory Text 2" xfId="153"/>
    <cellStyle name="Fixed" xfId="154"/>
    <cellStyle name="Good" xfId="155" builtinId="26" customBuiltin="1"/>
    <cellStyle name="Good 2" xfId="156"/>
    <cellStyle name="Grey" xfId="157"/>
    <cellStyle name="HEADER" xfId="158"/>
    <cellStyle name="Header1" xfId="159"/>
    <cellStyle name="Header2" xfId="160"/>
    <cellStyle name="Heading 1" xfId="161" builtinId="16" customBuiltin="1"/>
    <cellStyle name="Heading 1 2" xfId="162"/>
    <cellStyle name="Heading 2" xfId="163" builtinId="17" customBuiltin="1"/>
    <cellStyle name="Heading 2 2" xfId="164"/>
    <cellStyle name="Heading 3" xfId="165" builtinId="18" customBuiltin="1"/>
    <cellStyle name="Heading 3 2" xfId="166"/>
    <cellStyle name="Heading 4" xfId="167" builtinId="19" customBuiltin="1"/>
    <cellStyle name="Heading 4 2" xfId="168"/>
    <cellStyle name="Heading1" xfId="169"/>
    <cellStyle name="Heading2" xfId="170"/>
    <cellStyle name="Hidden" xfId="171"/>
    <cellStyle name="HIGHLIGHT" xfId="172"/>
    <cellStyle name="Hyperlink 2" xfId="173"/>
    <cellStyle name="Hyperlink 3" xfId="174"/>
    <cellStyle name="Hyperlink 4" xfId="175"/>
    <cellStyle name="Hyperlink 5" xfId="176"/>
    <cellStyle name="Input" xfId="177" builtinId="20" customBuiltin="1"/>
    <cellStyle name="Input [yellow]" xfId="178"/>
    <cellStyle name="Input 2" xfId="179"/>
    <cellStyle name="Linked Cell" xfId="180" builtinId="24" customBuiltin="1"/>
    <cellStyle name="Linked Cell 2" xfId="181"/>
    <cellStyle name="Neutral" xfId="182" builtinId="28" customBuiltin="1"/>
    <cellStyle name="Neutral 2" xfId="183"/>
    <cellStyle name="no dec" xfId="184"/>
    <cellStyle name="Normal" xfId="0" builtinId="0"/>
    <cellStyle name="Normal - Style1" xfId="185"/>
    <cellStyle name="Normal 10" xfId="186"/>
    <cellStyle name="Normal 11" xfId="187"/>
    <cellStyle name="Normal 12" xfId="188"/>
    <cellStyle name="Normal 13" xfId="189"/>
    <cellStyle name="Normal 13 2" xfId="190"/>
    <cellStyle name="Normal 13_PGE_All_SCE_work_v1_scekW" xfId="191"/>
    <cellStyle name="Normal 14" xfId="192"/>
    <cellStyle name="Normal 15" xfId="193"/>
    <cellStyle name="Normal 16" xfId="194"/>
    <cellStyle name="Normal 17" xfId="2277"/>
    <cellStyle name="Normal 17 2" xfId="2287"/>
    <cellStyle name="Normal 18" xfId="2279"/>
    <cellStyle name="Normal 19" xfId="2285"/>
    <cellStyle name="Normal 19 2" xfId="2288"/>
    <cellStyle name="Normal 2" xfId="195"/>
    <cellStyle name="Normal 2 10" xfId="196"/>
    <cellStyle name="Normal 2 10 10" xfId="197"/>
    <cellStyle name="Normal 2 10 11" xfId="198"/>
    <cellStyle name="Normal 2 10 12" xfId="199"/>
    <cellStyle name="Normal 2 10 13" xfId="200"/>
    <cellStyle name="Normal 2 10 14" xfId="201"/>
    <cellStyle name="Normal 2 10 15" xfId="202"/>
    <cellStyle name="Normal 2 10 16" xfId="203"/>
    <cellStyle name="Normal 2 10 17" xfId="204"/>
    <cellStyle name="Normal 2 10 18" xfId="205"/>
    <cellStyle name="Normal 2 10 19" xfId="206"/>
    <cellStyle name="Normal 2 10 2" xfId="207"/>
    <cellStyle name="Normal 2 10 20" xfId="208"/>
    <cellStyle name="Normal 2 10 21" xfId="209"/>
    <cellStyle name="Normal 2 10 22" xfId="210"/>
    <cellStyle name="Normal 2 10 23" xfId="211"/>
    <cellStyle name="Normal 2 10 3" xfId="212"/>
    <cellStyle name="Normal 2 10 4" xfId="213"/>
    <cellStyle name="Normal 2 10 5" xfId="214"/>
    <cellStyle name="Normal 2 10 6" xfId="215"/>
    <cellStyle name="Normal 2 10 7" xfId="216"/>
    <cellStyle name="Normal 2 10 8" xfId="217"/>
    <cellStyle name="Normal 2 10 9" xfId="218"/>
    <cellStyle name="Normal 2 11" xfId="219"/>
    <cellStyle name="Normal 2 11 10" xfId="220"/>
    <cellStyle name="Normal 2 11 11" xfId="221"/>
    <cellStyle name="Normal 2 11 12" xfId="222"/>
    <cellStyle name="Normal 2 11 13" xfId="223"/>
    <cellStyle name="Normal 2 11 14" xfId="224"/>
    <cellStyle name="Normal 2 11 15" xfId="225"/>
    <cellStyle name="Normal 2 11 16" xfId="226"/>
    <cellStyle name="Normal 2 11 17" xfId="227"/>
    <cellStyle name="Normal 2 11 18" xfId="228"/>
    <cellStyle name="Normal 2 11 19" xfId="229"/>
    <cellStyle name="Normal 2 11 2" xfId="230"/>
    <cellStyle name="Normal 2 11 20" xfId="231"/>
    <cellStyle name="Normal 2 11 21" xfId="232"/>
    <cellStyle name="Normal 2 11 22" xfId="233"/>
    <cellStyle name="Normal 2 11 23" xfId="234"/>
    <cellStyle name="Normal 2 11 3" xfId="235"/>
    <cellStyle name="Normal 2 11 4" xfId="236"/>
    <cellStyle name="Normal 2 11 5" xfId="237"/>
    <cellStyle name="Normal 2 11 6" xfId="238"/>
    <cellStyle name="Normal 2 11 7" xfId="239"/>
    <cellStyle name="Normal 2 11 8" xfId="240"/>
    <cellStyle name="Normal 2 11 9" xfId="241"/>
    <cellStyle name="Normal 2 12" xfId="242"/>
    <cellStyle name="Normal 2 12 10" xfId="243"/>
    <cellStyle name="Normal 2 12 11" xfId="244"/>
    <cellStyle name="Normal 2 12 12" xfId="245"/>
    <cellStyle name="Normal 2 12 13" xfId="246"/>
    <cellStyle name="Normal 2 12 14" xfId="247"/>
    <cellStyle name="Normal 2 12 15" xfId="248"/>
    <cellStyle name="Normal 2 12 16" xfId="249"/>
    <cellStyle name="Normal 2 12 17" xfId="250"/>
    <cellStyle name="Normal 2 12 18" xfId="251"/>
    <cellStyle name="Normal 2 12 19" xfId="252"/>
    <cellStyle name="Normal 2 12 2" xfId="253"/>
    <cellStyle name="Normal 2 12 20" xfId="254"/>
    <cellStyle name="Normal 2 12 21" xfId="255"/>
    <cellStyle name="Normal 2 12 22" xfId="256"/>
    <cellStyle name="Normal 2 12 23" xfId="257"/>
    <cellStyle name="Normal 2 12 3" xfId="258"/>
    <cellStyle name="Normal 2 12 4" xfId="259"/>
    <cellStyle name="Normal 2 12 5" xfId="260"/>
    <cellStyle name="Normal 2 12 6" xfId="261"/>
    <cellStyle name="Normal 2 12 7" xfId="262"/>
    <cellStyle name="Normal 2 12 8" xfId="263"/>
    <cellStyle name="Normal 2 12 9" xfId="264"/>
    <cellStyle name="Normal 2 13" xfId="265"/>
    <cellStyle name="Normal 2 13 10" xfId="266"/>
    <cellStyle name="Normal 2 13 11" xfId="267"/>
    <cellStyle name="Normal 2 13 12" xfId="268"/>
    <cellStyle name="Normal 2 13 13" xfId="269"/>
    <cellStyle name="Normal 2 13 14" xfId="270"/>
    <cellStyle name="Normal 2 13 15" xfId="271"/>
    <cellStyle name="Normal 2 13 16" xfId="272"/>
    <cellStyle name="Normal 2 13 17" xfId="273"/>
    <cellStyle name="Normal 2 13 18" xfId="274"/>
    <cellStyle name="Normal 2 13 19" xfId="275"/>
    <cellStyle name="Normal 2 13 2" xfId="276"/>
    <cellStyle name="Normal 2 13 20" xfId="277"/>
    <cellStyle name="Normal 2 13 21" xfId="278"/>
    <cellStyle name="Normal 2 13 22" xfId="279"/>
    <cellStyle name="Normal 2 13 23" xfId="280"/>
    <cellStyle name="Normal 2 13 3" xfId="281"/>
    <cellStyle name="Normal 2 13 4" xfId="282"/>
    <cellStyle name="Normal 2 13 5" xfId="283"/>
    <cellStyle name="Normal 2 13 6" xfId="284"/>
    <cellStyle name="Normal 2 13 7" xfId="285"/>
    <cellStyle name="Normal 2 13 8" xfId="286"/>
    <cellStyle name="Normal 2 13 9" xfId="287"/>
    <cellStyle name="Normal 2 14" xfId="288"/>
    <cellStyle name="Normal 2 14 10" xfId="289"/>
    <cellStyle name="Normal 2 14 11" xfId="290"/>
    <cellStyle name="Normal 2 14 12" xfId="291"/>
    <cellStyle name="Normal 2 14 13" xfId="292"/>
    <cellStyle name="Normal 2 14 14" xfId="293"/>
    <cellStyle name="Normal 2 14 15" xfId="294"/>
    <cellStyle name="Normal 2 14 16" xfId="295"/>
    <cellStyle name="Normal 2 14 17" xfId="296"/>
    <cellStyle name="Normal 2 14 18" xfId="297"/>
    <cellStyle name="Normal 2 14 19" xfId="298"/>
    <cellStyle name="Normal 2 14 2" xfId="299"/>
    <cellStyle name="Normal 2 14 20" xfId="300"/>
    <cellStyle name="Normal 2 14 21" xfId="301"/>
    <cellStyle name="Normal 2 14 22" xfId="302"/>
    <cellStyle name="Normal 2 14 23" xfId="303"/>
    <cellStyle name="Normal 2 14 3" xfId="304"/>
    <cellStyle name="Normal 2 14 4" xfId="305"/>
    <cellStyle name="Normal 2 14 5" xfId="306"/>
    <cellStyle name="Normal 2 14 6" xfId="307"/>
    <cellStyle name="Normal 2 14 7" xfId="308"/>
    <cellStyle name="Normal 2 14 8" xfId="309"/>
    <cellStyle name="Normal 2 14 9" xfId="310"/>
    <cellStyle name="Normal 2 15" xfId="311"/>
    <cellStyle name="Normal 2 15 10" xfId="312"/>
    <cellStyle name="Normal 2 15 11" xfId="313"/>
    <cellStyle name="Normal 2 15 12" xfId="314"/>
    <cellStyle name="Normal 2 15 13" xfId="315"/>
    <cellStyle name="Normal 2 15 14" xfId="316"/>
    <cellStyle name="Normal 2 15 15" xfId="317"/>
    <cellStyle name="Normal 2 15 16" xfId="318"/>
    <cellStyle name="Normal 2 15 17" xfId="319"/>
    <cellStyle name="Normal 2 15 18" xfId="320"/>
    <cellStyle name="Normal 2 15 19" xfId="321"/>
    <cellStyle name="Normal 2 15 2" xfId="322"/>
    <cellStyle name="Normal 2 15 20" xfId="323"/>
    <cellStyle name="Normal 2 15 21" xfId="324"/>
    <cellStyle name="Normal 2 15 22" xfId="325"/>
    <cellStyle name="Normal 2 15 23" xfId="326"/>
    <cellStyle name="Normal 2 15 3" xfId="327"/>
    <cellStyle name="Normal 2 15 4" xfId="328"/>
    <cellStyle name="Normal 2 15 5" xfId="329"/>
    <cellStyle name="Normal 2 15 6" xfId="330"/>
    <cellStyle name="Normal 2 15 7" xfId="331"/>
    <cellStyle name="Normal 2 15 8" xfId="332"/>
    <cellStyle name="Normal 2 15 9" xfId="333"/>
    <cellStyle name="Normal 2 16" xfId="334"/>
    <cellStyle name="Normal 2 16 10" xfId="335"/>
    <cellStyle name="Normal 2 16 11" xfId="336"/>
    <cellStyle name="Normal 2 16 12" xfId="337"/>
    <cellStyle name="Normal 2 16 13" xfId="338"/>
    <cellStyle name="Normal 2 16 14" xfId="339"/>
    <cellStyle name="Normal 2 16 15" xfId="340"/>
    <cellStyle name="Normal 2 16 16" xfId="341"/>
    <cellStyle name="Normal 2 16 17" xfId="342"/>
    <cellStyle name="Normal 2 16 18" xfId="343"/>
    <cellStyle name="Normal 2 16 19" xfId="344"/>
    <cellStyle name="Normal 2 16 2" xfId="345"/>
    <cellStyle name="Normal 2 16 20" xfId="346"/>
    <cellStyle name="Normal 2 16 21" xfId="347"/>
    <cellStyle name="Normal 2 16 22" xfId="348"/>
    <cellStyle name="Normal 2 16 23" xfId="349"/>
    <cellStyle name="Normal 2 16 3" xfId="350"/>
    <cellStyle name="Normal 2 16 4" xfId="351"/>
    <cellStyle name="Normal 2 16 5" xfId="352"/>
    <cellStyle name="Normal 2 16 6" xfId="353"/>
    <cellStyle name="Normal 2 16 7" xfId="354"/>
    <cellStyle name="Normal 2 16 8" xfId="355"/>
    <cellStyle name="Normal 2 16 9" xfId="356"/>
    <cellStyle name="Normal 2 17" xfId="357"/>
    <cellStyle name="Normal 2 17 10" xfId="358"/>
    <cellStyle name="Normal 2 17 11" xfId="359"/>
    <cellStyle name="Normal 2 17 12" xfId="360"/>
    <cellStyle name="Normal 2 17 13" xfId="361"/>
    <cellStyle name="Normal 2 17 14" xfId="362"/>
    <cellStyle name="Normal 2 17 15" xfId="363"/>
    <cellStyle name="Normal 2 17 16" xfId="364"/>
    <cellStyle name="Normal 2 17 17" xfId="365"/>
    <cellStyle name="Normal 2 17 18" xfId="366"/>
    <cellStyle name="Normal 2 17 19" xfId="367"/>
    <cellStyle name="Normal 2 17 2" xfId="368"/>
    <cellStyle name="Normal 2 17 20" xfId="369"/>
    <cellStyle name="Normal 2 17 21" xfId="370"/>
    <cellStyle name="Normal 2 17 22" xfId="371"/>
    <cellStyle name="Normal 2 17 23" xfId="372"/>
    <cellStyle name="Normal 2 17 3" xfId="373"/>
    <cellStyle name="Normal 2 17 4" xfId="374"/>
    <cellStyle name="Normal 2 17 5" xfId="375"/>
    <cellStyle name="Normal 2 17 6" xfId="376"/>
    <cellStyle name="Normal 2 17 7" xfId="377"/>
    <cellStyle name="Normal 2 17 8" xfId="378"/>
    <cellStyle name="Normal 2 17 9" xfId="379"/>
    <cellStyle name="Normal 2 18" xfId="380"/>
    <cellStyle name="Normal 2 18 10" xfId="381"/>
    <cellStyle name="Normal 2 18 11" xfId="382"/>
    <cellStyle name="Normal 2 18 12" xfId="383"/>
    <cellStyle name="Normal 2 18 13" xfId="384"/>
    <cellStyle name="Normal 2 18 14" xfId="385"/>
    <cellStyle name="Normal 2 18 15" xfId="386"/>
    <cellStyle name="Normal 2 18 16" xfId="387"/>
    <cellStyle name="Normal 2 18 17" xfId="388"/>
    <cellStyle name="Normal 2 18 18" xfId="389"/>
    <cellStyle name="Normal 2 18 19" xfId="390"/>
    <cellStyle name="Normal 2 18 2" xfId="391"/>
    <cellStyle name="Normal 2 18 20" xfId="392"/>
    <cellStyle name="Normal 2 18 21" xfId="393"/>
    <cellStyle name="Normal 2 18 22" xfId="394"/>
    <cellStyle name="Normal 2 18 23" xfId="395"/>
    <cellStyle name="Normal 2 18 3" xfId="396"/>
    <cellStyle name="Normal 2 18 4" xfId="397"/>
    <cellStyle name="Normal 2 18 5" xfId="398"/>
    <cellStyle name="Normal 2 18 6" xfId="399"/>
    <cellStyle name="Normal 2 18 7" xfId="400"/>
    <cellStyle name="Normal 2 18 8" xfId="401"/>
    <cellStyle name="Normal 2 18 9" xfId="402"/>
    <cellStyle name="Normal 2 19" xfId="403"/>
    <cellStyle name="Normal 2 19 10" xfId="404"/>
    <cellStyle name="Normal 2 19 11" xfId="405"/>
    <cellStyle name="Normal 2 19 12" xfId="406"/>
    <cellStyle name="Normal 2 19 13" xfId="407"/>
    <cellStyle name="Normal 2 19 14" xfId="408"/>
    <cellStyle name="Normal 2 19 15" xfId="409"/>
    <cellStyle name="Normal 2 19 16" xfId="410"/>
    <cellStyle name="Normal 2 19 17" xfId="411"/>
    <cellStyle name="Normal 2 19 18" xfId="412"/>
    <cellStyle name="Normal 2 19 19" xfId="413"/>
    <cellStyle name="Normal 2 19 2" xfId="414"/>
    <cellStyle name="Normal 2 19 20" xfId="415"/>
    <cellStyle name="Normal 2 19 21" xfId="416"/>
    <cellStyle name="Normal 2 19 22" xfId="417"/>
    <cellStyle name="Normal 2 19 23" xfId="418"/>
    <cellStyle name="Normal 2 19 3" xfId="419"/>
    <cellStyle name="Normal 2 19 4" xfId="420"/>
    <cellStyle name="Normal 2 19 5" xfId="421"/>
    <cellStyle name="Normal 2 19 6" xfId="422"/>
    <cellStyle name="Normal 2 19 7" xfId="423"/>
    <cellStyle name="Normal 2 19 8" xfId="424"/>
    <cellStyle name="Normal 2 19 9" xfId="425"/>
    <cellStyle name="Normal 2 2" xfId="426"/>
    <cellStyle name="Normal 2 20" xfId="427"/>
    <cellStyle name="Normal 2 20 10" xfId="428"/>
    <cellStyle name="Normal 2 20 11" xfId="429"/>
    <cellStyle name="Normal 2 20 12" xfId="430"/>
    <cellStyle name="Normal 2 20 13" xfId="431"/>
    <cellStyle name="Normal 2 20 14" xfId="432"/>
    <cellStyle name="Normal 2 20 15" xfId="433"/>
    <cellStyle name="Normal 2 20 16" xfId="434"/>
    <cellStyle name="Normal 2 20 17" xfId="435"/>
    <cellStyle name="Normal 2 20 18" xfId="436"/>
    <cellStyle name="Normal 2 20 19" xfId="437"/>
    <cellStyle name="Normal 2 20 2" xfId="438"/>
    <cellStyle name="Normal 2 20 20" xfId="439"/>
    <cellStyle name="Normal 2 20 21" xfId="440"/>
    <cellStyle name="Normal 2 20 22" xfId="441"/>
    <cellStyle name="Normal 2 20 23" xfId="442"/>
    <cellStyle name="Normal 2 20 3" xfId="443"/>
    <cellStyle name="Normal 2 20 4" xfId="444"/>
    <cellStyle name="Normal 2 20 5" xfId="445"/>
    <cellStyle name="Normal 2 20 6" xfId="446"/>
    <cellStyle name="Normal 2 20 7" xfId="447"/>
    <cellStyle name="Normal 2 20 8" xfId="448"/>
    <cellStyle name="Normal 2 20 9" xfId="449"/>
    <cellStyle name="Normal 2 21" xfId="450"/>
    <cellStyle name="Normal 2 21 10" xfId="451"/>
    <cellStyle name="Normal 2 21 11" xfId="452"/>
    <cellStyle name="Normal 2 21 12" xfId="453"/>
    <cellStyle name="Normal 2 21 13" xfId="454"/>
    <cellStyle name="Normal 2 21 14" xfId="455"/>
    <cellStyle name="Normal 2 21 15" xfId="456"/>
    <cellStyle name="Normal 2 21 16" xfId="457"/>
    <cellStyle name="Normal 2 21 17" xfId="458"/>
    <cellStyle name="Normal 2 21 18" xfId="459"/>
    <cellStyle name="Normal 2 21 19" xfId="460"/>
    <cellStyle name="Normal 2 21 2" xfId="461"/>
    <cellStyle name="Normal 2 21 20" xfId="462"/>
    <cellStyle name="Normal 2 21 21" xfId="463"/>
    <cellStyle name="Normal 2 21 22" xfId="464"/>
    <cellStyle name="Normal 2 21 23" xfId="465"/>
    <cellStyle name="Normal 2 21 3" xfId="466"/>
    <cellStyle name="Normal 2 21 4" xfId="467"/>
    <cellStyle name="Normal 2 21 5" xfId="468"/>
    <cellStyle name="Normal 2 21 6" xfId="469"/>
    <cellStyle name="Normal 2 21 7" xfId="470"/>
    <cellStyle name="Normal 2 21 8" xfId="471"/>
    <cellStyle name="Normal 2 21 9" xfId="472"/>
    <cellStyle name="Normal 2 22" xfId="473"/>
    <cellStyle name="Normal 2 22 10" xfId="474"/>
    <cellStyle name="Normal 2 22 11" xfId="475"/>
    <cellStyle name="Normal 2 22 12" xfId="476"/>
    <cellStyle name="Normal 2 22 13" xfId="477"/>
    <cellStyle name="Normal 2 22 14" xfId="478"/>
    <cellStyle name="Normal 2 22 15" xfId="479"/>
    <cellStyle name="Normal 2 22 16" xfId="480"/>
    <cellStyle name="Normal 2 22 17" xfId="481"/>
    <cellStyle name="Normal 2 22 18" xfId="482"/>
    <cellStyle name="Normal 2 22 19" xfId="483"/>
    <cellStyle name="Normal 2 22 2" xfId="484"/>
    <cellStyle name="Normal 2 22 20" xfId="485"/>
    <cellStyle name="Normal 2 22 21" xfId="486"/>
    <cellStyle name="Normal 2 22 22" xfId="487"/>
    <cellStyle name="Normal 2 22 23" xfId="488"/>
    <cellStyle name="Normal 2 22 3" xfId="489"/>
    <cellStyle name="Normal 2 22 4" xfId="490"/>
    <cellStyle name="Normal 2 22 5" xfId="491"/>
    <cellStyle name="Normal 2 22 6" xfId="492"/>
    <cellStyle name="Normal 2 22 7" xfId="493"/>
    <cellStyle name="Normal 2 22 8" xfId="494"/>
    <cellStyle name="Normal 2 22 9" xfId="495"/>
    <cellStyle name="Normal 2 23" xfId="496"/>
    <cellStyle name="Normal 2 23 10" xfId="497"/>
    <cellStyle name="Normal 2 23 11" xfId="498"/>
    <cellStyle name="Normal 2 23 12" xfId="499"/>
    <cellStyle name="Normal 2 23 13" xfId="500"/>
    <cellStyle name="Normal 2 23 14" xfId="501"/>
    <cellStyle name="Normal 2 23 15" xfId="502"/>
    <cellStyle name="Normal 2 23 16" xfId="503"/>
    <cellStyle name="Normal 2 23 17" xfId="504"/>
    <cellStyle name="Normal 2 23 18" xfId="505"/>
    <cellStyle name="Normal 2 23 19" xfId="506"/>
    <cellStyle name="Normal 2 23 2" xfId="507"/>
    <cellStyle name="Normal 2 23 20" xfId="508"/>
    <cellStyle name="Normal 2 23 21" xfId="509"/>
    <cellStyle name="Normal 2 23 22" xfId="510"/>
    <cellStyle name="Normal 2 23 23" xfId="511"/>
    <cellStyle name="Normal 2 23 3" xfId="512"/>
    <cellStyle name="Normal 2 23 4" xfId="513"/>
    <cellStyle name="Normal 2 23 5" xfId="514"/>
    <cellStyle name="Normal 2 23 6" xfId="515"/>
    <cellStyle name="Normal 2 23 7" xfId="516"/>
    <cellStyle name="Normal 2 23 8" xfId="517"/>
    <cellStyle name="Normal 2 23 9" xfId="518"/>
    <cellStyle name="Normal 2 24" xfId="519"/>
    <cellStyle name="Normal 2 24 10" xfId="520"/>
    <cellStyle name="Normal 2 24 11" xfId="521"/>
    <cellStyle name="Normal 2 24 12" xfId="522"/>
    <cellStyle name="Normal 2 24 13" xfId="523"/>
    <cellStyle name="Normal 2 24 14" xfId="524"/>
    <cellStyle name="Normal 2 24 15" xfId="525"/>
    <cellStyle name="Normal 2 24 16" xfId="526"/>
    <cellStyle name="Normal 2 24 17" xfId="527"/>
    <cellStyle name="Normal 2 24 18" xfId="528"/>
    <cellStyle name="Normal 2 24 19" xfId="529"/>
    <cellStyle name="Normal 2 24 2" xfId="530"/>
    <cellStyle name="Normal 2 24 20" xfId="531"/>
    <cellStyle name="Normal 2 24 21" xfId="532"/>
    <cellStyle name="Normal 2 24 22" xfId="533"/>
    <cellStyle name="Normal 2 24 23" xfId="534"/>
    <cellStyle name="Normal 2 24 3" xfId="535"/>
    <cellStyle name="Normal 2 24 4" xfId="536"/>
    <cellStyle name="Normal 2 24 5" xfId="537"/>
    <cellStyle name="Normal 2 24 6" xfId="538"/>
    <cellStyle name="Normal 2 24 7" xfId="539"/>
    <cellStyle name="Normal 2 24 8" xfId="540"/>
    <cellStyle name="Normal 2 24 9" xfId="541"/>
    <cellStyle name="Normal 2 25" xfId="542"/>
    <cellStyle name="Normal 2 25 10" xfId="543"/>
    <cellStyle name="Normal 2 25 11" xfId="544"/>
    <cellStyle name="Normal 2 25 12" xfId="545"/>
    <cellStyle name="Normal 2 25 13" xfId="546"/>
    <cellStyle name="Normal 2 25 14" xfId="547"/>
    <cellStyle name="Normal 2 25 15" xfId="548"/>
    <cellStyle name="Normal 2 25 16" xfId="549"/>
    <cellStyle name="Normal 2 25 17" xfId="550"/>
    <cellStyle name="Normal 2 25 18" xfId="551"/>
    <cellStyle name="Normal 2 25 19" xfId="552"/>
    <cellStyle name="Normal 2 25 2" xfId="553"/>
    <cellStyle name="Normal 2 25 20" xfId="554"/>
    <cellStyle name="Normal 2 25 21" xfId="555"/>
    <cellStyle name="Normal 2 25 22" xfId="556"/>
    <cellStyle name="Normal 2 25 23" xfId="557"/>
    <cellStyle name="Normal 2 25 3" xfId="558"/>
    <cellStyle name="Normal 2 25 4" xfId="559"/>
    <cellStyle name="Normal 2 25 5" xfId="560"/>
    <cellStyle name="Normal 2 25 6" xfId="561"/>
    <cellStyle name="Normal 2 25 7" xfId="562"/>
    <cellStyle name="Normal 2 25 8" xfId="563"/>
    <cellStyle name="Normal 2 25 9" xfId="564"/>
    <cellStyle name="Normal 2 26" xfId="565"/>
    <cellStyle name="Normal 2 26 10" xfId="566"/>
    <cellStyle name="Normal 2 26 11" xfId="567"/>
    <cellStyle name="Normal 2 26 12" xfId="568"/>
    <cellStyle name="Normal 2 26 13" xfId="569"/>
    <cellStyle name="Normal 2 26 14" xfId="570"/>
    <cellStyle name="Normal 2 26 15" xfId="571"/>
    <cellStyle name="Normal 2 26 16" xfId="572"/>
    <cellStyle name="Normal 2 26 17" xfId="573"/>
    <cellStyle name="Normal 2 26 18" xfId="574"/>
    <cellStyle name="Normal 2 26 19" xfId="575"/>
    <cellStyle name="Normal 2 26 2" xfId="576"/>
    <cellStyle name="Normal 2 26 20" xfId="577"/>
    <cellStyle name="Normal 2 26 21" xfId="578"/>
    <cellStyle name="Normal 2 26 22" xfId="579"/>
    <cellStyle name="Normal 2 26 23" xfId="580"/>
    <cellStyle name="Normal 2 26 3" xfId="581"/>
    <cellStyle name="Normal 2 26 4" xfId="582"/>
    <cellStyle name="Normal 2 26 5" xfId="583"/>
    <cellStyle name="Normal 2 26 6" xfId="584"/>
    <cellStyle name="Normal 2 26 7" xfId="585"/>
    <cellStyle name="Normal 2 26 8" xfId="586"/>
    <cellStyle name="Normal 2 26 9" xfId="587"/>
    <cellStyle name="Normal 2 27" xfId="588"/>
    <cellStyle name="Normal 2 27 10" xfId="589"/>
    <cellStyle name="Normal 2 27 11" xfId="590"/>
    <cellStyle name="Normal 2 27 12" xfId="591"/>
    <cellStyle name="Normal 2 27 13" xfId="592"/>
    <cellStyle name="Normal 2 27 14" xfId="593"/>
    <cellStyle name="Normal 2 27 15" xfId="594"/>
    <cellStyle name="Normal 2 27 16" xfId="595"/>
    <cellStyle name="Normal 2 27 17" xfId="596"/>
    <cellStyle name="Normal 2 27 18" xfId="597"/>
    <cellStyle name="Normal 2 27 19" xfId="598"/>
    <cellStyle name="Normal 2 27 2" xfId="599"/>
    <cellStyle name="Normal 2 27 20" xfId="600"/>
    <cellStyle name="Normal 2 27 21" xfId="601"/>
    <cellStyle name="Normal 2 27 22" xfId="602"/>
    <cellStyle name="Normal 2 27 23" xfId="603"/>
    <cellStyle name="Normal 2 27 3" xfId="604"/>
    <cellStyle name="Normal 2 27 4" xfId="605"/>
    <cellStyle name="Normal 2 27 5" xfId="606"/>
    <cellStyle name="Normal 2 27 6" xfId="607"/>
    <cellStyle name="Normal 2 27 7" xfId="608"/>
    <cellStyle name="Normal 2 27 8" xfId="609"/>
    <cellStyle name="Normal 2 27 9" xfId="610"/>
    <cellStyle name="Normal 2 28" xfId="611"/>
    <cellStyle name="Normal 2 28 10" xfId="612"/>
    <cellStyle name="Normal 2 28 11" xfId="613"/>
    <cellStyle name="Normal 2 28 12" xfId="614"/>
    <cellStyle name="Normal 2 28 13" xfId="615"/>
    <cellStyle name="Normal 2 28 14" xfId="616"/>
    <cellStyle name="Normal 2 28 15" xfId="617"/>
    <cellStyle name="Normal 2 28 16" xfId="618"/>
    <cellStyle name="Normal 2 28 17" xfId="619"/>
    <cellStyle name="Normal 2 28 18" xfId="620"/>
    <cellStyle name="Normal 2 28 19" xfId="621"/>
    <cellStyle name="Normal 2 28 2" xfId="622"/>
    <cellStyle name="Normal 2 28 20" xfId="623"/>
    <cellStyle name="Normal 2 28 21" xfId="624"/>
    <cellStyle name="Normal 2 28 22" xfId="625"/>
    <cellStyle name="Normal 2 28 23" xfId="626"/>
    <cellStyle name="Normal 2 28 3" xfId="627"/>
    <cellStyle name="Normal 2 28 4" xfId="628"/>
    <cellStyle name="Normal 2 28 5" xfId="629"/>
    <cellStyle name="Normal 2 28 6" xfId="630"/>
    <cellStyle name="Normal 2 28 7" xfId="631"/>
    <cellStyle name="Normal 2 28 8" xfId="632"/>
    <cellStyle name="Normal 2 28 9" xfId="633"/>
    <cellStyle name="Normal 2 29" xfId="634"/>
    <cellStyle name="Normal 2 29 10" xfId="635"/>
    <cellStyle name="Normal 2 29 11" xfId="636"/>
    <cellStyle name="Normal 2 29 12" xfId="637"/>
    <cellStyle name="Normal 2 29 13" xfId="638"/>
    <cellStyle name="Normal 2 29 14" xfId="639"/>
    <cellStyle name="Normal 2 29 15" xfId="640"/>
    <cellStyle name="Normal 2 29 16" xfId="641"/>
    <cellStyle name="Normal 2 29 17" xfId="642"/>
    <cellStyle name="Normal 2 29 18" xfId="643"/>
    <cellStyle name="Normal 2 29 19" xfId="644"/>
    <cellStyle name="Normal 2 29 2" xfId="645"/>
    <cellStyle name="Normal 2 29 20" xfId="646"/>
    <cellStyle name="Normal 2 29 21" xfId="647"/>
    <cellStyle name="Normal 2 29 22" xfId="648"/>
    <cellStyle name="Normal 2 29 23" xfId="649"/>
    <cellStyle name="Normal 2 29 3" xfId="650"/>
    <cellStyle name="Normal 2 29 4" xfId="651"/>
    <cellStyle name="Normal 2 29 5" xfId="652"/>
    <cellStyle name="Normal 2 29 6" xfId="653"/>
    <cellStyle name="Normal 2 29 7" xfId="654"/>
    <cellStyle name="Normal 2 29 8" xfId="655"/>
    <cellStyle name="Normal 2 29 9" xfId="656"/>
    <cellStyle name="Normal 2 3" xfId="657"/>
    <cellStyle name="Normal 2 30" xfId="658"/>
    <cellStyle name="Normal 2 30 10" xfId="659"/>
    <cellStyle name="Normal 2 30 11" xfId="660"/>
    <cellStyle name="Normal 2 30 12" xfId="661"/>
    <cellStyle name="Normal 2 30 13" xfId="662"/>
    <cellStyle name="Normal 2 30 14" xfId="663"/>
    <cellStyle name="Normal 2 30 15" xfId="664"/>
    <cellStyle name="Normal 2 30 16" xfId="665"/>
    <cellStyle name="Normal 2 30 17" xfId="666"/>
    <cellStyle name="Normal 2 30 18" xfId="667"/>
    <cellStyle name="Normal 2 30 19" xfId="668"/>
    <cellStyle name="Normal 2 30 2" xfId="669"/>
    <cellStyle name="Normal 2 30 20" xfId="670"/>
    <cellStyle name="Normal 2 30 21" xfId="671"/>
    <cellStyle name="Normal 2 30 22" xfId="672"/>
    <cellStyle name="Normal 2 30 23" xfId="673"/>
    <cellStyle name="Normal 2 30 3" xfId="674"/>
    <cellStyle name="Normal 2 30 4" xfId="675"/>
    <cellStyle name="Normal 2 30 5" xfId="676"/>
    <cellStyle name="Normal 2 30 6" xfId="677"/>
    <cellStyle name="Normal 2 30 7" xfId="678"/>
    <cellStyle name="Normal 2 30 8" xfId="679"/>
    <cellStyle name="Normal 2 30 9" xfId="680"/>
    <cellStyle name="Normal 2 31" xfId="681"/>
    <cellStyle name="Normal 2 31 10" xfId="682"/>
    <cellStyle name="Normal 2 31 11" xfId="683"/>
    <cellStyle name="Normal 2 31 12" xfId="684"/>
    <cellStyle name="Normal 2 31 13" xfId="685"/>
    <cellStyle name="Normal 2 31 14" xfId="686"/>
    <cellStyle name="Normal 2 31 15" xfId="687"/>
    <cellStyle name="Normal 2 31 16" xfId="688"/>
    <cellStyle name="Normal 2 31 17" xfId="689"/>
    <cellStyle name="Normal 2 31 18" xfId="690"/>
    <cellStyle name="Normal 2 31 19" xfId="691"/>
    <cellStyle name="Normal 2 31 2" xfId="692"/>
    <cellStyle name="Normal 2 31 20" xfId="693"/>
    <cellStyle name="Normal 2 31 21" xfId="694"/>
    <cellStyle name="Normal 2 31 22" xfId="695"/>
    <cellStyle name="Normal 2 31 23" xfId="696"/>
    <cellStyle name="Normal 2 31 3" xfId="697"/>
    <cellStyle name="Normal 2 31 4" xfId="698"/>
    <cellStyle name="Normal 2 31 5" xfId="699"/>
    <cellStyle name="Normal 2 31 6" xfId="700"/>
    <cellStyle name="Normal 2 31 7" xfId="701"/>
    <cellStyle name="Normal 2 31 8" xfId="702"/>
    <cellStyle name="Normal 2 31 9" xfId="703"/>
    <cellStyle name="Normal 2 32" xfId="704"/>
    <cellStyle name="Normal 2 32 10" xfId="705"/>
    <cellStyle name="Normal 2 32 11" xfId="706"/>
    <cellStyle name="Normal 2 32 12" xfId="707"/>
    <cellStyle name="Normal 2 32 13" xfId="708"/>
    <cellStyle name="Normal 2 32 14" xfId="709"/>
    <cellStyle name="Normal 2 32 15" xfId="710"/>
    <cellStyle name="Normal 2 32 16" xfId="711"/>
    <cellStyle name="Normal 2 32 17" xfId="712"/>
    <cellStyle name="Normal 2 32 18" xfId="713"/>
    <cellStyle name="Normal 2 32 19" xfId="714"/>
    <cellStyle name="Normal 2 32 2" xfId="715"/>
    <cellStyle name="Normal 2 32 20" xfId="716"/>
    <cellStyle name="Normal 2 32 21" xfId="717"/>
    <cellStyle name="Normal 2 32 22" xfId="718"/>
    <cellStyle name="Normal 2 32 23" xfId="719"/>
    <cellStyle name="Normal 2 32 3" xfId="720"/>
    <cellStyle name="Normal 2 32 4" xfId="721"/>
    <cellStyle name="Normal 2 32 5" xfId="722"/>
    <cellStyle name="Normal 2 32 6" xfId="723"/>
    <cellStyle name="Normal 2 32 7" xfId="724"/>
    <cellStyle name="Normal 2 32 8" xfId="725"/>
    <cellStyle name="Normal 2 32 9" xfId="726"/>
    <cellStyle name="Normal 2 33" xfId="727"/>
    <cellStyle name="Normal 2 33 10" xfId="728"/>
    <cellStyle name="Normal 2 33 11" xfId="729"/>
    <cellStyle name="Normal 2 33 12" xfId="730"/>
    <cellStyle name="Normal 2 33 13" xfId="731"/>
    <cellStyle name="Normal 2 33 14" xfId="732"/>
    <cellStyle name="Normal 2 33 15" xfId="733"/>
    <cellStyle name="Normal 2 33 16" xfId="734"/>
    <cellStyle name="Normal 2 33 17" xfId="735"/>
    <cellStyle name="Normal 2 33 18" xfId="736"/>
    <cellStyle name="Normal 2 33 19" xfId="737"/>
    <cellStyle name="Normal 2 33 2" xfId="738"/>
    <cellStyle name="Normal 2 33 20" xfId="739"/>
    <cellStyle name="Normal 2 33 21" xfId="740"/>
    <cellStyle name="Normal 2 33 22" xfId="741"/>
    <cellStyle name="Normal 2 33 23" xfId="742"/>
    <cellStyle name="Normal 2 33 3" xfId="743"/>
    <cellStyle name="Normal 2 33 4" xfId="744"/>
    <cellStyle name="Normal 2 33 5" xfId="745"/>
    <cellStyle name="Normal 2 33 6" xfId="746"/>
    <cellStyle name="Normal 2 33 7" xfId="747"/>
    <cellStyle name="Normal 2 33 8" xfId="748"/>
    <cellStyle name="Normal 2 33 9" xfId="749"/>
    <cellStyle name="Normal 2 34" xfId="750"/>
    <cellStyle name="Normal 2 34 10" xfId="751"/>
    <cellStyle name="Normal 2 34 11" xfId="752"/>
    <cellStyle name="Normal 2 34 12" xfId="753"/>
    <cellStyle name="Normal 2 34 13" xfId="754"/>
    <cellStyle name="Normal 2 34 14" xfId="755"/>
    <cellStyle name="Normal 2 34 15" xfId="756"/>
    <cellStyle name="Normal 2 34 16" xfId="757"/>
    <cellStyle name="Normal 2 34 17" xfId="758"/>
    <cellStyle name="Normal 2 34 18" xfId="759"/>
    <cellStyle name="Normal 2 34 19" xfId="760"/>
    <cellStyle name="Normal 2 34 2" xfId="761"/>
    <cellStyle name="Normal 2 34 20" xfId="762"/>
    <cellStyle name="Normal 2 34 21" xfId="763"/>
    <cellStyle name="Normal 2 34 22" xfId="764"/>
    <cellStyle name="Normal 2 34 23" xfId="765"/>
    <cellStyle name="Normal 2 34 3" xfId="766"/>
    <cellStyle name="Normal 2 34 4" xfId="767"/>
    <cellStyle name="Normal 2 34 5" xfId="768"/>
    <cellStyle name="Normal 2 34 6" xfId="769"/>
    <cellStyle name="Normal 2 34 7" xfId="770"/>
    <cellStyle name="Normal 2 34 8" xfId="771"/>
    <cellStyle name="Normal 2 34 9" xfId="772"/>
    <cellStyle name="Normal 2 35" xfId="773"/>
    <cellStyle name="Normal 2 35 10" xfId="774"/>
    <cellStyle name="Normal 2 35 11" xfId="775"/>
    <cellStyle name="Normal 2 35 12" xfId="776"/>
    <cellStyle name="Normal 2 35 13" xfId="777"/>
    <cellStyle name="Normal 2 35 14" xfId="778"/>
    <cellStyle name="Normal 2 35 15" xfId="779"/>
    <cellStyle name="Normal 2 35 16" xfId="780"/>
    <cellStyle name="Normal 2 35 17" xfId="781"/>
    <cellStyle name="Normal 2 35 18" xfId="782"/>
    <cellStyle name="Normal 2 35 19" xfId="783"/>
    <cellStyle name="Normal 2 35 2" xfId="784"/>
    <cellStyle name="Normal 2 35 20" xfId="785"/>
    <cellStyle name="Normal 2 35 21" xfId="786"/>
    <cellStyle name="Normal 2 35 22" xfId="787"/>
    <cellStyle name="Normal 2 35 23" xfId="788"/>
    <cellStyle name="Normal 2 35 3" xfId="789"/>
    <cellStyle name="Normal 2 35 4" xfId="790"/>
    <cellStyle name="Normal 2 35 5" xfId="791"/>
    <cellStyle name="Normal 2 35 6" xfId="792"/>
    <cellStyle name="Normal 2 35 7" xfId="793"/>
    <cellStyle name="Normal 2 35 8" xfId="794"/>
    <cellStyle name="Normal 2 35 9" xfId="795"/>
    <cellStyle name="Normal 2 36" xfId="796"/>
    <cellStyle name="Normal 2 36 10" xfId="797"/>
    <cellStyle name="Normal 2 36 11" xfId="798"/>
    <cellStyle name="Normal 2 36 12" xfId="799"/>
    <cellStyle name="Normal 2 36 13" xfId="800"/>
    <cellStyle name="Normal 2 36 14" xfId="801"/>
    <cellStyle name="Normal 2 36 15" xfId="802"/>
    <cellStyle name="Normal 2 36 16" xfId="803"/>
    <cellStyle name="Normal 2 36 17" xfId="804"/>
    <cellStyle name="Normal 2 36 18" xfId="805"/>
    <cellStyle name="Normal 2 36 19" xfId="806"/>
    <cellStyle name="Normal 2 36 2" xfId="807"/>
    <cellStyle name="Normal 2 36 20" xfId="808"/>
    <cellStyle name="Normal 2 36 21" xfId="809"/>
    <cellStyle name="Normal 2 36 22" xfId="810"/>
    <cellStyle name="Normal 2 36 23" xfId="811"/>
    <cellStyle name="Normal 2 36 3" xfId="812"/>
    <cellStyle name="Normal 2 36 4" xfId="813"/>
    <cellStyle name="Normal 2 36 5" xfId="814"/>
    <cellStyle name="Normal 2 36 6" xfId="815"/>
    <cellStyle name="Normal 2 36 7" xfId="816"/>
    <cellStyle name="Normal 2 36 8" xfId="817"/>
    <cellStyle name="Normal 2 36 9" xfId="818"/>
    <cellStyle name="Normal 2 37" xfId="819"/>
    <cellStyle name="Normal 2 37 10" xfId="820"/>
    <cellStyle name="Normal 2 37 11" xfId="821"/>
    <cellStyle name="Normal 2 37 12" xfId="822"/>
    <cellStyle name="Normal 2 37 13" xfId="823"/>
    <cellStyle name="Normal 2 37 14" xfId="824"/>
    <cellStyle name="Normal 2 37 15" xfId="825"/>
    <cellStyle name="Normal 2 37 16" xfId="826"/>
    <cellStyle name="Normal 2 37 17" xfId="827"/>
    <cellStyle name="Normal 2 37 18" xfId="828"/>
    <cellStyle name="Normal 2 37 19" xfId="829"/>
    <cellStyle name="Normal 2 37 2" xfId="830"/>
    <cellStyle name="Normal 2 37 20" xfId="831"/>
    <cellStyle name="Normal 2 37 21" xfId="832"/>
    <cellStyle name="Normal 2 37 22" xfId="833"/>
    <cellStyle name="Normal 2 37 23" xfId="834"/>
    <cellStyle name="Normal 2 37 3" xfId="835"/>
    <cellStyle name="Normal 2 37 4" xfId="836"/>
    <cellStyle name="Normal 2 37 5" xfId="837"/>
    <cellStyle name="Normal 2 37 6" xfId="838"/>
    <cellStyle name="Normal 2 37 7" xfId="839"/>
    <cellStyle name="Normal 2 37 8" xfId="840"/>
    <cellStyle name="Normal 2 37 9" xfId="841"/>
    <cellStyle name="Normal 2 38" xfId="842"/>
    <cellStyle name="Normal 2 38 10" xfId="843"/>
    <cellStyle name="Normal 2 38 11" xfId="844"/>
    <cellStyle name="Normal 2 38 12" xfId="845"/>
    <cellStyle name="Normal 2 38 13" xfId="846"/>
    <cellStyle name="Normal 2 38 14" xfId="847"/>
    <cellStyle name="Normal 2 38 15" xfId="848"/>
    <cellStyle name="Normal 2 38 16" xfId="849"/>
    <cellStyle name="Normal 2 38 17" xfId="850"/>
    <cellStyle name="Normal 2 38 18" xfId="851"/>
    <cellStyle name="Normal 2 38 19" xfId="852"/>
    <cellStyle name="Normal 2 38 2" xfId="853"/>
    <cellStyle name="Normal 2 38 20" xfId="854"/>
    <cellStyle name="Normal 2 38 21" xfId="855"/>
    <cellStyle name="Normal 2 38 22" xfId="856"/>
    <cellStyle name="Normal 2 38 23" xfId="857"/>
    <cellStyle name="Normal 2 38 3" xfId="858"/>
    <cellStyle name="Normal 2 38 4" xfId="859"/>
    <cellStyle name="Normal 2 38 5" xfId="860"/>
    <cellStyle name="Normal 2 38 6" xfId="861"/>
    <cellStyle name="Normal 2 38 7" xfId="862"/>
    <cellStyle name="Normal 2 38 8" xfId="863"/>
    <cellStyle name="Normal 2 38 9" xfId="864"/>
    <cellStyle name="Normal 2 39" xfId="865"/>
    <cellStyle name="Normal 2 39 10" xfId="866"/>
    <cellStyle name="Normal 2 39 11" xfId="867"/>
    <cellStyle name="Normal 2 39 12" xfId="868"/>
    <cellStyle name="Normal 2 39 13" xfId="869"/>
    <cellStyle name="Normal 2 39 14" xfId="870"/>
    <cellStyle name="Normal 2 39 15" xfId="871"/>
    <cellStyle name="Normal 2 39 16" xfId="872"/>
    <cellStyle name="Normal 2 39 17" xfId="873"/>
    <cellStyle name="Normal 2 39 18" xfId="874"/>
    <cellStyle name="Normal 2 39 19" xfId="875"/>
    <cellStyle name="Normal 2 39 2" xfId="876"/>
    <cellStyle name="Normal 2 39 20" xfId="877"/>
    <cellStyle name="Normal 2 39 21" xfId="878"/>
    <cellStyle name="Normal 2 39 22" xfId="879"/>
    <cellStyle name="Normal 2 39 23" xfId="880"/>
    <cellStyle name="Normal 2 39 3" xfId="881"/>
    <cellStyle name="Normal 2 39 4" xfId="882"/>
    <cellStyle name="Normal 2 39 5" xfId="883"/>
    <cellStyle name="Normal 2 39 6" xfId="884"/>
    <cellStyle name="Normal 2 39 7" xfId="885"/>
    <cellStyle name="Normal 2 39 8" xfId="886"/>
    <cellStyle name="Normal 2 39 9" xfId="887"/>
    <cellStyle name="Normal 2 4" xfId="888"/>
    <cellStyle name="Normal 2 40" xfId="889"/>
    <cellStyle name="Normal 2 41" xfId="890"/>
    <cellStyle name="Normal 2 42" xfId="891"/>
    <cellStyle name="Normal 2 43" xfId="892"/>
    <cellStyle name="Normal 2 44" xfId="893"/>
    <cellStyle name="Normal 2 45" xfId="894"/>
    <cellStyle name="Normal 2 46" xfId="895"/>
    <cellStyle name="Normal 2 47" xfId="896"/>
    <cellStyle name="Normal 2 48" xfId="897"/>
    <cellStyle name="Normal 2 49" xfId="898"/>
    <cellStyle name="Normal 2 5" xfId="899"/>
    <cellStyle name="Normal 2 5 10" xfId="900"/>
    <cellStyle name="Normal 2 5 11" xfId="901"/>
    <cellStyle name="Normal 2 5 12" xfId="902"/>
    <cellStyle name="Normal 2 5 13" xfId="903"/>
    <cellStyle name="Normal 2 5 14" xfId="904"/>
    <cellStyle name="Normal 2 5 15" xfId="905"/>
    <cellStyle name="Normal 2 5 16" xfId="906"/>
    <cellStyle name="Normal 2 5 17" xfId="907"/>
    <cellStyle name="Normal 2 5 18" xfId="908"/>
    <cellStyle name="Normal 2 5 19" xfId="909"/>
    <cellStyle name="Normal 2 5 2" xfId="910"/>
    <cellStyle name="Normal 2 5 2 10" xfId="911"/>
    <cellStyle name="Normal 2 5 2 11" xfId="912"/>
    <cellStyle name="Normal 2 5 2 12" xfId="913"/>
    <cellStyle name="Normal 2 5 2 13" xfId="914"/>
    <cellStyle name="Normal 2 5 2 14" xfId="915"/>
    <cellStyle name="Normal 2 5 2 15" xfId="916"/>
    <cellStyle name="Normal 2 5 2 16" xfId="917"/>
    <cellStyle name="Normal 2 5 2 17" xfId="918"/>
    <cellStyle name="Normal 2 5 2 18" xfId="919"/>
    <cellStyle name="Normal 2 5 2 19" xfId="920"/>
    <cellStyle name="Normal 2 5 2 2" xfId="921"/>
    <cellStyle name="Normal 2 5 2 2 10" xfId="922"/>
    <cellStyle name="Normal 2 5 2 2 11" xfId="923"/>
    <cellStyle name="Normal 2 5 2 2 12" xfId="924"/>
    <cellStyle name="Normal 2 5 2 2 13" xfId="925"/>
    <cellStyle name="Normal 2 5 2 2 14" xfId="926"/>
    <cellStyle name="Normal 2 5 2 2 15" xfId="927"/>
    <cellStyle name="Normal 2 5 2 2 16" xfId="928"/>
    <cellStyle name="Normal 2 5 2 2 17" xfId="929"/>
    <cellStyle name="Normal 2 5 2 2 18" xfId="930"/>
    <cellStyle name="Normal 2 5 2 2 19" xfId="931"/>
    <cellStyle name="Normal 2 5 2 2 2" xfId="932"/>
    <cellStyle name="Normal 2 5 2 2 20" xfId="933"/>
    <cellStyle name="Normal 2 5 2 2 21" xfId="934"/>
    <cellStyle name="Normal 2 5 2 2 22" xfId="935"/>
    <cellStyle name="Normal 2 5 2 2 23" xfId="936"/>
    <cellStyle name="Normal 2 5 2 2 24" xfId="937"/>
    <cellStyle name="Normal 2 5 2 2 25" xfId="938"/>
    <cellStyle name="Normal 2 5 2 2 26" xfId="939"/>
    <cellStyle name="Normal 2 5 2 2 27" xfId="940"/>
    <cellStyle name="Normal 2 5 2 2 28" xfId="941"/>
    <cellStyle name="Normal 2 5 2 2 29" xfId="942"/>
    <cellStyle name="Normal 2 5 2 2 3" xfId="943"/>
    <cellStyle name="Normal 2 5 2 2 30" xfId="944"/>
    <cellStyle name="Normal 2 5 2 2 31" xfId="945"/>
    <cellStyle name="Normal 2 5 2 2 32" xfId="946"/>
    <cellStyle name="Normal 2 5 2 2 33" xfId="947"/>
    <cellStyle name="Normal 2 5 2 2 34" xfId="948"/>
    <cellStyle name="Normal 2 5 2 2 35" xfId="949"/>
    <cellStyle name="Normal 2 5 2 2 36" xfId="950"/>
    <cellStyle name="Normal 2 5 2 2 37" xfId="951"/>
    <cellStyle name="Normal 2 5 2 2 38" xfId="952"/>
    <cellStyle name="Normal 2 5 2 2 39" xfId="953"/>
    <cellStyle name="Normal 2 5 2 2 4" xfId="954"/>
    <cellStyle name="Normal 2 5 2 2 40" xfId="955"/>
    <cellStyle name="Normal 2 5 2 2 41" xfId="956"/>
    <cellStyle name="Normal 2 5 2 2 42" xfId="957"/>
    <cellStyle name="Normal 2 5 2 2 43" xfId="958"/>
    <cellStyle name="Normal 2 5 2 2 44" xfId="959"/>
    <cellStyle name="Normal 2 5 2 2 45" xfId="960"/>
    <cellStyle name="Normal 2 5 2 2 46" xfId="961"/>
    <cellStyle name="Normal 2 5 2 2 47" xfId="962"/>
    <cellStyle name="Normal 2 5 2 2 48" xfId="963"/>
    <cellStyle name="Normal 2 5 2 2 49" xfId="964"/>
    <cellStyle name="Normal 2 5 2 2 5" xfId="965"/>
    <cellStyle name="Normal 2 5 2 2 50" xfId="966"/>
    <cellStyle name="Normal 2 5 2 2 51" xfId="967"/>
    <cellStyle name="Normal 2 5 2 2 52" xfId="968"/>
    <cellStyle name="Normal 2 5 2 2 53" xfId="969"/>
    <cellStyle name="Normal 2 5 2 2 54" xfId="970"/>
    <cellStyle name="Normal 2 5 2 2 55" xfId="971"/>
    <cellStyle name="Normal 2 5 2 2 6" xfId="972"/>
    <cellStyle name="Normal 2 5 2 2 7" xfId="973"/>
    <cellStyle name="Normal 2 5 2 2 8" xfId="974"/>
    <cellStyle name="Normal 2 5 2 2 9" xfId="975"/>
    <cellStyle name="Normal 2 5 2 20" xfId="976"/>
    <cellStyle name="Normal 2 5 2 21" xfId="977"/>
    <cellStyle name="Normal 2 5 2 22" xfId="978"/>
    <cellStyle name="Normal 2 5 2 23" xfId="979"/>
    <cellStyle name="Normal 2 5 2 24" xfId="980"/>
    <cellStyle name="Normal 2 5 2 25" xfId="981"/>
    <cellStyle name="Normal 2 5 2 26" xfId="982"/>
    <cellStyle name="Normal 2 5 2 27" xfId="983"/>
    <cellStyle name="Normal 2 5 2 28" xfId="984"/>
    <cellStyle name="Normal 2 5 2 29" xfId="985"/>
    <cellStyle name="Normal 2 5 2 3" xfId="986"/>
    <cellStyle name="Normal 2 5 2 30" xfId="987"/>
    <cellStyle name="Normal 2 5 2 31" xfId="988"/>
    <cellStyle name="Normal 2 5 2 32" xfId="989"/>
    <cellStyle name="Normal 2 5 2 33" xfId="990"/>
    <cellStyle name="Normal 2 5 2 4" xfId="991"/>
    <cellStyle name="Normal 2 5 2 5" xfId="992"/>
    <cellStyle name="Normal 2 5 2 6" xfId="993"/>
    <cellStyle name="Normal 2 5 2 7" xfId="994"/>
    <cellStyle name="Normal 2 5 2 8" xfId="995"/>
    <cellStyle name="Normal 2 5 2 9" xfId="996"/>
    <cellStyle name="Normal 2 5 20" xfId="997"/>
    <cellStyle name="Normal 2 5 21" xfId="998"/>
    <cellStyle name="Normal 2 5 22" xfId="999"/>
    <cellStyle name="Normal 2 5 23" xfId="1000"/>
    <cellStyle name="Normal 2 5 24" xfId="1001"/>
    <cellStyle name="Normal 2 5 25" xfId="1002"/>
    <cellStyle name="Normal 2 5 26" xfId="1003"/>
    <cellStyle name="Normal 2 5 27" xfId="1004"/>
    <cellStyle name="Normal 2 5 28" xfId="1005"/>
    <cellStyle name="Normal 2 5 29" xfId="1006"/>
    <cellStyle name="Normal 2 5 3" xfId="1007"/>
    <cellStyle name="Normal 2 5 30" xfId="1008"/>
    <cellStyle name="Normal 2 5 31" xfId="1009"/>
    <cellStyle name="Normal 2 5 32" xfId="1010"/>
    <cellStyle name="Normal 2 5 33" xfId="1011"/>
    <cellStyle name="Normal 2 5 34" xfId="1012"/>
    <cellStyle name="Normal 2 5 35" xfId="1013"/>
    <cellStyle name="Normal 2 5 36" xfId="1014"/>
    <cellStyle name="Normal 2 5 37" xfId="1015"/>
    <cellStyle name="Normal 2 5 38" xfId="1016"/>
    <cellStyle name="Normal 2 5 39" xfId="1017"/>
    <cellStyle name="Normal 2 5 4" xfId="1018"/>
    <cellStyle name="Normal 2 5 40" xfId="1019"/>
    <cellStyle name="Normal 2 5 41" xfId="1020"/>
    <cellStyle name="Normal 2 5 42" xfId="1021"/>
    <cellStyle name="Normal 2 5 43" xfId="1022"/>
    <cellStyle name="Normal 2 5 44" xfId="1023"/>
    <cellStyle name="Normal 2 5 45" xfId="1024"/>
    <cellStyle name="Normal 2 5 46" xfId="1025"/>
    <cellStyle name="Normal 2 5 47" xfId="1026"/>
    <cellStyle name="Normal 2 5 48" xfId="1027"/>
    <cellStyle name="Normal 2 5 49" xfId="1028"/>
    <cellStyle name="Normal 2 5 5" xfId="1029"/>
    <cellStyle name="Normal 2 5 50" xfId="1030"/>
    <cellStyle name="Normal 2 5 51" xfId="1031"/>
    <cellStyle name="Normal 2 5 52" xfId="1032"/>
    <cellStyle name="Normal 2 5 53" xfId="1033"/>
    <cellStyle name="Normal 2 5 54" xfId="1034"/>
    <cellStyle name="Normal 2 5 55" xfId="1035"/>
    <cellStyle name="Normal 2 5 56" xfId="1036"/>
    <cellStyle name="Normal 2 5 57" xfId="1037"/>
    <cellStyle name="Normal 2 5 58" xfId="1038"/>
    <cellStyle name="Normal 2 5 59" xfId="1039"/>
    <cellStyle name="Normal 2 5 6" xfId="1040"/>
    <cellStyle name="Normal 2 5 60" xfId="1041"/>
    <cellStyle name="Normal 2 5 61" xfId="1042"/>
    <cellStyle name="Normal 2 5 62" xfId="1043"/>
    <cellStyle name="Normal 2 5 63" xfId="1044"/>
    <cellStyle name="Normal 2 5 64" xfId="1045"/>
    <cellStyle name="Normal 2 5 65" xfId="1046"/>
    <cellStyle name="Normal 2 5 66" xfId="1047"/>
    <cellStyle name="Normal 2 5 67" xfId="1048"/>
    <cellStyle name="Normal 2 5 68" xfId="1049"/>
    <cellStyle name="Normal 2 5 69" xfId="1050"/>
    <cellStyle name="Normal 2 5 7" xfId="1051"/>
    <cellStyle name="Normal 2 5 70" xfId="1052"/>
    <cellStyle name="Normal 2 5 71" xfId="1053"/>
    <cellStyle name="Normal 2 5 72" xfId="1054"/>
    <cellStyle name="Normal 2 5 73" xfId="1055"/>
    <cellStyle name="Normal 2 5 74" xfId="1056"/>
    <cellStyle name="Normal 2 5 75" xfId="1057"/>
    <cellStyle name="Normal 2 5 76" xfId="1058"/>
    <cellStyle name="Normal 2 5 77" xfId="1059"/>
    <cellStyle name="Normal 2 5 78" xfId="1060"/>
    <cellStyle name="Normal 2 5 79" xfId="1061"/>
    <cellStyle name="Normal 2 5 8" xfId="1062"/>
    <cellStyle name="Normal 2 5 80" xfId="1063"/>
    <cellStyle name="Normal 2 5 81" xfId="1064"/>
    <cellStyle name="Normal 2 5 82" xfId="1065"/>
    <cellStyle name="Normal 2 5 83" xfId="1066"/>
    <cellStyle name="Normal 2 5 84" xfId="1067"/>
    <cellStyle name="Normal 2 5 85" xfId="1068"/>
    <cellStyle name="Normal 2 5 86" xfId="1069"/>
    <cellStyle name="Normal 2 5 87" xfId="1070"/>
    <cellStyle name="Normal 2 5 9" xfId="1071"/>
    <cellStyle name="Normal 2 5_DEER 032008 Cost Summary Delivery - Rev 4 (2)" xfId="1072"/>
    <cellStyle name="Normal 2 50" xfId="1073"/>
    <cellStyle name="Normal 2 51" xfId="1074"/>
    <cellStyle name="Normal 2 52" xfId="1075"/>
    <cellStyle name="Normal 2 53" xfId="1076"/>
    <cellStyle name="Normal 2 54" xfId="1077"/>
    <cellStyle name="Normal 2 55" xfId="1078"/>
    <cellStyle name="Normal 2 56" xfId="1079"/>
    <cellStyle name="Normal 2 57" xfId="1080"/>
    <cellStyle name="Normal 2 58" xfId="1081"/>
    <cellStyle name="Normal 2 59" xfId="1082"/>
    <cellStyle name="Normal 2 6" xfId="1083"/>
    <cellStyle name="Normal 2 60" xfId="1084"/>
    <cellStyle name="Normal 2 61" xfId="1085"/>
    <cellStyle name="Normal 2 62" xfId="1086"/>
    <cellStyle name="Normal 2 63" xfId="1087"/>
    <cellStyle name="Normal 2 64" xfId="1088"/>
    <cellStyle name="Normal 2 65" xfId="1089"/>
    <cellStyle name="Normal 2 66" xfId="1090"/>
    <cellStyle name="Normal 2 67" xfId="1091"/>
    <cellStyle name="Normal 2 68" xfId="1092"/>
    <cellStyle name="Normal 2 69" xfId="1093"/>
    <cellStyle name="Normal 2 7" xfId="1094"/>
    <cellStyle name="Normal 2 70" xfId="1095"/>
    <cellStyle name="Normal 2 71" xfId="1096"/>
    <cellStyle name="Normal 2 72" xfId="1097"/>
    <cellStyle name="Normal 2 73" xfId="1098"/>
    <cellStyle name="Normal 2 74" xfId="1099"/>
    <cellStyle name="Normal 2 75" xfId="1100"/>
    <cellStyle name="Normal 2 76" xfId="1101"/>
    <cellStyle name="Normal 2 77" xfId="1102"/>
    <cellStyle name="Normal 2 78" xfId="1103"/>
    <cellStyle name="Normal 2 79" xfId="1104"/>
    <cellStyle name="Normal 2 8" xfId="1105"/>
    <cellStyle name="Normal 2 8 10" xfId="1106"/>
    <cellStyle name="Normal 2 8 11" xfId="1107"/>
    <cellStyle name="Normal 2 8 12" xfId="1108"/>
    <cellStyle name="Normal 2 8 13" xfId="1109"/>
    <cellStyle name="Normal 2 8 14" xfId="1110"/>
    <cellStyle name="Normal 2 8 15" xfId="1111"/>
    <cellStyle name="Normal 2 8 16" xfId="1112"/>
    <cellStyle name="Normal 2 8 17" xfId="1113"/>
    <cellStyle name="Normal 2 8 18" xfId="1114"/>
    <cellStyle name="Normal 2 8 19" xfId="1115"/>
    <cellStyle name="Normal 2 8 2" xfId="1116"/>
    <cellStyle name="Normal 2 8 20" xfId="1117"/>
    <cellStyle name="Normal 2 8 21" xfId="1118"/>
    <cellStyle name="Normal 2 8 22" xfId="1119"/>
    <cellStyle name="Normal 2 8 23" xfId="1120"/>
    <cellStyle name="Normal 2 8 3" xfId="1121"/>
    <cellStyle name="Normal 2 8 4" xfId="1122"/>
    <cellStyle name="Normal 2 8 5" xfId="1123"/>
    <cellStyle name="Normal 2 8 6" xfId="1124"/>
    <cellStyle name="Normal 2 8 7" xfId="1125"/>
    <cellStyle name="Normal 2 8 8" xfId="1126"/>
    <cellStyle name="Normal 2 8 9" xfId="1127"/>
    <cellStyle name="Normal 2 80" xfId="1128"/>
    <cellStyle name="Normal 2 81" xfId="1129"/>
    <cellStyle name="Normal 2 82" xfId="1130"/>
    <cellStyle name="Normal 2 83" xfId="1131"/>
    <cellStyle name="Normal 2 84" xfId="1132"/>
    <cellStyle name="Normal 2 85" xfId="1133"/>
    <cellStyle name="Normal 2 86" xfId="1134"/>
    <cellStyle name="Normal 2 87" xfId="1135"/>
    <cellStyle name="Normal 2 88" xfId="1136"/>
    <cellStyle name="Normal 2 89" xfId="1137"/>
    <cellStyle name="Normal 2 9" xfId="1138"/>
    <cellStyle name="Normal 2 9 10" xfId="1139"/>
    <cellStyle name="Normal 2 9 11" xfId="1140"/>
    <cellStyle name="Normal 2 9 12" xfId="1141"/>
    <cellStyle name="Normal 2 9 13" xfId="1142"/>
    <cellStyle name="Normal 2 9 14" xfId="1143"/>
    <cellStyle name="Normal 2 9 15" xfId="1144"/>
    <cellStyle name="Normal 2 9 16" xfId="1145"/>
    <cellStyle name="Normal 2 9 17" xfId="1146"/>
    <cellStyle name="Normal 2 9 18" xfId="1147"/>
    <cellStyle name="Normal 2 9 19" xfId="1148"/>
    <cellStyle name="Normal 2 9 2" xfId="1149"/>
    <cellStyle name="Normal 2 9 20" xfId="1150"/>
    <cellStyle name="Normal 2 9 21" xfId="1151"/>
    <cellStyle name="Normal 2 9 22" xfId="1152"/>
    <cellStyle name="Normal 2 9 23" xfId="1153"/>
    <cellStyle name="Normal 2 9 3" xfId="1154"/>
    <cellStyle name="Normal 2 9 4" xfId="1155"/>
    <cellStyle name="Normal 2 9 5" xfId="1156"/>
    <cellStyle name="Normal 2 9 6" xfId="1157"/>
    <cellStyle name="Normal 2 9 7" xfId="1158"/>
    <cellStyle name="Normal 2 9 8" xfId="1159"/>
    <cellStyle name="Normal 2 9 9" xfId="1160"/>
    <cellStyle name="Normal 2 90" xfId="1161"/>
    <cellStyle name="Normal 2 91" xfId="1162"/>
    <cellStyle name="Normal 2 92" xfId="1163"/>
    <cellStyle name="Normal 2 93" xfId="1164"/>
    <cellStyle name="Normal 2_DEER 032008 Cost Summary Delivery - Rev 4 (2)" xfId="1165"/>
    <cellStyle name="Normal 3" xfId="1166"/>
    <cellStyle name="Normal 3 10" xfId="1167"/>
    <cellStyle name="Normal 3 10 10" xfId="1168"/>
    <cellStyle name="Normal 3 10 11" xfId="1169"/>
    <cellStyle name="Normal 3 10 12" xfId="1170"/>
    <cellStyle name="Normal 3 10 13" xfId="1171"/>
    <cellStyle name="Normal 3 10 14" xfId="1172"/>
    <cellStyle name="Normal 3 10 15" xfId="1173"/>
    <cellStyle name="Normal 3 10 16" xfId="1174"/>
    <cellStyle name="Normal 3 10 17" xfId="1175"/>
    <cellStyle name="Normal 3 10 18" xfId="1176"/>
    <cellStyle name="Normal 3 10 19" xfId="1177"/>
    <cellStyle name="Normal 3 10 2" xfId="1178"/>
    <cellStyle name="Normal 3 10 20" xfId="1179"/>
    <cellStyle name="Normal 3 10 21" xfId="1180"/>
    <cellStyle name="Normal 3 10 22" xfId="1181"/>
    <cellStyle name="Normal 3 10 23" xfId="1182"/>
    <cellStyle name="Normal 3 10 3" xfId="1183"/>
    <cellStyle name="Normal 3 10 4" xfId="1184"/>
    <cellStyle name="Normal 3 10 5" xfId="1185"/>
    <cellStyle name="Normal 3 10 6" xfId="1186"/>
    <cellStyle name="Normal 3 10 7" xfId="1187"/>
    <cellStyle name="Normal 3 10 8" xfId="1188"/>
    <cellStyle name="Normal 3 10 9" xfId="1189"/>
    <cellStyle name="Normal 3 11" xfId="1190"/>
    <cellStyle name="Normal 3 11 10" xfId="1191"/>
    <cellStyle name="Normal 3 11 11" xfId="1192"/>
    <cellStyle name="Normal 3 11 12" xfId="1193"/>
    <cellStyle name="Normal 3 11 13" xfId="1194"/>
    <cellStyle name="Normal 3 11 14" xfId="1195"/>
    <cellStyle name="Normal 3 11 15" xfId="1196"/>
    <cellStyle name="Normal 3 11 16" xfId="1197"/>
    <cellStyle name="Normal 3 11 17" xfId="1198"/>
    <cellStyle name="Normal 3 11 18" xfId="1199"/>
    <cellStyle name="Normal 3 11 19" xfId="1200"/>
    <cellStyle name="Normal 3 11 2" xfId="1201"/>
    <cellStyle name="Normal 3 11 20" xfId="1202"/>
    <cellStyle name="Normal 3 11 21" xfId="1203"/>
    <cellStyle name="Normal 3 11 22" xfId="1204"/>
    <cellStyle name="Normal 3 11 23" xfId="1205"/>
    <cellStyle name="Normal 3 11 3" xfId="1206"/>
    <cellStyle name="Normal 3 11 4" xfId="1207"/>
    <cellStyle name="Normal 3 11 5" xfId="1208"/>
    <cellStyle name="Normal 3 11 6" xfId="1209"/>
    <cellStyle name="Normal 3 11 7" xfId="1210"/>
    <cellStyle name="Normal 3 11 8" xfId="1211"/>
    <cellStyle name="Normal 3 11 9" xfId="1212"/>
    <cellStyle name="Normal 3 12" xfId="1213"/>
    <cellStyle name="Normal 3 12 10" xfId="1214"/>
    <cellStyle name="Normal 3 12 11" xfId="1215"/>
    <cellStyle name="Normal 3 12 12" xfId="1216"/>
    <cellStyle name="Normal 3 12 13" xfId="1217"/>
    <cellStyle name="Normal 3 12 14" xfId="1218"/>
    <cellStyle name="Normal 3 12 15" xfId="1219"/>
    <cellStyle name="Normal 3 12 16" xfId="1220"/>
    <cellStyle name="Normal 3 12 17" xfId="1221"/>
    <cellStyle name="Normal 3 12 18" xfId="1222"/>
    <cellStyle name="Normal 3 12 19" xfId="1223"/>
    <cellStyle name="Normal 3 12 2" xfId="1224"/>
    <cellStyle name="Normal 3 12 20" xfId="1225"/>
    <cellStyle name="Normal 3 12 21" xfId="1226"/>
    <cellStyle name="Normal 3 12 22" xfId="1227"/>
    <cellStyle name="Normal 3 12 23" xfId="1228"/>
    <cellStyle name="Normal 3 12 3" xfId="1229"/>
    <cellStyle name="Normal 3 12 4" xfId="1230"/>
    <cellStyle name="Normal 3 12 5" xfId="1231"/>
    <cellStyle name="Normal 3 12 6" xfId="1232"/>
    <cellStyle name="Normal 3 12 7" xfId="1233"/>
    <cellStyle name="Normal 3 12 8" xfId="1234"/>
    <cellStyle name="Normal 3 12 9" xfId="1235"/>
    <cellStyle name="Normal 3 13" xfId="1236"/>
    <cellStyle name="Normal 3 13 10" xfId="1237"/>
    <cellStyle name="Normal 3 13 11" xfId="1238"/>
    <cellStyle name="Normal 3 13 12" xfId="1239"/>
    <cellStyle name="Normal 3 13 13" xfId="1240"/>
    <cellStyle name="Normal 3 13 14" xfId="1241"/>
    <cellStyle name="Normal 3 13 15" xfId="1242"/>
    <cellStyle name="Normal 3 13 16" xfId="1243"/>
    <cellStyle name="Normal 3 13 17" xfId="1244"/>
    <cellStyle name="Normal 3 13 18" xfId="1245"/>
    <cellStyle name="Normal 3 13 19" xfId="1246"/>
    <cellStyle name="Normal 3 13 2" xfId="1247"/>
    <cellStyle name="Normal 3 13 20" xfId="1248"/>
    <cellStyle name="Normal 3 13 21" xfId="1249"/>
    <cellStyle name="Normal 3 13 22" xfId="1250"/>
    <cellStyle name="Normal 3 13 23" xfId="1251"/>
    <cellStyle name="Normal 3 13 3" xfId="1252"/>
    <cellStyle name="Normal 3 13 4" xfId="1253"/>
    <cellStyle name="Normal 3 13 5" xfId="1254"/>
    <cellStyle name="Normal 3 13 6" xfId="1255"/>
    <cellStyle name="Normal 3 13 7" xfId="1256"/>
    <cellStyle name="Normal 3 13 8" xfId="1257"/>
    <cellStyle name="Normal 3 13 9" xfId="1258"/>
    <cellStyle name="Normal 3 14" xfId="1259"/>
    <cellStyle name="Normal 3 14 10" xfId="1260"/>
    <cellStyle name="Normal 3 14 11" xfId="1261"/>
    <cellStyle name="Normal 3 14 12" xfId="1262"/>
    <cellStyle name="Normal 3 14 13" xfId="1263"/>
    <cellStyle name="Normal 3 14 14" xfId="1264"/>
    <cellStyle name="Normal 3 14 15" xfId="1265"/>
    <cellStyle name="Normal 3 14 16" xfId="1266"/>
    <cellStyle name="Normal 3 14 17" xfId="1267"/>
    <cellStyle name="Normal 3 14 18" xfId="1268"/>
    <cellStyle name="Normal 3 14 19" xfId="1269"/>
    <cellStyle name="Normal 3 14 2" xfId="1270"/>
    <cellStyle name="Normal 3 14 20" xfId="1271"/>
    <cellStyle name="Normal 3 14 21" xfId="1272"/>
    <cellStyle name="Normal 3 14 22" xfId="1273"/>
    <cellStyle name="Normal 3 14 23" xfId="1274"/>
    <cellStyle name="Normal 3 14 3" xfId="1275"/>
    <cellStyle name="Normal 3 14 4" xfId="1276"/>
    <cellStyle name="Normal 3 14 5" xfId="1277"/>
    <cellStyle name="Normal 3 14 6" xfId="1278"/>
    <cellStyle name="Normal 3 14 7" xfId="1279"/>
    <cellStyle name="Normal 3 14 8" xfId="1280"/>
    <cellStyle name="Normal 3 14 9" xfId="1281"/>
    <cellStyle name="Normal 3 15" xfId="1282"/>
    <cellStyle name="Normal 3 15 10" xfId="1283"/>
    <cellStyle name="Normal 3 15 11" xfId="1284"/>
    <cellStyle name="Normal 3 15 12" xfId="1285"/>
    <cellStyle name="Normal 3 15 13" xfId="1286"/>
    <cellStyle name="Normal 3 15 14" xfId="1287"/>
    <cellStyle name="Normal 3 15 15" xfId="1288"/>
    <cellStyle name="Normal 3 15 16" xfId="1289"/>
    <cellStyle name="Normal 3 15 17" xfId="1290"/>
    <cellStyle name="Normal 3 15 18" xfId="1291"/>
    <cellStyle name="Normal 3 15 19" xfId="1292"/>
    <cellStyle name="Normal 3 15 2" xfId="1293"/>
    <cellStyle name="Normal 3 15 20" xfId="1294"/>
    <cellStyle name="Normal 3 15 21" xfId="1295"/>
    <cellStyle name="Normal 3 15 22" xfId="1296"/>
    <cellStyle name="Normal 3 15 23" xfId="1297"/>
    <cellStyle name="Normal 3 15 3" xfId="1298"/>
    <cellStyle name="Normal 3 15 4" xfId="1299"/>
    <cellStyle name="Normal 3 15 5" xfId="1300"/>
    <cellStyle name="Normal 3 15 6" xfId="1301"/>
    <cellStyle name="Normal 3 15 7" xfId="1302"/>
    <cellStyle name="Normal 3 15 8" xfId="1303"/>
    <cellStyle name="Normal 3 15 9" xfId="1304"/>
    <cellStyle name="Normal 3 16" xfId="1305"/>
    <cellStyle name="Normal 3 16 10" xfId="1306"/>
    <cellStyle name="Normal 3 16 11" xfId="1307"/>
    <cellStyle name="Normal 3 16 12" xfId="1308"/>
    <cellStyle name="Normal 3 16 13" xfId="1309"/>
    <cellStyle name="Normal 3 16 14" xfId="1310"/>
    <cellStyle name="Normal 3 16 15" xfId="1311"/>
    <cellStyle name="Normal 3 16 16" xfId="1312"/>
    <cellStyle name="Normal 3 16 17" xfId="1313"/>
    <cellStyle name="Normal 3 16 18" xfId="1314"/>
    <cellStyle name="Normal 3 16 19" xfId="1315"/>
    <cellStyle name="Normal 3 16 2" xfId="1316"/>
    <cellStyle name="Normal 3 16 20" xfId="1317"/>
    <cellStyle name="Normal 3 16 21" xfId="1318"/>
    <cellStyle name="Normal 3 16 22" xfId="1319"/>
    <cellStyle name="Normal 3 16 23" xfId="1320"/>
    <cellStyle name="Normal 3 16 3" xfId="1321"/>
    <cellStyle name="Normal 3 16 4" xfId="1322"/>
    <cellStyle name="Normal 3 16 5" xfId="1323"/>
    <cellStyle name="Normal 3 16 6" xfId="1324"/>
    <cellStyle name="Normal 3 16 7" xfId="1325"/>
    <cellStyle name="Normal 3 16 8" xfId="1326"/>
    <cellStyle name="Normal 3 16 9" xfId="1327"/>
    <cellStyle name="Normal 3 17" xfId="1328"/>
    <cellStyle name="Normal 3 17 10" xfId="1329"/>
    <cellStyle name="Normal 3 17 11" xfId="1330"/>
    <cellStyle name="Normal 3 17 12" xfId="1331"/>
    <cellStyle name="Normal 3 17 13" xfId="1332"/>
    <cellStyle name="Normal 3 17 14" xfId="1333"/>
    <cellStyle name="Normal 3 17 15" xfId="1334"/>
    <cellStyle name="Normal 3 17 16" xfId="1335"/>
    <cellStyle name="Normal 3 17 17" xfId="1336"/>
    <cellStyle name="Normal 3 17 18" xfId="1337"/>
    <cellStyle name="Normal 3 17 19" xfId="1338"/>
    <cellStyle name="Normal 3 17 2" xfId="1339"/>
    <cellStyle name="Normal 3 17 20" xfId="1340"/>
    <cellStyle name="Normal 3 17 21" xfId="1341"/>
    <cellStyle name="Normal 3 17 22" xfId="1342"/>
    <cellStyle name="Normal 3 17 23" xfId="1343"/>
    <cellStyle name="Normal 3 17 3" xfId="1344"/>
    <cellStyle name="Normal 3 17 4" xfId="1345"/>
    <cellStyle name="Normal 3 17 5" xfId="1346"/>
    <cellStyle name="Normal 3 17 6" xfId="1347"/>
    <cellStyle name="Normal 3 17 7" xfId="1348"/>
    <cellStyle name="Normal 3 17 8" xfId="1349"/>
    <cellStyle name="Normal 3 17 9" xfId="1350"/>
    <cellStyle name="Normal 3 18" xfId="1351"/>
    <cellStyle name="Normal 3 18 10" xfId="1352"/>
    <cellStyle name="Normal 3 18 11" xfId="1353"/>
    <cellStyle name="Normal 3 18 12" xfId="1354"/>
    <cellStyle name="Normal 3 18 13" xfId="1355"/>
    <cellStyle name="Normal 3 18 14" xfId="1356"/>
    <cellStyle name="Normal 3 18 15" xfId="1357"/>
    <cellStyle name="Normal 3 18 16" xfId="1358"/>
    <cellStyle name="Normal 3 18 17" xfId="1359"/>
    <cellStyle name="Normal 3 18 18" xfId="1360"/>
    <cellStyle name="Normal 3 18 19" xfId="1361"/>
    <cellStyle name="Normal 3 18 2" xfId="1362"/>
    <cellStyle name="Normal 3 18 20" xfId="1363"/>
    <cellStyle name="Normal 3 18 21" xfId="1364"/>
    <cellStyle name="Normal 3 18 22" xfId="1365"/>
    <cellStyle name="Normal 3 18 23" xfId="1366"/>
    <cellStyle name="Normal 3 18 3" xfId="1367"/>
    <cellStyle name="Normal 3 18 4" xfId="1368"/>
    <cellStyle name="Normal 3 18 5" xfId="1369"/>
    <cellStyle name="Normal 3 18 6" xfId="1370"/>
    <cellStyle name="Normal 3 18 7" xfId="1371"/>
    <cellStyle name="Normal 3 18 8" xfId="1372"/>
    <cellStyle name="Normal 3 18 9" xfId="1373"/>
    <cellStyle name="Normal 3 19" xfId="1374"/>
    <cellStyle name="Normal 3 19 10" xfId="1375"/>
    <cellStyle name="Normal 3 19 11" xfId="1376"/>
    <cellStyle name="Normal 3 19 12" xfId="1377"/>
    <cellStyle name="Normal 3 19 13" xfId="1378"/>
    <cellStyle name="Normal 3 19 14" xfId="1379"/>
    <cellStyle name="Normal 3 19 15" xfId="1380"/>
    <cellStyle name="Normal 3 19 16" xfId="1381"/>
    <cellStyle name="Normal 3 19 17" xfId="1382"/>
    <cellStyle name="Normal 3 19 18" xfId="1383"/>
    <cellStyle name="Normal 3 19 19" xfId="1384"/>
    <cellStyle name="Normal 3 19 2" xfId="1385"/>
    <cellStyle name="Normal 3 19 20" xfId="1386"/>
    <cellStyle name="Normal 3 19 21" xfId="1387"/>
    <cellStyle name="Normal 3 19 22" xfId="1388"/>
    <cellStyle name="Normal 3 19 23" xfId="1389"/>
    <cellStyle name="Normal 3 19 3" xfId="1390"/>
    <cellStyle name="Normal 3 19 4" xfId="1391"/>
    <cellStyle name="Normal 3 19 5" xfId="1392"/>
    <cellStyle name="Normal 3 19 6" xfId="1393"/>
    <cellStyle name="Normal 3 19 7" xfId="1394"/>
    <cellStyle name="Normal 3 19 8" xfId="1395"/>
    <cellStyle name="Normal 3 19 9" xfId="1396"/>
    <cellStyle name="Normal 3 2" xfId="1397"/>
    <cellStyle name="Normal 3 2 10" xfId="1398"/>
    <cellStyle name="Normal 3 2 11" xfId="1399"/>
    <cellStyle name="Normal 3 2 12" xfId="1400"/>
    <cellStyle name="Normal 3 2 13" xfId="1401"/>
    <cellStyle name="Normal 3 2 14" xfId="1402"/>
    <cellStyle name="Normal 3 2 15" xfId="1403"/>
    <cellStyle name="Normal 3 2 16" xfId="1404"/>
    <cellStyle name="Normal 3 2 17" xfId="1405"/>
    <cellStyle name="Normal 3 2 18" xfId="1406"/>
    <cellStyle name="Normal 3 2 19" xfId="1407"/>
    <cellStyle name="Normal 3 2 2" xfId="1408"/>
    <cellStyle name="Normal 3 2 2 10" xfId="1409"/>
    <cellStyle name="Normal 3 2 2 11" xfId="1410"/>
    <cellStyle name="Normal 3 2 2 12" xfId="1411"/>
    <cellStyle name="Normal 3 2 2 13" xfId="1412"/>
    <cellStyle name="Normal 3 2 2 14" xfId="1413"/>
    <cellStyle name="Normal 3 2 2 15" xfId="1414"/>
    <cellStyle name="Normal 3 2 2 16" xfId="1415"/>
    <cellStyle name="Normal 3 2 2 17" xfId="1416"/>
    <cellStyle name="Normal 3 2 2 18" xfId="1417"/>
    <cellStyle name="Normal 3 2 2 19" xfId="1418"/>
    <cellStyle name="Normal 3 2 2 2" xfId="1419"/>
    <cellStyle name="Normal 3 2 2 20" xfId="1420"/>
    <cellStyle name="Normal 3 2 2 21" xfId="1421"/>
    <cellStyle name="Normal 3 2 2 22" xfId="1422"/>
    <cellStyle name="Normal 3 2 2 23" xfId="1423"/>
    <cellStyle name="Normal 3 2 2 24" xfId="1424"/>
    <cellStyle name="Normal 3 2 2 25" xfId="1425"/>
    <cellStyle name="Normal 3 2 2 26" xfId="1426"/>
    <cellStyle name="Normal 3 2 2 27" xfId="1427"/>
    <cellStyle name="Normal 3 2 2 28" xfId="1428"/>
    <cellStyle name="Normal 3 2 2 29" xfId="1429"/>
    <cellStyle name="Normal 3 2 2 3" xfId="1430"/>
    <cellStyle name="Normal 3 2 2 30" xfId="1431"/>
    <cellStyle name="Normal 3 2 2 31" xfId="1432"/>
    <cellStyle name="Normal 3 2 2 32" xfId="1433"/>
    <cellStyle name="Normal 3 2 2 33" xfId="1434"/>
    <cellStyle name="Normal 3 2 2 4" xfId="1435"/>
    <cellStyle name="Normal 3 2 2 5" xfId="1436"/>
    <cellStyle name="Normal 3 2 2 6" xfId="1437"/>
    <cellStyle name="Normal 3 2 2 7" xfId="1438"/>
    <cellStyle name="Normal 3 2 2 8" xfId="1439"/>
    <cellStyle name="Normal 3 2 2 9" xfId="1440"/>
    <cellStyle name="Normal 3 2 20" xfId="1441"/>
    <cellStyle name="Normal 3 2 21" xfId="1442"/>
    <cellStyle name="Normal 3 2 22" xfId="1443"/>
    <cellStyle name="Normal 3 2 23" xfId="1444"/>
    <cellStyle name="Normal 3 2 24" xfId="1445"/>
    <cellStyle name="Normal 3 2 25" xfId="1446"/>
    <cellStyle name="Normal 3 2 26" xfId="1447"/>
    <cellStyle name="Normal 3 2 27" xfId="1448"/>
    <cellStyle name="Normal 3 2 28" xfId="1449"/>
    <cellStyle name="Normal 3 2 29" xfId="1450"/>
    <cellStyle name="Normal 3 2 3" xfId="1451"/>
    <cellStyle name="Normal 3 2 30" xfId="1452"/>
    <cellStyle name="Normal 3 2 31" xfId="1453"/>
    <cellStyle name="Normal 3 2 32" xfId="1454"/>
    <cellStyle name="Normal 3 2 33" xfId="1455"/>
    <cellStyle name="Normal 3 2 34" xfId="1456"/>
    <cellStyle name="Normal 3 2 35" xfId="1457"/>
    <cellStyle name="Normal 3 2 36" xfId="1458"/>
    <cellStyle name="Normal 3 2 37" xfId="1459"/>
    <cellStyle name="Normal 3 2 38" xfId="1460"/>
    <cellStyle name="Normal 3 2 39" xfId="1461"/>
    <cellStyle name="Normal 3 2 4" xfId="1462"/>
    <cellStyle name="Normal 3 2 40" xfId="1463"/>
    <cellStyle name="Normal 3 2 41" xfId="1464"/>
    <cellStyle name="Normal 3 2 42" xfId="1465"/>
    <cellStyle name="Normal 3 2 43" xfId="1466"/>
    <cellStyle name="Normal 3 2 44" xfId="1467"/>
    <cellStyle name="Normal 3 2 45" xfId="1468"/>
    <cellStyle name="Normal 3 2 46" xfId="1469"/>
    <cellStyle name="Normal 3 2 47" xfId="1470"/>
    <cellStyle name="Normal 3 2 48" xfId="1471"/>
    <cellStyle name="Normal 3 2 49" xfId="1472"/>
    <cellStyle name="Normal 3 2 5" xfId="1473"/>
    <cellStyle name="Normal 3 2 50" xfId="1474"/>
    <cellStyle name="Normal 3 2 51" xfId="1475"/>
    <cellStyle name="Normal 3 2 52" xfId="1476"/>
    <cellStyle name="Normal 3 2 53" xfId="1477"/>
    <cellStyle name="Normal 3 2 54" xfId="1478"/>
    <cellStyle name="Normal 3 2 55" xfId="1479"/>
    <cellStyle name="Normal 3 2 6" xfId="1480"/>
    <cellStyle name="Normal 3 2 7" xfId="1481"/>
    <cellStyle name="Normal 3 2 8" xfId="1482"/>
    <cellStyle name="Normal 3 2 9" xfId="1483"/>
    <cellStyle name="Normal 3 20" xfId="1484"/>
    <cellStyle name="Normal 3 20 10" xfId="1485"/>
    <cellStyle name="Normal 3 20 11" xfId="1486"/>
    <cellStyle name="Normal 3 20 12" xfId="1487"/>
    <cellStyle name="Normal 3 20 13" xfId="1488"/>
    <cellStyle name="Normal 3 20 14" xfId="1489"/>
    <cellStyle name="Normal 3 20 15" xfId="1490"/>
    <cellStyle name="Normal 3 20 16" xfId="1491"/>
    <cellStyle name="Normal 3 20 17" xfId="1492"/>
    <cellStyle name="Normal 3 20 18" xfId="1493"/>
    <cellStyle name="Normal 3 20 19" xfId="1494"/>
    <cellStyle name="Normal 3 20 2" xfId="1495"/>
    <cellStyle name="Normal 3 20 20" xfId="1496"/>
    <cellStyle name="Normal 3 20 21" xfId="1497"/>
    <cellStyle name="Normal 3 20 22" xfId="1498"/>
    <cellStyle name="Normal 3 20 23" xfId="1499"/>
    <cellStyle name="Normal 3 20 3" xfId="1500"/>
    <cellStyle name="Normal 3 20 4" xfId="1501"/>
    <cellStyle name="Normal 3 20 5" xfId="1502"/>
    <cellStyle name="Normal 3 20 6" xfId="1503"/>
    <cellStyle name="Normal 3 20 7" xfId="1504"/>
    <cellStyle name="Normal 3 20 8" xfId="1505"/>
    <cellStyle name="Normal 3 20 9" xfId="1506"/>
    <cellStyle name="Normal 3 21" xfId="1507"/>
    <cellStyle name="Normal 3 21 10" xfId="1508"/>
    <cellStyle name="Normal 3 21 11" xfId="1509"/>
    <cellStyle name="Normal 3 21 12" xfId="1510"/>
    <cellStyle name="Normal 3 21 13" xfId="1511"/>
    <cellStyle name="Normal 3 21 14" xfId="1512"/>
    <cellStyle name="Normal 3 21 15" xfId="1513"/>
    <cellStyle name="Normal 3 21 16" xfId="1514"/>
    <cellStyle name="Normal 3 21 17" xfId="1515"/>
    <cellStyle name="Normal 3 21 18" xfId="1516"/>
    <cellStyle name="Normal 3 21 19" xfId="1517"/>
    <cellStyle name="Normal 3 21 2" xfId="1518"/>
    <cellStyle name="Normal 3 21 20" xfId="1519"/>
    <cellStyle name="Normal 3 21 21" xfId="1520"/>
    <cellStyle name="Normal 3 21 22" xfId="1521"/>
    <cellStyle name="Normal 3 21 23" xfId="1522"/>
    <cellStyle name="Normal 3 21 3" xfId="1523"/>
    <cellStyle name="Normal 3 21 4" xfId="1524"/>
    <cellStyle name="Normal 3 21 5" xfId="1525"/>
    <cellStyle name="Normal 3 21 6" xfId="1526"/>
    <cellStyle name="Normal 3 21 7" xfId="1527"/>
    <cellStyle name="Normal 3 21 8" xfId="1528"/>
    <cellStyle name="Normal 3 21 9" xfId="1529"/>
    <cellStyle name="Normal 3 22" xfId="1530"/>
    <cellStyle name="Normal 3 22 10" xfId="1531"/>
    <cellStyle name="Normal 3 22 11" xfId="1532"/>
    <cellStyle name="Normal 3 22 12" xfId="1533"/>
    <cellStyle name="Normal 3 22 13" xfId="1534"/>
    <cellStyle name="Normal 3 22 14" xfId="1535"/>
    <cellStyle name="Normal 3 22 15" xfId="1536"/>
    <cellStyle name="Normal 3 22 16" xfId="1537"/>
    <cellStyle name="Normal 3 22 17" xfId="1538"/>
    <cellStyle name="Normal 3 22 18" xfId="1539"/>
    <cellStyle name="Normal 3 22 19" xfId="1540"/>
    <cellStyle name="Normal 3 22 2" xfId="1541"/>
    <cellStyle name="Normal 3 22 20" xfId="1542"/>
    <cellStyle name="Normal 3 22 21" xfId="1543"/>
    <cellStyle name="Normal 3 22 22" xfId="1544"/>
    <cellStyle name="Normal 3 22 23" xfId="1545"/>
    <cellStyle name="Normal 3 22 3" xfId="1546"/>
    <cellStyle name="Normal 3 22 4" xfId="1547"/>
    <cellStyle name="Normal 3 22 5" xfId="1548"/>
    <cellStyle name="Normal 3 22 6" xfId="1549"/>
    <cellStyle name="Normal 3 22 7" xfId="1550"/>
    <cellStyle name="Normal 3 22 8" xfId="1551"/>
    <cellStyle name="Normal 3 22 9" xfId="1552"/>
    <cellStyle name="Normal 3 23" xfId="1553"/>
    <cellStyle name="Normal 3 23 10" xfId="1554"/>
    <cellStyle name="Normal 3 23 11" xfId="1555"/>
    <cellStyle name="Normal 3 23 12" xfId="1556"/>
    <cellStyle name="Normal 3 23 13" xfId="1557"/>
    <cellStyle name="Normal 3 23 14" xfId="1558"/>
    <cellStyle name="Normal 3 23 15" xfId="1559"/>
    <cellStyle name="Normal 3 23 16" xfId="1560"/>
    <cellStyle name="Normal 3 23 17" xfId="1561"/>
    <cellStyle name="Normal 3 23 18" xfId="1562"/>
    <cellStyle name="Normal 3 23 19" xfId="1563"/>
    <cellStyle name="Normal 3 23 2" xfId="1564"/>
    <cellStyle name="Normal 3 23 20" xfId="1565"/>
    <cellStyle name="Normal 3 23 21" xfId="1566"/>
    <cellStyle name="Normal 3 23 22" xfId="1567"/>
    <cellStyle name="Normal 3 23 23" xfId="1568"/>
    <cellStyle name="Normal 3 23 3" xfId="1569"/>
    <cellStyle name="Normal 3 23 4" xfId="1570"/>
    <cellStyle name="Normal 3 23 5" xfId="1571"/>
    <cellStyle name="Normal 3 23 6" xfId="1572"/>
    <cellStyle name="Normal 3 23 7" xfId="1573"/>
    <cellStyle name="Normal 3 23 8" xfId="1574"/>
    <cellStyle name="Normal 3 23 9" xfId="1575"/>
    <cellStyle name="Normal 3 24" xfId="1576"/>
    <cellStyle name="Normal 3 24 10" xfId="1577"/>
    <cellStyle name="Normal 3 24 11" xfId="1578"/>
    <cellStyle name="Normal 3 24 12" xfId="1579"/>
    <cellStyle name="Normal 3 24 13" xfId="1580"/>
    <cellStyle name="Normal 3 24 14" xfId="1581"/>
    <cellStyle name="Normal 3 24 15" xfId="1582"/>
    <cellStyle name="Normal 3 24 16" xfId="1583"/>
    <cellStyle name="Normal 3 24 17" xfId="1584"/>
    <cellStyle name="Normal 3 24 18" xfId="1585"/>
    <cellStyle name="Normal 3 24 19" xfId="1586"/>
    <cellStyle name="Normal 3 24 2" xfId="1587"/>
    <cellStyle name="Normal 3 24 20" xfId="1588"/>
    <cellStyle name="Normal 3 24 21" xfId="1589"/>
    <cellStyle name="Normal 3 24 22" xfId="1590"/>
    <cellStyle name="Normal 3 24 23" xfId="1591"/>
    <cellStyle name="Normal 3 24 3" xfId="1592"/>
    <cellStyle name="Normal 3 24 4" xfId="1593"/>
    <cellStyle name="Normal 3 24 5" xfId="1594"/>
    <cellStyle name="Normal 3 24 6" xfId="1595"/>
    <cellStyle name="Normal 3 24 7" xfId="1596"/>
    <cellStyle name="Normal 3 24 8" xfId="1597"/>
    <cellStyle name="Normal 3 24 9" xfId="1598"/>
    <cellStyle name="Normal 3 25" xfId="1599"/>
    <cellStyle name="Normal 3 25 10" xfId="1600"/>
    <cellStyle name="Normal 3 25 11" xfId="1601"/>
    <cellStyle name="Normal 3 25 12" xfId="1602"/>
    <cellStyle name="Normal 3 25 13" xfId="1603"/>
    <cellStyle name="Normal 3 25 14" xfId="1604"/>
    <cellStyle name="Normal 3 25 15" xfId="1605"/>
    <cellStyle name="Normal 3 25 16" xfId="1606"/>
    <cellStyle name="Normal 3 25 17" xfId="1607"/>
    <cellStyle name="Normal 3 25 18" xfId="1608"/>
    <cellStyle name="Normal 3 25 19" xfId="1609"/>
    <cellStyle name="Normal 3 25 2" xfId="1610"/>
    <cellStyle name="Normal 3 25 20" xfId="1611"/>
    <cellStyle name="Normal 3 25 21" xfId="1612"/>
    <cellStyle name="Normal 3 25 22" xfId="1613"/>
    <cellStyle name="Normal 3 25 23" xfId="1614"/>
    <cellStyle name="Normal 3 25 3" xfId="1615"/>
    <cellStyle name="Normal 3 25 4" xfId="1616"/>
    <cellStyle name="Normal 3 25 5" xfId="1617"/>
    <cellStyle name="Normal 3 25 6" xfId="1618"/>
    <cellStyle name="Normal 3 25 7" xfId="1619"/>
    <cellStyle name="Normal 3 25 8" xfId="1620"/>
    <cellStyle name="Normal 3 25 9" xfId="1621"/>
    <cellStyle name="Normal 3 26" xfId="1622"/>
    <cellStyle name="Normal 3 26 10" xfId="1623"/>
    <cellStyle name="Normal 3 26 11" xfId="1624"/>
    <cellStyle name="Normal 3 26 12" xfId="1625"/>
    <cellStyle name="Normal 3 26 13" xfId="1626"/>
    <cellStyle name="Normal 3 26 14" xfId="1627"/>
    <cellStyle name="Normal 3 26 15" xfId="1628"/>
    <cellStyle name="Normal 3 26 16" xfId="1629"/>
    <cellStyle name="Normal 3 26 17" xfId="1630"/>
    <cellStyle name="Normal 3 26 18" xfId="1631"/>
    <cellStyle name="Normal 3 26 19" xfId="1632"/>
    <cellStyle name="Normal 3 26 2" xfId="1633"/>
    <cellStyle name="Normal 3 26 20" xfId="1634"/>
    <cellStyle name="Normal 3 26 21" xfId="1635"/>
    <cellStyle name="Normal 3 26 22" xfId="1636"/>
    <cellStyle name="Normal 3 26 23" xfId="1637"/>
    <cellStyle name="Normal 3 26 3" xfId="1638"/>
    <cellStyle name="Normal 3 26 4" xfId="1639"/>
    <cellStyle name="Normal 3 26 5" xfId="1640"/>
    <cellStyle name="Normal 3 26 6" xfId="1641"/>
    <cellStyle name="Normal 3 26 7" xfId="1642"/>
    <cellStyle name="Normal 3 26 8" xfId="1643"/>
    <cellStyle name="Normal 3 26 9" xfId="1644"/>
    <cellStyle name="Normal 3 27" xfId="1645"/>
    <cellStyle name="Normal 3 27 10" xfId="1646"/>
    <cellStyle name="Normal 3 27 11" xfId="1647"/>
    <cellStyle name="Normal 3 27 12" xfId="1648"/>
    <cellStyle name="Normal 3 27 13" xfId="1649"/>
    <cellStyle name="Normal 3 27 14" xfId="1650"/>
    <cellStyle name="Normal 3 27 15" xfId="1651"/>
    <cellStyle name="Normal 3 27 16" xfId="1652"/>
    <cellStyle name="Normal 3 27 17" xfId="1653"/>
    <cellStyle name="Normal 3 27 18" xfId="1654"/>
    <cellStyle name="Normal 3 27 19" xfId="1655"/>
    <cellStyle name="Normal 3 27 2" xfId="1656"/>
    <cellStyle name="Normal 3 27 20" xfId="1657"/>
    <cellStyle name="Normal 3 27 21" xfId="1658"/>
    <cellStyle name="Normal 3 27 22" xfId="1659"/>
    <cellStyle name="Normal 3 27 23" xfId="1660"/>
    <cellStyle name="Normal 3 27 3" xfId="1661"/>
    <cellStyle name="Normal 3 27 4" xfId="1662"/>
    <cellStyle name="Normal 3 27 5" xfId="1663"/>
    <cellStyle name="Normal 3 27 6" xfId="1664"/>
    <cellStyle name="Normal 3 27 7" xfId="1665"/>
    <cellStyle name="Normal 3 27 8" xfId="1666"/>
    <cellStyle name="Normal 3 27 9" xfId="1667"/>
    <cellStyle name="Normal 3 28" xfId="1668"/>
    <cellStyle name="Normal 3 28 10" xfId="1669"/>
    <cellStyle name="Normal 3 28 11" xfId="1670"/>
    <cellStyle name="Normal 3 28 12" xfId="1671"/>
    <cellStyle name="Normal 3 28 13" xfId="1672"/>
    <cellStyle name="Normal 3 28 14" xfId="1673"/>
    <cellStyle name="Normal 3 28 15" xfId="1674"/>
    <cellStyle name="Normal 3 28 16" xfId="1675"/>
    <cellStyle name="Normal 3 28 17" xfId="1676"/>
    <cellStyle name="Normal 3 28 18" xfId="1677"/>
    <cellStyle name="Normal 3 28 19" xfId="1678"/>
    <cellStyle name="Normal 3 28 2" xfId="1679"/>
    <cellStyle name="Normal 3 28 20" xfId="1680"/>
    <cellStyle name="Normal 3 28 21" xfId="1681"/>
    <cellStyle name="Normal 3 28 22" xfId="1682"/>
    <cellStyle name="Normal 3 28 23" xfId="1683"/>
    <cellStyle name="Normal 3 28 3" xfId="1684"/>
    <cellStyle name="Normal 3 28 4" xfId="1685"/>
    <cellStyle name="Normal 3 28 5" xfId="1686"/>
    <cellStyle name="Normal 3 28 6" xfId="1687"/>
    <cellStyle name="Normal 3 28 7" xfId="1688"/>
    <cellStyle name="Normal 3 28 8" xfId="1689"/>
    <cellStyle name="Normal 3 28 9" xfId="1690"/>
    <cellStyle name="Normal 3 29" xfId="1691"/>
    <cellStyle name="Normal 3 29 10" xfId="1692"/>
    <cellStyle name="Normal 3 29 11" xfId="1693"/>
    <cellStyle name="Normal 3 29 12" xfId="1694"/>
    <cellStyle name="Normal 3 29 13" xfId="1695"/>
    <cellStyle name="Normal 3 29 14" xfId="1696"/>
    <cellStyle name="Normal 3 29 15" xfId="1697"/>
    <cellStyle name="Normal 3 29 16" xfId="1698"/>
    <cellStyle name="Normal 3 29 17" xfId="1699"/>
    <cellStyle name="Normal 3 29 18" xfId="1700"/>
    <cellStyle name="Normal 3 29 19" xfId="1701"/>
    <cellStyle name="Normal 3 29 2" xfId="1702"/>
    <cellStyle name="Normal 3 29 20" xfId="1703"/>
    <cellStyle name="Normal 3 29 21" xfId="1704"/>
    <cellStyle name="Normal 3 29 22" xfId="1705"/>
    <cellStyle name="Normal 3 29 23" xfId="1706"/>
    <cellStyle name="Normal 3 29 3" xfId="1707"/>
    <cellStyle name="Normal 3 29 4" xfId="1708"/>
    <cellStyle name="Normal 3 29 5" xfId="1709"/>
    <cellStyle name="Normal 3 29 6" xfId="1710"/>
    <cellStyle name="Normal 3 29 7" xfId="1711"/>
    <cellStyle name="Normal 3 29 8" xfId="1712"/>
    <cellStyle name="Normal 3 29 9" xfId="1713"/>
    <cellStyle name="Normal 3 3" xfId="1714"/>
    <cellStyle name="Normal 3 3 10" xfId="1715"/>
    <cellStyle name="Normal 3 3 11" xfId="1716"/>
    <cellStyle name="Normal 3 3 12" xfId="1717"/>
    <cellStyle name="Normal 3 3 13" xfId="1718"/>
    <cellStyle name="Normal 3 3 14" xfId="1719"/>
    <cellStyle name="Normal 3 3 15" xfId="1720"/>
    <cellStyle name="Normal 3 3 16" xfId="1721"/>
    <cellStyle name="Normal 3 3 17" xfId="1722"/>
    <cellStyle name="Normal 3 3 18" xfId="1723"/>
    <cellStyle name="Normal 3 3 19" xfId="1724"/>
    <cellStyle name="Normal 3 3 2" xfId="1725"/>
    <cellStyle name="Normal 3 3 20" xfId="1726"/>
    <cellStyle name="Normal 3 3 21" xfId="1727"/>
    <cellStyle name="Normal 3 3 22" xfId="1728"/>
    <cellStyle name="Normal 3 3 23" xfId="1729"/>
    <cellStyle name="Normal 3 3 3" xfId="1730"/>
    <cellStyle name="Normal 3 3 4" xfId="1731"/>
    <cellStyle name="Normal 3 3 5" xfId="1732"/>
    <cellStyle name="Normal 3 3 6" xfId="1733"/>
    <cellStyle name="Normal 3 3 7" xfId="1734"/>
    <cellStyle name="Normal 3 3 8" xfId="1735"/>
    <cellStyle name="Normal 3 3 9" xfId="1736"/>
    <cellStyle name="Normal 3 30" xfId="1737"/>
    <cellStyle name="Normal 3 30 10" xfId="1738"/>
    <cellStyle name="Normal 3 30 11" xfId="1739"/>
    <cellStyle name="Normal 3 30 12" xfId="1740"/>
    <cellStyle name="Normal 3 30 13" xfId="1741"/>
    <cellStyle name="Normal 3 30 14" xfId="1742"/>
    <cellStyle name="Normal 3 30 15" xfId="1743"/>
    <cellStyle name="Normal 3 30 16" xfId="1744"/>
    <cellStyle name="Normal 3 30 17" xfId="1745"/>
    <cellStyle name="Normal 3 30 18" xfId="1746"/>
    <cellStyle name="Normal 3 30 19" xfId="1747"/>
    <cellStyle name="Normal 3 30 2" xfId="1748"/>
    <cellStyle name="Normal 3 30 20" xfId="1749"/>
    <cellStyle name="Normal 3 30 21" xfId="1750"/>
    <cellStyle name="Normal 3 30 22" xfId="1751"/>
    <cellStyle name="Normal 3 30 23" xfId="1752"/>
    <cellStyle name="Normal 3 30 3" xfId="1753"/>
    <cellStyle name="Normal 3 30 4" xfId="1754"/>
    <cellStyle name="Normal 3 30 5" xfId="1755"/>
    <cellStyle name="Normal 3 30 6" xfId="1756"/>
    <cellStyle name="Normal 3 30 7" xfId="1757"/>
    <cellStyle name="Normal 3 30 8" xfId="1758"/>
    <cellStyle name="Normal 3 30 9" xfId="1759"/>
    <cellStyle name="Normal 3 31" xfId="1760"/>
    <cellStyle name="Normal 3 31 10" xfId="1761"/>
    <cellStyle name="Normal 3 31 11" xfId="1762"/>
    <cellStyle name="Normal 3 31 12" xfId="1763"/>
    <cellStyle name="Normal 3 31 13" xfId="1764"/>
    <cellStyle name="Normal 3 31 14" xfId="1765"/>
    <cellStyle name="Normal 3 31 15" xfId="1766"/>
    <cellStyle name="Normal 3 31 16" xfId="1767"/>
    <cellStyle name="Normal 3 31 17" xfId="1768"/>
    <cellStyle name="Normal 3 31 18" xfId="1769"/>
    <cellStyle name="Normal 3 31 19" xfId="1770"/>
    <cellStyle name="Normal 3 31 2" xfId="1771"/>
    <cellStyle name="Normal 3 31 20" xfId="1772"/>
    <cellStyle name="Normal 3 31 21" xfId="1773"/>
    <cellStyle name="Normal 3 31 22" xfId="1774"/>
    <cellStyle name="Normal 3 31 23" xfId="1775"/>
    <cellStyle name="Normal 3 31 3" xfId="1776"/>
    <cellStyle name="Normal 3 31 4" xfId="1777"/>
    <cellStyle name="Normal 3 31 5" xfId="1778"/>
    <cellStyle name="Normal 3 31 6" xfId="1779"/>
    <cellStyle name="Normal 3 31 7" xfId="1780"/>
    <cellStyle name="Normal 3 31 8" xfId="1781"/>
    <cellStyle name="Normal 3 31 9" xfId="1782"/>
    <cellStyle name="Normal 3 32" xfId="1783"/>
    <cellStyle name="Normal 3 32 10" xfId="1784"/>
    <cellStyle name="Normal 3 32 11" xfId="1785"/>
    <cellStyle name="Normal 3 32 12" xfId="1786"/>
    <cellStyle name="Normal 3 32 13" xfId="1787"/>
    <cellStyle name="Normal 3 32 14" xfId="1788"/>
    <cellStyle name="Normal 3 32 15" xfId="1789"/>
    <cellStyle name="Normal 3 32 16" xfId="1790"/>
    <cellStyle name="Normal 3 32 17" xfId="1791"/>
    <cellStyle name="Normal 3 32 18" xfId="1792"/>
    <cellStyle name="Normal 3 32 19" xfId="1793"/>
    <cellStyle name="Normal 3 32 2" xfId="1794"/>
    <cellStyle name="Normal 3 32 20" xfId="1795"/>
    <cellStyle name="Normal 3 32 21" xfId="1796"/>
    <cellStyle name="Normal 3 32 22" xfId="1797"/>
    <cellStyle name="Normal 3 32 23" xfId="1798"/>
    <cellStyle name="Normal 3 32 3" xfId="1799"/>
    <cellStyle name="Normal 3 32 4" xfId="1800"/>
    <cellStyle name="Normal 3 32 5" xfId="1801"/>
    <cellStyle name="Normal 3 32 6" xfId="1802"/>
    <cellStyle name="Normal 3 32 7" xfId="1803"/>
    <cellStyle name="Normal 3 32 8" xfId="1804"/>
    <cellStyle name="Normal 3 32 9" xfId="1805"/>
    <cellStyle name="Normal 3 33" xfId="1806"/>
    <cellStyle name="Normal 3 33 10" xfId="1807"/>
    <cellStyle name="Normal 3 33 11" xfId="1808"/>
    <cellStyle name="Normal 3 33 12" xfId="1809"/>
    <cellStyle name="Normal 3 33 13" xfId="1810"/>
    <cellStyle name="Normal 3 33 14" xfId="1811"/>
    <cellStyle name="Normal 3 33 15" xfId="1812"/>
    <cellStyle name="Normal 3 33 16" xfId="1813"/>
    <cellStyle name="Normal 3 33 17" xfId="1814"/>
    <cellStyle name="Normal 3 33 18" xfId="1815"/>
    <cellStyle name="Normal 3 33 19" xfId="1816"/>
    <cellStyle name="Normal 3 33 2" xfId="1817"/>
    <cellStyle name="Normal 3 33 20" xfId="1818"/>
    <cellStyle name="Normal 3 33 21" xfId="1819"/>
    <cellStyle name="Normal 3 33 22" xfId="1820"/>
    <cellStyle name="Normal 3 33 23" xfId="1821"/>
    <cellStyle name="Normal 3 33 3" xfId="1822"/>
    <cellStyle name="Normal 3 33 4" xfId="1823"/>
    <cellStyle name="Normal 3 33 5" xfId="1824"/>
    <cellStyle name="Normal 3 33 6" xfId="1825"/>
    <cellStyle name="Normal 3 33 7" xfId="1826"/>
    <cellStyle name="Normal 3 33 8" xfId="1827"/>
    <cellStyle name="Normal 3 33 9" xfId="1828"/>
    <cellStyle name="Normal 3 34" xfId="1829"/>
    <cellStyle name="Normal 3 35" xfId="1830"/>
    <cellStyle name="Normal 3 36" xfId="1831"/>
    <cellStyle name="Normal 3 37" xfId="1832"/>
    <cellStyle name="Normal 3 38" xfId="1833"/>
    <cellStyle name="Normal 3 39" xfId="1834"/>
    <cellStyle name="Normal 3 4" xfId="1835"/>
    <cellStyle name="Normal 3 4 10" xfId="1836"/>
    <cellStyle name="Normal 3 4 11" xfId="1837"/>
    <cellStyle name="Normal 3 4 12" xfId="1838"/>
    <cellStyle name="Normal 3 4 13" xfId="1839"/>
    <cellStyle name="Normal 3 4 14" xfId="1840"/>
    <cellStyle name="Normal 3 4 15" xfId="1841"/>
    <cellStyle name="Normal 3 4 16" xfId="1842"/>
    <cellStyle name="Normal 3 4 17" xfId="1843"/>
    <cellStyle name="Normal 3 4 18" xfId="1844"/>
    <cellStyle name="Normal 3 4 19" xfId="1845"/>
    <cellStyle name="Normal 3 4 2" xfId="1846"/>
    <cellStyle name="Normal 3 4 20" xfId="1847"/>
    <cellStyle name="Normal 3 4 21" xfId="1848"/>
    <cellStyle name="Normal 3 4 22" xfId="1849"/>
    <cellStyle name="Normal 3 4 23" xfId="1850"/>
    <cellStyle name="Normal 3 4 3" xfId="1851"/>
    <cellStyle name="Normal 3 4 4" xfId="1852"/>
    <cellStyle name="Normal 3 4 5" xfId="1853"/>
    <cellStyle name="Normal 3 4 6" xfId="1854"/>
    <cellStyle name="Normal 3 4 7" xfId="1855"/>
    <cellStyle name="Normal 3 4 8" xfId="1856"/>
    <cellStyle name="Normal 3 4 9" xfId="1857"/>
    <cellStyle name="Normal 3 40" xfId="1858"/>
    <cellStyle name="Normal 3 41" xfId="1859"/>
    <cellStyle name="Normal 3 42" xfId="1860"/>
    <cellStyle name="Normal 3 43" xfId="1861"/>
    <cellStyle name="Normal 3 44" xfId="1862"/>
    <cellStyle name="Normal 3 45" xfId="1863"/>
    <cellStyle name="Normal 3 46" xfId="1864"/>
    <cellStyle name="Normal 3 47" xfId="1865"/>
    <cellStyle name="Normal 3 48" xfId="1866"/>
    <cellStyle name="Normal 3 49" xfId="1867"/>
    <cellStyle name="Normal 3 5" xfId="1868"/>
    <cellStyle name="Normal 3 5 10" xfId="1869"/>
    <cellStyle name="Normal 3 5 11" xfId="1870"/>
    <cellStyle name="Normal 3 5 12" xfId="1871"/>
    <cellStyle name="Normal 3 5 13" xfId="1872"/>
    <cellStyle name="Normal 3 5 14" xfId="1873"/>
    <cellStyle name="Normal 3 5 15" xfId="1874"/>
    <cellStyle name="Normal 3 5 16" xfId="1875"/>
    <cellStyle name="Normal 3 5 17" xfId="1876"/>
    <cellStyle name="Normal 3 5 18" xfId="1877"/>
    <cellStyle name="Normal 3 5 19" xfId="1878"/>
    <cellStyle name="Normal 3 5 2" xfId="1879"/>
    <cellStyle name="Normal 3 5 20" xfId="1880"/>
    <cellStyle name="Normal 3 5 21" xfId="1881"/>
    <cellStyle name="Normal 3 5 22" xfId="1882"/>
    <cellStyle name="Normal 3 5 23" xfId="1883"/>
    <cellStyle name="Normal 3 5 3" xfId="1884"/>
    <cellStyle name="Normal 3 5 4" xfId="1885"/>
    <cellStyle name="Normal 3 5 5" xfId="1886"/>
    <cellStyle name="Normal 3 5 6" xfId="1887"/>
    <cellStyle name="Normal 3 5 7" xfId="1888"/>
    <cellStyle name="Normal 3 5 8" xfId="1889"/>
    <cellStyle name="Normal 3 5 9" xfId="1890"/>
    <cellStyle name="Normal 3 50" xfId="1891"/>
    <cellStyle name="Normal 3 51" xfId="1892"/>
    <cellStyle name="Normal 3 52" xfId="1893"/>
    <cellStyle name="Normal 3 53" xfId="1894"/>
    <cellStyle name="Normal 3 54" xfId="1895"/>
    <cellStyle name="Normal 3 55" xfId="1896"/>
    <cellStyle name="Normal 3 56" xfId="1897"/>
    <cellStyle name="Normal 3 57" xfId="1898"/>
    <cellStyle name="Normal 3 58" xfId="1899"/>
    <cellStyle name="Normal 3 59" xfId="1900"/>
    <cellStyle name="Normal 3 6" xfId="1901"/>
    <cellStyle name="Normal 3 6 10" xfId="1902"/>
    <cellStyle name="Normal 3 6 11" xfId="1903"/>
    <cellStyle name="Normal 3 6 12" xfId="1904"/>
    <cellStyle name="Normal 3 6 13" xfId="1905"/>
    <cellStyle name="Normal 3 6 14" xfId="1906"/>
    <cellStyle name="Normal 3 6 15" xfId="1907"/>
    <cellStyle name="Normal 3 6 16" xfId="1908"/>
    <cellStyle name="Normal 3 6 17" xfId="1909"/>
    <cellStyle name="Normal 3 6 18" xfId="1910"/>
    <cellStyle name="Normal 3 6 19" xfId="1911"/>
    <cellStyle name="Normal 3 6 2" xfId="1912"/>
    <cellStyle name="Normal 3 6 20" xfId="1913"/>
    <cellStyle name="Normal 3 6 21" xfId="1914"/>
    <cellStyle name="Normal 3 6 22" xfId="1915"/>
    <cellStyle name="Normal 3 6 23" xfId="1916"/>
    <cellStyle name="Normal 3 6 3" xfId="1917"/>
    <cellStyle name="Normal 3 6 4" xfId="1918"/>
    <cellStyle name="Normal 3 6 5" xfId="1919"/>
    <cellStyle name="Normal 3 6 6" xfId="1920"/>
    <cellStyle name="Normal 3 6 7" xfId="1921"/>
    <cellStyle name="Normal 3 6 8" xfId="1922"/>
    <cellStyle name="Normal 3 6 9" xfId="1923"/>
    <cellStyle name="Normal 3 60" xfId="1924"/>
    <cellStyle name="Normal 3 61" xfId="1925"/>
    <cellStyle name="Normal 3 62" xfId="1926"/>
    <cellStyle name="Normal 3 63" xfId="1927"/>
    <cellStyle name="Normal 3 64" xfId="1928"/>
    <cellStyle name="Normal 3 65" xfId="1929"/>
    <cellStyle name="Normal 3 7" xfId="1930"/>
    <cellStyle name="Normal 3 7 10" xfId="1931"/>
    <cellStyle name="Normal 3 7 11" xfId="1932"/>
    <cellStyle name="Normal 3 7 12" xfId="1933"/>
    <cellStyle name="Normal 3 7 13" xfId="1934"/>
    <cellStyle name="Normal 3 7 14" xfId="1935"/>
    <cellStyle name="Normal 3 7 15" xfId="1936"/>
    <cellStyle name="Normal 3 7 16" xfId="1937"/>
    <cellStyle name="Normal 3 7 17" xfId="1938"/>
    <cellStyle name="Normal 3 7 18" xfId="1939"/>
    <cellStyle name="Normal 3 7 19" xfId="1940"/>
    <cellStyle name="Normal 3 7 2" xfId="1941"/>
    <cellStyle name="Normal 3 7 20" xfId="1942"/>
    <cellStyle name="Normal 3 7 21" xfId="1943"/>
    <cellStyle name="Normal 3 7 22" xfId="1944"/>
    <cellStyle name="Normal 3 7 23" xfId="1945"/>
    <cellStyle name="Normal 3 7 3" xfId="1946"/>
    <cellStyle name="Normal 3 7 4" xfId="1947"/>
    <cellStyle name="Normal 3 7 5" xfId="1948"/>
    <cellStyle name="Normal 3 7 6" xfId="1949"/>
    <cellStyle name="Normal 3 7 7" xfId="1950"/>
    <cellStyle name="Normal 3 7 8" xfId="1951"/>
    <cellStyle name="Normal 3 7 9" xfId="1952"/>
    <cellStyle name="Normal 3 8" xfId="1953"/>
    <cellStyle name="Normal 3 8 10" xfId="1954"/>
    <cellStyle name="Normal 3 8 11" xfId="1955"/>
    <cellStyle name="Normal 3 8 12" xfId="1956"/>
    <cellStyle name="Normal 3 8 13" xfId="1957"/>
    <cellStyle name="Normal 3 8 14" xfId="1958"/>
    <cellStyle name="Normal 3 8 15" xfId="1959"/>
    <cellStyle name="Normal 3 8 16" xfId="1960"/>
    <cellStyle name="Normal 3 8 17" xfId="1961"/>
    <cellStyle name="Normal 3 8 18" xfId="1962"/>
    <cellStyle name="Normal 3 8 19" xfId="1963"/>
    <cellStyle name="Normal 3 8 2" xfId="1964"/>
    <cellStyle name="Normal 3 8 20" xfId="1965"/>
    <cellStyle name="Normal 3 8 21" xfId="1966"/>
    <cellStyle name="Normal 3 8 22" xfId="1967"/>
    <cellStyle name="Normal 3 8 23" xfId="1968"/>
    <cellStyle name="Normal 3 8 3" xfId="1969"/>
    <cellStyle name="Normal 3 8 4" xfId="1970"/>
    <cellStyle name="Normal 3 8 5" xfId="1971"/>
    <cellStyle name="Normal 3 8 6" xfId="1972"/>
    <cellStyle name="Normal 3 8 7" xfId="1973"/>
    <cellStyle name="Normal 3 8 8" xfId="1974"/>
    <cellStyle name="Normal 3 8 9" xfId="1975"/>
    <cellStyle name="Normal 3 9" xfId="1976"/>
    <cellStyle name="Normal 3 9 10" xfId="1977"/>
    <cellStyle name="Normal 3 9 11" xfId="1978"/>
    <cellStyle name="Normal 3 9 12" xfId="1979"/>
    <cellStyle name="Normal 3 9 13" xfId="1980"/>
    <cellStyle name="Normal 3 9 14" xfId="1981"/>
    <cellStyle name="Normal 3 9 15" xfId="1982"/>
    <cellStyle name="Normal 3 9 16" xfId="1983"/>
    <cellStyle name="Normal 3 9 17" xfId="1984"/>
    <cellStyle name="Normal 3 9 18" xfId="1985"/>
    <cellStyle name="Normal 3 9 19" xfId="1986"/>
    <cellStyle name="Normal 3 9 2" xfId="1987"/>
    <cellStyle name="Normal 3 9 20" xfId="1988"/>
    <cellStyle name="Normal 3 9 21" xfId="1989"/>
    <cellStyle name="Normal 3 9 22" xfId="1990"/>
    <cellStyle name="Normal 3 9 23" xfId="1991"/>
    <cellStyle name="Normal 3 9 3" xfId="1992"/>
    <cellStyle name="Normal 3 9 4" xfId="1993"/>
    <cellStyle name="Normal 3 9 5" xfId="1994"/>
    <cellStyle name="Normal 3 9 6" xfId="1995"/>
    <cellStyle name="Normal 3 9 7" xfId="1996"/>
    <cellStyle name="Normal 3 9 8" xfId="1997"/>
    <cellStyle name="Normal 3 9 9" xfId="1998"/>
    <cellStyle name="Normal 3_SCE PPM Metrics Data Table 2010" xfId="1999"/>
    <cellStyle name="Normal 4" xfId="2000"/>
    <cellStyle name="Normal 4 2" xfId="2001"/>
    <cellStyle name="Normal 4 3" xfId="2278"/>
    <cellStyle name="Normal 4_NR" xfId="2002"/>
    <cellStyle name="Normal 47" xfId="2003"/>
    <cellStyle name="Normal 5" xfId="2004"/>
    <cellStyle name="Normal 5 10" xfId="2005"/>
    <cellStyle name="Normal 5 11" xfId="2006"/>
    <cellStyle name="Normal 5 12" xfId="2007"/>
    <cellStyle name="Normal 5 13" xfId="2008"/>
    <cellStyle name="Normal 5 14" xfId="2009"/>
    <cellStyle name="Normal 5 15" xfId="2010"/>
    <cellStyle name="Normal 5 16" xfId="2011"/>
    <cellStyle name="Normal 5 17" xfId="2012"/>
    <cellStyle name="Normal 5 18" xfId="2013"/>
    <cellStyle name="Normal 5 19" xfId="2014"/>
    <cellStyle name="Normal 5 2" xfId="2015"/>
    <cellStyle name="Normal 5 2 10" xfId="2016"/>
    <cellStyle name="Normal 5 2 11" xfId="2017"/>
    <cellStyle name="Normal 5 2 12" xfId="2018"/>
    <cellStyle name="Normal 5 2 13" xfId="2019"/>
    <cellStyle name="Normal 5 2 14" xfId="2020"/>
    <cellStyle name="Normal 5 2 15" xfId="2021"/>
    <cellStyle name="Normal 5 2 16" xfId="2022"/>
    <cellStyle name="Normal 5 2 17" xfId="2023"/>
    <cellStyle name="Normal 5 2 18" xfId="2024"/>
    <cellStyle name="Normal 5 2 19" xfId="2025"/>
    <cellStyle name="Normal 5 2 2" xfId="2026"/>
    <cellStyle name="Normal 5 2 20" xfId="2027"/>
    <cellStyle name="Normal 5 2 21" xfId="2028"/>
    <cellStyle name="Normal 5 2 22" xfId="2029"/>
    <cellStyle name="Normal 5 2 23" xfId="2030"/>
    <cellStyle name="Normal 5 2 3" xfId="2031"/>
    <cellStyle name="Normal 5 2 4" xfId="2032"/>
    <cellStyle name="Normal 5 2 5" xfId="2033"/>
    <cellStyle name="Normal 5 2 6" xfId="2034"/>
    <cellStyle name="Normal 5 2 7" xfId="2035"/>
    <cellStyle name="Normal 5 2 8" xfId="2036"/>
    <cellStyle name="Normal 5 2 9" xfId="2037"/>
    <cellStyle name="Normal 5 20" xfId="2038"/>
    <cellStyle name="Normal 5 21" xfId="2039"/>
    <cellStyle name="Normal 5 22" xfId="2040"/>
    <cellStyle name="Normal 5 23" xfId="2041"/>
    <cellStyle name="Normal 5 24" xfId="2042"/>
    <cellStyle name="Normal 5 3" xfId="2043"/>
    <cellStyle name="Normal 5 4" xfId="2044"/>
    <cellStyle name="Normal 5 5" xfId="2045"/>
    <cellStyle name="Normal 5 6" xfId="2046"/>
    <cellStyle name="Normal 5 7" xfId="2047"/>
    <cellStyle name="Normal 5 8" xfId="2048"/>
    <cellStyle name="Normal 5 9" xfId="2049"/>
    <cellStyle name="Normal 5_NR" xfId="2050"/>
    <cellStyle name="Normal 50" xfId="2051"/>
    <cellStyle name="Normal 53" xfId="2052"/>
    <cellStyle name="Normal 56" xfId="2053"/>
    <cellStyle name="Normal 59" xfId="2054"/>
    <cellStyle name="Normal 6" xfId="2055"/>
    <cellStyle name="Normal 62" xfId="2056"/>
    <cellStyle name="Normal 7" xfId="2057"/>
    <cellStyle name="Normal 7 10" xfId="2058"/>
    <cellStyle name="Normal 7 11" xfId="2059"/>
    <cellStyle name="Normal 7 12" xfId="2060"/>
    <cellStyle name="Normal 7 13" xfId="2061"/>
    <cellStyle name="Normal 7 14" xfId="2062"/>
    <cellStyle name="Normal 7 15" xfId="2063"/>
    <cellStyle name="Normal 7 16" xfId="2064"/>
    <cellStyle name="Normal 7 17" xfId="2065"/>
    <cellStyle name="Normal 7 18" xfId="2066"/>
    <cellStyle name="Normal 7 19" xfId="2067"/>
    <cellStyle name="Normal 7 2" xfId="2068"/>
    <cellStyle name="Normal 7 2 10" xfId="2069"/>
    <cellStyle name="Normal 7 2 11" xfId="2070"/>
    <cellStyle name="Normal 7 2 12" xfId="2071"/>
    <cellStyle name="Normal 7 2 13" xfId="2072"/>
    <cellStyle name="Normal 7 2 14" xfId="2073"/>
    <cellStyle name="Normal 7 2 15" xfId="2074"/>
    <cellStyle name="Normal 7 2 16" xfId="2075"/>
    <cellStyle name="Normal 7 2 17" xfId="2076"/>
    <cellStyle name="Normal 7 2 18" xfId="2077"/>
    <cellStyle name="Normal 7 2 19" xfId="2078"/>
    <cellStyle name="Normal 7 2 2" xfId="2079"/>
    <cellStyle name="Normal 7 2 20" xfId="2080"/>
    <cellStyle name="Normal 7 2 21" xfId="2081"/>
    <cellStyle name="Normal 7 2 22" xfId="2082"/>
    <cellStyle name="Normal 7 2 23" xfId="2083"/>
    <cellStyle name="Normal 7 2 3" xfId="2084"/>
    <cellStyle name="Normal 7 2 4" xfId="2085"/>
    <cellStyle name="Normal 7 2 5" xfId="2086"/>
    <cellStyle name="Normal 7 2 6" xfId="2087"/>
    <cellStyle name="Normal 7 2 7" xfId="2088"/>
    <cellStyle name="Normal 7 2 8" xfId="2089"/>
    <cellStyle name="Normal 7 2 9" xfId="2090"/>
    <cellStyle name="Normal 7 20" xfId="2091"/>
    <cellStyle name="Normal 7 21" xfId="2092"/>
    <cellStyle name="Normal 7 22" xfId="2093"/>
    <cellStyle name="Normal 7 23" xfId="2094"/>
    <cellStyle name="Normal 7 24" xfId="2095"/>
    <cellStyle name="Normal 7 3" xfId="2096"/>
    <cellStyle name="Normal 7 4" xfId="2097"/>
    <cellStyle name="Normal 7 5" xfId="2098"/>
    <cellStyle name="Normal 7 6" xfId="2099"/>
    <cellStyle name="Normal 7 7" xfId="2100"/>
    <cellStyle name="Normal 7 8" xfId="2101"/>
    <cellStyle name="Normal 7 9" xfId="2102"/>
    <cellStyle name="Normal 8" xfId="2103"/>
    <cellStyle name="Normal 9" xfId="2104"/>
    <cellStyle name="Normal_Book1" xfId="2105"/>
    <cellStyle name="Normal_NC-1 #25 PPM (2)" xfId="2106"/>
    <cellStyle name="Normal_PPM 91012" xfId="2107"/>
    <cellStyle name="Normal_Table CIA-2" xfId="2108"/>
    <cellStyle name="Normal_THE IOU Master PPM" xfId="2109"/>
    <cellStyle name="Note" xfId="2110" builtinId="10" customBuiltin="1"/>
    <cellStyle name="Note 2" xfId="2111"/>
    <cellStyle name="Output" xfId="2112" builtinId="21" customBuiltin="1"/>
    <cellStyle name="Output 2" xfId="2113"/>
    <cellStyle name="Percent" xfId="2114" builtinId="5"/>
    <cellStyle name="Percent [2]" xfId="2115"/>
    <cellStyle name="Percent 10" xfId="2116"/>
    <cellStyle name="Percent 11" xfId="2117"/>
    <cellStyle name="Percent 12" xfId="2118"/>
    <cellStyle name="Percent 13" xfId="2119"/>
    <cellStyle name="Percent 14" xfId="2120"/>
    <cellStyle name="Percent 15" xfId="2121"/>
    <cellStyle name="Percent 16" xfId="2122"/>
    <cellStyle name="Percent 17" xfId="2123"/>
    <cellStyle name="Percent 18" xfId="2124"/>
    <cellStyle name="Percent 19" xfId="2125"/>
    <cellStyle name="Percent 2" xfId="2126"/>
    <cellStyle name="Percent 20" xfId="2127"/>
    <cellStyle name="Percent 21" xfId="2128"/>
    <cellStyle name="Percent 22" xfId="2129"/>
    <cellStyle name="Percent 23" xfId="2130"/>
    <cellStyle name="Percent 24" xfId="2131"/>
    <cellStyle name="Percent 25" xfId="2132"/>
    <cellStyle name="Percent 26" xfId="2133"/>
    <cellStyle name="Percent 27" xfId="2134"/>
    <cellStyle name="Percent 28" xfId="2135"/>
    <cellStyle name="Percent 29" xfId="2136"/>
    <cellStyle name="Percent 3" xfId="2137"/>
    <cellStyle name="Percent 30" xfId="2138"/>
    <cellStyle name="Percent 31" xfId="2139"/>
    <cellStyle name="Percent 32" xfId="2140"/>
    <cellStyle name="Percent 33" xfId="2141"/>
    <cellStyle name="Percent 34" xfId="2142"/>
    <cellStyle name="Percent 35" xfId="2143"/>
    <cellStyle name="Percent 36" xfId="2144"/>
    <cellStyle name="Percent 37" xfId="2145"/>
    <cellStyle name="Percent 38" xfId="2146"/>
    <cellStyle name="Percent 39" xfId="2147"/>
    <cellStyle name="Percent 4" xfId="2148"/>
    <cellStyle name="Percent 4 2" xfId="2284"/>
    <cellStyle name="Percent 40" xfId="2149"/>
    <cellStyle name="Percent 41" xfId="2150"/>
    <cellStyle name="Percent 42" xfId="2151"/>
    <cellStyle name="Percent 43" xfId="2152"/>
    <cellStyle name="Percent 44" xfId="2153"/>
    <cellStyle name="Percent 45" xfId="2154"/>
    <cellStyle name="Percent 46" xfId="2155"/>
    <cellStyle name="Percent 47" xfId="2156"/>
    <cellStyle name="Percent 48" xfId="2157"/>
    <cellStyle name="Percent 49" xfId="2158"/>
    <cellStyle name="Percent 5" xfId="2159"/>
    <cellStyle name="Percent 5 2" xfId="2281"/>
    <cellStyle name="Percent 50" xfId="2160"/>
    <cellStyle name="Percent 51" xfId="2161"/>
    <cellStyle name="Percent 52" xfId="2162"/>
    <cellStyle name="Percent 53" xfId="2163"/>
    <cellStyle name="Percent 54" xfId="2164"/>
    <cellStyle name="Percent 55" xfId="2165"/>
    <cellStyle name="Percent 56" xfId="2166"/>
    <cellStyle name="Percent 57" xfId="2167"/>
    <cellStyle name="Percent 58" xfId="2168"/>
    <cellStyle name="Percent 59" xfId="2169"/>
    <cellStyle name="Percent 6" xfId="2170"/>
    <cellStyle name="Percent 60" xfId="2171"/>
    <cellStyle name="Percent 61" xfId="2172"/>
    <cellStyle name="Percent 62" xfId="2280"/>
    <cellStyle name="Percent 7" xfId="2173"/>
    <cellStyle name="Percent 8" xfId="2174"/>
    <cellStyle name="Percent 9" xfId="2175"/>
    <cellStyle name="SAPBEXaggData" xfId="2176"/>
    <cellStyle name="SAPBEXaggDataEmph" xfId="2177"/>
    <cellStyle name="SAPBEXaggItem" xfId="2178"/>
    <cellStyle name="SAPBEXaggItemX" xfId="2179"/>
    <cellStyle name="SAPBEXchaText" xfId="2180"/>
    <cellStyle name="SAPBEXexcBad7" xfId="2181"/>
    <cellStyle name="SAPBEXexcBad8" xfId="2182"/>
    <cellStyle name="SAPBEXexcBad9" xfId="2183"/>
    <cellStyle name="SAPBEXexcCritical4" xfId="2184"/>
    <cellStyle name="SAPBEXexcCritical5" xfId="2185"/>
    <cellStyle name="SAPBEXexcCritical6" xfId="2186"/>
    <cellStyle name="SAPBEXexcGood1" xfId="2187"/>
    <cellStyle name="SAPBEXexcGood2" xfId="2188"/>
    <cellStyle name="SAPBEXexcGood3" xfId="2189"/>
    <cellStyle name="SAPBEXfilterDrill" xfId="2190"/>
    <cellStyle name="SAPBEXfilterItem" xfId="2191"/>
    <cellStyle name="SAPBEXfilterText" xfId="2192"/>
    <cellStyle name="SAPBEXformats" xfId="2193"/>
    <cellStyle name="SAPBEXheaderItem" xfId="2194"/>
    <cellStyle name="SAPBEXheaderText" xfId="2195"/>
    <cellStyle name="SAPBEXHLevel0" xfId="2196"/>
    <cellStyle name="SAPBEXHLevel0X" xfId="2197"/>
    <cellStyle name="SAPBEXHLevel1" xfId="2198"/>
    <cellStyle name="SAPBEXHLevel1X" xfId="2199"/>
    <cellStyle name="SAPBEXHLevel2" xfId="2200"/>
    <cellStyle name="SAPBEXHLevel2X" xfId="2201"/>
    <cellStyle name="SAPBEXHLevel3" xfId="2202"/>
    <cellStyle name="SAPBEXHLevel3X" xfId="2203"/>
    <cellStyle name="SAPBEXinputData" xfId="2204"/>
    <cellStyle name="SAPBEXItemHeader" xfId="2205"/>
    <cellStyle name="SAPBEXresData" xfId="2206"/>
    <cellStyle name="SAPBEXresDataEmph" xfId="2207"/>
    <cellStyle name="SAPBEXresItem" xfId="2208"/>
    <cellStyle name="SAPBEXresItemX" xfId="2209"/>
    <cellStyle name="SAPBEXstdData" xfId="2210"/>
    <cellStyle name="SAPBEXstdDataEmph" xfId="2211"/>
    <cellStyle name="SAPBEXstdItem" xfId="2212"/>
    <cellStyle name="SAPBEXstdItemX" xfId="2213"/>
    <cellStyle name="SAPBEXtitle" xfId="2214"/>
    <cellStyle name="SAPBEXunassignedItem" xfId="2215"/>
    <cellStyle name="SAPBEXundefined" xfId="2216"/>
    <cellStyle name="Sheet Title" xfId="2217"/>
    <cellStyle name="Style 21" xfId="2218"/>
    <cellStyle name="Style 22" xfId="2219"/>
    <cellStyle name="Style 22 2" xfId="2220"/>
    <cellStyle name="Style 23" xfId="2221"/>
    <cellStyle name="Style 23 2" xfId="2222"/>
    <cellStyle name="Style 24" xfId="2223"/>
    <cellStyle name="Style 24 2" xfId="2224"/>
    <cellStyle name="Style 25" xfId="2225"/>
    <cellStyle name="Style 25 2" xfId="2226"/>
    <cellStyle name="Style 26" xfId="2227"/>
    <cellStyle name="Style 27" xfId="2228"/>
    <cellStyle name="Style 27 2" xfId="2229"/>
    <cellStyle name="Style 28" xfId="2230"/>
    <cellStyle name="Style 28 2" xfId="2231"/>
    <cellStyle name="Style 29" xfId="2232"/>
    <cellStyle name="Style 29 2" xfId="2233"/>
    <cellStyle name="Style 30" xfId="2234"/>
    <cellStyle name="Style 30 2" xfId="2235"/>
    <cellStyle name="Style 31" xfId="2236"/>
    <cellStyle name="Style 31 2" xfId="2237"/>
    <cellStyle name="Style 32" xfId="2238"/>
    <cellStyle name="Style 32 2" xfId="2239"/>
    <cellStyle name="Style 32_SCE PPM Metrics Data Table 2010" xfId="2240"/>
    <cellStyle name="Style 33" xfId="2241"/>
    <cellStyle name="Style 33 2" xfId="2242"/>
    <cellStyle name="Style 34" xfId="2243"/>
    <cellStyle name="Style 34 2" xfId="2244"/>
    <cellStyle name="Style 34_SCE PPM Metrics Data Table 2010" xfId="2245"/>
    <cellStyle name="Style 35" xfId="2246"/>
    <cellStyle name="Style 35 2" xfId="2247"/>
    <cellStyle name="Style 35_SCE PPM Metrics Data Table 2010" xfId="2248"/>
    <cellStyle name="Style 36" xfId="2249"/>
    <cellStyle name="Style 36 2" xfId="2250"/>
    <cellStyle name="Style 36_SCE PPM Metrics Data Table 2010" xfId="2251"/>
    <cellStyle name="Style 37" xfId="2252"/>
    <cellStyle name="Style 37 2" xfId="2253"/>
    <cellStyle name="Style 37_SCE PPM Metrics Data Table 2010" xfId="2254"/>
    <cellStyle name="Style 38" xfId="2255"/>
    <cellStyle name="Style 38 2" xfId="2256"/>
    <cellStyle name="Style 38_SCE PPM Metrics Data Table 2010" xfId="2257"/>
    <cellStyle name="Style 39" xfId="2258"/>
    <cellStyle name="Style 39 2" xfId="2259"/>
    <cellStyle name="Style 39_SCE PPM Metrics Data Table 2010" xfId="2260"/>
    <cellStyle name="Style 40" xfId="2261"/>
    <cellStyle name="Style 40 2" xfId="2262"/>
    <cellStyle name="Style 40_SCE PPM Metrics Data Table 2010" xfId="2263"/>
    <cellStyle name="Style 41" xfId="2264"/>
    <cellStyle name="Style 41 2" xfId="2265"/>
    <cellStyle name="Style 41_SCE PPM Metrics Data Table 2010" xfId="2266"/>
    <cellStyle name="Title" xfId="2267" builtinId="15" customBuiltin="1"/>
    <cellStyle name="Title 2" xfId="2268"/>
    <cellStyle name="Total" xfId="2269" builtinId="25" customBuiltin="1"/>
    <cellStyle name="Total 2" xfId="2270"/>
    <cellStyle name="Unprot" xfId="2271"/>
    <cellStyle name="Unprot$" xfId="2272"/>
    <cellStyle name="Unprotect" xfId="2273"/>
    <cellStyle name="Warning Text" xfId="2274" builtinId="11" customBuiltin="1"/>
    <cellStyle name="Warning Text 2" xfId="2275"/>
    <cellStyle name="敨瑥1渀欀" xfId="2276"/>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calcChain" Target="calcChain.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Documents%20and%20Settings\weberts\My%20Documents\TSWMISC\2006%20-%202008%20Plan\December%209%20Compliance%20Filing\HMG%20revised%20Total%20C&amp;S%20Savings%20HMG%20-%20Posted%20v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0515%20PG&amp;E%20Tech%20Matrix\C&amp;S%20savings%20estimation\Total%20C&amp;S%20Savings%20HMG%20-%20V4%20Jan%2028%20200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airfield08\mps\DOCUME~1\deandaem\LOCALS~1\Temp\c.lotus.notes.data\AlexandriaMy%20Documents\D%20Drive%20Data\TSWMISC\2000%20AEAP\May%201%20Filing\2000%20Annual%20Energy%20Efficiency%20Report\2000%20AEER%20Tables\2000%20AEER%20Cost%20&amp;%20Cost%20Eff%20Tables%20(X.1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sf\Home\DOCUME~1\deandaem\LOCALS~1\Temp\c.lotus.notes.data\AlexandriaMy%20Documents\D%20Drive%20Data\TSWMISC\2000%20AEAP\May%201%20Filing\2000%20Annual%20Energy%20Efficiency%20Report\2000%20AEER%20Tables\2000%20AEER%20Cost%20&amp;%20Cost%20Eff%20Tables%20(X.1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sf\Home\Documents%20and%20Settings\cuad\My%20Documents\2009%20EE%20Dashboard\June\June%20Draf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sf\Home\Documents%20and%20Settings\Saddam%20Hussain\Local%20Settings\Temp\Temporary%20Directory%201%20for%20March17.zip\CEE%20Tool%20Com%201c.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ce\workgroup\DOCUME~1\deandaem\LOCALS~1\Temp\c.lotus.notes.data\AlexandriaMy%20Documents\D%20Drive%20Data\TSWMISC\2000%20AEAP\May%201%20Filing\2000%20Annual%20Energy%20Efficiency%20Report\2000%20AEER%20Tables\2000%20AEER%20Cost%20&amp;%20Cost%20Eff%20Tables%20(X.1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Projects\PGE%20T24%20compliance%20support\PG&amp;E%20Tool%205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Totals-Goals"/>
      <sheetName val="Totals - by IOU"/>
      <sheetName val="Inputs"/>
      <sheetName val="Energy Summary"/>
      <sheetName val="Demand Summary"/>
      <sheetName val="Gas Summary"/>
      <sheetName val="Totals"/>
      <sheetName val="Energy Net Savings"/>
      <sheetName val="Demand Net Savings"/>
      <sheetName val="Gas Net Savings"/>
      <sheetName val="Begin"/>
      <sheetName val="Std 1"/>
      <sheetName val="Std 2"/>
      <sheetName val="Std 3"/>
      <sheetName val="Std 4"/>
      <sheetName val="Std 5"/>
      <sheetName val="Std 6"/>
      <sheetName val="Std 7"/>
      <sheetName val="Std 8"/>
      <sheetName val="Std 9"/>
      <sheetName val="Std 10"/>
      <sheetName val="Std 11"/>
      <sheetName val="Std 12"/>
      <sheetName val="Std 13"/>
      <sheetName val="Std 14"/>
      <sheetName val="Std 15"/>
      <sheetName val="Std 16"/>
      <sheetName val="Std 17"/>
      <sheetName val="Std 18"/>
      <sheetName val="Std 19"/>
      <sheetName val="Std 20"/>
      <sheetName val="Std 21"/>
      <sheetName val="Std B1"/>
      <sheetName val="Std B2"/>
      <sheetName val="Std B3"/>
      <sheetName val="Std B4"/>
      <sheetName val="Std B5"/>
      <sheetName val="Std B6"/>
      <sheetName val="Std B7"/>
      <sheetName val="Std B8"/>
      <sheetName val="Std B9"/>
      <sheetName val="Std B10"/>
      <sheetName val="Std B11"/>
      <sheetName val="Std B12"/>
      <sheetName val="Std B13"/>
      <sheetName val="Std B14"/>
      <sheetName val="End"/>
      <sheetName val="Lookup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s-Goals"/>
      <sheetName val="Totals - by IOU (06-08)"/>
      <sheetName val="CB_DATA_"/>
      <sheetName val="Totals - by IOU (09-11)"/>
      <sheetName val="Totals - by IOU (12-14)"/>
      <sheetName val="Gross Savings by IOU"/>
      <sheetName val="IOU savings summary"/>
      <sheetName val="Inputs"/>
      <sheetName val="Input-E3"/>
      <sheetName val="Std Detail"/>
      <sheetName val="Energy Summary"/>
      <sheetName val="Demand Summary"/>
      <sheetName val="Gas Summary"/>
    </sheetNames>
    <sheetDataSet>
      <sheetData sheetId="0"/>
      <sheetData sheetId="1"/>
      <sheetData sheetId="2"/>
      <sheetData sheetId="3"/>
      <sheetData sheetId="4"/>
      <sheetData sheetId="5"/>
      <sheetData sheetId="6"/>
      <sheetData sheetId="7">
        <row r="1">
          <cell r="C1">
            <v>118</v>
          </cell>
        </row>
      </sheetData>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Done"/>
      <sheetName val="Years"/>
      <sheetName val="2.1 Done"/>
      <sheetName val="3.1 Done"/>
      <sheetName val="4.1 Done"/>
      <sheetName val="5.1 Done"/>
      <sheetName val="6.1 Done"/>
      <sheetName val="7.1 Done"/>
      <sheetName val="5.2 Done"/>
      <sheetName val="1.3 Done"/>
      <sheetName val="2.3 Done"/>
      <sheetName val="3.3 Done"/>
      <sheetName val="4.3 Done"/>
      <sheetName val="7.3 Done"/>
      <sheetName val="1.4 Done"/>
      <sheetName val="2.4 Done"/>
      <sheetName val="3.4 Done"/>
      <sheetName val="4.4 Done"/>
      <sheetName val="7.4 Done"/>
      <sheetName val="TA 2.1 Done"/>
      <sheetName val="TA 3.1 Done"/>
      <sheetName val="TA 4.1 Done"/>
      <sheetName val="TA 5.1 Done"/>
      <sheetName val="TA 7.1 Done"/>
      <sheetName val="TA 2.2 Done"/>
      <sheetName val="TA 3.2 Done"/>
      <sheetName val="TA 4.2 Done"/>
      <sheetName val="TA 7.2 Done"/>
      <sheetName val="TA 2.4A Done"/>
      <sheetName val="TA 2.4B Done"/>
      <sheetName val="TA 3.4A Done"/>
      <sheetName val="TA 3.4B Done"/>
      <sheetName val="TA 6.1 Done"/>
      <sheetName val="TA 6.2 Done"/>
      <sheetName val="TA 6.3 Done"/>
      <sheetName val="TA 8.1 Done"/>
      <sheetName val="TA 8.2 Done"/>
      <sheetName val="TA 8.3 Done"/>
      <sheetName val="99 $EE"/>
      <sheetName val="99 $EE Commitments"/>
      <sheetName val="99 $&quot;Bridge&quot;"/>
      <sheetName val="99 $LI"/>
      <sheetName val="00 $EE"/>
      <sheetName val="PY99 E-4 DONE"/>
      <sheetName val="PY99 E-1"/>
      <sheetName val="Lookup"/>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Done"/>
      <sheetName val="Years"/>
      <sheetName val="2.1 Done"/>
      <sheetName val="3.1 Done"/>
      <sheetName val="4.1 Done"/>
      <sheetName val="5.1 Done"/>
      <sheetName val="6.1 Done"/>
      <sheetName val="7.1 Done"/>
      <sheetName val="5.2 Done"/>
      <sheetName val="1.3 Done"/>
      <sheetName val="2.3 Done"/>
      <sheetName val="3.3 Done"/>
      <sheetName val="4.3 Done"/>
      <sheetName val="7.3 Done"/>
      <sheetName val="1.4 Done"/>
      <sheetName val="2.4 Done"/>
      <sheetName val="3.4 Done"/>
      <sheetName val="4.4 Done"/>
      <sheetName val="7.4 Done"/>
      <sheetName val="TA 2.1 Done"/>
      <sheetName val="TA 3.1 Done"/>
      <sheetName val="TA 4.1 Done"/>
      <sheetName val="TA 5.1 Done"/>
      <sheetName val="TA 7.1 Done"/>
      <sheetName val="TA 2.2 Done"/>
      <sheetName val="TA 3.2 Done"/>
      <sheetName val="TA 4.2 Done"/>
      <sheetName val="TA 7.2 Done"/>
      <sheetName val="TA 2.4A Done"/>
      <sheetName val="TA 2.4B Done"/>
      <sheetName val="TA 3.4A Done"/>
      <sheetName val="TA 3.4B Done"/>
      <sheetName val="TA 6.1 Done"/>
      <sheetName val="TA 6.2 Done"/>
      <sheetName val="TA 6.3 Done"/>
      <sheetName val="TA 8.1 Done"/>
      <sheetName val="TA 8.2 Done"/>
      <sheetName val="TA 8.3 Done"/>
      <sheetName val="99 $EE"/>
      <sheetName val="99 $EE Commitments"/>
      <sheetName val="99 $&quot;Bridge&quot;"/>
      <sheetName val="99 $LI"/>
      <sheetName val="00 $EE"/>
      <sheetName val="PY99 E-4 DONE"/>
      <sheetName val="PY99 E-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Contacts"/>
      <sheetName val="Month"/>
      <sheetName val="Program Inputs"/>
      <sheetName val="BCD Inputs"/>
      <sheetName val="DR Inputs"/>
      <sheetName val="Financial Inputs"/>
      <sheetName val="CSI Inputs"/>
      <sheetName val="Pipeline Inputs"/>
      <sheetName val="Overview Data"/>
      <sheetName val="Financials Data"/>
      <sheetName val="Financial Analysis Data"/>
      <sheetName val="IQP Data"/>
      <sheetName val="CSI Data"/>
      <sheetName val="DR Data"/>
      <sheetName val="EE BCD and Segment Data"/>
      <sheetName val="Pipeline Data"/>
      <sheetName val="EE Overview"/>
      <sheetName val="Financials"/>
      <sheetName val="Financials (2)"/>
      <sheetName val="IQP"/>
      <sheetName val="CSI"/>
      <sheetName val="DR"/>
      <sheetName val="DR 2"/>
      <sheetName val="Pipeline"/>
      <sheetName val="EE BCD"/>
      <sheetName val="Segments"/>
      <sheetName val="DR BCD"/>
      <sheetName val="Business"/>
      <sheetName val="Residential"/>
      <sheetName val="Partnerships"/>
      <sheetName val="Targets"/>
      <sheetName val="Proj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9">
          <cell r="B9" t="str">
            <v>Express Efficiency</v>
          </cell>
          <cell r="C9">
            <v>19834716</v>
          </cell>
          <cell r="D9">
            <v>6384529.3804429788</v>
          </cell>
          <cell r="E9">
            <v>0.32188660429738336</v>
          </cell>
          <cell r="F9">
            <v>13450186.619557021</v>
          </cell>
          <cell r="G9">
            <v>121000000</v>
          </cell>
          <cell r="H9">
            <v>49663125.57694044</v>
          </cell>
          <cell r="I9">
            <v>0.41043905435487965</v>
          </cell>
          <cell r="J9">
            <v>0.12855673714196195</v>
          </cell>
          <cell r="K9">
            <v>21200</v>
          </cell>
          <cell r="L9">
            <v>11687.347445341957</v>
          </cell>
          <cell r="M9">
            <v>0.55128997383688472</v>
          </cell>
        </row>
        <row r="12">
          <cell r="B12" t="str">
            <v>Agricultural Energy Efficiency</v>
          </cell>
          <cell r="C12">
            <v>3270876</v>
          </cell>
          <cell r="D12">
            <v>2014213.0210207</v>
          </cell>
          <cell r="E12">
            <v>0.61580231748947378</v>
          </cell>
          <cell r="F12">
            <v>1256662.9789793</v>
          </cell>
          <cell r="G12">
            <v>22100000</v>
          </cell>
          <cell r="H12">
            <v>6725131.5000000028</v>
          </cell>
          <cell r="I12">
            <v>0.30430459276018113</v>
          </cell>
          <cell r="J12">
            <v>0.29950537339243094</v>
          </cell>
          <cell r="K12">
            <v>3170</v>
          </cell>
          <cell r="L12">
            <v>1696.2284999999997</v>
          </cell>
          <cell r="M12">
            <v>0.53508785488958976</v>
          </cell>
        </row>
        <row r="13">
          <cell r="B13" t="str">
            <v>Savings by Design</v>
          </cell>
          <cell r="C13">
            <v>10109196</v>
          </cell>
          <cell r="D13">
            <v>4185702.85</v>
          </cell>
          <cell r="E13">
            <v>0.41404903515571367</v>
          </cell>
          <cell r="F13">
            <v>5923493.1500000004</v>
          </cell>
          <cell r="G13">
            <v>33700000</v>
          </cell>
          <cell r="H13">
            <v>37869512.999999993</v>
          </cell>
          <cell r="I13">
            <v>1.1237244213649848</v>
          </cell>
          <cell r="J13">
            <v>0.11052961916885493</v>
          </cell>
          <cell r="K13">
            <v>8230</v>
          </cell>
          <cell r="L13">
            <v>6482.7</v>
          </cell>
          <cell r="M13">
            <v>0.78769137302551639</v>
          </cell>
        </row>
        <row r="17">
          <cell r="B17" t="str">
            <v>Hospital Facility Energy Efficiency Program</v>
          </cell>
          <cell r="C17">
            <v>28224</v>
          </cell>
          <cell r="D17">
            <v>73868.01999999999</v>
          </cell>
          <cell r="E17">
            <v>2.6172059240362806</v>
          </cell>
          <cell r="F17">
            <v>-45644.01999999999</v>
          </cell>
          <cell r="G17">
            <v>1500000</v>
          </cell>
          <cell r="H17">
            <v>0</v>
          </cell>
          <cell r="I17">
            <v>0</v>
          </cell>
          <cell r="J17" t="str">
            <v>-</v>
          </cell>
          <cell r="K17">
            <v>500</v>
          </cell>
          <cell r="L17">
            <v>0</v>
          </cell>
          <cell r="M17">
            <v>0</v>
          </cell>
        </row>
        <row r="24">
          <cell r="B24" t="str">
            <v>Comprehensive HVAC Program - Residential</v>
          </cell>
          <cell r="C24">
            <v>11357424</v>
          </cell>
          <cell r="D24">
            <v>2216409.7090431154</v>
          </cell>
          <cell r="E24">
            <v>0.19515074096407031</v>
          </cell>
          <cell r="F24">
            <v>9141014.2909568846</v>
          </cell>
          <cell r="G24">
            <v>2000000</v>
          </cell>
          <cell r="H24">
            <v>4152812.155984669</v>
          </cell>
          <cell r="I24">
            <v>2.0764060779923343</v>
          </cell>
          <cell r="J24">
            <v>0.53371296986044026</v>
          </cell>
          <cell r="K24">
            <v>2240</v>
          </cell>
          <cell r="L24">
            <v>3612.1066275122125</v>
          </cell>
          <cell r="M24">
            <v>1.6125476015679521</v>
          </cell>
        </row>
        <row r="25">
          <cell r="B25" t="str">
            <v>Comprehensive HVAC Program - Non-Residential</v>
          </cell>
          <cell r="C25">
            <v>12285900</v>
          </cell>
          <cell r="D25">
            <v>692006.34543989669</v>
          </cell>
          <cell r="E25">
            <v>5.6325246456498647E-2</v>
          </cell>
          <cell r="F25">
            <v>11593893.654560104</v>
          </cell>
          <cell r="G25">
            <v>21600000</v>
          </cell>
          <cell r="H25">
            <v>10090169.030650023</v>
          </cell>
          <cell r="I25">
            <v>0.46713745512268628</v>
          </cell>
          <cell r="J25">
            <v>6.8582235177413742E-2</v>
          </cell>
          <cell r="K25">
            <v>20300</v>
          </cell>
          <cell r="L25">
            <v>5757.7303679000361</v>
          </cell>
          <cell r="M25">
            <v>0.283632037827588</v>
          </cell>
        </row>
      </sheetData>
      <sheetData sheetId="29"/>
      <sheetData sheetId="30">
        <row r="12">
          <cell r="I12">
            <v>0</v>
          </cell>
          <cell r="J12">
            <v>0</v>
          </cell>
          <cell r="L12">
            <v>48</v>
          </cell>
          <cell r="N12">
            <v>0</v>
          </cell>
          <cell r="O12">
            <v>0</v>
          </cell>
        </row>
        <row r="13">
          <cell r="B13" t="str">
            <v>Long Beach Partnership</v>
          </cell>
          <cell r="C13">
            <v>115200</v>
          </cell>
          <cell r="D13">
            <v>432.27</v>
          </cell>
          <cell r="E13">
            <v>3.75234375E-3</v>
          </cell>
          <cell r="F13">
            <v>114767.73</v>
          </cell>
          <cell r="G13">
            <v>323600</v>
          </cell>
          <cell r="H13">
            <v>0</v>
          </cell>
          <cell r="I13">
            <v>0</v>
          </cell>
          <cell r="J13">
            <v>0</v>
          </cell>
          <cell r="K13" t="str">
            <v>-</v>
          </cell>
          <cell r="L13">
            <v>54.72</v>
          </cell>
          <cell r="M13">
            <v>0</v>
          </cell>
          <cell r="N13">
            <v>0</v>
          </cell>
          <cell r="O13">
            <v>0</v>
          </cell>
        </row>
        <row r="14">
          <cell r="I14">
            <v>0</v>
          </cell>
          <cell r="J14">
            <v>0</v>
          </cell>
          <cell r="L14">
            <v>169</v>
          </cell>
          <cell r="N14">
            <v>0</v>
          </cell>
          <cell r="O14">
            <v>0</v>
          </cell>
        </row>
        <row r="15">
          <cell r="I15">
            <v>0</v>
          </cell>
          <cell r="J15">
            <v>0</v>
          </cell>
          <cell r="L15">
            <v>189.99999999999997</v>
          </cell>
          <cell r="N15">
            <v>0</v>
          </cell>
          <cell r="O15">
            <v>0</v>
          </cell>
        </row>
        <row r="16">
          <cell r="B16" t="str">
            <v>Orange County Partnership</v>
          </cell>
          <cell r="C16">
            <v>174000</v>
          </cell>
          <cell r="D16">
            <v>432.27</v>
          </cell>
          <cell r="E16">
            <v>2.4843103448275862E-3</v>
          </cell>
          <cell r="F16">
            <v>173567.73</v>
          </cell>
          <cell r="G16">
            <v>2337410</v>
          </cell>
          <cell r="H16">
            <v>0</v>
          </cell>
          <cell r="I16">
            <v>0</v>
          </cell>
          <cell r="J16">
            <v>0</v>
          </cell>
          <cell r="K16" t="str">
            <v>-</v>
          </cell>
          <cell r="L16">
            <v>109</v>
          </cell>
          <cell r="M16">
            <v>0</v>
          </cell>
          <cell r="N16">
            <v>0</v>
          </cell>
          <cell r="O16">
            <v>0</v>
          </cell>
        </row>
        <row r="17">
          <cell r="I17">
            <v>0</v>
          </cell>
          <cell r="J17">
            <v>0</v>
          </cell>
          <cell r="L17">
            <v>36</v>
          </cell>
          <cell r="N17">
            <v>0</v>
          </cell>
          <cell r="O17">
            <v>0</v>
          </cell>
        </row>
        <row r="18">
          <cell r="I18">
            <v>664847</v>
          </cell>
          <cell r="J18">
            <v>0.45067009390330121</v>
          </cell>
          <cell r="L18">
            <v>238</v>
          </cell>
          <cell r="N18">
            <v>92.7</v>
          </cell>
          <cell r="O18">
            <v>0.38949579831932774</v>
          </cell>
        </row>
        <row r="19">
          <cell r="I19">
            <v>0</v>
          </cell>
          <cell r="J19">
            <v>0</v>
          </cell>
          <cell r="L19">
            <v>12</v>
          </cell>
          <cell r="N19">
            <v>0</v>
          </cell>
          <cell r="O19">
            <v>0</v>
          </cell>
        </row>
        <row r="20">
          <cell r="I20">
            <v>0</v>
          </cell>
          <cell r="J20">
            <v>0</v>
          </cell>
          <cell r="L20">
            <v>43</v>
          </cell>
          <cell r="N20">
            <v>0</v>
          </cell>
          <cell r="O20">
            <v>0</v>
          </cell>
        </row>
        <row r="21">
          <cell r="I21">
            <v>0</v>
          </cell>
          <cell r="J21">
            <v>0</v>
          </cell>
          <cell r="L21">
            <v>76</v>
          </cell>
          <cell r="N21">
            <v>0</v>
          </cell>
          <cell r="O21">
            <v>0</v>
          </cell>
        </row>
        <row r="22">
          <cell r="I22">
            <v>0</v>
          </cell>
          <cell r="J22">
            <v>0</v>
          </cell>
          <cell r="L22">
            <v>216.64000000000001</v>
          </cell>
          <cell r="N22">
            <v>0</v>
          </cell>
          <cell r="O22">
            <v>0</v>
          </cell>
        </row>
        <row r="23">
          <cell r="I23">
            <v>5690125.7000000002</v>
          </cell>
          <cell r="J23">
            <v>0.71037774032459433</v>
          </cell>
          <cell r="L23">
            <v>2185.1880000000001</v>
          </cell>
          <cell r="N23">
            <v>1534.61</v>
          </cell>
          <cell r="O23">
            <v>0.70227824791276527</v>
          </cell>
        </row>
        <row r="24">
          <cell r="I24">
            <v>0</v>
          </cell>
          <cell r="J24">
            <v>0</v>
          </cell>
          <cell r="L24">
            <v>26</v>
          </cell>
          <cell r="N24">
            <v>0</v>
          </cell>
          <cell r="O24">
            <v>0</v>
          </cell>
        </row>
        <row r="25">
          <cell r="I25">
            <v>259184</v>
          </cell>
          <cell r="J25">
            <v>0.23562181818181818</v>
          </cell>
          <cell r="L25">
            <v>217</v>
          </cell>
          <cell r="N25">
            <v>30.03</v>
          </cell>
          <cell r="O25">
            <v>0.13838709677419356</v>
          </cell>
        </row>
        <row r="26">
          <cell r="I26">
            <v>0</v>
          </cell>
          <cell r="J26">
            <v>0</v>
          </cell>
          <cell r="L26">
            <v>142</v>
          </cell>
          <cell r="N26">
            <v>0</v>
          </cell>
          <cell r="O26">
            <v>0</v>
          </cell>
        </row>
        <row r="27">
          <cell r="I27">
            <v>0</v>
          </cell>
          <cell r="J27">
            <v>0</v>
          </cell>
          <cell r="L27">
            <v>204</v>
          </cell>
          <cell r="N27">
            <v>0</v>
          </cell>
          <cell r="O27">
            <v>0</v>
          </cell>
        </row>
        <row r="28">
          <cell r="I28">
            <v>0</v>
          </cell>
          <cell r="J28">
            <v>0</v>
          </cell>
          <cell r="L28">
            <v>395</v>
          </cell>
          <cell r="N28">
            <v>0</v>
          </cell>
          <cell r="O28">
            <v>0</v>
          </cell>
        </row>
        <row r="29">
          <cell r="I29">
            <v>342855.55320000002</v>
          </cell>
          <cell r="J29">
            <v>0.15338506568433247</v>
          </cell>
          <cell r="L29">
            <v>438</v>
          </cell>
          <cell r="N29">
            <v>71.318400000000011</v>
          </cell>
          <cell r="O29">
            <v>0.16282739726027401</v>
          </cell>
        </row>
        <row r="30">
          <cell r="I30">
            <v>6957012.2532000002</v>
          </cell>
          <cell r="J30">
            <v>0.29217691096350717</v>
          </cell>
          <cell r="L30">
            <v>4799.5480000000007</v>
          </cell>
          <cell r="N30">
            <v>1728.6584</v>
          </cell>
          <cell r="O30">
            <v>0.36017108277696147</v>
          </cell>
        </row>
        <row r="33">
          <cell r="B33" t="str">
            <v>California Community Colleges</v>
          </cell>
          <cell r="C33">
            <v>1380504</v>
          </cell>
          <cell r="D33">
            <v>193052.59848697318</v>
          </cell>
          <cell r="E33">
            <v>0.1398421145371351</v>
          </cell>
          <cell r="F33">
            <v>1187451.4015130268</v>
          </cell>
          <cell r="G33">
            <v>5363886</v>
          </cell>
          <cell r="H33">
            <v>0</v>
          </cell>
          <cell r="I33">
            <v>398664</v>
          </cell>
          <cell r="J33">
            <v>7.4323727238050918E-2</v>
          </cell>
          <cell r="K33">
            <v>0.4842488875016886</v>
          </cell>
          <cell r="L33">
            <v>797</v>
          </cell>
          <cell r="M33">
            <v>0</v>
          </cell>
          <cell r="N33">
            <v>20</v>
          </cell>
          <cell r="O33">
            <v>2.5094102885821833E-2</v>
          </cell>
        </row>
        <row r="34">
          <cell r="I34">
            <v>1265684</v>
          </cell>
          <cell r="J34">
            <v>0.7518925273757805</v>
          </cell>
          <cell r="L34">
            <v>249</v>
          </cell>
          <cell r="N34">
            <v>164</v>
          </cell>
          <cell r="O34">
            <v>0.65863453815261042</v>
          </cell>
        </row>
        <row r="35">
          <cell r="B35" t="str">
            <v>SCE-SCG County of Los Angeles Partnership</v>
          </cell>
          <cell r="C35">
            <v>1317744</v>
          </cell>
          <cell r="D35">
            <v>83732.153101201664</v>
          </cell>
          <cell r="E35">
            <v>6.3542048456454114E-2</v>
          </cell>
          <cell r="F35">
            <v>1234011.8468987984</v>
          </cell>
          <cell r="G35">
            <v>1800000</v>
          </cell>
          <cell r="H35">
            <v>0</v>
          </cell>
          <cell r="I35">
            <v>0</v>
          </cell>
          <cell r="J35">
            <v>0</v>
          </cell>
          <cell r="K35" t="str">
            <v>-</v>
          </cell>
          <cell r="L35">
            <v>100</v>
          </cell>
          <cell r="M35">
            <v>0</v>
          </cell>
          <cell r="N35">
            <v>0</v>
          </cell>
          <cell r="O35">
            <v>0</v>
          </cell>
        </row>
        <row r="36">
          <cell r="I36">
            <v>0</v>
          </cell>
          <cell r="J36">
            <v>0</v>
          </cell>
          <cell r="L36">
            <v>120</v>
          </cell>
          <cell r="N36">
            <v>0</v>
          </cell>
          <cell r="O36">
            <v>0</v>
          </cell>
        </row>
        <row r="37">
          <cell r="B37" t="str">
            <v>Santa Ana Partnership</v>
          </cell>
          <cell r="C37">
            <v>376500</v>
          </cell>
          <cell r="D37">
            <v>58873.422314629039</v>
          </cell>
          <cell r="E37">
            <v>0.1563703115926402</v>
          </cell>
          <cell r="F37">
            <v>317626.57768537098</v>
          </cell>
          <cell r="G37">
            <v>830012</v>
          </cell>
          <cell r="H37">
            <v>0</v>
          </cell>
          <cell r="I37">
            <v>0</v>
          </cell>
          <cell r="J37">
            <v>0</v>
          </cell>
          <cell r="K37" t="str">
            <v>-</v>
          </cell>
          <cell r="L37">
            <v>134</v>
          </cell>
          <cell r="M37">
            <v>0</v>
          </cell>
          <cell r="N37">
            <v>0</v>
          </cell>
          <cell r="O37">
            <v>0</v>
          </cell>
        </row>
      </sheetData>
      <sheetData sheetId="31"/>
      <sheetData sheetId="3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Input"/>
      <sheetName val="Output"/>
      <sheetName val="Calculations"/>
      <sheetName val="CostG"/>
      <sheetName val="CostE"/>
      <sheetName val="PolicyManual"/>
    </sheetNames>
    <sheetDataSet>
      <sheetData sheetId="0" refreshError="1"/>
      <sheetData sheetId="1"/>
      <sheetData sheetId="2" refreshError="1"/>
      <sheetData sheetId="3" refreshError="1">
        <row r="8">
          <cell r="K8">
            <v>300</v>
          </cell>
        </row>
      </sheetData>
      <sheetData sheetId="4" refreshError="1"/>
      <sheetData sheetId="5"/>
      <sheetData sheetId="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Done"/>
      <sheetName val="Years"/>
      <sheetName val="2.1 Done"/>
      <sheetName val="3.1 Done"/>
      <sheetName val="4.1 Done"/>
      <sheetName val="5.1 Done"/>
      <sheetName val="6.1 Done"/>
      <sheetName val="7.1 Done"/>
      <sheetName val="5.2 Done"/>
      <sheetName val="1.3 Done"/>
      <sheetName val="2.3 Done"/>
      <sheetName val="3.3 Done"/>
      <sheetName val="4.3 Done"/>
      <sheetName val="7.3 Done"/>
      <sheetName val="1.4 Done"/>
      <sheetName val="2.4 Done"/>
      <sheetName val="3.4 Done"/>
      <sheetName val="4.4 Done"/>
      <sheetName val="7.4 Done"/>
      <sheetName val="TA 2.1 Done"/>
      <sheetName val="TA 3.1 Done"/>
      <sheetName val="TA 4.1 Done"/>
      <sheetName val="TA 5.1 Done"/>
      <sheetName val="TA 7.1 Done"/>
      <sheetName val="TA 2.2 Done"/>
      <sheetName val="TA 3.2 Done"/>
      <sheetName val="TA 4.2 Done"/>
      <sheetName val="TA 7.2 Done"/>
      <sheetName val="TA 2.4A Done"/>
      <sheetName val="TA 2.4B Done"/>
      <sheetName val="TA 3.4A Done"/>
      <sheetName val="TA 3.4B Done"/>
      <sheetName val="TA 6.1 Done"/>
      <sheetName val="TA 6.2 Done"/>
      <sheetName val="TA 6.3 Done"/>
      <sheetName val="TA 8.1 Done"/>
      <sheetName val="TA 8.2 Done"/>
      <sheetName val="TA 8.3 Done"/>
      <sheetName val="99 $EE"/>
      <sheetName val="99 $EE Commitments"/>
      <sheetName val="99 $&quot;Bridge&quot;"/>
      <sheetName val="99 $LI"/>
      <sheetName val="00 $EE"/>
      <sheetName val="PY99 E-4 DONE"/>
      <sheetName val="PY99 E-1"/>
      <sheetName val="Calculation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Input"/>
      <sheetName val="Output"/>
      <sheetName val="Calculations"/>
      <sheetName val="Output by Measure"/>
      <sheetName val="Export"/>
      <sheetName val="InPlace"/>
      <sheetName val="Loads"/>
      <sheetName val="CostG"/>
      <sheetName val="CostE"/>
      <sheetName val="Rates"/>
      <sheetName val="PolicyManual"/>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
  <sheetViews>
    <sheetView view="pageLayout" zoomScaleNormal="100" workbookViewId="0">
      <selection activeCell="A19" sqref="A19"/>
    </sheetView>
  </sheetViews>
  <sheetFormatPr defaultRowHeight="15"/>
  <sheetData>
    <row r="1" spans="1:17" ht="15" customHeight="1">
      <c r="A1" s="500" t="s">
        <v>277</v>
      </c>
      <c r="B1" s="500"/>
      <c r="C1" s="500"/>
      <c r="D1" s="500"/>
      <c r="E1" s="500"/>
      <c r="F1" s="500"/>
      <c r="G1" s="500"/>
      <c r="H1" s="500"/>
      <c r="I1" s="500"/>
      <c r="J1" s="500"/>
      <c r="K1" s="500"/>
      <c r="L1" s="500"/>
      <c r="M1" s="500"/>
      <c r="N1" s="476"/>
      <c r="O1" s="476"/>
      <c r="P1" s="476"/>
      <c r="Q1" s="476"/>
    </row>
    <row r="2" spans="1:17" ht="15" customHeight="1">
      <c r="A2" s="500"/>
      <c r="B2" s="500"/>
      <c r="C2" s="500"/>
      <c r="D2" s="500"/>
      <c r="E2" s="500"/>
      <c r="F2" s="500"/>
      <c r="G2" s="500"/>
      <c r="H2" s="500"/>
      <c r="I2" s="500"/>
      <c r="J2" s="500"/>
      <c r="K2" s="500"/>
      <c r="L2" s="500"/>
      <c r="M2" s="500"/>
      <c r="N2" s="476"/>
      <c r="O2" s="476"/>
      <c r="P2" s="476"/>
      <c r="Q2" s="476"/>
    </row>
    <row r="3" spans="1:17" ht="33" customHeight="1">
      <c r="A3" s="500"/>
      <c r="B3" s="500"/>
      <c r="C3" s="500"/>
      <c r="D3" s="500"/>
      <c r="E3" s="500"/>
      <c r="F3" s="500"/>
      <c r="G3" s="500"/>
      <c r="H3" s="500"/>
      <c r="I3" s="500"/>
      <c r="J3" s="500"/>
      <c r="K3" s="500"/>
      <c r="L3" s="500"/>
      <c r="M3" s="500"/>
      <c r="N3" s="476"/>
      <c r="O3" s="476"/>
      <c r="P3" s="476"/>
      <c r="Q3" s="476"/>
    </row>
    <row r="4" spans="1:17" ht="33" customHeight="1">
      <c r="A4" s="500"/>
      <c r="B4" s="500"/>
      <c r="C4" s="500"/>
      <c r="D4" s="500"/>
      <c r="E4" s="500"/>
      <c r="F4" s="500"/>
      <c r="G4" s="500"/>
      <c r="H4" s="500"/>
      <c r="I4" s="500"/>
      <c r="J4" s="500"/>
      <c r="K4" s="500"/>
      <c r="L4" s="500"/>
      <c r="M4" s="500"/>
      <c r="N4" s="476"/>
      <c r="O4" s="476"/>
      <c r="P4" s="476"/>
      <c r="Q4" s="476"/>
    </row>
    <row r="5" spans="1:17" ht="33" customHeight="1">
      <c r="A5" s="500"/>
      <c r="B5" s="500"/>
      <c r="C5" s="500"/>
      <c r="D5" s="500"/>
      <c r="E5" s="500"/>
      <c r="F5" s="500"/>
      <c r="G5" s="500"/>
      <c r="H5" s="500"/>
      <c r="I5" s="500"/>
      <c r="J5" s="500"/>
      <c r="K5" s="500"/>
      <c r="L5" s="500"/>
      <c r="M5" s="500"/>
      <c r="N5" s="476"/>
      <c r="O5" s="476"/>
      <c r="P5" s="476"/>
      <c r="Q5" s="476"/>
    </row>
    <row r="6" spans="1:17" ht="33" customHeight="1">
      <c r="A6" s="500"/>
      <c r="B6" s="500"/>
      <c r="C6" s="500"/>
      <c r="D6" s="500"/>
      <c r="E6" s="500"/>
      <c r="F6" s="500"/>
      <c r="G6" s="500"/>
      <c r="H6" s="500"/>
      <c r="I6" s="500"/>
      <c r="J6" s="500"/>
      <c r="K6" s="500"/>
      <c r="L6" s="500"/>
      <c r="M6" s="500"/>
      <c r="N6" s="476"/>
      <c r="O6" s="476"/>
      <c r="P6" s="476"/>
      <c r="Q6" s="476"/>
    </row>
    <row r="7" spans="1:17" ht="33" customHeight="1">
      <c r="A7" s="500"/>
      <c r="B7" s="500"/>
      <c r="C7" s="500"/>
      <c r="D7" s="500"/>
      <c r="E7" s="500"/>
      <c r="F7" s="500"/>
      <c r="G7" s="500"/>
      <c r="H7" s="500"/>
      <c r="I7" s="500"/>
      <c r="J7" s="500"/>
      <c r="K7" s="500"/>
      <c r="L7" s="500"/>
      <c r="M7" s="500"/>
      <c r="N7" s="476"/>
      <c r="O7" s="476"/>
      <c r="P7" s="476"/>
      <c r="Q7" s="476"/>
    </row>
    <row r="8" spans="1:17" ht="33" customHeight="1">
      <c r="A8" s="500"/>
      <c r="B8" s="500"/>
      <c r="C8" s="500"/>
      <c r="D8" s="500"/>
      <c r="E8" s="500"/>
      <c r="F8" s="500"/>
      <c r="G8" s="500"/>
      <c r="H8" s="500"/>
      <c r="I8" s="500"/>
      <c r="J8" s="500"/>
      <c r="K8" s="500"/>
      <c r="L8" s="500"/>
      <c r="M8" s="500"/>
      <c r="N8" s="476"/>
      <c r="O8" s="476"/>
      <c r="P8" s="476"/>
      <c r="Q8" s="476"/>
    </row>
    <row r="9" spans="1:17" ht="33" customHeight="1">
      <c r="A9" s="500"/>
      <c r="B9" s="500"/>
      <c r="C9" s="500"/>
      <c r="D9" s="500"/>
      <c r="E9" s="500"/>
      <c r="F9" s="500"/>
      <c r="G9" s="500"/>
      <c r="H9" s="500"/>
      <c r="I9" s="500"/>
      <c r="J9" s="500"/>
      <c r="K9" s="500"/>
      <c r="L9" s="500"/>
      <c r="M9" s="500"/>
      <c r="N9" s="476"/>
      <c r="O9" s="476"/>
      <c r="P9" s="476"/>
      <c r="Q9" s="476"/>
    </row>
    <row r="10" spans="1:17" ht="33" customHeight="1">
      <c r="A10" s="500"/>
      <c r="B10" s="500"/>
      <c r="C10" s="500"/>
      <c r="D10" s="500"/>
      <c r="E10" s="500"/>
      <c r="F10" s="500"/>
      <c r="G10" s="500"/>
      <c r="H10" s="500"/>
      <c r="I10" s="500"/>
      <c r="J10" s="500"/>
      <c r="K10" s="500"/>
      <c r="L10" s="500"/>
      <c r="M10" s="500"/>
      <c r="N10" s="476"/>
      <c r="O10" s="476"/>
      <c r="P10" s="476"/>
      <c r="Q10" s="476"/>
    </row>
    <row r="11" spans="1:17" ht="33" customHeight="1">
      <c r="A11" s="500"/>
      <c r="B11" s="500"/>
      <c r="C11" s="500"/>
      <c r="D11" s="500"/>
      <c r="E11" s="500"/>
      <c r="F11" s="500"/>
      <c r="G11" s="500"/>
      <c r="H11" s="500"/>
      <c r="I11" s="500"/>
      <c r="J11" s="500"/>
      <c r="K11" s="500"/>
      <c r="L11" s="500"/>
      <c r="M11" s="500"/>
      <c r="N11" s="476"/>
      <c r="O11" s="476"/>
      <c r="P11" s="476"/>
      <c r="Q11" s="476"/>
    </row>
    <row r="12" spans="1:17" ht="33" customHeight="1">
      <c r="A12" s="500"/>
      <c r="B12" s="500"/>
      <c r="C12" s="500"/>
      <c r="D12" s="500"/>
      <c r="E12" s="500"/>
      <c r="F12" s="500"/>
      <c r="G12" s="500"/>
      <c r="H12" s="500"/>
      <c r="I12" s="500"/>
      <c r="J12" s="500"/>
      <c r="K12" s="500"/>
      <c r="L12" s="500"/>
      <c r="M12" s="500"/>
      <c r="N12" s="476"/>
      <c r="O12" s="476"/>
      <c r="P12" s="476"/>
      <c r="Q12" s="476"/>
    </row>
    <row r="13" spans="1:17" ht="15" customHeight="1">
      <c r="A13" s="476"/>
      <c r="B13" s="476"/>
      <c r="C13" s="476"/>
      <c r="D13" s="476"/>
      <c r="E13" s="476"/>
      <c r="F13" s="476"/>
      <c r="G13" s="476"/>
      <c r="H13" s="476"/>
      <c r="I13" s="476"/>
      <c r="J13" s="476"/>
      <c r="K13" s="476"/>
      <c r="L13" s="476"/>
      <c r="M13" s="476"/>
      <c r="N13" s="476"/>
      <c r="O13" s="476"/>
      <c r="P13" s="476"/>
      <c r="Q13" s="476"/>
    </row>
  </sheetData>
  <mergeCells count="1">
    <mergeCell ref="A1:M12"/>
  </mergeCells>
  <pageMargins left="0.5" right="0.5" top="1" bottom="1"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877"/>
  <sheetViews>
    <sheetView tabSelected="1" zoomScale="75" zoomScaleNormal="75" zoomScaleSheetLayoutView="70" zoomScalePageLayoutView="50" workbookViewId="0">
      <pane ySplit="855" topLeftCell="A55" activePane="bottomLeft"/>
      <selection activeCell="K3" sqref="K1:K1048576"/>
      <selection pane="bottomLeft" activeCell="J59" sqref="J59:L60"/>
    </sheetView>
  </sheetViews>
  <sheetFormatPr defaultColWidth="11.42578125" defaultRowHeight="15"/>
  <cols>
    <col min="1" max="1" width="7.85546875" style="9" customWidth="1"/>
    <col min="2" max="2" width="12.140625" style="9" customWidth="1"/>
    <col min="3" max="3" width="11.28515625" style="9" customWidth="1"/>
    <col min="4" max="4" width="39.85546875" style="1" customWidth="1"/>
    <col min="5" max="5" width="4" style="9" customWidth="1"/>
    <col min="6" max="6" width="17.5703125" style="95" customWidth="1"/>
    <col min="7" max="7" width="7.7109375" style="55" customWidth="1"/>
    <col min="8" max="8" width="8" style="9" customWidth="1"/>
    <col min="9" max="9" width="8.140625" style="9" customWidth="1"/>
    <col min="10" max="10" width="7.28515625" style="9" customWidth="1"/>
    <col min="11" max="12" width="7.7109375" style="9" customWidth="1"/>
    <col min="13" max="13" width="7" style="9" customWidth="1"/>
    <col min="14" max="14" width="6.5703125" style="9" customWidth="1"/>
    <col min="15" max="15" width="7.5703125" style="9" customWidth="1"/>
    <col min="16" max="16" width="7.140625" style="9" customWidth="1"/>
    <col min="17" max="17" width="6.5703125" style="9" customWidth="1"/>
    <col min="18" max="18" width="7.5703125" style="87" customWidth="1"/>
    <col min="19" max="19" width="48.140625" style="409" customWidth="1"/>
    <col min="20" max="32" width="9.140625" customWidth="1"/>
    <col min="33" max="16384" width="11.42578125" style="1"/>
  </cols>
  <sheetData>
    <row r="1" spans="1:32" ht="15.75" thickBot="1">
      <c r="A1" s="149"/>
      <c r="B1" s="150"/>
      <c r="C1" s="150"/>
      <c r="D1" s="150"/>
      <c r="E1" s="150"/>
      <c r="F1" s="151"/>
      <c r="G1" s="11"/>
      <c r="H1" s="11"/>
      <c r="I1" s="771" t="s">
        <v>236</v>
      </c>
      <c r="J1" s="771"/>
      <c r="K1" s="771"/>
      <c r="L1" s="771"/>
      <c r="M1" s="771"/>
      <c r="N1" s="771"/>
      <c r="O1" s="771"/>
      <c r="P1" s="11"/>
      <c r="Q1" s="11"/>
      <c r="R1" s="12"/>
      <c r="S1" s="392"/>
    </row>
    <row r="2" spans="1:32" ht="25.5" customHeight="1" thickBot="1">
      <c r="A2" s="152" t="s">
        <v>159</v>
      </c>
      <c r="B2" s="153" t="s">
        <v>160</v>
      </c>
      <c r="C2" s="153" t="s">
        <v>11</v>
      </c>
      <c r="D2" s="153" t="s">
        <v>161</v>
      </c>
      <c r="E2" s="153"/>
      <c r="F2" s="154"/>
      <c r="G2" s="772" t="s">
        <v>162</v>
      </c>
      <c r="H2" s="773"/>
      <c r="I2" s="774"/>
      <c r="J2" s="772" t="s">
        <v>163</v>
      </c>
      <c r="K2" s="775"/>
      <c r="L2" s="776"/>
      <c r="M2" s="772" t="s">
        <v>164</v>
      </c>
      <c r="N2" s="775"/>
      <c r="O2" s="776"/>
      <c r="P2" s="772" t="s">
        <v>165</v>
      </c>
      <c r="Q2" s="775"/>
      <c r="R2" s="776"/>
      <c r="S2" s="393" t="s">
        <v>157</v>
      </c>
    </row>
    <row r="3" spans="1:32" s="2" customFormat="1" ht="15.75" thickBot="1">
      <c r="A3" s="13"/>
      <c r="B3" s="14"/>
      <c r="C3" s="14"/>
      <c r="D3" s="14"/>
      <c r="E3" s="75"/>
      <c r="F3" s="15"/>
      <c r="G3" s="164" t="s">
        <v>166</v>
      </c>
      <c r="H3" s="165" t="s">
        <v>167</v>
      </c>
      <c r="I3" s="166" t="s">
        <v>168</v>
      </c>
      <c r="J3" s="171" t="s">
        <v>166</v>
      </c>
      <c r="K3" s="165" t="s">
        <v>167</v>
      </c>
      <c r="L3" s="172" t="s">
        <v>168</v>
      </c>
      <c r="M3" s="164" t="s">
        <v>166</v>
      </c>
      <c r="N3" s="165" t="s">
        <v>167</v>
      </c>
      <c r="O3" s="166" t="s">
        <v>168</v>
      </c>
      <c r="P3" s="171" t="s">
        <v>166</v>
      </c>
      <c r="Q3" s="165" t="s">
        <v>167</v>
      </c>
      <c r="R3" s="172" t="s">
        <v>168</v>
      </c>
      <c r="S3" s="394"/>
      <c r="T3"/>
      <c r="U3"/>
      <c r="V3"/>
      <c r="W3"/>
      <c r="X3"/>
      <c r="Y3"/>
      <c r="Z3"/>
      <c r="AA3"/>
      <c r="AB3"/>
      <c r="AC3"/>
      <c r="AD3"/>
      <c r="AE3"/>
      <c r="AF3"/>
    </row>
    <row r="4" spans="1:32" s="2" customFormat="1" ht="73.5">
      <c r="A4" s="38" t="s">
        <v>169</v>
      </c>
      <c r="B4" s="10" t="s">
        <v>170</v>
      </c>
      <c r="C4" s="10" t="s">
        <v>171</v>
      </c>
      <c r="D4" s="245" t="s">
        <v>172</v>
      </c>
      <c r="E4" s="244" t="s">
        <v>173</v>
      </c>
      <c r="F4" s="36"/>
      <c r="G4" s="787" t="s">
        <v>260</v>
      </c>
      <c r="H4" s="787"/>
      <c r="I4" s="730"/>
      <c r="J4" s="787" t="s">
        <v>261</v>
      </c>
      <c r="K4" s="787"/>
      <c r="L4" s="730"/>
      <c r="M4" s="787" t="s">
        <v>262</v>
      </c>
      <c r="N4" s="787"/>
      <c r="O4" s="787"/>
      <c r="P4" s="787" t="s">
        <v>263</v>
      </c>
      <c r="Q4" s="787"/>
      <c r="R4" s="787"/>
      <c r="S4" s="618"/>
      <c r="T4"/>
      <c r="U4"/>
      <c r="V4"/>
      <c r="W4"/>
      <c r="X4"/>
      <c r="Y4"/>
      <c r="Z4"/>
      <c r="AA4"/>
      <c r="AB4"/>
      <c r="AC4"/>
      <c r="AD4"/>
      <c r="AE4"/>
      <c r="AF4"/>
    </row>
    <row r="5" spans="1:32" s="2" customFormat="1">
      <c r="A5" s="641"/>
      <c r="B5" s="713"/>
      <c r="C5" s="570"/>
      <c r="D5" s="580" t="s">
        <v>227</v>
      </c>
      <c r="E5" s="581"/>
      <c r="F5" s="582"/>
      <c r="G5" s="471">
        <v>1.2800000000000001E-2</v>
      </c>
      <c r="H5" s="246">
        <v>8.0999999999999996E-3</v>
      </c>
      <c r="I5" s="413">
        <v>7.1000000000000004E-3</v>
      </c>
      <c r="J5" s="416">
        <v>1.4E-2</v>
      </c>
      <c r="K5" s="410">
        <v>0.03</v>
      </c>
      <c r="L5" s="417">
        <v>8.0000000000000002E-3</v>
      </c>
      <c r="M5" s="247">
        <v>0.04</v>
      </c>
      <c r="N5" s="248">
        <v>2.92E-2</v>
      </c>
      <c r="O5" s="249">
        <v>1.47E-2</v>
      </c>
      <c r="P5" s="250">
        <v>5.7999999999999996E-3</v>
      </c>
      <c r="Q5" s="251">
        <v>1.7999999999999999E-2</v>
      </c>
      <c r="R5" s="252">
        <v>3.3500000000000002E-2</v>
      </c>
      <c r="S5" s="596"/>
      <c r="T5"/>
      <c r="U5"/>
      <c r="V5"/>
      <c r="W5"/>
      <c r="X5"/>
      <c r="Y5"/>
      <c r="Z5"/>
      <c r="AA5"/>
      <c r="AB5"/>
      <c r="AC5"/>
      <c r="AD5"/>
      <c r="AE5"/>
      <c r="AF5"/>
    </row>
    <row r="6" spans="1:32" s="2" customFormat="1">
      <c r="A6" s="739"/>
      <c r="B6" s="740"/>
      <c r="C6" s="741"/>
      <c r="D6" s="580" t="s">
        <v>41</v>
      </c>
      <c r="E6" s="581"/>
      <c r="F6" s="582"/>
      <c r="G6" s="242">
        <v>1.0200000000000001E-2</v>
      </c>
      <c r="H6" s="197">
        <v>5.0000000000000001E-3</v>
      </c>
      <c r="I6" s="414">
        <v>5.7000000000000002E-3</v>
      </c>
      <c r="J6" s="418">
        <v>1.2E-2</v>
      </c>
      <c r="K6" s="411">
        <v>2.1000000000000001E-2</v>
      </c>
      <c r="L6" s="419">
        <v>5.0000000000000001E-3</v>
      </c>
      <c r="M6" s="198">
        <v>4.6699999999999998E-2</v>
      </c>
      <c r="N6" s="201">
        <v>2.53E-2</v>
      </c>
      <c r="O6" s="202">
        <v>5.4000000000000003E-3</v>
      </c>
      <c r="P6" s="199">
        <v>2.2000000000000001E-3</v>
      </c>
      <c r="Q6" s="200">
        <v>1.38E-2</v>
      </c>
      <c r="R6" s="204">
        <v>3.5700000000000003E-2</v>
      </c>
      <c r="S6" s="596"/>
      <c r="T6"/>
      <c r="U6"/>
      <c r="V6"/>
      <c r="W6"/>
      <c r="X6"/>
      <c r="Y6"/>
      <c r="Z6"/>
      <c r="AA6"/>
      <c r="AB6"/>
      <c r="AC6"/>
      <c r="AD6"/>
      <c r="AE6"/>
      <c r="AF6"/>
    </row>
    <row r="7" spans="1:32" s="2" customFormat="1" ht="15" customHeight="1">
      <c r="A7" s="739"/>
      <c r="B7" s="740"/>
      <c r="C7" s="741"/>
      <c r="D7" s="580" t="s">
        <v>19</v>
      </c>
      <c r="E7" s="581"/>
      <c r="F7" s="582"/>
      <c r="G7" s="196">
        <v>4.4000000000000003E-3</v>
      </c>
      <c r="H7" s="197">
        <v>2.3999999999999998E-3</v>
      </c>
      <c r="I7" s="414">
        <v>1.1000000000000001E-3</v>
      </c>
      <c r="J7" s="420">
        <v>2E-3</v>
      </c>
      <c r="K7" s="411">
        <v>3.0000000000000001E-3</v>
      </c>
      <c r="L7" s="419">
        <v>1E-3</v>
      </c>
      <c r="M7" s="198">
        <v>0</v>
      </c>
      <c r="N7" s="203">
        <v>0</v>
      </c>
      <c r="O7" s="204">
        <v>0</v>
      </c>
      <c r="P7" s="199">
        <v>3.3E-3</v>
      </c>
      <c r="Q7" s="200">
        <v>1.2200000000000001E-2</v>
      </c>
      <c r="R7" s="204">
        <v>1.4500000000000001E-2</v>
      </c>
      <c r="S7" s="596"/>
      <c r="T7"/>
      <c r="U7"/>
      <c r="V7"/>
      <c r="W7"/>
      <c r="X7"/>
      <c r="Y7"/>
      <c r="Z7"/>
      <c r="AA7"/>
      <c r="AB7"/>
      <c r="AC7"/>
      <c r="AD7"/>
      <c r="AE7"/>
      <c r="AF7"/>
    </row>
    <row r="8" spans="1:32" s="2" customFormat="1" ht="15" customHeight="1">
      <c r="A8" s="739"/>
      <c r="B8" s="740"/>
      <c r="C8" s="741"/>
      <c r="D8" s="580" t="s">
        <v>20</v>
      </c>
      <c r="E8" s="581"/>
      <c r="F8" s="582"/>
      <c r="G8" s="196">
        <v>7.4000000000000003E-3</v>
      </c>
      <c r="H8" s="197">
        <v>4.3E-3</v>
      </c>
      <c r="I8" s="414">
        <v>3.8E-3</v>
      </c>
      <c r="J8" s="420">
        <v>1.0999999999999999E-2</v>
      </c>
      <c r="K8" s="411">
        <v>2.4E-2</v>
      </c>
      <c r="L8" s="419">
        <v>2E-3</v>
      </c>
      <c r="M8" s="198">
        <v>3.56E-2</v>
      </c>
      <c r="N8" s="203">
        <v>2.64E-2</v>
      </c>
      <c r="O8" s="204">
        <v>1.47E-2</v>
      </c>
      <c r="P8" s="199">
        <v>2.0999999999999999E-3</v>
      </c>
      <c r="Q8" s="200">
        <v>3.3E-3</v>
      </c>
      <c r="R8" s="204">
        <v>1.01E-2</v>
      </c>
      <c r="S8" s="596"/>
      <c r="T8"/>
      <c r="U8"/>
      <c r="V8"/>
      <c r="W8"/>
      <c r="X8"/>
      <c r="Y8"/>
      <c r="Z8"/>
      <c r="AA8"/>
      <c r="AB8"/>
      <c r="AC8"/>
      <c r="AD8"/>
      <c r="AE8"/>
      <c r="AF8"/>
    </row>
    <row r="9" spans="1:32" s="2" customFormat="1" ht="15" customHeight="1">
      <c r="A9" s="739"/>
      <c r="B9" s="740"/>
      <c r="C9" s="741"/>
      <c r="D9" s="580" t="s">
        <v>21</v>
      </c>
      <c r="E9" s="581"/>
      <c r="F9" s="582"/>
      <c r="G9" s="205">
        <v>1.01E-3</v>
      </c>
      <c r="H9" s="197">
        <v>1.2999999999999999E-3</v>
      </c>
      <c r="I9" s="414">
        <v>2.0999999999999999E-3</v>
      </c>
      <c r="J9" s="421">
        <v>1E-3</v>
      </c>
      <c r="K9" s="411">
        <v>2E-3</v>
      </c>
      <c r="L9" s="419">
        <v>5.0000000000000001E-3</v>
      </c>
      <c r="M9" s="198">
        <v>4.7000000000000002E-3</v>
      </c>
      <c r="N9" s="203">
        <v>2.7000000000000001E-3</v>
      </c>
      <c r="O9" s="204">
        <v>0</v>
      </c>
      <c r="P9" s="199">
        <v>4.0000000000000002E-4</v>
      </c>
      <c r="Q9" s="200">
        <v>2.5000000000000001E-3</v>
      </c>
      <c r="R9" s="204">
        <v>8.8000000000000005E-3</v>
      </c>
      <c r="S9" s="596"/>
      <c r="T9"/>
      <c r="U9"/>
      <c r="V9"/>
      <c r="W9"/>
      <c r="X9"/>
      <c r="Y9"/>
      <c r="Z9"/>
      <c r="AA9"/>
      <c r="AB9"/>
      <c r="AC9"/>
      <c r="AD9"/>
      <c r="AE9"/>
      <c r="AF9"/>
    </row>
    <row r="10" spans="1:32" s="211" customFormat="1" ht="22.5" customHeight="1" thickBot="1">
      <c r="A10" s="742"/>
      <c r="B10" s="743"/>
      <c r="C10" s="744"/>
      <c r="D10" s="573" t="s">
        <v>22</v>
      </c>
      <c r="E10" s="574"/>
      <c r="F10" s="575"/>
      <c r="G10" s="209">
        <v>0</v>
      </c>
      <c r="H10" s="210">
        <v>1.0000000000000001E-5</v>
      </c>
      <c r="I10" s="415">
        <v>1E-4</v>
      </c>
      <c r="J10" s="422">
        <v>0</v>
      </c>
      <c r="K10" s="412">
        <v>0</v>
      </c>
      <c r="L10" s="423">
        <v>0</v>
      </c>
      <c r="M10" s="278">
        <v>0</v>
      </c>
      <c r="N10" s="279">
        <v>0</v>
      </c>
      <c r="O10" s="280">
        <v>0</v>
      </c>
      <c r="P10" s="206">
        <v>0</v>
      </c>
      <c r="Q10" s="291">
        <v>0</v>
      </c>
      <c r="R10" s="380">
        <v>0</v>
      </c>
      <c r="S10" s="596"/>
      <c r="T10"/>
      <c r="U10"/>
      <c r="V10"/>
      <c r="W10"/>
      <c r="X10"/>
      <c r="Y10"/>
      <c r="Z10"/>
      <c r="AA10"/>
      <c r="AB10"/>
      <c r="AC10"/>
      <c r="AD10"/>
      <c r="AE10"/>
      <c r="AF10"/>
    </row>
    <row r="11" spans="1:32" ht="24.75" customHeight="1">
      <c r="A11" s="22" t="s">
        <v>174</v>
      </c>
      <c r="B11" s="16" t="s">
        <v>170</v>
      </c>
      <c r="C11" s="16" t="s">
        <v>175</v>
      </c>
      <c r="D11" s="820" t="s">
        <v>176</v>
      </c>
      <c r="E11" s="54" t="s">
        <v>173</v>
      </c>
      <c r="F11" s="213" t="s">
        <v>177</v>
      </c>
      <c r="G11" s="287">
        <v>2</v>
      </c>
      <c r="H11" s="289">
        <v>5</v>
      </c>
      <c r="I11" s="290">
        <v>7</v>
      </c>
      <c r="J11" s="285">
        <v>5</v>
      </c>
      <c r="K11" s="185">
        <v>12</v>
      </c>
      <c r="L11" s="186">
        <v>0</v>
      </c>
      <c r="M11" s="294">
        <v>3</v>
      </c>
      <c r="N11" s="185">
        <v>2</v>
      </c>
      <c r="O11" s="186">
        <v>0</v>
      </c>
      <c r="P11" s="173">
        <v>5</v>
      </c>
      <c r="Q11" s="174">
        <v>12</v>
      </c>
      <c r="R11" s="175">
        <v>0</v>
      </c>
      <c r="S11" s="623" t="s">
        <v>237</v>
      </c>
    </row>
    <row r="12" spans="1:32" ht="24.75" customHeight="1">
      <c r="A12" s="22"/>
      <c r="B12" s="16"/>
      <c r="C12" s="16"/>
      <c r="D12" s="821"/>
      <c r="E12" s="54"/>
      <c r="F12" s="214" t="s">
        <v>187</v>
      </c>
      <c r="G12" s="6">
        <v>2</v>
      </c>
      <c r="H12" s="44">
        <v>4</v>
      </c>
      <c r="I12" s="37">
        <v>0</v>
      </c>
      <c r="J12" s="6">
        <v>0</v>
      </c>
      <c r="K12" s="3">
        <v>2</v>
      </c>
      <c r="L12" s="37">
        <v>0</v>
      </c>
      <c r="M12" s="6">
        <v>0</v>
      </c>
      <c r="N12" s="3">
        <v>0</v>
      </c>
      <c r="O12" s="37">
        <v>0</v>
      </c>
      <c r="P12" s="288">
        <v>0</v>
      </c>
      <c r="Q12" s="4">
        <v>2</v>
      </c>
      <c r="R12" s="37">
        <v>0</v>
      </c>
      <c r="S12" s="623"/>
    </row>
    <row r="13" spans="1:32" s="5" customFormat="1" ht="24.75" customHeight="1" thickBot="1">
      <c r="A13" s="23"/>
      <c r="B13" s="24"/>
      <c r="C13" s="24"/>
      <c r="D13" s="822"/>
      <c r="E13" s="89"/>
      <c r="F13" s="215" t="s">
        <v>10</v>
      </c>
      <c r="G13" s="155">
        <f>G12/G11</f>
        <v>1</v>
      </c>
      <c r="H13" s="156">
        <f>H12/H11</f>
        <v>0.8</v>
      </c>
      <c r="I13" s="189">
        <v>0</v>
      </c>
      <c r="J13" s="155">
        <f>J12/J11</f>
        <v>0</v>
      </c>
      <c r="K13" s="156">
        <f>K12/K11</f>
        <v>0.16666666666666666</v>
      </c>
      <c r="L13" s="189">
        <v>0</v>
      </c>
      <c r="M13" s="155">
        <f>M12/M11</f>
        <v>0</v>
      </c>
      <c r="N13" s="156">
        <f>N12/N11</f>
        <v>0</v>
      </c>
      <c r="O13" s="189">
        <v>0</v>
      </c>
      <c r="P13" s="187">
        <v>0</v>
      </c>
      <c r="Q13" s="188">
        <f>Q12/Q11</f>
        <v>0.16666666666666666</v>
      </c>
      <c r="R13" s="189">
        <v>0</v>
      </c>
      <c r="S13" s="623"/>
      <c r="T13"/>
      <c r="U13"/>
      <c r="V13"/>
      <c r="W13"/>
      <c r="X13"/>
      <c r="Y13"/>
      <c r="Z13"/>
      <c r="AA13"/>
      <c r="AB13"/>
      <c r="AC13"/>
      <c r="AD13"/>
      <c r="AE13"/>
      <c r="AF13"/>
    </row>
    <row r="14" spans="1:32" ht="25.5" customHeight="1">
      <c r="A14" s="18" t="s">
        <v>178</v>
      </c>
      <c r="B14" s="19" t="s">
        <v>170</v>
      </c>
      <c r="C14" s="19" t="s">
        <v>175</v>
      </c>
      <c r="D14" s="820" t="s">
        <v>179</v>
      </c>
      <c r="E14" s="88" t="s">
        <v>173</v>
      </c>
      <c r="F14" s="27" t="s">
        <v>177</v>
      </c>
      <c r="G14" s="287">
        <v>2</v>
      </c>
      <c r="H14" s="289">
        <v>5</v>
      </c>
      <c r="I14" s="290">
        <v>7</v>
      </c>
      <c r="J14" s="286">
        <v>5</v>
      </c>
      <c r="K14" s="289">
        <v>12</v>
      </c>
      <c r="L14" s="290">
        <v>0</v>
      </c>
      <c r="M14" s="294">
        <v>3</v>
      </c>
      <c r="N14" s="185">
        <v>2</v>
      </c>
      <c r="O14" s="186">
        <v>0</v>
      </c>
      <c r="P14" s="173">
        <v>5</v>
      </c>
      <c r="Q14" s="174">
        <v>12</v>
      </c>
      <c r="R14" s="175">
        <v>0</v>
      </c>
      <c r="S14" s="623" t="s">
        <v>237</v>
      </c>
    </row>
    <row r="15" spans="1:32" ht="25.5" customHeight="1">
      <c r="A15" s="22"/>
      <c r="B15" s="16"/>
      <c r="C15" s="16"/>
      <c r="D15" s="821"/>
      <c r="E15" s="54"/>
      <c r="F15" s="216" t="s">
        <v>180</v>
      </c>
      <c r="G15" s="6">
        <v>2</v>
      </c>
      <c r="H15" s="44">
        <v>5</v>
      </c>
      <c r="I15" s="37">
        <v>0</v>
      </c>
      <c r="J15" s="6">
        <v>0</v>
      </c>
      <c r="K15" s="3">
        <v>2</v>
      </c>
      <c r="L15" s="37">
        <v>0</v>
      </c>
      <c r="M15" s="6">
        <v>0</v>
      </c>
      <c r="N15" s="3">
        <v>0</v>
      </c>
      <c r="O15" s="37">
        <v>0</v>
      </c>
      <c r="P15" s="6">
        <v>0</v>
      </c>
      <c r="Q15" s="3">
        <v>2</v>
      </c>
      <c r="R15" s="37">
        <v>0</v>
      </c>
      <c r="S15" s="623"/>
    </row>
    <row r="16" spans="1:32" s="5" customFormat="1" ht="25.5" customHeight="1" thickBot="1">
      <c r="A16" s="23"/>
      <c r="B16" s="24"/>
      <c r="C16" s="24"/>
      <c r="D16" s="25"/>
      <c r="E16" s="89"/>
      <c r="F16" s="26" t="s">
        <v>10</v>
      </c>
      <c r="G16" s="155">
        <f>G15/G14</f>
        <v>1</v>
      </c>
      <c r="H16" s="156">
        <f>H15/H14</f>
        <v>1</v>
      </c>
      <c r="I16" s="189">
        <v>0</v>
      </c>
      <c r="J16" s="155">
        <f>J15/J14</f>
        <v>0</v>
      </c>
      <c r="K16" s="156">
        <f>K15/K14</f>
        <v>0.16666666666666666</v>
      </c>
      <c r="L16" s="157">
        <v>0</v>
      </c>
      <c r="M16" s="155">
        <f>M15/M14</f>
        <v>0</v>
      </c>
      <c r="N16" s="156">
        <f>N15/N14</f>
        <v>0</v>
      </c>
      <c r="O16" s="189">
        <v>0</v>
      </c>
      <c r="P16" s="187">
        <v>0</v>
      </c>
      <c r="Q16" s="188">
        <f>Q15/Q14</f>
        <v>0.16666666666666666</v>
      </c>
      <c r="R16" s="189">
        <v>0</v>
      </c>
      <c r="S16" s="623"/>
      <c r="T16"/>
      <c r="U16"/>
      <c r="V16"/>
      <c r="W16"/>
      <c r="X16"/>
      <c r="Y16"/>
      <c r="Z16"/>
      <c r="AA16"/>
      <c r="AB16"/>
      <c r="AC16"/>
      <c r="AD16"/>
      <c r="AE16"/>
      <c r="AF16"/>
    </row>
    <row r="17" spans="1:32" s="5" customFormat="1" ht="36.75" customHeight="1">
      <c r="A17" s="30" t="s">
        <v>181</v>
      </c>
      <c r="B17" s="31" t="s">
        <v>170</v>
      </c>
      <c r="C17" s="31" t="s">
        <v>182</v>
      </c>
      <c r="D17" s="32" t="s">
        <v>183</v>
      </c>
      <c r="E17" s="90" t="s">
        <v>173</v>
      </c>
      <c r="F17" s="34" t="s">
        <v>248</v>
      </c>
      <c r="G17" s="384">
        <v>9914</v>
      </c>
      <c r="H17" s="10">
        <v>617</v>
      </c>
      <c r="I17" s="36">
        <v>786</v>
      </c>
      <c r="J17" s="295">
        <v>13301</v>
      </c>
      <c r="K17" s="10">
        <v>3851</v>
      </c>
      <c r="L17" s="36">
        <v>150</v>
      </c>
      <c r="M17" s="295">
        <v>3201</v>
      </c>
      <c r="N17" s="296">
        <v>168</v>
      </c>
      <c r="O17" s="36">
        <v>21</v>
      </c>
      <c r="P17" s="435">
        <v>1030</v>
      </c>
      <c r="Q17" s="10">
        <v>1225</v>
      </c>
      <c r="R17" s="36">
        <v>23</v>
      </c>
      <c r="S17" s="624"/>
      <c r="T17"/>
      <c r="U17"/>
      <c r="V17"/>
      <c r="W17"/>
      <c r="X17"/>
      <c r="Y17"/>
      <c r="Z17"/>
      <c r="AA17"/>
      <c r="AB17"/>
      <c r="AC17"/>
      <c r="AD17"/>
      <c r="AE17"/>
      <c r="AF17"/>
    </row>
    <row r="18" spans="1:32" s="5" customFormat="1" ht="24">
      <c r="A18" s="33"/>
      <c r="B18" s="28"/>
      <c r="C18" s="28"/>
      <c r="D18" s="29"/>
      <c r="E18" s="91"/>
      <c r="F18" s="35" t="s">
        <v>249</v>
      </c>
      <c r="G18" s="385">
        <v>734</v>
      </c>
      <c r="H18" s="44">
        <v>114</v>
      </c>
      <c r="I18" s="381">
        <v>66</v>
      </c>
      <c r="J18" s="239">
        <v>1278</v>
      </c>
      <c r="K18" s="44">
        <v>1</v>
      </c>
      <c r="L18" s="381">
        <v>2</v>
      </c>
      <c r="M18" s="239">
        <v>1187</v>
      </c>
      <c r="N18" s="44">
        <v>34</v>
      </c>
      <c r="O18" s="381">
        <v>3</v>
      </c>
      <c r="P18" s="239">
        <v>90</v>
      </c>
      <c r="Q18" s="44">
        <v>2</v>
      </c>
      <c r="R18" s="381">
        <v>0</v>
      </c>
      <c r="S18" s="624"/>
      <c r="T18"/>
      <c r="U18"/>
      <c r="V18"/>
      <c r="W18"/>
      <c r="X18"/>
      <c r="Y18"/>
      <c r="Z18"/>
      <c r="AA18"/>
      <c r="AB18"/>
      <c r="AC18"/>
      <c r="AD18"/>
      <c r="AE18"/>
      <c r="AF18"/>
    </row>
    <row r="19" spans="1:32" s="5" customFormat="1" ht="24.75" thickBot="1">
      <c r="A19" s="23"/>
      <c r="B19" s="24"/>
      <c r="C19" s="24"/>
      <c r="D19" s="25"/>
      <c r="E19" s="89"/>
      <c r="F19" s="26" t="s">
        <v>10</v>
      </c>
      <c r="G19" s="386">
        <f>G18/G17</f>
        <v>7.4036715755497279E-2</v>
      </c>
      <c r="H19" s="156">
        <f>H18/H17</f>
        <v>0.1847649918962723</v>
      </c>
      <c r="I19" s="387">
        <f>I18/I17</f>
        <v>8.3969465648854963E-2</v>
      </c>
      <c r="J19" s="155">
        <f t="shared" ref="J19:P19" si="0">J18/J17</f>
        <v>9.6083001278099392E-2</v>
      </c>
      <c r="K19" s="156">
        <f t="shared" si="0"/>
        <v>2.5967281225655674E-4</v>
      </c>
      <c r="L19" s="189">
        <f t="shared" si="0"/>
        <v>1.3333333333333334E-2</v>
      </c>
      <c r="M19" s="155">
        <f t="shared" si="0"/>
        <v>0.37082161824429866</v>
      </c>
      <c r="N19" s="156">
        <f t="shared" si="0"/>
        <v>0.20238095238095238</v>
      </c>
      <c r="O19" s="189">
        <f t="shared" si="0"/>
        <v>0.14285714285714285</v>
      </c>
      <c r="P19" s="155">
        <f t="shared" si="0"/>
        <v>8.7378640776699032E-2</v>
      </c>
      <c r="Q19" s="156">
        <f>Q18/Q17</f>
        <v>1.6326530612244899E-3</v>
      </c>
      <c r="R19" s="189">
        <f>R18/R17</f>
        <v>0</v>
      </c>
      <c r="S19" s="624"/>
      <c r="T19"/>
      <c r="U19"/>
      <c r="V19"/>
      <c r="W19"/>
      <c r="X19"/>
      <c r="Y19"/>
      <c r="Z19"/>
      <c r="AA19"/>
      <c r="AB19"/>
      <c r="AC19"/>
      <c r="AD19"/>
      <c r="AE19"/>
      <c r="AF19"/>
    </row>
    <row r="20" spans="1:32" s="7" customFormat="1" ht="48" customHeight="1">
      <c r="A20" s="30" t="s">
        <v>184</v>
      </c>
      <c r="B20" s="31" t="s">
        <v>170</v>
      </c>
      <c r="C20" s="31" t="s">
        <v>185</v>
      </c>
      <c r="D20" s="32" t="s">
        <v>186</v>
      </c>
      <c r="E20" s="90" t="s">
        <v>173</v>
      </c>
      <c r="F20" s="34" t="s">
        <v>250</v>
      </c>
      <c r="G20" s="384">
        <v>1055</v>
      </c>
      <c r="H20" s="10">
        <v>171</v>
      </c>
      <c r="I20" s="36">
        <v>804</v>
      </c>
      <c r="J20" s="435">
        <v>735</v>
      </c>
      <c r="K20" s="10">
        <v>163</v>
      </c>
      <c r="L20" s="36">
        <v>192</v>
      </c>
      <c r="M20" s="435">
        <v>499</v>
      </c>
      <c r="N20" s="10">
        <v>24</v>
      </c>
      <c r="O20" s="36">
        <v>0</v>
      </c>
      <c r="P20" s="435">
        <v>93</v>
      </c>
      <c r="Q20" s="10">
        <v>88</v>
      </c>
      <c r="R20" s="36">
        <v>16</v>
      </c>
      <c r="S20" s="835"/>
      <c r="T20"/>
      <c r="U20"/>
      <c r="V20"/>
      <c r="W20"/>
      <c r="X20"/>
      <c r="Y20"/>
      <c r="Z20"/>
      <c r="AA20"/>
      <c r="AB20"/>
      <c r="AC20"/>
      <c r="AD20"/>
      <c r="AE20"/>
      <c r="AF20"/>
    </row>
    <row r="21" spans="1:32" s="8" customFormat="1" ht="24">
      <c r="A21" s="33"/>
      <c r="B21" s="28"/>
      <c r="C21" s="163"/>
      <c r="D21" s="162"/>
      <c r="E21" s="91"/>
      <c r="F21" s="35" t="s">
        <v>249</v>
      </c>
      <c r="G21" s="436">
        <v>20</v>
      </c>
      <c r="H21" s="44">
        <v>12</v>
      </c>
      <c r="I21" s="381">
        <v>72</v>
      </c>
      <c r="J21" s="239">
        <v>2</v>
      </c>
      <c r="K21" s="44">
        <v>3</v>
      </c>
      <c r="L21" s="381">
        <v>0</v>
      </c>
      <c r="M21" s="239">
        <v>3</v>
      </c>
      <c r="N21" s="44">
        <v>0</v>
      </c>
      <c r="O21" s="381">
        <v>0</v>
      </c>
      <c r="P21" s="239">
        <v>2</v>
      </c>
      <c r="Q21" s="44">
        <v>6</v>
      </c>
      <c r="R21" s="381">
        <v>1</v>
      </c>
      <c r="S21" s="624"/>
      <c r="T21"/>
      <c r="U21"/>
      <c r="V21"/>
      <c r="W21"/>
      <c r="X21"/>
      <c r="Y21"/>
      <c r="Z21"/>
      <c r="AA21"/>
      <c r="AB21"/>
      <c r="AC21"/>
      <c r="AD21"/>
      <c r="AE21"/>
      <c r="AF21"/>
    </row>
    <row r="22" spans="1:32" ht="24.75" thickBot="1">
      <c r="A22" s="23"/>
      <c r="B22" s="24"/>
      <c r="C22" s="24"/>
      <c r="D22" s="25"/>
      <c r="E22" s="89"/>
      <c r="F22" s="26" t="s">
        <v>10</v>
      </c>
      <c r="G22" s="386">
        <f t="shared" ref="G22:L22" si="1">G21/G20</f>
        <v>1.8957345971563982E-2</v>
      </c>
      <c r="H22" s="156">
        <f t="shared" si="1"/>
        <v>7.0175438596491224E-2</v>
      </c>
      <c r="I22" s="387">
        <f t="shared" si="1"/>
        <v>8.9552238805970144E-2</v>
      </c>
      <c r="J22" s="155">
        <f t="shared" si="1"/>
        <v>2.7210884353741495E-3</v>
      </c>
      <c r="K22" s="156">
        <f t="shared" si="1"/>
        <v>1.8404907975460124E-2</v>
      </c>
      <c r="L22" s="189">
        <f t="shared" si="1"/>
        <v>0</v>
      </c>
      <c r="M22" s="155">
        <v>6.0000000000000001E-3</v>
      </c>
      <c r="N22" s="156">
        <v>0</v>
      </c>
      <c r="O22" s="189">
        <v>0</v>
      </c>
      <c r="P22" s="155">
        <f>P21/P20</f>
        <v>2.1505376344086023E-2</v>
      </c>
      <c r="Q22" s="156">
        <f>Q21/Q20</f>
        <v>6.8181818181818177E-2</v>
      </c>
      <c r="R22" s="189">
        <f>R21/R20</f>
        <v>6.25E-2</v>
      </c>
      <c r="S22" s="624"/>
    </row>
    <row r="23" spans="1:32" ht="15.75" thickBot="1">
      <c r="A23" s="82"/>
      <c r="B23" s="71"/>
      <c r="C23" s="71"/>
      <c r="D23" s="134"/>
      <c r="E23" s="121"/>
      <c r="F23" s="113"/>
      <c r="G23" s="114"/>
      <c r="H23" s="114"/>
      <c r="I23" s="135"/>
      <c r="J23" s="193"/>
      <c r="K23" s="194"/>
      <c r="L23" s="195"/>
      <c r="M23" s="194"/>
      <c r="N23" s="71"/>
      <c r="O23" s="195"/>
      <c r="P23" s="114"/>
      <c r="Q23" s="121"/>
      <c r="R23" s="113"/>
      <c r="S23" s="395"/>
    </row>
    <row r="24" spans="1:32" ht="35.25" customHeight="1">
      <c r="A24" s="18" t="s">
        <v>189</v>
      </c>
      <c r="B24" s="19" t="s">
        <v>190</v>
      </c>
      <c r="C24" s="19" t="s">
        <v>191</v>
      </c>
      <c r="D24" s="20" t="s">
        <v>192</v>
      </c>
      <c r="E24" s="112" t="s">
        <v>173</v>
      </c>
      <c r="F24" s="190" t="s">
        <v>23</v>
      </c>
      <c r="G24" s="823">
        <v>4117</v>
      </c>
      <c r="H24" s="824"/>
      <c r="I24" s="825"/>
      <c r="J24" s="577">
        <v>38232</v>
      </c>
      <c r="K24" s="578"/>
      <c r="L24" s="579"/>
      <c r="M24" s="826">
        <v>1620</v>
      </c>
      <c r="N24" s="827"/>
      <c r="O24" s="828"/>
      <c r="P24" s="829" t="s">
        <v>193</v>
      </c>
      <c r="Q24" s="830"/>
      <c r="R24" s="831"/>
      <c r="S24" s="622"/>
    </row>
    <row r="25" spans="1:32" ht="40.5" customHeight="1">
      <c r="A25" s="22"/>
      <c r="B25" s="16"/>
      <c r="C25" s="16"/>
      <c r="D25" s="17"/>
      <c r="E25" s="53"/>
      <c r="F25" s="271" t="s">
        <v>24</v>
      </c>
      <c r="G25" s="641">
        <v>665</v>
      </c>
      <c r="H25" s="713"/>
      <c r="I25" s="714"/>
      <c r="J25" s="641">
        <v>260</v>
      </c>
      <c r="K25" s="713"/>
      <c r="L25" s="714"/>
      <c r="M25" s="797">
        <v>48</v>
      </c>
      <c r="N25" s="798"/>
      <c r="O25" s="799"/>
      <c r="P25" s="836" t="s">
        <v>193</v>
      </c>
      <c r="Q25" s="837"/>
      <c r="R25" s="838"/>
      <c r="S25" s="528"/>
    </row>
    <row r="26" spans="1:32" ht="35.25" customHeight="1" thickBot="1">
      <c r="A26" s="266" t="s">
        <v>194</v>
      </c>
      <c r="B26" s="270" t="s">
        <v>190</v>
      </c>
      <c r="C26" s="270" t="s">
        <v>191</v>
      </c>
      <c r="D26" s="272" t="s">
        <v>195</v>
      </c>
      <c r="E26" s="119" t="s">
        <v>173</v>
      </c>
      <c r="F26" s="119"/>
      <c r="G26" s="635">
        <f>G25/G24</f>
        <v>0.16152538256011659</v>
      </c>
      <c r="H26" s="781"/>
      <c r="I26" s="782"/>
      <c r="J26" s="786">
        <f>J25/J24</f>
        <v>6.8005858966310945E-3</v>
      </c>
      <c r="K26" s="636"/>
      <c r="L26" s="637"/>
      <c r="M26" s="635">
        <f>M25/M24</f>
        <v>2.9629629629629631E-2</v>
      </c>
      <c r="N26" s="636"/>
      <c r="O26" s="637"/>
      <c r="P26" s="839" t="s">
        <v>193</v>
      </c>
      <c r="Q26" s="840"/>
      <c r="R26" s="841"/>
      <c r="S26" s="396"/>
    </row>
    <row r="27" spans="1:32" ht="35.25" customHeight="1">
      <c r="A27" s="110" t="s">
        <v>196</v>
      </c>
      <c r="B27" s="10" t="s">
        <v>190</v>
      </c>
      <c r="C27" s="10" t="s">
        <v>191</v>
      </c>
      <c r="D27" s="245" t="s">
        <v>198</v>
      </c>
      <c r="E27" s="244" t="s">
        <v>173</v>
      </c>
      <c r="F27" s="244"/>
      <c r="G27" s="783">
        <v>1188</v>
      </c>
      <c r="H27" s="784"/>
      <c r="I27" s="785"/>
      <c r="J27" s="577">
        <v>13630</v>
      </c>
      <c r="K27" s="578"/>
      <c r="L27" s="579"/>
      <c r="M27" s="745">
        <v>436</v>
      </c>
      <c r="N27" s="746"/>
      <c r="O27" s="747"/>
      <c r="P27" s="794" t="s">
        <v>193</v>
      </c>
      <c r="Q27" s="795"/>
      <c r="R27" s="796"/>
      <c r="S27" s="396"/>
    </row>
    <row r="28" spans="1:32" ht="35.25" customHeight="1" thickBot="1">
      <c r="A28" s="266" t="s">
        <v>199</v>
      </c>
      <c r="B28" s="267" t="s">
        <v>190</v>
      </c>
      <c r="C28" s="267" t="s">
        <v>191</v>
      </c>
      <c r="D28" s="268" t="s">
        <v>200</v>
      </c>
      <c r="E28" s="269" t="s">
        <v>173</v>
      </c>
      <c r="F28" s="269"/>
      <c r="G28" s="635">
        <f>G27/G24</f>
        <v>0.28855963079912555</v>
      </c>
      <c r="H28" s="781"/>
      <c r="I28" s="782"/>
      <c r="J28" s="786">
        <f>J27/J24</f>
        <v>0.35650763758108389</v>
      </c>
      <c r="K28" s="636"/>
      <c r="L28" s="637"/>
      <c r="M28" s="635">
        <f>M27/M24</f>
        <v>0.26913580246913582</v>
      </c>
      <c r="N28" s="636"/>
      <c r="O28" s="637"/>
      <c r="P28" s="839" t="s">
        <v>193</v>
      </c>
      <c r="Q28" s="840"/>
      <c r="R28" s="841"/>
      <c r="S28" s="397"/>
    </row>
    <row r="29" spans="1:32" ht="15.75" thickBot="1">
      <c r="A29" s="78"/>
      <c r="B29" s="117"/>
      <c r="C29" s="117"/>
      <c r="D29" s="178"/>
      <c r="E29" s="116"/>
      <c r="F29" s="116"/>
      <c r="G29" s="115"/>
      <c r="H29" s="117"/>
      <c r="I29" s="261"/>
      <c r="J29" s="62"/>
      <c r="K29" s="262"/>
      <c r="L29" s="263"/>
      <c r="M29" s="264"/>
      <c r="N29" s="262"/>
      <c r="O29" s="265"/>
      <c r="P29" s="305"/>
      <c r="Q29" s="104"/>
      <c r="R29" s="306"/>
      <c r="S29" s="398"/>
    </row>
    <row r="30" spans="1:32" ht="37.5">
      <c r="A30" s="6" t="s">
        <v>201</v>
      </c>
      <c r="B30" s="3" t="s">
        <v>202</v>
      </c>
      <c r="C30" s="3" t="s">
        <v>203</v>
      </c>
      <c r="D30" s="47" t="s">
        <v>97</v>
      </c>
      <c r="E30" s="4" t="s">
        <v>173</v>
      </c>
      <c r="F30" s="217" t="s">
        <v>225</v>
      </c>
      <c r="G30" s="750">
        <v>539</v>
      </c>
      <c r="H30" s="630"/>
      <c r="I30" s="751"/>
      <c r="J30" s="629">
        <v>959</v>
      </c>
      <c r="K30" s="630"/>
      <c r="L30" s="631"/>
      <c r="M30" s="777">
        <v>272</v>
      </c>
      <c r="N30" s="778"/>
      <c r="O30" s="779"/>
      <c r="P30" s="814">
        <v>331</v>
      </c>
      <c r="Q30" s="815"/>
      <c r="R30" s="816"/>
      <c r="S30" s="595"/>
    </row>
    <row r="31" spans="1:32">
      <c r="A31" s="583"/>
      <c r="B31" s="584"/>
      <c r="C31" s="584"/>
      <c r="D31" s="585"/>
      <c r="E31" s="563"/>
      <c r="F31" s="218" t="s">
        <v>9</v>
      </c>
      <c r="G31" s="780">
        <v>68</v>
      </c>
      <c r="H31" s="530"/>
      <c r="I31" s="531"/>
      <c r="J31" s="576">
        <v>19</v>
      </c>
      <c r="K31" s="530"/>
      <c r="L31" s="531"/>
      <c r="M31" s="780">
        <v>13</v>
      </c>
      <c r="N31" s="530"/>
      <c r="O31" s="530"/>
      <c r="P31" s="576">
        <v>31</v>
      </c>
      <c r="Q31" s="530"/>
      <c r="R31" s="531"/>
      <c r="S31" s="596"/>
    </row>
    <row r="32" spans="1:32">
      <c r="A32" s="586"/>
      <c r="B32" s="587"/>
      <c r="C32" s="587"/>
      <c r="D32" s="588"/>
      <c r="E32" s="598"/>
      <c r="F32" s="218" t="s">
        <v>8</v>
      </c>
      <c r="G32" s="780">
        <v>297</v>
      </c>
      <c r="H32" s="530"/>
      <c r="I32" s="531"/>
      <c r="J32" s="576">
        <v>810</v>
      </c>
      <c r="K32" s="530"/>
      <c r="L32" s="531"/>
      <c r="M32" s="780">
        <v>235</v>
      </c>
      <c r="N32" s="530"/>
      <c r="O32" s="530"/>
      <c r="P32" s="576">
        <v>56</v>
      </c>
      <c r="Q32" s="530"/>
      <c r="R32" s="531"/>
      <c r="S32" s="596"/>
    </row>
    <row r="33" spans="1:19">
      <c r="A33" s="586"/>
      <c r="B33" s="587"/>
      <c r="C33" s="587"/>
      <c r="D33" s="588"/>
      <c r="E33" s="598"/>
      <c r="F33" s="218" t="s">
        <v>197</v>
      </c>
      <c r="G33" s="780">
        <v>174</v>
      </c>
      <c r="H33" s="530"/>
      <c r="I33" s="531"/>
      <c r="J33" s="576">
        <v>127</v>
      </c>
      <c r="K33" s="530"/>
      <c r="L33" s="531"/>
      <c r="M33" s="576">
        <v>24</v>
      </c>
      <c r="N33" s="606"/>
      <c r="O33" s="606"/>
      <c r="P33" s="576">
        <v>244</v>
      </c>
      <c r="Q33" s="530"/>
      <c r="R33" s="531"/>
      <c r="S33" s="596"/>
    </row>
    <row r="34" spans="1:19" ht="15" customHeight="1">
      <c r="A34" s="589"/>
      <c r="B34" s="590"/>
      <c r="C34" s="590"/>
      <c r="D34" s="591"/>
      <c r="E34" s="546"/>
      <c r="F34" s="218" t="s">
        <v>175</v>
      </c>
      <c r="G34" s="576">
        <v>0</v>
      </c>
      <c r="H34" s="606"/>
      <c r="I34" s="608"/>
      <c r="J34" s="576">
        <v>3</v>
      </c>
      <c r="K34" s="606"/>
      <c r="L34" s="608"/>
      <c r="M34" s="748">
        <v>0</v>
      </c>
      <c r="N34" s="749"/>
      <c r="O34" s="749"/>
      <c r="P34" s="576">
        <v>0</v>
      </c>
      <c r="Q34" s="606"/>
      <c r="R34" s="608"/>
      <c r="S34" s="596"/>
    </row>
    <row r="35" spans="1:19" ht="40.5" customHeight="1">
      <c r="A35" s="147" t="s">
        <v>98</v>
      </c>
      <c r="B35" s="49" t="s">
        <v>202</v>
      </c>
      <c r="C35" s="49" t="s">
        <v>203</v>
      </c>
      <c r="D35" s="50" t="s">
        <v>99</v>
      </c>
      <c r="E35" s="51" t="s">
        <v>173</v>
      </c>
      <c r="F35" s="219" t="s">
        <v>226</v>
      </c>
      <c r="G35" s="718">
        <f>G30/598</f>
        <v>0.90133779264214042</v>
      </c>
      <c r="H35" s="719"/>
      <c r="I35" s="720"/>
      <c r="J35" s="718">
        <f>959/1396</f>
        <v>0.68696275071633239</v>
      </c>
      <c r="K35" s="719"/>
      <c r="L35" s="720"/>
      <c r="M35" s="842">
        <f>272/517</f>
        <v>0.52611218568665374</v>
      </c>
      <c r="N35" s="843"/>
      <c r="O35" s="844"/>
      <c r="P35" s="718">
        <f>331/475</f>
        <v>0.69684210526315793</v>
      </c>
      <c r="Q35" s="719"/>
      <c r="R35" s="720"/>
      <c r="S35" s="619"/>
    </row>
    <row r="36" spans="1:19" ht="15.75" customHeight="1">
      <c r="A36" s="721"/>
      <c r="B36" s="722"/>
      <c r="C36" s="722"/>
      <c r="D36" s="723"/>
      <c r="E36" s="632"/>
      <c r="F36" s="220" t="s">
        <v>9</v>
      </c>
      <c r="G36" s="607">
        <f>G31/97</f>
        <v>0.7010309278350515</v>
      </c>
      <c r="H36" s="627"/>
      <c r="I36" s="628"/>
      <c r="J36" s="607">
        <f>J31/116</f>
        <v>0.16379310344827586</v>
      </c>
      <c r="K36" s="627"/>
      <c r="L36" s="628"/>
      <c r="M36" s="607">
        <f>M31/45</f>
        <v>0.28888888888888886</v>
      </c>
      <c r="N36" s="627"/>
      <c r="O36" s="627"/>
      <c r="P36" s="607">
        <f>P31/67</f>
        <v>0.46268656716417911</v>
      </c>
      <c r="Q36" s="627"/>
      <c r="R36" s="628"/>
      <c r="S36" s="620"/>
    </row>
    <row r="37" spans="1:19" ht="15.75" customHeight="1">
      <c r="A37" s="724"/>
      <c r="B37" s="725"/>
      <c r="C37" s="725"/>
      <c r="D37" s="726"/>
      <c r="E37" s="633"/>
      <c r="F37" s="220" t="s">
        <v>8</v>
      </c>
      <c r="G37" s="607">
        <f>G32/321</f>
        <v>0.92523364485981308</v>
      </c>
      <c r="H37" s="627"/>
      <c r="I37" s="628"/>
      <c r="J37" s="607">
        <f>J32/1117</f>
        <v>0.72515666965085046</v>
      </c>
      <c r="K37" s="627"/>
      <c r="L37" s="628"/>
      <c r="M37" s="607">
        <f>M32/437</f>
        <v>0.53775743707093826</v>
      </c>
      <c r="N37" s="627"/>
      <c r="O37" s="627"/>
      <c r="P37" s="607">
        <f>P32/88</f>
        <v>0.63636363636363635</v>
      </c>
      <c r="Q37" s="627"/>
      <c r="R37" s="628"/>
      <c r="S37" s="620"/>
    </row>
    <row r="38" spans="1:19" ht="15.75" customHeight="1">
      <c r="A38" s="724"/>
      <c r="B38" s="725"/>
      <c r="C38" s="725"/>
      <c r="D38" s="726"/>
      <c r="E38" s="633"/>
      <c r="F38" s="220" t="s">
        <v>197</v>
      </c>
      <c r="G38" s="532">
        <f>G33/179</f>
        <v>0.97206703910614523</v>
      </c>
      <c r="H38" s="625"/>
      <c r="I38" s="626"/>
      <c r="J38" s="532">
        <f>127/152</f>
        <v>0.83552631578947367</v>
      </c>
      <c r="K38" s="625"/>
      <c r="L38" s="626"/>
      <c r="M38" s="532">
        <f>M33/35</f>
        <v>0.68571428571428572</v>
      </c>
      <c r="N38" s="625"/>
      <c r="O38" s="625"/>
      <c r="P38" s="532">
        <f>P33/320</f>
        <v>0.76249999999999996</v>
      </c>
      <c r="Q38" s="625"/>
      <c r="R38" s="626"/>
      <c r="S38" s="620"/>
    </row>
    <row r="39" spans="1:19" ht="15.75" customHeight="1" thickBot="1">
      <c r="A39" s="727"/>
      <c r="B39" s="728"/>
      <c r="C39" s="728"/>
      <c r="D39" s="729"/>
      <c r="E39" s="634"/>
      <c r="F39" s="220" t="s">
        <v>175</v>
      </c>
      <c r="G39" s="532">
        <f>0/1</f>
        <v>0</v>
      </c>
      <c r="H39" s="625"/>
      <c r="I39" s="626"/>
      <c r="J39" s="532">
        <f>3/11</f>
        <v>0.27272727272727271</v>
      </c>
      <c r="K39" s="625"/>
      <c r="L39" s="626"/>
      <c r="M39" s="532">
        <v>0</v>
      </c>
      <c r="N39" s="625"/>
      <c r="O39" s="625"/>
      <c r="P39" s="515">
        <v>0</v>
      </c>
      <c r="Q39" s="672"/>
      <c r="R39" s="673"/>
      <c r="S39" s="621"/>
    </row>
    <row r="40" spans="1:19" ht="15.75" thickBot="1">
      <c r="A40" s="77"/>
      <c r="B40" s="39"/>
      <c r="C40" s="39"/>
      <c r="D40" s="40"/>
      <c r="E40" s="41"/>
      <c r="F40" s="41"/>
      <c r="G40" s="43"/>
      <c r="H40" s="39"/>
      <c r="I40" s="92"/>
      <c r="J40" s="43"/>
      <c r="K40" s="39"/>
      <c r="L40" s="41"/>
      <c r="M40" s="77"/>
      <c r="N40" s="39"/>
      <c r="O40" s="41"/>
      <c r="P40" s="307"/>
      <c r="Q40" s="298"/>
      <c r="R40" s="306"/>
      <c r="S40" s="395"/>
    </row>
    <row r="41" spans="1:19" ht="48.75" thickBot="1">
      <c r="A41" s="125" t="s">
        <v>100</v>
      </c>
      <c r="B41" s="137" t="s">
        <v>101</v>
      </c>
      <c r="C41" s="137" t="s">
        <v>102</v>
      </c>
      <c r="D41" s="138" t="s">
        <v>103</v>
      </c>
      <c r="E41" s="139" t="s">
        <v>173</v>
      </c>
      <c r="F41" s="139"/>
      <c r="G41" s="669">
        <v>3.6799999999999999E-2</v>
      </c>
      <c r="H41" s="670"/>
      <c r="I41" s="671"/>
      <c r="J41" s="753">
        <v>0.46500000000000002</v>
      </c>
      <c r="K41" s="670"/>
      <c r="L41" s="754"/>
      <c r="M41" s="669">
        <v>0.15</v>
      </c>
      <c r="N41" s="670"/>
      <c r="O41" s="754"/>
      <c r="P41" s="736">
        <v>0.497</v>
      </c>
      <c r="Q41" s="734"/>
      <c r="R41" s="738"/>
      <c r="S41" s="456" t="s">
        <v>256</v>
      </c>
    </row>
    <row r="42" spans="1:19" ht="39.75" thickBot="1">
      <c r="A42" s="131" t="s">
        <v>104</v>
      </c>
      <c r="B42" s="132" t="s">
        <v>101</v>
      </c>
      <c r="C42" s="132" t="s">
        <v>102</v>
      </c>
      <c r="D42" s="133" t="s">
        <v>105</v>
      </c>
      <c r="E42" s="192" t="s">
        <v>173</v>
      </c>
      <c r="F42" s="192"/>
      <c r="G42" s="737">
        <v>0.46800000000000003</v>
      </c>
      <c r="H42" s="755"/>
      <c r="I42" s="756"/>
      <c r="J42" s="733">
        <v>0.41199999999999998</v>
      </c>
      <c r="K42" s="734"/>
      <c r="L42" s="735"/>
      <c r="M42" s="736">
        <v>0.28999999999999998</v>
      </c>
      <c r="N42" s="734"/>
      <c r="O42" s="735"/>
      <c r="P42" s="736">
        <v>0.17</v>
      </c>
      <c r="Q42" s="734"/>
      <c r="R42" s="738"/>
      <c r="S42" s="397"/>
    </row>
    <row r="43" spans="1:19" ht="54" customHeight="1" thickBot="1">
      <c r="A43" s="131" t="s">
        <v>106</v>
      </c>
      <c r="B43" s="132" t="s">
        <v>101</v>
      </c>
      <c r="C43" s="132" t="s">
        <v>107</v>
      </c>
      <c r="D43" s="133" t="s">
        <v>108</v>
      </c>
      <c r="E43" s="192" t="s">
        <v>173</v>
      </c>
      <c r="F43" s="192"/>
      <c r="G43" s="737">
        <v>0.65600000000000003</v>
      </c>
      <c r="H43" s="734"/>
      <c r="I43" s="738"/>
      <c r="J43" s="752">
        <v>1.0999999999999999E-2</v>
      </c>
      <c r="K43" s="734"/>
      <c r="L43" s="735"/>
      <c r="M43" s="737">
        <v>0.58499999999999996</v>
      </c>
      <c r="N43" s="734"/>
      <c r="O43" s="735"/>
      <c r="P43" s="794" t="s">
        <v>193</v>
      </c>
      <c r="Q43" s="795"/>
      <c r="R43" s="796"/>
      <c r="S43" s="399" t="s">
        <v>247</v>
      </c>
    </row>
    <row r="44" spans="1:19" ht="36">
      <c r="A44" s="18" t="s">
        <v>109</v>
      </c>
      <c r="B44" s="19" t="s">
        <v>101</v>
      </c>
      <c r="C44" s="19" t="s">
        <v>110</v>
      </c>
      <c r="D44" s="20" t="s">
        <v>111</v>
      </c>
      <c r="E44" s="19" t="s">
        <v>173</v>
      </c>
      <c r="F44" s="15"/>
      <c r="G44" s="730" t="s">
        <v>259</v>
      </c>
      <c r="H44" s="731"/>
      <c r="I44" s="731"/>
      <c r="J44" s="731"/>
      <c r="K44" s="731"/>
      <c r="L44" s="731"/>
      <c r="M44" s="731"/>
      <c r="N44" s="731"/>
      <c r="O44" s="732"/>
      <c r="P44" s="794" t="s">
        <v>193</v>
      </c>
      <c r="Q44" s="795"/>
      <c r="R44" s="796"/>
      <c r="S44" s="600"/>
    </row>
    <row r="45" spans="1:19" ht="36" customHeight="1">
      <c r="A45" s="560"/>
      <c r="B45" s="598"/>
      <c r="C45" s="598"/>
      <c r="D45" s="598"/>
      <c r="E45" s="598"/>
      <c r="F45" s="176" t="s">
        <v>32</v>
      </c>
      <c r="G45" s="545">
        <v>14</v>
      </c>
      <c r="H45" s="674"/>
      <c r="I45" s="679"/>
      <c r="J45" s="556">
        <v>5</v>
      </c>
      <c r="K45" s="674"/>
      <c r="L45" s="675"/>
      <c r="M45" s="545">
        <v>4</v>
      </c>
      <c r="N45" s="674"/>
      <c r="O45" s="675"/>
      <c r="P45" s="805" t="s">
        <v>193</v>
      </c>
      <c r="Q45" s="806"/>
      <c r="R45" s="807"/>
      <c r="S45" s="600"/>
    </row>
    <row r="46" spans="1:19" ht="28.5" customHeight="1" thickBot="1">
      <c r="A46" s="640"/>
      <c r="B46" s="599"/>
      <c r="C46" s="599"/>
      <c r="D46" s="599"/>
      <c r="E46" s="599"/>
      <c r="F46" s="109" t="s">
        <v>37</v>
      </c>
      <c r="G46" s="676">
        <v>351</v>
      </c>
      <c r="H46" s="677"/>
      <c r="I46" s="678"/>
      <c r="J46" s="524">
        <v>171</v>
      </c>
      <c r="K46" s="660"/>
      <c r="L46" s="661"/>
      <c r="M46" s="524">
        <v>43</v>
      </c>
      <c r="N46" s="660"/>
      <c r="O46" s="661"/>
      <c r="P46" s="803" t="s">
        <v>193</v>
      </c>
      <c r="Q46" s="804"/>
      <c r="R46" s="804"/>
      <c r="S46" s="601"/>
    </row>
    <row r="47" spans="1:19" ht="36.75" thickBot="1">
      <c r="A47" s="131" t="s">
        <v>112</v>
      </c>
      <c r="B47" s="132" t="s">
        <v>101</v>
      </c>
      <c r="C47" s="132" t="s">
        <v>110</v>
      </c>
      <c r="D47" s="133" t="s">
        <v>113</v>
      </c>
      <c r="E47" s="192" t="s">
        <v>173</v>
      </c>
      <c r="F47" s="192"/>
      <c r="G47" s="666">
        <v>351</v>
      </c>
      <c r="H47" s="667"/>
      <c r="I47" s="668"/>
      <c r="J47" s="680">
        <v>171</v>
      </c>
      <c r="K47" s="681"/>
      <c r="L47" s="682"/>
      <c r="M47" s="666">
        <v>43</v>
      </c>
      <c r="N47" s="681"/>
      <c r="O47" s="682"/>
      <c r="P47" s="800" t="s">
        <v>193</v>
      </c>
      <c r="Q47" s="801"/>
      <c r="R47" s="802"/>
      <c r="S47" s="441"/>
    </row>
    <row r="48" spans="1:19" ht="48" customHeight="1">
      <c r="A48" s="110" t="s">
        <v>114</v>
      </c>
      <c r="B48" s="21" t="s">
        <v>101</v>
      </c>
      <c r="C48" s="21" t="s">
        <v>115</v>
      </c>
      <c r="D48" s="111" t="s">
        <v>116</v>
      </c>
      <c r="E48" s="21" t="s">
        <v>173</v>
      </c>
      <c r="F48" s="477"/>
      <c r="G48" s="457" t="s">
        <v>3</v>
      </c>
      <c r="H48" s="167" t="s">
        <v>2</v>
      </c>
      <c r="I48" s="27" t="s">
        <v>1</v>
      </c>
      <c r="J48" s="168" t="s">
        <v>3</v>
      </c>
      <c r="K48" s="167" t="s">
        <v>2</v>
      </c>
      <c r="L48" s="27" t="s">
        <v>1</v>
      </c>
      <c r="M48" s="457" t="s">
        <v>3</v>
      </c>
      <c r="N48" s="167" t="s">
        <v>2</v>
      </c>
      <c r="O48" s="27" t="s">
        <v>1</v>
      </c>
      <c r="P48" s="501" t="s">
        <v>193</v>
      </c>
      <c r="Q48" s="501"/>
      <c r="R48" s="501"/>
      <c r="S48" s="602" t="s">
        <v>267</v>
      </c>
    </row>
    <row r="49" spans="1:32" ht="13.5" customHeight="1" thickBot="1">
      <c r="A49" s="518"/>
      <c r="B49" s="519"/>
      <c r="C49" s="519"/>
      <c r="D49" s="520"/>
      <c r="E49" s="504"/>
      <c r="F49" s="217" t="s">
        <v>4</v>
      </c>
      <c r="G49" s="478">
        <v>0.29499999999999998</v>
      </c>
      <c r="H49" s="361">
        <v>0.26300000000000001</v>
      </c>
      <c r="I49" s="472">
        <v>0.26300000000000001</v>
      </c>
      <c r="J49" s="496">
        <v>0.40892076778187869</v>
      </c>
      <c r="K49" s="491">
        <v>0.41436575022939681</v>
      </c>
      <c r="L49" s="497">
        <v>0.41096408155619046</v>
      </c>
      <c r="M49" s="458">
        <v>0.58799999999999997</v>
      </c>
      <c r="N49" s="459">
        <v>0.19600000000000001</v>
      </c>
      <c r="O49" s="460">
        <v>0.16900000000000001</v>
      </c>
      <c r="P49" s="502"/>
      <c r="Q49" s="502"/>
      <c r="R49" s="502"/>
      <c r="S49" s="603"/>
    </row>
    <row r="50" spans="1:32" ht="13.5" customHeight="1">
      <c r="A50" s="518"/>
      <c r="B50" s="519"/>
      <c r="C50" s="519"/>
      <c r="D50" s="520"/>
      <c r="E50" s="504"/>
      <c r="F50" s="480" t="s">
        <v>38</v>
      </c>
      <c r="G50" s="484">
        <v>0.57999999999999996</v>
      </c>
      <c r="H50" s="221">
        <v>0.60599999999999998</v>
      </c>
      <c r="I50" s="485">
        <v>0.60599999999999998</v>
      </c>
      <c r="J50" s="494">
        <v>0.18661728979872344</v>
      </c>
      <c r="K50" s="495">
        <v>0.21654614717854367</v>
      </c>
      <c r="L50" s="498">
        <v>0.21818189223515702</v>
      </c>
      <c r="M50" s="461">
        <v>3.5999999999999997E-2</v>
      </c>
      <c r="N50" s="462">
        <v>0.20699999999999999</v>
      </c>
      <c r="O50" s="463">
        <v>0.29599999999999999</v>
      </c>
      <c r="P50" s="502"/>
      <c r="Q50" s="502"/>
      <c r="R50" s="502"/>
      <c r="S50" s="537"/>
    </row>
    <row r="51" spans="1:32" ht="13.5" customHeight="1">
      <c r="A51" s="518"/>
      <c r="B51" s="519"/>
      <c r="C51" s="519"/>
      <c r="D51" s="520"/>
      <c r="E51" s="504"/>
      <c r="F51" s="480" t="s">
        <v>39</v>
      </c>
      <c r="G51" s="484">
        <v>0.11</v>
      </c>
      <c r="H51" s="221">
        <v>0.14099999999999999</v>
      </c>
      <c r="I51" s="485">
        <v>0.14099999999999999</v>
      </c>
      <c r="J51" s="494">
        <v>6.1353055116050888E-3</v>
      </c>
      <c r="K51" s="495">
        <v>3.8185316825392456E-3</v>
      </c>
      <c r="L51" s="498">
        <v>4.1074742793850358E-3</v>
      </c>
      <c r="M51" s="461">
        <v>2.4E-2</v>
      </c>
      <c r="N51" s="462">
        <v>0.14499999999999999</v>
      </c>
      <c r="O51" s="463">
        <v>0.16</v>
      </c>
      <c r="P51" s="502"/>
      <c r="Q51" s="502"/>
      <c r="R51" s="502"/>
      <c r="S51" s="538"/>
    </row>
    <row r="52" spans="1:32" ht="15" customHeight="1">
      <c r="A52" s="518"/>
      <c r="B52" s="519"/>
      <c r="C52" s="519"/>
      <c r="D52" s="520"/>
      <c r="E52" s="504"/>
      <c r="F52" s="480" t="s">
        <v>40</v>
      </c>
      <c r="G52" s="486">
        <v>0</v>
      </c>
      <c r="H52" s="388">
        <v>0</v>
      </c>
      <c r="I52" s="487">
        <v>0</v>
      </c>
      <c r="J52" s="494">
        <v>1.8627598319447138E-2</v>
      </c>
      <c r="K52" s="495">
        <v>2.0186999264240911E-2</v>
      </c>
      <c r="L52" s="498">
        <v>2.137597205588827E-2</v>
      </c>
      <c r="M52" s="461">
        <v>1E-3</v>
      </c>
      <c r="N52" s="462">
        <v>5.0000000000000001E-3</v>
      </c>
      <c r="O52" s="463">
        <v>6.0000000000000001E-3</v>
      </c>
      <c r="P52" s="502"/>
      <c r="Q52" s="502"/>
      <c r="R52" s="502"/>
      <c r="S52" s="538"/>
    </row>
    <row r="53" spans="1:32" ht="15.75" customHeight="1">
      <c r="A53" s="518"/>
      <c r="B53" s="519"/>
      <c r="C53" s="519"/>
      <c r="D53" s="520"/>
      <c r="E53" s="504"/>
      <c r="F53" s="480" t="s">
        <v>26</v>
      </c>
      <c r="G53" s="484">
        <v>0.29699999999999999</v>
      </c>
      <c r="H53" s="221">
        <v>0.23899999999999999</v>
      </c>
      <c r="I53" s="485">
        <v>0.23899999999999999</v>
      </c>
      <c r="J53" s="493">
        <v>0.15934298125313512</v>
      </c>
      <c r="K53" s="492">
        <v>0.14743416490367181</v>
      </c>
      <c r="L53" s="499">
        <v>0.14959810708525895</v>
      </c>
      <c r="M53" s="464">
        <v>8.1000000000000003E-2</v>
      </c>
      <c r="N53" s="465">
        <v>0.35299999999999998</v>
      </c>
      <c r="O53" s="466">
        <v>0.41599999999999998</v>
      </c>
      <c r="P53" s="502"/>
      <c r="Q53" s="502"/>
      <c r="R53" s="502"/>
      <c r="S53" s="539"/>
    </row>
    <row r="54" spans="1:32" ht="23.25" customHeight="1">
      <c r="A54" s="518"/>
      <c r="B54" s="519"/>
      <c r="C54" s="519"/>
      <c r="D54" s="520"/>
      <c r="E54" s="504"/>
      <c r="F54" s="481" t="s">
        <v>27</v>
      </c>
      <c r="G54" s="484">
        <v>0.01</v>
      </c>
      <c r="H54" s="221">
        <v>2.4E-2</v>
      </c>
      <c r="I54" s="485">
        <v>2.4E-2</v>
      </c>
      <c r="J54" s="493">
        <v>2.2126856862174204E-2</v>
      </c>
      <c r="K54" s="492">
        <v>1.5190704337232479E-2</v>
      </c>
      <c r="L54" s="499">
        <v>1.5216297553089201E-2</v>
      </c>
      <c r="M54" s="464">
        <v>6.0000000000000001E-3</v>
      </c>
      <c r="N54" s="465">
        <v>5.8999999999999997E-2</v>
      </c>
      <c r="O54" s="466">
        <v>6.6000000000000003E-2</v>
      </c>
      <c r="P54" s="502"/>
      <c r="Q54" s="502"/>
      <c r="R54" s="502"/>
      <c r="S54" s="683"/>
    </row>
    <row r="55" spans="1:32" ht="13.5" customHeight="1">
      <c r="A55" s="518"/>
      <c r="B55" s="519"/>
      <c r="C55" s="519"/>
      <c r="D55" s="520"/>
      <c r="E55" s="504"/>
      <c r="F55" s="480" t="s">
        <v>28</v>
      </c>
      <c r="G55" s="486">
        <v>0</v>
      </c>
      <c r="H55" s="388">
        <v>0</v>
      </c>
      <c r="I55" s="487">
        <v>0</v>
      </c>
      <c r="J55" s="493">
        <v>0</v>
      </c>
      <c r="K55" s="492">
        <v>0</v>
      </c>
      <c r="L55" s="499">
        <v>0</v>
      </c>
      <c r="M55" s="464">
        <v>2E-3</v>
      </c>
      <c r="N55" s="465">
        <v>5.6000000000000001E-2</v>
      </c>
      <c r="O55" s="466">
        <v>0</v>
      </c>
      <c r="P55" s="502"/>
      <c r="Q55" s="502"/>
      <c r="R55" s="502"/>
      <c r="S55" s="684"/>
    </row>
    <row r="56" spans="1:32" ht="13.5" customHeight="1">
      <c r="A56" s="518"/>
      <c r="B56" s="519"/>
      <c r="C56" s="519"/>
      <c r="D56" s="520"/>
      <c r="E56" s="504"/>
      <c r="F56" s="480" t="s">
        <v>29</v>
      </c>
      <c r="G56" s="484">
        <v>5.0000000000000001E-3</v>
      </c>
      <c r="H56" s="221">
        <v>1.2999999999999999E-2</v>
      </c>
      <c r="I56" s="485">
        <v>1.2999999999999999E-2</v>
      </c>
      <c r="J56" s="493">
        <v>1.558137996668359E-3</v>
      </c>
      <c r="K56" s="492">
        <v>2.4941318254841343E-3</v>
      </c>
      <c r="L56" s="499">
        <v>2.2763572171016844E-3</v>
      </c>
      <c r="M56" s="464">
        <v>3.0000000000000001E-3</v>
      </c>
      <c r="N56" s="465">
        <v>1.2999999999999999E-2</v>
      </c>
      <c r="O56" s="466">
        <v>1.2999999999999999E-2</v>
      </c>
      <c r="P56" s="502"/>
      <c r="Q56" s="502"/>
      <c r="R56" s="502"/>
      <c r="S56" s="684"/>
    </row>
    <row r="57" spans="1:32" ht="13.5" customHeight="1">
      <c r="A57" s="518"/>
      <c r="B57" s="519"/>
      <c r="C57" s="519"/>
      <c r="D57" s="520"/>
      <c r="E57" s="504"/>
      <c r="F57" s="482" t="s">
        <v>30</v>
      </c>
      <c r="G57" s="484">
        <v>0</v>
      </c>
      <c r="H57" s="221">
        <v>0</v>
      </c>
      <c r="I57" s="485">
        <v>0</v>
      </c>
      <c r="J57" s="493">
        <v>0</v>
      </c>
      <c r="K57" s="492">
        <v>0</v>
      </c>
      <c r="L57" s="499">
        <v>0</v>
      </c>
      <c r="M57" s="464">
        <v>0.83599999999999997</v>
      </c>
      <c r="N57" s="465">
        <v>4.0000000000000001E-3</v>
      </c>
      <c r="O57" s="466">
        <v>0</v>
      </c>
      <c r="P57" s="502"/>
      <c r="Q57" s="502"/>
      <c r="R57" s="502"/>
      <c r="S57" s="684"/>
    </row>
    <row r="58" spans="1:32" ht="13.5" customHeight="1">
      <c r="A58" s="518"/>
      <c r="B58" s="519"/>
      <c r="C58" s="519"/>
      <c r="D58" s="520"/>
      <c r="E58" s="504"/>
      <c r="F58" s="480" t="s">
        <v>31</v>
      </c>
      <c r="G58" s="484">
        <v>0</v>
      </c>
      <c r="H58" s="221">
        <v>0</v>
      </c>
      <c r="I58" s="485">
        <v>0</v>
      </c>
      <c r="J58" s="493">
        <v>0</v>
      </c>
      <c r="K58" s="492">
        <v>0</v>
      </c>
      <c r="L58" s="499">
        <v>0</v>
      </c>
      <c r="M58" s="464">
        <v>2E-3</v>
      </c>
      <c r="N58" s="465">
        <v>5.0999999999999997E-2</v>
      </c>
      <c r="O58" s="466">
        <v>4.2000000000000003E-2</v>
      </c>
      <c r="P58" s="502"/>
      <c r="Q58" s="502"/>
      <c r="R58" s="502"/>
      <c r="S58" s="684"/>
    </row>
    <row r="59" spans="1:32" ht="13.5" customHeight="1">
      <c r="A59" s="518"/>
      <c r="B59" s="519"/>
      <c r="C59" s="519"/>
      <c r="D59" s="520"/>
      <c r="E59" s="504"/>
      <c r="F59" s="479" t="s">
        <v>33</v>
      </c>
      <c r="G59" s="650" t="s">
        <v>35</v>
      </c>
      <c r="H59" s="651"/>
      <c r="I59" s="652"/>
      <c r="J59" s="656" t="s">
        <v>36</v>
      </c>
      <c r="K59" s="656"/>
      <c r="L59" s="657"/>
      <c r="M59" s="467">
        <v>0</v>
      </c>
      <c r="N59" s="465">
        <v>0</v>
      </c>
      <c r="O59" s="466">
        <v>0</v>
      </c>
      <c r="P59" s="502"/>
      <c r="Q59" s="502"/>
      <c r="R59" s="502"/>
      <c r="S59" s="684"/>
    </row>
    <row r="60" spans="1:32" ht="22.5" customHeight="1">
      <c r="A60" s="518"/>
      <c r="B60" s="519"/>
      <c r="C60" s="519"/>
      <c r="D60" s="520"/>
      <c r="E60" s="504"/>
      <c r="F60" s="479" t="s">
        <v>34</v>
      </c>
      <c r="G60" s="653"/>
      <c r="H60" s="654"/>
      <c r="I60" s="655"/>
      <c r="J60" s="658"/>
      <c r="K60" s="658"/>
      <c r="L60" s="659"/>
      <c r="M60" s="464">
        <v>0.01</v>
      </c>
      <c r="N60" s="465">
        <v>0.106</v>
      </c>
      <c r="O60" s="466">
        <v>0</v>
      </c>
      <c r="P60" s="502"/>
      <c r="Q60" s="502"/>
      <c r="R60" s="502"/>
      <c r="S60" s="684"/>
    </row>
    <row r="61" spans="1:32" s="369" customFormat="1" ht="15" customHeight="1">
      <c r="A61" s="518"/>
      <c r="B61" s="519"/>
      <c r="C61" s="519"/>
      <c r="D61" s="520"/>
      <c r="E61" s="504"/>
      <c r="F61" s="479" t="s">
        <v>278</v>
      </c>
      <c r="G61" s="490">
        <v>0</v>
      </c>
      <c r="H61" s="489">
        <v>0</v>
      </c>
      <c r="I61" s="488">
        <v>0</v>
      </c>
      <c r="J61" s="490">
        <v>1.4E-2</v>
      </c>
      <c r="K61" s="489">
        <v>8.9999999999999993E-3</v>
      </c>
      <c r="L61" s="488">
        <v>0</v>
      </c>
      <c r="M61" s="490">
        <v>0</v>
      </c>
      <c r="N61" s="489">
        <v>0</v>
      </c>
      <c r="O61" s="488">
        <v>0</v>
      </c>
      <c r="P61" s="502"/>
      <c r="Q61" s="502"/>
      <c r="R61" s="502"/>
      <c r="S61" s="684"/>
      <c r="T61" s="368"/>
      <c r="U61" s="368"/>
      <c r="V61" s="368"/>
      <c r="W61" s="368"/>
      <c r="X61" s="368"/>
      <c r="Y61" s="368"/>
      <c r="Z61" s="368"/>
      <c r="AA61" s="368"/>
      <c r="AB61" s="368"/>
      <c r="AC61" s="368"/>
      <c r="AD61" s="368"/>
      <c r="AE61" s="368"/>
      <c r="AF61" s="368"/>
    </row>
    <row r="62" spans="1:32" ht="24.75" customHeight="1" thickBot="1">
      <c r="A62" s="521"/>
      <c r="B62" s="522"/>
      <c r="C62" s="522"/>
      <c r="D62" s="523"/>
      <c r="E62" s="505"/>
      <c r="F62" s="483" t="s">
        <v>25</v>
      </c>
      <c r="G62" s="468">
        <v>0.70499999999999996</v>
      </c>
      <c r="H62" s="469">
        <v>0.73699999999999999</v>
      </c>
      <c r="I62" s="470">
        <v>0.73699999999999999</v>
      </c>
      <c r="J62" s="845">
        <v>0.5910792322181212</v>
      </c>
      <c r="K62" s="846">
        <v>0.58563424977060319</v>
      </c>
      <c r="L62" s="847">
        <v>0.58903591844380965</v>
      </c>
      <c r="M62" s="468">
        <v>0.41199999999999998</v>
      </c>
      <c r="N62" s="469">
        <v>0.80400000000000005</v>
      </c>
      <c r="O62" s="470">
        <v>0.83099999999999996</v>
      </c>
      <c r="P62" s="503"/>
      <c r="Q62" s="503"/>
      <c r="R62" s="503"/>
      <c r="S62" s="685"/>
    </row>
    <row r="63" spans="1:32" ht="49.5">
      <c r="A63" s="38" t="s">
        <v>117</v>
      </c>
      <c r="B63" s="10" t="s">
        <v>101</v>
      </c>
      <c r="C63" s="10" t="s">
        <v>115</v>
      </c>
      <c r="D63" s="243" t="s">
        <v>118</v>
      </c>
      <c r="E63" s="244" t="s">
        <v>173</v>
      </c>
      <c r="F63" s="208" t="s">
        <v>119</v>
      </c>
      <c r="G63" s="212" t="s">
        <v>188</v>
      </c>
      <c r="H63" s="234" t="s">
        <v>204</v>
      </c>
      <c r="I63" s="235"/>
      <c r="J63" s="360" t="s">
        <v>188</v>
      </c>
      <c r="K63" s="342" t="s">
        <v>204</v>
      </c>
      <c r="L63" s="343"/>
      <c r="M63" s="360" t="s">
        <v>188</v>
      </c>
      <c r="N63" s="342" t="s">
        <v>204</v>
      </c>
      <c r="O63" s="343"/>
      <c r="P63" s="512" t="s">
        <v>193</v>
      </c>
      <c r="Q63" s="513"/>
      <c r="R63" s="514"/>
      <c r="S63" s="527"/>
    </row>
    <row r="64" spans="1:32">
      <c r="A64" s="641"/>
      <c r="B64" s="642"/>
      <c r="C64" s="642"/>
      <c r="D64" s="642"/>
      <c r="E64" s="643"/>
      <c r="F64" s="309" t="s">
        <v>120</v>
      </c>
      <c r="G64" s="310">
        <v>9.5000000000000001E-2</v>
      </c>
      <c r="H64" s="311">
        <v>0.30909999999999999</v>
      </c>
      <c r="I64" s="231"/>
      <c r="J64" s="362">
        <v>0.23661275309653326</v>
      </c>
      <c r="K64" s="363">
        <v>0.54196235475023058</v>
      </c>
      <c r="L64" s="231"/>
      <c r="M64" s="378">
        <v>5.0999999999999997E-2</v>
      </c>
      <c r="N64" s="363">
        <v>0.01</v>
      </c>
      <c r="O64" s="231"/>
      <c r="P64" s="507"/>
      <c r="Q64" s="502"/>
      <c r="R64" s="508"/>
      <c r="S64" s="536"/>
    </row>
    <row r="65" spans="1:32">
      <c r="A65" s="644"/>
      <c r="B65" s="645"/>
      <c r="C65" s="645"/>
      <c r="D65" s="645"/>
      <c r="E65" s="646"/>
      <c r="F65" s="309" t="s">
        <v>121</v>
      </c>
      <c r="G65" s="312">
        <v>0</v>
      </c>
      <c r="H65" s="308">
        <v>0</v>
      </c>
      <c r="I65" s="232"/>
      <c r="J65" s="362">
        <v>3.532358186700476E-3</v>
      </c>
      <c r="K65" s="363">
        <v>0.15797788309636651</v>
      </c>
      <c r="L65" s="232"/>
      <c r="M65" s="378">
        <v>0</v>
      </c>
      <c r="N65" s="363">
        <v>0</v>
      </c>
      <c r="O65" s="232"/>
      <c r="P65" s="509"/>
      <c r="Q65" s="502"/>
      <c r="R65" s="508"/>
      <c r="S65" s="536"/>
    </row>
    <row r="66" spans="1:32">
      <c r="A66" s="644"/>
      <c r="B66" s="645"/>
      <c r="C66" s="645"/>
      <c r="D66" s="645"/>
      <c r="E66" s="646"/>
      <c r="F66" s="309" t="s">
        <v>122</v>
      </c>
      <c r="G66" s="310">
        <v>0.30399999999999999</v>
      </c>
      <c r="H66" s="229">
        <v>0.45069999999999999</v>
      </c>
      <c r="I66" s="232"/>
      <c r="J66" s="362">
        <v>0.42347915146022741</v>
      </c>
      <c r="K66" s="363">
        <v>0.54077893236008145</v>
      </c>
      <c r="L66" s="232"/>
      <c r="M66" s="378">
        <v>0.59199999999999997</v>
      </c>
      <c r="N66" s="363">
        <v>0.152</v>
      </c>
      <c r="O66" s="232"/>
      <c r="P66" s="509"/>
      <c r="Q66" s="502"/>
      <c r="R66" s="508"/>
      <c r="S66" s="536"/>
    </row>
    <row r="67" spans="1:32">
      <c r="A67" s="644"/>
      <c r="B67" s="645"/>
      <c r="C67" s="645"/>
      <c r="D67" s="645"/>
      <c r="E67" s="646"/>
      <c r="F67" s="309" t="s">
        <v>123</v>
      </c>
      <c r="G67" s="310">
        <v>0.159</v>
      </c>
      <c r="H67" s="229">
        <v>0.54649999999999999</v>
      </c>
      <c r="I67" s="232"/>
      <c r="J67" s="362">
        <v>7.0258213709344403E-2</v>
      </c>
      <c r="K67" s="363">
        <v>0.38723461712588264</v>
      </c>
      <c r="L67" s="232"/>
      <c r="M67" s="378">
        <v>0</v>
      </c>
      <c r="N67" s="363">
        <v>0</v>
      </c>
      <c r="O67" s="232"/>
      <c r="P67" s="509"/>
      <c r="Q67" s="502"/>
      <c r="R67" s="508"/>
      <c r="S67" s="536"/>
    </row>
    <row r="68" spans="1:32">
      <c r="A68" s="644"/>
      <c r="B68" s="645"/>
      <c r="C68" s="645"/>
      <c r="D68" s="645"/>
      <c r="E68" s="646"/>
      <c r="F68" s="309" t="s">
        <v>124</v>
      </c>
      <c r="G68" s="310">
        <v>0.06</v>
      </c>
      <c r="H68" s="229">
        <v>0.19819999999999999</v>
      </c>
      <c r="I68" s="232"/>
      <c r="J68" s="362">
        <v>3.3356510364932222E-2</v>
      </c>
      <c r="K68" s="363">
        <v>0.43447372089781122</v>
      </c>
      <c r="L68" s="232"/>
      <c r="M68" s="378">
        <v>0.33300000000000002</v>
      </c>
      <c r="N68" s="363">
        <v>0.13100000000000001</v>
      </c>
      <c r="O68" s="232"/>
      <c r="P68" s="509"/>
      <c r="Q68" s="502"/>
      <c r="R68" s="508"/>
      <c r="S68" s="536"/>
    </row>
    <row r="69" spans="1:32">
      <c r="A69" s="644"/>
      <c r="B69" s="645"/>
      <c r="C69" s="645"/>
      <c r="D69" s="645"/>
      <c r="E69" s="646"/>
      <c r="F69" s="309" t="s">
        <v>125</v>
      </c>
      <c r="G69" s="312">
        <v>0</v>
      </c>
      <c r="H69" s="308">
        <v>0</v>
      </c>
      <c r="I69" s="232"/>
      <c r="J69" s="362">
        <v>4.2987255236781466E-3</v>
      </c>
      <c r="K69" s="363">
        <v>0.20346170488965815</v>
      </c>
      <c r="L69" s="232"/>
      <c r="M69" s="378">
        <v>0</v>
      </c>
      <c r="N69" s="363">
        <v>0</v>
      </c>
      <c r="O69" s="232"/>
      <c r="P69" s="509"/>
      <c r="Q69" s="502"/>
      <c r="R69" s="508"/>
      <c r="S69" s="536"/>
    </row>
    <row r="70" spans="1:32">
      <c r="A70" s="644"/>
      <c r="B70" s="645"/>
      <c r="C70" s="645"/>
      <c r="D70" s="645"/>
      <c r="E70" s="646"/>
      <c r="F70" s="309" t="s">
        <v>126</v>
      </c>
      <c r="G70" s="310">
        <v>0.09</v>
      </c>
      <c r="H70" s="229">
        <v>0.22869999999999999</v>
      </c>
      <c r="I70" s="232"/>
      <c r="J70" s="362">
        <v>3.5600738986445717E-2</v>
      </c>
      <c r="K70" s="363">
        <v>0.4075552536705157</v>
      </c>
      <c r="L70" s="232"/>
      <c r="M70" s="378">
        <v>0</v>
      </c>
      <c r="N70" s="363">
        <v>0</v>
      </c>
      <c r="O70" s="232"/>
      <c r="P70" s="509"/>
      <c r="Q70" s="502"/>
      <c r="R70" s="508"/>
      <c r="S70" s="536"/>
    </row>
    <row r="71" spans="1:32">
      <c r="A71" s="644"/>
      <c r="B71" s="645"/>
      <c r="C71" s="645"/>
      <c r="D71" s="645"/>
      <c r="E71" s="646"/>
      <c r="F71" s="309" t="s">
        <v>127</v>
      </c>
      <c r="G71" s="310">
        <v>0.189</v>
      </c>
      <c r="H71" s="229">
        <v>0.24129999999999999</v>
      </c>
      <c r="I71" s="232"/>
      <c r="J71" s="362">
        <v>0.18973395148671543</v>
      </c>
      <c r="K71" s="363">
        <v>0.45311035556444434</v>
      </c>
      <c r="L71" s="232"/>
      <c r="M71" s="378">
        <v>2.3E-2</v>
      </c>
      <c r="N71" s="363">
        <v>0</v>
      </c>
      <c r="O71" s="232"/>
      <c r="P71" s="509"/>
      <c r="Q71" s="502"/>
      <c r="R71" s="508"/>
      <c r="S71" s="536"/>
    </row>
    <row r="72" spans="1:32">
      <c r="A72" s="644"/>
      <c r="B72" s="645"/>
      <c r="C72" s="645"/>
      <c r="D72" s="645"/>
      <c r="E72" s="646"/>
      <c r="F72" s="309" t="s">
        <v>240</v>
      </c>
      <c r="G72" s="310">
        <v>1.2999999999999999E-2</v>
      </c>
      <c r="H72" s="229">
        <v>0.32919999999999999</v>
      </c>
      <c r="I72" s="232"/>
      <c r="J72" s="367" t="s">
        <v>239</v>
      </c>
      <c r="K72" s="366" t="s">
        <v>239</v>
      </c>
      <c r="L72" s="232"/>
      <c r="M72" s="367">
        <v>0</v>
      </c>
      <c r="N72" s="366">
        <v>0</v>
      </c>
      <c r="O72" s="232"/>
      <c r="P72" s="509"/>
      <c r="Q72" s="502"/>
      <c r="R72" s="508"/>
      <c r="S72" s="536"/>
    </row>
    <row r="73" spans="1:32">
      <c r="A73" s="644"/>
      <c r="B73" s="645"/>
      <c r="C73" s="645"/>
      <c r="D73" s="645"/>
      <c r="E73" s="646"/>
      <c r="F73" s="309" t="s">
        <v>128</v>
      </c>
      <c r="G73" s="310">
        <v>0.09</v>
      </c>
      <c r="H73" s="229">
        <v>0.27729999999999999</v>
      </c>
      <c r="I73" s="233"/>
      <c r="J73" s="227">
        <v>3.0000000000000001E-3</v>
      </c>
      <c r="K73" s="228">
        <v>0.48399999999999999</v>
      </c>
      <c r="L73" s="233"/>
      <c r="M73" s="378">
        <v>0</v>
      </c>
      <c r="N73" s="363">
        <v>0</v>
      </c>
      <c r="O73" s="233"/>
      <c r="P73" s="509"/>
      <c r="Q73" s="502"/>
      <c r="R73" s="508"/>
      <c r="S73" s="536"/>
    </row>
    <row r="74" spans="1:32" ht="24.75" thickBot="1">
      <c r="A74" s="647"/>
      <c r="B74" s="648"/>
      <c r="C74" s="648"/>
      <c r="D74" s="648"/>
      <c r="E74" s="649"/>
      <c r="F74" s="241" t="s">
        <v>224</v>
      </c>
      <c r="G74" s="664">
        <v>0.36059999999999998</v>
      </c>
      <c r="H74" s="540"/>
      <c r="I74" s="665"/>
      <c r="J74" s="515">
        <v>0.502</v>
      </c>
      <c r="K74" s="516"/>
      <c r="L74" s="517"/>
      <c r="M74" s="515">
        <v>0.29399999999999998</v>
      </c>
      <c r="N74" s="516"/>
      <c r="O74" s="517"/>
      <c r="P74" s="510"/>
      <c r="Q74" s="503"/>
      <c r="R74" s="511"/>
      <c r="S74" s="536"/>
    </row>
    <row r="75" spans="1:32" s="108" customFormat="1" ht="39">
      <c r="A75" s="38" t="s">
        <v>130</v>
      </c>
      <c r="B75" s="10" t="s">
        <v>101</v>
      </c>
      <c r="C75" s="10" t="s">
        <v>131</v>
      </c>
      <c r="D75" s="245" t="s">
        <v>132</v>
      </c>
      <c r="E75" s="244" t="s">
        <v>173</v>
      </c>
      <c r="F75" s="208" t="s">
        <v>119</v>
      </c>
      <c r="G75" s="329" t="s">
        <v>188</v>
      </c>
      <c r="H75" s="234" t="s">
        <v>204</v>
      </c>
      <c r="I75" s="235"/>
      <c r="J75" s="212" t="s">
        <v>188</v>
      </c>
      <c r="K75" s="234" t="s">
        <v>204</v>
      </c>
      <c r="L75" s="451"/>
      <c r="M75" s="212" t="s">
        <v>188</v>
      </c>
      <c r="N75" s="234" t="s">
        <v>204</v>
      </c>
      <c r="O75" s="235"/>
      <c r="P75" s="512" t="s">
        <v>193</v>
      </c>
      <c r="Q75" s="513"/>
      <c r="R75" s="514"/>
      <c r="S75" s="527"/>
      <c r="T75"/>
      <c r="U75"/>
      <c r="V75"/>
      <c r="W75"/>
      <c r="X75"/>
      <c r="Y75"/>
      <c r="Z75"/>
      <c r="AA75"/>
      <c r="AB75"/>
      <c r="AC75"/>
      <c r="AD75"/>
      <c r="AE75"/>
      <c r="AF75"/>
    </row>
    <row r="76" spans="1:32">
      <c r="A76" s="583"/>
      <c r="B76" s="638"/>
      <c r="C76" s="584"/>
      <c r="D76" s="584"/>
      <c r="E76" s="584"/>
      <c r="F76" s="309" t="s">
        <v>120</v>
      </c>
      <c r="G76" s="330">
        <v>0.1948</v>
      </c>
      <c r="H76" s="229">
        <v>0.32140000000000002</v>
      </c>
      <c r="I76" s="231"/>
      <c r="J76" s="378">
        <v>0.27497716486109308</v>
      </c>
      <c r="K76" s="379">
        <v>0.51488757490869941</v>
      </c>
      <c r="L76" s="452"/>
      <c r="M76" s="378">
        <v>0.26500000000000001</v>
      </c>
      <c r="N76" s="379">
        <v>3.5999999999999997E-2</v>
      </c>
      <c r="O76" s="231"/>
      <c r="P76" s="507"/>
      <c r="Q76" s="502"/>
      <c r="R76" s="508"/>
      <c r="S76" s="536"/>
    </row>
    <row r="77" spans="1:32">
      <c r="A77" s="518"/>
      <c r="B77" s="519"/>
      <c r="C77" s="587"/>
      <c r="D77" s="587"/>
      <c r="E77" s="587"/>
      <c r="F77" s="309" t="s">
        <v>121</v>
      </c>
      <c r="G77" s="331">
        <v>1E-4</v>
      </c>
      <c r="H77" s="313">
        <v>1</v>
      </c>
      <c r="I77" s="232"/>
      <c r="J77" s="378">
        <v>1.6024457482891024E-3</v>
      </c>
      <c r="K77" s="379">
        <v>0.31043540555599775</v>
      </c>
      <c r="L77" s="453"/>
      <c r="M77" s="378">
        <v>0</v>
      </c>
      <c r="N77" s="379">
        <v>0</v>
      </c>
      <c r="O77" s="232"/>
      <c r="P77" s="509"/>
      <c r="Q77" s="502"/>
      <c r="R77" s="508"/>
      <c r="S77" s="536"/>
    </row>
    <row r="78" spans="1:32">
      <c r="A78" s="518"/>
      <c r="B78" s="519"/>
      <c r="C78" s="587"/>
      <c r="D78" s="587"/>
      <c r="E78" s="587"/>
      <c r="F78" s="309" t="s">
        <v>122</v>
      </c>
      <c r="G78" s="331">
        <v>0.40679999999999999</v>
      </c>
      <c r="H78" s="308">
        <v>0.47810000000000002</v>
      </c>
      <c r="I78" s="232"/>
      <c r="J78" s="378">
        <v>0.40518267409585157</v>
      </c>
      <c r="K78" s="379">
        <v>0.55141648838313306</v>
      </c>
      <c r="L78" s="453"/>
      <c r="M78" s="378">
        <v>0.26400000000000001</v>
      </c>
      <c r="N78" s="379">
        <v>7.8E-2</v>
      </c>
      <c r="O78" s="232"/>
      <c r="P78" s="509"/>
      <c r="Q78" s="502"/>
      <c r="R78" s="508"/>
      <c r="S78" s="536"/>
    </row>
    <row r="79" spans="1:32">
      <c r="A79" s="518"/>
      <c r="B79" s="519"/>
      <c r="C79" s="587"/>
      <c r="D79" s="587"/>
      <c r="E79" s="587"/>
      <c r="F79" s="309" t="s">
        <v>123</v>
      </c>
      <c r="G79" s="331">
        <v>2.52E-2</v>
      </c>
      <c r="H79" s="308">
        <v>0.4723</v>
      </c>
      <c r="I79" s="232"/>
      <c r="J79" s="378">
        <v>3.5560060720231955E-2</v>
      </c>
      <c r="K79" s="379">
        <v>0.28107479904012739</v>
      </c>
      <c r="L79" s="453"/>
      <c r="M79" s="378">
        <v>4.0000000000000001E-3</v>
      </c>
      <c r="N79" s="379">
        <v>3.0000000000000001E-3</v>
      </c>
      <c r="O79" s="232"/>
      <c r="P79" s="509"/>
      <c r="Q79" s="502"/>
      <c r="R79" s="508"/>
      <c r="S79" s="536"/>
    </row>
    <row r="80" spans="1:32">
      <c r="A80" s="518"/>
      <c r="B80" s="519"/>
      <c r="C80" s="587"/>
      <c r="D80" s="587"/>
      <c r="E80" s="587"/>
      <c r="F80" s="309" t="s">
        <v>124</v>
      </c>
      <c r="G80" s="331">
        <v>7.2800000000000004E-2</v>
      </c>
      <c r="H80" s="308">
        <v>0.21379999999999999</v>
      </c>
      <c r="I80" s="232"/>
      <c r="J80" s="378">
        <v>6.2318723563886284E-2</v>
      </c>
      <c r="K80" s="379">
        <v>0.49266842962756768</v>
      </c>
      <c r="L80" s="453"/>
      <c r="M80" s="378">
        <v>1.9E-2</v>
      </c>
      <c r="N80" s="379">
        <v>1.0999999999999999E-2</v>
      </c>
      <c r="O80" s="232"/>
      <c r="P80" s="509"/>
      <c r="Q80" s="502"/>
      <c r="R80" s="508"/>
      <c r="S80" s="536"/>
    </row>
    <row r="81" spans="1:23">
      <c r="A81" s="518"/>
      <c r="B81" s="519"/>
      <c r="C81" s="587"/>
      <c r="D81" s="587"/>
      <c r="E81" s="587"/>
      <c r="F81" s="309" t="s">
        <v>125</v>
      </c>
      <c r="G81" s="331" t="s">
        <v>239</v>
      </c>
      <c r="H81" s="308" t="s">
        <v>239</v>
      </c>
      <c r="I81" s="232"/>
      <c r="J81" s="378">
        <v>3.9020950673931565E-3</v>
      </c>
      <c r="K81" s="379">
        <v>0.39140951882845187</v>
      </c>
      <c r="L81" s="453"/>
      <c r="M81" s="378">
        <v>8.9999999999999993E-3</v>
      </c>
      <c r="N81" s="379">
        <v>0</v>
      </c>
      <c r="O81" s="232"/>
      <c r="P81" s="509"/>
      <c r="Q81" s="502"/>
      <c r="R81" s="508"/>
      <c r="S81" s="536"/>
    </row>
    <row r="82" spans="1:23">
      <c r="A82" s="518"/>
      <c r="B82" s="519"/>
      <c r="C82" s="587"/>
      <c r="D82" s="587"/>
      <c r="E82" s="587"/>
      <c r="F82" s="309" t="s">
        <v>126</v>
      </c>
      <c r="G82" s="330">
        <v>8.5800000000000001E-2</v>
      </c>
      <c r="H82" s="229">
        <v>0.26040000000000002</v>
      </c>
      <c r="I82" s="232"/>
      <c r="J82" s="378">
        <v>6.7278996608498773E-2</v>
      </c>
      <c r="K82" s="379">
        <v>0.39252455162476774</v>
      </c>
      <c r="L82" s="453"/>
      <c r="M82" s="378">
        <v>3.5999999999999997E-2</v>
      </c>
      <c r="N82" s="379">
        <v>0</v>
      </c>
      <c r="O82" s="232"/>
      <c r="P82" s="509"/>
      <c r="Q82" s="502"/>
      <c r="R82" s="508"/>
      <c r="S82" s="536"/>
    </row>
    <row r="83" spans="1:23">
      <c r="A83" s="518"/>
      <c r="B83" s="519"/>
      <c r="C83" s="587"/>
      <c r="D83" s="587"/>
      <c r="E83" s="587"/>
      <c r="F83" s="309" t="s">
        <v>127</v>
      </c>
      <c r="G83" s="330">
        <v>9.3799999999999994E-2</v>
      </c>
      <c r="H83" s="229">
        <v>0.2626</v>
      </c>
      <c r="I83" s="232"/>
      <c r="J83" s="378">
        <v>0.14560202431385844</v>
      </c>
      <c r="K83" s="379">
        <v>0.49335087743888767</v>
      </c>
      <c r="L83" s="453"/>
      <c r="M83" s="378">
        <v>0.40200000000000002</v>
      </c>
      <c r="N83" s="379">
        <v>0</v>
      </c>
      <c r="O83" s="232"/>
      <c r="P83" s="509"/>
      <c r="Q83" s="502"/>
      <c r="R83" s="508"/>
      <c r="S83" s="536"/>
    </row>
    <row r="84" spans="1:23">
      <c r="A84" s="518"/>
      <c r="B84" s="519"/>
      <c r="C84" s="587"/>
      <c r="D84" s="587"/>
      <c r="E84" s="587"/>
      <c r="F84" s="309" t="s">
        <v>240</v>
      </c>
      <c r="G84" s="330">
        <v>9.1999999999999998E-3</v>
      </c>
      <c r="H84" s="229">
        <v>0.41060000000000002</v>
      </c>
      <c r="I84" s="232"/>
      <c r="J84" s="367" t="s">
        <v>239</v>
      </c>
      <c r="K84" s="365" t="s">
        <v>239</v>
      </c>
      <c r="L84" s="453"/>
      <c r="M84" s="367">
        <v>0</v>
      </c>
      <c r="N84" s="365">
        <v>0</v>
      </c>
      <c r="O84" s="232"/>
      <c r="P84" s="509"/>
      <c r="Q84" s="502"/>
      <c r="R84" s="508"/>
      <c r="S84" s="536"/>
    </row>
    <row r="85" spans="1:23">
      <c r="A85" s="518"/>
      <c r="B85" s="519"/>
      <c r="C85" s="587"/>
      <c r="D85" s="587"/>
      <c r="E85" s="587"/>
      <c r="F85" s="309" t="s">
        <v>128</v>
      </c>
      <c r="G85" s="330">
        <v>0.1114</v>
      </c>
      <c r="H85" s="229">
        <v>0.30299999999999999</v>
      </c>
      <c r="I85" s="233"/>
      <c r="J85" s="227">
        <v>4.0000000000000001E-3</v>
      </c>
      <c r="K85" s="230">
        <v>0.56899999999999995</v>
      </c>
      <c r="L85" s="454"/>
      <c r="M85" s="378">
        <v>0</v>
      </c>
      <c r="N85" s="379">
        <v>0</v>
      </c>
      <c r="O85" s="233"/>
      <c r="P85" s="509"/>
      <c r="Q85" s="502"/>
      <c r="R85" s="508"/>
      <c r="S85" s="536"/>
    </row>
    <row r="86" spans="1:23" ht="24.75" thickBot="1">
      <c r="A86" s="521"/>
      <c r="B86" s="522"/>
      <c r="C86" s="639"/>
      <c r="D86" s="639"/>
      <c r="E86" s="639"/>
      <c r="F86" s="332" t="s">
        <v>224</v>
      </c>
      <c r="G86" s="540">
        <v>0.36899999999999999</v>
      </c>
      <c r="H86" s="541"/>
      <c r="I86" s="542"/>
      <c r="J86" s="543">
        <v>0.50800000000000001</v>
      </c>
      <c r="K86" s="544"/>
      <c r="L86" s="544"/>
      <c r="M86" s="763">
        <v>0.121</v>
      </c>
      <c r="N86" s="544"/>
      <c r="O86" s="764"/>
      <c r="P86" s="510"/>
      <c r="Q86" s="503"/>
      <c r="R86" s="511"/>
      <c r="S86" s="528"/>
    </row>
    <row r="87" spans="1:23" ht="36.75" customHeight="1" thickBot="1">
      <c r="A87" s="131" t="s">
        <v>133</v>
      </c>
      <c r="B87" s="132" t="s">
        <v>101</v>
      </c>
      <c r="C87" s="132" t="s">
        <v>134</v>
      </c>
      <c r="D87" s="273" t="s">
        <v>135</v>
      </c>
      <c r="E87" s="76" t="s">
        <v>173</v>
      </c>
      <c r="F87" s="76"/>
      <c r="G87" s="760" t="s">
        <v>264</v>
      </c>
      <c r="H87" s="761"/>
      <c r="I87" s="762"/>
      <c r="J87" s="760" t="s">
        <v>265</v>
      </c>
      <c r="K87" s="761"/>
      <c r="L87" s="762"/>
      <c r="M87" s="760" t="s">
        <v>266</v>
      </c>
      <c r="N87" s="761"/>
      <c r="O87" s="762"/>
      <c r="P87" s="757" t="s">
        <v>193</v>
      </c>
      <c r="Q87" s="758"/>
      <c r="R87" s="759"/>
      <c r="S87" s="442"/>
    </row>
    <row r="88" spans="1:23" ht="36" customHeight="1">
      <c r="A88" s="148" t="s">
        <v>42</v>
      </c>
      <c r="B88" s="68" t="s">
        <v>101</v>
      </c>
      <c r="C88" s="68" t="s">
        <v>43</v>
      </c>
      <c r="D88" s="69" t="s">
        <v>44</v>
      </c>
      <c r="E88" s="56" t="s">
        <v>173</v>
      </c>
      <c r="F88" s="56"/>
      <c r="G88" s="561">
        <v>39</v>
      </c>
      <c r="H88" s="546"/>
      <c r="I88" s="547"/>
      <c r="J88" s="556">
        <v>11</v>
      </c>
      <c r="K88" s="557"/>
      <c r="L88" s="558"/>
      <c r="M88" s="545">
        <v>17</v>
      </c>
      <c r="N88" s="546"/>
      <c r="O88" s="547"/>
      <c r="P88" s="565">
        <v>11</v>
      </c>
      <c r="Q88" s="566"/>
      <c r="R88" s="566"/>
      <c r="S88" s="527" t="s">
        <v>241</v>
      </c>
    </row>
    <row r="89" spans="1:23" ht="36.75" thickBot="1">
      <c r="A89" s="141" t="s">
        <v>45</v>
      </c>
      <c r="B89" s="67" t="s">
        <v>101</v>
      </c>
      <c r="C89" s="67" t="s">
        <v>43</v>
      </c>
      <c r="D89" s="52" t="s">
        <v>46</v>
      </c>
      <c r="E89" s="53" t="s">
        <v>173</v>
      </c>
      <c r="F89" s="53"/>
      <c r="G89" s="569">
        <v>959</v>
      </c>
      <c r="H89" s="563"/>
      <c r="I89" s="564"/>
      <c r="J89" s="570">
        <v>66</v>
      </c>
      <c r="K89" s="571"/>
      <c r="L89" s="572"/>
      <c r="M89" s="562">
        <v>131</v>
      </c>
      <c r="N89" s="563"/>
      <c r="O89" s="564"/>
      <c r="P89" s="662">
        <v>66</v>
      </c>
      <c r="Q89" s="663"/>
      <c r="R89" s="663"/>
      <c r="S89" s="528"/>
    </row>
    <row r="90" spans="1:23" ht="36.75" thickBot="1">
      <c r="A90" s="131" t="s">
        <v>47</v>
      </c>
      <c r="B90" s="132" t="s">
        <v>101</v>
      </c>
      <c r="C90" s="132" t="s">
        <v>43</v>
      </c>
      <c r="D90" s="133" t="s">
        <v>48</v>
      </c>
      <c r="E90" s="192" t="s">
        <v>173</v>
      </c>
      <c r="F90" s="192"/>
      <c r="G90" s="548">
        <v>169</v>
      </c>
      <c r="H90" s="549"/>
      <c r="I90" s="550"/>
      <c r="J90" s="551">
        <v>125</v>
      </c>
      <c r="K90" s="552"/>
      <c r="L90" s="552"/>
      <c r="M90" s="559">
        <v>58</v>
      </c>
      <c r="N90" s="554"/>
      <c r="O90" s="555"/>
      <c r="P90" s="553">
        <v>125</v>
      </c>
      <c r="Q90" s="554"/>
      <c r="R90" s="555"/>
      <c r="S90" s="399" t="s">
        <v>252</v>
      </c>
    </row>
    <row r="91" spans="1:23" ht="51" customHeight="1" thickBot="1">
      <c r="A91" s="18" t="s">
        <v>12</v>
      </c>
      <c r="B91" s="19" t="s">
        <v>101</v>
      </c>
      <c r="C91" s="19" t="s">
        <v>43</v>
      </c>
      <c r="D91" s="20" t="s">
        <v>14</v>
      </c>
      <c r="E91" s="19" t="s">
        <v>173</v>
      </c>
      <c r="F91" s="128" t="s">
        <v>49</v>
      </c>
      <c r="G91" s="222" t="s">
        <v>6</v>
      </c>
      <c r="H91" s="169" t="s">
        <v>5</v>
      </c>
      <c r="I91" s="128" t="s">
        <v>7</v>
      </c>
      <c r="J91" s="170" t="s">
        <v>6</v>
      </c>
      <c r="K91" s="169" t="s">
        <v>5</v>
      </c>
      <c r="L91" s="128" t="s">
        <v>7</v>
      </c>
      <c r="M91" s="170" t="s">
        <v>6</v>
      </c>
      <c r="N91" s="169" t="s">
        <v>5</v>
      </c>
      <c r="O91" s="128" t="s">
        <v>7</v>
      </c>
      <c r="P91" s="170" t="s">
        <v>6</v>
      </c>
      <c r="Q91" s="169" t="s">
        <v>5</v>
      </c>
      <c r="R91" s="191" t="s">
        <v>7</v>
      </c>
      <c r="S91" s="595" t="s">
        <v>257</v>
      </c>
      <c r="T91" s="437"/>
    </row>
    <row r="92" spans="1:23" ht="15" customHeight="1">
      <c r="A92" s="560"/>
      <c r="B92" s="504"/>
      <c r="C92" s="504"/>
      <c r="D92" s="504"/>
      <c r="E92" s="567"/>
      <c r="F92" s="94">
        <v>2</v>
      </c>
      <c r="G92" s="83">
        <v>1.1000000000000001</v>
      </c>
      <c r="H92" s="57">
        <v>604</v>
      </c>
      <c r="I92" s="58">
        <v>464</v>
      </c>
      <c r="J92" s="324"/>
      <c r="K92" s="354"/>
      <c r="L92" s="353"/>
      <c r="M92" s="349"/>
      <c r="N92" s="348"/>
      <c r="O92" s="347"/>
      <c r="P92" s="324"/>
      <c r="Q92" s="325"/>
      <c r="R92" s="317"/>
      <c r="S92" s="596"/>
      <c r="T92" s="368"/>
      <c r="U92" s="368"/>
      <c r="V92" s="368"/>
      <c r="W92" s="368"/>
    </row>
    <row r="93" spans="1:23" ht="14.25" customHeight="1">
      <c r="A93" s="560"/>
      <c r="B93" s="504"/>
      <c r="C93" s="504"/>
      <c r="D93" s="504"/>
      <c r="E93" s="567"/>
      <c r="F93" s="94">
        <v>3</v>
      </c>
      <c r="G93" s="84">
        <v>0.4</v>
      </c>
      <c r="H93" s="59">
        <v>547</v>
      </c>
      <c r="I93" s="177">
        <v>365</v>
      </c>
      <c r="J93" s="326"/>
      <c r="K93" s="357"/>
      <c r="L93" s="352"/>
      <c r="M93" s="314"/>
      <c r="N93" s="315"/>
      <c r="O93" s="316"/>
      <c r="P93" s="326"/>
      <c r="Q93" s="315"/>
      <c r="R93" s="318"/>
      <c r="S93" s="596"/>
      <c r="T93" s="368"/>
      <c r="U93" s="368"/>
      <c r="V93" s="368"/>
      <c r="W93" s="368"/>
    </row>
    <row r="94" spans="1:23" ht="14.25" customHeight="1">
      <c r="A94" s="560"/>
      <c r="B94" s="504"/>
      <c r="C94" s="504"/>
      <c r="D94" s="504"/>
      <c r="E94" s="567"/>
      <c r="F94" s="94">
        <v>4</v>
      </c>
      <c r="G94" s="84">
        <v>0.7</v>
      </c>
      <c r="H94" s="59">
        <v>899</v>
      </c>
      <c r="I94" s="177">
        <v>317</v>
      </c>
      <c r="J94" s="326"/>
      <c r="K94" s="357"/>
      <c r="L94" s="352"/>
      <c r="M94" s="314"/>
      <c r="N94" s="315"/>
      <c r="O94" s="316"/>
      <c r="P94" s="326"/>
      <c r="Q94" s="315"/>
      <c r="R94" s="318"/>
      <c r="S94" s="596"/>
      <c r="T94" s="368"/>
      <c r="U94" s="368"/>
      <c r="V94" s="368"/>
      <c r="W94" s="368"/>
    </row>
    <row r="95" spans="1:23" ht="14.25" customHeight="1">
      <c r="A95" s="560"/>
      <c r="B95" s="504"/>
      <c r="C95" s="504"/>
      <c r="D95" s="504"/>
      <c r="E95" s="567"/>
      <c r="F95" s="94">
        <v>5</v>
      </c>
      <c r="G95" s="84">
        <v>0.2</v>
      </c>
      <c r="H95" s="59">
        <v>208</v>
      </c>
      <c r="I95" s="177">
        <v>359</v>
      </c>
      <c r="J95" s="326"/>
      <c r="K95" s="357"/>
      <c r="L95" s="352"/>
      <c r="M95" s="314"/>
      <c r="N95" s="315"/>
      <c r="O95" s="316"/>
      <c r="P95" s="327"/>
      <c r="Q95" s="328"/>
      <c r="R95" s="318"/>
      <c r="S95" s="596"/>
      <c r="T95" s="368"/>
      <c r="U95" s="368"/>
      <c r="V95" s="368"/>
      <c r="W95" s="368"/>
    </row>
    <row r="96" spans="1:23" ht="14.25" customHeight="1">
      <c r="A96" s="560"/>
      <c r="B96" s="504"/>
      <c r="C96" s="504"/>
      <c r="D96" s="504"/>
      <c r="E96" s="567"/>
      <c r="F96" s="94">
        <v>6</v>
      </c>
      <c r="G96" s="314"/>
      <c r="H96" s="315"/>
      <c r="I96" s="316"/>
      <c r="J96" s="364">
        <v>0.63</v>
      </c>
      <c r="K96" s="358">
        <v>440.87</v>
      </c>
      <c r="L96" s="282" t="s">
        <v>239</v>
      </c>
      <c r="M96" s="314"/>
      <c r="N96" s="315"/>
      <c r="O96" s="316"/>
      <c r="P96" s="281" t="s">
        <v>239</v>
      </c>
      <c r="Q96" s="359" t="s">
        <v>239</v>
      </c>
      <c r="R96" s="282">
        <v>139.88999999999999</v>
      </c>
      <c r="S96" s="596"/>
      <c r="T96" s="368"/>
      <c r="U96" s="368"/>
      <c r="V96" s="368"/>
      <c r="W96" s="368"/>
    </row>
    <row r="97" spans="1:32" ht="14.25" customHeight="1">
      <c r="A97" s="560"/>
      <c r="B97" s="504"/>
      <c r="C97" s="504"/>
      <c r="D97" s="504"/>
      <c r="E97" s="567"/>
      <c r="F97" s="94">
        <v>7</v>
      </c>
      <c r="G97" s="314"/>
      <c r="H97" s="315"/>
      <c r="I97" s="316"/>
      <c r="J97" s="351"/>
      <c r="K97" s="350"/>
      <c r="L97" s="352"/>
      <c r="M97" s="84">
        <v>0.83</v>
      </c>
      <c r="N97" s="59">
        <v>920</v>
      </c>
      <c r="O97" s="177">
        <v>174</v>
      </c>
      <c r="P97" s="321" t="s">
        <v>242</v>
      </c>
      <c r="Q97" s="357" t="s">
        <v>242</v>
      </c>
      <c r="R97" s="320"/>
      <c r="S97" s="596"/>
      <c r="T97" s="368"/>
      <c r="U97" s="368"/>
      <c r="V97" s="368"/>
      <c r="W97" s="368"/>
    </row>
    <row r="98" spans="1:32" ht="14.25" customHeight="1">
      <c r="A98" s="560"/>
      <c r="B98" s="504"/>
      <c r="C98" s="504"/>
      <c r="D98" s="504"/>
      <c r="E98" s="567"/>
      <c r="F98" s="94">
        <v>8</v>
      </c>
      <c r="G98" s="314"/>
      <c r="H98" s="315"/>
      <c r="I98" s="316"/>
      <c r="J98" s="364">
        <v>2.0099999999999998</v>
      </c>
      <c r="K98" s="358">
        <v>1372.8</v>
      </c>
      <c r="L98" s="282" t="s">
        <v>239</v>
      </c>
      <c r="M98" s="314"/>
      <c r="N98" s="315"/>
      <c r="O98" s="316"/>
      <c r="P98" s="319" t="s">
        <v>239</v>
      </c>
      <c r="Q98" s="359" t="s">
        <v>239</v>
      </c>
      <c r="R98" s="356">
        <v>115.5</v>
      </c>
      <c r="S98" s="596"/>
    </row>
    <row r="99" spans="1:32" ht="14.25" customHeight="1">
      <c r="A99" s="560"/>
      <c r="B99" s="504"/>
      <c r="C99" s="504"/>
      <c r="D99" s="504"/>
      <c r="E99" s="567"/>
      <c r="F99" s="94">
        <v>9</v>
      </c>
      <c r="G99" s="314"/>
      <c r="H99" s="315"/>
      <c r="I99" s="316"/>
      <c r="J99" s="364">
        <v>3.59</v>
      </c>
      <c r="K99" s="358">
        <v>3162.23</v>
      </c>
      <c r="L99" s="282" t="s">
        <v>239</v>
      </c>
      <c r="M99" s="314"/>
      <c r="N99" s="315"/>
      <c r="O99" s="316"/>
      <c r="P99" s="319" t="s">
        <v>239</v>
      </c>
      <c r="Q99" s="359" t="s">
        <v>239</v>
      </c>
      <c r="R99" s="356">
        <v>181.68</v>
      </c>
      <c r="S99" s="596"/>
    </row>
    <row r="100" spans="1:32" ht="14.25" customHeight="1">
      <c r="A100" s="560"/>
      <c r="B100" s="504"/>
      <c r="C100" s="504"/>
      <c r="D100" s="504"/>
      <c r="E100" s="567"/>
      <c r="F100" s="94">
        <v>10</v>
      </c>
      <c r="G100" s="314"/>
      <c r="H100" s="315"/>
      <c r="I100" s="316"/>
      <c r="J100" s="364">
        <v>2.0299999999999998</v>
      </c>
      <c r="K100" s="358">
        <v>2808.36</v>
      </c>
      <c r="L100" s="282" t="s">
        <v>239</v>
      </c>
      <c r="M100" s="84">
        <v>3.73</v>
      </c>
      <c r="N100" s="59">
        <v>4531</v>
      </c>
      <c r="O100" s="177">
        <v>191</v>
      </c>
      <c r="P100" s="319" t="s">
        <v>239</v>
      </c>
      <c r="Q100" s="359" t="s">
        <v>239</v>
      </c>
      <c r="R100" s="356">
        <v>141.47999999999999</v>
      </c>
      <c r="S100" s="596"/>
    </row>
    <row r="101" spans="1:32" ht="14.25" customHeight="1">
      <c r="A101" s="560"/>
      <c r="B101" s="504"/>
      <c r="C101" s="504"/>
      <c r="D101" s="504"/>
      <c r="E101" s="567"/>
      <c r="F101" s="94">
        <v>11</v>
      </c>
      <c r="G101" s="84">
        <v>3.9</v>
      </c>
      <c r="H101" s="59">
        <v>4374</v>
      </c>
      <c r="I101" s="177">
        <v>241</v>
      </c>
      <c r="J101" s="326"/>
      <c r="K101" s="315"/>
      <c r="L101" s="352"/>
      <c r="M101" s="314"/>
      <c r="N101" s="315"/>
      <c r="O101" s="316"/>
      <c r="P101" s="321" t="s">
        <v>242</v>
      </c>
      <c r="Q101" s="357" t="s">
        <v>242</v>
      </c>
      <c r="R101" s="320"/>
      <c r="S101" s="596"/>
    </row>
    <row r="102" spans="1:32" ht="14.25" customHeight="1">
      <c r="A102" s="560"/>
      <c r="B102" s="504"/>
      <c r="C102" s="504"/>
      <c r="D102" s="504"/>
      <c r="E102" s="567"/>
      <c r="F102" s="94">
        <v>12</v>
      </c>
      <c r="G102" s="84">
        <v>1.5</v>
      </c>
      <c r="H102" s="59">
        <v>1392</v>
      </c>
      <c r="I102" s="177">
        <v>288</v>
      </c>
      <c r="J102" s="351"/>
      <c r="K102" s="350"/>
      <c r="L102" s="352"/>
      <c r="M102" s="314"/>
      <c r="N102" s="315"/>
      <c r="O102" s="316"/>
      <c r="P102" s="321" t="s">
        <v>242</v>
      </c>
      <c r="Q102" s="357" t="s">
        <v>242</v>
      </c>
      <c r="R102" s="320"/>
      <c r="S102" s="596"/>
    </row>
    <row r="103" spans="1:32" ht="12" customHeight="1">
      <c r="A103" s="560"/>
      <c r="B103" s="504"/>
      <c r="C103" s="504"/>
      <c r="D103" s="504"/>
      <c r="E103" s="567"/>
      <c r="F103" s="94">
        <v>13</v>
      </c>
      <c r="G103" s="84">
        <v>3.7</v>
      </c>
      <c r="H103" s="59">
        <v>5573</v>
      </c>
      <c r="I103" s="60">
        <v>217</v>
      </c>
      <c r="J103" s="351"/>
      <c r="K103" s="350"/>
      <c r="L103" s="352"/>
      <c r="M103" s="314"/>
      <c r="N103" s="315"/>
      <c r="O103" s="323"/>
      <c r="P103" s="321" t="s">
        <v>242</v>
      </c>
      <c r="Q103" s="357" t="s">
        <v>242</v>
      </c>
      <c r="R103" s="320"/>
      <c r="S103" s="596"/>
    </row>
    <row r="104" spans="1:32" ht="12" customHeight="1">
      <c r="A104" s="560"/>
      <c r="B104" s="504"/>
      <c r="C104" s="504"/>
      <c r="D104" s="504"/>
      <c r="E104" s="567"/>
      <c r="F104" s="94">
        <v>14</v>
      </c>
      <c r="G104" s="314"/>
      <c r="H104" s="315"/>
      <c r="I104" s="323"/>
      <c r="J104" s="364">
        <v>2.88</v>
      </c>
      <c r="K104" s="358">
        <v>680.4</v>
      </c>
      <c r="L104" s="282" t="s">
        <v>239</v>
      </c>
      <c r="M104" s="314"/>
      <c r="N104" s="315"/>
      <c r="O104" s="323"/>
      <c r="P104" s="281" t="s">
        <v>239</v>
      </c>
      <c r="Q104" s="355" t="s">
        <v>239</v>
      </c>
      <c r="R104" s="356">
        <v>297</v>
      </c>
      <c r="S104" s="596"/>
    </row>
    <row r="105" spans="1:32" ht="17.25" customHeight="1" thickBot="1">
      <c r="A105" s="561"/>
      <c r="B105" s="506"/>
      <c r="C105" s="506"/>
      <c r="D105" s="506"/>
      <c r="E105" s="568"/>
      <c r="F105" s="94">
        <v>16</v>
      </c>
      <c r="G105" s="239">
        <v>5.0999999999999996</v>
      </c>
      <c r="H105" s="44">
        <v>7010</v>
      </c>
      <c r="I105" s="46">
        <v>0</v>
      </c>
      <c r="J105" s="438"/>
      <c r="K105" s="439"/>
      <c r="L105" s="440"/>
      <c r="M105" s="346"/>
      <c r="N105" s="345"/>
      <c r="O105" s="344"/>
      <c r="P105" s="321" t="s">
        <v>242</v>
      </c>
      <c r="Q105" s="315" t="s">
        <v>242</v>
      </c>
      <c r="R105" s="322"/>
      <c r="S105" s="596"/>
    </row>
    <row r="106" spans="1:32" ht="49.5" customHeight="1" thickBot="1">
      <c r="A106" s="276" t="s">
        <v>13</v>
      </c>
      <c r="B106" s="277" t="s">
        <v>101</v>
      </c>
      <c r="C106" s="277" t="s">
        <v>43</v>
      </c>
      <c r="D106" s="17" t="s">
        <v>15</v>
      </c>
      <c r="E106" s="284" t="s">
        <v>173</v>
      </c>
      <c r="F106" s="373" t="s">
        <v>49</v>
      </c>
      <c r="G106" s="377" t="s">
        <v>6</v>
      </c>
      <c r="H106" s="374" t="s">
        <v>5</v>
      </c>
      <c r="I106" s="373" t="s">
        <v>7</v>
      </c>
      <c r="J106" s="375" t="s">
        <v>6</v>
      </c>
      <c r="K106" s="374" t="s">
        <v>5</v>
      </c>
      <c r="L106" s="373" t="s">
        <v>7</v>
      </c>
      <c r="M106" s="375" t="s">
        <v>6</v>
      </c>
      <c r="N106" s="374" t="s">
        <v>5</v>
      </c>
      <c r="O106" s="373" t="s">
        <v>7</v>
      </c>
      <c r="P106" s="375" t="s">
        <v>6</v>
      </c>
      <c r="Q106" s="374" t="s">
        <v>5</v>
      </c>
      <c r="R106" s="376" t="s">
        <v>7</v>
      </c>
      <c r="S106" s="397"/>
    </row>
    <row r="107" spans="1:32" s="369" customFormat="1" ht="15" customHeight="1">
      <c r="A107" s="372"/>
      <c r="B107" s="370"/>
      <c r="C107" s="370"/>
      <c r="D107" s="371"/>
      <c r="E107" s="284"/>
      <c r="F107" s="604"/>
      <c r="G107" s="768" t="s">
        <v>251</v>
      </c>
      <c r="H107" s="769"/>
      <c r="I107" s="769"/>
      <c r="J107" s="769"/>
      <c r="K107" s="769"/>
      <c r="L107" s="769"/>
      <c r="M107" s="769"/>
      <c r="N107" s="769"/>
      <c r="O107" s="769"/>
      <c r="P107" s="769"/>
      <c r="Q107" s="769"/>
      <c r="R107" s="770"/>
      <c r="S107" s="533"/>
      <c r="T107" s="368"/>
      <c r="U107" s="368"/>
      <c r="V107" s="368"/>
      <c r="W107" s="368"/>
      <c r="X107" s="368"/>
      <c r="Y107" s="368"/>
      <c r="Z107" s="368"/>
      <c r="AA107" s="368"/>
      <c r="AB107" s="368"/>
      <c r="AC107" s="368"/>
      <c r="AD107" s="368"/>
      <c r="AE107" s="368"/>
      <c r="AF107" s="368"/>
    </row>
    <row r="108" spans="1:32" s="369" customFormat="1" ht="23.25" customHeight="1">
      <c r="A108" s="372"/>
      <c r="B108" s="370"/>
      <c r="C108" s="370"/>
      <c r="D108" s="371"/>
      <c r="E108" s="284"/>
      <c r="F108" s="605"/>
      <c r="G108" s="697"/>
      <c r="H108" s="698"/>
      <c r="I108" s="698"/>
      <c r="J108" s="698"/>
      <c r="K108" s="698"/>
      <c r="L108" s="698"/>
      <c r="M108" s="698"/>
      <c r="N108" s="698"/>
      <c r="O108" s="698"/>
      <c r="P108" s="698"/>
      <c r="Q108" s="698"/>
      <c r="R108" s="699"/>
      <c r="S108" s="535"/>
      <c r="T108" s="368"/>
      <c r="U108" s="368"/>
      <c r="V108" s="368"/>
      <c r="W108" s="368"/>
      <c r="X108" s="368"/>
      <c r="Y108" s="368"/>
      <c r="Z108" s="368"/>
      <c r="AA108" s="368"/>
      <c r="AB108" s="368"/>
      <c r="AC108" s="368"/>
      <c r="AD108" s="368"/>
      <c r="AE108" s="368"/>
      <c r="AF108" s="368"/>
    </row>
    <row r="109" spans="1:32" ht="36">
      <c r="A109" s="6" t="s">
        <v>50</v>
      </c>
      <c r="B109" s="3" t="s">
        <v>101</v>
      </c>
      <c r="C109" s="3" t="s">
        <v>43</v>
      </c>
      <c r="D109" s="240" t="s">
        <v>51</v>
      </c>
      <c r="E109" s="4" t="s">
        <v>173</v>
      </c>
      <c r="F109" s="4"/>
      <c r="G109" s="529">
        <v>90</v>
      </c>
      <c r="H109" s="530"/>
      <c r="I109" s="531"/>
      <c r="J109" s="576">
        <v>2</v>
      </c>
      <c r="K109" s="606"/>
      <c r="L109" s="606"/>
      <c r="M109" s="576">
        <v>5</v>
      </c>
      <c r="N109" s="606"/>
      <c r="O109" s="606"/>
      <c r="P109" s="529">
        <v>2</v>
      </c>
      <c r="Q109" s="530"/>
      <c r="R109" s="531"/>
      <c r="S109" s="443"/>
    </row>
    <row r="110" spans="1:32" ht="36">
      <c r="A110" s="6" t="s">
        <v>52</v>
      </c>
      <c r="B110" s="3" t="s">
        <v>101</v>
      </c>
      <c r="C110" s="3" t="s">
        <v>43</v>
      </c>
      <c r="D110" s="240" t="s">
        <v>53</v>
      </c>
      <c r="E110" s="4" t="s">
        <v>173</v>
      </c>
      <c r="F110" s="4"/>
      <c r="G110" s="532">
        <v>0.21</v>
      </c>
      <c r="H110" s="530"/>
      <c r="I110" s="531"/>
      <c r="J110" s="532">
        <v>0.03</v>
      </c>
      <c r="K110" s="530"/>
      <c r="L110" s="531"/>
      <c r="M110" s="607">
        <v>0.08</v>
      </c>
      <c r="N110" s="606"/>
      <c r="O110" s="608"/>
      <c r="P110" s="532">
        <v>0.03</v>
      </c>
      <c r="Q110" s="530"/>
      <c r="R110" s="531"/>
      <c r="S110" s="434" t="s">
        <v>258</v>
      </c>
    </row>
    <row r="111" spans="1:32" ht="15.75" thickBot="1">
      <c r="A111" s="78"/>
      <c r="B111" s="117"/>
      <c r="C111" s="117"/>
      <c r="D111" s="178"/>
      <c r="E111" s="116"/>
      <c r="F111" s="116"/>
      <c r="G111" s="283"/>
      <c r="H111" s="104"/>
      <c r="I111" s="105"/>
      <c r="J111" s="96"/>
      <c r="K111" s="104"/>
      <c r="L111" s="104"/>
      <c r="M111" s="96"/>
      <c r="N111" s="104"/>
      <c r="O111" s="104"/>
      <c r="P111" s="70"/>
      <c r="Q111" s="104"/>
      <c r="R111" s="105"/>
      <c r="S111" s="401"/>
    </row>
    <row r="112" spans="1:32" ht="93" customHeight="1" thickBot="1">
      <c r="A112" s="6" t="s">
        <v>54</v>
      </c>
      <c r="B112" s="3" t="s">
        <v>55</v>
      </c>
      <c r="C112" s="3" t="s">
        <v>56</v>
      </c>
      <c r="D112" s="47" t="s">
        <v>57</v>
      </c>
      <c r="E112" s="4" t="s">
        <v>173</v>
      </c>
      <c r="F112" s="4"/>
      <c r="G112" s="690" t="s">
        <v>253</v>
      </c>
      <c r="H112" s="691"/>
      <c r="I112" s="691"/>
      <c r="J112" s="691"/>
      <c r="K112" s="691"/>
      <c r="L112" s="691"/>
      <c r="M112" s="691"/>
      <c r="N112" s="691"/>
      <c r="O112" s="692"/>
      <c r="P112" s="501" t="s">
        <v>193</v>
      </c>
      <c r="Q112" s="501"/>
      <c r="R112" s="693"/>
      <c r="S112" s="400"/>
    </row>
    <row r="113" spans="1:32" ht="51" customHeight="1" thickBot="1">
      <c r="A113" s="6" t="s">
        <v>58</v>
      </c>
      <c r="B113" s="3" t="s">
        <v>55</v>
      </c>
      <c r="C113" s="3" t="s">
        <v>56</v>
      </c>
      <c r="D113" s="47" t="s">
        <v>59</v>
      </c>
      <c r="E113" s="4" t="s">
        <v>173</v>
      </c>
      <c r="F113" s="4"/>
      <c r="G113" s="817" t="s">
        <v>254</v>
      </c>
      <c r="H113" s="818"/>
      <c r="I113" s="818"/>
      <c r="J113" s="818"/>
      <c r="K113" s="818"/>
      <c r="L113" s="818"/>
      <c r="M113" s="818"/>
      <c r="N113" s="818"/>
      <c r="O113" s="819"/>
      <c r="P113" s="832" t="s">
        <v>193</v>
      </c>
      <c r="Q113" s="833"/>
      <c r="R113" s="834"/>
      <c r="S113" s="402"/>
    </row>
    <row r="114" spans="1:32" ht="15.75" thickBot="1">
      <c r="A114" s="77"/>
      <c r="B114" s="39"/>
      <c r="C114" s="39"/>
      <c r="D114" s="40"/>
      <c r="E114" s="41"/>
      <c r="F114" s="41"/>
      <c r="G114" s="78"/>
      <c r="H114" s="63"/>
      <c r="I114" s="97"/>
      <c r="J114" s="120"/>
      <c r="K114" s="63"/>
      <c r="L114" s="64"/>
      <c r="M114" s="297"/>
      <c r="N114" s="298"/>
      <c r="O114" s="64"/>
      <c r="P114" s="70"/>
      <c r="Q114" s="333"/>
      <c r="R114" s="86"/>
      <c r="S114" s="403"/>
    </row>
    <row r="115" spans="1:32" ht="72">
      <c r="A115" s="6" t="s">
        <v>60</v>
      </c>
      <c r="B115" s="3" t="s">
        <v>61</v>
      </c>
      <c r="C115" s="3" t="s">
        <v>62</v>
      </c>
      <c r="D115" s="47" t="s">
        <v>63</v>
      </c>
      <c r="E115" s="4" t="s">
        <v>173</v>
      </c>
      <c r="F115" s="217" t="s">
        <v>64</v>
      </c>
      <c r="G115" s="79" t="s">
        <v>65</v>
      </c>
      <c r="H115" s="65" t="s">
        <v>0</v>
      </c>
      <c r="I115" s="37" t="s">
        <v>188</v>
      </c>
      <c r="J115" s="85" t="s">
        <v>65</v>
      </c>
      <c r="K115" s="66" t="s">
        <v>0</v>
      </c>
      <c r="L115" s="56" t="s">
        <v>188</v>
      </c>
      <c r="M115" s="123" t="s">
        <v>65</v>
      </c>
      <c r="N115" s="124" t="s">
        <v>129</v>
      </c>
      <c r="O115" s="293" t="s">
        <v>188</v>
      </c>
      <c r="P115" s="123" t="s">
        <v>65</v>
      </c>
      <c r="Q115" s="124" t="s">
        <v>129</v>
      </c>
      <c r="R115" s="207" t="s">
        <v>188</v>
      </c>
      <c r="S115" s="533"/>
    </row>
    <row r="116" spans="1:32">
      <c r="A116" s="583"/>
      <c r="B116" s="584"/>
      <c r="C116" s="584"/>
      <c r="D116" s="584"/>
      <c r="E116" s="585"/>
      <c r="F116" s="223" t="s">
        <v>66</v>
      </c>
      <c r="G116" s="126">
        <v>376</v>
      </c>
      <c r="H116" s="765">
        <v>7783</v>
      </c>
      <c r="I116" s="302">
        <f>G116/H116</f>
        <v>4.8310420146473083E-2</v>
      </c>
      <c r="J116" s="424">
        <v>858</v>
      </c>
      <c r="K116" s="696">
        <f>J116+J117+J118+J119</f>
        <v>1398</v>
      </c>
      <c r="L116" s="48">
        <f>J116/K116</f>
        <v>0.61373390557939911</v>
      </c>
      <c r="M116" s="126">
        <v>722</v>
      </c>
      <c r="N116" s="615">
        <v>1524</v>
      </c>
      <c r="O116" s="93">
        <f>M116/N116</f>
        <v>0.47375328083989499</v>
      </c>
      <c r="P116" s="102">
        <v>2797</v>
      </c>
      <c r="Q116" s="612">
        <v>5577</v>
      </c>
      <c r="R116" s="93">
        <f>P116/Q116</f>
        <v>0.50152411690873233</v>
      </c>
      <c r="S116" s="534"/>
    </row>
    <row r="117" spans="1:32">
      <c r="A117" s="586"/>
      <c r="B117" s="587"/>
      <c r="C117" s="587"/>
      <c r="D117" s="587"/>
      <c r="E117" s="588"/>
      <c r="F117" s="223" t="s">
        <v>67</v>
      </c>
      <c r="G117" s="126">
        <v>5717</v>
      </c>
      <c r="H117" s="766"/>
      <c r="I117" s="302">
        <f>G117/H116</f>
        <v>0.73454965951432605</v>
      </c>
      <c r="J117" s="424">
        <v>278</v>
      </c>
      <c r="K117" s="610"/>
      <c r="L117" s="48">
        <f>J117/K116</f>
        <v>0.19885550786838341</v>
      </c>
      <c r="M117" s="126">
        <v>652</v>
      </c>
      <c r="N117" s="616"/>
      <c r="O117" s="93">
        <f>M117/N116</f>
        <v>0.42782152230971127</v>
      </c>
      <c r="P117" s="102">
        <v>1699</v>
      </c>
      <c r="Q117" s="613"/>
      <c r="R117" s="93">
        <f>P117/Q116</f>
        <v>0.3046440738748431</v>
      </c>
      <c r="S117" s="534"/>
    </row>
    <row r="118" spans="1:32">
      <c r="A118" s="586"/>
      <c r="B118" s="587"/>
      <c r="C118" s="587"/>
      <c r="D118" s="587"/>
      <c r="E118" s="588"/>
      <c r="F118" s="223" t="s">
        <v>68</v>
      </c>
      <c r="G118" s="126">
        <v>1300</v>
      </c>
      <c r="H118" s="766"/>
      <c r="I118" s="302">
        <f>G118/H116</f>
        <v>0.16703070795323141</v>
      </c>
      <c r="J118" s="424">
        <v>190</v>
      </c>
      <c r="K118" s="610"/>
      <c r="L118" s="48">
        <f>J118/K116</f>
        <v>0.13590844062947066</v>
      </c>
      <c r="M118" s="126">
        <v>118</v>
      </c>
      <c r="N118" s="616"/>
      <c r="O118" s="93">
        <f>M118/N116</f>
        <v>7.7427821522309717E-2</v>
      </c>
      <c r="P118" s="102">
        <v>1012</v>
      </c>
      <c r="Q118" s="613"/>
      <c r="R118" s="93">
        <f>P118/Q116</f>
        <v>0.1814595660749507</v>
      </c>
      <c r="S118" s="534"/>
    </row>
    <row r="119" spans="1:32" ht="15.75" thickBot="1">
      <c r="A119" s="586"/>
      <c r="B119" s="587"/>
      <c r="C119" s="587"/>
      <c r="D119" s="587"/>
      <c r="E119" s="588"/>
      <c r="F119" s="224" t="s">
        <v>69</v>
      </c>
      <c r="G119" s="301">
        <v>390</v>
      </c>
      <c r="H119" s="767"/>
      <c r="I119" s="302">
        <f>G119/H116</f>
        <v>5.0109212385969423E-2</v>
      </c>
      <c r="J119" s="389">
        <v>72</v>
      </c>
      <c r="K119" s="611"/>
      <c r="L119" s="425">
        <f>J119/K116</f>
        <v>5.1502145922746781E-2</v>
      </c>
      <c r="M119" s="301">
        <v>32</v>
      </c>
      <c r="N119" s="617"/>
      <c r="O119" s="100">
        <f>M119/N116</f>
        <v>2.0997375328083989E-2</v>
      </c>
      <c r="P119" s="103">
        <v>69</v>
      </c>
      <c r="Q119" s="614"/>
      <c r="R119" s="100">
        <f>P119/Q116</f>
        <v>1.237224314147391E-2</v>
      </c>
      <c r="S119" s="535"/>
    </row>
    <row r="120" spans="1:32" ht="15.75" customHeight="1">
      <c r="A120" s="586"/>
      <c r="B120" s="587"/>
      <c r="C120" s="587"/>
      <c r="D120" s="587"/>
      <c r="E120" s="588"/>
      <c r="F120" s="225" t="s">
        <v>70</v>
      </c>
      <c r="G120" s="126">
        <v>2251</v>
      </c>
      <c r="H120" s="765">
        <v>5767</v>
      </c>
      <c r="I120" s="302">
        <f>G120/H120</f>
        <v>0.39032425871336918</v>
      </c>
      <c r="J120" s="122">
        <v>6</v>
      </c>
      <c r="K120" s="609">
        <f>J120+J121+J122+J123</f>
        <v>426</v>
      </c>
      <c r="L120" s="99">
        <f>J120/K120</f>
        <v>1.4084507042253521E-2</v>
      </c>
      <c r="M120" s="299">
        <v>450</v>
      </c>
      <c r="N120" s="616">
        <v>1596</v>
      </c>
      <c r="O120" s="300">
        <f>M120/N120</f>
        <v>0.28195488721804512</v>
      </c>
      <c r="P120" s="122">
        <v>405</v>
      </c>
      <c r="Q120" s="707">
        <v>652</v>
      </c>
      <c r="R120" s="99">
        <f>P120/Q120</f>
        <v>0.62116564417177911</v>
      </c>
      <c r="S120" s="527" t="s">
        <v>268</v>
      </c>
    </row>
    <row r="121" spans="1:32">
      <c r="A121" s="586"/>
      <c r="B121" s="587"/>
      <c r="C121" s="587"/>
      <c r="D121" s="587"/>
      <c r="E121" s="588"/>
      <c r="F121" s="223" t="s">
        <v>71</v>
      </c>
      <c r="G121" s="126">
        <v>1792</v>
      </c>
      <c r="H121" s="766"/>
      <c r="I121" s="302">
        <f>G121/H120</f>
        <v>0.31073348361366393</v>
      </c>
      <c r="J121" s="102">
        <v>6</v>
      </c>
      <c r="K121" s="610"/>
      <c r="L121" s="93">
        <f>J121/K120</f>
        <v>1.4084507042253521E-2</v>
      </c>
      <c r="M121" s="126">
        <v>1063</v>
      </c>
      <c r="N121" s="616"/>
      <c r="O121" s="48">
        <f>M121/N120</f>
        <v>0.66604010025062654</v>
      </c>
      <c r="P121" s="102">
        <v>153</v>
      </c>
      <c r="Q121" s="708"/>
      <c r="R121" s="93">
        <f>P121/Q120</f>
        <v>0.23466257668711657</v>
      </c>
      <c r="S121" s="536"/>
    </row>
    <row r="122" spans="1:32">
      <c r="A122" s="586"/>
      <c r="B122" s="587"/>
      <c r="C122" s="587"/>
      <c r="D122" s="587"/>
      <c r="E122" s="588"/>
      <c r="F122" s="223" t="s">
        <v>72</v>
      </c>
      <c r="G122" s="126">
        <v>958</v>
      </c>
      <c r="H122" s="766"/>
      <c r="I122" s="302">
        <f>G122/H120</f>
        <v>0.16611756545864401</v>
      </c>
      <c r="J122" s="102">
        <v>401</v>
      </c>
      <c r="K122" s="610"/>
      <c r="L122" s="93">
        <f>J122/K120</f>
        <v>0.94131455399061037</v>
      </c>
      <c r="M122" s="126">
        <v>83</v>
      </c>
      <c r="N122" s="616"/>
      <c r="O122" s="48">
        <f>M122/N120</f>
        <v>5.2005012531328318E-2</v>
      </c>
      <c r="P122" s="102">
        <v>92</v>
      </c>
      <c r="Q122" s="708"/>
      <c r="R122" s="93">
        <f>P122/Q120</f>
        <v>0.1411042944785276</v>
      </c>
      <c r="S122" s="536"/>
    </row>
    <row r="123" spans="1:32" s="74" customFormat="1" ht="15.75" thickBot="1">
      <c r="A123" s="586"/>
      <c r="B123" s="587"/>
      <c r="C123" s="587"/>
      <c r="D123" s="587"/>
      <c r="E123" s="588"/>
      <c r="F123" s="224" t="s">
        <v>73</v>
      </c>
      <c r="G123" s="301">
        <v>766</v>
      </c>
      <c r="H123" s="767"/>
      <c r="I123" s="473">
        <f>G123/H120</f>
        <v>0.13282469221432286</v>
      </c>
      <c r="J123" s="391">
        <v>13</v>
      </c>
      <c r="K123" s="611"/>
      <c r="L123" s="98">
        <f>J123/K120</f>
        <v>3.0516431924882629E-2</v>
      </c>
      <c r="M123" s="127">
        <v>0</v>
      </c>
      <c r="N123" s="617"/>
      <c r="O123" s="292">
        <f>M123/N120</f>
        <v>0</v>
      </c>
      <c r="P123" s="160">
        <v>2</v>
      </c>
      <c r="Q123" s="708"/>
      <c r="R123" s="100">
        <f>P123/Q120</f>
        <v>3.0674846625766872E-3</v>
      </c>
      <c r="S123" s="594"/>
      <c r="T123"/>
      <c r="U123"/>
      <c r="V123"/>
      <c r="W123"/>
      <c r="X123"/>
      <c r="Y123"/>
      <c r="Z123"/>
      <c r="AA123"/>
      <c r="AB123"/>
      <c r="AC123"/>
      <c r="AD123"/>
      <c r="AE123"/>
      <c r="AF123"/>
    </row>
    <row r="124" spans="1:32" ht="39" customHeight="1">
      <c r="A124" s="18" t="s">
        <v>74</v>
      </c>
      <c r="B124" s="19" t="s">
        <v>61</v>
      </c>
      <c r="C124" s="19" t="s">
        <v>62</v>
      </c>
      <c r="D124" s="20" t="s">
        <v>75</v>
      </c>
      <c r="E124" s="19" t="s">
        <v>173</v>
      </c>
      <c r="F124" s="161"/>
      <c r="G124" s="184" t="s">
        <v>230</v>
      </c>
      <c r="H124" s="143" t="s">
        <v>231</v>
      </c>
      <c r="I124" s="36" t="s">
        <v>188</v>
      </c>
      <c r="J124" s="184" t="s">
        <v>230</v>
      </c>
      <c r="K124" s="143" t="s">
        <v>231</v>
      </c>
      <c r="L124" s="36" t="s">
        <v>188</v>
      </c>
      <c r="M124" s="184" t="s">
        <v>230</v>
      </c>
      <c r="N124" s="143" t="s">
        <v>231</v>
      </c>
      <c r="O124" s="36" t="s">
        <v>188</v>
      </c>
      <c r="P124" s="184" t="s">
        <v>230</v>
      </c>
      <c r="Q124" s="143" t="s">
        <v>231</v>
      </c>
      <c r="R124" s="244" t="s">
        <v>188</v>
      </c>
      <c r="S124" s="597"/>
    </row>
    <row r="125" spans="1:32" ht="42" customHeight="1">
      <c r="A125" s="159"/>
      <c r="B125" s="145"/>
      <c r="C125" s="158"/>
      <c r="D125" s="145"/>
      <c r="E125" s="145"/>
      <c r="F125" s="146"/>
      <c r="G125" s="474">
        <v>1561</v>
      </c>
      <c r="H125" s="142">
        <v>13498</v>
      </c>
      <c r="I125" s="302">
        <f>G125/H125</f>
        <v>0.11564676248333086</v>
      </c>
      <c r="J125" s="426">
        <v>1245</v>
      </c>
      <c r="K125" s="142">
        <v>14538</v>
      </c>
      <c r="L125" s="427">
        <f>J125/K125</f>
        <v>8.5637639290136194E-2</v>
      </c>
      <c r="M125" s="144">
        <v>664</v>
      </c>
      <c r="N125" s="142">
        <v>2267</v>
      </c>
      <c r="O125" s="302">
        <f>M125/N125</f>
        <v>0.29289810322011467</v>
      </c>
      <c r="P125" s="144">
        <v>1516</v>
      </c>
      <c r="Q125" s="142">
        <v>14538</v>
      </c>
      <c r="R125" s="302">
        <f>P125/Q125</f>
        <v>0.10427844270188472</v>
      </c>
      <c r="S125" s="535"/>
    </row>
    <row r="126" spans="1:32" ht="36">
      <c r="A126" s="141" t="s">
        <v>76</v>
      </c>
      <c r="B126" s="67" t="s">
        <v>61</v>
      </c>
      <c r="C126" s="67" t="s">
        <v>62</v>
      </c>
      <c r="D126" s="52" t="s">
        <v>77</v>
      </c>
      <c r="E126" s="53" t="s">
        <v>173</v>
      </c>
      <c r="F126" s="53"/>
      <c r="G126" s="255">
        <v>2112</v>
      </c>
      <c r="H126" s="256">
        <v>10078</v>
      </c>
      <c r="I126" s="302">
        <f>G126/H126</f>
        <v>0.20956538995832508</v>
      </c>
      <c r="J126" s="428">
        <v>1974</v>
      </c>
      <c r="K126" s="256">
        <v>9991</v>
      </c>
      <c r="L126" s="429">
        <f>J126/K126</f>
        <v>0.19757782003803423</v>
      </c>
      <c r="M126" s="257">
        <v>74</v>
      </c>
      <c r="N126" s="256">
        <v>1083</v>
      </c>
      <c r="O126" s="303">
        <f>M126/N126</f>
        <v>6.8328716528162511E-2</v>
      </c>
      <c r="P126" s="257">
        <v>254</v>
      </c>
      <c r="Q126" s="256">
        <v>9911</v>
      </c>
      <c r="R126" s="302">
        <f>P126/Q126</f>
        <v>2.562809000100898E-2</v>
      </c>
      <c r="S126" s="475"/>
    </row>
    <row r="127" spans="1:32" ht="36" customHeight="1">
      <c r="A127" s="6" t="s">
        <v>78</v>
      </c>
      <c r="B127" s="3" t="s">
        <v>61</v>
      </c>
      <c r="C127" s="3" t="s">
        <v>79</v>
      </c>
      <c r="D127" s="47" t="s">
        <v>80</v>
      </c>
      <c r="E127" s="4" t="s">
        <v>173</v>
      </c>
      <c r="F127" s="4"/>
      <c r="G127" s="529">
        <v>204</v>
      </c>
      <c r="H127" s="530"/>
      <c r="I127" s="531"/>
      <c r="J127" s="700">
        <v>0</v>
      </c>
      <c r="K127" s="606"/>
      <c r="L127" s="608"/>
      <c r="M127" s="700">
        <v>0</v>
      </c>
      <c r="N127" s="606"/>
      <c r="O127" s="608"/>
      <c r="P127" s="529">
        <v>0</v>
      </c>
      <c r="Q127" s="530"/>
      <c r="R127" s="531"/>
      <c r="S127" s="445"/>
    </row>
    <row r="128" spans="1:32" ht="36">
      <c r="A128" s="22" t="s">
        <v>81</v>
      </c>
      <c r="B128" s="16" t="s">
        <v>61</v>
      </c>
      <c r="C128" s="16" t="s">
        <v>79</v>
      </c>
      <c r="D128" s="17" t="s">
        <v>82</v>
      </c>
      <c r="E128" s="54" t="s">
        <v>173</v>
      </c>
      <c r="F128" s="54"/>
      <c r="G128" s="148" t="s">
        <v>16</v>
      </c>
      <c r="H128" s="258" t="s">
        <v>18</v>
      </c>
      <c r="I128" s="259" t="s">
        <v>17</v>
      </c>
      <c r="J128" s="390" t="s">
        <v>16</v>
      </c>
      <c r="K128" s="430" t="s">
        <v>18</v>
      </c>
      <c r="L128" s="431" t="s">
        <v>17</v>
      </c>
      <c r="M128" s="148" t="s">
        <v>16</v>
      </c>
      <c r="N128" s="258" t="s">
        <v>18</v>
      </c>
      <c r="O128" s="259" t="s">
        <v>17</v>
      </c>
      <c r="P128" s="148" t="s">
        <v>16</v>
      </c>
      <c r="Q128" s="258" t="s">
        <v>18</v>
      </c>
      <c r="R128" s="260" t="s">
        <v>17</v>
      </c>
      <c r="S128" s="592"/>
    </row>
    <row r="129" spans="1:32" ht="24" customHeight="1" thickBot="1">
      <c r="A129" s="179"/>
      <c r="B129" s="140"/>
      <c r="C129" s="140"/>
      <c r="D129" s="180"/>
      <c r="E129" s="181"/>
      <c r="F129" s="182"/>
      <c r="G129" s="226">
        <v>204</v>
      </c>
      <c r="H129" s="183">
        <v>0.98</v>
      </c>
      <c r="I129" s="449">
        <v>0.02</v>
      </c>
      <c r="J129" s="432">
        <v>0</v>
      </c>
      <c r="K129" s="433">
        <v>0</v>
      </c>
      <c r="L129" s="450">
        <v>0</v>
      </c>
      <c r="M129" s="432">
        <v>0</v>
      </c>
      <c r="N129" s="304">
        <v>0</v>
      </c>
      <c r="O129" s="449">
        <v>0</v>
      </c>
      <c r="P129" s="226">
        <v>0</v>
      </c>
      <c r="Q129" s="183">
        <v>0</v>
      </c>
      <c r="R129" s="449">
        <v>0</v>
      </c>
      <c r="S129" s="593"/>
    </row>
    <row r="130" spans="1:32">
      <c r="A130" s="78"/>
      <c r="B130" s="117"/>
      <c r="C130" s="117"/>
      <c r="D130" s="178"/>
      <c r="E130" s="116"/>
      <c r="F130" s="116"/>
      <c r="G130" s="80"/>
      <c r="H130" s="70"/>
      <c r="I130" s="86"/>
      <c r="J130" s="70"/>
      <c r="K130" s="70"/>
      <c r="L130" s="70"/>
      <c r="M130" s="70"/>
      <c r="N130" s="70"/>
      <c r="O130" s="70"/>
      <c r="P130" s="70"/>
      <c r="Q130" s="70"/>
      <c r="R130" s="86"/>
      <c r="S130" s="403"/>
    </row>
    <row r="131" spans="1:32" ht="24">
      <c r="A131" s="6" t="s">
        <v>83</v>
      </c>
      <c r="B131" s="3" t="s">
        <v>84</v>
      </c>
      <c r="C131" s="3" t="s">
        <v>85</v>
      </c>
      <c r="D131" s="47" t="s">
        <v>86</v>
      </c>
      <c r="E131" s="4" t="s">
        <v>173</v>
      </c>
      <c r="F131" s="4"/>
      <c r="G131" s="704">
        <v>59</v>
      </c>
      <c r="H131" s="705"/>
      <c r="I131" s="705"/>
      <c r="J131" s="705"/>
      <c r="K131" s="705"/>
      <c r="L131" s="705"/>
      <c r="M131" s="705"/>
      <c r="N131" s="705"/>
      <c r="O131" s="705"/>
      <c r="P131" s="705"/>
      <c r="Q131" s="705"/>
      <c r="R131" s="706"/>
      <c r="S131" s="402"/>
    </row>
    <row r="132" spans="1:32">
      <c r="A132" s="77"/>
      <c r="B132" s="39"/>
      <c r="C132" s="39"/>
      <c r="D132" s="40"/>
      <c r="E132" s="41"/>
      <c r="F132" s="41"/>
      <c r="G132" s="80"/>
      <c r="H132" s="70"/>
      <c r="I132" s="86"/>
      <c r="J132" s="115"/>
      <c r="K132" s="115"/>
      <c r="L132" s="116"/>
      <c r="M132" s="115"/>
      <c r="N132" s="117"/>
      <c r="O132" s="116"/>
      <c r="P132" s="61"/>
      <c r="Q132" s="116"/>
      <c r="R132" s="97"/>
      <c r="S132" s="395"/>
    </row>
    <row r="133" spans="1:32" s="2" customFormat="1" ht="36">
      <c r="A133" s="81" t="s">
        <v>87</v>
      </c>
      <c r="B133" s="44" t="s">
        <v>88</v>
      </c>
      <c r="C133" s="44" t="s">
        <v>89</v>
      </c>
      <c r="D133" s="45" t="s">
        <v>90</v>
      </c>
      <c r="E133" s="46" t="s">
        <v>173</v>
      </c>
      <c r="F133" s="46"/>
      <c r="G133" s="697" t="s">
        <v>269</v>
      </c>
      <c r="H133" s="698"/>
      <c r="I133" s="699"/>
      <c r="J133" s="576" t="s">
        <v>246</v>
      </c>
      <c r="K133" s="694"/>
      <c r="L133" s="695"/>
      <c r="M133" s="576" t="s">
        <v>232</v>
      </c>
      <c r="N133" s="694"/>
      <c r="O133" s="695"/>
      <c r="P133" s="701" t="s">
        <v>193</v>
      </c>
      <c r="Q133" s="702"/>
      <c r="R133" s="703"/>
      <c r="S133" s="383"/>
      <c r="T133"/>
      <c r="U133"/>
      <c r="V133"/>
      <c r="W133"/>
      <c r="X133"/>
      <c r="Y133"/>
      <c r="Z133"/>
      <c r="AA133"/>
      <c r="AB133"/>
      <c r="AC133"/>
      <c r="AD133"/>
      <c r="AE133"/>
      <c r="AF133"/>
    </row>
    <row r="134" spans="1:32" s="2" customFormat="1" ht="24">
      <c r="A134" s="81" t="s">
        <v>91</v>
      </c>
      <c r="B134" s="44" t="s">
        <v>88</v>
      </c>
      <c r="C134" s="44" t="s">
        <v>89</v>
      </c>
      <c r="D134" s="45" t="s">
        <v>92</v>
      </c>
      <c r="E134" s="46" t="s">
        <v>173</v>
      </c>
      <c r="F134" s="46"/>
      <c r="G134" s="576" t="s">
        <v>238</v>
      </c>
      <c r="H134" s="694"/>
      <c r="I134" s="695"/>
      <c r="J134" s="576" t="s">
        <v>245</v>
      </c>
      <c r="K134" s="694"/>
      <c r="L134" s="695"/>
      <c r="M134" s="576" t="s">
        <v>233</v>
      </c>
      <c r="N134" s="694"/>
      <c r="O134" s="695"/>
      <c r="P134" s="701" t="s">
        <v>193</v>
      </c>
      <c r="Q134" s="702"/>
      <c r="R134" s="703"/>
      <c r="S134" s="402"/>
      <c r="T134"/>
      <c r="U134"/>
      <c r="V134"/>
      <c r="W134"/>
      <c r="X134"/>
      <c r="Y134"/>
      <c r="Z134"/>
      <c r="AA134"/>
      <c r="AB134"/>
      <c r="AC134"/>
      <c r="AD134"/>
      <c r="AE134"/>
      <c r="AF134"/>
    </row>
    <row r="135" spans="1:32" s="2" customFormat="1" ht="60" customHeight="1">
      <c r="A135" s="81" t="s">
        <v>93</v>
      </c>
      <c r="B135" s="44" t="s">
        <v>88</v>
      </c>
      <c r="C135" s="44" t="s">
        <v>89</v>
      </c>
      <c r="D135" s="45" t="s">
        <v>94</v>
      </c>
      <c r="E135" s="46" t="s">
        <v>173</v>
      </c>
      <c r="F135" s="46"/>
      <c r="G135" s="576" t="s">
        <v>158</v>
      </c>
      <c r="H135" s="694"/>
      <c r="I135" s="694"/>
      <c r="J135" s="694"/>
      <c r="K135" s="694"/>
      <c r="L135" s="694"/>
      <c r="M135" s="694"/>
      <c r="N135" s="694"/>
      <c r="O135" s="695"/>
      <c r="P135" s="701" t="s">
        <v>193</v>
      </c>
      <c r="Q135" s="702"/>
      <c r="R135" s="703"/>
      <c r="S135" s="404"/>
      <c r="T135"/>
      <c r="U135"/>
      <c r="V135"/>
      <c r="W135"/>
      <c r="X135"/>
      <c r="Y135"/>
      <c r="Z135"/>
      <c r="AA135"/>
      <c r="AB135"/>
      <c r="AC135"/>
      <c r="AD135"/>
      <c r="AE135"/>
      <c r="AF135"/>
    </row>
    <row r="136" spans="1:32" s="2" customFormat="1" ht="37.5">
      <c r="A136" s="81" t="s">
        <v>95</v>
      </c>
      <c r="B136" s="44" t="s">
        <v>88</v>
      </c>
      <c r="C136" s="44" t="s">
        <v>96</v>
      </c>
      <c r="D136" s="45" t="s">
        <v>136</v>
      </c>
      <c r="E136" s="46" t="s">
        <v>173</v>
      </c>
      <c r="F136" s="46"/>
      <c r="G136" s="811">
        <v>2.9499999999999998E-2</v>
      </c>
      <c r="H136" s="694"/>
      <c r="I136" s="695"/>
      <c r="J136" s="607">
        <v>4.0000000000000001E-3</v>
      </c>
      <c r="K136" s="627"/>
      <c r="L136" s="628"/>
      <c r="M136" s="715">
        <v>0</v>
      </c>
      <c r="N136" s="716"/>
      <c r="O136" s="717"/>
      <c r="P136" s="715" t="s">
        <v>235</v>
      </c>
      <c r="Q136" s="716"/>
      <c r="R136" s="717"/>
      <c r="S136" s="404"/>
      <c r="T136"/>
      <c r="U136"/>
      <c r="V136"/>
      <c r="W136"/>
      <c r="X136"/>
      <c r="Y136"/>
      <c r="Z136"/>
      <c r="AA136"/>
      <c r="AB136"/>
      <c r="AC136"/>
      <c r="AD136"/>
      <c r="AE136"/>
      <c r="AF136"/>
    </row>
    <row r="137" spans="1:32" s="2" customFormat="1" ht="37.5">
      <c r="A137" s="81" t="s">
        <v>137</v>
      </c>
      <c r="B137" s="44" t="s">
        <v>88</v>
      </c>
      <c r="C137" s="44" t="s">
        <v>138</v>
      </c>
      <c r="D137" s="45" t="s">
        <v>139</v>
      </c>
      <c r="E137" s="46" t="s">
        <v>173</v>
      </c>
      <c r="F137" s="46"/>
      <c r="G137" s="709">
        <v>1.6000000000000001E-3</v>
      </c>
      <c r="H137" s="713"/>
      <c r="I137" s="714"/>
      <c r="J137" s="709">
        <v>4.0000000000000002E-4</v>
      </c>
      <c r="K137" s="710"/>
      <c r="L137" s="711"/>
      <c r="M137" s="712">
        <v>0</v>
      </c>
      <c r="N137" s="713"/>
      <c r="O137" s="714"/>
      <c r="P137" s="712" t="s">
        <v>235</v>
      </c>
      <c r="Q137" s="812"/>
      <c r="R137" s="813"/>
      <c r="S137" s="404"/>
      <c r="T137"/>
      <c r="U137"/>
      <c r="V137"/>
      <c r="W137"/>
      <c r="X137"/>
      <c r="Y137"/>
      <c r="Z137"/>
      <c r="AA137"/>
      <c r="AB137"/>
      <c r="AC137"/>
      <c r="AD137"/>
      <c r="AE137"/>
      <c r="AF137"/>
    </row>
    <row r="138" spans="1:32" s="2" customFormat="1" ht="54" customHeight="1">
      <c r="A138" s="129" t="s">
        <v>140</v>
      </c>
      <c r="B138" s="130" t="s">
        <v>88</v>
      </c>
      <c r="C138" s="130" t="s">
        <v>141</v>
      </c>
      <c r="D138" s="253" t="s">
        <v>142</v>
      </c>
      <c r="E138" s="254" t="s">
        <v>173</v>
      </c>
      <c r="F138" s="254"/>
      <c r="G138" s="689" t="s">
        <v>270</v>
      </c>
      <c r="H138" s="689"/>
      <c r="I138" s="689"/>
      <c r="J138" s="689" t="s">
        <v>271</v>
      </c>
      <c r="K138" s="689"/>
      <c r="L138" s="689"/>
      <c r="M138" s="689" t="s">
        <v>272</v>
      </c>
      <c r="N138" s="689"/>
      <c r="O138" s="689"/>
      <c r="P138" s="689" t="s">
        <v>273</v>
      </c>
      <c r="Q138" s="689"/>
      <c r="R138" s="689"/>
      <c r="S138" s="382" t="s">
        <v>274</v>
      </c>
      <c r="T138"/>
      <c r="U138"/>
      <c r="V138"/>
      <c r="W138"/>
      <c r="X138"/>
      <c r="Y138"/>
      <c r="Z138"/>
      <c r="AA138"/>
      <c r="AB138"/>
      <c r="AC138"/>
      <c r="AD138"/>
      <c r="AE138"/>
      <c r="AF138"/>
    </row>
    <row r="139" spans="1:32" s="2" customFormat="1" ht="60" customHeight="1">
      <c r="A139" s="81" t="s">
        <v>143</v>
      </c>
      <c r="B139" s="44" t="s">
        <v>88</v>
      </c>
      <c r="C139" s="44" t="s">
        <v>144</v>
      </c>
      <c r="D139" s="45" t="s">
        <v>145</v>
      </c>
      <c r="E139" s="46" t="s">
        <v>173</v>
      </c>
      <c r="F139" s="46"/>
      <c r="G139" s="686" t="s">
        <v>275</v>
      </c>
      <c r="H139" s="687"/>
      <c r="I139" s="687"/>
      <c r="J139" s="687"/>
      <c r="K139" s="687"/>
      <c r="L139" s="687"/>
      <c r="M139" s="687"/>
      <c r="N139" s="687"/>
      <c r="O139" s="687"/>
      <c r="P139" s="687"/>
      <c r="Q139" s="687"/>
      <c r="R139" s="688"/>
      <c r="S139" s="405"/>
      <c r="T139"/>
      <c r="U139"/>
      <c r="V139"/>
      <c r="W139"/>
      <c r="X139"/>
      <c r="Y139"/>
      <c r="Z139"/>
      <c r="AA139"/>
      <c r="AB139"/>
      <c r="AC139"/>
      <c r="AD139"/>
      <c r="AE139"/>
      <c r="AF139"/>
    </row>
    <row r="140" spans="1:32" s="2" customFormat="1" ht="66" customHeight="1" thickBot="1">
      <c r="A140" s="81" t="s">
        <v>146</v>
      </c>
      <c r="B140" s="44" t="s">
        <v>88</v>
      </c>
      <c r="C140" s="44" t="s">
        <v>147</v>
      </c>
      <c r="D140" s="45" t="s">
        <v>148</v>
      </c>
      <c r="E140" s="46" t="s">
        <v>173</v>
      </c>
      <c r="F140" s="46"/>
      <c r="G140" s="686" t="s">
        <v>276</v>
      </c>
      <c r="H140" s="687"/>
      <c r="I140" s="687"/>
      <c r="J140" s="687"/>
      <c r="K140" s="687"/>
      <c r="L140" s="687"/>
      <c r="M140" s="687"/>
      <c r="N140" s="687"/>
      <c r="O140" s="687"/>
      <c r="P140" s="687"/>
      <c r="Q140" s="687"/>
      <c r="R140" s="688"/>
      <c r="S140" s="406"/>
      <c r="T140"/>
      <c r="U140"/>
      <c r="V140"/>
      <c r="W140"/>
      <c r="X140"/>
      <c r="Y140"/>
      <c r="Z140"/>
      <c r="AA140"/>
      <c r="AB140"/>
      <c r="AC140"/>
      <c r="AD140"/>
      <c r="AE140"/>
      <c r="AF140"/>
    </row>
    <row r="141" spans="1:32">
      <c r="A141" s="77"/>
      <c r="B141" s="39"/>
      <c r="C141" s="39"/>
      <c r="D141" s="40"/>
      <c r="E141" s="41"/>
      <c r="F141" s="41"/>
      <c r="G141" s="82"/>
      <c r="H141" s="71"/>
      <c r="I141" s="101"/>
      <c r="J141" s="72"/>
      <c r="K141" s="72"/>
      <c r="L141" s="106"/>
      <c r="M141" s="107"/>
      <c r="N141" s="73"/>
      <c r="O141" s="92"/>
      <c r="P141" s="42"/>
      <c r="Q141" s="41"/>
      <c r="R141" s="92"/>
      <c r="S141" s="403"/>
    </row>
    <row r="142" spans="1:32" ht="56.25" customHeight="1">
      <c r="A142" s="6" t="s">
        <v>149</v>
      </c>
      <c r="B142" s="3" t="s">
        <v>150</v>
      </c>
      <c r="C142" s="3" t="s">
        <v>150</v>
      </c>
      <c r="D142" s="47" t="s">
        <v>151</v>
      </c>
      <c r="E142" s="4" t="s">
        <v>173</v>
      </c>
      <c r="F142" s="4"/>
      <c r="G142" s="808" t="s">
        <v>243</v>
      </c>
      <c r="H142" s="809"/>
      <c r="I142" s="809"/>
      <c r="J142" s="809"/>
      <c r="K142" s="809"/>
      <c r="L142" s="809"/>
      <c r="M142" s="809"/>
      <c r="N142" s="809"/>
      <c r="O142" s="809"/>
      <c r="P142" s="809"/>
      <c r="Q142" s="809"/>
      <c r="R142" s="810"/>
      <c r="S142" s="446"/>
    </row>
    <row r="143" spans="1:32" ht="15.75" thickBot="1">
      <c r="A143" s="82"/>
      <c r="B143" s="71"/>
      <c r="C143" s="71"/>
      <c r="D143" s="134"/>
      <c r="E143" s="121"/>
      <c r="F143" s="121"/>
      <c r="G143" s="80"/>
      <c r="H143" s="70"/>
      <c r="I143" s="86"/>
      <c r="J143" s="114"/>
      <c r="K143" s="114"/>
      <c r="L143" s="114"/>
      <c r="M143" s="135"/>
      <c r="N143" s="114"/>
      <c r="O143" s="118"/>
      <c r="P143" s="114"/>
      <c r="Q143" s="114"/>
      <c r="R143" s="118"/>
      <c r="S143" s="395"/>
    </row>
    <row r="144" spans="1:32" ht="26.25" customHeight="1">
      <c r="A144" s="110" t="s">
        <v>152</v>
      </c>
      <c r="B144" s="274" t="s">
        <v>147</v>
      </c>
      <c r="C144" s="274" t="s">
        <v>153</v>
      </c>
      <c r="D144" s="238" t="s">
        <v>154</v>
      </c>
      <c r="E144" s="275" t="s">
        <v>173</v>
      </c>
      <c r="F144" s="338" t="s">
        <v>255</v>
      </c>
      <c r="G144" s="337" t="s">
        <v>129</v>
      </c>
      <c r="H144" s="338" t="s">
        <v>244</v>
      </c>
      <c r="I144" s="339" t="s">
        <v>188</v>
      </c>
      <c r="J144" s="337" t="s">
        <v>129</v>
      </c>
      <c r="K144" s="338" t="s">
        <v>244</v>
      </c>
      <c r="L144" s="339" t="s">
        <v>188</v>
      </c>
      <c r="M144" s="337" t="s">
        <v>129</v>
      </c>
      <c r="N144" s="338" t="s">
        <v>244</v>
      </c>
      <c r="O144" s="339" t="s">
        <v>188</v>
      </c>
      <c r="P144" s="340" t="s">
        <v>129</v>
      </c>
      <c r="Q144" s="341" t="s">
        <v>244</v>
      </c>
      <c r="R144" s="341" t="s">
        <v>188</v>
      </c>
      <c r="S144" s="448"/>
    </row>
    <row r="145" spans="1:32" ht="15.75" thickBot="1">
      <c r="A145" s="524"/>
      <c r="B145" s="525"/>
      <c r="C145" s="525"/>
      <c r="D145" s="526"/>
      <c r="E145" s="54"/>
      <c r="F145" s="455"/>
      <c r="G145" s="255">
        <v>643</v>
      </c>
      <c r="H145" s="256">
        <v>405</v>
      </c>
      <c r="I145" s="98">
        <f>H145/G145</f>
        <v>0.62986003110419908</v>
      </c>
      <c r="J145" s="255">
        <v>919</v>
      </c>
      <c r="K145" s="256">
        <v>478</v>
      </c>
      <c r="L145" s="98">
        <f>K145/J145</f>
        <v>0.52013057671381935</v>
      </c>
      <c r="M145" s="255">
        <v>77</v>
      </c>
      <c r="N145" s="256">
        <v>41</v>
      </c>
      <c r="O145" s="303">
        <f>N145/M145</f>
        <v>0.53246753246753242</v>
      </c>
      <c r="P145" s="255">
        <v>198</v>
      </c>
      <c r="Q145" s="256">
        <v>128</v>
      </c>
      <c r="R145" s="98">
        <f>Q145/P145</f>
        <v>0.64646464646464652</v>
      </c>
      <c r="S145" s="444"/>
    </row>
    <row r="146" spans="1:32" ht="24">
      <c r="A146" s="336" t="s">
        <v>228</v>
      </c>
      <c r="B146" s="334" t="s">
        <v>147</v>
      </c>
      <c r="C146" s="334" t="s">
        <v>153</v>
      </c>
      <c r="D146" s="238" t="s">
        <v>155</v>
      </c>
      <c r="E146" s="335" t="s">
        <v>173</v>
      </c>
      <c r="F146" s="335"/>
      <c r="G146" s="791" t="s">
        <v>234</v>
      </c>
      <c r="H146" s="792"/>
      <c r="I146" s="792"/>
      <c r="J146" s="792"/>
      <c r="K146" s="792"/>
      <c r="L146" s="792"/>
      <c r="M146" s="792"/>
      <c r="N146" s="792"/>
      <c r="O146" s="792"/>
      <c r="P146" s="792"/>
      <c r="Q146" s="792"/>
      <c r="R146" s="793"/>
      <c r="S146" s="407"/>
    </row>
    <row r="147" spans="1:32" s="74" customFormat="1" ht="30" customHeight="1" thickBot="1">
      <c r="A147" s="136" t="s">
        <v>229</v>
      </c>
      <c r="B147" s="137" t="s">
        <v>147</v>
      </c>
      <c r="C147" s="137" t="s">
        <v>153</v>
      </c>
      <c r="D147" s="138" t="s">
        <v>156</v>
      </c>
      <c r="E147" s="139" t="s">
        <v>173</v>
      </c>
      <c r="F147" s="139"/>
      <c r="G147" s="788">
        <v>16</v>
      </c>
      <c r="H147" s="789"/>
      <c r="I147" s="790"/>
      <c r="J147" s="788">
        <v>3</v>
      </c>
      <c r="K147" s="789"/>
      <c r="L147" s="790"/>
      <c r="M147" s="676">
        <v>2</v>
      </c>
      <c r="N147" s="677"/>
      <c r="O147" s="678"/>
      <c r="P147" s="676">
        <v>1</v>
      </c>
      <c r="Q147" s="677"/>
      <c r="R147" s="678"/>
      <c r="S147" s="447"/>
      <c r="T147"/>
      <c r="U147"/>
      <c r="V147"/>
      <c r="W147"/>
      <c r="X147"/>
      <c r="Y147"/>
      <c r="Z147"/>
      <c r="AA147"/>
      <c r="AB147"/>
      <c r="AC147"/>
      <c r="AD147"/>
      <c r="AE147"/>
      <c r="AF147"/>
    </row>
    <row r="148" spans="1:32" customFormat="1">
      <c r="S148" s="408"/>
    </row>
    <row r="149" spans="1:32" customFormat="1">
      <c r="S149" s="408"/>
    </row>
    <row r="150" spans="1:32" customFormat="1">
      <c r="S150" s="408"/>
    </row>
    <row r="151" spans="1:32" customFormat="1">
      <c r="S151" s="408"/>
    </row>
    <row r="152" spans="1:32" customFormat="1">
      <c r="S152" s="408"/>
    </row>
    <row r="153" spans="1:32" customFormat="1">
      <c r="S153" s="408"/>
    </row>
    <row r="154" spans="1:32" customFormat="1">
      <c r="S154" s="408"/>
    </row>
    <row r="155" spans="1:32" customFormat="1">
      <c r="S155" s="408"/>
    </row>
    <row r="156" spans="1:32" customFormat="1">
      <c r="S156" s="408"/>
    </row>
    <row r="157" spans="1:32" customFormat="1">
      <c r="S157" s="408"/>
    </row>
    <row r="158" spans="1:32" customFormat="1">
      <c r="S158" s="408"/>
    </row>
    <row r="159" spans="1:32" customFormat="1">
      <c r="S159" s="408"/>
    </row>
    <row r="160" spans="1:32" customFormat="1">
      <c r="S160" s="408"/>
    </row>
    <row r="161" spans="19:19" customFormat="1">
      <c r="S161" s="408"/>
    </row>
    <row r="162" spans="19:19" customFormat="1">
      <c r="S162" s="408"/>
    </row>
    <row r="163" spans="19:19" customFormat="1">
      <c r="S163" s="408"/>
    </row>
    <row r="164" spans="19:19" customFormat="1">
      <c r="S164" s="408"/>
    </row>
    <row r="165" spans="19:19" customFormat="1">
      <c r="S165" s="408"/>
    </row>
    <row r="166" spans="19:19" customFormat="1">
      <c r="S166" s="408"/>
    </row>
    <row r="167" spans="19:19" customFormat="1">
      <c r="S167" s="408"/>
    </row>
    <row r="168" spans="19:19" customFormat="1">
      <c r="S168" s="408"/>
    </row>
    <row r="169" spans="19:19" customFormat="1">
      <c r="S169" s="408"/>
    </row>
    <row r="170" spans="19:19" customFormat="1">
      <c r="S170" s="408"/>
    </row>
    <row r="171" spans="19:19" customFormat="1">
      <c r="S171" s="408"/>
    </row>
    <row r="172" spans="19:19" customFormat="1">
      <c r="S172" s="408"/>
    </row>
    <row r="173" spans="19:19" customFormat="1">
      <c r="S173" s="408"/>
    </row>
    <row r="174" spans="19:19" customFormat="1">
      <c r="S174" s="408"/>
    </row>
    <row r="175" spans="19:19" customFormat="1">
      <c r="S175" s="408"/>
    </row>
    <row r="176" spans="19:19" customFormat="1">
      <c r="S176" s="408"/>
    </row>
    <row r="177" spans="19:19" customFormat="1">
      <c r="S177" s="408"/>
    </row>
    <row r="178" spans="19:19" customFormat="1">
      <c r="S178" s="408"/>
    </row>
    <row r="179" spans="19:19" customFormat="1">
      <c r="S179" s="408"/>
    </row>
    <row r="180" spans="19:19" customFormat="1">
      <c r="S180" s="408"/>
    </row>
    <row r="181" spans="19:19" customFormat="1">
      <c r="S181" s="408"/>
    </row>
    <row r="182" spans="19:19" customFormat="1">
      <c r="S182" s="408"/>
    </row>
    <row r="183" spans="19:19" customFormat="1">
      <c r="S183" s="408"/>
    </row>
    <row r="184" spans="19:19" customFormat="1">
      <c r="S184" s="408"/>
    </row>
    <row r="185" spans="19:19" customFormat="1">
      <c r="S185" s="408"/>
    </row>
    <row r="186" spans="19:19" customFormat="1">
      <c r="S186" s="408"/>
    </row>
    <row r="187" spans="19:19" customFormat="1">
      <c r="S187" s="408"/>
    </row>
    <row r="188" spans="19:19" customFormat="1">
      <c r="S188" s="408"/>
    </row>
    <row r="189" spans="19:19" customFormat="1">
      <c r="S189" s="408"/>
    </row>
    <row r="190" spans="19:19" customFormat="1">
      <c r="S190" s="408"/>
    </row>
    <row r="191" spans="19:19" customFormat="1">
      <c r="S191" s="408"/>
    </row>
    <row r="192" spans="19:19" customFormat="1">
      <c r="S192" s="408"/>
    </row>
    <row r="193" spans="19:19" customFormat="1">
      <c r="S193" s="408"/>
    </row>
    <row r="194" spans="19:19" customFormat="1">
      <c r="S194" s="408"/>
    </row>
    <row r="195" spans="19:19" customFormat="1">
      <c r="S195" s="408"/>
    </row>
    <row r="196" spans="19:19" customFormat="1">
      <c r="S196" s="408"/>
    </row>
    <row r="197" spans="19:19" customFormat="1">
      <c r="S197" s="408"/>
    </row>
    <row r="198" spans="19:19" customFormat="1">
      <c r="S198" s="408"/>
    </row>
    <row r="199" spans="19:19" customFormat="1">
      <c r="S199" s="408"/>
    </row>
    <row r="200" spans="19:19" customFormat="1">
      <c r="S200" s="408"/>
    </row>
    <row r="201" spans="19:19" customFormat="1">
      <c r="S201" s="408"/>
    </row>
    <row r="202" spans="19:19" customFormat="1">
      <c r="S202" s="408"/>
    </row>
    <row r="203" spans="19:19" customFormat="1">
      <c r="S203" s="408"/>
    </row>
    <row r="204" spans="19:19" customFormat="1">
      <c r="S204" s="408"/>
    </row>
    <row r="205" spans="19:19" customFormat="1">
      <c r="S205" s="408"/>
    </row>
    <row r="206" spans="19:19" customFormat="1">
      <c r="S206" s="408"/>
    </row>
    <row r="207" spans="19:19" customFormat="1">
      <c r="S207" s="408"/>
    </row>
    <row r="208" spans="19:19" customFormat="1">
      <c r="S208" s="408"/>
    </row>
    <row r="209" spans="19:19" customFormat="1">
      <c r="S209" s="408"/>
    </row>
    <row r="210" spans="19:19" customFormat="1">
      <c r="S210" s="408"/>
    </row>
    <row r="211" spans="19:19" customFormat="1">
      <c r="S211" s="408"/>
    </row>
    <row r="212" spans="19:19" customFormat="1">
      <c r="S212" s="408"/>
    </row>
    <row r="213" spans="19:19" customFormat="1">
      <c r="S213" s="408"/>
    </row>
    <row r="214" spans="19:19" customFormat="1">
      <c r="S214" s="408"/>
    </row>
    <row r="215" spans="19:19" customFormat="1">
      <c r="S215" s="408"/>
    </row>
    <row r="216" spans="19:19" customFormat="1">
      <c r="S216" s="408"/>
    </row>
    <row r="217" spans="19:19" customFormat="1">
      <c r="S217" s="408"/>
    </row>
    <row r="218" spans="19:19" customFormat="1">
      <c r="S218" s="408"/>
    </row>
    <row r="219" spans="19:19" customFormat="1">
      <c r="S219" s="408"/>
    </row>
    <row r="220" spans="19:19" customFormat="1">
      <c r="S220" s="408"/>
    </row>
    <row r="221" spans="19:19" customFormat="1">
      <c r="S221" s="408"/>
    </row>
    <row r="222" spans="19:19" customFormat="1">
      <c r="S222" s="408"/>
    </row>
    <row r="223" spans="19:19" customFormat="1">
      <c r="S223" s="408"/>
    </row>
    <row r="224" spans="19:19" customFormat="1">
      <c r="S224" s="408"/>
    </row>
    <row r="225" spans="19:19" customFormat="1">
      <c r="S225" s="408"/>
    </row>
    <row r="226" spans="19:19" customFormat="1">
      <c r="S226" s="408"/>
    </row>
    <row r="227" spans="19:19" customFormat="1">
      <c r="S227" s="408"/>
    </row>
    <row r="228" spans="19:19" customFormat="1">
      <c r="S228" s="408"/>
    </row>
    <row r="229" spans="19:19" customFormat="1">
      <c r="S229" s="408"/>
    </row>
    <row r="230" spans="19:19" customFormat="1">
      <c r="S230" s="408"/>
    </row>
    <row r="231" spans="19:19" customFormat="1">
      <c r="S231" s="408"/>
    </row>
    <row r="232" spans="19:19" customFormat="1">
      <c r="S232" s="408"/>
    </row>
    <row r="233" spans="19:19" customFormat="1">
      <c r="S233" s="408"/>
    </row>
    <row r="234" spans="19:19" customFormat="1">
      <c r="S234" s="408"/>
    </row>
    <row r="235" spans="19:19" customFormat="1">
      <c r="S235" s="408"/>
    </row>
    <row r="236" spans="19:19" customFormat="1">
      <c r="S236" s="408"/>
    </row>
    <row r="237" spans="19:19" customFormat="1">
      <c r="S237" s="408"/>
    </row>
    <row r="238" spans="19:19" customFormat="1">
      <c r="S238" s="408"/>
    </row>
    <row r="239" spans="19:19" customFormat="1">
      <c r="S239" s="408"/>
    </row>
    <row r="240" spans="19:19" customFormat="1">
      <c r="S240" s="408"/>
    </row>
    <row r="241" spans="19:19" customFormat="1">
      <c r="S241" s="408"/>
    </row>
    <row r="242" spans="19:19" customFormat="1">
      <c r="S242" s="408"/>
    </row>
    <row r="243" spans="19:19" customFormat="1">
      <c r="S243" s="408"/>
    </row>
    <row r="244" spans="19:19" customFormat="1">
      <c r="S244" s="408"/>
    </row>
    <row r="245" spans="19:19" customFormat="1">
      <c r="S245" s="408"/>
    </row>
    <row r="246" spans="19:19" customFormat="1">
      <c r="S246" s="408"/>
    </row>
    <row r="247" spans="19:19" customFormat="1">
      <c r="S247" s="408"/>
    </row>
    <row r="248" spans="19:19" customFormat="1">
      <c r="S248" s="408"/>
    </row>
    <row r="249" spans="19:19" customFormat="1">
      <c r="S249" s="408"/>
    </row>
    <row r="250" spans="19:19" customFormat="1">
      <c r="S250" s="408"/>
    </row>
    <row r="251" spans="19:19" customFormat="1">
      <c r="S251" s="408"/>
    </row>
    <row r="252" spans="19:19" customFormat="1">
      <c r="S252" s="408"/>
    </row>
    <row r="253" spans="19:19" customFormat="1">
      <c r="S253" s="408"/>
    </row>
    <row r="254" spans="19:19" customFormat="1">
      <c r="S254" s="408"/>
    </row>
    <row r="255" spans="19:19" customFormat="1">
      <c r="S255" s="408"/>
    </row>
    <row r="256" spans="19:19" customFormat="1">
      <c r="S256" s="408"/>
    </row>
    <row r="257" spans="19:19" customFormat="1">
      <c r="S257" s="408"/>
    </row>
    <row r="258" spans="19:19" customFormat="1">
      <c r="S258" s="408"/>
    </row>
    <row r="259" spans="19:19" customFormat="1">
      <c r="S259" s="408"/>
    </row>
    <row r="260" spans="19:19" customFormat="1">
      <c r="S260" s="408"/>
    </row>
    <row r="261" spans="19:19" customFormat="1">
      <c r="S261" s="408"/>
    </row>
    <row r="262" spans="19:19" customFormat="1">
      <c r="S262" s="408"/>
    </row>
    <row r="263" spans="19:19" customFormat="1">
      <c r="S263" s="408"/>
    </row>
    <row r="264" spans="19:19" customFormat="1">
      <c r="S264" s="408"/>
    </row>
    <row r="265" spans="19:19" customFormat="1">
      <c r="S265" s="408"/>
    </row>
    <row r="266" spans="19:19" customFormat="1">
      <c r="S266" s="408"/>
    </row>
    <row r="267" spans="19:19" customFormat="1">
      <c r="S267" s="408"/>
    </row>
    <row r="268" spans="19:19" customFormat="1">
      <c r="S268" s="408"/>
    </row>
    <row r="269" spans="19:19" customFormat="1">
      <c r="S269" s="408"/>
    </row>
    <row r="270" spans="19:19" customFormat="1">
      <c r="S270" s="408"/>
    </row>
    <row r="271" spans="19:19" customFormat="1">
      <c r="S271" s="408"/>
    </row>
    <row r="272" spans="19:19" customFormat="1">
      <c r="S272" s="408"/>
    </row>
    <row r="273" spans="19:19" customFormat="1">
      <c r="S273" s="408"/>
    </row>
    <row r="274" spans="19:19" customFormat="1">
      <c r="S274" s="408"/>
    </row>
    <row r="275" spans="19:19" customFormat="1">
      <c r="S275" s="408"/>
    </row>
    <row r="276" spans="19:19" customFormat="1">
      <c r="S276" s="408"/>
    </row>
    <row r="277" spans="19:19" customFormat="1">
      <c r="S277" s="408"/>
    </row>
    <row r="278" spans="19:19" customFormat="1">
      <c r="S278" s="408"/>
    </row>
    <row r="279" spans="19:19" customFormat="1">
      <c r="S279" s="408"/>
    </row>
    <row r="280" spans="19:19" customFormat="1">
      <c r="S280" s="408"/>
    </row>
    <row r="281" spans="19:19" customFormat="1">
      <c r="S281" s="408"/>
    </row>
    <row r="282" spans="19:19" customFormat="1">
      <c r="S282" s="408"/>
    </row>
    <row r="283" spans="19:19" customFormat="1">
      <c r="S283" s="408"/>
    </row>
    <row r="284" spans="19:19" customFormat="1">
      <c r="S284" s="408"/>
    </row>
    <row r="285" spans="19:19" customFormat="1">
      <c r="S285" s="408"/>
    </row>
    <row r="286" spans="19:19" customFormat="1">
      <c r="S286" s="408"/>
    </row>
    <row r="287" spans="19:19" customFormat="1">
      <c r="S287" s="408"/>
    </row>
    <row r="288" spans="19:19" customFormat="1">
      <c r="S288" s="408"/>
    </row>
    <row r="289" spans="19:19" customFormat="1">
      <c r="S289" s="408"/>
    </row>
    <row r="290" spans="19:19" customFormat="1">
      <c r="S290" s="408"/>
    </row>
    <row r="291" spans="19:19" customFormat="1">
      <c r="S291" s="408"/>
    </row>
    <row r="292" spans="19:19" customFormat="1">
      <c r="S292" s="408"/>
    </row>
    <row r="293" spans="19:19" customFormat="1">
      <c r="S293" s="408"/>
    </row>
    <row r="294" spans="19:19" customFormat="1">
      <c r="S294" s="408"/>
    </row>
    <row r="295" spans="19:19" customFormat="1">
      <c r="S295" s="408"/>
    </row>
    <row r="296" spans="19:19" customFormat="1">
      <c r="S296" s="408"/>
    </row>
    <row r="297" spans="19:19" customFormat="1">
      <c r="S297" s="408"/>
    </row>
    <row r="298" spans="19:19" customFormat="1">
      <c r="S298" s="408"/>
    </row>
    <row r="299" spans="19:19" customFormat="1">
      <c r="S299" s="408"/>
    </row>
    <row r="300" spans="19:19" customFormat="1">
      <c r="S300" s="408"/>
    </row>
    <row r="301" spans="19:19" customFormat="1">
      <c r="S301" s="408"/>
    </row>
    <row r="302" spans="19:19" customFormat="1">
      <c r="S302" s="408"/>
    </row>
    <row r="303" spans="19:19" customFormat="1">
      <c r="S303" s="408"/>
    </row>
    <row r="304" spans="19:19" customFormat="1">
      <c r="S304" s="408"/>
    </row>
    <row r="305" spans="19:19" customFormat="1">
      <c r="S305" s="408"/>
    </row>
    <row r="306" spans="19:19" customFormat="1">
      <c r="S306" s="408"/>
    </row>
    <row r="307" spans="19:19" customFormat="1">
      <c r="S307" s="408"/>
    </row>
    <row r="308" spans="19:19" customFormat="1">
      <c r="S308" s="408"/>
    </row>
    <row r="309" spans="19:19" customFormat="1">
      <c r="S309" s="408"/>
    </row>
    <row r="310" spans="19:19" customFormat="1">
      <c r="S310" s="408"/>
    </row>
    <row r="311" spans="19:19" customFormat="1">
      <c r="S311" s="408"/>
    </row>
    <row r="312" spans="19:19" customFormat="1">
      <c r="S312" s="408"/>
    </row>
    <row r="313" spans="19:19" customFormat="1">
      <c r="S313" s="408"/>
    </row>
    <row r="314" spans="19:19" customFormat="1">
      <c r="S314" s="408"/>
    </row>
    <row r="315" spans="19:19" customFormat="1">
      <c r="S315" s="408"/>
    </row>
    <row r="316" spans="19:19" customFormat="1">
      <c r="S316" s="408"/>
    </row>
    <row r="317" spans="19:19" customFormat="1">
      <c r="S317" s="408"/>
    </row>
    <row r="318" spans="19:19" customFormat="1">
      <c r="S318" s="408"/>
    </row>
    <row r="319" spans="19:19" customFormat="1">
      <c r="S319" s="408"/>
    </row>
    <row r="320" spans="19:19" customFormat="1">
      <c r="S320" s="408"/>
    </row>
    <row r="321" spans="19:19" customFormat="1">
      <c r="S321" s="408"/>
    </row>
    <row r="322" spans="19:19" customFormat="1">
      <c r="S322" s="408"/>
    </row>
    <row r="323" spans="19:19" customFormat="1">
      <c r="S323" s="408"/>
    </row>
    <row r="324" spans="19:19" customFormat="1">
      <c r="S324" s="408"/>
    </row>
    <row r="325" spans="19:19" customFormat="1">
      <c r="S325" s="408"/>
    </row>
    <row r="326" spans="19:19" customFormat="1">
      <c r="S326" s="408"/>
    </row>
    <row r="327" spans="19:19" customFormat="1">
      <c r="S327" s="408"/>
    </row>
    <row r="328" spans="19:19" customFormat="1">
      <c r="S328" s="408"/>
    </row>
    <row r="329" spans="19:19" customFormat="1">
      <c r="S329" s="408"/>
    </row>
    <row r="330" spans="19:19" customFormat="1">
      <c r="S330" s="408"/>
    </row>
    <row r="331" spans="19:19" customFormat="1">
      <c r="S331" s="408"/>
    </row>
    <row r="332" spans="19:19" customFormat="1">
      <c r="S332" s="408"/>
    </row>
    <row r="333" spans="19:19" customFormat="1">
      <c r="S333" s="408"/>
    </row>
    <row r="334" spans="19:19" customFormat="1">
      <c r="S334" s="408"/>
    </row>
    <row r="335" spans="19:19" customFormat="1">
      <c r="S335" s="408"/>
    </row>
    <row r="336" spans="19:19" customFormat="1">
      <c r="S336" s="408"/>
    </row>
    <row r="337" spans="19:19" customFormat="1">
      <c r="S337" s="408"/>
    </row>
    <row r="338" spans="19:19" customFormat="1">
      <c r="S338" s="408"/>
    </row>
    <row r="339" spans="19:19" customFormat="1">
      <c r="S339" s="408"/>
    </row>
    <row r="340" spans="19:19" customFormat="1">
      <c r="S340" s="408"/>
    </row>
    <row r="341" spans="19:19" customFormat="1">
      <c r="S341" s="408"/>
    </row>
    <row r="342" spans="19:19" customFormat="1">
      <c r="S342" s="408"/>
    </row>
    <row r="343" spans="19:19" customFormat="1">
      <c r="S343" s="408"/>
    </row>
    <row r="344" spans="19:19" customFormat="1">
      <c r="S344" s="408"/>
    </row>
    <row r="345" spans="19:19" customFormat="1">
      <c r="S345" s="408"/>
    </row>
    <row r="346" spans="19:19" customFormat="1">
      <c r="S346" s="408"/>
    </row>
    <row r="347" spans="19:19" customFormat="1">
      <c r="S347" s="408"/>
    </row>
    <row r="348" spans="19:19" customFormat="1">
      <c r="S348" s="408"/>
    </row>
    <row r="349" spans="19:19" customFormat="1">
      <c r="S349" s="408"/>
    </row>
    <row r="350" spans="19:19" customFormat="1">
      <c r="S350" s="408"/>
    </row>
    <row r="351" spans="19:19" customFormat="1">
      <c r="S351" s="408"/>
    </row>
    <row r="352" spans="19:19" customFormat="1">
      <c r="S352" s="408"/>
    </row>
    <row r="353" spans="19:19" customFormat="1">
      <c r="S353" s="408"/>
    </row>
    <row r="354" spans="19:19" customFormat="1">
      <c r="S354" s="408"/>
    </row>
    <row r="355" spans="19:19" customFormat="1">
      <c r="S355" s="408"/>
    </row>
    <row r="356" spans="19:19" customFormat="1">
      <c r="S356" s="408"/>
    </row>
    <row r="357" spans="19:19" customFormat="1">
      <c r="S357" s="408"/>
    </row>
    <row r="358" spans="19:19" customFormat="1">
      <c r="S358" s="408"/>
    </row>
    <row r="359" spans="19:19" customFormat="1">
      <c r="S359" s="408"/>
    </row>
    <row r="360" spans="19:19" customFormat="1">
      <c r="S360" s="408"/>
    </row>
    <row r="361" spans="19:19" customFormat="1">
      <c r="S361" s="408"/>
    </row>
    <row r="362" spans="19:19" customFormat="1">
      <c r="S362" s="408"/>
    </row>
    <row r="363" spans="19:19" customFormat="1">
      <c r="S363" s="408"/>
    </row>
    <row r="364" spans="19:19" customFormat="1">
      <c r="S364" s="408"/>
    </row>
    <row r="365" spans="19:19" customFormat="1">
      <c r="S365" s="408"/>
    </row>
    <row r="366" spans="19:19" customFormat="1">
      <c r="S366" s="408"/>
    </row>
    <row r="367" spans="19:19" customFormat="1">
      <c r="S367" s="408"/>
    </row>
    <row r="368" spans="19:19" customFormat="1">
      <c r="S368" s="408"/>
    </row>
    <row r="369" spans="19:19" customFormat="1">
      <c r="S369" s="408"/>
    </row>
    <row r="370" spans="19:19" customFormat="1">
      <c r="S370" s="408"/>
    </row>
    <row r="371" spans="19:19" customFormat="1">
      <c r="S371" s="408"/>
    </row>
    <row r="372" spans="19:19" customFormat="1">
      <c r="S372" s="408"/>
    </row>
    <row r="373" spans="19:19" customFormat="1">
      <c r="S373" s="408"/>
    </row>
    <row r="374" spans="19:19" customFormat="1">
      <c r="S374" s="408"/>
    </row>
    <row r="375" spans="19:19" customFormat="1">
      <c r="S375" s="408"/>
    </row>
    <row r="376" spans="19:19" customFormat="1">
      <c r="S376" s="408"/>
    </row>
    <row r="377" spans="19:19" customFormat="1">
      <c r="S377" s="408"/>
    </row>
    <row r="378" spans="19:19" customFormat="1">
      <c r="S378" s="408"/>
    </row>
    <row r="379" spans="19:19" customFormat="1">
      <c r="S379" s="408"/>
    </row>
    <row r="380" spans="19:19" customFormat="1">
      <c r="S380" s="408"/>
    </row>
    <row r="381" spans="19:19" customFormat="1">
      <c r="S381" s="408"/>
    </row>
    <row r="382" spans="19:19" customFormat="1">
      <c r="S382" s="408"/>
    </row>
    <row r="383" spans="19:19" customFormat="1">
      <c r="S383" s="408"/>
    </row>
    <row r="384" spans="19:19" customFormat="1">
      <c r="S384" s="408"/>
    </row>
    <row r="385" spans="19:19" customFormat="1">
      <c r="S385" s="408"/>
    </row>
    <row r="386" spans="19:19" customFormat="1">
      <c r="S386" s="408"/>
    </row>
    <row r="387" spans="19:19" customFormat="1">
      <c r="S387" s="408"/>
    </row>
    <row r="388" spans="19:19" customFormat="1">
      <c r="S388" s="408"/>
    </row>
    <row r="389" spans="19:19" customFormat="1">
      <c r="S389" s="408"/>
    </row>
    <row r="390" spans="19:19" customFormat="1">
      <c r="S390" s="408"/>
    </row>
    <row r="391" spans="19:19" customFormat="1">
      <c r="S391" s="408"/>
    </row>
    <row r="392" spans="19:19" customFormat="1">
      <c r="S392" s="408"/>
    </row>
    <row r="393" spans="19:19" customFormat="1">
      <c r="S393" s="408"/>
    </row>
    <row r="394" spans="19:19" customFormat="1">
      <c r="S394" s="408"/>
    </row>
    <row r="395" spans="19:19" customFormat="1">
      <c r="S395" s="408"/>
    </row>
    <row r="396" spans="19:19" customFormat="1">
      <c r="S396" s="408"/>
    </row>
    <row r="397" spans="19:19" customFormat="1">
      <c r="S397" s="408"/>
    </row>
    <row r="398" spans="19:19" customFormat="1">
      <c r="S398" s="408"/>
    </row>
    <row r="399" spans="19:19" customFormat="1">
      <c r="S399" s="408"/>
    </row>
    <row r="400" spans="19:19" customFormat="1">
      <c r="S400" s="408"/>
    </row>
    <row r="401" spans="19:19" customFormat="1">
      <c r="S401" s="408"/>
    </row>
    <row r="402" spans="19:19" customFormat="1">
      <c r="S402" s="408"/>
    </row>
    <row r="403" spans="19:19" customFormat="1">
      <c r="S403" s="408"/>
    </row>
    <row r="404" spans="19:19" customFormat="1">
      <c r="S404" s="408"/>
    </row>
    <row r="405" spans="19:19" customFormat="1">
      <c r="S405" s="408"/>
    </row>
    <row r="406" spans="19:19" customFormat="1">
      <c r="S406" s="408"/>
    </row>
    <row r="407" spans="19:19" customFormat="1">
      <c r="S407" s="408"/>
    </row>
    <row r="408" spans="19:19" customFormat="1">
      <c r="S408" s="408"/>
    </row>
    <row r="409" spans="19:19" customFormat="1">
      <c r="S409" s="408"/>
    </row>
    <row r="410" spans="19:19" customFormat="1">
      <c r="S410" s="408"/>
    </row>
    <row r="411" spans="19:19" customFormat="1">
      <c r="S411" s="408"/>
    </row>
    <row r="412" spans="19:19" customFormat="1">
      <c r="S412" s="408"/>
    </row>
    <row r="413" spans="19:19" customFormat="1">
      <c r="S413" s="408"/>
    </row>
    <row r="414" spans="19:19" customFormat="1">
      <c r="S414" s="408"/>
    </row>
    <row r="415" spans="19:19" customFormat="1">
      <c r="S415" s="408"/>
    </row>
    <row r="416" spans="19:19" customFormat="1">
      <c r="S416" s="408"/>
    </row>
    <row r="417" spans="19:19" customFormat="1">
      <c r="S417" s="408"/>
    </row>
    <row r="418" spans="19:19" customFormat="1">
      <c r="S418" s="408"/>
    </row>
    <row r="419" spans="19:19" customFormat="1">
      <c r="S419" s="408"/>
    </row>
    <row r="420" spans="19:19" customFormat="1">
      <c r="S420" s="408"/>
    </row>
    <row r="421" spans="19:19" customFormat="1">
      <c r="S421" s="408"/>
    </row>
    <row r="422" spans="19:19" customFormat="1">
      <c r="S422" s="408"/>
    </row>
    <row r="423" spans="19:19" customFormat="1">
      <c r="S423" s="408"/>
    </row>
    <row r="424" spans="19:19" customFormat="1">
      <c r="S424" s="408"/>
    </row>
    <row r="425" spans="19:19" customFormat="1">
      <c r="S425" s="408"/>
    </row>
    <row r="426" spans="19:19" customFormat="1">
      <c r="S426" s="408"/>
    </row>
    <row r="427" spans="19:19" customFormat="1">
      <c r="S427" s="408"/>
    </row>
    <row r="428" spans="19:19" customFormat="1">
      <c r="S428" s="408"/>
    </row>
    <row r="429" spans="19:19" customFormat="1">
      <c r="S429" s="408"/>
    </row>
    <row r="430" spans="19:19" customFormat="1">
      <c r="S430" s="408"/>
    </row>
    <row r="431" spans="19:19" customFormat="1">
      <c r="S431" s="408"/>
    </row>
    <row r="432" spans="19:19" customFormat="1">
      <c r="S432" s="408"/>
    </row>
    <row r="433" spans="19:19" customFormat="1">
      <c r="S433" s="408"/>
    </row>
    <row r="434" spans="19:19" customFormat="1">
      <c r="S434" s="408"/>
    </row>
    <row r="435" spans="19:19" customFormat="1">
      <c r="S435" s="408"/>
    </row>
    <row r="436" spans="19:19" customFormat="1">
      <c r="S436" s="408"/>
    </row>
    <row r="437" spans="19:19" customFormat="1">
      <c r="S437" s="408"/>
    </row>
    <row r="438" spans="19:19" customFormat="1">
      <c r="S438" s="408"/>
    </row>
    <row r="439" spans="19:19" customFormat="1">
      <c r="S439" s="408"/>
    </row>
    <row r="440" spans="19:19" customFormat="1">
      <c r="S440" s="408"/>
    </row>
    <row r="441" spans="19:19" customFormat="1">
      <c r="S441" s="408"/>
    </row>
    <row r="442" spans="19:19" customFormat="1">
      <c r="S442" s="408"/>
    </row>
    <row r="443" spans="19:19" customFormat="1">
      <c r="S443" s="408"/>
    </row>
    <row r="444" spans="19:19" customFormat="1">
      <c r="S444" s="408"/>
    </row>
    <row r="445" spans="19:19" customFormat="1">
      <c r="S445" s="408"/>
    </row>
    <row r="446" spans="19:19" customFormat="1">
      <c r="S446" s="408"/>
    </row>
    <row r="447" spans="19:19" customFormat="1">
      <c r="S447" s="408"/>
    </row>
    <row r="448" spans="19:19" customFormat="1">
      <c r="S448" s="408"/>
    </row>
    <row r="449" spans="19:19" customFormat="1">
      <c r="S449" s="408"/>
    </row>
    <row r="450" spans="19:19" customFormat="1">
      <c r="S450" s="408"/>
    </row>
    <row r="451" spans="19:19" customFormat="1">
      <c r="S451" s="408"/>
    </row>
    <row r="452" spans="19:19" customFormat="1">
      <c r="S452" s="408"/>
    </row>
    <row r="453" spans="19:19" customFormat="1">
      <c r="S453" s="408"/>
    </row>
    <row r="454" spans="19:19" customFormat="1">
      <c r="S454" s="408"/>
    </row>
    <row r="455" spans="19:19" customFormat="1">
      <c r="S455" s="408"/>
    </row>
    <row r="456" spans="19:19" customFormat="1">
      <c r="S456" s="408"/>
    </row>
    <row r="457" spans="19:19" customFormat="1">
      <c r="S457" s="408"/>
    </row>
    <row r="458" spans="19:19" customFormat="1">
      <c r="S458" s="408"/>
    </row>
    <row r="459" spans="19:19" customFormat="1">
      <c r="S459" s="408"/>
    </row>
    <row r="460" spans="19:19" customFormat="1">
      <c r="S460" s="408"/>
    </row>
    <row r="461" spans="19:19" customFormat="1">
      <c r="S461" s="408"/>
    </row>
    <row r="462" spans="19:19" customFormat="1">
      <c r="S462" s="408"/>
    </row>
    <row r="463" spans="19:19" customFormat="1">
      <c r="S463" s="408"/>
    </row>
    <row r="464" spans="19:19" customFormat="1">
      <c r="S464" s="408"/>
    </row>
    <row r="465" spans="19:19" customFormat="1">
      <c r="S465" s="408"/>
    </row>
    <row r="466" spans="19:19" customFormat="1">
      <c r="S466" s="408"/>
    </row>
    <row r="467" spans="19:19" customFormat="1">
      <c r="S467" s="408"/>
    </row>
    <row r="468" spans="19:19" customFormat="1">
      <c r="S468" s="408"/>
    </row>
    <row r="469" spans="19:19" customFormat="1">
      <c r="S469" s="408"/>
    </row>
    <row r="470" spans="19:19" customFormat="1">
      <c r="S470" s="408"/>
    </row>
    <row r="471" spans="19:19" customFormat="1">
      <c r="S471" s="408"/>
    </row>
    <row r="472" spans="19:19" customFormat="1">
      <c r="S472" s="408"/>
    </row>
    <row r="473" spans="19:19" customFormat="1">
      <c r="S473" s="408"/>
    </row>
    <row r="474" spans="19:19" customFormat="1">
      <c r="S474" s="408"/>
    </row>
    <row r="475" spans="19:19" customFormat="1">
      <c r="S475" s="408"/>
    </row>
    <row r="476" spans="19:19" customFormat="1">
      <c r="S476" s="408"/>
    </row>
    <row r="477" spans="19:19" customFormat="1">
      <c r="S477" s="408"/>
    </row>
    <row r="478" spans="19:19" customFormat="1">
      <c r="S478" s="408"/>
    </row>
    <row r="479" spans="19:19" customFormat="1">
      <c r="S479" s="408"/>
    </row>
    <row r="480" spans="19:19" customFormat="1">
      <c r="S480" s="408"/>
    </row>
    <row r="481" spans="19:19" customFormat="1">
      <c r="S481" s="408"/>
    </row>
    <row r="482" spans="19:19" customFormat="1">
      <c r="S482" s="408"/>
    </row>
    <row r="483" spans="19:19" customFormat="1">
      <c r="S483" s="408"/>
    </row>
    <row r="484" spans="19:19" customFormat="1">
      <c r="S484" s="408"/>
    </row>
    <row r="485" spans="19:19" customFormat="1">
      <c r="S485" s="408"/>
    </row>
    <row r="486" spans="19:19" customFormat="1">
      <c r="S486" s="408"/>
    </row>
    <row r="487" spans="19:19" customFormat="1">
      <c r="S487" s="408"/>
    </row>
    <row r="488" spans="19:19" customFormat="1">
      <c r="S488" s="408"/>
    </row>
    <row r="489" spans="19:19" customFormat="1">
      <c r="S489" s="408"/>
    </row>
    <row r="490" spans="19:19" customFormat="1">
      <c r="S490" s="408"/>
    </row>
    <row r="491" spans="19:19" customFormat="1">
      <c r="S491" s="408"/>
    </row>
    <row r="492" spans="19:19" customFormat="1">
      <c r="S492" s="408"/>
    </row>
    <row r="493" spans="19:19" customFormat="1">
      <c r="S493" s="408"/>
    </row>
    <row r="494" spans="19:19" customFormat="1">
      <c r="S494" s="408"/>
    </row>
    <row r="495" spans="19:19" customFormat="1">
      <c r="S495" s="408"/>
    </row>
    <row r="496" spans="19:19" customFormat="1">
      <c r="S496" s="408"/>
    </row>
    <row r="497" spans="19:19" customFormat="1">
      <c r="S497" s="408"/>
    </row>
    <row r="498" spans="19:19" customFormat="1">
      <c r="S498" s="408"/>
    </row>
    <row r="499" spans="19:19" customFormat="1">
      <c r="S499" s="408"/>
    </row>
    <row r="500" spans="19:19" customFormat="1">
      <c r="S500" s="408"/>
    </row>
    <row r="501" spans="19:19" customFormat="1">
      <c r="S501" s="408"/>
    </row>
    <row r="502" spans="19:19" customFormat="1">
      <c r="S502" s="408"/>
    </row>
    <row r="503" spans="19:19" customFormat="1">
      <c r="S503" s="408"/>
    </row>
    <row r="504" spans="19:19" customFormat="1">
      <c r="S504" s="408"/>
    </row>
    <row r="505" spans="19:19" customFormat="1">
      <c r="S505" s="408"/>
    </row>
    <row r="506" spans="19:19" customFormat="1">
      <c r="S506" s="408"/>
    </row>
    <row r="507" spans="19:19" customFormat="1">
      <c r="S507" s="408"/>
    </row>
    <row r="508" spans="19:19" customFormat="1">
      <c r="S508" s="408"/>
    </row>
    <row r="509" spans="19:19" customFormat="1">
      <c r="S509" s="408"/>
    </row>
    <row r="510" spans="19:19" customFormat="1">
      <c r="S510" s="408"/>
    </row>
    <row r="511" spans="19:19" customFormat="1">
      <c r="S511" s="408"/>
    </row>
    <row r="512" spans="19:19" customFormat="1">
      <c r="S512" s="408"/>
    </row>
    <row r="513" spans="19:19" customFormat="1">
      <c r="S513" s="408"/>
    </row>
    <row r="514" spans="19:19" customFormat="1">
      <c r="S514" s="408"/>
    </row>
    <row r="515" spans="19:19" customFormat="1">
      <c r="S515" s="408"/>
    </row>
    <row r="516" spans="19:19" customFormat="1">
      <c r="S516" s="408"/>
    </row>
    <row r="517" spans="19:19" customFormat="1">
      <c r="S517" s="408"/>
    </row>
    <row r="518" spans="19:19" customFormat="1">
      <c r="S518" s="408"/>
    </row>
    <row r="519" spans="19:19" customFormat="1">
      <c r="S519" s="408"/>
    </row>
    <row r="520" spans="19:19" customFormat="1">
      <c r="S520" s="408"/>
    </row>
    <row r="521" spans="19:19" customFormat="1">
      <c r="S521" s="408"/>
    </row>
    <row r="522" spans="19:19" customFormat="1">
      <c r="S522" s="408"/>
    </row>
    <row r="523" spans="19:19" customFormat="1">
      <c r="S523" s="408"/>
    </row>
    <row r="524" spans="19:19" customFormat="1">
      <c r="S524" s="408"/>
    </row>
    <row r="525" spans="19:19" customFormat="1">
      <c r="S525" s="408"/>
    </row>
    <row r="526" spans="19:19" customFormat="1">
      <c r="S526" s="408"/>
    </row>
    <row r="527" spans="19:19" customFormat="1">
      <c r="S527" s="408"/>
    </row>
    <row r="528" spans="19:19" customFormat="1">
      <c r="S528" s="408"/>
    </row>
    <row r="529" spans="19:19" customFormat="1">
      <c r="S529" s="408"/>
    </row>
    <row r="530" spans="19:19" customFormat="1">
      <c r="S530" s="408"/>
    </row>
    <row r="531" spans="19:19" customFormat="1">
      <c r="S531" s="408"/>
    </row>
    <row r="532" spans="19:19" customFormat="1">
      <c r="S532" s="408"/>
    </row>
    <row r="533" spans="19:19" customFormat="1">
      <c r="S533" s="408"/>
    </row>
    <row r="534" spans="19:19" customFormat="1">
      <c r="S534" s="408"/>
    </row>
    <row r="535" spans="19:19" customFormat="1">
      <c r="S535" s="408"/>
    </row>
    <row r="536" spans="19:19" customFormat="1">
      <c r="S536" s="408"/>
    </row>
    <row r="537" spans="19:19" customFormat="1">
      <c r="S537" s="408"/>
    </row>
    <row r="538" spans="19:19" customFormat="1">
      <c r="S538" s="408"/>
    </row>
    <row r="539" spans="19:19" customFormat="1">
      <c r="S539" s="408"/>
    </row>
    <row r="540" spans="19:19" customFormat="1">
      <c r="S540" s="408"/>
    </row>
    <row r="541" spans="19:19" customFormat="1">
      <c r="S541" s="408"/>
    </row>
    <row r="542" spans="19:19" customFormat="1">
      <c r="S542" s="408"/>
    </row>
    <row r="543" spans="19:19" customFormat="1">
      <c r="S543" s="408"/>
    </row>
    <row r="544" spans="19:19" customFormat="1">
      <c r="S544" s="408"/>
    </row>
    <row r="545" spans="19:19" customFormat="1">
      <c r="S545" s="408"/>
    </row>
    <row r="546" spans="19:19" customFormat="1">
      <c r="S546" s="408"/>
    </row>
    <row r="547" spans="19:19" customFormat="1">
      <c r="S547" s="408"/>
    </row>
    <row r="548" spans="19:19" customFormat="1">
      <c r="S548" s="408"/>
    </row>
    <row r="549" spans="19:19" customFormat="1">
      <c r="S549" s="408"/>
    </row>
    <row r="550" spans="19:19" customFormat="1">
      <c r="S550" s="408"/>
    </row>
    <row r="551" spans="19:19" customFormat="1">
      <c r="S551" s="408"/>
    </row>
    <row r="552" spans="19:19" customFormat="1">
      <c r="S552" s="408"/>
    </row>
    <row r="553" spans="19:19" customFormat="1">
      <c r="S553" s="408"/>
    </row>
    <row r="554" spans="19:19" customFormat="1">
      <c r="S554" s="408"/>
    </row>
    <row r="555" spans="19:19" customFormat="1">
      <c r="S555" s="408"/>
    </row>
    <row r="556" spans="19:19" customFormat="1">
      <c r="S556" s="408"/>
    </row>
    <row r="557" spans="19:19" customFormat="1">
      <c r="S557" s="408"/>
    </row>
    <row r="558" spans="19:19" customFormat="1">
      <c r="S558" s="408"/>
    </row>
    <row r="559" spans="19:19" customFormat="1">
      <c r="S559" s="408"/>
    </row>
    <row r="560" spans="19:19" customFormat="1">
      <c r="S560" s="408"/>
    </row>
    <row r="561" spans="19:19" customFormat="1">
      <c r="S561" s="408"/>
    </row>
    <row r="562" spans="19:19" customFormat="1">
      <c r="S562" s="408"/>
    </row>
    <row r="563" spans="19:19" customFormat="1">
      <c r="S563" s="408"/>
    </row>
    <row r="564" spans="19:19" customFormat="1">
      <c r="S564" s="408"/>
    </row>
    <row r="565" spans="19:19" customFormat="1">
      <c r="S565" s="408"/>
    </row>
    <row r="566" spans="19:19" customFormat="1">
      <c r="S566" s="408"/>
    </row>
    <row r="567" spans="19:19" customFormat="1">
      <c r="S567" s="408"/>
    </row>
    <row r="568" spans="19:19" customFormat="1">
      <c r="S568" s="408"/>
    </row>
    <row r="569" spans="19:19" customFormat="1">
      <c r="S569" s="408"/>
    </row>
    <row r="570" spans="19:19" customFormat="1">
      <c r="S570" s="408"/>
    </row>
    <row r="571" spans="19:19" customFormat="1">
      <c r="S571" s="408"/>
    </row>
    <row r="572" spans="19:19" customFormat="1">
      <c r="S572" s="408"/>
    </row>
    <row r="573" spans="19:19" customFormat="1">
      <c r="S573" s="408"/>
    </row>
    <row r="574" spans="19:19" customFormat="1">
      <c r="S574" s="408"/>
    </row>
    <row r="575" spans="19:19" customFormat="1">
      <c r="S575" s="408"/>
    </row>
    <row r="576" spans="19:19" customFormat="1">
      <c r="S576" s="408"/>
    </row>
    <row r="577" spans="19:19" customFormat="1">
      <c r="S577" s="408"/>
    </row>
    <row r="578" spans="19:19" customFormat="1">
      <c r="S578" s="408"/>
    </row>
    <row r="579" spans="19:19" customFormat="1">
      <c r="S579" s="408"/>
    </row>
    <row r="580" spans="19:19" customFormat="1">
      <c r="S580" s="408"/>
    </row>
    <row r="581" spans="19:19" customFormat="1">
      <c r="S581" s="408"/>
    </row>
    <row r="582" spans="19:19" customFormat="1">
      <c r="S582" s="408"/>
    </row>
    <row r="583" spans="19:19" customFormat="1">
      <c r="S583" s="408"/>
    </row>
    <row r="584" spans="19:19" customFormat="1">
      <c r="S584" s="408"/>
    </row>
    <row r="585" spans="19:19" customFormat="1">
      <c r="S585" s="408"/>
    </row>
    <row r="586" spans="19:19" customFormat="1">
      <c r="S586" s="408"/>
    </row>
    <row r="587" spans="19:19" customFormat="1">
      <c r="S587" s="408"/>
    </row>
    <row r="588" spans="19:19" customFormat="1">
      <c r="S588" s="408"/>
    </row>
    <row r="589" spans="19:19" customFormat="1">
      <c r="S589" s="408"/>
    </row>
    <row r="590" spans="19:19" customFormat="1">
      <c r="S590" s="408"/>
    </row>
    <row r="591" spans="19:19" customFormat="1">
      <c r="S591" s="408"/>
    </row>
    <row r="592" spans="19:19" customFormat="1">
      <c r="S592" s="408"/>
    </row>
    <row r="593" spans="19:19" customFormat="1">
      <c r="S593" s="408"/>
    </row>
    <row r="594" spans="19:19" customFormat="1">
      <c r="S594" s="408"/>
    </row>
    <row r="595" spans="19:19" customFormat="1">
      <c r="S595" s="408"/>
    </row>
    <row r="596" spans="19:19" customFormat="1">
      <c r="S596" s="408"/>
    </row>
    <row r="597" spans="19:19" customFormat="1">
      <c r="S597" s="408"/>
    </row>
    <row r="598" spans="19:19" customFormat="1">
      <c r="S598" s="408"/>
    </row>
    <row r="599" spans="19:19" customFormat="1">
      <c r="S599" s="408"/>
    </row>
    <row r="600" spans="19:19" customFormat="1">
      <c r="S600" s="408"/>
    </row>
    <row r="601" spans="19:19" customFormat="1">
      <c r="S601" s="408"/>
    </row>
    <row r="602" spans="19:19" customFormat="1">
      <c r="S602" s="408"/>
    </row>
    <row r="603" spans="19:19" customFormat="1">
      <c r="S603" s="408"/>
    </row>
    <row r="604" spans="19:19" customFormat="1">
      <c r="S604" s="408"/>
    </row>
    <row r="605" spans="19:19" customFormat="1">
      <c r="S605" s="408"/>
    </row>
    <row r="606" spans="19:19" customFormat="1">
      <c r="S606" s="408"/>
    </row>
    <row r="607" spans="19:19" customFormat="1">
      <c r="S607" s="408"/>
    </row>
    <row r="608" spans="19:19" customFormat="1">
      <c r="S608" s="408"/>
    </row>
    <row r="609" spans="19:19" customFormat="1">
      <c r="S609" s="408"/>
    </row>
    <row r="610" spans="19:19" customFormat="1">
      <c r="S610" s="408"/>
    </row>
    <row r="611" spans="19:19" customFormat="1">
      <c r="S611" s="408"/>
    </row>
    <row r="612" spans="19:19" customFormat="1">
      <c r="S612" s="408"/>
    </row>
    <row r="613" spans="19:19" customFormat="1">
      <c r="S613" s="408"/>
    </row>
    <row r="614" spans="19:19" customFormat="1">
      <c r="S614" s="408"/>
    </row>
    <row r="615" spans="19:19" customFormat="1">
      <c r="S615" s="408"/>
    </row>
    <row r="616" spans="19:19" customFormat="1">
      <c r="S616" s="408"/>
    </row>
    <row r="617" spans="19:19" customFormat="1">
      <c r="S617" s="408"/>
    </row>
    <row r="618" spans="19:19" customFormat="1">
      <c r="S618" s="408"/>
    </row>
    <row r="619" spans="19:19" customFormat="1">
      <c r="S619" s="408"/>
    </row>
    <row r="620" spans="19:19" customFormat="1">
      <c r="S620" s="408"/>
    </row>
    <row r="621" spans="19:19" customFormat="1">
      <c r="S621" s="408"/>
    </row>
    <row r="622" spans="19:19" customFormat="1">
      <c r="S622" s="408"/>
    </row>
    <row r="623" spans="19:19" customFormat="1">
      <c r="S623" s="408"/>
    </row>
    <row r="624" spans="19:19" customFormat="1">
      <c r="S624" s="408"/>
    </row>
    <row r="625" spans="19:19" customFormat="1">
      <c r="S625" s="408"/>
    </row>
    <row r="626" spans="19:19" customFormat="1">
      <c r="S626" s="408"/>
    </row>
    <row r="627" spans="19:19" customFormat="1">
      <c r="S627" s="408"/>
    </row>
    <row r="628" spans="19:19" customFormat="1">
      <c r="S628" s="408"/>
    </row>
    <row r="629" spans="19:19" customFormat="1">
      <c r="S629" s="408"/>
    </row>
    <row r="630" spans="19:19" customFormat="1">
      <c r="S630" s="408"/>
    </row>
    <row r="631" spans="19:19" customFormat="1">
      <c r="S631" s="408"/>
    </row>
    <row r="632" spans="19:19" customFormat="1">
      <c r="S632" s="408"/>
    </row>
    <row r="633" spans="19:19" customFormat="1">
      <c r="S633" s="408"/>
    </row>
    <row r="634" spans="19:19" customFormat="1">
      <c r="S634" s="408"/>
    </row>
    <row r="635" spans="19:19" customFormat="1">
      <c r="S635" s="408"/>
    </row>
    <row r="636" spans="19:19" customFormat="1">
      <c r="S636" s="408"/>
    </row>
    <row r="637" spans="19:19" customFormat="1">
      <c r="S637" s="408"/>
    </row>
    <row r="638" spans="19:19" customFormat="1">
      <c r="S638" s="408"/>
    </row>
    <row r="639" spans="19:19" customFormat="1">
      <c r="S639" s="408"/>
    </row>
    <row r="640" spans="19:19" customFormat="1">
      <c r="S640" s="408"/>
    </row>
    <row r="641" spans="19:19" customFormat="1">
      <c r="S641" s="408"/>
    </row>
    <row r="642" spans="19:19" customFormat="1">
      <c r="S642" s="408"/>
    </row>
    <row r="643" spans="19:19" customFormat="1">
      <c r="S643" s="408"/>
    </row>
    <row r="644" spans="19:19" customFormat="1">
      <c r="S644" s="408"/>
    </row>
    <row r="645" spans="19:19" customFormat="1">
      <c r="S645" s="408"/>
    </row>
    <row r="646" spans="19:19" customFormat="1">
      <c r="S646" s="408"/>
    </row>
    <row r="647" spans="19:19" customFormat="1">
      <c r="S647" s="408"/>
    </row>
    <row r="648" spans="19:19" customFormat="1">
      <c r="S648" s="408"/>
    </row>
    <row r="649" spans="19:19" customFormat="1">
      <c r="S649" s="408"/>
    </row>
    <row r="650" spans="19:19" customFormat="1">
      <c r="S650" s="408"/>
    </row>
    <row r="651" spans="19:19" customFormat="1">
      <c r="S651" s="408"/>
    </row>
    <row r="652" spans="19:19" customFormat="1">
      <c r="S652" s="408"/>
    </row>
    <row r="653" spans="19:19" customFormat="1">
      <c r="S653" s="408"/>
    </row>
    <row r="654" spans="19:19" customFormat="1">
      <c r="S654" s="408"/>
    </row>
    <row r="655" spans="19:19" customFormat="1">
      <c r="S655" s="408"/>
    </row>
    <row r="656" spans="19:19" customFormat="1">
      <c r="S656" s="408"/>
    </row>
    <row r="657" spans="19:19" customFormat="1">
      <c r="S657" s="408"/>
    </row>
    <row r="658" spans="19:19" customFormat="1">
      <c r="S658" s="408"/>
    </row>
    <row r="659" spans="19:19" customFormat="1">
      <c r="S659" s="408"/>
    </row>
    <row r="660" spans="19:19" customFormat="1">
      <c r="S660" s="408"/>
    </row>
    <row r="661" spans="19:19" customFormat="1">
      <c r="S661" s="408"/>
    </row>
    <row r="662" spans="19:19" customFormat="1">
      <c r="S662" s="408"/>
    </row>
    <row r="663" spans="19:19" customFormat="1">
      <c r="S663" s="408"/>
    </row>
    <row r="664" spans="19:19" customFormat="1">
      <c r="S664" s="408"/>
    </row>
    <row r="665" spans="19:19" customFormat="1">
      <c r="S665" s="408"/>
    </row>
    <row r="666" spans="19:19" customFormat="1">
      <c r="S666" s="408"/>
    </row>
    <row r="667" spans="19:19" customFormat="1">
      <c r="S667" s="408"/>
    </row>
    <row r="668" spans="19:19" customFormat="1">
      <c r="S668" s="408"/>
    </row>
    <row r="669" spans="19:19" customFormat="1">
      <c r="S669" s="408"/>
    </row>
    <row r="670" spans="19:19" customFormat="1">
      <c r="S670" s="408"/>
    </row>
    <row r="671" spans="19:19" customFormat="1">
      <c r="S671" s="408"/>
    </row>
    <row r="672" spans="19:19" customFormat="1">
      <c r="S672" s="408"/>
    </row>
    <row r="673" spans="19:19" customFormat="1">
      <c r="S673" s="408"/>
    </row>
    <row r="674" spans="19:19" customFormat="1">
      <c r="S674" s="408"/>
    </row>
    <row r="675" spans="19:19" customFormat="1">
      <c r="S675" s="408"/>
    </row>
    <row r="676" spans="19:19" customFormat="1">
      <c r="S676" s="408"/>
    </row>
    <row r="677" spans="19:19" customFormat="1">
      <c r="S677" s="408"/>
    </row>
    <row r="678" spans="19:19" customFormat="1">
      <c r="S678" s="408"/>
    </row>
    <row r="679" spans="19:19" customFormat="1">
      <c r="S679" s="408"/>
    </row>
    <row r="680" spans="19:19" customFormat="1">
      <c r="S680" s="408"/>
    </row>
    <row r="681" spans="19:19" customFormat="1">
      <c r="S681" s="408"/>
    </row>
    <row r="682" spans="19:19" customFormat="1">
      <c r="S682" s="408"/>
    </row>
    <row r="683" spans="19:19" customFormat="1">
      <c r="S683" s="408"/>
    </row>
    <row r="684" spans="19:19" customFormat="1">
      <c r="S684" s="408"/>
    </row>
    <row r="685" spans="19:19" customFormat="1">
      <c r="S685" s="408"/>
    </row>
    <row r="686" spans="19:19" customFormat="1">
      <c r="S686" s="408"/>
    </row>
    <row r="687" spans="19:19" customFormat="1">
      <c r="S687" s="408"/>
    </row>
    <row r="688" spans="19:19" customFormat="1">
      <c r="S688" s="408"/>
    </row>
    <row r="689" spans="19:19" customFormat="1">
      <c r="S689" s="408"/>
    </row>
    <row r="690" spans="19:19" customFormat="1">
      <c r="S690" s="408"/>
    </row>
    <row r="691" spans="19:19" customFormat="1">
      <c r="S691" s="408"/>
    </row>
    <row r="692" spans="19:19" customFormat="1">
      <c r="S692" s="408"/>
    </row>
    <row r="693" spans="19:19" customFormat="1">
      <c r="S693" s="408"/>
    </row>
    <row r="694" spans="19:19" customFormat="1">
      <c r="S694" s="408"/>
    </row>
    <row r="695" spans="19:19" customFormat="1">
      <c r="S695" s="408"/>
    </row>
    <row r="696" spans="19:19" customFormat="1">
      <c r="S696" s="408"/>
    </row>
    <row r="697" spans="19:19" customFormat="1">
      <c r="S697" s="408"/>
    </row>
    <row r="698" spans="19:19" customFormat="1">
      <c r="S698" s="408"/>
    </row>
    <row r="699" spans="19:19" customFormat="1">
      <c r="S699" s="408"/>
    </row>
    <row r="700" spans="19:19" customFormat="1">
      <c r="S700" s="408"/>
    </row>
    <row r="701" spans="19:19" customFormat="1">
      <c r="S701" s="408"/>
    </row>
    <row r="702" spans="19:19" customFormat="1">
      <c r="S702" s="408"/>
    </row>
    <row r="703" spans="19:19" customFormat="1">
      <c r="S703" s="408"/>
    </row>
    <row r="704" spans="19:19" customFormat="1">
      <c r="S704" s="408"/>
    </row>
    <row r="705" spans="19:19" customFormat="1">
      <c r="S705" s="408"/>
    </row>
    <row r="706" spans="19:19" customFormat="1">
      <c r="S706" s="408"/>
    </row>
    <row r="707" spans="19:19" customFormat="1">
      <c r="S707" s="408"/>
    </row>
    <row r="708" spans="19:19" customFormat="1">
      <c r="S708" s="408"/>
    </row>
    <row r="709" spans="19:19" customFormat="1">
      <c r="S709" s="408"/>
    </row>
    <row r="710" spans="19:19" customFormat="1">
      <c r="S710" s="408"/>
    </row>
    <row r="711" spans="19:19" customFormat="1">
      <c r="S711" s="408"/>
    </row>
    <row r="712" spans="19:19" customFormat="1">
      <c r="S712" s="408"/>
    </row>
    <row r="713" spans="19:19" customFormat="1">
      <c r="S713" s="408"/>
    </row>
    <row r="714" spans="19:19" customFormat="1">
      <c r="S714" s="408"/>
    </row>
    <row r="715" spans="19:19" customFormat="1">
      <c r="S715" s="408"/>
    </row>
    <row r="716" spans="19:19" customFormat="1">
      <c r="S716" s="408"/>
    </row>
    <row r="717" spans="19:19" customFormat="1">
      <c r="S717" s="408"/>
    </row>
    <row r="718" spans="19:19" customFormat="1">
      <c r="S718" s="408"/>
    </row>
    <row r="719" spans="19:19" customFormat="1">
      <c r="S719" s="408"/>
    </row>
    <row r="720" spans="19:19" customFormat="1">
      <c r="S720" s="408"/>
    </row>
    <row r="721" spans="19:19" customFormat="1">
      <c r="S721" s="408"/>
    </row>
    <row r="722" spans="19:19" customFormat="1">
      <c r="S722" s="408"/>
    </row>
    <row r="723" spans="19:19" customFormat="1">
      <c r="S723" s="408"/>
    </row>
    <row r="724" spans="19:19" customFormat="1">
      <c r="S724" s="408"/>
    </row>
    <row r="725" spans="19:19" customFormat="1">
      <c r="S725" s="408"/>
    </row>
    <row r="726" spans="19:19" customFormat="1">
      <c r="S726" s="408"/>
    </row>
    <row r="727" spans="19:19" customFormat="1">
      <c r="S727" s="408"/>
    </row>
    <row r="728" spans="19:19" customFormat="1">
      <c r="S728" s="408"/>
    </row>
    <row r="729" spans="19:19" customFormat="1">
      <c r="S729" s="408"/>
    </row>
    <row r="730" spans="19:19" customFormat="1">
      <c r="S730" s="408"/>
    </row>
    <row r="731" spans="19:19" customFormat="1">
      <c r="S731" s="408"/>
    </row>
    <row r="732" spans="19:19" customFormat="1">
      <c r="S732" s="408"/>
    </row>
    <row r="733" spans="19:19" customFormat="1">
      <c r="S733" s="408"/>
    </row>
    <row r="734" spans="19:19" customFormat="1">
      <c r="S734" s="408"/>
    </row>
    <row r="735" spans="19:19" customFormat="1">
      <c r="S735" s="408"/>
    </row>
    <row r="736" spans="19:19" customFormat="1">
      <c r="S736" s="408"/>
    </row>
    <row r="737" spans="19:19" customFormat="1">
      <c r="S737" s="408"/>
    </row>
    <row r="738" spans="19:19" customFormat="1">
      <c r="S738" s="408"/>
    </row>
    <row r="739" spans="19:19" customFormat="1">
      <c r="S739" s="408"/>
    </row>
    <row r="740" spans="19:19" customFormat="1">
      <c r="S740" s="408"/>
    </row>
    <row r="741" spans="19:19" customFormat="1">
      <c r="S741" s="408"/>
    </row>
    <row r="742" spans="19:19" customFormat="1">
      <c r="S742" s="408"/>
    </row>
    <row r="743" spans="19:19" customFormat="1">
      <c r="S743" s="408"/>
    </row>
    <row r="744" spans="19:19" customFormat="1">
      <c r="S744" s="408"/>
    </row>
    <row r="745" spans="19:19" customFormat="1">
      <c r="S745" s="408"/>
    </row>
    <row r="746" spans="19:19" customFormat="1">
      <c r="S746" s="408"/>
    </row>
    <row r="747" spans="19:19" customFormat="1">
      <c r="S747" s="408"/>
    </row>
    <row r="748" spans="19:19" customFormat="1">
      <c r="S748" s="408"/>
    </row>
    <row r="749" spans="19:19" customFormat="1">
      <c r="S749" s="408"/>
    </row>
    <row r="750" spans="19:19" customFormat="1">
      <c r="S750" s="408"/>
    </row>
    <row r="751" spans="19:19" customFormat="1">
      <c r="S751" s="408"/>
    </row>
    <row r="752" spans="19:19" customFormat="1">
      <c r="S752" s="408"/>
    </row>
    <row r="753" spans="19:19" customFormat="1">
      <c r="S753" s="408"/>
    </row>
    <row r="754" spans="19:19" customFormat="1">
      <c r="S754" s="408"/>
    </row>
    <row r="755" spans="19:19" customFormat="1">
      <c r="S755" s="408"/>
    </row>
    <row r="756" spans="19:19" customFormat="1">
      <c r="S756" s="408"/>
    </row>
    <row r="757" spans="19:19" customFormat="1">
      <c r="S757" s="408"/>
    </row>
    <row r="758" spans="19:19" customFormat="1">
      <c r="S758" s="408"/>
    </row>
    <row r="759" spans="19:19" customFormat="1">
      <c r="S759" s="408"/>
    </row>
    <row r="760" spans="19:19" customFormat="1">
      <c r="S760" s="408"/>
    </row>
    <row r="761" spans="19:19" customFormat="1">
      <c r="S761" s="408"/>
    </row>
    <row r="762" spans="19:19" customFormat="1">
      <c r="S762" s="408"/>
    </row>
    <row r="763" spans="19:19" customFormat="1">
      <c r="S763" s="408"/>
    </row>
    <row r="764" spans="19:19" customFormat="1">
      <c r="S764" s="408"/>
    </row>
    <row r="765" spans="19:19" customFormat="1">
      <c r="S765" s="408"/>
    </row>
    <row r="766" spans="19:19" customFormat="1">
      <c r="S766" s="408"/>
    </row>
    <row r="767" spans="19:19" customFormat="1">
      <c r="S767" s="408"/>
    </row>
    <row r="768" spans="19:19" customFormat="1">
      <c r="S768" s="408"/>
    </row>
    <row r="769" spans="19:19" customFormat="1">
      <c r="S769" s="408"/>
    </row>
    <row r="770" spans="19:19" customFormat="1">
      <c r="S770" s="408"/>
    </row>
    <row r="771" spans="19:19" customFormat="1">
      <c r="S771" s="408"/>
    </row>
    <row r="772" spans="19:19" customFormat="1">
      <c r="S772" s="408"/>
    </row>
    <row r="773" spans="19:19" customFormat="1">
      <c r="S773" s="408"/>
    </row>
    <row r="774" spans="19:19" customFormat="1">
      <c r="S774" s="408"/>
    </row>
    <row r="775" spans="19:19" customFormat="1">
      <c r="S775" s="408"/>
    </row>
    <row r="776" spans="19:19" customFormat="1">
      <c r="S776" s="408"/>
    </row>
    <row r="777" spans="19:19" customFormat="1">
      <c r="S777" s="408"/>
    </row>
    <row r="778" spans="19:19" customFormat="1">
      <c r="S778" s="408"/>
    </row>
    <row r="779" spans="19:19" customFormat="1">
      <c r="S779" s="408"/>
    </row>
    <row r="780" spans="19:19" customFormat="1">
      <c r="S780" s="408"/>
    </row>
    <row r="781" spans="19:19" customFormat="1">
      <c r="S781" s="408"/>
    </row>
    <row r="782" spans="19:19" customFormat="1">
      <c r="S782" s="408"/>
    </row>
    <row r="783" spans="19:19" customFormat="1">
      <c r="S783" s="408"/>
    </row>
    <row r="784" spans="19:19" customFormat="1">
      <c r="S784" s="408"/>
    </row>
    <row r="785" spans="19:19" customFormat="1">
      <c r="S785" s="408"/>
    </row>
    <row r="786" spans="19:19" customFormat="1">
      <c r="S786" s="408"/>
    </row>
    <row r="787" spans="19:19" customFormat="1">
      <c r="S787" s="408"/>
    </row>
    <row r="788" spans="19:19" customFormat="1">
      <c r="S788" s="408"/>
    </row>
    <row r="789" spans="19:19" customFormat="1">
      <c r="S789" s="408"/>
    </row>
    <row r="790" spans="19:19" customFormat="1">
      <c r="S790" s="408"/>
    </row>
    <row r="791" spans="19:19" customFormat="1">
      <c r="S791" s="408"/>
    </row>
    <row r="792" spans="19:19" customFormat="1">
      <c r="S792" s="408"/>
    </row>
    <row r="793" spans="19:19" customFormat="1">
      <c r="S793" s="408"/>
    </row>
    <row r="794" spans="19:19" customFormat="1">
      <c r="S794" s="408"/>
    </row>
    <row r="795" spans="19:19" customFormat="1">
      <c r="S795" s="408"/>
    </row>
    <row r="796" spans="19:19" customFormat="1">
      <c r="S796" s="408"/>
    </row>
    <row r="797" spans="19:19" customFormat="1">
      <c r="S797" s="408"/>
    </row>
    <row r="798" spans="19:19" customFormat="1">
      <c r="S798" s="408"/>
    </row>
    <row r="799" spans="19:19" customFormat="1">
      <c r="S799" s="408"/>
    </row>
    <row r="800" spans="19:19" customFormat="1">
      <c r="S800" s="408"/>
    </row>
    <row r="801" spans="19:19" customFormat="1">
      <c r="S801" s="408"/>
    </row>
    <row r="802" spans="19:19" customFormat="1">
      <c r="S802" s="408"/>
    </row>
    <row r="803" spans="19:19" customFormat="1">
      <c r="S803" s="408"/>
    </row>
    <row r="804" spans="19:19" customFormat="1">
      <c r="S804" s="408"/>
    </row>
    <row r="805" spans="19:19" customFormat="1">
      <c r="S805" s="408"/>
    </row>
    <row r="806" spans="19:19" customFormat="1">
      <c r="S806" s="408"/>
    </row>
    <row r="807" spans="19:19" customFormat="1">
      <c r="S807" s="408"/>
    </row>
    <row r="808" spans="19:19" customFormat="1">
      <c r="S808" s="408"/>
    </row>
    <row r="809" spans="19:19" customFormat="1">
      <c r="S809" s="408"/>
    </row>
    <row r="810" spans="19:19" customFormat="1">
      <c r="S810" s="408"/>
    </row>
    <row r="811" spans="19:19" customFormat="1">
      <c r="S811" s="408"/>
    </row>
    <row r="812" spans="19:19" customFormat="1">
      <c r="S812" s="408"/>
    </row>
    <row r="813" spans="19:19" customFormat="1">
      <c r="S813" s="408"/>
    </row>
    <row r="814" spans="19:19" customFormat="1">
      <c r="S814" s="408"/>
    </row>
    <row r="815" spans="19:19" customFormat="1">
      <c r="S815" s="408"/>
    </row>
    <row r="816" spans="19:19" customFormat="1">
      <c r="S816" s="408"/>
    </row>
    <row r="817" spans="19:19" customFormat="1">
      <c r="S817" s="408"/>
    </row>
    <row r="818" spans="19:19" customFormat="1">
      <c r="S818" s="408"/>
    </row>
    <row r="819" spans="19:19" customFormat="1">
      <c r="S819" s="408"/>
    </row>
    <row r="820" spans="19:19" customFormat="1">
      <c r="S820" s="408"/>
    </row>
    <row r="821" spans="19:19" customFormat="1">
      <c r="S821" s="408"/>
    </row>
    <row r="822" spans="19:19" customFormat="1">
      <c r="S822" s="408"/>
    </row>
    <row r="823" spans="19:19" customFormat="1">
      <c r="S823" s="408"/>
    </row>
    <row r="824" spans="19:19" customFormat="1">
      <c r="S824" s="408"/>
    </row>
    <row r="825" spans="19:19" customFormat="1">
      <c r="S825" s="408"/>
    </row>
    <row r="826" spans="19:19" customFormat="1">
      <c r="S826" s="408"/>
    </row>
    <row r="827" spans="19:19" customFormat="1">
      <c r="S827" s="408"/>
    </row>
    <row r="828" spans="19:19" customFormat="1">
      <c r="S828" s="408"/>
    </row>
    <row r="829" spans="19:19" customFormat="1">
      <c r="S829" s="408"/>
    </row>
    <row r="830" spans="19:19" customFormat="1">
      <c r="S830" s="408"/>
    </row>
    <row r="831" spans="19:19" customFormat="1">
      <c r="S831" s="408"/>
    </row>
    <row r="832" spans="19:19" customFormat="1">
      <c r="S832" s="408"/>
    </row>
    <row r="833" spans="19:19" customFormat="1">
      <c r="S833" s="408"/>
    </row>
    <row r="834" spans="19:19" customFormat="1">
      <c r="S834" s="408"/>
    </row>
    <row r="835" spans="19:19" customFormat="1">
      <c r="S835" s="408"/>
    </row>
    <row r="836" spans="19:19" customFormat="1">
      <c r="S836" s="408"/>
    </row>
    <row r="837" spans="19:19" customFormat="1">
      <c r="S837" s="408"/>
    </row>
    <row r="838" spans="19:19" customFormat="1">
      <c r="S838" s="408"/>
    </row>
    <row r="839" spans="19:19" customFormat="1">
      <c r="S839" s="408"/>
    </row>
    <row r="840" spans="19:19" customFormat="1">
      <c r="S840" s="408"/>
    </row>
    <row r="841" spans="19:19" customFormat="1">
      <c r="S841" s="408"/>
    </row>
    <row r="842" spans="19:19" customFormat="1">
      <c r="S842" s="408"/>
    </row>
    <row r="843" spans="19:19" customFormat="1">
      <c r="S843" s="408"/>
    </row>
    <row r="844" spans="19:19" customFormat="1">
      <c r="S844" s="408"/>
    </row>
    <row r="845" spans="19:19" customFormat="1">
      <c r="S845" s="408"/>
    </row>
    <row r="846" spans="19:19" customFormat="1">
      <c r="S846" s="408"/>
    </row>
    <row r="847" spans="19:19" customFormat="1">
      <c r="S847" s="408"/>
    </row>
    <row r="848" spans="19:19" customFormat="1">
      <c r="S848" s="408"/>
    </row>
    <row r="849" spans="19:19" customFormat="1">
      <c r="S849" s="408"/>
    </row>
    <row r="850" spans="19:19" customFormat="1">
      <c r="S850" s="408"/>
    </row>
    <row r="851" spans="19:19" customFormat="1">
      <c r="S851" s="408"/>
    </row>
    <row r="852" spans="19:19" customFormat="1">
      <c r="S852" s="408"/>
    </row>
    <row r="853" spans="19:19" customFormat="1">
      <c r="S853" s="408"/>
    </row>
    <row r="854" spans="19:19" customFormat="1">
      <c r="S854" s="408"/>
    </row>
    <row r="855" spans="19:19" customFormat="1">
      <c r="S855" s="408"/>
    </row>
    <row r="856" spans="19:19" customFormat="1">
      <c r="S856" s="408"/>
    </row>
    <row r="857" spans="19:19" customFormat="1">
      <c r="S857" s="408"/>
    </row>
    <row r="858" spans="19:19" customFormat="1">
      <c r="S858" s="408"/>
    </row>
    <row r="859" spans="19:19" customFormat="1">
      <c r="S859" s="408"/>
    </row>
    <row r="860" spans="19:19" customFormat="1">
      <c r="S860" s="408"/>
    </row>
    <row r="861" spans="19:19" customFormat="1">
      <c r="S861" s="408"/>
    </row>
    <row r="862" spans="19:19" customFormat="1">
      <c r="S862" s="408"/>
    </row>
    <row r="863" spans="19:19" customFormat="1">
      <c r="S863" s="408"/>
    </row>
    <row r="864" spans="19:19" customFormat="1">
      <c r="S864" s="408"/>
    </row>
    <row r="865" spans="19:19" customFormat="1">
      <c r="S865" s="408"/>
    </row>
    <row r="866" spans="19:19" customFormat="1">
      <c r="S866" s="408"/>
    </row>
    <row r="867" spans="19:19" customFormat="1">
      <c r="S867" s="408"/>
    </row>
    <row r="868" spans="19:19" customFormat="1">
      <c r="S868" s="408"/>
    </row>
    <row r="869" spans="19:19" customFormat="1">
      <c r="S869" s="408"/>
    </row>
    <row r="870" spans="19:19" customFormat="1">
      <c r="S870" s="408"/>
    </row>
    <row r="871" spans="19:19" customFormat="1">
      <c r="S871" s="408"/>
    </row>
    <row r="872" spans="19:19" customFormat="1">
      <c r="S872" s="408"/>
    </row>
    <row r="873" spans="19:19" customFormat="1">
      <c r="S873" s="408"/>
    </row>
    <row r="874" spans="19:19" customFormat="1">
      <c r="S874" s="408"/>
    </row>
    <row r="875" spans="19:19" customFormat="1">
      <c r="S875" s="408"/>
    </row>
    <row r="876" spans="19:19" customFormat="1">
      <c r="S876" s="408"/>
    </row>
    <row r="877" spans="19:19" customFormat="1">
      <c r="S877" s="408"/>
    </row>
  </sheetData>
  <mergeCells count="231">
    <mergeCell ref="S107:S108"/>
    <mergeCell ref="G113:O113"/>
    <mergeCell ref="D11:D13"/>
    <mergeCell ref="D14:D15"/>
    <mergeCell ref="P2:R2"/>
    <mergeCell ref="G24:I24"/>
    <mergeCell ref="J24:L24"/>
    <mergeCell ref="M24:O24"/>
    <mergeCell ref="P24:R24"/>
    <mergeCell ref="P4:R4"/>
    <mergeCell ref="M4:O4"/>
    <mergeCell ref="P113:R113"/>
    <mergeCell ref="S20:S22"/>
    <mergeCell ref="P36:R36"/>
    <mergeCell ref="P37:R37"/>
    <mergeCell ref="P25:R25"/>
    <mergeCell ref="P28:R28"/>
    <mergeCell ref="P26:R26"/>
    <mergeCell ref="P31:R31"/>
    <mergeCell ref="G35:I35"/>
    <mergeCell ref="J35:L35"/>
    <mergeCell ref="M35:O35"/>
    <mergeCell ref="M37:O37"/>
    <mergeCell ref="G36:I36"/>
    <mergeCell ref="G147:I147"/>
    <mergeCell ref="J147:L147"/>
    <mergeCell ref="M147:O147"/>
    <mergeCell ref="P147:R147"/>
    <mergeCell ref="G146:R146"/>
    <mergeCell ref="P27:R27"/>
    <mergeCell ref="M25:O25"/>
    <mergeCell ref="P42:R42"/>
    <mergeCell ref="M47:O47"/>
    <mergeCell ref="P47:R47"/>
    <mergeCell ref="P46:R46"/>
    <mergeCell ref="P45:R45"/>
    <mergeCell ref="P43:R43"/>
    <mergeCell ref="P44:R44"/>
    <mergeCell ref="M43:O43"/>
    <mergeCell ref="G142:R142"/>
    <mergeCell ref="G140:R140"/>
    <mergeCell ref="G136:I136"/>
    <mergeCell ref="J136:L136"/>
    <mergeCell ref="M136:O136"/>
    <mergeCell ref="P137:R137"/>
    <mergeCell ref="G137:I137"/>
    <mergeCell ref="G135:O135"/>
    <mergeCell ref="P30:R30"/>
    <mergeCell ref="M134:O134"/>
    <mergeCell ref="P134:R134"/>
    <mergeCell ref="I1:O1"/>
    <mergeCell ref="G2:I2"/>
    <mergeCell ref="J2:L2"/>
    <mergeCell ref="M2:O2"/>
    <mergeCell ref="M30:O30"/>
    <mergeCell ref="J33:L33"/>
    <mergeCell ref="J34:L34"/>
    <mergeCell ref="M31:O31"/>
    <mergeCell ref="M32:O32"/>
    <mergeCell ref="G26:I26"/>
    <mergeCell ref="G27:I27"/>
    <mergeCell ref="J26:L26"/>
    <mergeCell ref="G28:I28"/>
    <mergeCell ref="J28:L28"/>
    <mergeCell ref="G4:I4"/>
    <mergeCell ref="J4:L4"/>
    <mergeCell ref="G33:I33"/>
    <mergeCell ref="G34:I34"/>
    <mergeCell ref="M33:O33"/>
    <mergeCell ref="G31:I31"/>
    <mergeCell ref="G32:I32"/>
    <mergeCell ref="P41:R41"/>
    <mergeCell ref="M127:O127"/>
    <mergeCell ref="P127:R127"/>
    <mergeCell ref="G110:I110"/>
    <mergeCell ref="J110:L110"/>
    <mergeCell ref="P87:R87"/>
    <mergeCell ref="P76:R86"/>
    <mergeCell ref="M87:O87"/>
    <mergeCell ref="M86:O86"/>
    <mergeCell ref="G87:I87"/>
    <mergeCell ref="J87:L87"/>
    <mergeCell ref="H120:H123"/>
    <mergeCell ref="G107:R108"/>
    <mergeCell ref="H116:H119"/>
    <mergeCell ref="P136:R136"/>
    <mergeCell ref="P35:R35"/>
    <mergeCell ref="D7:F7"/>
    <mergeCell ref="D8:F8"/>
    <mergeCell ref="D9:F9"/>
    <mergeCell ref="A36:D39"/>
    <mergeCell ref="G44:O44"/>
    <mergeCell ref="J42:L42"/>
    <mergeCell ref="M42:O42"/>
    <mergeCell ref="G43:I43"/>
    <mergeCell ref="A5:C10"/>
    <mergeCell ref="E31:E34"/>
    <mergeCell ref="M27:O27"/>
    <mergeCell ref="M34:O34"/>
    <mergeCell ref="G37:I37"/>
    <mergeCell ref="J37:L37"/>
    <mergeCell ref="G30:I30"/>
    <mergeCell ref="G25:I25"/>
    <mergeCell ref="J25:L25"/>
    <mergeCell ref="M28:O28"/>
    <mergeCell ref="J43:L43"/>
    <mergeCell ref="J41:L41"/>
    <mergeCell ref="M41:O41"/>
    <mergeCell ref="G42:I42"/>
    <mergeCell ref="S54:S62"/>
    <mergeCell ref="G139:R139"/>
    <mergeCell ref="G138:I138"/>
    <mergeCell ref="G112:O112"/>
    <mergeCell ref="P112:R112"/>
    <mergeCell ref="G109:I109"/>
    <mergeCell ref="J109:L109"/>
    <mergeCell ref="M133:O133"/>
    <mergeCell ref="G127:I127"/>
    <mergeCell ref="G134:I134"/>
    <mergeCell ref="J138:L138"/>
    <mergeCell ref="M138:O138"/>
    <mergeCell ref="P138:R138"/>
    <mergeCell ref="K116:K119"/>
    <mergeCell ref="G133:I133"/>
    <mergeCell ref="J133:L133"/>
    <mergeCell ref="J127:L127"/>
    <mergeCell ref="J134:L134"/>
    <mergeCell ref="P133:R133"/>
    <mergeCell ref="G131:R131"/>
    <mergeCell ref="Q120:Q123"/>
    <mergeCell ref="P135:R135"/>
    <mergeCell ref="J137:L137"/>
    <mergeCell ref="M137:O137"/>
    <mergeCell ref="E36:E39"/>
    <mergeCell ref="M26:O26"/>
    <mergeCell ref="A76:E86"/>
    <mergeCell ref="A45:A46"/>
    <mergeCell ref="A64:E74"/>
    <mergeCell ref="G59:I60"/>
    <mergeCell ref="J59:L60"/>
    <mergeCell ref="J46:L46"/>
    <mergeCell ref="P89:R89"/>
    <mergeCell ref="M46:O46"/>
    <mergeCell ref="G74:I74"/>
    <mergeCell ref="G47:I47"/>
    <mergeCell ref="G41:I41"/>
    <mergeCell ref="P38:R38"/>
    <mergeCell ref="P39:R39"/>
    <mergeCell ref="M39:O39"/>
    <mergeCell ref="M38:O38"/>
    <mergeCell ref="J38:L38"/>
    <mergeCell ref="J45:L45"/>
    <mergeCell ref="G46:I46"/>
    <mergeCell ref="G45:I45"/>
    <mergeCell ref="J47:L47"/>
    <mergeCell ref="M45:O45"/>
    <mergeCell ref="B45:B46"/>
    <mergeCell ref="S4:S10"/>
    <mergeCell ref="S30:S34"/>
    <mergeCell ref="S35:S39"/>
    <mergeCell ref="S24:S25"/>
    <mergeCell ref="S14:S16"/>
    <mergeCell ref="S17:S19"/>
    <mergeCell ref="G38:I38"/>
    <mergeCell ref="J36:L36"/>
    <mergeCell ref="J30:L30"/>
    <mergeCell ref="J31:L31"/>
    <mergeCell ref="J32:L32"/>
    <mergeCell ref="M36:O36"/>
    <mergeCell ref="J39:L39"/>
    <mergeCell ref="G39:I39"/>
    <mergeCell ref="S11:S13"/>
    <mergeCell ref="P33:R33"/>
    <mergeCell ref="P34:R34"/>
    <mergeCell ref="D10:F10"/>
    <mergeCell ref="P32:R32"/>
    <mergeCell ref="J27:L27"/>
    <mergeCell ref="D5:F5"/>
    <mergeCell ref="A31:D34"/>
    <mergeCell ref="D6:F6"/>
    <mergeCell ref="S128:S129"/>
    <mergeCell ref="S120:S123"/>
    <mergeCell ref="S91:S105"/>
    <mergeCell ref="S124:S125"/>
    <mergeCell ref="C45:C46"/>
    <mergeCell ref="D45:D46"/>
    <mergeCell ref="E45:E46"/>
    <mergeCell ref="S44:S46"/>
    <mergeCell ref="S63:S74"/>
    <mergeCell ref="S48:S49"/>
    <mergeCell ref="F107:F108"/>
    <mergeCell ref="M109:O109"/>
    <mergeCell ref="M110:O110"/>
    <mergeCell ref="A116:E123"/>
    <mergeCell ref="K120:K123"/>
    <mergeCell ref="Q116:Q119"/>
    <mergeCell ref="N116:N119"/>
    <mergeCell ref="N120:N123"/>
    <mergeCell ref="A145:D145"/>
    <mergeCell ref="S88:S89"/>
    <mergeCell ref="P109:R109"/>
    <mergeCell ref="P110:R110"/>
    <mergeCell ref="S115:S119"/>
    <mergeCell ref="S75:S86"/>
    <mergeCell ref="S50:S53"/>
    <mergeCell ref="P63:R63"/>
    <mergeCell ref="G86:I86"/>
    <mergeCell ref="J86:L86"/>
    <mergeCell ref="M88:O88"/>
    <mergeCell ref="G90:I90"/>
    <mergeCell ref="J90:L90"/>
    <mergeCell ref="P90:R90"/>
    <mergeCell ref="J88:L88"/>
    <mergeCell ref="M90:O90"/>
    <mergeCell ref="B92:B105"/>
    <mergeCell ref="A92:A105"/>
    <mergeCell ref="M89:O89"/>
    <mergeCell ref="P88:R88"/>
    <mergeCell ref="E92:E105"/>
    <mergeCell ref="G88:I88"/>
    <mergeCell ref="G89:I89"/>
    <mergeCell ref="J89:L89"/>
    <mergeCell ref="P48:R62"/>
    <mergeCell ref="E49:E62"/>
    <mergeCell ref="C92:C105"/>
    <mergeCell ref="D92:D105"/>
    <mergeCell ref="P64:R74"/>
    <mergeCell ref="P75:R75"/>
    <mergeCell ref="J74:L74"/>
    <mergeCell ref="M74:O74"/>
    <mergeCell ref="A49:D62"/>
  </mergeCells>
  <phoneticPr fontId="50" type="noConversion"/>
  <printOptions horizontalCentered="1"/>
  <pageMargins left="0.7" right="0.7" top="0.75" bottom="0.75" header="0.3" footer="0.3"/>
  <pageSetup scale="53" fitToHeight="0" orientation="landscape" useFirstPageNumber="1" r:id="rId1"/>
  <headerFooter alignWithMargins="0">
    <oddHeader>&amp;C&amp;"Arial,Italic"&amp;10
Joint IOU Program Performance Metrics Report for Program Year 2011
Submitted May 1, 2012</oddHeader>
    <oddFooter>&amp;C&amp;"Arial,Regular"&amp;10&amp;P</oddFooter>
  </headerFooter>
  <rowBreaks count="4" manualBreakCount="4">
    <brk id="39" max="18" man="1"/>
    <brk id="74" max="16383" man="1"/>
    <brk id="113" max="16383" man="1"/>
    <brk id="141"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view="pageLayout" topLeftCell="A4" zoomScaleNormal="100" workbookViewId="0">
      <selection activeCell="B8" sqref="B8"/>
    </sheetView>
  </sheetViews>
  <sheetFormatPr defaultRowHeight="15"/>
  <cols>
    <col min="2" max="2" width="45.5703125" customWidth="1"/>
  </cols>
  <sheetData>
    <row r="1" spans="1:2" ht="25.5" thickTop="1" thickBot="1">
      <c r="A1" s="236" t="s">
        <v>205</v>
      </c>
      <c r="B1" s="236" t="s">
        <v>206</v>
      </c>
    </row>
    <row r="2" spans="1:2">
      <c r="A2" s="237">
        <v>1</v>
      </c>
      <c r="B2" s="238" t="s">
        <v>207</v>
      </c>
    </row>
    <row r="3" spans="1:2" ht="84">
      <c r="A3" s="239">
        <v>2</v>
      </c>
      <c r="B3" s="240" t="s">
        <v>208</v>
      </c>
    </row>
    <row r="4" spans="1:2" ht="24">
      <c r="A4" s="239">
        <v>3</v>
      </c>
      <c r="B4" s="240" t="s">
        <v>209</v>
      </c>
    </row>
    <row r="5" spans="1:2" ht="24">
      <c r="A5" s="239">
        <v>4</v>
      </c>
      <c r="B5" s="240" t="s">
        <v>209</v>
      </c>
    </row>
    <row r="6" spans="1:2" ht="72">
      <c r="A6" s="239">
        <f>1+A5</f>
        <v>5</v>
      </c>
      <c r="B6" s="240" t="s">
        <v>210</v>
      </c>
    </row>
    <row r="7" spans="1:2" ht="24">
      <c r="A7" s="239">
        <v>6</v>
      </c>
      <c r="B7" s="240" t="s">
        <v>211</v>
      </c>
    </row>
    <row r="8" spans="1:2" ht="108">
      <c r="A8" s="239">
        <v>7</v>
      </c>
      <c r="B8" s="240" t="s">
        <v>212</v>
      </c>
    </row>
    <row r="9" spans="1:2" ht="24">
      <c r="A9" s="239">
        <v>8</v>
      </c>
      <c r="B9" s="240" t="s">
        <v>213</v>
      </c>
    </row>
    <row r="10" spans="1:2" ht="108">
      <c r="A10" s="239">
        <v>9</v>
      </c>
      <c r="B10" s="240" t="s">
        <v>214</v>
      </c>
    </row>
    <row r="11" spans="1:2" ht="36">
      <c r="A11" s="239">
        <v>10</v>
      </c>
      <c r="B11" s="240" t="s">
        <v>215</v>
      </c>
    </row>
    <row r="12" spans="1:2" ht="36">
      <c r="A12" s="239">
        <v>11</v>
      </c>
      <c r="B12" s="240" t="s">
        <v>216</v>
      </c>
    </row>
    <row r="13" spans="1:2" ht="48">
      <c r="A13" s="239">
        <v>12</v>
      </c>
      <c r="B13" s="240" t="s">
        <v>217</v>
      </c>
    </row>
    <row r="14" spans="1:2" ht="36">
      <c r="A14" s="239">
        <f>1+A13</f>
        <v>13</v>
      </c>
      <c r="B14" s="240" t="s">
        <v>218</v>
      </c>
    </row>
    <row r="15" spans="1:2" ht="24">
      <c r="A15" s="239">
        <v>14</v>
      </c>
      <c r="B15" s="240" t="s">
        <v>219</v>
      </c>
    </row>
    <row r="16" spans="1:2" ht="36">
      <c r="A16" s="239">
        <f>1+A15</f>
        <v>15</v>
      </c>
      <c r="B16" s="240" t="s">
        <v>220</v>
      </c>
    </row>
    <row r="17" spans="1:2" ht="60">
      <c r="A17" s="239">
        <v>16</v>
      </c>
      <c r="B17" s="240" t="s">
        <v>221</v>
      </c>
    </row>
    <row r="18" spans="1:2" ht="24">
      <c r="A18" s="239">
        <v>17</v>
      </c>
      <c r="B18" s="240" t="s">
        <v>222</v>
      </c>
    </row>
    <row r="19" spans="1:2" ht="24">
      <c r="A19" s="239">
        <v>18</v>
      </c>
      <c r="B19" s="240" t="s">
        <v>223</v>
      </c>
    </row>
  </sheetData>
  <phoneticPr fontId="50" type="noConversion"/>
  <printOptions horizontalCentered="1"/>
  <pageMargins left="0.5" right="0.5" top="1" bottom="1" header="0.5" footer="0.5"/>
  <pageSetup firstPageNumber="7" orientation="portrait" useFirstPageNumber="1" r:id="rId1"/>
  <headerFooter alignWithMargins="0">
    <oddHeader>&amp;C&amp;"Arial,Italic"&amp;10Joint IOU Program Performance Metrics Report for Program Year 2011 - May 1, 2012</oddHeader>
    <oddFooter>&amp;C&amp;"Arial,Regular"&amp;10&amp;P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041B583D0DB8B4B9CE816F9B99A8EDB" ma:contentTypeVersion="0" ma:contentTypeDescription="Create a new document." ma:contentTypeScope="" ma:versionID="15dc0984655333983b405858531b2048">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DDAC9F28-EE42-4D9A-A676-614BDF35D695}">
  <ds:schemaRefs>
    <ds:schemaRef ds:uri="http://schemas.microsoft.com/sharepoint/v3/contenttype/forms"/>
  </ds:schemaRefs>
</ds:datastoreItem>
</file>

<file path=customXml/itemProps2.xml><?xml version="1.0" encoding="utf-8"?>
<ds:datastoreItem xmlns:ds="http://schemas.openxmlformats.org/officeDocument/2006/customXml" ds:itemID="{B61D95F3-9A6F-42E3-91CB-AFA956A32E71}">
  <ds:schemaRefs>
    <ds:schemaRef ds:uri="http://purl.org/dc/elements/1.1/"/>
    <ds:schemaRef ds:uri="http://schemas.microsoft.com/office/2006/metadata/properties"/>
    <ds:schemaRef ds:uri="http://schemas.microsoft.com/office/2006/documentManagement/types"/>
    <ds:schemaRef ds:uri="http://purl.org/dc/terms/"/>
    <ds:schemaRef ds:uri="http://purl.org/dc/dcmitype/"/>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FFC150B9-D651-45E0-A04B-4731FCF216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Cover</vt:lpstr>
      <vt:lpstr>Master</vt:lpstr>
      <vt:lpstr>Footnotes</vt:lpstr>
      <vt:lpstr>Footnotes!Print_Titles</vt:lpstr>
      <vt:lpstr>Master!Print_Titles</vt:lpstr>
    </vt:vector>
  </TitlesOfParts>
  <Company>Pacific Gas and Electric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Lena Lopez</dc:creator>
  <cp:lastModifiedBy>Lopez, Lena</cp:lastModifiedBy>
  <cp:lastPrinted>2012-04-30T23:57:02Z</cp:lastPrinted>
  <dcterms:created xsi:type="dcterms:W3CDTF">2011-06-17T20:08:24Z</dcterms:created>
  <dcterms:modified xsi:type="dcterms:W3CDTF">2012-05-01T23:33:16Z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0x0101002041B583D0DB8B4B9CE816F9B99A8EDB</vt:lpwstr>
  </property>
</Properties>
</file>